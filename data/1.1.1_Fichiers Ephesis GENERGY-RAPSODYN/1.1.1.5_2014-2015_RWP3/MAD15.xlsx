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240" windowWidth="16380" windowHeight="7950" tabRatio="849" firstSheet="7" activeTab="9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Feuil4" sheetId="18" r:id="rId9"/>
    <sheet name="Data" sheetId="9" r:id="rId10"/>
    <sheet name="Files" sheetId="10" r:id="rId11"/>
    <sheet name="ForestComplementaryInfo" sheetId="11" r:id="rId12"/>
    <sheet name="StaticData" sheetId="12" r:id="rId13"/>
    <sheet name="Parcellaire DATAS" sheetId="13" r:id="rId14"/>
    <sheet name="ITK DATAS" sheetId="14" r:id="rId15"/>
  </sheets>
  <definedNames>
    <definedName name="_xlnm._FilterDatabase" localSheetId="9" hidden="1">Data!$A$1:$CO$769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  <definedName name="_xlnm.Print_Area" localSheetId="5">PlantMaterial!$A$2:$E$209</definedName>
    <definedName name="_xlnm.Print_Area" localSheetId="0">README!$A$1:$Q$80</definedName>
    <definedName name="_xlnm.Print_Area" localSheetId="4">Variable!$A$1:$F$44</definedName>
  </definedNames>
  <calcPr calcId="145621"/>
  <pivotCaches>
    <pivotCache cacheId="13" r:id="rId16"/>
  </pivotCaches>
</workbook>
</file>

<file path=xl/calcChain.xml><?xml version="1.0" encoding="utf-8"?>
<calcChain xmlns="http://schemas.openxmlformats.org/spreadsheetml/2006/main">
  <c r="AF257" i="9" l="1"/>
  <c r="AF253" i="9"/>
  <c r="AF182" i="9"/>
  <c r="AF510" i="9"/>
  <c r="AF687" i="9"/>
  <c r="AF389" i="9"/>
  <c r="AF349" i="9"/>
  <c r="AF153" i="9"/>
  <c r="AF629" i="9"/>
  <c r="AF768" i="9"/>
  <c r="AF727" i="9"/>
  <c r="AF782" i="9"/>
  <c r="AF471" i="9"/>
  <c r="AF242" i="9"/>
  <c r="AF749" i="9"/>
  <c r="AF378" i="9"/>
  <c r="AF548" i="9"/>
  <c r="AF819" i="9"/>
  <c r="AF32" i="9"/>
  <c r="AF788" i="9"/>
  <c r="AF393" i="9"/>
  <c r="AF751" i="9"/>
  <c r="AF680" i="9"/>
  <c r="AF606" i="9"/>
  <c r="AF275" i="9"/>
  <c r="AF419" i="9"/>
  <c r="AF290" i="9"/>
  <c r="AF521" i="9"/>
  <c r="AF699" i="9"/>
  <c r="AF229" i="9"/>
  <c r="AF464" i="9"/>
  <c r="AF785" i="9"/>
  <c r="AF718" i="9"/>
  <c r="AF364" i="9"/>
  <c r="AF656" i="9"/>
  <c r="AF863" i="9"/>
  <c r="AF862" i="9"/>
  <c r="AF175" i="9"/>
  <c r="AF653" i="9"/>
  <c r="AF623" i="9"/>
  <c r="AF500" i="9"/>
  <c r="AF626" i="9"/>
  <c r="AF755" i="9"/>
  <c r="AF834" i="9"/>
  <c r="AF507" i="9"/>
  <c r="AF454" i="9"/>
  <c r="AF841" i="9"/>
  <c r="AF142" i="9"/>
  <c r="AF560" i="9"/>
  <c r="AF840" i="9"/>
  <c r="AF853" i="9"/>
  <c r="AF771" i="9"/>
  <c r="AF765" i="9"/>
  <c r="AF845" i="9"/>
  <c r="AF810" i="9"/>
  <c r="AF361" i="9"/>
  <c r="AF857" i="9"/>
  <c r="AF856" i="9"/>
  <c r="AF719" i="9"/>
  <c r="AF823" i="9"/>
  <c r="AF553" i="9"/>
  <c r="AF491" i="9"/>
  <c r="AF550" i="9"/>
  <c r="AF554" i="9"/>
  <c r="AF367" i="9"/>
  <c r="AF529" i="9"/>
  <c r="AF683" i="9"/>
  <c r="AF864" i="9"/>
  <c r="AF814" i="9"/>
  <c r="AF753" i="9"/>
  <c r="AF518" i="9"/>
  <c r="AF227" i="9"/>
  <c r="AF456" i="9"/>
  <c r="AF405" i="9"/>
  <c r="AF97" i="9"/>
  <c r="AF420" i="9"/>
  <c r="AF247" i="9"/>
  <c r="AF617" i="9"/>
  <c r="AF459" i="9"/>
  <c r="AF783" i="9"/>
  <c r="AF564" i="9"/>
  <c r="AF650" i="9"/>
  <c r="AF657" i="9"/>
  <c r="AF309" i="9"/>
  <c r="AF352" i="9"/>
  <c r="AF565" i="9"/>
  <c r="AF381" i="9"/>
  <c r="AF370" i="9"/>
  <c r="AF666" i="9"/>
  <c r="AF261" i="9"/>
  <c r="AF388" i="9"/>
  <c r="AF450" i="9"/>
  <c r="AF308" i="9"/>
  <c r="AF620" i="9"/>
  <c r="AF301" i="9"/>
  <c r="AF792" i="9"/>
  <c r="AF559" i="9"/>
  <c r="AF444" i="9"/>
  <c r="AF732" i="9"/>
  <c r="AF827" i="9"/>
  <c r="AF740" i="9"/>
  <c r="AF627" i="9"/>
  <c r="AF418" i="9"/>
  <c r="AF398" i="9"/>
  <c r="AF323" i="9"/>
  <c r="AF708" i="9"/>
  <c r="AF660" i="9"/>
  <c r="AF600" i="9"/>
  <c r="AF589" i="9"/>
  <c r="AF637" i="9"/>
  <c r="AF789" i="9"/>
  <c r="AF312" i="9"/>
  <c r="AF591" i="9"/>
  <c r="AF327" i="9"/>
  <c r="AF759" i="9"/>
  <c r="AF543" i="9"/>
  <c r="AF555" i="9"/>
  <c r="AF537" i="9"/>
  <c r="AF581" i="9"/>
  <c r="AF408" i="9"/>
  <c r="AF760" i="9"/>
  <c r="AF686" i="9"/>
  <c r="AF721" i="9"/>
  <c r="AF608" i="9"/>
  <c r="AF470" i="9"/>
  <c r="AF570" i="9"/>
  <c r="AF572" i="9"/>
  <c r="AF808" i="9"/>
  <c r="AF640" i="9"/>
  <c r="AF429" i="9"/>
  <c r="AF816" i="9"/>
  <c r="AF795" i="9"/>
  <c r="AF781" i="9"/>
  <c r="AF790" i="9"/>
  <c r="AF737" i="9"/>
  <c r="AF758" i="9"/>
  <c r="AF644" i="9"/>
  <c r="AF592" i="9"/>
  <c r="AF651" i="9"/>
  <c r="AF294" i="9"/>
  <c r="AF595" i="9"/>
  <c r="AF285" i="9"/>
  <c r="AF696" i="9"/>
  <c r="AF690" i="9"/>
  <c r="AF287" i="9"/>
  <c r="AF452" i="9"/>
  <c r="AF246" i="9"/>
  <c r="AF343" i="9"/>
  <c r="AF731" i="9"/>
  <c r="AF505" i="9"/>
  <c r="AF517" i="9"/>
  <c r="AF724" i="9"/>
  <c r="AF667" i="9"/>
  <c r="AF723" i="9"/>
  <c r="AF197" i="9"/>
  <c r="AF694" i="9"/>
  <c r="AF282" i="9"/>
  <c r="AF716" i="9"/>
  <c r="AF674" i="9"/>
  <c r="AF544" i="9"/>
  <c r="AF273" i="9"/>
  <c r="AF176" i="9"/>
  <c r="AF704" i="9"/>
  <c r="AF324" i="9"/>
  <c r="AF770" i="9"/>
  <c r="AF688" i="9"/>
  <c r="AF628" i="9"/>
  <c r="AF552" i="9"/>
  <c r="AF497" i="9"/>
  <c r="AF473" i="9"/>
  <c r="AF522" i="9"/>
  <c r="AF797" i="9"/>
  <c r="AF598" i="9"/>
  <c r="AF214" i="9"/>
  <c r="AF171" i="9"/>
  <c r="AF679" i="9"/>
  <c r="AF610" i="9"/>
  <c r="AF711" i="9"/>
  <c r="AF658" i="9"/>
  <c r="AF427" i="9"/>
  <c r="AF712" i="9"/>
  <c r="AF720" i="9"/>
  <c r="AF630" i="9"/>
  <c r="AF562" i="9"/>
  <c r="AF734" i="9"/>
  <c r="AF701" i="9"/>
  <c r="AF763" i="9"/>
  <c r="AF432" i="9"/>
  <c r="AF825" i="9"/>
  <c r="AF733" i="9"/>
  <c r="AF504" i="9"/>
  <c r="AF293" i="9"/>
  <c r="AF619" i="9"/>
  <c r="AF702" i="9"/>
  <c r="AF576" i="9"/>
  <c r="AF249" i="9"/>
  <c r="AF333" i="9"/>
  <c r="AF775" i="9"/>
  <c r="AF582" i="9"/>
  <c r="AF818" i="9"/>
  <c r="AF747" i="9"/>
  <c r="AF798" i="9"/>
  <c r="AF607" i="9"/>
  <c r="AF794" i="9"/>
  <c r="AF580" i="9"/>
  <c r="AF859" i="9"/>
  <c r="AF850" i="9"/>
  <c r="AF854" i="9"/>
  <c r="AF566" i="9"/>
  <c r="AF743" i="9"/>
  <c r="AF689" i="9"/>
  <c r="AF645" i="9"/>
  <c r="AF839" i="9"/>
  <c r="AF836" i="9"/>
  <c r="AF801" i="9"/>
  <c r="AF779" i="9"/>
  <c r="AF458" i="9"/>
  <c r="AF519" i="9"/>
  <c r="AF846" i="9"/>
  <c r="AF804" i="9"/>
  <c r="AF787" i="9"/>
  <c r="AF780" i="9"/>
  <c r="AF838" i="9"/>
  <c r="AF693" i="9"/>
  <c r="AF706" i="9"/>
  <c r="AF707" i="9"/>
  <c r="AF605" i="9"/>
  <c r="AF571" i="9"/>
  <c r="AF817" i="9"/>
  <c r="AF634" i="9"/>
  <c r="AF700" i="9"/>
  <c r="AF642" i="9"/>
  <c r="AF601" i="9"/>
  <c r="AF156" i="9"/>
  <c r="AF776" i="9"/>
  <c r="AF530" i="9"/>
  <c r="AF809" i="9"/>
  <c r="AF739" i="9"/>
  <c r="AF736" i="9"/>
  <c r="AF742" i="9"/>
  <c r="AF669" i="9"/>
  <c r="AF663" i="9"/>
  <c r="AF611" i="9"/>
  <c r="AF847" i="9"/>
  <c r="AF820" i="9"/>
  <c r="AF766" i="9"/>
  <c r="AF750" i="9"/>
  <c r="AF722" i="9"/>
  <c r="AF659" i="9"/>
  <c r="AF842" i="9"/>
  <c r="AF599" i="9"/>
  <c r="AF752" i="9"/>
  <c r="AF861" i="9"/>
  <c r="AF756" i="9"/>
  <c r="AF493" i="9"/>
  <c r="AF772" i="9"/>
  <c r="AD182" i="9"/>
  <c r="AD510" i="9"/>
  <c r="AD687" i="9"/>
  <c r="AD389" i="9"/>
  <c r="AD349" i="9"/>
  <c r="AD153" i="9"/>
  <c r="AD629" i="9"/>
  <c r="AD768" i="9"/>
  <c r="AD727" i="9"/>
  <c r="AD782" i="9"/>
  <c r="AD471" i="9"/>
  <c r="AD242" i="9"/>
  <c r="AD749" i="9"/>
  <c r="AD378" i="9"/>
  <c r="AD548" i="9"/>
  <c r="AD819" i="9"/>
  <c r="AD32" i="9"/>
  <c r="AD788" i="9"/>
  <c r="AD393" i="9"/>
  <c r="AD751" i="9"/>
  <c r="AD680" i="9"/>
  <c r="AD606" i="9"/>
  <c r="AD275" i="9"/>
  <c r="AD419" i="9"/>
  <c r="AD290" i="9"/>
  <c r="AD521" i="9"/>
  <c r="AD699" i="9"/>
  <c r="AD229" i="9"/>
  <c r="AD464" i="9"/>
  <c r="AD785" i="9"/>
  <c r="AD718" i="9"/>
  <c r="AD364" i="9"/>
  <c r="AD656" i="9"/>
  <c r="AD863" i="9"/>
  <c r="AD862" i="9"/>
  <c r="AD175" i="9"/>
  <c r="AD653" i="9"/>
  <c r="AD623" i="9"/>
  <c r="AD500" i="9"/>
  <c r="AD626" i="9"/>
  <c r="AD755" i="9"/>
  <c r="AD834" i="9"/>
  <c r="AD507" i="9"/>
  <c r="AD454" i="9"/>
  <c r="AD841" i="9"/>
  <c r="AD142" i="9"/>
  <c r="AD560" i="9"/>
  <c r="AD840" i="9"/>
  <c r="AD853" i="9"/>
  <c r="AD771" i="9"/>
  <c r="AD765" i="9"/>
  <c r="AD845" i="9"/>
  <c r="AD810" i="9"/>
  <c r="AD361" i="9"/>
  <c r="AD857" i="9"/>
  <c r="AD856" i="9"/>
  <c r="AD719" i="9"/>
  <c r="AD823" i="9"/>
  <c r="AD553" i="9"/>
  <c r="AD491" i="9"/>
  <c r="AD550" i="9"/>
  <c r="AD554" i="9"/>
  <c r="AD367" i="9"/>
  <c r="AD529" i="9"/>
  <c r="AD683" i="9"/>
  <c r="AD864" i="9"/>
  <c r="AD814" i="9"/>
  <c r="AD753" i="9"/>
  <c r="AD518" i="9"/>
  <c r="AD227" i="9"/>
  <c r="AD456" i="9"/>
  <c r="AD405" i="9"/>
  <c r="AD97" i="9"/>
  <c r="AD420" i="9"/>
  <c r="AD247" i="9"/>
  <c r="AD617" i="9"/>
  <c r="AD459" i="9"/>
  <c r="AD783" i="9"/>
  <c r="AD564" i="9"/>
  <c r="AD650" i="9"/>
  <c r="AD657" i="9"/>
  <c r="AD309" i="9"/>
  <c r="AD352" i="9"/>
  <c r="AD565" i="9"/>
  <c r="AD381" i="9"/>
  <c r="AD370" i="9"/>
  <c r="AD666" i="9"/>
  <c r="AD261" i="9"/>
  <c r="AD388" i="9"/>
  <c r="AD450" i="9"/>
  <c r="AD308" i="9"/>
  <c r="AD620" i="9"/>
  <c r="AD301" i="9"/>
  <c r="AD792" i="9"/>
  <c r="AD559" i="9"/>
  <c r="AD444" i="9"/>
  <c r="AD732" i="9"/>
  <c r="AD827" i="9"/>
  <c r="AD740" i="9"/>
  <c r="AD627" i="9"/>
  <c r="AD418" i="9"/>
  <c r="AD398" i="9"/>
  <c r="AD323" i="9"/>
  <c r="AD708" i="9"/>
  <c r="AD660" i="9"/>
  <c r="AD600" i="9"/>
  <c r="AD589" i="9"/>
  <c r="AD637" i="9"/>
  <c r="AD789" i="9"/>
  <c r="AD312" i="9"/>
  <c r="AD591" i="9"/>
  <c r="AD327" i="9"/>
  <c r="AD759" i="9"/>
  <c r="AD543" i="9"/>
  <c r="AD555" i="9"/>
  <c r="AD537" i="9"/>
  <c r="AD581" i="9"/>
  <c r="AD408" i="9"/>
  <c r="AD760" i="9"/>
  <c r="AD686" i="9"/>
  <c r="AD721" i="9"/>
  <c r="AD608" i="9"/>
  <c r="AD470" i="9"/>
  <c r="AD570" i="9"/>
  <c r="AD572" i="9"/>
  <c r="AD808" i="9"/>
  <c r="AD640" i="9"/>
  <c r="AD429" i="9"/>
  <c r="AD816" i="9"/>
  <c r="AD795" i="9"/>
  <c r="AD781" i="9"/>
  <c r="AD790" i="9"/>
  <c r="AD737" i="9"/>
  <c r="AD758" i="9"/>
  <c r="AD644" i="9"/>
  <c r="AD592" i="9"/>
  <c r="AD651" i="9"/>
  <c r="AD294" i="9"/>
  <c r="AD595" i="9"/>
  <c r="AD285" i="9"/>
  <c r="AD696" i="9"/>
  <c r="AD690" i="9"/>
  <c r="AD287" i="9"/>
  <c r="AD452" i="9"/>
  <c r="AD246" i="9"/>
  <c r="AD343" i="9"/>
  <c r="AD731" i="9"/>
  <c r="AD505" i="9"/>
  <c r="AD517" i="9"/>
  <c r="AD724" i="9"/>
  <c r="AD667" i="9"/>
  <c r="AD723" i="9"/>
  <c r="AD197" i="9"/>
  <c r="AD694" i="9"/>
  <c r="AD282" i="9"/>
  <c r="AD716" i="9"/>
  <c r="AD674" i="9"/>
  <c r="AD544" i="9"/>
  <c r="AD273" i="9"/>
  <c r="AD176" i="9"/>
  <c r="AD704" i="9"/>
  <c r="AD324" i="9"/>
  <c r="AD770" i="9"/>
  <c r="AD688" i="9"/>
  <c r="AD628" i="9"/>
  <c r="AD552" i="9"/>
  <c r="AD497" i="9"/>
  <c r="AD473" i="9"/>
  <c r="AD522" i="9"/>
  <c r="AD797" i="9"/>
  <c r="AD598" i="9"/>
  <c r="AD214" i="9"/>
  <c r="AD171" i="9"/>
  <c r="AD679" i="9"/>
  <c r="AD610" i="9"/>
  <c r="AD711" i="9"/>
  <c r="AD658" i="9"/>
  <c r="AD427" i="9"/>
  <c r="AD712" i="9"/>
  <c r="AD720" i="9"/>
  <c r="AD630" i="9"/>
  <c r="AD562" i="9"/>
  <c r="AD734" i="9"/>
  <c r="AD701" i="9"/>
  <c r="AD763" i="9"/>
  <c r="AD432" i="9"/>
  <c r="AD825" i="9"/>
  <c r="AD733" i="9"/>
  <c r="AD504" i="9"/>
  <c r="AD293" i="9"/>
  <c r="AD619" i="9"/>
  <c r="AD702" i="9"/>
  <c r="AD576" i="9"/>
  <c r="AD249" i="9"/>
  <c r="AD333" i="9"/>
  <c r="AD775" i="9"/>
  <c r="AD582" i="9"/>
  <c r="AD818" i="9"/>
  <c r="AD747" i="9"/>
  <c r="AD798" i="9"/>
  <c r="AD607" i="9"/>
  <c r="AD794" i="9"/>
  <c r="AD580" i="9"/>
  <c r="AD859" i="9"/>
  <c r="AD850" i="9"/>
  <c r="AD854" i="9"/>
  <c r="AD566" i="9"/>
  <c r="AD743" i="9"/>
  <c r="AD689" i="9"/>
  <c r="AD645" i="9"/>
  <c r="AD839" i="9"/>
  <c r="AD836" i="9"/>
  <c r="AD801" i="9"/>
  <c r="AD779" i="9"/>
  <c r="AD458" i="9"/>
  <c r="AD519" i="9"/>
  <c r="AD846" i="9"/>
  <c r="AD804" i="9"/>
  <c r="AD787" i="9"/>
  <c r="AD780" i="9"/>
  <c r="AD838" i="9"/>
  <c r="AD693" i="9"/>
  <c r="AD706" i="9"/>
  <c r="AD707" i="9"/>
  <c r="AD605" i="9"/>
  <c r="AD571" i="9"/>
  <c r="AD817" i="9"/>
  <c r="AD634" i="9"/>
  <c r="AD700" i="9"/>
  <c r="AD642" i="9"/>
  <c r="AD601" i="9"/>
  <c r="AD156" i="9"/>
  <c r="AD776" i="9"/>
  <c r="AD530" i="9"/>
  <c r="AD809" i="9"/>
  <c r="AD739" i="9"/>
  <c r="AD736" i="9"/>
  <c r="AD742" i="9"/>
  <c r="AD669" i="9"/>
  <c r="AD663" i="9"/>
  <c r="AD611" i="9"/>
  <c r="AD847" i="9"/>
  <c r="AD820" i="9"/>
  <c r="AD766" i="9"/>
  <c r="AD750" i="9"/>
  <c r="AD722" i="9"/>
  <c r="AD659" i="9"/>
  <c r="AD842" i="9"/>
  <c r="AD599" i="9"/>
  <c r="AD752" i="9"/>
  <c r="AD861" i="9"/>
  <c r="AD756" i="9"/>
  <c r="AD493" i="9"/>
  <c r="AD772" i="9"/>
  <c r="AD647" i="9"/>
  <c r="AD428" i="9"/>
  <c r="AD673" i="9"/>
  <c r="AD831" i="9"/>
  <c r="AD851" i="9"/>
  <c r="AD705" i="9"/>
  <c r="AD786" i="9"/>
  <c r="AD726" i="9"/>
  <c r="AD678" i="9"/>
  <c r="AD822" i="9"/>
  <c r="AD676" i="9"/>
  <c r="AD835" i="9"/>
  <c r="AD652" i="9"/>
  <c r="AD764" i="9"/>
  <c r="AD639" i="9"/>
  <c r="AD526" i="9"/>
  <c r="AD844" i="9"/>
  <c r="AD757" i="9"/>
  <c r="AD604" i="9"/>
  <c r="AD848" i="9"/>
  <c r="AD714" i="9"/>
  <c r="AD638" i="9"/>
  <c r="AD777" i="9"/>
  <c r="AD754" i="9"/>
  <c r="AD860" i="9"/>
  <c r="AD858" i="9"/>
  <c r="AD811" i="9"/>
  <c r="AD800" i="9"/>
  <c r="AD843" i="9"/>
  <c r="AD725" i="9"/>
  <c r="AD812" i="9"/>
  <c r="AD832" i="9"/>
  <c r="AD849" i="9"/>
  <c r="AD685" i="9"/>
  <c r="AD837" i="9"/>
  <c r="AD833" i="9"/>
  <c r="AD824" i="9"/>
  <c r="AD855" i="9"/>
  <c r="AD828" i="9"/>
  <c r="AD662" i="9"/>
  <c r="AD769" i="9"/>
  <c r="AD671" i="9"/>
  <c r="AD516" i="9"/>
  <c r="AD830" i="9"/>
  <c r="AD482" i="9"/>
  <c r="AD745" i="9"/>
  <c r="AD773" i="9"/>
  <c r="AD682" i="9"/>
  <c r="AD539" i="9"/>
  <c r="AD729" i="9"/>
  <c r="AD778" i="9"/>
  <c r="AD490" i="9"/>
  <c r="AD513" i="9"/>
  <c r="AD654" i="9"/>
  <c r="AD271" i="9"/>
  <c r="AD661" i="9"/>
  <c r="AD438" i="9"/>
  <c r="AD761" i="9"/>
  <c r="AD635" i="9"/>
  <c r="AD476" i="9"/>
  <c r="AD574" i="9"/>
  <c r="AD328" i="9"/>
  <c r="AD813" i="9"/>
  <c r="AD762" i="9"/>
  <c r="AD593" i="9"/>
  <c r="AD802" i="9"/>
  <c r="AD28" i="9"/>
  <c r="AD68" i="9"/>
  <c r="AD158" i="9"/>
  <c r="AD90" i="9"/>
  <c r="AD34" i="9"/>
  <c r="AD64" i="9"/>
  <c r="AD238" i="9"/>
  <c r="AD55" i="9"/>
  <c r="AD684" i="9"/>
  <c r="AD189" i="9"/>
  <c r="AD366" i="9"/>
  <c r="AD87" i="9"/>
  <c r="AD201" i="9"/>
  <c r="AD603" i="9"/>
  <c r="AD4" i="9"/>
  <c r="AD455" i="9"/>
  <c r="AD12" i="9"/>
  <c r="AD451" i="9"/>
  <c r="AD18" i="9"/>
  <c r="AD264" i="9"/>
  <c r="AD527" i="9"/>
  <c r="AD447" i="9"/>
  <c r="AD340" i="9"/>
  <c r="AD318" i="9"/>
  <c r="AD230" i="9"/>
  <c r="AD107" i="9"/>
  <c r="AD27" i="9"/>
  <c r="AD42" i="9"/>
  <c r="AD649" i="9"/>
  <c r="AD385" i="9"/>
  <c r="AD133" i="9"/>
  <c r="AD347" i="9"/>
  <c r="AD449" i="9"/>
  <c r="AD292" i="9"/>
  <c r="AD278" i="9"/>
  <c r="AD236" i="9"/>
  <c r="AD119" i="9"/>
  <c r="AD33" i="9"/>
  <c r="AD162" i="9"/>
  <c r="AD437" i="9"/>
  <c r="AD695" i="9"/>
  <c r="AD113" i="9"/>
  <c r="AD244" i="9"/>
  <c r="AD174" i="9"/>
  <c r="AD184" i="9"/>
  <c r="AD24" i="9"/>
  <c r="AD390" i="9"/>
  <c r="AD401" i="9"/>
  <c r="AD168" i="9"/>
  <c r="AD532" i="9"/>
  <c r="AD26" i="9"/>
  <c r="AD232" i="9"/>
  <c r="AD114" i="9"/>
  <c r="AD395" i="9"/>
  <c r="AD130" i="9"/>
  <c r="AD92" i="9"/>
  <c r="AD852" i="9"/>
  <c r="AD216" i="9"/>
  <c r="AD502" i="9"/>
  <c r="AD8" i="9"/>
  <c r="AD14" i="9"/>
  <c r="AD272" i="9"/>
  <c r="AD597" i="9"/>
  <c r="AD304" i="9"/>
  <c r="AD39" i="9"/>
  <c r="AD511" i="9"/>
  <c r="AD21" i="9"/>
  <c r="AD5" i="9"/>
  <c r="AD829" i="9"/>
  <c r="AD43" i="9"/>
  <c r="AD417" i="9"/>
  <c r="AD799" i="9"/>
  <c r="AD20" i="9"/>
  <c r="AD585" i="9"/>
  <c r="AD219" i="9"/>
  <c r="AD520" i="9"/>
  <c r="AD360" i="9"/>
  <c r="AD222" i="9"/>
  <c r="AD590" i="9"/>
  <c r="AD411" i="9"/>
  <c r="AD128" i="9"/>
  <c r="AD101" i="9"/>
  <c r="AD545" i="9"/>
  <c r="AD512" i="9"/>
  <c r="AD351" i="9"/>
  <c r="AD664" i="9"/>
  <c r="AD400" i="9"/>
  <c r="AD286" i="9"/>
  <c r="AD226" i="9"/>
  <c r="AD283" i="9"/>
  <c r="AD194" i="9"/>
  <c r="AD132" i="9"/>
  <c r="AD188" i="9"/>
  <c r="AD276" i="9"/>
  <c r="AD245" i="9"/>
  <c r="AD446" i="9"/>
  <c r="AD159" i="9"/>
  <c r="AD396" i="9"/>
  <c r="AD179" i="9"/>
  <c r="AD280" i="9"/>
  <c r="AD441" i="9"/>
  <c r="AD549" i="9"/>
  <c r="AD487" i="9"/>
  <c r="AD791" i="9"/>
  <c r="AD384" i="9"/>
  <c r="AD313" i="9"/>
  <c r="AD258" i="9"/>
  <c r="AD409" i="9"/>
  <c r="AD423" i="9"/>
  <c r="AD422" i="9"/>
  <c r="AD413" i="9"/>
  <c r="AD355" i="9"/>
  <c r="AD541" i="9"/>
  <c r="AD338" i="9"/>
  <c r="AD221" i="9"/>
  <c r="AD353" i="9"/>
  <c r="AD357" i="9"/>
  <c r="AD436" i="9"/>
  <c r="AD588" i="9"/>
  <c r="AD380" i="9"/>
  <c r="AD542" i="9"/>
  <c r="AD325" i="9"/>
  <c r="AD183" i="9"/>
  <c r="AD463" i="9"/>
  <c r="AD486" i="9"/>
  <c r="AD209" i="9"/>
  <c r="AD345" i="9"/>
  <c r="AD29" i="9"/>
  <c r="AD467" i="9"/>
  <c r="AD621" i="9"/>
  <c r="AD616" i="9"/>
  <c r="AD774" i="9"/>
  <c r="AD474" i="9"/>
  <c r="AD691" i="9"/>
  <c r="AD421" i="9"/>
  <c r="AD434" i="9"/>
  <c r="AD317" i="9"/>
  <c r="AD237" i="9"/>
  <c r="AD354" i="9"/>
  <c r="AD139" i="9"/>
  <c r="AD329" i="9"/>
  <c r="AD594" i="9"/>
  <c r="AD233" i="9"/>
  <c r="AD489" i="9"/>
  <c r="AD445" i="9"/>
  <c r="AD319" i="9"/>
  <c r="AD71" i="9"/>
  <c r="AD69" i="9"/>
  <c r="AD117" i="9"/>
  <c r="AD67" i="9"/>
  <c r="AD203" i="9"/>
  <c r="AD205" i="9"/>
  <c r="AD641" i="9"/>
  <c r="AD583" i="9"/>
  <c r="AD383" i="9"/>
  <c r="AD460" i="9"/>
  <c r="AD515" i="9"/>
  <c r="AD331" i="9"/>
  <c r="AD498" i="9"/>
  <c r="AD748" i="9"/>
  <c r="AD314" i="9"/>
  <c r="AD632" i="9"/>
  <c r="AD406" i="9"/>
  <c r="AD805" i="9"/>
  <c r="AD501" i="9"/>
  <c r="AD335" i="9"/>
  <c r="AD741" i="9"/>
  <c r="AD462" i="9"/>
  <c r="AD100" i="9"/>
  <c r="AD569" i="9"/>
  <c r="AD403" i="9"/>
  <c r="AD484" i="9"/>
  <c r="AD336" i="9"/>
  <c r="AD472" i="9"/>
  <c r="AD481" i="9"/>
  <c r="AD145" i="9"/>
  <c r="AD75" i="9"/>
  <c r="AD461" i="9"/>
  <c r="AD295" i="9"/>
  <c r="AD320" i="9"/>
  <c r="AD575" i="9"/>
  <c r="AD407" i="9"/>
  <c r="AD618" i="9"/>
  <c r="AD239" i="9"/>
  <c r="AD612" i="9"/>
  <c r="AD334" i="9"/>
  <c r="AD374" i="9"/>
  <c r="AD220" i="9"/>
  <c r="AD225" i="9"/>
  <c r="AD45" i="9"/>
  <c r="AD77" i="9"/>
  <c r="AD738" i="9"/>
  <c r="AD443" i="9"/>
  <c r="AD703" i="9"/>
  <c r="AD636" i="9"/>
  <c r="AD399" i="9"/>
  <c r="AD551" i="9"/>
  <c r="AD697" i="9"/>
  <c r="AD160" i="9"/>
  <c r="AD274" i="9"/>
  <c r="AD404" i="9"/>
  <c r="AD557" i="9"/>
  <c r="AD622" i="9"/>
  <c r="AD307" i="9"/>
  <c r="AD624" i="9"/>
  <c r="AD508" i="9"/>
  <c r="AD250" i="9"/>
  <c r="AD217" i="9"/>
  <c r="AD157" i="9"/>
  <c r="AD120" i="9"/>
  <c r="AD131" i="9"/>
  <c r="AD193" i="9"/>
  <c r="AD363" i="9"/>
  <c r="AD533" i="9"/>
  <c r="AD710" i="9"/>
  <c r="AD426" i="9"/>
  <c r="AD496" i="9"/>
  <c r="AD746" i="9"/>
  <c r="AD479" i="9"/>
  <c r="AD558" i="9"/>
  <c r="AD442" i="9"/>
  <c r="AD164" i="9"/>
  <c r="AD457" i="9"/>
  <c r="AD503" i="9"/>
  <c r="AD821" i="9"/>
  <c r="AD584" i="9"/>
  <c r="AD499" i="9"/>
  <c r="AD373" i="9"/>
  <c r="AD806" i="9"/>
  <c r="AD547" i="9"/>
  <c r="AD728" i="9"/>
  <c r="AD534" i="9"/>
  <c r="AD579" i="9"/>
  <c r="AD350" i="9"/>
  <c r="AD573" i="9"/>
  <c r="AD578" i="9"/>
  <c r="AD815" i="9"/>
  <c r="AD681" i="9"/>
  <c r="AD826" i="9"/>
  <c r="AD665" i="9"/>
  <c r="AD469" i="9"/>
  <c r="AD735" i="9"/>
  <c r="AD796" i="9"/>
  <c r="AD528" i="9"/>
  <c r="AD379" i="9"/>
  <c r="AD387" i="9"/>
  <c r="AD297" i="9"/>
  <c r="AD154" i="9"/>
  <c r="AD281" i="9"/>
  <c r="AD410" i="9"/>
  <c r="AD344" i="9"/>
  <c r="AD488" i="9"/>
  <c r="AD523" i="9"/>
  <c r="AD807" i="9"/>
  <c r="AD767" i="9"/>
  <c r="AD633" i="9"/>
  <c r="AD613" i="9"/>
  <c r="AD715" i="9"/>
  <c r="AD698" i="9"/>
  <c r="AD713" i="9"/>
  <c r="AD784" i="9"/>
  <c r="AD692" i="9"/>
  <c r="AD670" i="9"/>
  <c r="AD563" i="9"/>
  <c r="AD709" i="9"/>
  <c r="AD672" i="9"/>
  <c r="AD803" i="9"/>
  <c r="AD358" i="9"/>
  <c r="AD208" i="9"/>
  <c r="AD475" i="9"/>
  <c r="AD614" i="9"/>
  <c r="AD586" i="9"/>
  <c r="AD102" i="9"/>
  <c r="AD376" i="9"/>
  <c r="AD210" i="9"/>
  <c r="AD89" i="9"/>
  <c r="AD46" i="9"/>
  <c r="AD53" i="9"/>
  <c r="AD241" i="9"/>
  <c r="AD61" i="9"/>
  <c r="AD311" i="9"/>
  <c r="AD170" i="9"/>
  <c r="AD47" i="9"/>
  <c r="AD74" i="9"/>
  <c r="AD59" i="9"/>
  <c r="AD79" i="9"/>
  <c r="AD112" i="9"/>
  <c r="AD126" i="9"/>
  <c r="AD54" i="9"/>
  <c r="AD299" i="9"/>
  <c r="AD121" i="9"/>
  <c r="AD111" i="9"/>
  <c r="AD148" i="9"/>
  <c r="AD22" i="9"/>
  <c r="AD85" i="9"/>
  <c r="AD127" i="9"/>
  <c r="AD78" i="9"/>
  <c r="AD269" i="9"/>
  <c r="AD19" i="9"/>
  <c r="AD296" i="9"/>
  <c r="AD66" i="9"/>
  <c r="AD270" i="9"/>
  <c r="AD609" i="9"/>
  <c r="AD215" i="9"/>
  <c r="AD44" i="9"/>
  <c r="AD440" i="9"/>
  <c r="AD337" i="9"/>
  <c r="AD382" i="9"/>
  <c r="AD300" i="9"/>
  <c r="AD218" i="9"/>
  <c r="AD346" i="9"/>
  <c r="AD155" i="9"/>
  <c r="AD63" i="9"/>
  <c r="AD3" i="9"/>
  <c r="AD11" i="9"/>
  <c r="AD730" i="9"/>
  <c r="AD646" i="9"/>
  <c r="AD15" i="9"/>
  <c r="AD10" i="9"/>
  <c r="AD50" i="9"/>
  <c r="AD41" i="9"/>
  <c r="AD289" i="9"/>
  <c r="AD17" i="9"/>
  <c r="AD305" i="9"/>
  <c r="AD135" i="9"/>
  <c r="AD23" i="9"/>
  <c r="AD57" i="9"/>
  <c r="AD284" i="9"/>
  <c r="AD248" i="9"/>
  <c r="AD56" i="9"/>
  <c r="AD298" i="9"/>
  <c r="AD195" i="9"/>
  <c r="AD31" i="9"/>
  <c r="AD104" i="9"/>
  <c r="AD213" i="9"/>
  <c r="AD9" i="9"/>
  <c r="AD478" i="9"/>
  <c r="AD30" i="9"/>
  <c r="AD231" i="9"/>
  <c r="AD51" i="9"/>
  <c r="AD668" i="9"/>
  <c r="AD25" i="9"/>
  <c r="AD240" i="9"/>
  <c r="AD185" i="9"/>
  <c r="AD235" i="9"/>
  <c r="AD16" i="9"/>
  <c r="AD37" i="9"/>
  <c r="AD134" i="9"/>
  <c r="AD431" i="9"/>
  <c r="AD302" i="9"/>
  <c r="AD310" i="9"/>
  <c r="AD362" i="9"/>
  <c r="AD172" i="9"/>
  <c r="AD342" i="9"/>
  <c r="AD375" i="9"/>
  <c r="AD49" i="9"/>
  <c r="AD326" i="9"/>
  <c r="AD163" i="9"/>
  <c r="AD166" i="9"/>
  <c r="AD149" i="9"/>
  <c r="AD577" i="9"/>
  <c r="AD392" i="9"/>
  <c r="AD365" i="9"/>
  <c r="AD144" i="9"/>
  <c r="AD138" i="9"/>
  <c r="AD137" i="9"/>
  <c r="AD70" i="9"/>
  <c r="AD82" i="9"/>
  <c r="AD415" i="9"/>
  <c r="AD234" i="9"/>
  <c r="AD228" i="9"/>
  <c r="AD330" i="9"/>
  <c r="AD303" i="9"/>
  <c r="AD260" i="9"/>
  <c r="AD86" i="9"/>
  <c r="AD181" i="9"/>
  <c r="AD136" i="9"/>
  <c r="AD625" i="9"/>
  <c r="AD206" i="9"/>
  <c r="AD129" i="9"/>
  <c r="AD204" i="9"/>
  <c r="AD252" i="9"/>
  <c r="AD48" i="9"/>
  <c r="AD531" i="9"/>
  <c r="AD372" i="9"/>
  <c r="AD262" i="9"/>
  <c r="AD356" i="9"/>
  <c r="AD315" i="9"/>
  <c r="AD359" i="9"/>
  <c r="AD122" i="9"/>
  <c r="AD506" i="9"/>
  <c r="AD556" i="9"/>
  <c r="AD187" i="9"/>
  <c r="AD717" i="9"/>
  <c r="AD596" i="9"/>
  <c r="AD643" i="9"/>
  <c r="AD377" i="9"/>
  <c r="AD202" i="9"/>
  <c r="AD36" i="9"/>
  <c r="AD263" i="9"/>
  <c r="AD397" i="9"/>
  <c r="AD453" i="9"/>
  <c r="AD368" i="9"/>
  <c r="AD495" i="9"/>
  <c r="AD485" i="9"/>
  <c r="AD567" i="9"/>
  <c r="AD412" i="9"/>
  <c r="AD259" i="9"/>
  <c r="AD40" i="9"/>
  <c r="AD468" i="9"/>
  <c r="AD416" i="9"/>
  <c r="AD256" i="9"/>
  <c r="AD492" i="9"/>
  <c r="AD587" i="9"/>
  <c r="AD339" i="9"/>
  <c r="AD88" i="9"/>
  <c r="AD192" i="9"/>
  <c r="AD540" i="9"/>
  <c r="AD424" i="9"/>
  <c r="AD95" i="9"/>
  <c r="AD93" i="9"/>
  <c r="AD58" i="9"/>
  <c r="AD84" i="9"/>
  <c r="AD98" i="9"/>
  <c r="AD81" i="9"/>
  <c r="AD80" i="9"/>
  <c r="AD60" i="9"/>
  <c r="AD439" i="9"/>
  <c r="AD116" i="9"/>
  <c r="AD255" i="9"/>
  <c r="AD103" i="9"/>
  <c r="AD73" i="9"/>
  <c r="AD265" i="9"/>
  <c r="AD223" i="9"/>
  <c r="AD115" i="9"/>
  <c r="AD414" i="9"/>
  <c r="AD561" i="9"/>
  <c r="AD425" i="9"/>
  <c r="AD465" i="9"/>
  <c r="AD602" i="9"/>
  <c r="AD525" i="9"/>
  <c r="AD494" i="9"/>
  <c r="AD677" i="9"/>
  <c r="AD306" i="9"/>
  <c r="AD480" i="9"/>
  <c r="AD675" i="9"/>
  <c r="AD655" i="9"/>
  <c r="AD744" i="9"/>
  <c r="AD568" i="9"/>
  <c r="AD536" i="9"/>
  <c r="AD648" i="9"/>
  <c r="AD615" i="9"/>
  <c r="AD477" i="9"/>
  <c r="AD190" i="9"/>
  <c r="AD152" i="9"/>
  <c r="AD141" i="9"/>
  <c r="AD91" i="9"/>
  <c r="AD268" i="9"/>
  <c r="AD198" i="9"/>
  <c r="AD83" i="9"/>
  <c r="AD125" i="9"/>
  <c r="AD65" i="9"/>
  <c r="AD277" i="9"/>
  <c r="AD94" i="9"/>
  <c r="AD108" i="9"/>
  <c r="AD52" i="9"/>
  <c r="AD96" i="9"/>
  <c r="AD369" i="9"/>
  <c r="AD196" i="9"/>
  <c r="AD212" i="9"/>
  <c r="AD99" i="9"/>
  <c r="AD430" i="9"/>
  <c r="AD394" i="9"/>
  <c r="AD199" i="9"/>
  <c r="AD140" i="9"/>
  <c r="AD391" i="9"/>
  <c r="AD146" i="9"/>
  <c r="AD38" i="9"/>
  <c r="AD105" i="9"/>
  <c r="AD180" i="9"/>
  <c r="AD243" i="9"/>
  <c r="AD186" i="9"/>
  <c r="AD173" i="9"/>
  <c r="AD167" i="9"/>
  <c r="AD72" i="9"/>
  <c r="AD106" i="9"/>
  <c r="AD279" i="9"/>
  <c r="AD254" i="9"/>
  <c r="AD316" i="9"/>
  <c r="AD251" i="9"/>
  <c r="AD165" i="9"/>
  <c r="AD207" i="9"/>
  <c r="AD178" i="9"/>
  <c r="AD161" i="9"/>
  <c r="AD191" i="9"/>
  <c r="AD151" i="9"/>
  <c r="AD7" i="9"/>
  <c r="AD6" i="9"/>
  <c r="AD35" i="9"/>
  <c r="AD371" i="9"/>
  <c r="AD110" i="9"/>
  <c r="AD433" i="9"/>
  <c r="AD321" i="9"/>
  <c r="AD118" i="9"/>
  <c r="AD76" i="9"/>
  <c r="AD169" i="9"/>
  <c r="AD147" i="9"/>
  <c r="AD150" i="9"/>
  <c r="AD13" i="9"/>
  <c r="AD200" i="9"/>
  <c r="AD341" i="9"/>
  <c r="AD793" i="9"/>
  <c r="AD448" i="9"/>
  <c r="AD435" i="9"/>
  <c r="AD62" i="9"/>
  <c r="AD514" i="9"/>
  <c r="AD291" i="9"/>
  <c r="AD267" i="9"/>
  <c r="AD266" i="9"/>
  <c r="AD288" i="9"/>
  <c r="AD535" i="9"/>
  <c r="AD348" i="9"/>
  <c r="AD143" i="9"/>
  <c r="AD177" i="9"/>
  <c r="AD466" i="9"/>
  <c r="AD386" i="9"/>
  <c r="AD224" i="9"/>
  <c r="AD123" i="9"/>
  <c r="AD332" i="9"/>
  <c r="AD509" i="9"/>
  <c r="AD211" i="9"/>
  <c r="AD109" i="9"/>
  <c r="AD483" i="9"/>
  <c r="AD538" i="9"/>
  <c r="AD124" i="9"/>
  <c r="AD2" i="9"/>
  <c r="AD322" i="9"/>
  <c r="AD546" i="9"/>
  <c r="AD631" i="9"/>
  <c r="AD524" i="9"/>
  <c r="AD253" i="9"/>
  <c r="AD257" i="9"/>
  <c r="AD402" i="9"/>
  <c r="AF402" i="9"/>
  <c r="AD866" i="9" l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F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Les x/y étant inversés dans le fichier d'origine, ici les x correspondent aux y du fichier initial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<sst xmlns="http://schemas.openxmlformats.org/spreadsheetml/2006/main" count="12855" uniqueCount="8502">
  <si>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</si>
  <si>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</si>
  <si>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</si>
  <si>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</si>
  <si>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</si>
  <si>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</si>
  <si>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</si>
  <si>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</si>
  <si>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</si>
  <si>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</si>
  <si>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</si>
  <si>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</si>
  <si>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</si>
  <si>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</si>
  <si>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</si>
  <si>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</si>
  <si>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</si>
  <si>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</si>
  <si>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</si>
  <si>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</si>
  <si>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</si>
  <si>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</si>
  <si>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</si>
  <si>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</si>
  <si>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</si>
  <si>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</si>
  <si>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</si>
  <si>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</si>
  <si>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</si>
  <si>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</si>
  <si>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</si>
  <si>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</si>
  <si>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</si>
  <si>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</si>
  <si>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</si>
  <si>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</si>
  <si>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</si>
  <si>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</si>
  <si>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</si>
  <si>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</si>
  <si>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</si>
  <si>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</si>
  <si>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</si>
  <si>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</si>
  <si>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</si>
  <si>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</si>
  <si>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</si>
  <si>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</si>
  <si>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</si>
  <si>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</si>
  <si>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</si>
  <si>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</si>
  <si>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</si>
  <si>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</si>
  <si>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</si>
  <si>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</si>
  <si>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</si>
  <si>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</si>
  <si>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</si>
  <si>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</si>
  <si>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</si>
  <si>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</si>
  <si>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</si>
  <si>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</si>
  <si>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</si>
  <si>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</si>
  <si>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</si>
  <si>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</si>
  <si>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</si>
  <si>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</si>
  <si>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</si>
  <si>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</si>
  <si>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</si>
  <si>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</si>
  <si>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</si>
  <si>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</si>
  <si>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</si>
  <si>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</si>
  <si>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</si>
  <si>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</si>
  <si>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</si>
  <si>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</si>
  <si>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</si>
  <si>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</si>
  <si>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</si>
  <si>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</si>
  <si>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</si>
  <si>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</si>
  <si>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</si>
  <si>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</si>
  <si>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</si>
  <si>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</si>
  <si>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</si>
  <si>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</si>
  <si>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</si>
  <si>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</si>
  <si>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</si>
  <si>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</si>
  <si>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</si>
  <si>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</si>
  <si>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</si>
  <si>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</si>
  <si>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</si>
  <si>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</si>
  <si>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</si>
  <si>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</si>
  <si>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</si>
  <si>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</si>
  <si>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</si>
  <si>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</si>
  <si>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</si>
  <si>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</si>
  <si>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</si>
  <si>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</si>
  <si>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</si>
  <si>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</si>
  <si>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</si>
  <si>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</si>
  <si>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</si>
  <si>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</si>
  <si>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</si>
  <si>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</si>
  <si>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</si>
  <si>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</si>
  <si>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</si>
  <si>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</si>
  <si>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</si>
  <si>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</si>
  <si>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</si>
  <si>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</si>
  <si>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</si>
  <si>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</si>
  <si>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</si>
  <si>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</si>
  <si>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</si>
  <si>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</si>
  <si>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</si>
  <si>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</si>
  <si>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</si>
  <si>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</si>
  <si>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</si>
  <si>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</si>
  <si>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</si>
  <si>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</si>
  <si>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</si>
  <si>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</si>
  <si>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</si>
  <si>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</si>
  <si>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</si>
  <si>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</si>
  <si>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</si>
  <si>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</si>
  <si>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</si>
  <si>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</si>
  <si>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</si>
  <si>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</si>
  <si>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</si>
  <si>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</si>
  <si>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</si>
  <si>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</si>
  <si>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</si>
  <si>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</si>
  <si>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</si>
  <si>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</si>
  <si>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</si>
  <si>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</si>
  <si>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</si>
  <si>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</si>
  <si>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</si>
  <si>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</si>
  <si>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</si>
  <si>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</si>
  <si>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</si>
  <si>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</si>
  <si>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</si>
  <si>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</si>
  <si>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</si>
  <si>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</si>
  <si>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</si>
  <si>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</si>
  <si>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</si>
  <si>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</si>
  <si>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</si>
  <si>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</si>
  <si>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</si>
  <si>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</si>
  <si>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</si>
  <si>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</si>
  <si>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</si>
  <si>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</si>
  <si>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</si>
  <si>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</si>
  <si>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</si>
  <si>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</si>
  <si>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</si>
  <si>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</si>
  <si>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</si>
  <si>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</si>
  <si>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</si>
  <si>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</si>
  <si>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</si>
  <si>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</si>
  <si>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</si>
  <si>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</si>
  <si>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</si>
  <si>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</si>
  <si>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</si>
  <si>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</si>
  <si>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</si>
  <si>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</si>
  <si>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</si>
  <si>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</si>
  <si>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</si>
  <si>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</si>
  <si>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</si>
  <si>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</si>
  <si>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</si>
  <si>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</si>
  <si>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</si>
  <si>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</si>
  <si>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</si>
  <si>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</si>
  <si>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</si>
  <si>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</si>
  <si>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</si>
  <si>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</si>
  <si>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</si>
  <si>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</si>
  <si>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</si>
  <si>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</si>
  <si>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</si>
  <si>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</si>
  <si>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</si>
  <si>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</si>
  <si>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</si>
  <si>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</si>
  <si>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</si>
  <si>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</si>
  <si>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</si>
  <si>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</si>
  <si>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</si>
  <si>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</si>
  <si>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</si>
  <si>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</si>
  <si>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Nesi</t>
  </si>
  <si>
    <t>Nathalie</t>
  </si>
  <si>
    <t>nathalie.nesi@rennes.inra.fr</t>
  </si>
  <si>
    <t>IGEPP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</si>
  <si>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</si>
  <si>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</si>
  <si>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</si>
  <si>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</si>
  <si>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</si>
  <si>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</si>
  <si>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</si>
  <si>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</si>
  <si>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</si>
  <si>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</si>
  <si>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</si>
  <si>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</si>
  <si>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</si>
  <si>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</si>
  <si>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</si>
  <si>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</si>
  <si>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</si>
  <si>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</si>
  <si>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</si>
  <si>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</si>
  <si>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</si>
  <si>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</si>
  <si>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</si>
  <si>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</si>
  <si>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</si>
  <si>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</si>
  <si>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</si>
  <si>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</si>
  <si>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</si>
  <si>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</si>
  <si>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</si>
  <si>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</si>
  <si>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</si>
  <si>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</si>
  <si>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</si>
  <si>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</si>
  <si>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</si>
  <si>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</si>
  <si>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</si>
  <si>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</si>
  <si>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</si>
  <si>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</si>
  <si>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</si>
  <si>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</si>
  <si>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</si>
  <si>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</si>
  <si>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</si>
  <si>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</si>
  <si>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</si>
  <si>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</si>
  <si>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</si>
  <si>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</si>
  <si>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</si>
  <si>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</si>
  <si>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</si>
  <si>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</si>
  <si>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</si>
  <si>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</si>
  <si>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</si>
  <si>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</si>
  <si>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</si>
  <si>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</si>
  <si>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</si>
  <si>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</si>
  <si>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</si>
  <si>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</si>
  <si>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</si>
  <si>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</si>
  <si>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</si>
  <si>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</si>
  <si>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</si>
  <si>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</si>
  <si>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</si>
  <si>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</si>
  <si>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</si>
  <si>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</si>
  <si>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</si>
  <si>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</si>
  <si>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</si>
  <si>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</si>
  <si>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</si>
  <si>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</si>
  <si>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</si>
  <si>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</si>
  <si>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</si>
  <si>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</si>
  <si>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</si>
  <si>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</si>
  <si>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</si>
  <si>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</si>
  <si>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</si>
  <si>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</si>
  <si>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</si>
  <si>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</si>
  <si>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</si>
  <si>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</si>
  <si>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</si>
  <si>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</si>
  <si>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</si>
  <si>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</si>
  <si>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</si>
  <si>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</si>
  <si>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</si>
  <si>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</si>
  <si>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</si>
  <si>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</si>
  <si>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</si>
  <si>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</si>
  <si>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</si>
  <si>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</si>
  <si>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</si>
  <si>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</si>
  <si>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</si>
  <si>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</si>
  <si>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</si>
  <si>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</si>
  <si>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</si>
  <si>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</si>
  <si>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</si>
  <si>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</si>
  <si>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</si>
  <si>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</si>
  <si>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</si>
  <si>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</si>
  <si>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</si>
  <si>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</si>
  <si>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</si>
  <si>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</si>
  <si>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</si>
  <si>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</si>
  <si>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</si>
  <si>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</si>
  <si>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</si>
  <si>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</si>
  <si>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</si>
  <si>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</si>
  <si>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</si>
  <si>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</si>
  <si>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</si>
  <si>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</si>
  <si>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</si>
  <si>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</si>
  <si>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</si>
  <si>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</si>
  <si>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</si>
  <si>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</si>
  <si>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</si>
  <si>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</si>
  <si>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</si>
  <si>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</si>
  <si>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</si>
  <si>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</si>
  <si>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</si>
  <si>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</si>
  <si>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</si>
  <si>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</si>
  <si>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</si>
  <si>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</si>
  <si>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</si>
  <si>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</si>
  <si>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</si>
  <si>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</si>
  <si>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</si>
  <si>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</si>
  <si>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</si>
  <si>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</si>
  <si>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</si>
  <si>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</si>
  <si>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</si>
  <si>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</si>
  <si>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</si>
  <si>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</si>
  <si>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</si>
  <si>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</si>
  <si>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</si>
  <si>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</si>
  <si>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</si>
  <si>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</si>
  <si>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</si>
  <si>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</si>
  <si>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</si>
  <si>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</si>
  <si>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</si>
  <si>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</si>
  <si>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</si>
  <si>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</si>
  <si>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</si>
  <si>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</si>
  <si>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</si>
  <si>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</si>
  <si>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</si>
  <si>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</si>
  <si>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</si>
  <si>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</si>
  <si>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</si>
  <si>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</si>
  <si>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</si>
  <si>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</si>
  <si>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</si>
  <si>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</si>
  <si>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</si>
  <si>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</si>
  <si>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</si>
  <si>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</si>
  <si>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</si>
  <si>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</si>
  <si>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</si>
  <si>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</si>
  <si>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</si>
  <si>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</si>
  <si>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</si>
  <si>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</si>
  <si>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</si>
  <si>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</si>
  <si>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</si>
  <si>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</si>
  <si>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</si>
  <si>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</si>
  <si>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</si>
  <si>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</si>
  <si>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</si>
  <si>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</si>
  <si>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</si>
  <si>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</si>
  <si>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</si>
  <si>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</si>
  <si>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</si>
  <si>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</si>
  <si>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</si>
  <si>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</si>
  <si>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</si>
  <si>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</si>
  <si>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</si>
  <si>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</si>
  <si>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</si>
  <si>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</si>
  <si>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</si>
  <si>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</si>
  <si>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</si>
  <si>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</si>
  <si>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</si>
  <si>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</si>
  <si>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</si>
  <si>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</si>
  <si>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</si>
  <si>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</si>
  <si>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</si>
  <si>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</si>
  <si>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</si>
  <si>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</si>
  <si>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</si>
  <si>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</si>
  <si>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</si>
  <si>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</si>
  <si>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</si>
  <si>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</si>
  <si>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</si>
  <si>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</si>
  <si>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</si>
  <si>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</si>
  <si>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</si>
  <si>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</si>
  <si>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</si>
  <si>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</si>
  <si>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</si>
  <si>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</si>
  <si>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</si>
  <si>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</si>
  <si>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</si>
  <si>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</si>
  <si>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</si>
  <si>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</si>
  <si>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</si>
  <si>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</si>
  <si>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</si>
  <si>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</si>
  <si>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</si>
  <si>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</si>
  <si>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</si>
  <si>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</si>
  <si>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</si>
  <si>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</si>
  <si>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</si>
  <si>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</si>
  <si>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</si>
  <si>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</si>
  <si>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</si>
  <si>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</si>
  <si>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</si>
  <si>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</si>
  <si>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</si>
  <si>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</si>
  <si>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</si>
  <si>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</si>
  <si>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</si>
  <si>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</si>
  <si>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</si>
  <si>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</si>
  <si>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</si>
  <si>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</si>
  <si>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</si>
  <si>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</si>
  <si>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</si>
  <si>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</si>
  <si>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</si>
  <si>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</si>
  <si>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</si>
  <si>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</si>
  <si>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</si>
  <si>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</si>
  <si>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</si>
  <si>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</si>
  <si>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</si>
  <si>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</si>
  <si>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</si>
  <si>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</si>
  <si>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</si>
  <si>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</si>
  <si>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</si>
  <si>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</si>
  <si>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</si>
  <si>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</si>
  <si>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</si>
  <si>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</si>
  <si>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</si>
  <si>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</si>
  <si>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</si>
  <si>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</si>
  <si>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</si>
  <si>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</si>
  <si>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</si>
  <si>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</si>
  <si>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</si>
  <si>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</si>
  <si>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</si>
  <si>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</si>
  <si>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</si>
  <si>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</si>
  <si>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</si>
  <si>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</si>
  <si>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</si>
  <si>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</si>
  <si>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</si>
  <si>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</si>
  <si>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</si>
  <si>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</si>
  <si>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</si>
  <si>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</si>
  <si>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</si>
  <si>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</si>
  <si>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</si>
  <si>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</si>
  <si>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</si>
  <si>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</si>
  <si>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</si>
  <si>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</si>
  <si>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</si>
  <si>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</si>
  <si>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</si>
  <si>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</si>
  <si>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</si>
  <si>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</si>
  <si>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</si>
  <si>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</si>
  <si>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</si>
  <si>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</si>
  <si>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</si>
  <si>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</si>
  <si>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</si>
  <si>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</si>
  <si>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</si>
  <si>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</si>
  <si>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</si>
  <si>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</si>
  <si>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</si>
  <si>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</si>
  <si>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</si>
  <si>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</si>
  <si>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</si>
  <si>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</si>
  <si>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</si>
  <si>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</si>
  <si>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</si>
  <si>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</si>
  <si>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</si>
  <si>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</si>
  <si>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</si>
  <si>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</si>
  <si>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</si>
  <si>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</si>
  <si>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</si>
  <si>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</si>
  <si>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</si>
  <si>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</si>
  <si>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</si>
  <si>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</si>
  <si>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</si>
  <si>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</si>
  <si>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</si>
  <si>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</si>
  <si>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</si>
  <si>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</si>
  <si>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</si>
  <si>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</si>
  <si>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</si>
  <si>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</si>
  <si>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</si>
  <si>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</si>
  <si>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</si>
  <si>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</si>
  <si>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</si>
  <si>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</si>
  <si>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</si>
  <si>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</si>
  <si>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</si>
  <si>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</si>
  <si>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</si>
  <si>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</si>
  <si>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</si>
  <si>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</si>
  <si>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</si>
  <si>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</si>
  <si>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</si>
  <si>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</si>
  <si>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</si>
  <si>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</si>
  <si>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</si>
  <si>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</si>
  <si>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</si>
  <si>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</si>
  <si>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</si>
  <si>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</si>
  <si>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</si>
  <si>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</si>
  <si>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</si>
  <si>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</si>
  <si>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</si>
  <si>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</si>
  <si>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</si>
  <si>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</si>
  <si>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</si>
  <si>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</si>
  <si>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</si>
  <si>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</si>
  <si>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</si>
  <si>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</si>
  <si>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</si>
  <si>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</si>
  <si>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</si>
  <si>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</si>
  <si>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</si>
  <si>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</si>
  <si>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</si>
  <si>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</si>
  <si>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</si>
  <si>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</si>
  <si>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</si>
  <si>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</si>
  <si>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</si>
  <si>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</si>
  <si>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</si>
  <si>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</si>
  <si>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</si>
  <si>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</si>
  <si>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</si>
  <si>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</si>
  <si>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</si>
  <si>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</si>
  <si>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</si>
  <si>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</si>
  <si>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</si>
  <si>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</si>
  <si>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</si>
  <si>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</si>
  <si>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</si>
  <si>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</si>
  <si>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</si>
  <si>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</si>
  <si>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</si>
  <si>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</si>
  <si>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</si>
  <si>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</si>
  <si>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</si>
  <si>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</si>
  <si>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</si>
  <si>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</si>
  <si>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</si>
  <si>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</si>
  <si>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</si>
  <si>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</si>
  <si>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</si>
  <si>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</si>
  <si>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</si>
  <si>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</si>
  <si>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</si>
  <si>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</si>
  <si>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</si>
  <si>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</si>
  <si>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</si>
  <si>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</si>
  <si>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</si>
  <si>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</si>
  <si>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</si>
  <si>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</si>
  <si>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</si>
  <si>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</si>
  <si>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</si>
  <si>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</si>
  <si>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</si>
  <si>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</si>
  <si>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</si>
  <si>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</si>
  <si>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</si>
  <si>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</si>
  <si>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</si>
  <si>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</si>
  <si>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</si>
  <si>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</si>
  <si>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</si>
  <si>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</si>
  <si>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</si>
  <si>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</si>
  <si>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</si>
  <si>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</si>
  <si>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</si>
  <si>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</si>
  <si>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</si>
  <si>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</si>
  <si>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</si>
  <si>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</si>
  <si>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</si>
  <si>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</si>
  <si>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</si>
  <si>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</si>
  <si>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</si>
  <si>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</si>
  <si>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</si>
  <si>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</si>
  <si>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</si>
  <si>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</si>
  <si>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</si>
  <si>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</si>
  <si>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</si>
  <si>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</si>
  <si>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</si>
  <si>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</si>
  <si>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</si>
  <si>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</si>
  <si>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</si>
  <si>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</si>
  <si>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</si>
  <si>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</si>
  <si>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</si>
  <si>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</si>
  <si>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</si>
  <si>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</si>
  <si>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</si>
  <si>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</si>
  <si>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</si>
  <si>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</si>
  <si>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</si>
  <si>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</si>
  <si>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</si>
  <si>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</si>
  <si>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</si>
  <si>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</si>
  <si>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</si>
  <si>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</si>
  <si>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</si>
  <si>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</si>
  <si>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</si>
  <si>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</si>
  <si>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</si>
  <si>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</si>
  <si>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</si>
  <si>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</si>
  <si>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</si>
  <si>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</si>
  <si>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</si>
  <si>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</si>
  <si>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</si>
  <si>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</si>
  <si>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</si>
  <si>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</si>
  <si>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</si>
  <si>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</si>
  <si>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</si>
  <si>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</si>
  <si>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</si>
  <si>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</si>
  <si>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</si>
  <si>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</si>
  <si>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</si>
  <si>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</si>
  <si>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</si>
  <si>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</si>
  <si>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</si>
  <si>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</si>
  <si>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</si>
  <si>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</si>
  <si>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</si>
  <si>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</si>
  <si>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</si>
  <si>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</si>
  <si>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</si>
  <si>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</si>
  <si>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</si>
  <si>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</si>
  <si>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</si>
  <si>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</si>
  <si>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</si>
  <si>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</si>
  <si>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</si>
  <si>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</si>
  <si>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</si>
  <si>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</si>
  <si>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</si>
  <si>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</si>
  <si>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</si>
  <si>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</si>
  <si>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</si>
  <si>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</si>
  <si>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</si>
  <si>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</si>
  <si>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</si>
  <si>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</si>
  <si>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</si>
  <si>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</si>
  <si>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</si>
  <si>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</si>
  <si>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</si>
  <si>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</si>
  <si>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</si>
  <si>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</si>
  <si>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</si>
  <si>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</si>
  <si>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</si>
  <si>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</si>
  <si>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</si>
  <si>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</si>
  <si>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</si>
  <si>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</si>
  <si>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</si>
  <si>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</si>
  <si>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</si>
  <si>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</si>
  <si>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</si>
  <si>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</si>
  <si>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</si>
  <si>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</si>
  <si>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</si>
  <si>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</si>
  <si>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</si>
  <si>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</si>
  <si>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</si>
  <si>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</si>
  <si>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</si>
  <si>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</si>
  <si>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</si>
  <si>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</si>
  <si>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</si>
  <si>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</si>
  <si>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</si>
  <si>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</si>
  <si>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</si>
  <si>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</si>
  <si>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</si>
  <si>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</si>
  <si>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</si>
  <si>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</si>
  <si>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</si>
  <si>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</si>
  <si>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</si>
  <si>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</si>
  <si>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</si>
  <si>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</si>
  <si>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</si>
  <si>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</si>
  <si>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</si>
  <si>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</si>
  <si>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</si>
  <si>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</si>
  <si>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</si>
  <si>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</si>
  <si>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</si>
  <si>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</si>
  <si>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</si>
  <si>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</si>
  <si>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</si>
  <si>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</si>
  <si>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</si>
  <si>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</si>
  <si>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</si>
  <si>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</si>
  <si>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</si>
  <si>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</si>
  <si>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</si>
  <si>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</si>
  <si>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</si>
  <si>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</si>
  <si>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</si>
  <si>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</si>
  <si>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</si>
  <si>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</si>
  <si>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</si>
  <si>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</si>
  <si>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</si>
  <si>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</si>
  <si>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</si>
  <si>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</si>
  <si>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</si>
  <si>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</si>
  <si>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</si>
  <si>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</si>
  <si>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</si>
  <si>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</si>
  <si>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</si>
  <si>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</si>
  <si>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</si>
  <si>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</si>
  <si>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</si>
  <si>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</si>
  <si>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</si>
  <si>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</si>
  <si>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</si>
  <si>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</si>
  <si>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</si>
  <si>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</si>
  <si>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</si>
  <si>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</si>
  <si>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</si>
  <si>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</si>
  <si>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</si>
  <si>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</si>
  <si>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</si>
  <si>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</si>
  <si>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</si>
  <si>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</si>
  <si>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</si>
  <si>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</si>
  <si>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</si>
  <si>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</si>
  <si>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</si>
  <si>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</si>
  <si>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</si>
  <si>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</si>
  <si>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</si>
  <si>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</si>
  <si>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</si>
  <si>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</si>
  <si>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</si>
  <si>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</si>
  <si>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</si>
  <si>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</si>
  <si>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</si>
  <si>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</si>
  <si>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</si>
  <si>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</si>
  <si>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</si>
  <si>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</si>
  <si>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</si>
  <si>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</si>
  <si>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</si>
  <si>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</si>
  <si>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</si>
  <si>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</si>
  <si>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</si>
  <si>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</si>
  <si>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</si>
  <si>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</si>
  <si>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</si>
  <si>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</si>
  <si>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</si>
  <si>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</si>
  <si>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</si>
  <si>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</si>
  <si>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</si>
  <si>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</si>
  <si>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</si>
  <si>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</si>
  <si>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</si>
  <si>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</si>
  <si>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</si>
  <si>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</si>
  <si>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</si>
  <si>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</si>
  <si>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</si>
  <si>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</si>
  <si>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</si>
  <si>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</si>
  <si>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</si>
  <si>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</si>
  <si>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</si>
  <si>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</si>
  <si>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</si>
  <si>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</si>
  <si>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</si>
  <si>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</si>
  <si>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</si>
  <si>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</si>
  <si>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</si>
  <si>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</si>
  <si>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</si>
  <si>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</si>
  <si>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</si>
  <si>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</si>
  <si>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</si>
  <si>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</si>
  <si>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</si>
  <si>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</si>
  <si>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</si>
  <si>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</si>
  <si>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</si>
  <si>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</si>
  <si>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</si>
  <si>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</si>
  <si>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</si>
  <si>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</si>
  <si>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</si>
  <si>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</si>
  <si>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</si>
  <si>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</si>
  <si>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</si>
  <si>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</si>
  <si>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</si>
  <si>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</si>
  <si>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</si>
  <si>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</si>
  <si>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</si>
  <si>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</si>
  <si>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</si>
  <si>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</si>
  <si>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</si>
  <si>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</si>
  <si>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</si>
  <si>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</si>
  <si>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</si>
  <si>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</si>
  <si>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</si>
  <si>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</si>
  <si>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</si>
  <si>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</si>
  <si>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</si>
  <si>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</si>
  <si>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</si>
  <si>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</si>
  <si>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</si>
  <si>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</si>
  <si>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</si>
  <si>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</si>
  <si>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</si>
  <si>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</si>
  <si>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</si>
  <si>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</si>
  <si>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</si>
  <si>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</si>
  <si>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</si>
  <si>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</si>
  <si>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</si>
  <si>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</si>
  <si>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</si>
  <si>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</si>
  <si>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</si>
  <si>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</si>
  <si>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</si>
  <si>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</si>
  <si>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</si>
  <si>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</si>
  <si>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</si>
  <si>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</si>
  <si>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</si>
  <si>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</si>
  <si>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</si>
  <si>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</si>
  <si>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</si>
  <si>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</si>
  <si>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</si>
  <si>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</si>
  <si>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</si>
  <si>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</si>
  <si>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</si>
  <si>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</si>
  <si>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</si>
  <si>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</si>
  <si>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</si>
  <si>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</si>
  <si>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</si>
  <si>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</si>
  <si>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</si>
  <si>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</si>
  <si>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</si>
  <si>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</si>
  <si>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</si>
  <si>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</si>
  <si>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</si>
  <si>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</si>
  <si>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</si>
  <si>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</si>
  <si>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</si>
  <si>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</si>
  <si>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</si>
  <si>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</si>
  <si>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</si>
  <si>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</si>
  <si>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</si>
  <si>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</si>
  <si>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</si>
  <si>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</si>
  <si>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</si>
  <si>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</si>
  <si>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</si>
  <si>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</si>
  <si>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</si>
  <si>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</si>
  <si>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</si>
  <si>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</si>
  <si>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</si>
  <si>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</si>
  <si>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</si>
  <si>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</si>
  <si>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</si>
  <si>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</si>
  <si>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</si>
  <si>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</si>
  <si>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</si>
  <si>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</si>
  <si>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</si>
  <si>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</si>
  <si>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</si>
  <si>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</si>
  <si>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</si>
  <si>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</si>
  <si>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</si>
  <si>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</si>
  <si>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</si>
  <si>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</si>
  <si>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</si>
  <si>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</si>
  <si>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</si>
  <si>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</si>
  <si>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</si>
  <si>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</si>
  <si>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</si>
  <si>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</si>
  <si>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</si>
  <si>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</si>
  <si>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</si>
  <si>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</si>
  <si>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</si>
  <si>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</si>
  <si>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</si>
  <si>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</si>
  <si>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</si>
  <si>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</si>
  <si>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</si>
  <si>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</si>
  <si>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</si>
  <si>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</si>
  <si>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</si>
  <si>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</si>
  <si>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</si>
  <si>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</si>
  <si>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</si>
  <si>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</si>
  <si>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</si>
  <si>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</si>
  <si>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</si>
  <si>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</si>
  <si>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</si>
  <si>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</si>
  <si>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</si>
  <si>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</si>
  <si>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</si>
  <si>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</si>
  <si>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</si>
  <si>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</si>
  <si>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</si>
  <si>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</si>
  <si>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</si>
  <si>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</si>
  <si>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</si>
  <si>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</si>
  <si>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</si>
  <si>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</si>
  <si>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</si>
  <si>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</si>
  <si>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</si>
  <si>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</si>
  <si>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</si>
  <si>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</si>
  <si>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</si>
  <si>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</si>
  <si>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</si>
  <si>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</si>
  <si>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</si>
  <si>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</si>
  <si>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</si>
  <si>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</si>
  <si>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</si>
  <si>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</si>
  <si>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</si>
  <si>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</si>
  <si>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</si>
  <si>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</si>
  <si>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</si>
  <si>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</si>
  <si>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</si>
  <si>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</si>
  <si>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</si>
  <si>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</si>
  <si>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</si>
  <si>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</si>
  <si>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</si>
  <si>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</si>
  <si>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</si>
  <si>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</si>
  <si>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</si>
  <si>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</si>
  <si>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</si>
  <si>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</si>
  <si>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</si>
  <si>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</si>
  <si>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</si>
  <si>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</si>
  <si>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</si>
  <si>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</si>
  <si>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</si>
  <si>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</si>
  <si>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</si>
  <si>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</si>
  <si>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</si>
  <si>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</si>
  <si>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</si>
  <si>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</si>
  <si>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</si>
  <si>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</si>
  <si>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</si>
  <si>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</si>
  <si>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</si>
  <si>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</si>
  <si>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</si>
  <si>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</si>
  <si>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</si>
  <si>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</si>
  <si>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</si>
  <si>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</si>
  <si>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</si>
  <si>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</si>
  <si>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</si>
  <si>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</si>
  <si>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</si>
  <si>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</si>
  <si>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</si>
  <si>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</si>
  <si>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</si>
  <si>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</si>
  <si>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</si>
  <si>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</si>
  <si>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</si>
  <si>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</si>
  <si>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</si>
  <si>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</si>
  <si>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</si>
  <si>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</si>
  <si>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</si>
  <si>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</si>
  <si>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</si>
  <si>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</si>
  <si>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</si>
  <si>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</si>
  <si>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</si>
  <si>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</si>
  <si>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</si>
  <si>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</si>
  <si>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</si>
  <si>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</si>
  <si>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</si>
  <si>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</si>
  <si>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</si>
  <si>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</si>
  <si>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</si>
  <si>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</si>
  <si>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</si>
  <si>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</si>
  <si>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</si>
  <si>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</si>
  <si>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</si>
  <si>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</si>
  <si>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</si>
  <si>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</si>
  <si>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</si>
  <si>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</si>
  <si>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</si>
  <si>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</si>
  <si>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</si>
  <si>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</si>
  <si>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</si>
  <si>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</si>
  <si>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</si>
  <si>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</si>
  <si>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</si>
  <si>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</si>
  <si>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</si>
  <si>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</si>
  <si>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</si>
  <si>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</si>
  <si>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</si>
  <si>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</si>
  <si>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</si>
  <si>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</si>
  <si>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</si>
  <si>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</si>
  <si>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</si>
  <si>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</si>
  <si>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</si>
  <si>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</si>
  <si>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</si>
  <si>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</si>
  <si>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</si>
  <si>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</si>
  <si>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</si>
  <si>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</si>
  <si>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</si>
  <si>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</si>
  <si>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</si>
  <si>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</si>
  <si>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</si>
  <si>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</si>
  <si>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</si>
  <si>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</si>
  <si>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</si>
  <si>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</si>
  <si>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</si>
  <si>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</si>
  <si>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</si>
  <si>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</si>
  <si>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</si>
  <si>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</si>
  <si>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</si>
  <si>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</si>
  <si>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</si>
  <si>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</si>
  <si>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</si>
  <si>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</si>
  <si>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</si>
  <si>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</si>
  <si>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</si>
  <si>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</si>
  <si>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</si>
  <si>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</si>
  <si>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</si>
  <si>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</si>
  <si>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</si>
  <si>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</si>
  <si>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</si>
  <si>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</si>
  <si>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</si>
  <si>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</si>
  <si>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</si>
  <si>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</si>
  <si>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</si>
  <si>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</si>
  <si>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</si>
  <si>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</si>
  <si>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</si>
  <si>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</si>
  <si>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</si>
  <si>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</si>
  <si>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</si>
  <si>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</si>
  <si>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</si>
  <si>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</si>
  <si>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</si>
  <si>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</si>
  <si>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</si>
  <si>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</si>
  <si>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</si>
  <si>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</si>
  <si>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</si>
  <si>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</si>
  <si>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</si>
  <si>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</si>
  <si>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</si>
  <si>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</si>
  <si>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</si>
  <si>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</si>
  <si>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</si>
  <si>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</si>
  <si>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</si>
  <si>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</si>
  <si>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</si>
  <si>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</si>
  <si>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</si>
  <si>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</si>
  <si>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</si>
  <si>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</si>
  <si>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</si>
  <si>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</si>
  <si>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</si>
  <si>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</si>
  <si>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</si>
  <si>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</si>
  <si>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</si>
  <si>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</si>
  <si>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</si>
  <si>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</si>
  <si>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</si>
  <si>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</si>
  <si>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</si>
  <si>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</si>
  <si>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</si>
  <si>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</si>
  <si>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</si>
  <si>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</si>
  <si>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</si>
  <si>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</si>
  <si>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</si>
  <si>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</si>
  <si>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</si>
  <si>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</si>
  <si>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</si>
  <si>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</si>
  <si>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</si>
  <si>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</si>
  <si>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</si>
  <si>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</si>
  <si>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</si>
  <si>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</si>
  <si>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</si>
  <si>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</si>
  <si>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</si>
  <si>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</si>
  <si>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</si>
  <si>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</si>
  <si>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</si>
  <si>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</si>
  <si>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</si>
  <si>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</si>
  <si>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</si>
  <si>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</si>
  <si>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</si>
  <si>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</si>
  <si>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</si>
  <si>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</si>
  <si>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</si>
  <si>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</si>
  <si>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</si>
  <si>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</si>
  <si>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</si>
  <si>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</si>
  <si>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</si>
  <si>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</si>
  <si>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</si>
  <si>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</si>
  <si>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</si>
  <si>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</si>
  <si>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</si>
  <si>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</si>
  <si>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</si>
  <si>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</si>
  <si>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</si>
  <si>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</si>
  <si>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</si>
  <si>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</si>
  <si>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</si>
  <si>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</si>
  <si>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</si>
  <si>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</si>
  <si>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</si>
  <si>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</si>
  <si>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</si>
  <si>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</si>
  <si>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</si>
  <si>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</si>
  <si>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</si>
  <si>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</si>
  <si>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</si>
  <si>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</si>
  <si>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</si>
  <si>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</si>
  <si>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</si>
  <si>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</si>
  <si>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</si>
  <si>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</si>
  <si>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</si>
  <si>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</si>
  <si>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</si>
  <si>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</si>
  <si>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</si>
  <si>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</si>
  <si>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</si>
  <si>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</si>
  <si>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</si>
  <si>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</si>
  <si>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</si>
  <si>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</si>
  <si>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</si>
  <si>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</si>
  <si>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</si>
  <si>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</si>
  <si>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</si>
  <si>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</si>
  <si>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</si>
  <si>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</si>
  <si>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</si>
  <si>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</si>
  <si>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</si>
  <si>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</si>
  <si>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</si>
  <si>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</si>
  <si>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</si>
  <si>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</si>
  <si>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</si>
  <si>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</si>
  <si>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</si>
  <si>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</si>
  <si>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</si>
  <si>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</si>
  <si>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</si>
  <si>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</si>
  <si>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</si>
  <si>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</si>
  <si>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</si>
  <si>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</si>
  <si>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</si>
  <si>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</si>
  <si>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</si>
  <si>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</si>
  <si>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</si>
  <si>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</si>
  <si>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</si>
  <si>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</si>
  <si>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</si>
  <si>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</si>
  <si>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</si>
  <si>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</si>
  <si>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</si>
  <si>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</si>
  <si>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</si>
  <si>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</si>
  <si>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</si>
  <si>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</si>
  <si>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</si>
  <si>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</si>
  <si>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</si>
  <si>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</si>
  <si>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</si>
  <si>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</si>
  <si>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</si>
  <si>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</si>
  <si>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</si>
  <si>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</si>
  <si>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</si>
  <si>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</si>
  <si>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</si>
  <si>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</si>
  <si>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</si>
  <si>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</si>
  <si>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</si>
  <si>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</si>
  <si>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</si>
  <si>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</si>
  <si>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</si>
  <si>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</si>
  <si>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</si>
  <si>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</si>
  <si>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</si>
  <si>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</si>
  <si>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</si>
  <si>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</si>
  <si>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</si>
  <si>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</si>
  <si>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</si>
  <si>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</si>
  <si>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</si>
  <si>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</si>
  <si>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</si>
  <si>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</si>
  <si>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</si>
  <si>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</si>
  <si>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</si>
  <si>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</si>
  <si>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</si>
  <si>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</si>
  <si>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</si>
  <si>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</si>
  <si>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</si>
  <si>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</si>
  <si>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</si>
  <si>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</si>
  <si>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</si>
  <si>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</si>
  <si>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</si>
  <si>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</si>
  <si>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</si>
  <si>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</si>
  <si>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</si>
  <si>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</si>
  <si>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</si>
  <si>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</si>
  <si>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</si>
  <si>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</si>
  <si>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</si>
  <si>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</si>
  <si>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</si>
  <si>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</si>
  <si>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</si>
  <si>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</si>
  <si>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</si>
  <si>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</si>
  <si>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</si>
  <si>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</si>
  <si>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</si>
  <si>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</si>
  <si>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</si>
  <si>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</si>
  <si>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</si>
  <si>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</si>
  <si>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</si>
  <si>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</si>
  <si>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</si>
  <si>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</si>
  <si>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</si>
  <si>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</si>
  <si>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</si>
  <si>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</si>
  <si>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</si>
  <si>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</si>
  <si>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</si>
  <si>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</si>
  <si>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</si>
  <si>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</si>
  <si>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</si>
  <si>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</si>
  <si>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</si>
  <si>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</si>
  <si>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</si>
  <si>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</si>
  <si>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</si>
  <si>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</si>
  <si>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</si>
  <si>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</si>
  <si>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</si>
  <si>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</si>
  <si>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</si>
  <si>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</si>
  <si>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</si>
  <si>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</si>
  <si>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</si>
  <si>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</si>
  <si>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</si>
  <si>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</si>
  <si>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</si>
  <si>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</si>
  <si>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</si>
  <si>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</si>
  <si>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</si>
  <si>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</si>
  <si>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</si>
  <si>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</si>
  <si>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</si>
  <si>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</si>
  <si>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</si>
  <si>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</si>
  <si>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</si>
  <si>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</si>
  <si>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</si>
  <si>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</si>
  <si>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</si>
  <si>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</si>
  <si>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</si>
  <si>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</si>
  <si>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</si>
  <si>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</si>
  <si>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</si>
  <si>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</si>
  <si>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</si>
  <si>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</si>
  <si>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</si>
  <si>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</si>
  <si>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</si>
  <si>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</si>
  <si>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</si>
  <si>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</si>
  <si>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</si>
  <si>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</si>
  <si>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</si>
  <si>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</si>
  <si>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</si>
  <si>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</si>
  <si>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</si>
  <si>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</si>
  <si>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</si>
  <si>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</si>
  <si>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</si>
  <si>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</si>
  <si>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</si>
  <si>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</si>
  <si>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</si>
  <si>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</si>
  <si>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</si>
  <si>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</si>
  <si>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</si>
  <si>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</si>
  <si>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</si>
  <si>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</si>
  <si>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</si>
  <si>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</si>
  <si>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</si>
  <si>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</si>
  <si>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</si>
  <si>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</si>
  <si>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</si>
  <si>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</si>
  <si>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</si>
  <si>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</si>
  <si>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</si>
  <si>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</si>
  <si>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</si>
  <si>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</si>
  <si>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</si>
  <si>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</si>
  <si>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</si>
  <si>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</si>
  <si>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</si>
  <si>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</si>
  <si>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</si>
  <si>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</si>
  <si>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</si>
  <si>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</si>
  <si>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</si>
  <si>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</si>
  <si>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</si>
  <si>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</si>
  <si>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</si>
  <si>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</si>
  <si>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</si>
  <si>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</si>
  <si>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</si>
  <si>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</si>
  <si>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</si>
  <si>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</si>
  <si>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</si>
  <si>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</si>
  <si>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</si>
  <si>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</si>
  <si>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</si>
  <si>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</si>
  <si>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</si>
  <si>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</si>
  <si>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</si>
  <si>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</si>
  <si>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</si>
  <si>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</si>
  <si>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</si>
  <si>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</si>
  <si>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</si>
  <si>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</si>
  <si>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</si>
  <si>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</si>
  <si>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</si>
  <si>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</si>
  <si>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</si>
  <si>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</si>
  <si>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</si>
  <si>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</si>
  <si>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</si>
  <si>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</si>
  <si>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</si>
  <si>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</si>
  <si>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</si>
  <si>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</si>
  <si>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</si>
  <si>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</si>
  <si>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</si>
  <si>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</si>
  <si>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</si>
  <si>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</si>
  <si>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</si>
  <si>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</si>
  <si>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</si>
  <si>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</si>
  <si>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</si>
  <si>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</si>
  <si>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</si>
  <si>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</si>
  <si>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</si>
  <si>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</si>
  <si>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</si>
  <si>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</si>
  <si>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</si>
  <si>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</si>
  <si>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</si>
  <si>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</si>
  <si>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</si>
  <si>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</si>
  <si>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</si>
  <si>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</si>
  <si>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</si>
  <si>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</si>
  <si>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</si>
  <si>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</si>
  <si>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</si>
  <si>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</si>
  <si>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</si>
  <si>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</si>
  <si>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</si>
  <si>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</si>
  <si>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</si>
  <si>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</si>
  <si>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</si>
  <si>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</si>
  <si>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</si>
  <si>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</si>
  <si>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</si>
  <si>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</si>
  <si>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</si>
  <si>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</si>
  <si>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</si>
  <si>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</si>
  <si>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</si>
  <si>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</si>
  <si>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</si>
  <si>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</si>
  <si>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</si>
  <si>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</si>
  <si>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</si>
  <si>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</si>
  <si>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</si>
  <si>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</si>
  <si>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</si>
  <si>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</si>
  <si>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</si>
  <si>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</si>
  <si>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</si>
  <si>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</si>
  <si>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</si>
  <si>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</si>
  <si>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</si>
  <si>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</si>
  <si>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</si>
  <si>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</si>
  <si>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</si>
  <si>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</si>
  <si>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</si>
  <si>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</si>
  <si>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</si>
  <si>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</si>
  <si>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</si>
  <si>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</si>
  <si>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</si>
  <si>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</si>
  <si>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</si>
  <si>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</si>
  <si>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</si>
  <si>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</si>
  <si>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</si>
  <si>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</si>
  <si>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</si>
  <si>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</si>
  <si>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</si>
  <si>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</si>
  <si>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</si>
  <si>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</si>
  <si>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</si>
  <si>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</si>
  <si>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</si>
  <si>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</si>
  <si>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</si>
  <si>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</si>
  <si>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</si>
  <si>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</si>
  <si>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</si>
  <si>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</si>
  <si>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</si>
  <si>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</si>
  <si>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</si>
  <si>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</si>
  <si>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</si>
  <si>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</si>
  <si>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</si>
  <si>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</si>
  <si>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</si>
  <si>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</si>
  <si>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</si>
  <si>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</si>
  <si>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</si>
  <si>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</si>
  <si>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</si>
  <si>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</si>
  <si>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</si>
  <si>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</si>
  <si>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</si>
  <si>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</si>
  <si>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</si>
  <si>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</si>
  <si>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</si>
  <si>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</si>
  <si>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</si>
  <si>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</si>
  <si>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</si>
  <si>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</si>
  <si>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</si>
  <si>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</si>
  <si>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</si>
  <si>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</si>
  <si>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</si>
  <si>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</si>
  <si>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</si>
  <si>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</si>
  <si>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</si>
  <si>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</si>
  <si>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</si>
  <si>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</si>
  <si>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</si>
  <si>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</si>
  <si>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</si>
  <si>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</si>
  <si>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</si>
  <si>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</si>
  <si>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</si>
  <si>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</si>
  <si>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</si>
  <si>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</si>
  <si>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</si>
  <si>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</si>
  <si>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</si>
  <si>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</si>
  <si>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</si>
  <si>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</si>
  <si>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</si>
  <si>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</si>
  <si>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</si>
  <si>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</si>
  <si>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</si>
  <si>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</si>
  <si>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</si>
  <si>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</si>
  <si>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</si>
  <si>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</si>
  <si>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</si>
  <si>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</si>
  <si>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</si>
  <si>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</si>
  <si>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</si>
  <si>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</si>
  <si>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</si>
  <si>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</si>
  <si>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</si>
  <si>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</si>
  <si>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</si>
  <si>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</si>
  <si>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</si>
  <si>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</si>
  <si>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</si>
  <si>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</si>
  <si>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</si>
  <si>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</si>
  <si>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</si>
  <si>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</si>
  <si>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</si>
  <si>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</si>
  <si>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</si>
  <si>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</si>
  <si>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</si>
  <si>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</si>
  <si>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</si>
  <si>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</si>
  <si>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</si>
  <si>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</si>
  <si>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</si>
  <si>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</si>
  <si>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</si>
  <si>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</si>
  <si>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</si>
  <si>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</si>
  <si>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</si>
  <si>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</si>
  <si>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</si>
  <si>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</si>
  <si>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</si>
  <si>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</si>
  <si>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</si>
  <si>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</si>
  <si>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</si>
  <si>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</si>
  <si>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</si>
  <si>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</si>
  <si>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</si>
  <si>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</si>
  <si>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</si>
  <si>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</si>
  <si>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</si>
  <si>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</si>
  <si>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</si>
  <si>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</si>
  <si>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</si>
  <si>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</si>
  <si>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</si>
  <si>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</si>
  <si>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</si>
  <si>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</si>
  <si>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</si>
  <si>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</si>
  <si>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</si>
  <si>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</si>
  <si>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</si>
  <si>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</si>
  <si>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</si>
  <si>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</si>
  <si>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</si>
  <si>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</si>
  <si>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</si>
  <si>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</si>
  <si>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</si>
  <si>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</si>
  <si>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</si>
  <si>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</si>
  <si>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</si>
  <si>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</si>
  <si>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</si>
  <si>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</si>
  <si>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</si>
  <si>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</si>
  <si>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</si>
  <si>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</si>
  <si>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</si>
  <si>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</si>
  <si>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</si>
  <si>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</si>
  <si>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</si>
  <si>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</si>
  <si>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</si>
  <si>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</si>
  <si>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</si>
  <si>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</si>
  <si>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</si>
  <si>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</si>
  <si>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</si>
  <si>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</si>
  <si>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</si>
  <si>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</si>
  <si>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</si>
  <si>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</si>
  <si>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</si>
  <si>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</si>
  <si>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</si>
  <si>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</si>
  <si>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</si>
  <si>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</si>
  <si>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</si>
  <si>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</si>
  <si>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</si>
  <si>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</si>
  <si>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</si>
  <si>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</si>
  <si>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</si>
  <si>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</si>
  <si>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</si>
  <si>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</si>
  <si>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</si>
  <si>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</si>
  <si>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</si>
  <si>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</si>
  <si>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</si>
  <si>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</si>
  <si>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</si>
  <si>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</si>
  <si>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</si>
  <si>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</si>
  <si>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</si>
  <si>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</si>
  <si>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</si>
  <si>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</si>
  <si>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</si>
  <si>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</si>
  <si>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</si>
  <si>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</si>
  <si>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</si>
  <si>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</si>
  <si>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</si>
  <si>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</si>
  <si>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</si>
  <si>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</si>
  <si>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</si>
  <si>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</si>
  <si>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</si>
  <si>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</si>
  <si>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</si>
  <si>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</si>
  <si>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</si>
  <si>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</si>
  <si>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</si>
  <si>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</si>
  <si>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</si>
  <si>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</si>
  <si>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</si>
  <si>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</si>
  <si>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</si>
  <si>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</si>
  <si>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</si>
  <si>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</si>
  <si>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</si>
  <si>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</si>
  <si>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</si>
  <si>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</si>
  <si>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</si>
  <si>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</si>
  <si>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</si>
  <si>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</si>
  <si>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</si>
  <si>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</si>
  <si>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</si>
  <si>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</si>
  <si>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</si>
  <si>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</si>
  <si>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</si>
  <si>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</si>
  <si>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</si>
  <si>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</si>
  <si>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</si>
  <si>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</si>
  <si>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</si>
  <si>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</si>
  <si>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</si>
  <si>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</si>
  <si>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</si>
  <si>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</si>
  <si>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</si>
  <si>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</si>
  <si>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</si>
  <si>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</si>
  <si>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</si>
  <si>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</si>
  <si>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</si>
  <si>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</si>
  <si>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</si>
  <si>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</si>
  <si>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</si>
  <si>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</si>
  <si>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</si>
  <si>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</si>
  <si>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</si>
  <si>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</si>
  <si>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</si>
  <si>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</si>
  <si>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</si>
  <si>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</si>
  <si>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</si>
  <si>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</si>
  <si>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</si>
  <si>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</si>
  <si>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</si>
  <si>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</si>
  <si>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</si>
  <si>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</si>
  <si>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</si>
  <si>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</si>
  <si>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</si>
  <si>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</si>
  <si>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</si>
  <si>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</si>
  <si>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</si>
  <si>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</si>
  <si>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</si>
  <si>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</si>
  <si>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</si>
  <si>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</si>
  <si>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</si>
  <si>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</si>
  <si>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</si>
  <si>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</si>
  <si>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</si>
  <si>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</si>
  <si>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</si>
  <si>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</si>
  <si>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</si>
  <si>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</si>
  <si>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</si>
  <si>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</si>
  <si>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</si>
  <si>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</si>
  <si>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</si>
  <si>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</si>
  <si>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</si>
  <si>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</si>
  <si>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</si>
  <si>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</si>
  <si>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</si>
  <si>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</si>
  <si>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</si>
  <si>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</si>
  <si>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</si>
  <si>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</si>
  <si>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</si>
  <si>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</si>
  <si>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</si>
  <si>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</si>
  <si>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</si>
  <si>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</si>
  <si>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</si>
  <si>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</si>
  <si>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</si>
  <si>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</si>
  <si>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</si>
  <si>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</si>
  <si>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</si>
  <si>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</si>
  <si>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</si>
  <si>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</si>
  <si>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</si>
  <si>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</si>
  <si>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</si>
  <si>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</si>
  <si>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</si>
  <si>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</si>
  <si>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</si>
  <si>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</si>
  <si>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</si>
  <si>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</si>
  <si>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</si>
  <si>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</si>
  <si>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</si>
  <si>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</si>
  <si>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</si>
  <si>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</si>
  <si>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</si>
  <si>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</si>
  <si>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</si>
  <si>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</si>
  <si>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</si>
  <si>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</si>
  <si>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</si>
  <si>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</si>
  <si>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</si>
  <si>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</si>
  <si>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</si>
  <si>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</si>
  <si>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</si>
  <si>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</si>
  <si>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</si>
  <si>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</si>
  <si>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</si>
  <si>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</si>
  <si>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</si>
  <si>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</si>
  <si>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</si>
  <si>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</si>
  <si>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</si>
  <si>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</si>
  <si>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</si>
  <si>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</si>
  <si>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</si>
  <si>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</si>
  <si>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</si>
  <si>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</si>
  <si>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</si>
  <si>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</si>
  <si>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</si>
  <si>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</si>
  <si>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</si>
  <si>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</si>
  <si>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</si>
  <si>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</si>
  <si>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</si>
  <si>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</si>
  <si>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</si>
  <si>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</si>
  <si>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</si>
  <si>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</si>
  <si>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</si>
  <si>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</si>
  <si>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</si>
  <si>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</si>
  <si>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</si>
  <si>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</si>
  <si>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</si>
  <si>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</si>
  <si>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</si>
  <si>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</si>
  <si>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</si>
  <si>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</si>
  <si>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</si>
  <si>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</si>
  <si>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</si>
  <si>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</si>
  <si>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</si>
  <si>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</si>
  <si>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</si>
  <si>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</si>
  <si>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</si>
  <si>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</si>
  <si>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</si>
  <si>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</si>
  <si>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</si>
  <si>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</si>
  <si>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</si>
  <si>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</si>
  <si>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</si>
  <si>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</si>
  <si>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</si>
  <si>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</si>
  <si>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</si>
  <si>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</si>
  <si>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</si>
  <si>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</si>
  <si>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</si>
  <si>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</si>
  <si>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</si>
  <si>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</si>
  <si>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</si>
  <si>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</si>
  <si>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</si>
  <si>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</si>
  <si>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</si>
  <si>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</si>
  <si>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</si>
  <si>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</si>
  <si>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</si>
  <si>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</si>
  <si>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</si>
  <si>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</si>
  <si>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</si>
  <si>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</si>
  <si>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</si>
  <si>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</si>
  <si>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</si>
  <si>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</si>
  <si>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</si>
  <si>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</si>
  <si>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</si>
  <si>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</si>
  <si>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</si>
  <si>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</si>
  <si>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</si>
  <si>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</si>
  <si>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</si>
  <si>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</si>
  <si>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</si>
  <si>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</si>
  <si>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</si>
  <si>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</si>
  <si>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</si>
  <si>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</si>
  <si>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</si>
  <si>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</si>
  <si>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</si>
  <si>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</si>
  <si>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</si>
  <si>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</si>
  <si>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</si>
  <si>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</si>
  <si>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</si>
  <si>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</si>
  <si>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</si>
  <si>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</si>
  <si>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</si>
  <si>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</si>
  <si>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</si>
  <si>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</si>
  <si>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</si>
  <si>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</si>
  <si>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</si>
  <si>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</si>
  <si>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</si>
  <si>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</si>
  <si>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</si>
  <si>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</si>
  <si>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</si>
  <si>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</si>
  <si>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</si>
  <si>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</si>
  <si>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</si>
  <si>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</si>
  <si>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</si>
  <si>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</si>
  <si>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</si>
  <si>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</si>
  <si>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</si>
  <si>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</si>
  <si>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</si>
  <si>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</si>
  <si>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</si>
  <si>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</si>
  <si>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</si>
  <si>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</si>
  <si>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</si>
  <si>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</si>
  <si>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</si>
  <si>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</si>
  <si>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</si>
  <si>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</si>
  <si>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</si>
  <si>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</si>
  <si>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</si>
  <si>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</si>
  <si>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</si>
  <si>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</si>
  <si>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</si>
  <si>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</si>
  <si>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</si>
  <si>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</si>
  <si>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</si>
  <si>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</si>
  <si>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</si>
  <si>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</si>
  <si>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</si>
  <si>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</si>
  <si>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</si>
  <si>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</si>
  <si>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</si>
  <si>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</si>
  <si>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</si>
  <si>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</si>
  <si>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</si>
  <si>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</si>
  <si>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</si>
  <si>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</si>
  <si>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</si>
  <si>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</si>
  <si>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</si>
  <si>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</si>
  <si>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</si>
  <si>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</si>
  <si>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</si>
  <si>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</si>
  <si>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</si>
  <si>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</si>
  <si>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</si>
  <si>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</si>
  <si>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</si>
  <si>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</si>
  <si>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</si>
  <si>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</si>
  <si>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</si>
  <si>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</si>
  <si>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</si>
  <si>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</si>
  <si>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</si>
  <si>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</si>
  <si>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</si>
  <si>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</si>
  <si>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</si>
  <si>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</si>
  <si>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</si>
  <si>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</si>
  <si>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</si>
  <si>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</si>
  <si>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</si>
  <si>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</si>
  <si>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</si>
  <si>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</si>
  <si>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</si>
  <si>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</si>
  <si>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</si>
  <si>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</si>
  <si>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</si>
  <si>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</si>
  <si>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</si>
  <si>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</si>
  <si>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</si>
  <si>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</si>
  <si>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</si>
  <si>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</si>
  <si>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</si>
  <si>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</si>
  <si>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</si>
  <si>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</si>
  <si>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</si>
  <si>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</si>
  <si>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</si>
  <si>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</si>
  <si>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</si>
  <si>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</si>
  <si>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</si>
  <si>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</si>
  <si>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</si>
  <si>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</si>
  <si>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</si>
  <si>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</si>
  <si>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</si>
  <si>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</si>
  <si>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</si>
  <si>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</si>
  <si>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</si>
  <si>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</si>
  <si>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</si>
  <si>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</si>
  <si>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</si>
  <si>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</si>
  <si>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</si>
  <si>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</si>
  <si>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</si>
  <si>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</si>
  <si>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</si>
  <si>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</si>
  <si>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</si>
  <si>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</si>
  <si>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</si>
  <si>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</si>
  <si>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</si>
  <si>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</si>
  <si>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</si>
  <si>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</si>
  <si>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</si>
  <si>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</si>
  <si>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</si>
  <si>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</si>
  <si>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</si>
  <si>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</si>
  <si>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</si>
  <si>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</si>
  <si>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</si>
  <si>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</si>
  <si>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</si>
  <si>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</si>
  <si>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</si>
  <si>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</si>
  <si>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</si>
  <si>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</si>
  <si>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</si>
  <si>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</si>
  <si>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</si>
  <si>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</si>
  <si>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</si>
  <si>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</si>
  <si>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</si>
  <si>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</si>
  <si>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</si>
  <si>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</si>
  <si>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</si>
  <si>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</si>
  <si>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</si>
  <si>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</si>
  <si>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</si>
  <si>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</si>
  <si>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</si>
  <si>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</si>
  <si>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</si>
  <si>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</si>
  <si>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</si>
  <si>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</si>
  <si>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</si>
  <si>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</si>
  <si>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</si>
  <si>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</si>
  <si>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</si>
  <si>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</si>
  <si>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</si>
  <si>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</si>
  <si>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</si>
  <si>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</si>
  <si>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</si>
  <si>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</si>
  <si>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</si>
  <si>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</si>
  <si>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</si>
  <si>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</si>
  <si>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</si>
  <si>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</si>
  <si>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</si>
  <si>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</si>
  <si>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</si>
  <si>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</si>
  <si>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</si>
  <si>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</si>
  <si>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</si>
  <si>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</si>
  <si>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</si>
  <si>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</si>
  <si>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</si>
  <si>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</si>
  <si>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</si>
  <si>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</si>
  <si>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</si>
  <si>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</si>
  <si>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</si>
  <si>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</si>
  <si>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</si>
  <si>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</si>
  <si>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</si>
  <si>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</si>
  <si>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</si>
  <si>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</si>
  <si>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</si>
  <si>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</si>
  <si>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</si>
  <si>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</si>
  <si>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</si>
  <si>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</si>
  <si>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</si>
  <si>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</si>
  <si>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</si>
  <si>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</si>
  <si>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</si>
  <si>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</si>
  <si>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</si>
  <si>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</si>
  <si>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</si>
  <si>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</si>
  <si>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</si>
  <si>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</si>
  <si>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</si>
  <si>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</si>
  <si>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</si>
  <si>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</si>
  <si>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</si>
  <si>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</si>
  <si>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</si>
  <si>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</si>
  <si>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</si>
  <si>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</si>
  <si>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</si>
  <si>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</si>
  <si>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</si>
  <si>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</si>
  <si>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</si>
  <si>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</si>
  <si>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</si>
  <si>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</si>
  <si>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</si>
  <si>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</si>
  <si>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</si>
  <si>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</si>
  <si>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</si>
  <si>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</si>
  <si>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</si>
  <si>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</si>
  <si>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</si>
  <si>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</si>
  <si>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</si>
  <si>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</si>
  <si>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</si>
  <si>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</si>
  <si>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</si>
  <si>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</si>
  <si>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</si>
  <si>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</si>
  <si>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</si>
  <si>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</si>
  <si>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</si>
  <si>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</si>
  <si>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</si>
  <si>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</si>
  <si>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</si>
  <si>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</si>
  <si>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</si>
  <si>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</si>
  <si>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</si>
  <si>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</si>
  <si>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</si>
  <si>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</si>
  <si>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</si>
  <si>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</si>
  <si>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</si>
  <si>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</si>
  <si>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</si>
  <si>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</si>
  <si>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</si>
  <si>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</si>
  <si>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</si>
  <si>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</si>
  <si>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</si>
  <si>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</si>
  <si>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</si>
  <si>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</si>
  <si>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</si>
  <si>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</si>
  <si>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</si>
  <si>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</si>
  <si>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</si>
  <si>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</si>
  <si>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</si>
  <si>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</si>
  <si>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</si>
  <si>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</si>
  <si>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</si>
  <si>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</si>
  <si>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</si>
  <si>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</si>
  <si>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</si>
  <si>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</si>
  <si>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</si>
  <si>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</si>
  <si>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</si>
  <si>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</si>
  <si>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</si>
  <si>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</si>
  <si>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</si>
  <si>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</si>
  <si>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</si>
  <si>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</si>
  <si>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</si>
  <si>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</si>
  <si>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</si>
  <si>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</si>
  <si>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</si>
  <si>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</si>
  <si>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</si>
  <si>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</si>
  <si>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</si>
  <si>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</si>
  <si>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</si>
  <si>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</si>
  <si>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</si>
  <si>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</si>
  <si>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</si>
  <si>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</si>
  <si>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</si>
  <si>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</si>
  <si>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</si>
  <si>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</si>
  <si>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</si>
  <si>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</si>
  <si>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</si>
  <si>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</si>
  <si>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</si>
  <si>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</si>
  <si>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</si>
  <si>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</si>
  <si>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</si>
  <si>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</si>
  <si>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</si>
  <si>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</si>
  <si>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</si>
  <si>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</si>
  <si>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</si>
  <si>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</si>
  <si>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</si>
  <si>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</si>
  <si>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</si>
  <si>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</si>
  <si>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</si>
  <si>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</si>
  <si>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</si>
  <si>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</si>
  <si>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</si>
  <si>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</si>
  <si>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</si>
  <si>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</si>
  <si>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</si>
  <si>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</si>
  <si>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</si>
  <si>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</si>
  <si>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</si>
  <si>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</si>
  <si>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</si>
  <si>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</si>
  <si>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</si>
  <si>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</si>
  <si>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</si>
  <si>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</si>
  <si>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</si>
  <si>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</si>
  <si>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</si>
  <si>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</si>
  <si>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</si>
  <si>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</si>
  <si>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</si>
  <si>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</si>
  <si>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</si>
  <si>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</si>
  <si>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</si>
  <si>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</si>
  <si>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</si>
  <si>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</si>
  <si>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</si>
  <si>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</si>
  <si>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</si>
  <si>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</si>
  <si>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</si>
  <si>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</si>
  <si>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</si>
  <si>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</si>
  <si>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</si>
  <si>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</si>
  <si>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</si>
  <si>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</si>
  <si>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</si>
  <si>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</si>
  <si>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</si>
  <si>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</si>
  <si>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</si>
  <si>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</si>
  <si>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</si>
  <si>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</si>
  <si>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</si>
  <si>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</si>
  <si>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</si>
  <si>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</si>
  <si>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</si>
  <si>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</si>
  <si>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</si>
  <si>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</si>
  <si>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</si>
  <si>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</si>
  <si>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</si>
  <si>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</si>
  <si>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</si>
  <si>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</si>
  <si>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</si>
  <si>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</si>
  <si>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</si>
  <si>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</si>
  <si>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</si>
  <si>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</si>
  <si>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</si>
  <si>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</si>
  <si>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</si>
  <si>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</si>
  <si>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</si>
  <si>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</si>
  <si>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</si>
  <si>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</si>
  <si>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</si>
  <si>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</si>
  <si>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</si>
  <si>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</si>
  <si>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</si>
  <si>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</si>
  <si>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</si>
  <si>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</si>
  <si>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</si>
  <si>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</si>
  <si>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</si>
  <si>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</si>
  <si>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</si>
  <si>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</si>
  <si>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</si>
  <si>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</si>
  <si>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</si>
  <si>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</si>
  <si>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</si>
  <si>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</si>
  <si>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</si>
  <si>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</si>
  <si>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</si>
  <si>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</si>
  <si>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</si>
  <si>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</si>
  <si>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</si>
  <si>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</si>
  <si>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</si>
  <si>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</si>
  <si>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</si>
  <si>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</si>
  <si>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</si>
  <si>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</si>
  <si>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</si>
  <si>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</si>
  <si>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</si>
  <si>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</si>
  <si>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</si>
  <si>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</si>
  <si>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</si>
  <si>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</si>
  <si>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</si>
  <si>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</si>
  <si>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</si>
  <si>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</si>
  <si>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</si>
  <si>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</si>
  <si>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</si>
  <si>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</si>
  <si>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</si>
  <si>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</si>
  <si>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</si>
  <si>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</si>
  <si>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</si>
  <si>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</si>
  <si>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</si>
  <si>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</si>
  <si>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</si>
  <si>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</si>
  <si>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</si>
  <si>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</si>
  <si>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</si>
  <si>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</si>
  <si>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</si>
  <si>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</si>
  <si>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</si>
  <si>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</si>
  <si>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</si>
  <si>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</si>
  <si>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</si>
  <si>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</si>
  <si>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</si>
  <si>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</si>
  <si>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</si>
  <si>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</si>
  <si>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</si>
  <si>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</si>
  <si>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</si>
  <si>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</si>
  <si>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</si>
  <si>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</si>
  <si>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</si>
  <si>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</si>
  <si>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</si>
  <si>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</si>
  <si>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</si>
  <si>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</si>
  <si>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</si>
  <si>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</si>
  <si>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</si>
  <si>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</si>
  <si>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</si>
  <si>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</si>
  <si>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</si>
  <si>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</si>
  <si>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</si>
  <si>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</si>
  <si>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</si>
  <si>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</si>
  <si>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</si>
  <si>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</si>
  <si>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</si>
  <si>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</si>
  <si>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</si>
  <si>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</si>
  <si>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</si>
  <si>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</si>
  <si>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</si>
  <si>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</si>
  <si>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</si>
  <si>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</si>
  <si>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</si>
  <si>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</si>
  <si>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</si>
  <si>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</si>
  <si>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</si>
  <si>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</si>
  <si>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</si>
  <si>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</si>
  <si>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</si>
  <si>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</si>
  <si>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</si>
  <si>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</si>
  <si>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</si>
  <si>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</si>
  <si>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</si>
  <si>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</si>
  <si>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</si>
  <si>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</si>
  <si>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</si>
  <si>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</si>
  <si>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</si>
  <si>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</si>
  <si>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</si>
  <si>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</si>
  <si>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</si>
  <si>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</si>
  <si>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</si>
  <si>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</si>
  <si>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</si>
  <si>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</si>
  <si>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</si>
  <si>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</si>
  <si>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</si>
  <si>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</si>
  <si>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</si>
  <si>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</si>
  <si>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</si>
  <si>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</si>
  <si>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</si>
  <si>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</si>
  <si>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</si>
  <si>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</si>
  <si>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</si>
  <si>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</si>
  <si>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</si>
  <si>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</si>
  <si>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</si>
  <si>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</si>
  <si>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</si>
  <si>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</si>
  <si>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</si>
  <si>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</si>
  <si>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</si>
  <si>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</si>
  <si>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</si>
  <si>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</si>
  <si>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</si>
  <si>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</si>
  <si>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</si>
  <si>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</si>
  <si>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</si>
  <si>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</si>
  <si>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</si>
  <si>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</si>
  <si>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</si>
  <si>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</si>
  <si>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</si>
  <si>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</si>
  <si>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</si>
  <si>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</si>
  <si>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</si>
  <si>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</si>
  <si>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</si>
  <si>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</si>
  <si>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</si>
  <si>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</si>
  <si>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</si>
  <si>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</si>
  <si>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</si>
  <si>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</si>
  <si>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</si>
  <si>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</si>
  <si>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</si>
  <si>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</si>
  <si>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</si>
  <si>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</si>
  <si>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</si>
  <si>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</si>
  <si>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</si>
  <si>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</si>
  <si>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</si>
  <si>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</si>
  <si>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</si>
  <si>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</si>
  <si>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</si>
  <si>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</si>
  <si>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</si>
  <si>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</si>
  <si>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</si>
  <si>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</si>
  <si>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</si>
  <si>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</si>
  <si>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</si>
  <si>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</si>
  <si>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</si>
  <si>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</si>
  <si>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</si>
  <si>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</si>
  <si>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</si>
  <si>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</si>
  <si>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</si>
  <si>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</si>
  <si>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</si>
  <si>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</si>
  <si>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</si>
  <si>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</si>
  <si>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</si>
  <si>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</si>
  <si>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</si>
  <si>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</si>
  <si>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</si>
  <si>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</si>
  <si>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</si>
  <si>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</si>
  <si>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</si>
  <si>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</si>
  <si>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</si>
  <si>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</si>
  <si>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</si>
  <si>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</si>
  <si>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</si>
  <si>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</si>
  <si>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</si>
  <si>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</si>
  <si>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</si>
  <si>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</si>
  <si>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</si>
  <si>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</si>
  <si>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</si>
  <si>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</si>
  <si>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</si>
  <si>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</si>
  <si>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</si>
  <si>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</si>
  <si>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</si>
  <si>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</si>
  <si>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</si>
  <si>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</si>
  <si>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</si>
  <si>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</si>
  <si>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</si>
  <si>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</si>
  <si>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</si>
  <si>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</si>
  <si>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</si>
  <si>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</si>
  <si>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</si>
  <si>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</si>
  <si>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</si>
  <si>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</si>
  <si>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</si>
  <si>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</si>
  <si>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</si>
  <si>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</si>
  <si>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</si>
  <si>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</si>
  <si>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</si>
  <si>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</si>
  <si>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</si>
  <si>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</si>
  <si>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</si>
  <si>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</si>
  <si>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</si>
  <si>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</si>
  <si>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</si>
  <si>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</si>
  <si>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</si>
  <si>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</si>
  <si>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</si>
  <si>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</si>
  <si>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</si>
  <si>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</si>
  <si>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</si>
  <si>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</si>
  <si>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</si>
  <si>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</si>
  <si>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</si>
  <si>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</si>
  <si>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</si>
  <si>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</si>
  <si>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</si>
  <si>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</si>
  <si>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</si>
  <si>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</si>
  <si>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</si>
  <si>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</si>
  <si>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</si>
  <si>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</si>
  <si>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</si>
  <si>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</si>
  <si>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</si>
  <si>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</si>
  <si>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</si>
  <si>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</si>
  <si>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</si>
  <si>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</si>
  <si>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</si>
  <si>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</si>
  <si>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</si>
  <si>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</si>
  <si>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</si>
  <si>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</si>
  <si>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</si>
  <si>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</si>
  <si>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</si>
  <si>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</si>
  <si>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</si>
  <si>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</si>
  <si>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</si>
  <si>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</si>
  <si>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</si>
  <si>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</si>
  <si>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</si>
  <si>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</si>
  <si>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</si>
  <si>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</si>
  <si>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</si>
  <si>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</si>
  <si>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</si>
  <si>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</si>
  <si>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</si>
  <si>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</si>
  <si>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</si>
  <si>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</si>
  <si>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</si>
  <si>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</si>
  <si>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</si>
  <si>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</si>
  <si>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</si>
  <si>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</si>
  <si>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</si>
  <si>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</si>
  <si>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</si>
  <si>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</si>
  <si>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</si>
  <si>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</si>
  <si>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</si>
  <si>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</si>
  <si>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</si>
  <si>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</si>
  <si>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</si>
  <si>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</si>
  <si>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</si>
  <si>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</si>
  <si>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</si>
  <si>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</si>
  <si>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</si>
  <si>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</si>
  <si>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</si>
  <si>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</si>
  <si>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</si>
  <si>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</si>
  <si>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</si>
  <si>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</si>
  <si>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</si>
  <si>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</si>
  <si>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</si>
  <si>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</si>
  <si>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</si>
  <si>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</si>
  <si>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</si>
  <si>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</si>
  <si>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</si>
  <si>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</si>
  <si>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</si>
  <si>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</si>
  <si>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</si>
  <si>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</si>
  <si>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</si>
  <si>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</si>
  <si>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</si>
  <si>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</si>
  <si>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</si>
  <si>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</si>
  <si>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</si>
  <si>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</si>
  <si>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</si>
  <si>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</si>
  <si>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</si>
  <si>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</si>
  <si>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</si>
  <si>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</si>
  <si>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</si>
  <si>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</si>
  <si>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</si>
  <si>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</si>
  <si>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</si>
  <si>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</si>
  <si>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</si>
  <si>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</si>
  <si>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</si>
  <si>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</si>
  <si>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</si>
  <si>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</si>
  <si>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</si>
  <si>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</si>
  <si>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</si>
  <si>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</si>
  <si>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</si>
  <si>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</si>
  <si>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</si>
  <si>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</si>
  <si>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</si>
  <si>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</si>
  <si>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</si>
  <si>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</si>
  <si>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</si>
  <si>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</si>
  <si>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</si>
  <si>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</si>
  <si>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</si>
  <si>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</si>
  <si>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</si>
  <si>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</si>
  <si>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</si>
  <si>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</si>
  <si>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</si>
  <si>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</si>
  <si>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</si>
  <si>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</si>
  <si>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</si>
  <si>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</si>
  <si>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</si>
  <si>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</si>
  <si>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</si>
  <si>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</si>
  <si>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</si>
  <si>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</si>
  <si>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</si>
  <si>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</si>
  <si>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</si>
  <si>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</si>
  <si>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</si>
  <si>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</si>
  <si>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</si>
  <si>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</si>
  <si>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</si>
  <si>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</si>
  <si>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</si>
  <si>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</si>
  <si>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</si>
  <si>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</si>
  <si>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</si>
  <si>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</si>
  <si>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</si>
  <si>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</si>
  <si>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</si>
  <si>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</si>
  <si>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</si>
  <si>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</si>
  <si>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</si>
  <si>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</si>
  <si>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</si>
  <si>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</si>
  <si>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</si>
  <si>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</si>
  <si>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</si>
  <si>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</si>
  <si>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</si>
  <si>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</si>
  <si>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</si>
  <si>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</si>
  <si>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</si>
  <si>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</si>
  <si>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</si>
  <si>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</si>
  <si>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</si>
  <si>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</si>
  <si>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</si>
  <si>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</si>
  <si>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</si>
  <si>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</si>
  <si>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</si>
  <si>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</si>
  <si>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</si>
  <si>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</si>
  <si>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</si>
  <si>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</si>
  <si>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</si>
  <si>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</si>
  <si>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</si>
  <si>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</si>
  <si>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</si>
  <si>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</si>
  <si>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</si>
  <si>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</si>
  <si>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</si>
  <si>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</si>
  <si>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</si>
  <si>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</si>
  <si>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</si>
  <si>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</si>
  <si>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</si>
  <si>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</si>
  <si>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</si>
  <si>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</si>
  <si>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</si>
  <si>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</si>
  <si>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</si>
  <si>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</si>
  <si>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</si>
  <si>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</si>
  <si>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</si>
  <si>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</si>
  <si>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</si>
  <si>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</si>
  <si>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</si>
  <si>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</si>
  <si>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</si>
  <si>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</si>
  <si>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</si>
  <si>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</si>
  <si>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</si>
  <si>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</si>
  <si>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</si>
  <si>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</si>
  <si>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</si>
  <si>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</si>
  <si>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</si>
  <si>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</si>
  <si>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</si>
  <si>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</si>
  <si>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</si>
  <si>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</si>
  <si>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</si>
  <si>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</si>
  <si>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</si>
  <si>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</si>
  <si>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</si>
  <si>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</si>
  <si>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</si>
  <si>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</si>
  <si>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</si>
  <si>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</si>
  <si>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</si>
  <si>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</si>
  <si>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</si>
  <si>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</si>
  <si>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</si>
  <si>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</si>
  <si>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</si>
  <si>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</si>
  <si>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</si>
  <si>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</si>
  <si>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</si>
  <si>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</si>
  <si>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</si>
  <si>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</si>
  <si>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</si>
  <si>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</si>
  <si>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</si>
  <si>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</si>
  <si>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</si>
  <si>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</si>
  <si>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</si>
  <si>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</si>
  <si>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</si>
  <si>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</si>
  <si>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</si>
  <si>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</si>
  <si>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</si>
  <si>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</si>
  <si>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</si>
  <si>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</si>
  <si>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</si>
  <si>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</si>
  <si>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</si>
  <si>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</si>
  <si>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</si>
  <si>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</si>
  <si>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</si>
  <si>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</si>
  <si>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</si>
  <si>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</si>
  <si>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</si>
  <si>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</si>
  <si>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</si>
  <si>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</si>
  <si>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</si>
  <si>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</si>
  <si>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</si>
  <si>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</si>
  <si>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</si>
  <si>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</si>
  <si>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</si>
  <si>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</si>
  <si>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</si>
  <si>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</si>
  <si>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</si>
  <si>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</si>
  <si>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</si>
  <si>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</si>
  <si>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</si>
  <si>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</si>
  <si>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</si>
  <si>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</si>
  <si>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</si>
  <si>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</si>
  <si>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</si>
  <si>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</si>
  <si>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</si>
  <si>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</si>
  <si>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</si>
  <si>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</si>
  <si>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</si>
  <si>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</si>
  <si>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</si>
  <si>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</si>
  <si>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</si>
  <si>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</si>
  <si>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</si>
  <si>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</si>
  <si>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</si>
  <si>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</si>
  <si>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</si>
  <si>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</si>
  <si>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</si>
  <si>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</si>
  <si>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</si>
  <si>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</si>
  <si>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</si>
  <si>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</si>
  <si>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</si>
  <si>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</si>
  <si>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</si>
  <si>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</si>
  <si>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</si>
  <si>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</si>
  <si>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</si>
  <si>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</si>
  <si>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</si>
  <si>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</si>
  <si>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</si>
  <si>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</si>
  <si>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</si>
  <si>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</si>
  <si>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</si>
  <si>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</si>
  <si>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</si>
  <si>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</si>
  <si>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</si>
  <si>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</si>
  <si>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</si>
  <si>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</si>
  <si>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</si>
  <si>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</si>
  <si>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</si>
  <si>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</si>
  <si>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</si>
  <si>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</si>
  <si>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</si>
  <si>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</si>
  <si>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</si>
  <si>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</si>
  <si>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</si>
  <si>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</si>
  <si>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</si>
  <si>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</si>
  <si>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</si>
  <si>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</si>
  <si>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</si>
  <si>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</si>
  <si>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</si>
  <si>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</si>
  <si>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</si>
  <si>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</si>
  <si>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</si>
  <si>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</si>
  <si>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</si>
  <si>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</si>
  <si>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</si>
  <si>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</si>
  <si>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</si>
  <si>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</si>
  <si>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</si>
  <si>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</si>
  <si>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</si>
  <si>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</si>
  <si>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</si>
  <si>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</si>
  <si>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</si>
  <si>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</si>
  <si>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</si>
  <si>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</si>
  <si>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</si>
  <si>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</si>
  <si>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</si>
  <si>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</si>
  <si>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</si>
  <si>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</si>
  <si>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</si>
  <si>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</si>
  <si>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</si>
  <si>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</si>
  <si>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</si>
  <si>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</si>
  <si>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</si>
  <si>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</si>
  <si>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</si>
  <si>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</si>
  <si>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</si>
  <si>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</si>
  <si>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</si>
  <si>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</si>
  <si>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</si>
  <si>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</si>
  <si>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</si>
  <si>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</si>
  <si>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</si>
  <si>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</si>
  <si>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</si>
  <si>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</si>
  <si>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</si>
  <si>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</si>
  <si>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</si>
  <si>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</si>
  <si>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</si>
  <si>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</si>
  <si>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</si>
  <si>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</si>
  <si>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</si>
  <si>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</si>
  <si>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</si>
  <si>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</si>
  <si>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</si>
  <si>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</si>
  <si>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</si>
  <si>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</si>
  <si>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</si>
  <si>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</si>
  <si>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</si>
  <si>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</si>
  <si>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</si>
  <si>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</si>
  <si>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</si>
  <si>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</si>
  <si>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</si>
  <si>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</si>
  <si>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</si>
  <si>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</si>
  <si>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</si>
  <si>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</si>
  <si>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</si>
  <si>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</si>
  <si>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</si>
  <si>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</si>
  <si>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</si>
  <si>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</si>
  <si>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</si>
  <si>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</si>
  <si>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</si>
  <si>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</si>
  <si>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</si>
  <si>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</si>
  <si>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</si>
  <si>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</si>
  <si>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</si>
  <si>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</si>
  <si>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</si>
  <si>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</si>
  <si>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</si>
  <si>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</si>
  <si>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</si>
  <si>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</si>
  <si>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</si>
  <si>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</si>
  <si>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</si>
  <si>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</si>
  <si>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</si>
  <si>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</si>
  <si>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</si>
  <si>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</si>
  <si>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</si>
  <si>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</si>
  <si>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</si>
  <si>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</si>
  <si>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</si>
  <si>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</si>
  <si>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</si>
  <si>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</si>
  <si>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</si>
  <si>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</si>
  <si>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</si>
  <si>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</si>
  <si>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</si>
  <si>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</si>
  <si>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</si>
  <si>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</si>
  <si>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</si>
  <si>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</si>
  <si>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</si>
  <si>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</si>
  <si>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</si>
  <si>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</si>
  <si>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</si>
  <si>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</si>
  <si>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</si>
  <si>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</si>
  <si>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</si>
  <si>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</si>
  <si>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</si>
  <si>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</si>
  <si>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</si>
  <si>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</si>
  <si>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</si>
  <si>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</si>
  <si>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</si>
  <si>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</si>
  <si>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</si>
  <si>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</si>
  <si>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</si>
  <si>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</si>
  <si>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</si>
  <si>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</si>
  <si>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</si>
  <si>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</si>
  <si>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</si>
  <si>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</si>
  <si>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</si>
  <si>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</si>
  <si>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</si>
  <si>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</si>
  <si>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</si>
  <si>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</si>
  <si>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</si>
  <si>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</si>
  <si>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</si>
  <si>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</si>
  <si>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</si>
  <si>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</si>
  <si>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</si>
  <si>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</si>
  <si>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</si>
  <si>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</si>
  <si>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</si>
  <si>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</si>
  <si>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</si>
  <si>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</si>
  <si>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</si>
  <si>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</si>
  <si>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</si>
  <si>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</si>
  <si>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</si>
  <si>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</si>
  <si>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</si>
  <si>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</si>
  <si>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</si>
  <si>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</si>
  <si>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</si>
  <si>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</si>
  <si>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</si>
  <si>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</si>
  <si>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</si>
  <si>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</si>
  <si>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</si>
  <si>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</si>
  <si>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</si>
  <si>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</si>
  <si>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</si>
  <si>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</si>
  <si>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</si>
  <si>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</si>
  <si>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</si>
  <si>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</si>
  <si>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</si>
  <si>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</si>
  <si>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</si>
  <si>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</si>
  <si>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</si>
  <si>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</si>
  <si>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</si>
  <si>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</si>
  <si>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</si>
  <si>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</si>
  <si>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</si>
  <si>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</si>
  <si>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</si>
  <si>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</si>
  <si>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</si>
  <si>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</si>
  <si>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</si>
  <si>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</si>
  <si>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</si>
  <si>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</si>
  <si>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</si>
  <si>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</si>
  <si>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</si>
  <si>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</si>
  <si>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</si>
  <si>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</si>
  <si>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</si>
  <si>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</si>
  <si>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</si>
  <si>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</si>
  <si>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</si>
  <si>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</si>
  <si>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</si>
  <si>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</si>
  <si>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</si>
  <si>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</si>
  <si>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</si>
  <si>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</si>
  <si>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</si>
  <si>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</si>
  <si>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</si>
  <si>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</si>
  <si>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</si>
  <si>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</si>
  <si>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</si>
  <si>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</si>
  <si>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</si>
  <si>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</si>
  <si>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</si>
  <si>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</si>
  <si>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</si>
  <si>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</si>
  <si>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</si>
  <si>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</si>
  <si>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</si>
  <si>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</si>
  <si>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</si>
  <si>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</si>
  <si>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</si>
  <si>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</si>
  <si>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</si>
  <si>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</si>
  <si>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</si>
  <si>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</si>
  <si>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</si>
  <si>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</si>
  <si>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</si>
  <si>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</si>
  <si>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</si>
  <si>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</si>
  <si>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</si>
  <si>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</si>
  <si>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</si>
  <si>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</si>
  <si>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</si>
  <si>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</si>
  <si>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</si>
  <si>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</si>
  <si>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</si>
  <si>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</si>
  <si>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</si>
  <si>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</si>
  <si>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</si>
  <si>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</si>
  <si>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</si>
  <si>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</si>
  <si>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</si>
  <si>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</si>
  <si>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</si>
  <si>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</si>
  <si>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</si>
  <si>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</si>
  <si>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</si>
  <si>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</si>
  <si>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</si>
  <si>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</si>
  <si>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</si>
  <si>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</si>
  <si>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</si>
  <si>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</si>
  <si>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</si>
  <si>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</si>
  <si>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</si>
  <si>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</si>
  <si>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</si>
  <si>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</si>
  <si>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</si>
  <si>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</si>
  <si>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</si>
  <si>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</si>
  <si>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</si>
  <si>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</si>
  <si>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</si>
  <si>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</si>
  <si>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</si>
  <si>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</si>
  <si>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</si>
  <si>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</si>
  <si>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</si>
  <si>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</si>
  <si>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</si>
  <si>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</si>
  <si>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</si>
  <si>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</si>
  <si>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</si>
  <si>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</si>
  <si>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</si>
  <si>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</si>
  <si>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</si>
  <si>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</si>
  <si>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</si>
  <si>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</si>
  <si>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</si>
  <si>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</si>
  <si>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</si>
  <si>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</si>
  <si>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</si>
  <si>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</si>
  <si>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</si>
  <si>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</si>
  <si>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</si>
  <si>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</si>
  <si>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</si>
  <si>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</si>
  <si>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</si>
  <si>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</si>
  <si>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</si>
  <si>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</si>
  <si>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</si>
  <si>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</si>
  <si>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</si>
  <si>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</si>
  <si>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</si>
  <si>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</si>
  <si>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</si>
  <si>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</si>
  <si>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</si>
  <si>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</si>
  <si>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</si>
  <si>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</si>
  <si>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</si>
  <si>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</si>
  <si>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</si>
  <si>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</si>
  <si>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</si>
  <si>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</si>
  <si>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</si>
  <si>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</si>
  <si>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</si>
  <si>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</si>
  <si>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</si>
  <si>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</si>
  <si>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</si>
  <si>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</si>
  <si>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</si>
  <si>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</si>
  <si>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</si>
  <si>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</si>
  <si>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</si>
  <si>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</si>
  <si>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</si>
  <si>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</si>
  <si>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</si>
  <si>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</si>
  <si>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</si>
  <si>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</si>
  <si>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</si>
  <si>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</si>
  <si>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</si>
  <si>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</si>
  <si>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</si>
  <si>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</si>
  <si>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</si>
  <si>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</si>
  <si>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</si>
  <si>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</si>
  <si>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</si>
  <si>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</si>
  <si>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</si>
  <si>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</si>
  <si>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</si>
  <si>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</si>
  <si>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</si>
  <si>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</si>
  <si>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</si>
  <si>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</si>
  <si>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</si>
  <si>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</si>
  <si>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</si>
  <si>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</si>
  <si>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</si>
  <si>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</si>
  <si>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</si>
  <si>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</si>
  <si>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</si>
  <si>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</si>
  <si>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</si>
  <si>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</si>
  <si>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</si>
  <si>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</si>
  <si>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</si>
  <si>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</si>
  <si>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</si>
  <si>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</si>
  <si>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</si>
  <si>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</si>
  <si>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</si>
  <si>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</si>
  <si>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</si>
  <si>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</si>
  <si>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</si>
  <si>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</si>
  <si>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</si>
  <si>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</si>
  <si>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</si>
  <si>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</si>
  <si>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</si>
  <si>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</si>
  <si>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</si>
  <si>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</si>
  <si>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</si>
  <si>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</si>
  <si>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</si>
  <si>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</si>
  <si>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</si>
  <si>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</si>
  <si>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</si>
  <si>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</si>
  <si>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</si>
  <si>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</si>
  <si>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</si>
  <si>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</si>
  <si>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</si>
  <si>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</si>
  <si>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</si>
  <si>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</si>
  <si>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</si>
  <si>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</si>
  <si>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</si>
  <si>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</si>
  <si>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</si>
  <si>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</si>
  <si>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</si>
  <si>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</si>
  <si>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</si>
  <si>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</si>
  <si>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</si>
  <si>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</si>
  <si>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</si>
  <si>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</si>
  <si>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</si>
  <si>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</si>
  <si>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</si>
  <si>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</si>
  <si>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</si>
  <si>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</si>
  <si>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</si>
  <si>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</si>
  <si>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</si>
  <si>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</si>
  <si>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</si>
  <si>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</si>
  <si>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</si>
  <si>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</si>
  <si>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</si>
  <si>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</si>
  <si>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</si>
  <si>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</si>
  <si>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</si>
  <si>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</si>
  <si>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</si>
  <si>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</si>
  <si>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</si>
  <si>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</si>
  <si>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</si>
  <si>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</si>
  <si>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</si>
  <si>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</si>
  <si>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</si>
  <si>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</si>
  <si>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</si>
  <si>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</si>
  <si>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</si>
  <si>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</si>
  <si>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</si>
  <si>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</si>
  <si>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</si>
  <si>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</si>
  <si>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</si>
  <si>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</si>
  <si>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</si>
  <si>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</si>
  <si>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</si>
  <si>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</si>
  <si>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</si>
  <si>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</si>
  <si>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</si>
  <si>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</si>
  <si>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</si>
  <si>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</si>
  <si>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</si>
  <si>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</si>
  <si>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</si>
  <si>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</si>
  <si>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</si>
  <si>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</si>
  <si>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</si>
  <si>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</si>
  <si>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</si>
  <si>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</si>
  <si>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</si>
  <si>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</si>
  <si>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</si>
  <si>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</si>
  <si>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</si>
  <si>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</si>
  <si>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</si>
  <si>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</si>
  <si>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</si>
  <si>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</si>
  <si>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</si>
  <si>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</si>
  <si>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</si>
  <si>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</si>
  <si>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</si>
  <si>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</si>
  <si>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</si>
  <si>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</si>
  <si>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</si>
  <si>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</si>
  <si>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</si>
  <si>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</si>
  <si>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</si>
  <si>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</si>
  <si>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</si>
  <si>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</si>
  <si>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</si>
  <si>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</si>
  <si>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</si>
  <si>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</si>
  <si>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</si>
  <si>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</si>
  <si>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</si>
  <si>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</si>
  <si>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</si>
  <si>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</si>
  <si>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</si>
  <si>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</si>
  <si>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</si>
  <si>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</si>
  <si>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</si>
  <si>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</si>
  <si>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</si>
  <si>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</si>
  <si>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</si>
  <si>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</si>
  <si>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</si>
  <si>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</si>
  <si>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</si>
  <si>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</si>
  <si>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</si>
  <si>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</si>
  <si>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</si>
  <si>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</si>
  <si>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</si>
  <si>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</si>
  <si>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</si>
  <si>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</si>
  <si>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</si>
  <si>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</si>
  <si>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</si>
  <si>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</si>
  <si>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</si>
  <si>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</si>
  <si>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</si>
  <si>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</si>
  <si>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</si>
  <si>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</si>
  <si>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</si>
  <si>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</si>
  <si>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</si>
  <si>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</si>
  <si>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</si>
  <si>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</si>
  <si>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</si>
  <si>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</si>
  <si>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</si>
  <si>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</si>
  <si>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</si>
  <si>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</si>
  <si>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</si>
  <si>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</si>
  <si>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</si>
  <si>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</si>
  <si>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</si>
  <si>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</si>
  <si>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</si>
  <si>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</si>
  <si>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</si>
  <si>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</si>
  <si>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</si>
  <si>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</si>
  <si>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</si>
  <si>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</si>
  <si>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</si>
  <si>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</si>
  <si>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</si>
  <si>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</si>
  <si>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</si>
  <si>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</si>
  <si>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</si>
  <si>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</si>
  <si>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</si>
  <si>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</si>
  <si>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</si>
  <si>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</si>
  <si>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</si>
  <si>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</si>
  <si>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</si>
  <si>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</si>
  <si>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</si>
  <si>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</si>
  <si>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</si>
  <si>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</si>
  <si>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</si>
  <si>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</si>
  <si>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</si>
  <si>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</si>
  <si>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</si>
  <si>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</si>
  <si>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</si>
  <si>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</si>
  <si>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</si>
  <si>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</si>
  <si>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</si>
  <si>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</si>
  <si>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</si>
  <si>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</si>
  <si>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</si>
  <si>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</si>
  <si>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</si>
  <si>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</si>
  <si>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</si>
  <si>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</si>
  <si>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</si>
  <si>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</si>
  <si>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</si>
  <si>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</si>
  <si>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</si>
  <si>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</si>
  <si>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</si>
  <si>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</si>
  <si>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</si>
  <si>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</si>
  <si>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</si>
  <si>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</si>
  <si>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</si>
  <si>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</si>
  <si>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</si>
  <si>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</si>
  <si>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</si>
  <si>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</si>
  <si>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</si>
  <si>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</si>
  <si>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</si>
  <si>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</si>
  <si>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</si>
  <si>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</si>
  <si>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</si>
  <si>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</si>
  <si>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</si>
  <si>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</si>
  <si>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</si>
  <si>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</si>
  <si>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</si>
  <si>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</si>
  <si>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</si>
  <si>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</si>
  <si>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</si>
  <si>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</si>
  <si>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</si>
  <si>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</si>
  <si>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</si>
  <si>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</si>
  <si>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</si>
  <si>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</si>
  <si>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</si>
  <si>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</si>
  <si>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</si>
  <si>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</si>
  <si>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</si>
  <si>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</si>
  <si>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</si>
  <si>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</si>
  <si>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</si>
  <si>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</si>
  <si>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</si>
  <si>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</si>
  <si>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</si>
  <si>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</si>
  <si>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</si>
  <si>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</si>
  <si>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</si>
  <si>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</si>
  <si>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</si>
  <si>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</si>
  <si>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</si>
  <si>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</si>
  <si>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</si>
  <si>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</si>
  <si>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</si>
  <si>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</si>
  <si>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</si>
  <si>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</si>
  <si>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</si>
  <si>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</si>
  <si>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</si>
  <si>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</si>
  <si>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</si>
  <si>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</si>
  <si>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</si>
  <si>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</si>
  <si>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</si>
  <si>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</si>
  <si>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</si>
  <si>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</si>
  <si>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</si>
  <si>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</si>
  <si>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</si>
  <si>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</si>
  <si>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</si>
  <si>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</si>
  <si>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</si>
  <si>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</si>
  <si>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</si>
  <si>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</si>
  <si>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</si>
  <si>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</si>
  <si>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</si>
  <si>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</si>
  <si>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</si>
  <si>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</si>
  <si>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</si>
  <si>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</si>
  <si>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</si>
  <si>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</si>
  <si>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</si>
  <si>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</si>
  <si>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</si>
  <si>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</si>
  <si>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</si>
  <si>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</si>
  <si>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</si>
  <si>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</si>
  <si>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</si>
  <si>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</si>
  <si>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</si>
  <si>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</si>
  <si>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</si>
  <si>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</si>
  <si>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</si>
  <si>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</si>
  <si>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</si>
  <si>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</si>
  <si>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</si>
  <si>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</si>
  <si>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</si>
  <si>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</si>
  <si>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</si>
  <si>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</si>
  <si>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</si>
  <si>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</si>
  <si>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</si>
  <si>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</si>
  <si>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</si>
  <si>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</si>
  <si>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</si>
  <si>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</si>
  <si>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</si>
  <si>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</si>
  <si>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</si>
  <si>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</si>
  <si>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</si>
  <si>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</si>
  <si>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</si>
  <si>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</si>
  <si>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</si>
  <si>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</si>
  <si>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</si>
  <si>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</si>
  <si>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</si>
  <si>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</si>
  <si>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</si>
  <si>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</si>
  <si>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</si>
  <si>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</si>
  <si>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</si>
  <si>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</si>
  <si>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</si>
  <si>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</si>
  <si>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</si>
  <si>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</si>
  <si>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</si>
  <si>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</si>
  <si>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</si>
  <si>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</si>
  <si>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</si>
  <si>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</si>
  <si>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</si>
  <si>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</si>
  <si>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</si>
  <si>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</si>
  <si>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</si>
  <si>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</si>
  <si>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</si>
  <si>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</si>
  <si>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</si>
  <si>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</si>
  <si>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</si>
  <si>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</si>
  <si>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</si>
  <si>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</si>
  <si>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</si>
  <si>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</si>
  <si>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</si>
  <si>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</si>
  <si>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</si>
  <si>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</si>
  <si>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</si>
  <si>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</si>
  <si>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</si>
  <si>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</si>
  <si>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</si>
  <si>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</si>
  <si>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</si>
  <si>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</si>
  <si>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</si>
  <si>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</si>
  <si>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</si>
  <si>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</si>
  <si>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</si>
  <si>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</si>
  <si>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</si>
  <si>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</si>
  <si>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</si>
  <si>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</si>
  <si>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</si>
  <si>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</si>
  <si>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</si>
  <si>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</si>
  <si>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</si>
  <si>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</si>
  <si>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</si>
  <si>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</si>
  <si>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</si>
  <si>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</si>
  <si>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</si>
  <si>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</si>
  <si>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</si>
  <si>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</si>
  <si>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</si>
  <si>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</si>
  <si>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</si>
  <si>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</si>
  <si>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</si>
  <si>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</si>
  <si>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</si>
  <si>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</si>
  <si>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</si>
  <si>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</si>
  <si>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</si>
  <si>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</si>
  <si>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</si>
  <si>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</si>
  <si>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</si>
  <si>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</si>
  <si>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</si>
  <si>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</si>
  <si>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</si>
  <si>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</si>
  <si>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</si>
  <si>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</si>
  <si>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</si>
  <si>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</si>
  <si>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</si>
  <si>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</si>
  <si>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</si>
  <si>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</si>
  <si>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</si>
  <si>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</si>
  <si>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</si>
  <si>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</si>
  <si>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</si>
  <si>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</si>
  <si>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</si>
  <si>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</si>
  <si>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</si>
  <si>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</si>
  <si>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</si>
  <si>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</si>
  <si>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</si>
  <si>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</si>
  <si>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</si>
  <si>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</si>
  <si>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</si>
  <si>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</si>
  <si>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</si>
  <si>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</si>
  <si>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</si>
  <si>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</si>
  <si>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</si>
  <si>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</si>
  <si>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</si>
  <si>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</si>
  <si>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</si>
  <si>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</si>
  <si>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</si>
  <si>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</si>
  <si>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</si>
  <si>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</si>
  <si>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</si>
  <si>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</si>
  <si>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</si>
  <si>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</si>
  <si>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</si>
  <si>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</si>
  <si>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</si>
  <si>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</si>
  <si>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</si>
  <si>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</si>
  <si>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</si>
  <si>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</si>
  <si>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</si>
  <si>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</si>
  <si>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</si>
  <si>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</si>
  <si>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</si>
  <si>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</si>
  <si>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</si>
  <si>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</si>
  <si>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</si>
  <si>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</si>
  <si>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</si>
  <si>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</si>
  <si>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</si>
  <si>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</si>
  <si>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</si>
  <si>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</si>
  <si>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</si>
  <si>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</si>
  <si>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</si>
  <si>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</si>
  <si>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</si>
  <si>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</si>
  <si>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</si>
  <si>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</si>
  <si>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</si>
  <si>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</si>
  <si>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</si>
  <si>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</si>
  <si>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</si>
  <si>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</si>
  <si>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</si>
  <si>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</si>
  <si>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</si>
  <si>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</si>
  <si>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</si>
  <si>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</si>
  <si>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</si>
  <si>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</si>
  <si>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</si>
  <si>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</si>
  <si>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</si>
  <si>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</si>
  <si>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</si>
  <si>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</si>
  <si>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</si>
  <si>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</si>
  <si>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</si>
  <si>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</si>
  <si>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</si>
  <si>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</si>
  <si>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</si>
  <si>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</si>
  <si>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</si>
  <si>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</si>
  <si>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</si>
  <si>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</si>
  <si>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</si>
  <si>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</si>
  <si>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</si>
  <si>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</si>
  <si>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</si>
  <si>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</si>
  <si>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</si>
  <si>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</si>
  <si>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</si>
  <si>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</si>
  <si>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</si>
  <si>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</si>
  <si>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</si>
  <si>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</si>
  <si>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</si>
  <si>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</si>
  <si>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</si>
  <si>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</si>
  <si>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</si>
  <si>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</si>
  <si>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</si>
  <si>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</si>
  <si>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</si>
  <si>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</si>
  <si>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</si>
  <si>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</si>
  <si>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</si>
  <si>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</si>
  <si>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</si>
  <si>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</si>
  <si>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</si>
  <si>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</si>
  <si>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</si>
  <si>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</si>
  <si>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</si>
  <si>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</si>
  <si>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</si>
  <si>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</si>
  <si>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</si>
  <si>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</si>
  <si>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</si>
  <si>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</si>
  <si>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</si>
  <si>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</si>
  <si>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</si>
  <si>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</si>
  <si>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</si>
  <si>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</si>
  <si>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</si>
  <si>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</si>
  <si>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</si>
  <si>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</si>
  <si>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</si>
  <si>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</si>
  <si>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</si>
  <si>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</si>
  <si>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</si>
  <si>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</si>
  <si>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</si>
  <si>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</si>
  <si>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</si>
  <si>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</si>
  <si>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</si>
  <si>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</si>
  <si>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</si>
  <si>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</si>
  <si>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</si>
  <si>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</si>
  <si>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</si>
  <si>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</si>
  <si>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</si>
  <si>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</si>
  <si>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</si>
  <si>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</si>
  <si>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</si>
  <si>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</si>
  <si>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</si>
  <si>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</si>
  <si>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</si>
  <si>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</si>
  <si>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</si>
  <si>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</si>
  <si>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</si>
  <si>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</si>
  <si>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</si>
  <si>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</si>
  <si>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</si>
  <si>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</si>
  <si>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</si>
  <si>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</si>
  <si>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</si>
  <si>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</si>
  <si>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</si>
  <si>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</si>
  <si>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</si>
  <si>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</si>
  <si>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</si>
  <si>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</si>
  <si>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</si>
  <si>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</si>
  <si>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</si>
  <si>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</si>
  <si>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</si>
  <si>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</si>
  <si>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</si>
  <si>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</si>
  <si>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</si>
  <si>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</si>
  <si>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</si>
  <si>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</si>
  <si>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</si>
  <si>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</si>
  <si>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</si>
  <si>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</si>
  <si>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</si>
  <si>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</si>
  <si>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</si>
  <si>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</si>
  <si>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</si>
  <si>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</si>
  <si>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</si>
  <si>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</si>
  <si>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</si>
  <si>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</si>
  <si>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</si>
  <si>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</si>
  <si>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</si>
  <si>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</si>
  <si>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</si>
  <si>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</si>
  <si>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</si>
  <si>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</si>
  <si>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</si>
  <si>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</si>
  <si>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</si>
  <si>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</si>
  <si>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</si>
  <si>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</si>
  <si>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</si>
  <si>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</si>
  <si>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</si>
  <si>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</si>
  <si>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</si>
  <si>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</si>
  <si>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</si>
  <si>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</si>
  <si>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</si>
  <si>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</si>
  <si>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</si>
  <si>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</si>
  <si>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</si>
  <si>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</si>
  <si>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</si>
  <si>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</si>
  <si>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</si>
  <si>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</si>
  <si>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</si>
  <si>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</si>
  <si>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</si>
  <si>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</si>
  <si>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</si>
  <si>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</si>
  <si>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</si>
  <si>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</si>
  <si>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</si>
  <si>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</si>
  <si>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</si>
  <si>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</si>
  <si>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</si>
  <si>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</si>
  <si>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</si>
  <si>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</si>
  <si>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</si>
  <si>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</si>
  <si>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</si>
  <si>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</si>
  <si>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</si>
  <si>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</si>
  <si>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</si>
  <si>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</si>
  <si>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</si>
  <si>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</si>
  <si>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</si>
  <si>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</si>
  <si>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</si>
  <si>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</si>
  <si>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</si>
  <si>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</si>
  <si>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</si>
  <si>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</si>
  <si>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</si>
  <si>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</si>
  <si>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</si>
  <si>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</si>
  <si>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</si>
  <si>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</si>
  <si>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</si>
  <si>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</si>
  <si>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</si>
  <si>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</si>
  <si>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</si>
  <si>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</si>
  <si>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</si>
  <si>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</si>
  <si>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</si>
  <si>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</si>
  <si>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</si>
  <si>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</si>
  <si>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</si>
  <si>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</si>
  <si>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</si>
  <si>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</si>
  <si>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</si>
  <si>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</si>
  <si>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</si>
  <si>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</si>
  <si>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</si>
  <si>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</si>
  <si>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</si>
  <si>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</si>
  <si>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</si>
  <si>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</si>
  <si>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</si>
  <si>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</si>
  <si>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</si>
  <si>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</si>
  <si>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</si>
  <si>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</si>
  <si>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</si>
  <si>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</si>
  <si>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</si>
  <si>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</si>
  <si>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</si>
  <si>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</si>
  <si>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</si>
  <si>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</si>
  <si>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</si>
  <si>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</si>
  <si>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</si>
  <si>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</si>
  <si>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</si>
  <si>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</si>
  <si>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</si>
  <si>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</si>
  <si>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</si>
  <si>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</si>
  <si>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</si>
  <si>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</si>
  <si>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</si>
  <si>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</si>
  <si>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</si>
  <si>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</si>
  <si>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</si>
  <si>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</si>
  <si>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</si>
  <si>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</si>
  <si>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</si>
  <si>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</si>
  <si>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</si>
  <si>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</si>
  <si>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</si>
  <si>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</si>
  <si>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</si>
  <si>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</si>
  <si>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</si>
  <si>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</si>
  <si>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</si>
  <si>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</si>
  <si>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</si>
  <si>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</si>
  <si>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</si>
  <si>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</si>
  <si>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</si>
  <si>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</si>
  <si>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</si>
  <si>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</si>
  <si>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</si>
  <si>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</si>
  <si>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</si>
  <si>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</si>
  <si>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</si>
  <si>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</si>
  <si>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</si>
  <si>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</si>
  <si>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</si>
  <si>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</si>
  <si>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</si>
  <si>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</si>
  <si>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</si>
  <si>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</si>
  <si>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</si>
  <si>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</si>
  <si>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</si>
  <si>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</si>
  <si>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</si>
  <si>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</si>
  <si>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</si>
  <si>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</si>
  <si>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</si>
  <si>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</si>
  <si>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</si>
  <si>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</si>
  <si>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</si>
  <si>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</si>
  <si>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</si>
  <si>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</si>
  <si>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</si>
  <si>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</si>
  <si>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</si>
  <si>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</si>
  <si>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</si>
  <si>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</si>
  <si>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</si>
  <si>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</si>
  <si>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</si>
  <si>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</si>
  <si>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</si>
  <si>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</si>
  <si>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</si>
  <si>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</si>
  <si>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</si>
  <si>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</si>
  <si>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</si>
  <si>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</si>
  <si>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</si>
  <si>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</si>
  <si>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</si>
  <si>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</si>
  <si>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</si>
  <si>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</si>
  <si>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</si>
  <si>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</si>
  <si>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</si>
  <si>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</si>
  <si>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</si>
  <si>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</si>
  <si>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</si>
  <si>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</si>
  <si>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</si>
  <si>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</si>
  <si>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</si>
  <si>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</si>
  <si>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</si>
  <si>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</si>
  <si>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</si>
  <si>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</si>
  <si>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</si>
  <si>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</si>
  <si>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</si>
  <si>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</si>
  <si>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</si>
  <si>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</si>
  <si>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</si>
  <si>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</si>
  <si>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</si>
  <si>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</si>
  <si>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</si>
  <si>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</si>
  <si>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</si>
  <si>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</si>
  <si>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</si>
  <si>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</si>
  <si>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</si>
  <si>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</si>
  <si>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</si>
  <si>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</si>
  <si>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</si>
  <si>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</si>
  <si>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</si>
  <si>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</si>
  <si>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</si>
  <si>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</si>
  <si>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</si>
  <si>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</si>
  <si>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</si>
  <si>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</si>
  <si>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</si>
  <si>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</si>
  <si>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</si>
  <si>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</si>
  <si>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</si>
  <si>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</si>
  <si>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</si>
  <si>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</si>
  <si>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</si>
  <si>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</si>
  <si>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</si>
  <si>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</si>
  <si>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</si>
  <si>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</si>
  <si>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</si>
  <si>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</si>
  <si>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</si>
  <si>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</si>
  <si>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</si>
  <si>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</si>
  <si>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</si>
  <si>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</si>
  <si>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</si>
  <si>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</si>
  <si>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</si>
  <si>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</si>
  <si>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</si>
  <si>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</si>
  <si>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</si>
  <si>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</si>
  <si>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</si>
  <si>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</si>
  <si>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</si>
  <si>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</si>
  <si>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</si>
  <si>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</si>
  <si>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</si>
  <si>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</si>
  <si>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</si>
  <si>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</si>
  <si>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</si>
  <si>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</si>
  <si>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</si>
  <si>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</si>
  <si>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</si>
  <si>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</si>
  <si>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</si>
  <si>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</si>
  <si>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</si>
  <si>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</si>
  <si>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</si>
  <si>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</si>
  <si>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</si>
  <si>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</si>
  <si>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</si>
  <si>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</si>
  <si>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</si>
  <si>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</si>
  <si>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</si>
  <si>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</si>
  <si>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</si>
  <si>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</si>
  <si>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</si>
  <si>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</si>
  <si>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</si>
  <si>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</si>
  <si>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</si>
  <si>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</si>
  <si>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</si>
  <si>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</si>
  <si>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</si>
  <si>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</si>
  <si>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</si>
  <si>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</si>
  <si>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</si>
  <si>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</si>
  <si>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</si>
  <si>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</si>
  <si>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</si>
  <si>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</si>
  <si>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</si>
  <si>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</si>
  <si>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</si>
  <si>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</si>
  <si>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</si>
  <si>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</si>
  <si>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</si>
  <si>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</si>
  <si>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</si>
  <si>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</si>
  <si>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</si>
  <si>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</si>
  <si>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</si>
  <si>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</si>
  <si>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</si>
  <si>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</si>
  <si>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</si>
  <si>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</si>
  <si>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</si>
  <si>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</si>
  <si>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</si>
  <si>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</si>
  <si>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</si>
  <si>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</si>
  <si>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</si>
  <si>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</si>
  <si>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</si>
  <si>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</si>
  <si>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</si>
  <si>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</si>
  <si>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</si>
  <si>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</si>
  <si>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</si>
  <si>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</si>
  <si>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</si>
  <si>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</si>
  <si>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</si>
  <si>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</si>
  <si>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</si>
  <si>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</si>
  <si>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</si>
  <si>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</si>
  <si>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</si>
  <si>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</si>
  <si>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</si>
  <si>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</si>
  <si>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</si>
  <si>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</si>
  <si>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</si>
  <si>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</si>
  <si>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</si>
  <si>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</si>
  <si>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</si>
  <si>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</si>
  <si>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</si>
  <si>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</si>
  <si>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</si>
  <si>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</si>
  <si>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</si>
  <si>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</si>
  <si>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</si>
  <si>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</si>
  <si>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</si>
  <si>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</si>
  <si>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</si>
  <si>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</si>
  <si>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</si>
  <si>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</si>
  <si>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</si>
  <si>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</si>
  <si>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</si>
  <si>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</si>
  <si>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</si>
  <si>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</si>
  <si>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</si>
  <si>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</si>
  <si>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</si>
  <si>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</si>
  <si>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</si>
  <si>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</si>
  <si>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</si>
  <si>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</si>
  <si>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</si>
  <si>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</si>
  <si>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</si>
  <si>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</si>
  <si>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</si>
  <si>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</si>
  <si>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</si>
  <si>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</si>
  <si>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</si>
  <si>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</si>
  <si>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</si>
  <si>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</si>
  <si>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</si>
  <si>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</si>
  <si>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</si>
  <si>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</si>
  <si>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</si>
  <si>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</si>
  <si>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</si>
  <si>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</si>
  <si>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</si>
  <si>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</si>
  <si>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</si>
  <si>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</si>
  <si>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</si>
  <si>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</si>
  <si>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</si>
  <si>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</si>
  <si>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</si>
  <si>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</si>
  <si>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</si>
  <si>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</si>
  <si>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</si>
  <si>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</si>
  <si>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</si>
  <si>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</si>
  <si>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</si>
  <si>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</si>
  <si>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</si>
  <si>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</si>
  <si>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</si>
  <si>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</si>
  <si>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</si>
  <si>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</si>
  <si>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</si>
  <si>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</si>
  <si>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</si>
  <si>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</si>
  <si>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</si>
  <si>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</si>
  <si>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</si>
  <si>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</si>
  <si>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</si>
  <si>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</si>
  <si>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</si>
  <si>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</si>
  <si>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</si>
  <si>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</si>
  <si>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</si>
  <si>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</si>
  <si>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</si>
  <si>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</si>
  <si>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</si>
  <si>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</si>
  <si>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</si>
  <si>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</si>
  <si>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</si>
  <si>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</si>
  <si>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</si>
  <si>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</si>
  <si>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</si>
  <si>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</si>
  <si>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</si>
  <si>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</si>
  <si>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</si>
  <si>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</si>
  <si>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</si>
  <si>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</si>
  <si>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</si>
  <si>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</si>
  <si>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</si>
  <si>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</si>
  <si>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</si>
  <si>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</si>
  <si>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</si>
  <si>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</si>
  <si>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</si>
  <si>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</si>
  <si>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</si>
  <si>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</si>
  <si>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</si>
  <si>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</si>
  <si>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</si>
  <si>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</si>
  <si>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</si>
  <si>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</si>
  <si>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</si>
  <si>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</si>
  <si>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</si>
  <si>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</si>
  <si>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</si>
  <si>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</si>
  <si>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</si>
  <si>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</si>
  <si>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</si>
  <si>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</si>
  <si>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</si>
  <si>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</si>
  <si>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</si>
  <si>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</si>
  <si>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</si>
  <si>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</si>
  <si>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</si>
  <si>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</si>
  <si>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</si>
  <si>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</si>
  <si>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</si>
  <si>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</si>
  <si>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</si>
  <si>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</si>
  <si>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</si>
  <si>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</si>
  <si>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</si>
  <si>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</si>
  <si>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</si>
  <si>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</si>
  <si>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</si>
  <si>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</si>
  <si>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</si>
  <si>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</si>
  <si>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</si>
  <si>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</si>
  <si>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</si>
  <si>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</si>
  <si>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</si>
  <si>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</si>
  <si>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</si>
  <si>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</si>
  <si>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</si>
  <si>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</si>
  <si>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</si>
  <si>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</si>
  <si>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</si>
  <si>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</si>
  <si>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</si>
  <si>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</si>
  <si>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</si>
  <si>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</si>
  <si>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</si>
  <si>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</si>
  <si>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</si>
  <si>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</si>
  <si>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</si>
  <si>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</si>
  <si>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</si>
  <si>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</si>
  <si>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</si>
  <si>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</si>
  <si>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</si>
  <si>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</si>
  <si>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</si>
  <si>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</si>
  <si>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</si>
  <si>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</si>
  <si>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</si>
  <si>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</si>
  <si>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</si>
  <si>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</si>
  <si>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</si>
  <si>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</si>
  <si>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</si>
  <si>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</si>
  <si>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</si>
  <si>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</si>
  <si>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</si>
  <si>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</si>
  <si>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</si>
  <si>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</si>
  <si>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</si>
  <si>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</si>
  <si>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</si>
  <si>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</si>
  <si>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</si>
  <si>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</si>
  <si>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</si>
  <si>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</si>
  <si>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</si>
  <si>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</si>
  <si>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</si>
  <si>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</si>
  <si>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</si>
  <si>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</si>
  <si>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</si>
  <si>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</si>
  <si>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</si>
  <si>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</si>
  <si>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</si>
  <si>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</si>
  <si>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</si>
  <si>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</si>
  <si>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</si>
  <si>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</si>
  <si>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</si>
  <si>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</si>
  <si>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</si>
  <si>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</si>
  <si>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</si>
  <si>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</si>
  <si>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</si>
  <si>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</si>
  <si>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</si>
  <si>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</si>
  <si>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</si>
  <si>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</si>
  <si>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</si>
  <si>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</si>
  <si>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</si>
  <si>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</si>
  <si>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</si>
  <si>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</si>
  <si>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</si>
  <si>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</si>
  <si>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</si>
  <si>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</si>
  <si>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</si>
  <si>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</si>
  <si>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</si>
  <si>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</si>
  <si>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</si>
  <si>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</si>
  <si>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</si>
  <si>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</si>
  <si>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</si>
  <si>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</si>
  <si>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</si>
  <si>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</si>
  <si>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</si>
  <si>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</si>
  <si>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</si>
  <si>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</si>
  <si>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</si>
  <si>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</si>
  <si>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</si>
  <si>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</si>
  <si>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</si>
  <si>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</si>
  <si>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</si>
  <si>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</si>
  <si>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</si>
  <si>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</si>
  <si>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</si>
  <si>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</si>
  <si>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</si>
  <si>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</si>
  <si>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</si>
  <si>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</si>
  <si>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</si>
  <si>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</si>
  <si>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</si>
  <si>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</si>
  <si>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</si>
  <si>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</si>
  <si>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</si>
  <si>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</si>
  <si>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</si>
  <si>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</si>
  <si>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</si>
  <si>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</si>
  <si>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</si>
  <si>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</si>
  <si>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</si>
  <si>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</si>
  <si>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</si>
  <si>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</si>
  <si>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</si>
  <si>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</si>
  <si>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</si>
  <si>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</si>
  <si>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</si>
  <si>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</si>
  <si>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</si>
  <si>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</si>
  <si>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</si>
  <si>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</si>
  <si>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</si>
  <si>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</si>
  <si>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</si>
  <si>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</si>
  <si>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</si>
  <si>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</si>
  <si>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</si>
  <si>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</si>
  <si>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</si>
  <si>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</si>
  <si>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</si>
  <si>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</si>
  <si>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</si>
  <si>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</si>
  <si>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</si>
  <si>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</si>
  <si>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</si>
  <si>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</si>
  <si>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</si>
  <si>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</si>
  <si>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</si>
  <si>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</si>
  <si>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</si>
  <si>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</si>
  <si>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</si>
  <si>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</si>
  <si>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</si>
  <si>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</si>
  <si>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</si>
  <si>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</si>
  <si>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</si>
  <si>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</si>
  <si>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</si>
  <si>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</si>
  <si>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</si>
  <si>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</si>
  <si>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</si>
  <si>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</si>
  <si>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</si>
  <si>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</si>
  <si>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</si>
  <si>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</si>
  <si>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</si>
  <si>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</si>
  <si>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</si>
  <si>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</si>
  <si>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</si>
  <si>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</si>
  <si>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</si>
  <si>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</si>
  <si>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</si>
  <si>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</si>
  <si>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</si>
  <si>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</si>
  <si>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</si>
  <si>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</si>
  <si>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</si>
  <si>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</si>
  <si>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</si>
  <si>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</si>
  <si>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</si>
  <si>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</si>
  <si>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</si>
  <si>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</si>
  <si>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</si>
  <si>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</si>
  <si>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</si>
  <si>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</si>
  <si>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</si>
  <si>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</si>
  <si>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</si>
  <si>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</si>
  <si>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</si>
  <si>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</si>
  <si>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</si>
  <si>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</si>
  <si>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</si>
  <si>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</si>
  <si>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</si>
  <si>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</si>
  <si>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</si>
  <si>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</si>
  <si>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</si>
  <si>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</si>
  <si>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</si>
  <si>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</si>
  <si>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</si>
  <si>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</si>
  <si>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</si>
  <si>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</si>
  <si>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</si>
  <si>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</si>
  <si>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</si>
  <si>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</si>
  <si>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</si>
  <si>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</si>
  <si>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</si>
  <si>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</si>
  <si>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</si>
  <si>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</si>
  <si>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</si>
  <si>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</si>
  <si>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</si>
  <si>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</si>
  <si>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</si>
  <si>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</si>
  <si>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</si>
  <si>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</si>
  <si>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</si>
  <si>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</si>
  <si>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</si>
  <si>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</si>
  <si>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</si>
  <si>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</si>
  <si>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</si>
  <si>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</si>
  <si>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</si>
  <si>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</si>
  <si>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</si>
  <si>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</si>
  <si>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</si>
  <si>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</si>
  <si>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</si>
  <si>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</si>
  <si>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</si>
  <si>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</si>
  <si>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</si>
  <si>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</si>
  <si>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</si>
  <si>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</si>
  <si>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</si>
  <si>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</si>
  <si>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</si>
  <si>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</si>
  <si>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</si>
  <si>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</si>
  <si>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</si>
  <si>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</si>
  <si>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</si>
  <si>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</si>
  <si>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</si>
  <si>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</si>
  <si>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</si>
  <si>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</si>
  <si>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</si>
  <si>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</si>
  <si>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</si>
  <si>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</si>
  <si>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</si>
  <si>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</si>
  <si>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</si>
  <si>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</si>
  <si>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</si>
  <si>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</si>
  <si>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</si>
  <si>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</si>
  <si>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</si>
  <si>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</si>
  <si>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</si>
  <si>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</si>
  <si>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</si>
  <si>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</si>
  <si>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</si>
  <si>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</si>
  <si>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</si>
  <si>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</si>
  <si>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</si>
  <si>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</si>
  <si>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</si>
  <si>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</si>
  <si>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</si>
  <si>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</si>
  <si>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</si>
  <si>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</si>
  <si>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</si>
  <si>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</si>
  <si>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</si>
  <si>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</si>
  <si>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</si>
  <si>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</si>
  <si>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</si>
  <si>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</si>
  <si>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</si>
  <si>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</si>
  <si>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</si>
  <si>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</si>
  <si>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</si>
  <si>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</si>
  <si>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</si>
  <si>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</si>
  <si>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</si>
  <si>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</si>
  <si>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</si>
  <si>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</si>
  <si>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</si>
  <si>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</si>
  <si>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</si>
  <si>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</si>
  <si>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</si>
  <si>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</si>
  <si>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</si>
  <si>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</si>
  <si>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</si>
  <si>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</si>
  <si>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</si>
  <si>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</si>
  <si>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</si>
  <si>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</si>
  <si>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</si>
  <si>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</si>
  <si>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</si>
  <si>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</si>
  <si>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</si>
  <si>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</si>
  <si>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</si>
  <si>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</si>
  <si>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</si>
  <si>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</si>
  <si>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</si>
  <si>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</si>
  <si>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</si>
  <si>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</si>
  <si>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</si>
  <si>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</si>
  <si>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</si>
  <si>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</si>
  <si>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</si>
  <si>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</si>
  <si>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</si>
  <si>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</si>
  <si>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</si>
  <si>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</si>
  <si>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</si>
  <si>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</si>
  <si>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</si>
  <si>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</si>
  <si>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</si>
  <si>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</si>
  <si>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</si>
  <si>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</si>
  <si>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</si>
  <si>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</si>
  <si>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</si>
  <si>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</si>
  <si>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</si>
  <si>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</si>
  <si>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</si>
  <si>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</si>
  <si>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</si>
  <si>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</si>
  <si>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</si>
  <si>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</si>
  <si>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</si>
  <si>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</si>
  <si>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</si>
  <si>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</si>
  <si>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</si>
  <si>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</si>
  <si>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</si>
  <si>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</si>
  <si>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</si>
  <si>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</si>
  <si>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</si>
  <si>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</si>
  <si>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</si>
  <si>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</si>
  <si>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</si>
  <si>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</si>
  <si>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</si>
  <si>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</si>
  <si>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</si>
  <si>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</si>
  <si>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</si>
  <si>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</si>
  <si>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</si>
  <si>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</si>
  <si>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</si>
  <si>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</si>
  <si>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</si>
  <si>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</si>
  <si>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</si>
  <si>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</si>
  <si>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</si>
  <si>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</si>
  <si>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</si>
  <si>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</si>
  <si>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</si>
  <si>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</si>
  <si>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</si>
  <si>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</si>
  <si>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</si>
  <si>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</si>
  <si>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</si>
  <si>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</si>
  <si>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</si>
  <si>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</si>
  <si>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</si>
  <si>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</si>
  <si>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</si>
  <si>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</si>
  <si>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</si>
  <si>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</si>
  <si>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</si>
  <si>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</si>
  <si>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</si>
  <si>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</si>
  <si>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</si>
  <si>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</si>
  <si>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</si>
  <si>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</si>
  <si>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</si>
  <si>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</si>
  <si>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</si>
  <si>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</si>
  <si>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</si>
  <si>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</si>
  <si>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</si>
  <si>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</si>
  <si>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</si>
  <si>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</si>
  <si>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</si>
  <si>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</si>
  <si>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</si>
  <si>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</si>
  <si>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</si>
  <si>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</si>
  <si>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</si>
  <si>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</si>
  <si>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</si>
  <si>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</si>
  <si>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</si>
  <si>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</si>
  <si>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</si>
  <si>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</si>
  <si>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</si>
  <si>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</si>
  <si>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</si>
  <si>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</si>
  <si>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</si>
  <si>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</si>
  <si>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</si>
  <si>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</si>
  <si>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</si>
  <si>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</si>
  <si>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</si>
  <si>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</si>
  <si>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</si>
  <si>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</si>
  <si>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</si>
  <si>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</si>
  <si>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</si>
  <si>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</si>
  <si>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</si>
  <si>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</si>
  <si>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</si>
  <si>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</si>
  <si>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</si>
  <si>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</si>
  <si>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</si>
  <si>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</si>
  <si>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</si>
  <si>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</si>
  <si>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</si>
  <si>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</si>
  <si>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</si>
  <si>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</si>
  <si>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</si>
  <si>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</si>
  <si>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</si>
  <si>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</si>
  <si>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</si>
  <si>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</si>
  <si>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</si>
  <si>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</si>
  <si>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</si>
  <si>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</si>
  <si>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</si>
  <si>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</si>
  <si>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</si>
  <si>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</si>
  <si>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</si>
  <si>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</si>
  <si>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</si>
  <si>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</si>
  <si>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</si>
  <si>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</si>
  <si>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</si>
  <si>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</si>
  <si>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</si>
  <si>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</si>
  <si>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</si>
  <si>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</si>
  <si>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</si>
  <si>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</si>
  <si>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</si>
  <si>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</si>
  <si>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</si>
  <si>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</si>
  <si>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</si>
  <si>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</si>
  <si>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</si>
  <si>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</si>
  <si>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</si>
  <si>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</si>
  <si>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</si>
  <si>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</si>
  <si>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</si>
  <si>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</si>
  <si>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</si>
  <si>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</si>
  <si>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</si>
  <si>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</si>
  <si>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</si>
  <si>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</si>
  <si>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</si>
  <si>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</si>
  <si>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</si>
  <si>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</si>
  <si>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</si>
  <si>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</si>
  <si>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</si>
  <si>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</si>
  <si>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</si>
  <si>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</si>
  <si>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</si>
  <si>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</si>
  <si>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</si>
  <si>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</si>
  <si>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</si>
  <si>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</si>
  <si>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</si>
  <si>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</si>
  <si>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</si>
  <si>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</si>
  <si>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</si>
  <si>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</si>
  <si>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</si>
  <si>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</si>
  <si>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</si>
  <si>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</si>
  <si>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</si>
  <si>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</si>
  <si>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</si>
  <si>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</si>
  <si>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</si>
  <si>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</si>
  <si>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</si>
  <si>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</si>
  <si>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</si>
  <si>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</si>
  <si>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</si>
  <si>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</si>
  <si>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</si>
  <si>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</si>
  <si>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</si>
  <si>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</si>
  <si>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</si>
  <si>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</si>
  <si>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</si>
  <si>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</si>
  <si>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</si>
  <si>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</si>
  <si>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</si>
  <si>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</si>
  <si>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</si>
  <si>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</si>
  <si>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</si>
  <si>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</si>
  <si>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</si>
  <si>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</si>
  <si>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</si>
  <si>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</si>
  <si>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</si>
  <si>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</si>
  <si>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</si>
  <si>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</si>
  <si>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</si>
  <si>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</si>
  <si>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</si>
  <si>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</si>
  <si>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</si>
  <si>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</si>
  <si>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</si>
  <si>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</si>
  <si>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</si>
  <si>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</si>
  <si>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</si>
  <si>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</si>
  <si>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</si>
  <si>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</si>
  <si>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</si>
  <si>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</si>
  <si>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</si>
  <si>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</si>
  <si>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</si>
  <si>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</si>
  <si>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</si>
  <si>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</si>
  <si>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</si>
  <si>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</si>
  <si>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</si>
  <si>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</si>
  <si>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</si>
  <si>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</si>
  <si>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</si>
  <si>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</si>
  <si>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</si>
  <si>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</si>
  <si>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</si>
  <si>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</si>
  <si>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</si>
  <si>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</si>
  <si>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</si>
  <si>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</si>
  <si>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</si>
  <si>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</si>
  <si>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</si>
  <si>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</si>
  <si>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</si>
  <si>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</si>
  <si>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</si>
  <si>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</si>
  <si>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</si>
  <si>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</si>
  <si>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</si>
  <si>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</si>
  <si>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</si>
  <si>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</si>
  <si>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</si>
  <si>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</si>
  <si>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</si>
  <si>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</si>
  <si>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</si>
  <si>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</si>
  <si>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</si>
  <si>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</si>
  <si>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</si>
  <si>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</si>
  <si>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</si>
  <si>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</si>
  <si>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</si>
  <si>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</si>
  <si>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</si>
  <si>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</si>
  <si>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</si>
  <si>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</si>
  <si>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</si>
  <si>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</si>
  <si>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</si>
  <si>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</si>
  <si>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</si>
  <si>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</si>
  <si>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</si>
  <si>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</si>
  <si>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</si>
  <si>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</si>
  <si>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</si>
  <si>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</si>
  <si>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</si>
  <si>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</si>
  <si>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</si>
  <si>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</si>
  <si>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</si>
  <si>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</si>
  <si>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</si>
  <si>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</si>
  <si>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</si>
  <si>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</si>
  <si>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</si>
  <si>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</si>
  <si>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</si>
  <si>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</si>
  <si>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</si>
  <si>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</si>
  <si>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</si>
  <si>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</si>
  <si>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</si>
  <si>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</si>
  <si>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</si>
  <si>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</si>
  <si>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</si>
  <si>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</si>
  <si>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</si>
  <si>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</si>
  <si>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</si>
  <si>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</si>
  <si>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</si>
  <si>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</si>
  <si>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</si>
  <si>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</si>
  <si>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</si>
  <si>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</si>
  <si>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</si>
  <si>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</si>
  <si>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</si>
  <si>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</si>
  <si>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</si>
  <si>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</si>
  <si>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</si>
  <si>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</si>
  <si>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</si>
  <si>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</si>
  <si>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</si>
  <si>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</si>
  <si>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</si>
  <si>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</si>
  <si>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</si>
  <si>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</si>
  <si>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</si>
  <si>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</si>
  <si>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</si>
  <si>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</si>
  <si>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</si>
  <si>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</si>
  <si>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</si>
  <si>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</si>
  <si>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</si>
  <si>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</si>
  <si>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</si>
  <si>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</si>
  <si>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</si>
  <si>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</si>
  <si>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</si>
  <si>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</si>
  <si>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</si>
  <si>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</si>
  <si>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</si>
  <si>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</si>
  <si>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</si>
  <si>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</si>
  <si>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</si>
  <si>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</si>
  <si>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</si>
  <si>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</si>
  <si>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</si>
  <si>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</si>
  <si>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</si>
  <si>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</si>
  <si>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</si>
  <si>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</si>
  <si>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</si>
  <si>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</si>
  <si>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</si>
  <si>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</si>
  <si>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</si>
  <si>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</si>
  <si>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</si>
  <si>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</si>
  <si>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</si>
  <si>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</si>
  <si>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</si>
  <si>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</si>
  <si>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</si>
  <si>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</si>
  <si>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</si>
  <si>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</si>
  <si>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</si>
  <si>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</si>
  <si>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</si>
  <si>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</si>
  <si>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</si>
  <si>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</si>
  <si>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</si>
  <si>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</si>
  <si>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</si>
  <si>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</si>
  <si>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</si>
  <si>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</si>
  <si>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</si>
  <si>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</si>
  <si>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</si>
  <si>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</si>
  <si>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</si>
  <si>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</si>
  <si>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</si>
  <si>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</si>
  <si>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</si>
  <si>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</si>
  <si>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</si>
  <si>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</si>
  <si>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</si>
  <si>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</si>
  <si>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</si>
  <si>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</si>
  <si>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</si>
  <si>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</si>
  <si>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</si>
  <si>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</si>
  <si>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</si>
  <si>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</si>
  <si>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</si>
  <si>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</si>
  <si>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</si>
  <si>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</si>
  <si>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</si>
  <si>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</si>
  <si>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</si>
  <si>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</si>
  <si>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</si>
  <si>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</si>
  <si>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</si>
  <si>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</si>
  <si>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</si>
  <si>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</si>
  <si>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</si>
  <si>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</si>
  <si>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</si>
  <si>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</si>
  <si>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</si>
  <si>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</si>
  <si>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</si>
  <si>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</si>
  <si>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</si>
  <si>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</si>
  <si>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</si>
  <si>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</si>
  <si>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</si>
  <si>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</si>
  <si>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</si>
  <si>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</si>
  <si>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</si>
  <si>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</si>
  <si>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</si>
  <si>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</si>
  <si>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</si>
  <si>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</si>
  <si>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</si>
  <si>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</si>
  <si>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</si>
  <si>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</si>
  <si>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</si>
  <si>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</si>
  <si>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</si>
  <si>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</si>
  <si>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</si>
  <si>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</si>
  <si>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</si>
  <si>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</si>
  <si>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</si>
  <si>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</si>
  <si>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</si>
  <si>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</si>
  <si>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</si>
  <si>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</si>
  <si>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</si>
  <si>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</si>
  <si>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</si>
  <si>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</si>
  <si>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</si>
  <si>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</si>
  <si>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</si>
  <si>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</si>
  <si>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</si>
  <si>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</si>
  <si>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</si>
  <si>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</si>
  <si>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</si>
  <si>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</si>
  <si>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</si>
  <si>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</si>
  <si>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</si>
  <si>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</si>
  <si>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</si>
  <si>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</si>
  <si>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</si>
  <si>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</si>
  <si>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</si>
  <si>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</si>
  <si>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</si>
  <si>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</si>
  <si>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</si>
  <si>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</si>
  <si>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</si>
  <si>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</si>
  <si>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</si>
  <si>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</si>
  <si>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</si>
  <si>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</si>
  <si>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</si>
  <si>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</si>
  <si>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</si>
  <si>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</si>
  <si>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</si>
  <si>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</si>
  <si>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</si>
  <si>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</si>
  <si>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</si>
  <si>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</si>
  <si>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</si>
  <si>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</si>
  <si>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</si>
  <si>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</si>
  <si>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</si>
  <si>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</si>
  <si>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</si>
  <si>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</si>
  <si>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</si>
  <si>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</si>
  <si>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</si>
  <si>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</si>
  <si>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</si>
  <si>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</si>
  <si>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</si>
  <si>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</si>
  <si>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</si>
  <si>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</si>
  <si>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</si>
  <si>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</si>
  <si>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</si>
  <si>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</si>
  <si>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</si>
  <si>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</si>
  <si>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</si>
  <si>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</si>
  <si>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</si>
  <si>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</si>
  <si>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</si>
  <si>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</si>
  <si>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</si>
  <si>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</si>
  <si>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</si>
  <si>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</si>
  <si>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</si>
  <si>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</si>
  <si>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</si>
  <si>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</si>
  <si>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</si>
  <si>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</si>
  <si>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</si>
  <si>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</si>
  <si>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</si>
  <si>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</si>
  <si>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</si>
  <si>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</si>
  <si>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</si>
  <si>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</si>
  <si>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</si>
  <si>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</si>
  <si>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</si>
  <si>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</si>
  <si>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</si>
  <si>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</si>
  <si>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</si>
  <si>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</si>
  <si>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</si>
  <si>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</si>
  <si>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</si>
  <si>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</si>
  <si>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</si>
  <si>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</si>
  <si>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</si>
  <si>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</si>
  <si>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</si>
  <si>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</si>
  <si>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</si>
  <si>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</si>
  <si>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</si>
  <si>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</si>
  <si>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</si>
  <si>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</si>
  <si>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</si>
  <si>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</si>
  <si>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</si>
  <si>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</si>
  <si>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</si>
  <si>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</si>
  <si>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</si>
  <si>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</si>
  <si>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</si>
  <si>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</si>
  <si>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</si>
  <si>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</si>
  <si>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</si>
  <si>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</si>
  <si>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</si>
  <si>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</si>
  <si>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</si>
  <si>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</si>
  <si>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</si>
  <si>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</si>
  <si>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</si>
  <si>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</si>
  <si>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</si>
  <si>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</si>
  <si>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</si>
  <si>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</si>
  <si>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</si>
  <si>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</si>
  <si>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</si>
  <si>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</si>
  <si>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</si>
  <si>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</si>
  <si>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</si>
  <si>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</si>
  <si>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</si>
  <si>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</si>
  <si>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</si>
  <si>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</si>
  <si>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</si>
  <si>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</si>
  <si>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</si>
  <si>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</si>
  <si>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</si>
  <si>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</si>
  <si>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</si>
  <si>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</si>
  <si>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</si>
  <si>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</si>
  <si>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</si>
  <si>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</si>
  <si>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</si>
  <si>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</si>
  <si>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</si>
  <si>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</si>
  <si>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</si>
  <si>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</si>
  <si>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</si>
  <si>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</si>
  <si>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</si>
  <si>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</si>
  <si>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</si>
  <si>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</si>
  <si>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</si>
  <si>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</si>
  <si>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</si>
  <si>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</si>
  <si>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</si>
  <si>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</si>
  <si>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</si>
  <si>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</si>
  <si>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</si>
  <si>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</si>
  <si>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</si>
  <si>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</si>
  <si>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</si>
  <si>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</si>
  <si>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</si>
  <si>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</si>
  <si>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</si>
  <si>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</si>
  <si>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</si>
  <si>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</si>
  <si>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</si>
  <si>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</si>
  <si>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</si>
  <si>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</si>
  <si>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</si>
  <si>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</si>
  <si>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</si>
  <si>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</si>
  <si>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</si>
  <si>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</si>
  <si>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</si>
  <si>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</si>
  <si>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</si>
  <si>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</si>
  <si>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</si>
  <si>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</si>
  <si>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</si>
  <si>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</si>
  <si>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</si>
  <si>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</si>
  <si>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</si>
  <si>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</si>
  <si>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</si>
  <si>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</si>
  <si>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</si>
  <si>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</si>
  <si>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</si>
  <si>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</si>
  <si>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</si>
  <si>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</si>
  <si>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</si>
  <si>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</si>
  <si>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</si>
  <si>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</si>
  <si>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</si>
  <si>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</si>
  <si>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</si>
  <si>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</si>
  <si>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</si>
  <si>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</si>
  <si>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</si>
  <si>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</si>
  <si>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</si>
  <si>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</si>
  <si>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</si>
  <si>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</si>
  <si>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</si>
  <si>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</si>
  <si>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</si>
  <si>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</si>
  <si>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</si>
  <si>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</si>
  <si>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</si>
  <si>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</si>
  <si>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</si>
  <si>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</si>
  <si>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</si>
  <si>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</si>
  <si>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</si>
  <si>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</si>
  <si>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</si>
  <si>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</si>
  <si>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</si>
  <si>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</si>
  <si>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</si>
  <si>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</si>
  <si>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</si>
  <si>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</si>
  <si>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</si>
  <si>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</si>
  <si>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</si>
  <si>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</si>
  <si>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</si>
  <si>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</si>
  <si>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</si>
  <si>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</si>
  <si>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</si>
  <si>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</si>
  <si>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</si>
  <si>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</si>
  <si>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</si>
  <si>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</si>
  <si>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</si>
  <si>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</si>
  <si>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</si>
  <si>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</si>
  <si>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</si>
  <si>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</si>
  <si>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</si>
  <si>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</si>
  <si>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</si>
  <si>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</si>
  <si>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</si>
  <si>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</si>
  <si>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</si>
  <si>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</si>
  <si>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</si>
  <si>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</si>
  <si>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</si>
  <si>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</si>
  <si>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</si>
  <si>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</si>
  <si>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</si>
  <si>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</si>
  <si>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</si>
  <si>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</si>
  <si>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</si>
  <si>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</si>
  <si>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</si>
  <si>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</si>
  <si>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</si>
  <si>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</si>
  <si>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</si>
  <si>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</si>
  <si>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</si>
  <si>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</si>
  <si>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</si>
  <si>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</si>
  <si>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</si>
  <si>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</si>
  <si>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</si>
  <si>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</si>
  <si>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</si>
  <si>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</si>
  <si>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</si>
  <si>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</si>
  <si>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</si>
  <si>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</si>
  <si>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</si>
  <si>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</si>
  <si>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</si>
  <si>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</si>
  <si>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</si>
  <si>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</si>
  <si>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</si>
  <si>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</si>
  <si>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</si>
  <si>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</si>
  <si>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</si>
  <si>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</si>
  <si>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</si>
  <si>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</si>
  <si>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</si>
  <si>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</si>
  <si>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</si>
  <si>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</si>
  <si>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</si>
  <si>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</si>
  <si>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</si>
  <si>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</si>
  <si>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</si>
  <si>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</si>
  <si>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</si>
  <si>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</si>
  <si>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</si>
  <si>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</si>
  <si>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</si>
  <si>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</si>
  <si>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</si>
  <si>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</si>
  <si>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</si>
  <si>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</si>
  <si>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</si>
  <si>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</si>
  <si>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</si>
  <si>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</si>
  <si>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</si>
  <si>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</si>
  <si>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</si>
  <si>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</si>
  <si>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</si>
  <si>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</si>
  <si>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</si>
  <si>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</si>
  <si>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</si>
  <si>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</si>
  <si>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</si>
  <si>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</si>
  <si>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</si>
  <si>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</si>
  <si>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</si>
  <si>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</si>
  <si>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</si>
  <si>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</si>
  <si>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</si>
  <si>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</si>
  <si>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</si>
  <si>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</si>
  <si>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</si>
  <si>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</si>
  <si>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</si>
  <si>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</si>
  <si>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</si>
  <si>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</si>
  <si>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</si>
  <si>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</si>
  <si>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</si>
  <si>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</si>
  <si>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</si>
  <si>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</si>
  <si>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</si>
  <si>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</si>
  <si>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</si>
  <si>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</si>
  <si>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</si>
  <si>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</si>
  <si>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</si>
  <si>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</si>
  <si>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</si>
  <si>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</si>
  <si>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</si>
  <si>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</si>
  <si>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</si>
  <si>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</si>
  <si>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</si>
  <si>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</si>
  <si>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</si>
  <si>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</si>
  <si>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</si>
  <si>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</si>
  <si>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</si>
  <si>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</si>
  <si>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</si>
  <si>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</si>
  <si>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</si>
  <si>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</si>
  <si>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</si>
  <si>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</si>
  <si>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</si>
  <si>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</si>
  <si>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</si>
  <si>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</si>
  <si>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</si>
  <si>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</si>
  <si>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</si>
  <si>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</si>
  <si>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</si>
  <si>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</si>
  <si>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</si>
  <si>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</si>
  <si>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</si>
  <si>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</si>
  <si>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</si>
  <si>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</si>
  <si>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</si>
  <si>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</si>
  <si>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</si>
  <si>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</si>
  <si>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</si>
  <si>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</si>
  <si>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</si>
  <si>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</si>
  <si>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</si>
  <si>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</si>
  <si>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</si>
  <si>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</si>
  <si>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</si>
  <si>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</si>
  <si>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</si>
  <si>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</si>
  <si>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</si>
  <si>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</si>
  <si>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</si>
  <si>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</si>
  <si>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</si>
  <si>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</si>
  <si>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</si>
  <si>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</si>
  <si>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</si>
  <si>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</si>
  <si>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</si>
  <si>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</si>
  <si>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</si>
  <si>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</si>
  <si>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</si>
  <si>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</si>
  <si>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</si>
  <si>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</si>
  <si>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</si>
  <si>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</si>
  <si>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</si>
  <si>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</si>
  <si>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</si>
  <si>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</si>
  <si>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</si>
  <si>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</si>
  <si>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</si>
  <si>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</si>
  <si>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</si>
  <si>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</si>
  <si>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</si>
  <si>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</si>
  <si>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</si>
  <si>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</si>
  <si>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</si>
  <si>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</si>
  <si>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</si>
  <si>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</si>
  <si>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</si>
  <si>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</si>
  <si>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</si>
  <si>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</si>
  <si>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</si>
  <si>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</si>
  <si>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</si>
  <si>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</si>
  <si>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</si>
  <si>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</si>
  <si>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</si>
  <si>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</si>
  <si>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</si>
  <si>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</si>
  <si>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</si>
  <si>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</si>
  <si>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</si>
  <si>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</si>
  <si>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</si>
  <si>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</si>
  <si>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</si>
  <si>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</si>
  <si>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</si>
  <si>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</si>
  <si>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</si>
  <si>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</si>
  <si>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</si>
  <si>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</si>
  <si>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</si>
  <si>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</si>
  <si>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</si>
  <si>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</si>
  <si>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</si>
  <si>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</si>
  <si>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</si>
  <si>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</si>
  <si>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</si>
  <si>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</si>
  <si>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</si>
  <si>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</si>
  <si>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</si>
  <si>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</si>
  <si>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</si>
  <si>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</si>
  <si>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</si>
  <si>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</si>
  <si>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</si>
  <si>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</si>
  <si>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</si>
  <si>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</si>
  <si>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</si>
  <si>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</si>
  <si>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</si>
  <si>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</si>
  <si>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</si>
  <si>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</si>
  <si>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</si>
  <si>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</si>
  <si>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</si>
  <si>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</si>
  <si>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</si>
  <si>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</si>
  <si>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</si>
  <si>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</si>
  <si>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</si>
  <si>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</si>
  <si>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</si>
  <si>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</si>
  <si>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</si>
  <si>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</si>
  <si>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</si>
  <si>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</si>
  <si>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</si>
  <si>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</si>
  <si>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</si>
  <si>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</si>
  <si>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</si>
  <si>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</si>
  <si>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</si>
  <si>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</si>
  <si>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</si>
  <si>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</si>
  <si>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</si>
  <si>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</si>
  <si>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</si>
  <si>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</si>
  <si>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</si>
  <si>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</si>
  <si>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</si>
  <si>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</si>
  <si>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</si>
  <si>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</si>
  <si>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</si>
  <si>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</si>
  <si>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</si>
  <si>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</si>
  <si>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</si>
  <si>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</si>
  <si>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</si>
  <si>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</si>
  <si>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</si>
  <si>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</si>
  <si>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</si>
  <si>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</si>
  <si>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</si>
  <si>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</si>
  <si>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</si>
  <si>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</si>
  <si>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</si>
  <si>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</si>
  <si>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</si>
  <si>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</si>
  <si>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</si>
  <si>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</si>
  <si>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</si>
  <si>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</si>
  <si>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</si>
  <si>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</si>
  <si>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</si>
  <si>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</si>
  <si>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</si>
  <si>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</si>
  <si>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</si>
  <si>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</si>
  <si>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</si>
  <si>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</si>
  <si>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</si>
  <si>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</si>
  <si>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</si>
  <si>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</si>
  <si>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</si>
  <si>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</si>
  <si>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</si>
  <si>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</si>
  <si>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</si>
  <si>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</si>
  <si>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</si>
  <si>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</si>
  <si>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</si>
  <si>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</si>
  <si>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</si>
  <si>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</si>
  <si>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</si>
  <si>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</si>
  <si>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</si>
  <si>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</si>
  <si>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</si>
  <si>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</si>
  <si>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</si>
  <si>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</si>
  <si>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</si>
  <si>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</si>
  <si>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</si>
  <si>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</si>
  <si>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</si>
  <si>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</si>
  <si>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</si>
  <si>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</si>
  <si>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</si>
  <si>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</si>
  <si>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</si>
  <si>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</si>
  <si>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</si>
  <si>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</si>
  <si>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</si>
  <si>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</si>
  <si>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</si>
  <si>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</si>
  <si>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</si>
  <si>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</si>
  <si>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</si>
  <si>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</si>
  <si>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</si>
  <si>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</si>
  <si>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</si>
  <si>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</si>
  <si>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</si>
  <si>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</si>
  <si>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</si>
  <si>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</si>
  <si>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</si>
  <si>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</si>
  <si>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</si>
  <si>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</si>
  <si>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</si>
  <si>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</si>
  <si>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</si>
  <si>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</si>
  <si>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</si>
  <si>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</si>
  <si>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</si>
  <si>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</si>
  <si>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</si>
  <si>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</si>
  <si>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</si>
  <si>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</si>
  <si>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</si>
  <si>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</si>
  <si>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</si>
  <si>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</si>
  <si>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</si>
  <si>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</si>
  <si>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</si>
  <si>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</si>
  <si>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</si>
  <si>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</si>
  <si>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</si>
  <si>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</si>
  <si>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</si>
  <si>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</si>
  <si>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</si>
  <si>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</si>
  <si>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</si>
  <si>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</si>
  <si>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</si>
  <si>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</si>
  <si>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</si>
  <si>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</si>
  <si>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</si>
  <si>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</si>
  <si>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</si>
  <si>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</si>
  <si>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</si>
  <si>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</si>
  <si>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</si>
  <si>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</si>
  <si>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</si>
  <si>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</si>
  <si>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</si>
  <si>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</si>
  <si>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</si>
  <si>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</si>
  <si>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</si>
  <si>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</si>
  <si>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</si>
  <si>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</si>
  <si>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</si>
  <si>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</si>
  <si>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</si>
  <si>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</si>
  <si>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</si>
  <si>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</si>
  <si>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</si>
  <si>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</si>
  <si>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</si>
  <si>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</si>
  <si>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</si>
  <si>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</si>
  <si>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</si>
  <si>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</si>
  <si>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</si>
  <si>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</si>
  <si>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</si>
  <si>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</si>
  <si>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</si>
  <si>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</si>
  <si>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</si>
  <si>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</si>
  <si>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</si>
  <si>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</si>
  <si>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</si>
  <si>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</si>
  <si>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</si>
  <si>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</si>
  <si>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</si>
  <si>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</si>
  <si>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</si>
  <si>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</si>
  <si>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</si>
  <si>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</si>
  <si>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</si>
  <si>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</si>
  <si>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</si>
  <si>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</si>
  <si>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</si>
  <si>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</si>
  <si>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</si>
  <si>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</si>
  <si>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</si>
  <si>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</si>
  <si>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</si>
  <si>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</si>
  <si>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</si>
  <si>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</si>
  <si>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</si>
  <si>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</si>
  <si>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</si>
  <si>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</si>
  <si>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</si>
  <si>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</si>
  <si>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</si>
  <si>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</si>
  <si>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</si>
  <si>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</si>
  <si>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</si>
  <si>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</si>
  <si>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</si>
  <si>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</si>
  <si>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</si>
  <si>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</si>
  <si>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</si>
  <si>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</si>
  <si>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</si>
  <si>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</si>
  <si>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</si>
  <si>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</si>
  <si>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</si>
  <si>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</si>
  <si>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</si>
  <si>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</si>
  <si>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</si>
  <si>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</si>
  <si>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</si>
  <si>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</si>
  <si>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</si>
  <si>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</si>
  <si>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</si>
  <si>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</si>
  <si>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</si>
  <si>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</si>
  <si>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</si>
  <si>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</si>
  <si>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</si>
  <si>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</si>
  <si>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</si>
  <si>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</si>
  <si>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</si>
  <si>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</si>
  <si>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</si>
  <si>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</si>
  <si>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</si>
  <si>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</si>
  <si>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</si>
  <si>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</si>
  <si>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</si>
  <si>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</si>
  <si>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</si>
  <si>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</si>
  <si>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</si>
  <si>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</si>
  <si>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</si>
  <si>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</si>
  <si>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</si>
  <si>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</si>
  <si>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</si>
  <si>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</si>
  <si>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</si>
  <si>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</si>
  <si>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</si>
  <si>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</si>
  <si>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</si>
  <si>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</si>
  <si>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</si>
  <si>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</si>
  <si>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</si>
  <si>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</si>
  <si>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</si>
  <si>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</si>
  <si>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</si>
  <si>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</si>
  <si>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</si>
  <si>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</si>
  <si>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</si>
  <si>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</si>
  <si>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</si>
  <si>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</si>
  <si>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</si>
  <si>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</si>
  <si>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</si>
  <si>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</si>
  <si>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</si>
  <si>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</si>
  <si>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</si>
  <si>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</si>
  <si>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</si>
  <si>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</si>
  <si>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</si>
  <si>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</si>
  <si>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</si>
  <si>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</si>
  <si>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</si>
  <si>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</si>
  <si>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</si>
  <si>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</si>
  <si>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</si>
  <si>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</si>
  <si>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</si>
  <si>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</si>
  <si>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</si>
  <si>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</si>
  <si>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</si>
  <si>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</si>
  <si>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</si>
  <si>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</si>
  <si>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</si>
  <si>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</si>
  <si>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</si>
  <si>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</si>
  <si>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</si>
  <si>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</si>
  <si>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</si>
  <si>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</si>
  <si>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</si>
  <si>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</si>
  <si>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</si>
  <si>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</si>
  <si>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</si>
  <si>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</si>
  <si>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</si>
  <si>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</si>
  <si>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</si>
  <si>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</si>
  <si>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</si>
  <si>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</si>
  <si>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</si>
  <si>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</si>
  <si>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</si>
  <si>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</si>
  <si>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</si>
  <si>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</si>
  <si>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</si>
  <si>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</si>
  <si>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</si>
  <si>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</si>
  <si>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</si>
  <si>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</si>
  <si>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</si>
  <si>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</si>
  <si>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</si>
  <si>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</si>
  <si>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</si>
  <si>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</si>
  <si>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</si>
  <si>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</si>
  <si>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</si>
  <si>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</si>
  <si>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</si>
  <si>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</si>
  <si>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</si>
  <si>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</si>
  <si>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</si>
  <si>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</si>
  <si>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</si>
  <si>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</si>
  <si>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</si>
  <si>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</si>
  <si>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</si>
  <si>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</si>
  <si>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</si>
  <si>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</si>
  <si>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</si>
  <si>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</si>
  <si>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</si>
  <si>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</si>
  <si>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</si>
  <si>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</si>
  <si>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</si>
  <si>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</si>
  <si>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</si>
  <si>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</si>
  <si>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</si>
  <si>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</si>
  <si>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</si>
  <si>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</si>
  <si>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</si>
  <si>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</si>
  <si>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</si>
  <si>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</si>
  <si>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</si>
  <si>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</si>
  <si>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</si>
  <si>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</si>
  <si>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</si>
  <si>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</si>
  <si>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</si>
  <si>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</si>
  <si>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</si>
  <si>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</si>
  <si>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</si>
  <si>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</si>
  <si>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</si>
  <si>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</si>
  <si>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</si>
  <si>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</si>
  <si>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</si>
  <si>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</si>
  <si>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</si>
  <si>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</si>
  <si>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</si>
  <si>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</si>
  <si>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</si>
  <si>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</si>
  <si>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</si>
  <si>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</si>
  <si>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</si>
  <si>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</si>
  <si>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</si>
  <si>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</si>
  <si>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</si>
  <si>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</si>
  <si>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</si>
  <si>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</si>
  <si>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</si>
  <si>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</si>
  <si>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</si>
  <si>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</si>
  <si>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</si>
  <si>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</si>
  <si>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</si>
  <si>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</si>
  <si>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</si>
  <si>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</si>
  <si>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</si>
  <si>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</si>
  <si>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</si>
  <si>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</si>
  <si>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</si>
  <si>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</si>
  <si>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</si>
  <si>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</si>
  <si>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</si>
  <si>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</si>
  <si>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</si>
  <si>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</si>
  <si>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</si>
  <si>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</si>
  <si>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</si>
  <si>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</si>
  <si>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</si>
  <si>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</si>
  <si>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</si>
  <si>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</si>
  <si>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</si>
  <si>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</si>
  <si>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</si>
  <si>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</si>
  <si>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</si>
  <si>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</si>
  <si>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</si>
  <si>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</si>
  <si>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</si>
  <si>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</si>
  <si>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</si>
  <si>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</si>
  <si>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</si>
  <si>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</si>
  <si>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</si>
  <si>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</si>
  <si>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</si>
  <si>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</si>
  <si>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</si>
  <si>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</si>
  <si>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</si>
  <si>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</si>
  <si>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</si>
  <si>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</si>
  <si>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</si>
  <si>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</si>
  <si>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</si>
  <si>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</si>
  <si>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</si>
  <si>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</si>
  <si>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</si>
  <si>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</si>
  <si>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</si>
  <si>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</si>
  <si>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</si>
  <si>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</si>
  <si>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</si>
  <si>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</si>
  <si>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</si>
  <si>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</si>
  <si>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</si>
  <si>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</si>
  <si>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</si>
  <si>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</si>
  <si>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</si>
  <si>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</si>
  <si>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</si>
  <si>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</si>
  <si>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</si>
  <si>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</si>
  <si>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</si>
  <si>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</si>
  <si>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</si>
  <si>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</si>
  <si>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</si>
  <si>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</si>
  <si>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</si>
  <si>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</si>
  <si>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</si>
  <si>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</si>
  <si>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</si>
  <si>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</si>
  <si>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</si>
  <si>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</si>
  <si>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</si>
  <si>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</si>
  <si>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</si>
  <si>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</si>
  <si>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</si>
  <si>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</si>
  <si>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</si>
  <si>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</si>
  <si>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</si>
  <si>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</si>
  <si>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</si>
  <si>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</si>
  <si>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</si>
  <si>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</si>
  <si>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</si>
  <si>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</si>
  <si>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</si>
  <si>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</si>
  <si>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</si>
  <si>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</si>
  <si>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</si>
  <si>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</si>
  <si>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</si>
  <si>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</si>
  <si>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</si>
  <si>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</si>
  <si>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</si>
  <si>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</si>
  <si>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</si>
  <si>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</si>
  <si>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</si>
  <si>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</si>
  <si>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</si>
  <si>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</si>
  <si>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</si>
  <si>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</si>
  <si>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</si>
  <si>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</si>
  <si>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</si>
  <si>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</si>
  <si>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</si>
  <si>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</si>
  <si>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</si>
  <si>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</si>
  <si>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</si>
  <si>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</si>
  <si>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</si>
  <si>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</si>
  <si>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</si>
  <si>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</si>
  <si>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</si>
  <si>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</si>
  <si>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</si>
  <si>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</si>
  <si>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</si>
  <si>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</si>
  <si>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</si>
  <si>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</si>
  <si>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</si>
  <si>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</si>
  <si>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</si>
  <si>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</si>
  <si>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</si>
  <si>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</si>
  <si>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</si>
  <si>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</si>
  <si>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</si>
  <si>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</si>
  <si>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</si>
  <si>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</si>
  <si>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</si>
  <si>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</si>
  <si>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</si>
  <si>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</si>
  <si>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</si>
  <si>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</si>
  <si>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</si>
  <si>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</si>
  <si>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</si>
  <si>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</si>
  <si>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</si>
  <si>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</si>
  <si>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</si>
  <si>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</si>
  <si>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</si>
  <si>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</si>
  <si>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</si>
  <si>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</si>
  <si>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</si>
  <si>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</si>
  <si>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</si>
  <si>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</si>
  <si>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</si>
  <si>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</si>
  <si>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</si>
  <si>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</si>
  <si>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</si>
  <si>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</si>
  <si>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</si>
  <si>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</si>
  <si>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</si>
  <si>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</si>
  <si>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</si>
  <si>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</si>
  <si>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</si>
  <si>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</si>
  <si>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</si>
  <si>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</si>
  <si>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</si>
  <si>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</si>
  <si>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</si>
  <si>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</si>
  <si>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</si>
  <si>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</si>
  <si>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</si>
  <si>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</si>
  <si>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</si>
  <si>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</si>
  <si>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</si>
  <si>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</si>
  <si>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</si>
  <si>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</si>
  <si>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</si>
  <si>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</si>
  <si>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</si>
  <si>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</si>
  <si>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</si>
  <si>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</si>
  <si>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</si>
  <si>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</si>
  <si>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</si>
  <si>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</si>
  <si>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</si>
  <si>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</si>
  <si>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</si>
  <si>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</si>
  <si>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</si>
  <si>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</si>
  <si>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</si>
  <si>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</si>
  <si>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</si>
  <si>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</si>
  <si>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</si>
  <si>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</si>
  <si>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</si>
  <si>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</si>
  <si>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</si>
  <si>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</si>
  <si>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</si>
  <si>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</si>
  <si>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</si>
  <si>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</si>
  <si>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</si>
  <si>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</si>
  <si>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</si>
  <si>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</si>
  <si>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</si>
  <si>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</si>
  <si>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</si>
  <si>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</si>
  <si>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</si>
  <si>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</si>
  <si>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</si>
  <si>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</si>
  <si>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</si>
  <si>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</si>
  <si>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</si>
  <si>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</si>
  <si>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</si>
  <si>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</si>
  <si>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</si>
  <si>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</si>
  <si>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</si>
  <si>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</si>
  <si>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</si>
  <si>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</si>
  <si>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</si>
  <si>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</si>
  <si>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</si>
  <si>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</si>
  <si>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</si>
  <si>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</si>
  <si>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</si>
  <si>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</si>
  <si>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</si>
  <si>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</si>
  <si>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</si>
  <si>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</si>
  <si>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</si>
  <si>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</si>
  <si>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</si>
  <si>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</si>
  <si>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</si>
  <si>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</si>
  <si>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</si>
  <si>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</si>
  <si>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</si>
  <si>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</si>
  <si>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</si>
  <si>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</si>
  <si>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</si>
  <si>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</si>
  <si>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</si>
  <si>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</si>
  <si>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</si>
  <si>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</si>
  <si>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</si>
  <si>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</si>
  <si>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</si>
  <si>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</si>
  <si>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</si>
  <si>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</si>
  <si>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</si>
  <si>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</si>
  <si>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</si>
  <si>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</si>
  <si>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</si>
  <si>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</si>
  <si>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</si>
  <si>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</si>
  <si>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</si>
  <si>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</si>
  <si>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</si>
  <si>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</si>
  <si>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</si>
  <si>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</si>
  <si>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</si>
  <si>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</si>
  <si>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</si>
  <si>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</si>
  <si>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</si>
  <si>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</si>
  <si>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</si>
  <si>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</si>
  <si>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</si>
  <si>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Gaspard</t>
  </si>
  <si>
    <t>Gesunder</t>
  </si>
  <si>
    <t>Major</t>
  </si>
  <si>
    <t>Markus</t>
  </si>
  <si>
    <t>Matador</t>
  </si>
  <si>
    <t>Moldavia</t>
  </si>
  <si>
    <t>Oleski</t>
  </si>
  <si>
    <t>Orléans</t>
  </si>
  <si>
    <t>Polux</t>
  </si>
  <si>
    <t>Prerouska</t>
  </si>
  <si>
    <t>Ramses</t>
  </si>
  <si>
    <t>Rapol</t>
  </si>
  <si>
    <t>Titus</t>
  </si>
  <si>
    <t>Tonus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</si>
  <si>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</si>
  <si>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</si>
  <si>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</si>
  <si>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</si>
  <si>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</si>
  <si>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</si>
  <si>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</si>
  <si>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</si>
  <si>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</si>
  <si>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</si>
  <si>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Kurander</t>
  </si>
  <si>
    <t>Lesira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</si>
  <si>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</si>
  <si>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</si>
  <si>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</si>
  <si>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</si>
  <si>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</si>
  <si>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</si>
  <si>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</si>
  <si>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</si>
  <si>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</si>
  <si>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</si>
  <si>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</si>
  <si>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</si>
  <si>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</si>
  <si>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</si>
  <si>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</si>
  <si>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</si>
  <si>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</si>
  <si>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</si>
  <si>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</si>
  <si>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</si>
  <si>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</si>
  <si>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</si>
  <si>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</si>
  <si>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</si>
  <si>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</si>
  <si>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</si>
  <si>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</si>
  <si>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</si>
  <si>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</si>
  <si>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</si>
  <si>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</si>
  <si>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</si>
  <si>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</si>
  <si>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</si>
  <si>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</si>
  <si>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</si>
  <si>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</si>
  <si>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</si>
  <si>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</si>
  <si>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</si>
  <si>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</si>
  <si>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</si>
  <si>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</si>
  <si>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</si>
  <si>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</si>
  <si>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</si>
  <si>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</si>
  <si>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</si>
  <si>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</si>
  <si>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</si>
  <si>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</si>
  <si>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</si>
  <si>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</si>
  <si>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</si>
  <si>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</si>
  <si>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</si>
  <si>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</si>
  <si>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</si>
  <si>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</si>
  <si>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</si>
  <si>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</si>
  <si>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</si>
  <si>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</si>
  <si>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</si>
  <si>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</si>
  <si>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</si>
  <si>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</si>
  <si>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</si>
  <si>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</si>
  <si>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</si>
  <si>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Madora2-DS3</t>
  </si>
  <si>
    <t>Madora3-DS1</t>
  </si>
  <si>
    <t>Regal2-DS1</t>
  </si>
  <si>
    <t>Sarepta</t>
  </si>
  <si>
    <t>Bristol</t>
  </si>
  <si>
    <t>Tosca</t>
  </si>
  <si>
    <t>Aviso</t>
  </si>
  <si>
    <t>Jupiter</t>
  </si>
  <si>
    <t>Mohican</t>
  </si>
  <si>
    <t>ESC1132</t>
  </si>
  <si>
    <t>ADRIANA</t>
  </si>
  <si>
    <t>AMILLIA</t>
  </si>
  <si>
    <t>MANITOBA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</si>
  <si>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</si>
  <si>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</si>
  <si>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</si>
  <si>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</si>
  <si>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</si>
  <si>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</si>
  <si>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</si>
  <si>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</si>
  <si>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</si>
  <si>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</si>
  <si>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</si>
  <si>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</si>
  <si>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</si>
  <si>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</si>
  <si>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</si>
  <si>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</si>
  <si>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</si>
  <si>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</si>
  <si>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</si>
  <si>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</si>
  <si>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</si>
  <si>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</si>
  <si>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</si>
  <si>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</si>
  <si>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</si>
  <si>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</si>
  <si>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</si>
  <si>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</si>
  <si>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</si>
  <si>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</si>
  <si>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RAPSO_008</t>
  </si>
  <si>
    <t>RAPSO_011</t>
  </si>
  <si>
    <t>RAPSO_013</t>
  </si>
  <si>
    <t>RAPSO_014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</si>
  <si>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</si>
  <si>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</si>
  <si>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</si>
  <si>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</si>
  <si>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</si>
  <si>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</si>
  <si>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</si>
  <si>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</si>
  <si>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</si>
  <si>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</si>
  <si>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RAPSO_046</t>
  </si>
  <si>
    <t>RAPSO_050</t>
  </si>
  <si>
    <t>RAPSO_051</t>
  </si>
  <si>
    <t>RAPSO_053</t>
  </si>
  <si>
    <t>RAPSO_062</t>
  </si>
  <si>
    <t>RAPSO_063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</si>
  <si>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</si>
  <si>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</si>
  <si>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</si>
  <si>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</si>
  <si>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</si>
  <si>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</si>
  <si>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</si>
  <si>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</si>
  <si>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</si>
  <si>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</si>
  <si>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</si>
  <si>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RAPSO_099</t>
  </si>
  <si>
    <t>RAPSO_102</t>
  </si>
  <si>
    <t>RAPSO_108</t>
  </si>
  <si>
    <t>RAPSO_115</t>
  </si>
  <si>
    <t>RAPSO_122</t>
  </si>
  <si>
    <t>RAPSO_124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</si>
  <si>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</si>
  <si>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</si>
  <si>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</si>
  <si>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</si>
  <si>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</si>
  <si>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</si>
  <si>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</si>
  <si>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</si>
  <si>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</si>
  <si>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</si>
  <si>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</si>
  <si>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</si>
  <si>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</si>
  <si>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</si>
  <si>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</si>
  <si>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</si>
  <si>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</si>
  <si>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</si>
  <si>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</si>
  <si>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</si>
  <si>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</si>
  <si>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</si>
  <si>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</si>
  <si>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</si>
  <si>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</si>
  <si>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</si>
  <si>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</si>
  <si>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</si>
  <si>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</si>
  <si>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</si>
  <si>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</si>
  <si>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</si>
  <si>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</si>
  <si>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</si>
  <si>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</si>
  <si>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</si>
  <si>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</si>
  <si>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</si>
  <si>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</si>
  <si>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</si>
  <si>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</si>
  <si>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</si>
  <si>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</si>
  <si>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</si>
  <si>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</si>
  <si>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</si>
  <si>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</si>
  <si>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</si>
  <si>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</si>
  <si>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</si>
  <si>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</si>
  <si>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</si>
  <si>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</si>
  <si>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</si>
  <si>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</si>
  <si>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</si>
  <si>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</si>
  <si>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</si>
  <si>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</si>
  <si>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</si>
  <si>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</si>
  <si>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</si>
  <si>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</si>
  <si>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</si>
  <si>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</si>
  <si>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</si>
  <si>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</si>
  <si>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</si>
  <si>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</si>
  <si>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</si>
  <si>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</si>
  <si>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</si>
  <si>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</si>
  <si>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</si>
  <si>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RAPSO_342</t>
  </si>
  <si>
    <t>RAPSO_343</t>
  </si>
  <si>
    <t>RAPSO_356</t>
  </si>
  <si>
    <t>RAPSO_363</t>
  </si>
  <si>
    <t>RAPSO_368</t>
  </si>
  <si>
    <t>RAPSO_375</t>
  </si>
  <si>
    <t>RAPSO_382</t>
  </si>
  <si>
    <t>RAPSO_395</t>
  </si>
  <si>
    <t>RAPSO_406</t>
  </si>
  <si>
    <t>RAPSO_430</t>
  </si>
  <si>
    <t>BRA_005</t>
  </si>
  <si>
    <t>BRA_006</t>
  </si>
  <si>
    <t>BRA_007</t>
  </si>
  <si>
    <t>BRA_008</t>
  </si>
  <si>
    <t>BRA_009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</si>
  <si>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</si>
  <si>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</si>
  <si>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</si>
  <si>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</si>
  <si>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</si>
  <si>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</si>
  <si>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</si>
  <si>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</si>
  <si>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</si>
  <si>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</si>
  <si>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</si>
  <si>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</si>
  <si>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</si>
  <si>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</si>
  <si>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</si>
  <si>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</si>
  <si>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</si>
  <si>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</si>
  <si>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</si>
  <si>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</si>
  <si>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</si>
  <si>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</si>
  <si>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</si>
  <si>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</si>
  <si>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</si>
  <si>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</si>
  <si>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</si>
  <si>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</si>
  <si>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</si>
  <si>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</si>
  <si>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</si>
  <si>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</si>
  <si>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</si>
  <si>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</si>
  <si>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</si>
  <si>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</si>
  <si>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</si>
  <si>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</si>
  <si>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</si>
  <si>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</si>
  <si>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</si>
  <si>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</si>
  <si>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</si>
  <si>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</si>
  <si>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</si>
  <si>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</si>
  <si>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</si>
  <si>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</si>
  <si>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</si>
  <si>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</si>
  <si>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</si>
  <si>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</si>
  <si>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</si>
  <si>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</si>
  <si>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</si>
  <si>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</si>
  <si>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Lembke</t>
  </si>
  <si>
    <t>Olquell Gulzover</t>
  </si>
  <si>
    <t>QuedLinburger Platzfester</t>
  </si>
  <si>
    <t>Bienvenu - R33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</si>
  <si>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</si>
  <si>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</si>
  <si>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</si>
  <si>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</si>
  <si>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</si>
  <si>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</si>
  <si>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</si>
  <si>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HOCHZUCHT REPOLE </t>
  </si>
  <si>
    <t xml:space="preserve">KORMOVOI SKRIVERSKYI </t>
  </si>
  <si>
    <t xml:space="preserve">RANGI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</si>
  <si>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</si>
  <si>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</si>
  <si>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</si>
  <si>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</si>
  <si>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</si>
  <si>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</si>
  <si>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</si>
  <si>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</si>
  <si>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</si>
  <si>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</si>
  <si>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</si>
  <si>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Rhodon</t>
  </si>
  <si>
    <t>FRA_41_RHOD</t>
  </si>
  <si>
    <t>Prot_Yield</t>
  </si>
  <si>
    <t>Oil_Yield</t>
  </si>
  <si>
    <t>CROP</t>
  </si>
  <si>
    <t>Crop</t>
  </si>
  <si>
    <t>Seed_Impurities</t>
  </si>
  <si>
    <t>Glucosinolates</t>
  </si>
  <si>
    <t>panel_maisadour14</t>
  </si>
  <si>
    <t>P14MAD</t>
  </si>
  <si>
    <t>MAD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</si>
  <si>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</si>
  <si>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</si>
  <si>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</si>
  <si>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</si>
  <si>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</si>
  <si>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</si>
  <si>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</si>
  <si>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</si>
  <si>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</si>
  <si>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</si>
  <si>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</si>
  <si>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</si>
  <si>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</si>
  <si>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</si>
  <si>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</si>
  <si>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</si>
  <si>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</si>
  <si>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</si>
  <si>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</si>
  <si>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</si>
  <si>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</si>
  <si>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</si>
  <si>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</si>
  <si>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</si>
  <si>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</si>
  <si>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</si>
  <si>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</si>
  <si>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</si>
  <si>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</si>
  <si>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</si>
  <si>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</si>
  <si>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</si>
  <si>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</si>
  <si>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</si>
  <si>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</si>
  <si>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</si>
  <si>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</si>
  <si>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</si>
  <si>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</si>
  <si>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</si>
  <si>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</si>
  <si>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</si>
  <si>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</si>
  <si>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</si>
  <si>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</si>
  <si>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</si>
  <si>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</si>
  <si>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</si>
  <si>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The seed sample for SEEDH2O_LAB determination is used for seed counting (NBSEED_sample) using a precision counter.                                                                   TSW = (SEEDH2O_LAB / NBSEED_sample) x 1000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</si>
  <si>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</si>
  <si>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</si>
  <si>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</si>
  <si>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</si>
  <si>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</si>
  <si>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</si>
  <si>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</si>
  <si>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</si>
  <si>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</si>
  <si>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</si>
  <si>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</si>
  <si>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</si>
  <si>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</si>
  <si>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</si>
  <si>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</si>
  <si>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</si>
  <si>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</si>
  <si>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</si>
  <si>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</si>
  <si>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</si>
  <si>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</si>
  <si>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</si>
  <si>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</si>
  <si>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</si>
  <si>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</si>
  <si>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</si>
  <si>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</si>
  <si>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</si>
  <si>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</si>
  <si>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</si>
  <si>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</si>
  <si>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</si>
  <si>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</si>
  <si>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</si>
  <si>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</si>
  <si>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</si>
  <si>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</si>
  <si>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</si>
  <si>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</si>
  <si>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</si>
  <si>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</si>
  <si>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</si>
  <si>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</si>
  <si>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</si>
  <si>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</si>
  <si>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</si>
  <si>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</si>
  <si>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</si>
  <si>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</si>
  <si>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</si>
  <si>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</si>
  <si>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</si>
  <si>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</si>
  <si>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</si>
  <si>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</si>
  <si>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</si>
  <si>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</si>
  <si>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</si>
  <si>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</si>
  <si>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</si>
  <si>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</si>
  <si>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</si>
  <si>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</si>
  <si>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</si>
  <si>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</si>
  <si>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</si>
  <si>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</si>
  <si>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</si>
  <si>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</si>
  <si>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</si>
  <si>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</si>
  <si>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</si>
  <si>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</si>
  <si>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</si>
  <si>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</si>
  <si>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</si>
  <si>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</si>
  <si>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</si>
  <si>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</si>
  <si>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</si>
  <si>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</si>
  <si>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</si>
  <si>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</si>
  <si>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</si>
  <si>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</si>
  <si>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</si>
  <si>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</si>
  <si>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</si>
  <si>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</si>
  <si>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</si>
  <si>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</si>
  <si>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</si>
  <si>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</si>
  <si>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</si>
  <si>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</si>
  <si>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</si>
  <si>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</si>
  <si>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</si>
  <si>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</si>
  <si>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</si>
  <si>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</si>
  <si>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</si>
  <si>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</si>
  <si>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</si>
  <si>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PLANTSIZE</t>
  </si>
  <si>
    <t>Y3-G001</t>
  </si>
  <si>
    <t>RLX7679</t>
  </si>
  <si>
    <t>Y3-G002</t>
  </si>
  <si>
    <t>RLX7681</t>
  </si>
  <si>
    <t>Y3-G003</t>
  </si>
  <si>
    <t>RLX7683</t>
  </si>
  <si>
    <t>Y3-G004</t>
  </si>
  <si>
    <t>RLX7684</t>
  </si>
  <si>
    <t>Y3-G005</t>
  </si>
  <si>
    <t>RLX7685</t>
  </si>
  <si>
    <t>Y3-G006</t>
  </si>
  <si>
    <t>RLZ6069</t>
  </si>
  <si>
    <t>Y3-G007</t>
  </si>
  <si>
    <t>RLX7688</t>
  </si>
  <si>
    <t>Y3-G008</t>
  </si>
  <si>
    <t>RLX6071</t>
  </si>
  <si>
    <t>Y3-G009</t>
  </si>
  <si>
    <t>RLL6072</t>
  </si>
  <si>
    <t>Y3-G010</t>
  </si>
  <si>
    <t>RLX6073</t>
  </si>
  <si>
    <t>Y3-G011</t>
  </si>
  <si>
    <t>RLX6074</t>
  </si>
  <si>
    <t>Y3-G012</t>
  </si>
  <si>
    <t>RLX7689</t>
  </si>
  <si>
    <t>Y3-G013</t>
  </si>
  <si>
    <t>RLX7690</t>
  </si>
  <si>
    <t>Y3-G014</t>
  </si>
  <si>
    <t>RLX7691</t>
  </si>
  <si>
    <t>Y3-G015</t>
  </si>
  <si>
    <t>RLX7692</t>
  </si>
  <si>
    <t>Y3-G016</t>
  </si>
  <si>
    <t>RLX7694</t>
  </si>
  <si>
    <t>Y3-G017</t>
  </si>
  <si>
    <t>RLX7695</t>
  </si>
  <si>
    <t>Y3-G018</t>
  </si>
  <si>
    <t>RLX7696</t>
  </si>
  <si>
    <t>Y3-G019</t>
  </si>
  <si>
    <t>RLX7697</t>
  </si>
  <si>
    <t>Y3-G020</t>
  </si>
  <si>
    <t>RLX7700</t>
  </si>
  <si>
    <t>Y3-G021</t>
  </si>
  <si>
    <t>RLX7701</t>
  </si>
  <si>
    <t>Y3-G022</t>
  </si>
  <si>
    <t>RLI7704</t>
  </si>
  <si>
    <t>Y3-G023</t>
  </si>
  <si>
    <t>RLX7705</t>
  </si>
  <si>
    <t>Y3-G024</t>
  </si>
  <si>
    <t>RLX7706</t>
  </si>
  <si>
    <t>Y3-G025</t>
  </si>
  <si>
    <t>RLX7707</t>
  </si>
  <si>
    <t>Y3-G026</t>
  </si>
  <si>
    <t>RLX7708</t>
  </si>
  <si>
    <t>Y3-G027</t>
  </si>
  <si>
    <t>RLX7709</t>
  </si>
  <si>
    <t>Y3-G028</t>
  </si>
  <si>
    <t>RLX7710</t>
  </si>
  <si>
    <t>Y3-G029</t>
  </si>
  <si>
    <t>RLX7711</t>
  </si>
  <si>
    <t>Y3-G030</t>
  </si>
  <si>
    <t>RLX7712</t>
  </si>
  <si>
    <t>Y3-G031</t>
  </si>
  <si>
    <t>RLL6077</t>
  </si>
  <si>
    <t>Y3-G032</t>
  </si>
  <si>
    <t>RLX6078</t>
  </si>
  <si>
    <t>Y3-G033</t>
  </si>
  <si>
    <t>RLX7715</t>
  </si>
  <si>
    <t>Y3-G034</t>
  </si>
  <si>
    <t>RLX7716</t>
  </si>
  <si>
    <t>Y3-G035</t>
  </si>
  <si>
    <t>RLX7718</t>
  </si>
  <si>
    <t>Y3-G036</t>
  </si>
  <si>
    <t>RLX7720</t>
  </si>
  <si>
    <t>Y3-G037</t>
  </si>
  <si>
    <t>RLX7721</t>
  </si>
  <si>
    <t>Y3-G038</t>
  </si>
  <si>
    <t>RLX7722</t>
  </si>
  <si>
    <t>Y3-G039</t>
  </si>
  <si>
    <t>RLY0611</t>
  </si>
  <si>
    <t>Y3-G040</t>
  </si>
  <si>
    <t>RLY7724</t>
  </si>
  <si>
    <t>Y3-G041</t>
  </si>
  <si>
    <t>RLX7725</t>
  </si>
  <si>
    <t>Y3-G042</t>
  </si>
  <si>
    <t>RLY7726</t>
  </si>
  <si>
    <t>Y3-G043</t>
  </si>
  <si>
    <t>RLQ7727</t>
  </si>
  <si>
    <t>Y3-G044</t>
  </si>
  <si>
    <t>RLX6083</t>
  </si>
  <si>
    <t>Y3-G045</t>
  </si>
  <si>
    <t>RLX7728</t>
  </si>
  <si>
    <t>Y3-G046</t>
  </si>
  <si>
    <t>RLX6084</t>
  </si>
  <si>
    <t>Y3-G047</t>
  </si>
  <si>
    <t>RLK7729</t>
  </si>
  <si>
    <t>Y3-G048</t>
  </si>
  <si>
    <t>RLX6085</t>
  </si>
  <si>
    <t>Y3-G049</t>
  </si>
  <si>
    <t>RLK7730</t>
  </si>
  <si>
    <t>Y3-G050</t>
  </si>
  <si>
    <t>RLO0005</t>
  </si>
  <si>
    <t>Y3-G051</t>
  </si>
  <si>
    <t>RLO1040</t>
  </si>
  <si>
    <t>Y3-G052</t>
  </si>
  <si>
    <t>RLX6087</t>
  </si>
  <si>
    <t>Y3-G053</t>
  </si>
  <si>
    <t>RLO0214</t>
  </si>
  <si>
    <t>Y3-G054</t>
  </si>
  <si>
    <t>RLX6088</t>
  </si>
  <si>
    <t>Y3-G055</t>
  </si>
  <si>
    <t>RLX6090</t>
  </si>
  <si>
    <t>Y3-G056</t>
  </si>
  <si>
    <t>RLZ6091</t>
  </si>
  <si>
    <t>Y3-G057</t>
  </si>
  <si>
    <t>RLD6092</t>
  </si>
  <si>
    <t>Y3-G058</t>
  </si>
  <si>
    <t>RLX6093</t>
  </si>
  <si>
    <t>Y3-G059</t>
  </si>
  <si>
    <t>RLX7731</t>
  </si>
  <si>
    <t>Y3-G060</t>
  </si>
  <si>
    <t>RLO6095</t>
  </si>
  <si>
    <t>Y3-G061</t>
  </si>
  <si>
    <t>RLX6096</t>
  </si>
  <si>
    <t>Y3-G062</t>
  </si>
  <si>
    <t>RLX7732</t>
  </si>
  <si>
    <t>Y3-G063</t>
  </si>
  <si>
    <t>RLO6097</t>
  </si>
  <si>
    <t>Y3-G064</t>
  </si>
  <si>
    <t>RLX7733</t>
  </si>
  <si>
    <t>Y3-G065</t>
  </si>
  <si>
    <t>RLX7734</t>
  </si>
  <si>
    <t>Y3-G066</t>
  </si>
  <si>
    <t>RLX1041</t>
  </si>
  <si>
    <t>Y3-G067</t>
  </si>
  <si>
    <t>RLX7735</t>
  </si>
  <si>
    <t>Y3-G068</t>
  </si>
  <si>
    <t>RLP1671</t>
  </si>
  <si>
    <t>Y3-G069</t>
  </si>
  <si>
    <t>RLX7736</t>
  </si>
  <si>
    <t>Y3-G070</t>
  </si>
  <si>
    <t>RLN7737</t>
  </si>
  <si>
    <t>Y3-G071</t>
  </si>
  <si>
    <t>RLR0031</t>
  </si>
  <si>
    <t>Y3-G072</t>
  </si>
  <si>
    <t>RLB0223</t>
  </si>
  <si>
    <t>Y3-G073</t>
  </si>
  <si>
    <t>RLX7738</t>
  </si>
  <si>
    <t>Y3-G074</t>
  </si>
  <si>
    <t>RLX7739</t>
  </si>
  <si>
    <t>Y3-G075</t>
  </si>
  <si>
    <t>RLX7740</t>
  </si>
  <si>
    <t>Y3-G076</t>
  </si>
  <si>
    <t>RLN0242</t>
  </si>
  <si>
    <t>Y3-G077</t>
  </si>
  <si>
    <t>RLN1037</t>
  </si>
  <si>
    <t>Y3-G078</t>
  </si>
  <si>
    <t>RLX7741</t>
  </si>
  <si>
    <t>Y3-G079</t>
  </si>
  <si>
    <t>RLX7742</t>
  </si>
  <si>
    <t>Y3-G080</t>
  </si>
  <si>
    <t>RLA0673</t>
  </si>
  <si>
    <t>Y3-G081</t>
  </si>
  <si>
    <t>RLB0033</t>
  </si>
  <si>
    <t>Y3-G082</t>
  </si>
  <si>
    <t>RLX7743</t>
  </si>
  <si>
    <t>Y3-G083</t>
  </si>
  <si>
    <t>RLX7744</t>
  </si>
  <si>
    <t>Y3-G084</t>
  </si>
  <si>
    <t>RLX7745</t>
  </si>
  <si>
    <t>Y3-G085</t>
  </si>
  <si>
    <t>RLQ7746</t>
  </si>
  <si>
    <t>Y3-G086</t>
  </si>
  <si>
    <t>RLM0035</t>
  </si>
  <si>
    <t>Y3-G087</t>
  </si>
  <si>
    <t>RLX7747</t>
  </si>
  <si>
    <t>Y3-G088</t>
  </si>
  <si>
    <t>RLX7748</t>
  </si>
  <si>
    <t>Y3-G089</t>
  </si>
  <si>
    <t>RLY3296</t>
  </si>
  <si>
    <t>Y3-G090</t>
  </si>
  <si>
    <t>RLE7749</t>
  </si>
  <si>
    <t>Y3-G091</t>
  </si>
  <si>
    <t>RLX7750</t>
  </si>
  <si>
    <t>Y3-G092</t>
  </si>
  <si>
    <t>RLO0037</t>
  </si>
  <si>
    <t>Y3-G093</t>
  </si>
  <si>
    <t>RLX7751</t>
  </si>
  <si>
    <t>Y3-G094</t>
  </si>
  <si>
    <t>RLX7752</t>
  </si>
  <si>
    <t>Y3-G095</t>
  </si>
  <si>
    <t>RLX7753</t>
  </si>
  <si>
    <t>Y3-G096</t>
  </si>
  <si>
    <t>RLN0213</t>
  </si>
  <si>
    <t>Y3-G097</t>
  </si>
  <si>
    <t>RLX7754</t>
  </si>
  <si>
    <t>Y3-G098</t>
  </si>
  <si>
    <t>RLX7755</t>
  </si>
  <si>
    <t>Y3-G099</t>
  </si>
  <si>
    <t>RLQ677</t>
  </si>
  <si>
    <t>Y3-G100</t>
  </si>
  <si>
    <t>RLX7756</t>
  </si>
  <si>
    <t>Y3-G101</t>
  </si>
  <si>
    <t>RLX7757</t>
  </si>
  <si>
    <t>Y3-G102</t>
  </si>
  <si>
    <t>RLQ6112</t>
  </si>
  <si>
    <t>Y3-G103</t>
  </si>
  <si>
    <t>RLX7758</t>
  </si>
  <si>
    <t>Y3-G104</t>
  </si>
  <si>
    <t>RLX7759</t>
  </si>
  <si>
    <t>Y3-G105</t>
  </si>
  <si>
    <t>RLX7760</t>
  </si>
  <si>
    <t>Y3-G106</t>
  </si>
  <si>
    <t>RLL7761</t>
  </si>
  <si>
    <t>Y3-G107</t>
  </si>
  <si>
    <t>RLX7762</t>
  </si>
  <si>
    <t>Y3-G108</t>
  </si>
  <si>
    <t>RLN7763</t>
  </si>
  <si>
    <t>Y3-G109</t>
  </si>
  <si>
    <t>RLX7764</t>
  </si>
  <si>
    <t>Y3-G110</t>
  </si>
  <si>
    <t>RLX7765</t>
  </si>
  <si>
    <t>Y3-G111</t>
  </si>
  <si>
    <t>RLQ7766</t>
  </si>
  <si>
    <t>Y3-G112</t>
  </si>
  <si>
    <t>RLX7767</t>
  </si>
  <si>
    <t>Y3-G113</t>
  </si>
  <si>
    <t>RLX7800</t>
  </si>
  <si>
    <t>Y3-G114</t>
  </si>
  <si>
    <t>RLX7801</t>
  </si>
  <si>
    <t>Y3-G115</t>
  </si>
  <si>
    <t>RLX7803</t>
  </si>
  <si>
    <t>Y3-G116</t>
  </si>
  <si>
    <t>RLX7804</t>
  </si>
  <si>
    <t>Y3-G117</t>
  </si>
  <si>
    <t>RLX7805</t>
  </si>
  <si>
    <t>Y3-G118</t>
  </si>
  <si>
    <t>RLX7806</t>
  </si>
  <si>
    <t>Y3-G119</t>
  </si>
  <si>
    <t>RLX7807</t>
  </si>
  <si>
    <t>Y3-G120</t>
  </si>
  <si>
    <t>RLX7809</t>
  </si>
  <si>
    <t>Y3-G121</t>
  </si>
  <si>
    <t>RLX7811</t>
  </si>
  <si>
    <t>Y3-G122</t>
  </si>
  <si>
    <t>RLX7816</t>
  </si>
  <si>
    <t>Y3-G123</t>
  </si>
  <si>
    <t>RLX7675</t>
  </si>
  <si>
    <t>Y3-G124</t>
  </si>
  <si>
    <t>RLO1038</t>
  </si>
  <si>
    <t>Y3-G125</t>
  </si>
  <si>
    <t>RLX7676</t>
  </si>
  <si>
    <t>Y3-G126</t>
  </si>
  <si>
    <t>RLK0002</t>
  </si>
  <si>
    <t>Y3-G127</t>
  </si>
  <si>
    <t>RLX7677</t>
  </si>
  <si>
    <t>Y3-G128</t>
  </si>
  <si>
    <t>Y3-G129</t>
  </si>
  <si>
    <t>Astrid</t>
  </si>
  <si>
    <t>RLE0243</t>
  </si>
  <si>
    <t>Y3-G130</t>
  </si>
  <si>
    <t>RLE1042</t>
  </si>
  <si>
    <t>Y3-G131</t>
  </si>
  <si>
    <t>RLE1506</t>
  </si>
  <si>
    <t>Y3-G132</t>
  </si>
  <si>
    <t>RLE3294</t>
  </si>
  <si>
    <t>Y3-G133</t>
  </si>
  <si>
    <t>RLE2382</t>
  </si>
  <si>
    <t>Y3-G134</t>
  </si>
  <si>
    <t>RLE7768</t>
  </si>
  <si>
    <t>Y3-G135</t>
  </si>
  <si>
    <t>RLE7769</t>
  </si>
  <si>
    <t>Y3-G136</t>
  </si>
  <si>
    <t>RLE7770</t>
  </si>
  <si>
    <t>Y3-G137</t>
  </si>
  <si>
    <t>RLE7771</t>
  </si>
  <si>
    <t>Y3-G138</t>
  </si>
  <si>
    <t>RLE7772</t>
  </si>
  <si>
    <t>Y3-G139</t>
  </si>
  <si>
    <t>RLE0620</t>
  </si>
  <si>
    <t>Y3-G140</t>
  </si>
  <si>
    <t>RLE7773</t>
  </si>
  <si>
    <t>Y3-G141</t>
  </si>
  <si>
    <t>Y3-G142</t>
  </si>
  <si>
    <t>RLX7774</t>
  </si>
  <si>
    <t>Y3-G143</t>
  </si>
  <si>
    <t xml:space="preserve">ANGELINA </t>
  </si>
  <si>
    <t>RLY0625</t>
  </si>
  <si>
    <t>Y3-G144</t>
  </si>
  <si>
    <t xml:space="preserve">COOPER </t>
  </si>
  <si>
    <t>RLX7775</t>
  </si>
  <si>
    <t>Y3-G145</t>
  </si>
  <si>
    <t xml:space="preserve">LADOGA </t>
  </si>
  <si>
    <t>RLY3292</t>
  </si>
  <si>
    <t>Y3-G146</t>
  </si>
  <si>
    <t>RLX7776</t>
  </si>
  <si>
    <t>Y3-G147</t>
  </si>
  <si>
    <t xml:space="preserve">OKAPI </t>
  </si>
  <si>
    <t>RLX7777</t>
  </si>
  <si>
    <t>Y3-G148</t>
  </si>
  <si>
    <t>RLY1670</t>
  </si>
  <si>
    <t>Y3-G149</t>
  </si>
  <si>
    <t>RLY1530</t>
  </si>
  <si>
    <t>Y3-G150</t>
  </si>
  <si>
    <t>RLX7778</t>
  </si>
  <si>
    <t>Y3-G151</t>
  </si>
  <si>
    <t>RLM0034</t>
  </si>
  <si>
    <t>Y3-G152</t>
  </si>
  <si>
    <t>RLR7779</t>
  </si>
  <si>
    <t>Y3-G153</t>
  </si>
  <si>
    <t>RLR7780</t>
  </si>
  <si>
    <t>Y3-G154</t>
  </si>
  <si>
    <t>RLR7781</t>
  </si>
  <si>
    <t>Y3-G155</t>
  </si>
  <si>
    <t>RLR7782</t>
  </si>
  <si>
    <t>Y3-G156</t>
  </si>
  <si>
    <t>RLR7783</t>
  </si>
  <si>
    <t>Y3-G157</t>
  </si>
  <si>
    <t>RLR7784</t>
  </si>
  <si>
    <t>Y3-G158</t>
  </si>
  <si>
    <t>RLR7785</t>
  </si>
  <si>
    <t>Y3-G159</t>
  </si>
  <si>
    <t>RLR7786</t>
  </si>
  <si>
    <t>Y3-G160</t>
  </si>
  <si>
    <t>RLR7787</t>
  </si>
  <si>
    <t>Y3-G161</t>
  </si>
  <si>
    <t>RLR7788</t>
  </si>
  <si>
    <t>Y3-G162</t>
  </si>
  <si>
    <t>RLQ7789</t>
  </si>
  <si>
    <t>Y3-G163</t>
  </si>
  <si>
    <t>RLQ7790</t>
  </si>
  <si>
    <t>Y3-G164</t>
  </si>
  <si>
    <t>RLQ7791</t>
  </si>
  <si>
    <t>Y3-G165</t>
  </si>
  <si>
    <t>RLQ7792</t>
  </si>
  <si>
    <t>Y3-G166</t>
  </si>
  <si>
    <t>RLQ7793</t>
  </si>
  <si>
    <t>Y3-G167</t>
  </si>
  <si>
    <t>RLQ7794</t>
  </si>
  <si>
    <t>Y3-G168</t>
  </si>
  <si>
    <t>RLQ7795</t>
  </si>
  <si>
    <t>Y3-G169</t>
  </si>
  <si>
    <t>RLQ7796</t>
  </si>
  <si>
    <t>Y3-G170</t>
  </si>
  <si>
    <t>RLQ7797</t>
  </si>
  <si>
    <t>Y3-G171</t>
  </si>
  <si>
    <t>RLQ7798</t>
  </si>
  <si>
    <t>Y3-G172</t>
  </si>
  <si>
    <t>RLE7819</t>
  </si>
  <si>
    <t>Y3-G173</t>
  </si>
  <si>
    <t>RLE7820</t>
  </si>
  <si>
    <t>Y3-G174</t>
  </si>
  <si>
    <t>Pendulum</t>
  </si>
  <si>
    <t>RLX7821</t>
  </si>
  <si>
    <t>Y3-G175</t>
  </si>
  <si>
    <t>Anastasia</t>
  </si>
  <si>
    <t>RLX7822</t>
  </si>
  <si>
    <t>Y3-G176</t>
  </si>
  <si>
    <t>RLR7823</t>
  </si>
  <si>
    <t>Y3-G177</t>
  </si>
  <si>
    <t>RLR7824</t>
  </si>
  <si>
    <t>Y3-G178</t>
  </si>
  <si>
    <t>RLR7825</t>
  </si>
  <si>
    <t>Y3-G179</t>
  </si>
  <si>
    <t>RLX7826</t>
  </si>
  <si>
    <t>Y3-G180</t>
  </si>
  <si>
    <t>RLQ7827</t>
  </si>
  <si>
    <t>Témoin</t>
  </si>
  <si>
    <t>Y3-Te1</t>
  </si>
  <si>
    <t>Y3-Te2</t>
  </si>
  <si>
    <t>Y3-Te3</t>
  </si>
  <si>
    <t>Alpaga</t>
  </si>
  <si>
    <t>RLI0614</t>
  </si>
  <si>
    <t>N°Plan</t>
  </si>
  <si>
    <t>ID_RAPSODYN</t>
  </si>
  <si>
    <t>Code champ_2014/2015</t>
  </si>
  <si>
    <t>Accession</t>
  </si>
  <si>
    <t>R1</t>
  </si>
  <si>
    <t>B1N2</t>
  </si>
  <si>
    <t>R2</t>
  </si>
  <si>
    <t>R3</t>
  </si>
  <si>
    <t>B3N1</t>
  </si>
  <si>
    <t>R4</t>
  </si>
  <si>
    <t>Y/X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</si>
  <si>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</si>
  <si>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</si>
  <si>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</si>
  <si>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</si>
  <si>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</si>
  <si>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</si>
  <si>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</si>
  <si>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</si>
  <si>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</si>
  <si>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</si>
  <si>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</si>
  <si>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</si>
  <si>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</si>
  <si>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</si>
  <si>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</si>
  <si>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</si>
  <si>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</si>
  <si>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</si>
  <si>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</si>
  <si>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</si>
  <si>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</si>
  <si>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</si>
  <si>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</si>
  <si>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</si>
  <si>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</si>
  <si>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</si>
  <si>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</si>
  <si>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</si>
  <si>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</si>
  <si>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</si>
  <si>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</si>
  <si>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</si>
  <si>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</si>
  <si>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</si>
  <si>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</si>
  <si>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</si>
  <si>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</si>
  <si>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</si>
  <si>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</si>
  <si>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</si>
  <si>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</si>
  <si>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</si>
  <si>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</si>
  <si>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</si>
  <si>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</si>
  <si>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</si>
  <si>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</si>
  <si>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</si>
  <si>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</si>
  <si>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</si>
  <si>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</si>
  <si>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</si>
  <si>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</si>
  <si>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</si>
  <si>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</si>
  <si>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</si>
  <si>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</si>
  <si>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</si>
  <si>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</si>
  <si>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</si>
  <si>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</si>
  <si>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</si>
  <si>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</si>
  <si>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</si>
  <si>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</si>
  <si>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</si>
  <si>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</si>
  <si>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 xml:space="preserve">BIOTIC </t>
  </si>
  <si>
    <t>LODGING_value</t>
  </si>
  <si>
    <t>LODGING_date</t>
  </si>
  <si>
    <t>Validation</t>
  </si>
  <si>
    <t>B2N2</t>
  </si>
  <si>
    <t>B4N1</t>
  </si>
  <si>
    <t>Fertilisation limitante (80u)</t>
  </si>
  <si>
    <t>Maes</t>
  </si>
  <si>
    <t>Olivier</t>
  </si>
  <si>
    <t>MAES@MAISADOUR.com</t>
  </si>
  <si>
    <t>MAISADOUR</t>
  </si>
  <si>
    <t>2014-2015</t>
  </si>
  <si>
    <t>Action</t>
  </si>
  <si>
    <t>Produits</t>
  </si>
  <si>
    <t>Cibles</t>
  </si>
  <si>
    <t>Détails</t>
  </si>
  <si>
    <t>Herbicides</t>
  </si>
  <si>
    <t>Colzor trio 3,5l/ha</t>
  </si>
  <si>
    <t>Semis colza</t>
  </si>
  <si>
    <t>Insecticides</t>
  </si>
  <si>
    <t>Irrigation</t>
  </si>
  <si>
    <t>Fongicides</t>
  </si>
  <si>
    <t>Récolte</t>
  </si>
  <si>
    <t>Centurion 0,5l/ha</t>
  </si>
  <si>
    <t>Dycot+gram</t>
  </si>
  <si>
    <t>Gram</t>
  </si>
  <si>
    <t>Mix-in 1l/ha</t>
  </si>
  <si>
    <t>Kerb Flo 2l/ha</t>
  </si>
  <si>
    <t>Fertilisation 1 N1</t>
  </si>
  <si>
    <t>Fertilisation 1 N2</t>
  </si>
  <si>
    <t>Fertilisation 2  N1</t>
  </si>
  <si>
    <t>Fertilisation 2  N2</t>
  </si>
  <si>
    <t>1,6l 38/14</t>
  </si>
  <si>
    <t>1,25l  38/14</t>
  </si>
  <si>
    <t>2,5l 38/14</t>
  </si>
  <si>
    <t>Fertilisation optimale (160u)</t>
  </si>
  <si>
    <t>Pictor Pro 0,35kg/ha</t>
  </si>
  <si>
    <t>proteus 0,5</t>
  </si>
  <si>
    <t>VALIDE</t>
  </si>
  <si>
    <t>NON VALIDE</t>
  </si>
  <si>
    <t>0,750l 38/14</t>
  </si>
  <si>
    <t>RAPSO_006</t>
  </si>
  <si>
    <t>RAPSO_009</t>
  </si>
  <si>
    <t>RAPSO_015</t>
  </si>
  <si>
    <t>RAPSO_017</t>
  </si>
  <si>
    <t>RAPSO_057</t>
  </si>
  <si>
    <t>RAPSO_064</t>
  </si>
  <si>
    <t>RAPSO_067</t>
  </si>
  <si>
    <t>RAPSO_091</t>
  </si>
  <si>
    <t>RAPSO_098</t>
  </si>
  <si>
    <t>RAPSO_105</t>
  </si>
  <si>
    <t>RAPSO_112</t>
  </si>
  <si>
    <t>RAPSO_125</t>
  </si>
  <si>
    <t>RAPSO_152</t>
  </si>
  <si>
    <t>RAPSO_335</t>
  </si>
  <si>
    <t>RAPSO_387</t>
  </si>
  <si>
    <t>RAPSO_402</t>
  </si>
  <si>
    <t>RAPSO_411</t>
  </si>
  <si>
    <t>RAPSO_415</t>
  </si>
  <si>
    <t>RAPSO_418</t>
  </si>
  <si>
    <t>RAPSO_419</t>
  </si>
  <si>
    <t>RAPSO_437</t>
  </si>
  <si>
    <t>RAPSO_456</t>
  </si>
  <si>
    <t>BRA_010</t>
  </si>
  <si>
    <t>Dublianski</t>
  </si>
  <si>
    <t>Forto</t>
  </si>
  <si>
    <t>Gorczanski</t>
  </si>
  <si>
    <t>Gross Luzewiter</t>
  </si>
  <si>
    <t>Sinus</t>
  </si>
  <si>
    <t>Victor</t>
  </si>
  <si>
    <t>Warzanwski</t>
  </si>
  <si>
    <t>Janpol</t>
  </si>
  <si>
    <t>Korina</t>
  </si>
  <si>
    <t>Ligora</t>
  </si>
  <si>
    <t>Primor</t>
  </si>
  <si>
    <t>WIRA</t>
  </si>
  <si>
    <t>Caddy</t>
  </si>
  <si>
    <t>Kromerska1-DS1</t>
  </si>
  <si>
    <t xml:space="preserve">EZSTERHAZY N.ST </t>
  </si>
  <si>
    <t xml:space="preserve">KOMBI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</si>
  <si>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</si>
  <si>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</si>
  <si>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</si>
  <si>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</si>
  <si>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SNITYNSKYI </t>
  </si>
  <si>
    <t xml:space="preserve">KRASNODARSKYI </t>
  </si>
  <si>
    <t>Quinta</t>
  </si>
  <si>
    <t>Étiquettes de lignes</t>
  </si>
  <si>
    <t>(vide)</t>
  </si>
  <si>
    <t>Total général</t>
  </si>
  <si>
    <t>Étiquettes de colonnes</t>
  </si>
  <si>
    <t>Moyenne de SY_value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</si>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</sst>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"/>
    <numFmt numFmtId="165" formatCode="d/mm/yyyy;@"/>
  </numFmts>
  <fonts count="48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8"/>
      <color indexed="10"/>
      <name val="Calibri"/>
      <family val="2"/>
      <charset val="1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31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8" fillId="0" borderId="0"/>
    <xf numFmtId="0" fontId="40" fillId="0" borderId="0"/>
    <xf numFmtId="0" fontId="1" fillId="0" borderId="0"/>
  </cellStyleXfs>
  <cellXfs count="303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24" fillId="0" borderId="1" xfId="0" applyFont="1" applyBorder="1"/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25" fillId="0" borderId="0" xfId="1" applyNumberFormat="1" applyFont="1" applyFill="1" applyBorder="1" applyAlignment="1" applyProtection="1">
      <protection locked="0"/>
    </xf>
    <xf numFmtId="0" fontId="23" fillId="0" borderId="0" xfId="0" applyFont="1" applyAlignment="1">
      <alignment wrapText="1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6" fillId="3" borderId="11" xfId="0" applyFont="1" applyFill="1" applyBorder="1" applyAlignment="1">
      <alignment vertical="center"/>
    </xf>
    <xf numFmtId="0" fontId="26" fillId="0" borderId="12" xfId="0" applyFont="1" applyFill="1" applyBorder="1"/>
    <xf numFmtId="0" fontId="27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 applyProtection="1">
      <protection locked="0"/>
    </xf>
    <xf numFmtId="0" fontId="27" fillId="0" borderId="0" xfId="0" applyFont="1" applyFill="1" applyAlignment="1">
      <alignment horizontal="right"/>
    </xf>
    <xf numFmtId="0" fontId="27" fillId="0" borderId="0" xfId="0" applyFont="1" applyFill="1"/>
    <xf numFmtId="0" fontId="29" fillId="0" borderId="0" xfId="0" applyFont="1"/>
    <xf numFmtId="0" fontId="29" fillId="0" borderId="0" xfId="0" applyFont="1" applyAlignment="1">
      <alignment horizontal="right"/>
    </xf>
    <xf numFmtId="0" fontId="22" fillId="6" borderId="12" xfId="5" applyFont="1" applyFill="1" applyBorder="1"/>
    <xf numFmtId="0" fontId="30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65" fontId="28" fillId="0" borderId="0" xfId="0" applyNumberFormat="1" applyFont="1" applyAlignment="1" applyProtection="1">
      <protection locked="0"/>
    </xf>
    <xf numFmtId="165" fontId="27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1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5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36" fillId="0" borderId="19" xfId="10" applyNumberFormat="1" applyFont="1" applyFill="1" applyBorder="1" applyAlignment="1">
      <alignment horizontal="center" vertical="center"/>
    </xf>
    <xf numFmtId="0" fontId="37" fillId="0" borderId="20" xfId="10" applyNumberFormat="1" applyFont="1" applyFill="1" applyBorder="1" applyAlignment="1">
      <alignment horizontal="center" vertical="center"/>
    </xf>
    <xf numFmtId="0" fontId="35" fillId="0" borderId="21" xfId="10" applyNumberFormat="1" applyFont="1" applyFill="1" applyBorder="1" applyAlignment="1">
      <alignment horizontal="center" vertical="center"/>
    </xf>
    <xf numFmtId="0" fontId="38" fillId="0" borderId="0" xfId="0" applyFont="1" applyBorder="1"/>
    <xf numFmtId="0" fontId="36" fillId="0" borderId="22" xfId="10" applyNumberFormat="1" applyFont="1" applyFill="1" applyBorder="1" applyAlignment="1">
      <alignment horizontal="center" vertical="center"/>
    </xf>
    <xf numFmtId="0" fontId="37" fillId="0" borderId="23" xfId="10" applyNumberFormat="1" applyFont="1" applyFill="1" applyBorder="1" applyAlignment="1">
      <alignment horizontal="center" vertical="center"/>
    </xf>
    <xf numFmtId="0" fontId="35" fillId="0" borderId="24" xfId="10" applyNumberFormat="1" applyFont="1" applyFill="1" applyBorder="1" applyAlignment="1">
      <alignment horizontal="center" vertical="center"/>
    </xf>
    <xf numFmtId="0" fontId="35" fillId="0" borderId="24" xfId="10" applyFont="1" applyFill="1" applyBorder="1" applyAlignment="1">
      <alignment horizontal="center" vertical="center"/>
    </xf>
    <xf numFmtId="0" fontId="39" fillId="0" borderId="19" xfId="10" applyNumberFormat="1" applyFont="1" applyFill="1" applyBorder="1" applyAlignment="1">
      <alignment horizontal="center" vertical="center"/>
    </xf>
    <xf numFmtId="0" fontId="39" fillId="0" borderId="22" xfId="10" applyNumberFormat="1" applyFont="1" applyFill="1" applyBorder="1" applyAlignment="1">
      <alignment horizontal="center" vertical="center"/>
    </xf>
    <xf numFmtId="0" fontId="35" fillId="0" borderId="24" xfId="12" applyFont="1" applyFill="1" applyBorder="1" applyAlignment="1">
      <alignment horizontal="center" vertical="center"/>
    </xf>
    <xf numFmtId="0" fontId="35" fillId="0" borderId="24" xfId="0" applyFont="1" applyFill="1" applyBorder="1" applyAlignment="1">
      <alignment horizontal="center"/>
    </xf>
    <xf numFmtId="0" fontId="36" fillId="8" borderId="22" xfId="0" applyFont="1" applyFill="1" applyBorder="1" applyAlignment="1">
      <alignment horizontal="center"/>
    </xf>
    <xf numFmtId="0" fontId="37" fillId="8" borderId="23" xfId="0" applyFont="1" applyFill="1" applyBorder="1" applyAlignment="1">
      <alignment horizontal="center"/>
    </xf>
    <xf numFmtId="0" fontId="35" fillId="8" borderId="24" xfId="0" applyFont="1" applyFill="1" applyBorder="1" applyAlignment="1">
      <alignment horizontal="center"/>
    </xf>
    <xf numFmtId="0" fontId="40" fillId="0" borderId="17" xfId="13" applyFont="1" applyBorder="1" applyAlignment="1">
      <alignment horizontal="left" vertical="center"/>
    </xf>
    <xf numFmtId="0" fontId="36" fillId="8" borderId="25" xfId="0" applyFont="1" applyFill="1" applyBorder="1" applyAlignment="1">
      <alignment horizontal="center"/>
    </xf>
    <xf numFmtId="0" fontId="37" fillId="8" borderId="26" xfId="0" applyFont="1" applyFill="1" applyBorder="1" applyAlignment="1">
      <alignment horizontal="center"/>
    </xf>
    <xf numFmtId="0" fontId="35" fillId="8" borderId="26" xfId="0" applyFont="1" applyFill="1" applyBorder="1" applyAlignment="1">
      <alignment horizontal="center"/>
    </xf>
    <xf numFmtId="0" fontId="36" fillId="0" borderId="20" xfId="10" applyNumberFormat="1" applyFont="1" applyFill="1" applyBorder="1" applyAlignment="1">
      <alignment horizontal="center" vertical="center" wrapText="1"/>
    </xf>
    <xf numFmtId="0" fontId="37" fillId="0" borderId="20" xfId="10" applyNumberFormat="1" applyFont="1" applyFill="1" applyBorder="1" applyAlignment="1">
      <alignment horizontal="center" vertical="center" wrapText="1"/>
    </xf>
    <xf numFmtId="0" fontId="41" fillId="12" borderId="0" xfId="7" applyFont="1" applyFill="1" applyAlignment="1">
      <alignment horizontal="center" vertical="center"/>
    </xf>
    <xf numFmtId="0" fontId="42" fillId="12" borderId="17" xfId="7" applyFont="1" applyFill="1" applyBorder="1" applyAlignment="1">
      <alignment horizontal="center" vertical="center"/>
    </xf>
    <xf numFmtId="0" fontId="42" fillId="12" borderId="27" xfId="7" applyFont="1" applyFill="1" applyBorder="1" applyAlignment="1">
      <alignment horizontal="center" vertical="center"/>
    </xf>
    <xf numFmtId="0" fontId="42" fillId="12" borderId="28" xfId="7" applyFont="1" applyFill="1" applyBorder="1" applyAlignment="1">
      <alignment horizontal="center" vertical="center"/>
    </xf>
    <xf numFmtId="0" fontId="42" fillId="12" borderId="29" xfId="7" applyFont="1" applyFill="1" applyBorder="1" applyAlignment="1">
      <alignment horizontal="center" vertical="center"/>
    </xf>
    <xf numFmtId="0" fontId="42" fillId="12" borderId="30" xfId="7" applyFont="1" applyFill="1" applyBorder="1" applyAlignment="1">
      <alignment horizontal="center" vertical="center"/>
    </xf>
    <xf numFmtId="0" fontId="42" fillId="12" borderId="31" xfId="7" applyFont="1" applyFill="1" applyBorder="1" applyAlignment="1">
      <alignment horizontal="center" vertical="center"/>
    </xf>
    <xf numFmtId="0" fontId="42" fillId="12" borderId="32" xfId="7" applyFont="1" applyFill="1" applyBorder="1" applyAlignment="1">
      <alignment horizontal="center" vertical="center"/>
    </xf>
    <xf numFmtId="0" fontId="42" fillId="12" borderId="33" xfId="7" applyFont="1" applyFill="1" applyBorder="1" applyAlignment="1">
      <alignment horizontal="center" vertical="center"/>
    </xf>
    <xf numFmtId="0" fontId="42" fillId="12" borderId="34" xfId="7" applyFont="1" applyFill="1" applyBorder="1" applyAlignment="1">
      <alignment horizontal="center" vertical="center"/>
    </xf>
    <xf numFmtId="0" fontId="29" fillId="9" borderId="30" xfId="0" applyFont="1" applyFill="1" applyBorder="1" applyAlignment="1">
      <alignment horizontal="center" vertical="center"/>
    </xf>
    <xf numFmtId="0" fontId="29" fillId="9" borderId="17" xfId="0" applyFont="1" applyFill="1" applyBorder="1" applyAlignment="1">
      <alignment horizontal="center" vertical="center"/>
    </xf>
    <xf numFmtId="0" fontId="29" fillId="9" borderId="31" xfId="0" applyFont="1" applyFill="1" applyBorder="1" applyAlignment="1">
      <alignment horizontal="center" vertical="center"/>
    </xf>
    <xf numFmtId="0" fontId="29" fillId="9" borderId="32" xfId="0" applyFont="1" applyFill="1" applyBorder="1" applyAlignment="1">
      <alignment horizontal="center" vertical="center"/>
    </xf>
    <xf numFmtId="0" fontId="29" fillId="9" borderId="33" xfId="0" applyFont="1" applyFill="1" applyBorder="1" applyAlignment="1">
      <alignment horizontal="center" vertical="center"/>
    </xf>
    <xf numFmtId="0" fontId="29" fillId="9" borderId="34" xfId="0" applyFont="1" applyFill="1" applyBorder="1" applyAlignment="1">
      <alignment horizontal="center" vertical="center"/>
    </xf>
    <xf numFmtId="0" fontId="29" fillId="9" borderId="27" xfId="0" applyFont="1" applyFill="1" applyBorder="1" applyAlignment="1">
      <alignment horizontal="center" vertical="center"/>
    </xf>
    <xf numFmtId="0" fontId="29" fillId="9" borderId="28" xfId="0" applyFont="1" applyFill="1" applyBorder="1" applyAlignment="1">
      <alignment horizontal="center" vertical="center"/>
    </xf>
    <xf numFmtId="0" fontId="29" fillId="9" borderId="29" xfId="0" applyFont="1" applyFill="1" applyBorder="1" applyAlignment="1">
      <alignment horizontal="center" vertical="center"/>
    </xf>
    <xf numFmtId="0" fontId="29" fillId="10" borderId="30" xfId="0" applyFont="1" applyFill="1" applyBorder="1" applyAlignment="1">
      <alignment horizontal="center" vertical="center"/>
    </xf>
    <xf numFmtId="0" fontId="29" fillId="10" borderId="17" xfId="0" applyFont="1" applyFill="1" applyBorder="1" applyAlignment="1">
      <alignment horizontal="center" vertical="center"/>
    </xf>
    <xf numFmtId="0" fontId="29" fillId="10" borderId="31" xfId="0" applyFont="1" applyFill="1" applyBorder="1" applyAlignment="1">
      <alignment horizontal="center" vertical="center"/>
    </xf>
    <xf numFmtId="0" fontId="29" fillId="10" borderId="27" xfId="0" applyFont="1" applyFill="1" applyBorder="1" applyAlignment="1">
      <alignment horizontal="center" vertical="center"/>
    </xf>
    <xf numFmtId="0" fontId="29" fillId="10" borderId="28" xfId="0" applyFont="1" applyFill="1" applyBorder="1" applyAlignment="1">
      <alignment horizontal="center" vertical="center"/>
    </xf>
    <xf numFmtId="0" fontId="29" fillId="10" borderId="29" xfId="0" applyFont="1" applyFill="1" applyBorder="1" applyAlignment="1">
      <alignment horizontal="center" vertical="center"/>
    </xf>
    <xf numFmtId="0" fontId="29" fillId="10" borderId="32" xfId="0" applyFont="1" applyFill="1" applyBorder="1" applyAlignment="1">
      <alignment horizontal="center" vertical="center"/>
    </xf>
    <xf numFmtId="0" fontId="29" fillId="10" borderId="33" xfId="0" applyFont="1" applyFill="1" applyBorder="1" applyAlignment="1">
      <alignment horizontal="center" vertical="center"/>
    </xf>
    <xf numFmtId="0" fontId="29" fillId="10" borderId="34" xfId="0" applyFont="1" applyFill="1" applyBorder="1" applyAlignment="1">
      <alignment horizontal="center" vertical="center"/>
    </xf>
    <xf numFmtId="0" fontId="29" fillId="11" borderId="27" xfId="0" applyFont="1" applyFill="1" applyBorder="1" applyAlignment="1">
      <alignment horizontal="center" vertical="center"/>
    </xf>
    <xf numFmtId="0" fontId="29" fillId="11" borderId="28" xfId="0" applyFont="1" applyFill="1" applyBorder="1" applyAlignment="1">
      <alignment horizontal="center" vertical="center"/>
    </xf>
    <xf numFmtId="0" fontId="29" fillId="11" borderId="29" xfId="0" applyFont="1" applyFill="1" applyBorder="1" applyAlignment="1">
      <alignment horizontal="center" vertical="center"/>
    </xf>
    <xf numFmtId="0" fontId="29" fillId="11" borderId="30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horizontal="center" vertical="center"/>
    </xf>
    <xf numFmtId="0" fontId="29" fillId="11" borderId="31" xfId="0" applyFont="1" applyFill="1" applyBorder="1" applyAlignment="1">
      <alignment horizontal="center" vertical="center"/>
    </xf>
    <xf numFmtId="0" fontId="29" fillId="11" borderId="35" xfId="0" applyFont="1" applyFill="1" applyBorder="1" applyAlignment="1">
      <alignment horizontal="center" vertical="center"/>
    </xf>
    <xf numFmtId="0" fontId="29" fillId="11" borderId="20" xfId="0" applyFont="1" applyFill="1" applyBorder="1" applyAlignment="1">
      <alignment horizontal="center" vertical="center"/>
    </xf>
    <xf numFmtId="0" fontId="29" fillId="11" borderId="36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9" borderId="0" xfId="7" applyFont="1" applyFill="1" applyAlignment="1">
      <alignment horizontal="center" vertical="center"/>
    </xf>
    <xf numFmtId="0" fontId="41" fillId="10" borderId="0" xfId="7" applyFont="1" applyFill="1" applyAlignment="1">
      <alignment horizontal="center" vertical="center"/>
    </xf>
    <xf numFmtId="0" fontId="41" fillId="11" borderId="0" xfId="7" applyFont="1" applyFill="1" applyAlignment="1">
      <alignment horizontal="center" vertical="center"/>
    </xf>
    <xf numFmtId="0" fontId="36" fillId="0" borderId="25" xfId="10" applyNumberFormat="1" applyFon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0" fontId="1" fillId="0" borderId="0" xfId="14"/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top"/>
    </xf>
    <xf numFmtId="0" fontId="1" fillId="0" borderId="0" xfId="14"/>
    <xf numFmtId="0" fontId="1" fillId="0" borderId="0" xfId="14"/>
    <xf numFmtId="0" fontId="39" fillId="0" borderId="0" xfId="14" applyFont="1"/>
    <xf numFmtId="14" fontId="27" fillId="0" borderId="0" xfId="0" applyNumberFormat="1" applyFont="1"/>
    <xf numFmtId="0" fontId="1" fillId="0" borderId="0" xfId="14"/>
    <xf numFmtId="0" fontId="2" fillId="0" borderId="0" xfId="1" applyNumberFormat="1" applyFill="1" applyBorder="1" applyProtection="1">
      <protection locked="0"/>
    </xf>
    <xf numFmtId="14" fontId="0" fillId="0" borderId="12" xfId="0" applyNumberFormat="1" applyFill="1" applyBorder="1"/>
    <xf numFmtId="0" fontId="44" fillId="10" borderId="17" xfId="14" applyFont="1" applyFill="1" applyBorder="1" applyAlignment="1">
      <alignment horizontal="center"/>
    </xf>
    <xf numFmtId="14" fontId="45" fillId="13" borderId="17" xfId="14" applyNumberFormat="1" applyFont="1" applyFill="1" applyBorder="1" applyAlignment="1">
      <alignment horizontal="center"/>
    </xf>
    <xf numFmtId="14" fontId="45" fillId="0" borderId="17" xfId="14" applyNumberFormat="1" applyFont="1" applyBorder="1" applyAlignment="1">
      <alignment horizontal="center"/>
    </xf>
    <xf numFmtId="0" fontId="45" fillId="0" borderId="17" xfId="14" applyFont="1" applyBorder="1" applyAlignment="1">
      <alignment horizontal="center"/>
    </xf>
    <xf numFmtId="0" fontId="46" fillId="0" borderId="0" xfId="6" applyFont="1" applyAlignment="1">
      <alignment horizontal="left" vertical="center"/>
    </xf>
    <xf numFmtId="0" fontId="0" fillId="0" borderId="0" xfId="0" applyFill="1" applyBorder="1"/>
    <xf numFmtId="0" fontId="29" fillId="0" borderId="12" xfId="0" applyFont="1" applyBorder="1"/>
    <xf numFmtId="0" fontId="26" fillId="3" borderId="16" xfId="0" applyFont="1" applyFill="1" applyBorder="1" applyAlignment="1">
      <alignment vertical="center"/>
    </xf>
    <xf numFmtId="0" fontId="28" fillId="0" borderId="0" xfId="0" applyFont="1" applyProtection="1">
      <protection locked="0"/>
    </xf>
    <xf numFmtId="0" fontId="47" fillId="0" borderId="0" xfId="14" applyFont="1"/>
    <xf numFmtId="0" fontId="28" fillId="0" borderId="19" xfId="10" applyNumberFormat="1" applyFont="1" applyFill="1" applyBorder="1" applyAlignment="1">
      <alignment horizontal="center" vertical="center"/>
    </xf>
    <xf numFmtId="0" fontId="26" fillId="4" borderId="12" xfId="0" applyFont="1" applyFill="1" applyBorder="1"/>
    <xf numFmtId="0" fontId="28" fillId="0" borderId="0" xfId="0" applyFont="1"/>
    <xf numFmtId="0" fontId="28" fillId="0" borderId="12" xfId="0" applyFont="1" applyFill="1" applyBorder="1"/>
    <xf numFmtId="165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4" fontId="28" fillId="0" borderId="0" xfId="0" applyNumberFormat="1" applyFont="1"/>
    <xf numFmtId="2" fontId="28" fillId="0" borderId="0" xfId="0" applyNumberFormat="1" applyFont="1" applyBorder="1" applyAlignment="1">
      <alignment horizontal="center" vertical="center"/>
    </xf>
    <xf numFmtId="0" fontId="28" fillId="0" borderId="0" xfId="14" applyFont="1"/>
    <xf numFmtId="0" fontId="26" fillId="3" borderId="0" xfId="0" applyFont="1" applyFill="1" applyBorder="1" applyAlignment="1">
      <alignment vertical="center"/>
    </xf>
    <xf numFmtId="0" fontId="28" fillId="0" borderId="22" xfId="10" applyNumberFormat="1" applyFont="1" applyFill="1" applyBorder="1" applyAlignment="1">
      <alignment horizontal="center" vertical="center"/>
    </xf>
    <xf numFmtId="0" fontId="36" fillId="8" borderId="19" xfId="0" applyFont="1" applyFill="1" applyBorder="1" applyAlignment="1">
      <alignment horizontal="center"/>
    </xf>
    <xf numFmtId="0" fontId="28" fillId="0" borderId="12" xfId="0" applyFont="1" applyBorder="1"/>
    <xf numFmtId="0" fontId="29" fillId="0" borderId="0" xfId="0" applyFont="1" applyBorder="1"/>
    <xf numFmtId="2" fontId="28" fillId="0" borderId="17" xfId="0" applyNumberFormat="1" applyFont="1" applyBorder="1" applyAlignment="1">
      <alignment horizontal="center" vertical="center"/>
    </xf>
    <xf numFmtId="0" fontId="28" fillId="0" borderId="0" xfId="0" applyFont="1" applyBorder="1"/>
    <xf numFmtId="0" fontId="0" fillId="0" borderId="0" xfId="0" applyBorder="1" applyAlignment="1">
      <alignment vertical="top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1" fillId="9" borderId="0" xfId="7" applyFont="1" applyFill="1" applyAlignment="1">
      <alignment horizontal="center" vertical="center"/>
    </xf>
    <xf numFmtId="0" fontId="41" fillId="10" borderId="0" xfId="7" applyFont="1" applyFill="1" applyAlignment="1">
      <alignment horizontal="center" vertical="center"/>
    </xf>
    <xf numFmtId="0" fontId="41" fillId="11" borderId="0" xfId="7" applyFont="1" applyFill="1" applyAlignment="1">
      <alignment horizontal="center" vertical="center"/>
    </xf>
    <xf numFmtId="0" fontId="41" fillId="12" borderId="0" xfId="7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5">
    <cellStyle name="Lien hypertexte" xfId="1" builtinId="8"/>
    <cellStyle name="Lien hypertexte 2" xfId="2"/>
    <cellStyle name="Lien hypertexte 3" xfId="3"/>
    <cellStyle name="Lien hypertexte 4" xfId="4"/>
    <cellStyle name="Normal" xfId="0" builtinId="0"/>
    <cellStyle name="Normal 10" xfId="5"/>
    <cellStyle name="Normal 2" xfId="6"/>
    <cellStyle name="Normal 3" xfId="7"/>
    <cellStyle name="Normal 3 2" xfId="8"/>
    <cellStyle name="Normal 4" xfId="9"/>
    <cellStyle name="Normal 5" xfId="10"/>
    <cellStyle name="Normal 6" xfId="14"/>
    <cellStyle name="Normal_Metapop_list_final" xfId="12"/>
    <cellStyle name="Normalny 2" xfId="11"/>
    <cellStyle name="TableStyleLight1" xfId="1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ne-Sophie Bouchet" refreshedDate="42339.699442708334" createdVersion="4" refreshedVersion="4" minRefreshableVersion="3" recordCount="866">
  <cacheSource type="worksheet">
    <worksheetSource ref="A1:CO1048576" sheet="Data"/>
  </cacheSource>
  <cacheFields count="93">
    <cacheField name="LotName" numFmtId="0">
      <sharedItems containsBlank="1"/>
    </cacheField>
    <cacheField name="AccessionNumber" numFmtId="0">
      <sharedItems containsBlank="1"/>
    </cacheField>
    <cacheField name="engrais" numFmtId="0">
      <sharedItems containsBlank="1" count="3">
        <s v="N2"/>
        <s v="N1"/>
        <m/>
      </sharedItems>
    </cacheField>
    <cacheField name="Bloc" numFmtId="0">
      <sharedItems containsString="0" containsBlank="1" containsNumber="1" containsInteger="1" minValue="1" maxValue="4" count="5">
        <n v="2"/>
        <n v="3"/>
        <n v="1"/>
        <n v="4"/>
        <m/>
      </sharedItems>
    </cacheField>
    <cacheField name="Parcelle" numFmtId="0">
      <sharedItems containsString="0" containsBlank="1" containsNumber="1" containsInteger="1" minValue="1" maxValue="192"/>
    </cacheField>
    <cacheField name="X" numFmtId="0">
      <sharedItems containsString="0" containsBlank="1" containsNumber="1" containsInteger="1" minValue="1" maxValue="24"/>
    </cacheField>
    <cacheField name="Y" numFmtId="0">
      <sharedItems containsString="0" containsBlank="1" containsNumber="1" containsInteger="1" minValue="1" maxValue="32"/>
    </cacheField>
    <cacheField name="X(m)" numFmtId="0">
      <sharedItems containsString="0" containsBlank="1" containsNumber="1" containsInteger="1" minValue="1" maxValue="24"/>
    </cacheField>
    <cacheField name="Y(m)" numFmtId="0">
      <sharedItems containsString="0" containsBlank="1" containsNumber="1" containsInteger="1" minValue="1" maxValue="4"/>
    </cacheField>
    <cacheField name="PLANTDENS_value" numFmtId="0">
      <sharedItems containsNonDate="0" containsString="0" containsBlank="1"/>
    </cacheField>
    <cacheField name="PLANTDENS_date" numFmtId="0">
      <sharedItems containsNonDate="0" containsString="0" containsBlank="1"/>
    </cacheField>
    <cacheField name="REGSTAND_value" numFmtId="0">
      <sharedItems containsString="0" containsBlank="1" containsNumber="1" containsInteger="1" minValue="1" maxValue="9"/>
    </cacheField>
    <cacheField name="REGSTAND_date" numFmtId="0">
      <sharedItems containsNonDate="0" containsString="0" containsBlank="1"/>
    </cacheField>
    <cacheField name="PLOTHARVEST_value" numFmtId="0">
      <sharedItems containsString="0" containsBlank="1" containsNumber="1" minValue="0.16" maxValue="8.58"/>
    </cacheField>
    <cacheField name="PLOTHARVEST_date" numFmtId="165">
      <sharedItems containsNonDate="0" containsDate="1" containsString="0" containsBlank="1" minDate="2015-07-06T00:00:00" maxDate="2015-07-07T00:00:00"/>
    </cacheField>
    <cacheField name="HI_value" numFmtId="0">
      <sharedItems containsNonDate="0" containsString="0" containsBlank="1"/>
    </cacheField>
    <cacheField name="HI_date" numFmtId="0">
      <sharedItems containsNonDate="0" containsString="0" containsBlank="1"/>
    </cacheField>
    <cacheField name="NHI_value" numFmtId="0">
      <sharedItems containsNonDate="0" containsString="0" containsBlank="1"/>
    </cacheField>
    <cacheField name="NHI_date" numFmtId="0">
      <sharedItems containsNonDate="0" containsString="0" containsBlank="1"/>
    </cacheField>
    <cacheField name="OY_value" numFmtId="0">
      <sharedItems containsString="0" containsBlank="1" containsNumber="1" minValue="0.45" maxValue="24.98"/>
    </cacheField>
    <cacheField name="OY_date" numFmtId="0">
      <sharedItems containsNonDate="0" containsDate="1" containsString="0" containsBlank="1" minDate="2015-07-15T00:00:00" maxDate="2015-07-16T00:00:00"/>
    </cacheField>
    <cacheField name="PLOTSURF_value" numFmtId="0">
      <sharedItems containsString="0" containsBlank="1" containsNumber="1" minValue="18.5" maxValue="18.5"/>
    </cacheField>
    <cacheField name="PLOTSURF_date" numFmtId="165">
      <sharedItems containsNonDate="0" containsDate="1" containsString="0" containsBlank="1" minDate="2015-07-06T00:00:00" maxDate="2015-07-07T00:00:00"/>
    </cacheField>
    <cacheField name="PODSHAT_value" numFmtId="0">
      <sharedItems containsNonDate="0" containsString="0" containsBlank="1"/>
    </cacheField>
    <cacheField name="PODSHAT_date" numFmtId="0">
      <sharedItems containsNonDate="0" containsString="0" containsBlank="1"/>
    </cacheField>
    <cacheField name="PrY_value" numFmtId="0">
      <sharedItems containsNonDate="0" containsString="0" containsBlank="1"/>
    </cacheField>
    <cacheField name="PrY_date" numFmtId="0">
      <sharedItems containsNonDate="0" containsString="0" containsBlank="1"/>
    </cacheField>
    <cacheField name="SN_value" numFmtId="0">
      <sharedItems containsNonDate="0" containsString="0" containsBlank="1"/>
    </cacheField>
    <cacheField name="SN_date" numFmtId="0">
      <sharedItems containsNonDate="0" containsString="0" containsBlank="1"/>
    </cacheField>
    <cacheField name="SY_value" numFmtId="0">
      <sharedItems containsBlank="1" containsMixedTypes="1" containsNumber="1" minValue="0.80942702702702707" maxValue="42.360155675675678" count="817">
        <n v="0.80942702702702707"/>
        <n v="1.8212108108108107"/>
        <n v="3.1168237837837838"/>
        <n v="3.4614129729729721"/>
        <n v="3.6891437837837842"/>
        <n v="4.3505643243243242"/>
        <n v="5.4293059459459458"/>
        <n v="5.5356756756756758"/>
        <n v="5.6765837837837827"/>
        <n v="5.8695113513513517"/>
        <n v="6.6719989189189182"/>
        <n v="7.4166399999999992"/>
        <n v="7.5429805405405403"/>
        <n v="8.0010378378378384"/>
        <n v="8.0238162162162183"/>
        <n v="8.1010508108108112"/>
        <n v="8.2248486486486474"/>
        <n v="8.2803113513513491"/>
        <n v="8.8822962162162185"/>
        <n v="8.9662054054054057"/>
        <n v="9.0144108108108121"/>
        <n v="9.1433999999999997"/>
        <n v="9.4111783783783771"/>
        <n v="9.6582972972972971"/>
        <n v="9.8803070270270279"/>
        <n v="9.9128854054054045"/>
        <n v="9.93772972972973"/>
        <n v="10.428418378378376"/>
        <n v="10.736456216216215"/>
        <n v="10.762836756756759"/>
        <n v="10.812207567567569"/>
        <n v="11.118391351351352"/>
        <n v="11.527766486486485"/>
        <n v="11.676514594594595"/>
        <n v="11.75110054054054"/>
        <n v="11.776209729729729"/>
        <n v="11.788075675675675"/>
        <n v="12.197344864864863"/>
        <n v="12.210376216216218"/>
        <n v="12.319712432432434"/>
        <n v="13.033894054054057"/>
        <n v="13.393845405405406"/>
        <n v="13.472086486486488"/>
        <n v="13.932739459459459"/>
        <n v="14.02131027027027"/>
        <n v="14.249305945945945"/>
        <n v="14.268164324324326"/>
        <n v="14.546166486486486"/>
        <n v="14.684108108108109"/>
        <n v="14.759859459459459"/>
        <n v="14.825228108108107"/>
        <n v="14.858918918918921"/>
        <n v="14.874810810810809"/>
        <n v="15.059262702702704"/>
        <n v="15.51843243243243"/>
        <n v="15.519068108108108"/>
        <n v="15.780012972972973"/>
        <n v="15.963882162162161"/>
        <n v="16.112153513513512"/>
        <n v="16.161577297297296"/>
        <n v="16.295281081081082"/>
        <n v="16.32732972972973"/>
        <n v="16.443870270270271"/>
        <n v="16.606391351351352"/>
        <n v="16.804086486486483"/>
        <n v="17.113289729729729"/>
        <n v="17.137286486486484"/>
        <n v="17.144172972972971"/>
        <n v="17.181042162162164"/>
        <n v="17.193437837837838"/>
        <n v="17.316864864864868"/>
        <n v="17.329154594594591"/>
        <n v="17.384935135135134"/>
        <n v="17.533524324324322"/>
        <n v="17.538291891891891"/>
        <n v="17.822862702702704"/>
        <n v="17.833881081081081"/>
        <n v="18.078351351351348"/>
        <n v="18.166657297297302"/>
        <n v="18.27647027027027"/>
        <n v="18.385647567567567"/>
        <n v="18.484495135135134"/>
        <n v="18.514054054054057"/>
        <n v="18.533918918918918"/>
        <n v="18.612795675675677"/>
        <n v="18.642142702702703"/>
        <n v="18.839414054054053"/>
        <n v="18.929309189189187"/>
        <n v="18.938049729729727"/>
        <n v="18.978732972972971"/>
        <n v="18.987367567567567"/>
        <n v="19.028156756756758"/>
        <n v="19.164032432432435"/>
        <n v="19.184638918918921"/>
        <n v="19.37412324324324"/>
        <n v="19.445318918918922"/>
        <n v="19.621242162162162"/>
        <n v="19.663567567567565"/>
        <n v="19.769513513513512"/>
        <n v="19.783180540540538"/>
        <n v="19.811891891891893"/>
        <n v="20.115480000000002"/>
        <n v="20.121677837837836"/>
        <n v="20.149329729729729"/>
        <n v="20.192661621621621"/>
        <n v="20.204315675675673"/>
        <n v="20.466902702702701"/>
        <n v="20.609717837837838"/>
        <n v="20.63699891891892"/>
        <n v="20.730761081081084"/>
        <n v="20.735740540540544"/>
        <n v="20.762809729729732"/>
        <n v="20.807412972972973"/>
        <n v="20.910763243243245"/>
        <n v="20.933223783783784"/>
        <n v="21.252227027027022"/>
        <n v="21.255988108108106"/>
        <n v="21.44992216216216"/>
        <n v="21.459298378378381"/>
        <n v="21.647617297297295"/>
        <n v="21.673785945945948"/>
        <n v="21.676540540540543"/>
        <n v="21.723156756756758"/>
        <n v="21.751656216216215"/>
        <n v="21.94416"/>
        <n v="22.167494054054057"/>
        <n v="22.315606486486487"/>
        <n v="22.587569729729729"/>
        <n v="22.711102702702703"/>
        <n v="22.759943783783786"/>
        <n v="22.883476756756753"/>
        <n v="22.957215135135133"/>
        <n v="22.957427027027023"/>
        <n v="23.0803772972973"/>
        <n v="23.120318918918915"/>
        <n v="23.179383783783784"/>
        <n v="23.20375135135135"/>
        <n v="23.273569729729726"/>
        <n v="23.553425945945946"/>
        <n v="23.599247567567573"/>
        <n v="23.645439999999994"/>
        <n v="23.696399999999997"/>
        <n v="23.721879999999995"/>
        <n v="23.968469189189193"/>
        <n v="24.454761081081084"/>
        <n v="24.761315675675675"/>
        <n v="24.874412972972969"/>
        <n v="24.928021621621617"/>
        <n v="24.999641081081084"/>
        <n v="25.332999999999995"/>
        <n v="25.393336216216216"/>
        <n v="25.415161081081077"/>
        <n v="25.444614054054053"/>
        <n v="25.716259459459462"/>
        <n v="25.771563243243246"/>
        <n v="25.842547027027024"/>
        <n v="25.990500540540541"/>
        <n v="26.194287567567564"/>
        <n v="26.532996756756756"/>
        <n v="26.574421621621624"/>
        <n v="26.631632432432433"/>
        <n v="26.639419459459457"/>
        <n v="27.026175135135137"/>
        <n v="27.104575135135139"/>
        <n v="27.617989189189185"/>
        <n v="27.657507027027023"/>
        <n v="28.122132972972974"/>
        <n v="28.220980540540541"/>
        <n v="28.783182702702703"/>
        <n v="28.801617297297295"/>
        <n v="28.954603243243238"/>
        <n v="29.330287567567563"/>
        <n v="29.375632432432436"/>
        <n v="29.515057297297297"/>
        <n v="29.918711351351352"/>
        <n v="30.068465945945949"/>
        <n v="30.116194594594592"/>
        <n v="30.544216216216221"/>
        <n v="31.151127567567567"/>
        <n v="31.301094054054058"/>
        <n v="31.775837837837841"/>
        <n v="31.933485405405403"/>
        <n v="32.27007567567567"/>
        <n v="33.007459459459461"/>
        <n v="33.490255135135136"/>
        <n v="33.549372972972968"/>
        <n v="34.177261621621618"/>
        <n v="35.01566486486486"/>
        <n v="35.027318918918922"/>
        <n v="35.416246486486486"/>
        <n v="35.596354594594601"/>
        <n v="38.968508108108111"/>
        <n v="41.136162162162158"/>
        <n v="42.360155675675678"/>
        <e v="#DIV/0!"/>
        <n v="7.0069999999999997"/>
        <n v="7.8246908108108126"/>
        <n v="8.4371113513513514"/>
        <n v="9.6169783783783771"/>
        <n v="9.6501924324324317"/>
        <n v="9.9675535135135132"/>
        <n v="10.230723243243242"/>
        <n v="10.291165405405406"/>
        <n v="10.302183783783784"/>
        <n v="10.37676972972973"/>
        <n v="10.647885405405406"/>
        <n v="11.244202162162161"/>
        <n v="11.47489945945946"/>
        <n v="11.478713513513512"/>
        <n v="11.503187027027025"/>
        <n v="11.515582702702702"/>
        <n v="11.723660540540541"/>
        <n v="11.732401081081081"/>
        <n v="11.734572972972972"/>
        <n v="11.870819459459458"/>
        <n v="11.894127567567569"/>
        <n v="11.926229189189192"/>
        <n v="11.968077837837836"/>
        <n v="12.144054054054054"/>
        <n v="12.23251891891892"/>
        <n v="12.40044324324324"/>
        <n v="12.454475675675674"/>
        <n v="12.45511135135135"/>
        <n v="12.767545945945946"/>
        <n v="12.775174054054053"/>
        <n v="12.795091891891893"/>
        <n v="12.837999999999999"/>
        <n v="12.871955675675675"/>
        <n v="12.879636756756755"/>
        <n v="12.885781621621623"/>
        <n v="12.950567567567568"/>
        <n v="13.097143783783782"/>
        <n v="13.153718918918919"/>
        <n v="13.17459027027027"/>
        <n v="13.215697297297298"/>
        <n v="13.272908108108108"/>
        <n v="13.273967567567569"/>
        <n v="13.373027027027026"/>
        <n v="13.377000000000001"/>
        <n v="13.400043243243243"/>
        <n v="13.426264864864864"/>
        <n v="13.431297297297299"/>
        <n v="13.460432432432434"/>
        <n v="13.478231351351353"/>
        <n v="13.509379459459456"/>
        <n v="13.515948108108105"/>
        <n v="13.592547027027024"/>
        <n v="13.607273513513512"/>
        <n v="13.649916756756758"/>
        <n v="13.675502702702701"/>
        <n v="13.71343135135135"/>
        <n v="13.808994594594592"/>
        <n v="13.83293837837838"/>
        <n v="13.907630270270269"/>
        <n v="13.946088648648647"/>
        <n v="13.95339891891892"/>
        <n v="14.096743783783783"/>
        <n v="14.099763243243244"/>
        <n v="14.150352432432435"/>
        <n v="14.15331891891892"/>
        <n v="14.22176"/>
        <n v="14.434605405405406"/>
        <n v="14.486254054054056"/>
        <n v="14.496689729729731"/>
        <n v="14.509085405405402"/>
        <n v="14.588756756756755"/>
        <n v="14.635161081081083"/>
        <n v="14.636432432432434"/>
        <n v="14.668216216216216"/>
        <n v="14.7"/>
        <n v="14.748999999999999"/>
        <n v="14.791431351351353"/>
        <n v="14.815481081081083"/>
        <n v="14.843027027027029"/>
        <n v="14.846364324324323"/>
        <n v="14.86199135135135"/>
        <n v="14.879896216216219"/>
        <n v="14.943304864864865"/>
        <n v="14.959355675675676"/>
        <n v="14.961686486486487"/>
        <n v="15.010474594594591"/>
        <n v="15.043052972972973"/>
        <n v="15.108315675675673"/>
        <n v="15.140999999999998"/>
        <n v="15.20620972972973"/>
        <n v="15.222525405405404"/>
        <n v="15.304898378378379"/>
        <n v="15.350084324324326"/>
        <n v="15.370161081081083"/>
        <n v="15.386741621621619"/>
        <n v="15.417042162162161"/>
        <n v="15.418313513513512"/>
        <n v="15.519015135135133"/>
        <n v="15.534430270270269"/>
        <n v="15.535118918918917"/>
        <n v="15.595243243243246"/>
        <n v="15.677987027027026"/>
        <n v="15.728999999999999"/>
        <n v="15.743885405405402"/>
        <n v="15.831025945945946"/>
        <n v="15.84622918918919"/>
        <n v="15.84977837837838"/>
        <n v="15.876000000000001"/>
        <n v="15.907783783783785"/>
        <n v="15.964147027027026"/>
        <n v="16.002499459459457"/>
        <n v="16.016431351351351"/>
        <n v="16.037249729729727"/>
        <n v="16.086143783783783"/>
        <n v="16.165868108108107"/>
        <n v="16.166397837837838"/>
        <n v="16.21116"/>
        <n v="16.22556864864865"/>
        <n v="16.232825945945944"/>
        <n v="16.281719999999996"/>
        <n v="16.320761081081077"/>
        <n v="16.365999999999996"/>
        <n v="16.405888648648649"/>
        <n v="16.421621621621622"/>
        <n v="16.446201081081082"/>
        <n v="16.459444324324323"/>
        <n v="16.461881081081081"/>
        <n v="16.493400000000001"/>
        <n v="16.569945945945946"/>
        <n v="16.636744864864863"/>
        <n v="16.646915675675679"/>
        <n v="16.664873513513516"/>
        <n v="16.714032432432429"/>
        <n v="16.799318918918917"/>
        <n v="16.899014054054053"/>
        <n v="16.910668108108105"/>
        <n v="16.916018378378382"/>
        <n v="16.92889081081081"/>
        <n v="16.935671351351353"/>
        <n v="16.954000000000001"/>
        <n v="16.990074594594596"/>
        <n v="17.027208648648646"/>
        <n v="17.0572972972973"/>
        <n v="17.075837837837838"/>
        <n v="17.09437837837838"/>
        <n v="17.125738378378376"/>
        <n v="17.162607567567566"/>
        <n v="17.205621621621621"/>
        <n v="17.222202162162159"/>
        <n v="17.236187027027025"/>
        <n v="17.236345945945946"/>
        <n v="17.252237837837839"/>
        <n v="17.278300540540538"/>
        <n v="17.279783783783785"/>
        <n v="17.285875675675676"/>
        <n v="17.295463783783781"/>
        <n v="17.413805405405402"/>
        <n v="17.476896216216215"/>
        <n v="17.496019459459458"/>
        <n v="17.533948108108106"/>
        <n v="17.667069189189188"/>
        <n v="17.689158918918917"/>
        <n v="17.776352432432432"/>
        <n v="17.826994594594595"/>
        <n v="17.837059459459461"/>
        <n v="17.844899459459455"/>
        <n v="17.972776216216218"/>
        <n v="18.080205405405405"/>
        <n v="18.118928648648648"/>
        <n v="18.139641081081077"/>
        <n v="18.188800000000001"/>
        <n v="18.218305945945946"/>
        <n v="18.233350270270268"/>
        <n v="18.306823783783784"/>
        <n v="18.316517837837839"/>
        <n v="18.336223783783783"/>
        <n v="18.344328648648645"/>
        <n v="18.365623783783786"/>
        <n v="18.395553513513512"/>
        <n v="18.441904864864863"/>
        <n v="18.472999999999999"/>
        <n v="18.479091891891887"/>
        <n v="18.515643243243243"/>
        <n v="18.543507027027022"/>
        <n v="18.571900540540536"/>
        <n v="18.619999999999997"/>
        <n v="18.680389189189185"/>
        <n v="18.716993513513511"/>
        <n v="18.737494054054054"/>
        <n v="18.740778378378376"/>
        <n v="18.778707027027025"/>
        <n v="18.839996756756754"/>
        <n v="18.859649729729728"/>
        <n v="18.869025945945943"/>
        <n v="18.921998918918916"/>
        <n v="18.929785945945945"/>
        <n v="18.951875675675677"/>
        <n v="18.957437837837837"/>
        <n v="18.986361081081078"/>
        <n v="18.999180540540543"/>
        <n v="19.041876756756757"/>
        <n v="19.122819459459457"/>
        <n v="19.147504864864864"/>
        <n v="19.221137297297297"/>
        <n v="19.254616216216217"/>
        <n v="19.278136216216215"/>
        <n v="19.291061621621623"/>
        <n v="19.292227027027028"/>
        <n v="19.324540540540543"/>
        <n v="19.345729729729726"/>
        <n v="19.346577297297294"/>
        <n v="19.347742702702703"/>
        <n v="19.361091891891892"/>
        <n v="19.409297297297297"/>
        <n v="19.431228108108105"/>
        <n v="19.438697297297299"/>
        <n v="19.451675675675677"/>
        <n v="19.472970810810807"/>
        <n v="19.480545945945945"/>
        <n v="19.494054054054054"/>
        <n v="19.500304864864859"/>
        <n v="19.508886486486489"/>
        <n v="19.557621621621621"/>
        <n v="19.571818378378378"/>
        <n v="19.57621513513514"/>
        <n v="19.618911351351354"/>
        <n v="19.646192432432429"/>
        <n v="19.655409729729726"/>
        <n v="19.688994594594593"/>
        <n v="19.705945945945945"/>
        <n v="19.71193189189189"/>
        <n v="19.727135135135136"/>
        <n v="19.792080000000002"/>
        <n v="19.823545945945945"/>
        <n v="19.847065945945943"/>
        <n v="19.889656216216213"/>
        <n v="19.915507027027026"/>
        <n v="19.939132972972974"/>
        <n v="19.952270270270269"/>
        <n v="20.035225945945946"/>
        <n v="20.068281081081079"/>
        <n v="20.071459459459458"/>
        <n v="20.137145945945946"/>
        <n v="20.176875675675674"/>
        <n v="20.209824864864864"/>
        <n v="20.25177945945946"/>
        <n v="20.291032432432431"/>
        <n v="20.307189189189188"/>
        <n v="20.340774054054055"/>
        <n v="20.400951351351353"/>
        <n v="20.405983783783785"/>
        <n v="20.406248648648649"/>
        <n v="20.420021621621625"/>
        <n v="20.444918918918919"/>
        <n v="20.476808648648646"/>
        <n v="20.47717945945946"/>
        <n v="20.510870270270271"/>
        <n v="20.6244972972973"/>
        <n v="20.631807567567567"/>
        <n v="20.648335135135135"/>
        <n v="20.663697297297301"/>
        <n v="20.693468108108107"/>
        <n v="20.738601081081079"/>
        <n v="20.742044324324322"/>
        <n v="20.77102054054054"/>
        <n v="20.843381621621621"/>
        <n v="20.87294054054054"/>
        <n v="20.892540540540537"/>
        <n v="20.90626054054054"/>
        <n v="20.907372972972972"/>
        <n v="20.941699459459457"/>
        <n v="20.98201189189189"/>
        <n v="21.013477837837836"/>
        <n v="21.017556756756758"/>
        <n v="21.030694054054052"/>
        <n v="21.053578378378379"/>
        <n v="21.06645081081081"/>
        <n v="21.089176216216213"/>
        <n v="21.119"/>
        <n v="21.167999999999999"/>
        <n v="21.197029189189191"/>
        <n v="21.213768648648649"/>
        <n v="21.220019459459454"/>
        <n v="21.243009729729728"/>
        <n v="21.253180540540541"/>
        <n v="21.256994594594598"/>
        <n v="21.265999999999998"/>
        <n v="21.291956756756754"/>
        <n v="21.305305945945946"/>
        <n v="21.314999999999998"/>
        <n v="21.331686486486486"/>
        <n v="21.361086486486485"/>
        <n v="21.384129729729725"/>
        <n v="21.389850810810813"/>
        <n v="21.392393513513515"/>
        <n v="21.400498378378376"/>
        <n v="21.411675675675674"/>
        <n v="21.42015135135135"/>
        <n v="21.430216216216213"/>
        <n v="21.441234594594594"/>
        <n v="21.450240000000001"/>
        <n v="21.453259459459456"/>
        <n v="21.554808648648649"/>
        <n v="21.560000000000002"/>
        <n v="21.56784"/>
        <n v="21.591359999999998"/>
        <n v="21.604020540540539"/>
        <n v="21.627275675675676"/>
        <n v="21.653232432432436"/>
        <n v="21.70482810810811"/>
        <n v="21.712244324324324"/>
        <n v="21.769772972972977"/>
        <n v="21.777401081081081"/>
        <n v="21.779519999999998"/>
        <n v="21.826560000000001"/>
        <n v="21.857072432432435"/>
        <n v="21.904536216216215"/>
        <n v="21.932505945945945"/>
        <n v="21.946437837837838"/>
        <n v="21.957403243243238"/>
        <n v="22.004337297297294"/>
        <n v="22.017156756756759"/>
        <n v="22.051218378378373"/>
        <n v="22.07765189189189"/>
        <n v="22.16918918918919"/>
        <n v="22.243775135135131"/>
        <n v="22.245999999999999"/>
        <n v="22.314017297297294"/>
        <n v="22.3191027027027"/>
        <n v="22.369215135135136"/>
        <n v="22.393264864864868"/>
        <n v="22.41720864864865"/>
        <n v="22.417738378378377"/>
        <n v="22.441417297297299"/>
        <n v="22.464778378378384"/>
        <n v="22.466685405405403"/>
        <n v="22.49126486486486"/>
        <n v="22.51573837837838"/>
        <n v="22.564579459459459"/>
        <n v="22.588258378378377"/>
        <n v="22.589052972972969"/>
        <n v="22.610877837837837"/>
        <n v="22.612572972972973"/>
        <n v="22.613102702702701"/>
        <n v="22.636887567567566"/>
        <n v="22.662261621621621"/>
        <n v="22.682868108108106"/>
        <n v="22.729696216216215"/>
        <n v="22.760579459459457"/>
        <n v="22.834158918918916"/>
        <n v="22.876325405405399"/>
        <n v="22.882417297297291"/>
        <n v="22.905513513513519"/>
        <n v="22.924689729729725"/>
        <n v="22.957427027027034"/>
        <n v="22.979198918918918"/>
        <n v="22.981000000000002"/>
        <n v="22.98205945945946"/>
        <n v="23.026662702702701"/>
        <n v="23.031165405405403"/>
        <n v="23.031430270270267"/>
        <n v="23.065015135135138"/>
        <n v="23.104691891891889"/>
        <n v="23.126887567567564"/>
        <n v="23.178006486486488"/>
        <n v="23.202056216216217"/>
        <n v="23.237759999999994"/>
        <n v="23.251109189189187"/>
        <n v="23.295394594594597"/>
        <n v="23.298784864864864"/>
        <n v="23.320715675675675"/>
        <n v="23.350486486486481"/>
        <n v="23.372999999999998"/>
        <n v="23.45357189189189"/>
        <n v="23.459610810810812"/>
        <n v="23.477091891891892"/>
        <n v="23.500505945945946"/>
        <n v="23.502201081081079"/>
        <n v="23.510888648648649"/>
        <n v="23.52"/>
        <n v="23.549876756756756"/>
        <n v="23.585156756756753"/>
        <n v="23.617999999999999"/>
        <n v="23.666999999999998"/>
        <n v="23.811404324324325"/>
        <n v="23.83148108108108"/>
        <n v="23.867767567567565"/>
        <n v="23.951623783783784"/>
        <n v="24.012807567567567"/>
        <n v="24.04125405405405"/>
        <n v="24.041254054054054"/>
        <n v="24.067104864864859"/>
        <n v="24.071448648648651"/>
        <n v="24.076216216216221"/>
        <n v="24.129189189189187"/>
        <n v="24.130884324324324"/>
        <n v="24.137029189189189"/>
        <n v="24.142326486486485"/>
        <n v="24.208648648648651"/>
        <n v="24.21505837837838"/>
        <n v="24.235135135135138"/>
        <n v="24.235347027027025"/>
        <n v="24.238313513513514"/>
        <n v="24.265965405405403"/>
        <n v="24.284505945945948"/>
        <n v="24.295524324324322"/>
        <n v="24.356549189189188"/>
        <n v="24.402000000000001"/>
        <n v="24.431982702702697"/>
        <n v="24.435372972972971"/>
        <n v="24.447027027027026"/>
        <n v="24.5"/>
        <n v="24.557740540540536"/>
        <n v="24.579459459459457"/>
        <n v="24.605945945945948"/>
        <n v="24.632432432432434"/>
        <n v="24.637994594594591"/>
        <n v="24.711891891891892"/>
        <n v="24.713587027027025"/>
        <n v="24.816142702702706"/>
        <n v="24.829491891891891"/>
        <n v="24.843"/>
        <n v="24.846655135135133"/>
        <n v="24.878756756756758"/>
        <n v="24.940947027027025"/>
        <n v="24.981630270270269"/>
        <n v="25.004143783783782"/>
        <n v="25.02263135135135"/>
        <n v="25.037993513513513"/>
        <n v="25.044032432432427"/>
        <n v="25.12587567567568"/>
        <n v="25.174345945945948"/>
        <n v="25.196488648648653"/>
        <n v="25.218525405405401"/>
        <n v="25.223610810810808"/>
        <n v="25.267684324324318"/>
        <n v="25.289562162162166"/>
        <n v="25.300050810810809"/>
        <n v="25.349368648648646"/>
        <n v="25.371405405405412"/>
        <n v="25.412088648648652"/>
        <n v="25.427662702702701"/>
        <n v="25.448004324324319"/>
        <n v="25.523225945945942"/>
        <n v="25.537210810810812"/>
        <n v="25.571590270270267"/>
        <n v="25.585945945945948"/>
        <n v="25.590183783783786"/>
        <n v="25.606817297297297"/>
        <n v="25.617729729729732"/>
        <n v="25.626999999999999"/>
        <n v="25.63309189189189"/>
        <n v="25.63468108108108"/>
        <n v="25.662544864864863"/>
        <n v="25.666994594594595"/>
        <n v="25.713398918918923"/>
        <n v="25.744864864864869"/>
        <n v="25.765524324324325"/>
        <n v="25.787031351351352"/>
        <n v="25.822999999999997"/>
        <n v="25.885455135135132"/>
        <n v="25.983455135135138"/>
        <n v="26.04633405405405"/>
        <n v="26.054227027027029"/>
        <n v="26.075257297297295"/>
        <n v="26.089242162162162"/>
        <n v="26.13771243243243"/>
        <n v="26.138454054054055"/>
        <n v="26.152544864864861"/>
        <n v="26.187771891891888"/>
        <n v="26.19375783783784"/>
        <n v="26.208908108108108"/>
        <n v="26.316972972972973"/>
        <n v="26.333500540540538"/>
        <n v="26.345578378378377"/>
        <n v="26.398339459459457"/>
        <n v="26.426785945945948"/>
        <n v="26.431394594594597"/>
        <n v="26.483096216216218"/>
        <n v="26.496657297297293"/>
        <n v="26.504497297297299"/>
        <n v="26.517210810810816"/>
        <n v="26.558"/>
        <n v="26.560648648648648"/>
        <n v="26.638307027027025"/>
        <n v="26.639260540540537"/>
        <n v="26.644134054054053"/>
        <n v="26.664528648648648"/>
        <n v="26.758979459459464"/>
        <n v="26.771269189189191"/>
        <n v="26.79394162162162"/>
        <n v="26.833459459459458"/>
        <n v="26.889928648648642"/>
        <n v="27.037405405405408"/>
        <n v="27.067705945945946"/>
        <n v="27.135723243243238"/>
        <n v="27.150979459459464"/>
        <n v="27.16496432432432"/>
        <n v="27.185094054054048"/>
        <n v="27.194205405405402"/>
        <n v="27.214547027027024"/>
        <n v="27.253800000000002"/>
        <n v="27.291675675675677"/>
        <n v="27.30205837837838"/>
        <n v="27.312599999999996"/>
        <n v="27.341999999999999"/>
        <n v="27.389145945945948"/>
        <n v="27.430676756756757"/>
        <n v="27.459017297297294"/>
        <n v="27.479835675675666"/>
        <n v="27.499329729729727"/>
        <n v="27.539059459459459"/>
        <n v="27.548435675675677"/>
        <n v="27.718637837837832"/>
        <n v="27.765942702702702"/>
        <n v="27.866962162162164"/>
        <n v="27.967398918918917"/>
        <n v="28.058300540540536"/>
        <n v="28.091991351351354"/>
        <n v="28.141362162162164"/>
        <n v="28.150738378378374"/>
        <n v="28.224"/>
        <n v="28.247625945945948"/>
        <n v="28.248314594594593"/>
        <n v="28.315537297297293"/>
        <n v="28.346049729729728"/>
        <n v="28.381700540540539"/>
        <n v="28.407074594594594"/>
        <n v="28.505710270270274"/>
        <n v="28.518000000000001"/>
        <n v="28.642592432432423"/>
        <n v="28.721416216216216"/>
        <n v="28.72697837837838"/>
        <n v="28.736195675675667"/>
        <n v="28.745042162162164"/>
        <n v="28.764324324324324"/>
        <n v="28.77608432432433"/>
        <n v="28.829798918918915"/>
        <n v="28.850935135135131"/>
        <n v="28.900252972972972"/>
        <n v="29.050378378378383"/>
        <n v="29.052921081081077"/>
        <n v="29.082162162162167"/>
        <n v="29.084228108108114"/>
        <n v="29.102079999999997"/>
        <n v="29.146842162162162"/>
        <n v="29.164800000000003"/>
        <n v="29.267143783783784"/>
        <n v="29.324990270270273"/>
        <n v="29.336432432432431"/>
        <n v="29.372983783783784"/>
        <n v="29.414461621621623"/>
        <n v="29.495351351351353"/>
        <n v="29.527135135135136"/>
        <n v="29.544510270270269"/>
        <n v="29.590702702702703"/>
        <n v="29.593669189189182"/>
        <n v="29.608183783783787"/>
        <n v="29.622486486486487"/>
        <n v="29.625558918918916"/>
        <n v="29.642828108108105"/>
        <n v="29.709097297297298"/>
        <n v="29.906633513513516"/>
        <n v="30.034563243243241"/>
        <n v="30.051567567567567"/>
        <n v="30.080172972972974"/>
        <n v="30.100832432432433"/>
        <n v="30.117677837837835"/>
        <n v="30.134417297297293"/>
        <n v="30.182516756756755"/>
        <n v="30.249262702702701"/>
        <n v="30.331052972972966"/>
        <n v="30.429370810810809"/>
        <n v="30.511372972972971"/>
        <n v="30.527688648648649"/>
        <n v="30.591891891891894"/>
        <n v="30.607677837837834"/>
        <n v="30.626377297297296"/>
        <n v="30.675695135135133"/>
        <n v="30.689785945945946"/>
        <n v="30.705465945945949"/>
        <n v="30.708220540540545"/>
        <n v="30.920959999999997"/>
        <n v="31.156583783783788"/>
        <n v="31.171310270270268"/>
        <n v="31.184659459459457"/>
        <n v="31.331659459459459"/>
        <n v="31.366144864864872"/>
        <n v="31.430983783783784"/>
        <n v="31.737273513513507"/>
        <n v="31.85"/>
        <n v="31.854979459459461"/>
        <n v="31.869758918918922"/>
        <n v="31.970248648648653"/>
        <n v="31.987729729729729"/>
        <n v="32.071427027027028"/>
        <n v="32.123393513513513"/>
        <n v="32.233789189189189"/>
        <n v="32.303183783783787"/>
        <n v="32.360818378378376"/>
        <n v="32.557242162162161"/>
        <n v="32.627484324324321"/>
        <n v="33.119603243243247"/>
        <n v="33.182270270270266"/>
        <n v="33.204518918918922"/>
        <n v="33.231429189189186"/>
        <n v="33.417999999999999"/>
        <n v="33.883102702702708"/>
        <n v="34.017971891891889"/>
        <n v="34.03042054054054"/>
        <n v="34.177738378378379"/>
        <n v="34.239081081081082"/>
        <n v="34.26291891891892"/>
        <n v="34.510196756756763"/>
        <n v="34.792807567567571"/>
        <n v="35.067896216216212"/>
        <n v="35.269087567567567"/>
        <n v="35.826257297297296"/>
        <n v="36.258940540540543"/>
        <n v="36.574235675675673"/>
        <n v="37.991580540540539"/>
        <m/>
      </sharedItems>
    </cacheField>
    <cacheField name="SY-date" numFmtId="0">
      <sharedItems containsNonDate="0" containsString="0" containsBlank="1"/>
    </cacheField>
    <cacheField name="SYNORM_value" numFmtId="0">
      <sharedItems containsString="0" containsBlank="1" containsNumber="1" minValue="0.93" maxValue="47.499613899613905"/>
    </cacheField>
    <cacheField name="SYNORM_date" numFmtId="165">
      <sharedItems containsNonDate="0" containsDate="1" containsString="0" containsBlank="1" minDate="2015-07-06T00:00:00" maxDate="2015-07-07T00:00:00"/>
    </cacheField>
    <cacheField name="TSW_value" numFmtId="165">
      <sharedItems containsNonDate="0" containsString="0" containsBlank="1"/>
    </cacheField>
    <cacheField name="TSW_date" numFmtId="165">
      <sharedItems containsNonDate="0" containsString="0" containsBlank="1"/>
    </cacheField>
    <cacheField name="PLANTSIZE_value" numFmtId="0">
      <sharedItems containsString="0" containsBlank="1" containsNumber="1" containsInteger="1" minValue="90" maxValue="185"/>
    </cacheField>
    <cacheField name="PLANTSIZE_date" numFmtId="165">
      <sharedItems containsNonDate="0" containsString="0" containsBlank="1"/>
    </cacheField>
    <cacheField name="GRWSTG_C1_value" numFmtId="0">
      <sharedItems containsNonDate="0" containsString="0" containsBlank="1"/>
    </cacheField>
    <cacheField name="GRWSTG_C1_date" numFmtId="165">
      <sharedItems containsNonDate="0" containsString="0" containsBlank="1"/>
    </cacheField>
    <cacheField name="GRWSTG_F1_value" numFmtId="0">
      <sharedItems containsString="0" containsBlank="1" containsNumber="1" containsInteger="1" minValue="95" maxValue="112"/>
    </cacheField>
    <cacheField name="GRWSTG_F1_date" numFmtId="165">
      <sharedItems containsNonDate="0" containsString="0" containsBlank="1"/>
    </cacheField>
    <cacheField name="GRWSTG_F2_value" numFmtId="0">
      <sharedItems containsNonDate="0" containsString="0" containsBlank="1"/>
    </cacheField>
    <cacheField name="GRWSTG_F2_date" numFmtId="0">
      <sharedItems containsNonDate="0" containsString="0" containsBlank="1"/>
    </cacheField>
    <cacheField name="GRWSTG_FLO_value" numFmtId="0">
      <sharedItems containsNonDate="0" containsString="0" containsBlank="1"/>
    </cacheField>
    <cacheField name="GRWSTG_FLO_date" numFmtId="0">
      <sharedItems containsNonDate="0" containsString="0" containsBlank="1"/>
    </cacheField>
    <cacheField name="GRWSTG_ENDFLO_value" numFmtId="0">
      <sharedItems containsNonDate="0" containsString="0" containsBlank="1"/>
    </cacheField>
    <cacheField name="GRWSTG_ENDFLO_date" numFmtId="0">
      <sharedItems containsNonDate="0" containsString="0" containsBlank="1"/>
    </cacheField>
    <cacheField name="GRWSTG_G1_value" numFmtId="0">
      <sharedItems containsNonDate="0" containsString="0" containsBlank="1"/>
    </cacheField>
    <cacheField name="GRWSTG_G1_date" numFmtId="0">
      <sharedItems containsNonDate="0" containsString="0" containsBlank="1"/>
    </cacheField>
    <cacheField name="GRWSTG_G4_value" numFmtId="0">
      <sharedItems containsNonDate="0" containsString="0" containsBlank="1"/>
    </cacheField>
    <cacheField name="GRWSTG_G4_date" numFmtId="0">
      <sharedItems containsNonDate="0" containsString="0" containsBlank="1"/>
    </cacheField>
    <cacheField name="GRWSTG_PODDEV_value" numFmtId="0">
      <sharedItems containsNonDate="0" containsString="0" containsBlank="1"/>
    </cacheField>
    <cacheField name="GRWSTG_PODDEV_date" numFmtId="0">
      <sharedItems containsNonDate="0" containsString="0" containsBlank="1"/>
    </cacheField>
    <cacheField name="GRWSTG_G5_value" numFmtId="0">
      <sharedItems containsString="0" containsBlank="1" containsNumber="1" containsInteger="1" minValue="1" maxValue="9"/>
    </cacheField>
    <cacheField name="GRWSTG_G5_date" numFmtId="0">
      <sharedItems containsNonDate="0" containsString="0" containsBlank="1"/>
    </cacheField>
    <cacheField name="GRWSTG_PODMATURITY_value" numFmtId="0">
      <sharedItems containsNonDate="0" containsString="0" containsBlank="1"/>
    </cacheField>
    <cacheField name="GRWSTG_PODMATURITY_date" numFmtId="0">
      <sharedItems containsNonDate="0" containsString="0" containsBlank="1"/>
    </cacheField>
    <cacheField name="EMERG_value" numFmtId="0">
      <sharedItems containsNonDate="0" containsString="0" containsBlank="1"/>
    </cacheField>
    <cacheField name="EMERG_date" numFmtId="0">
      <sharedItems containsNonDate="0" containsString="0" containsBlank="1"/>
    </cacheField>
    <cacheField name="ERUCIC_value" numFmtId="0">
      <sharedItems containsNonDate="0" containsString="0" containsBlank="1"/>
    </cacheField>
    <cacheField name="ERUCIC_date" numFmtId="0">
      <sharedItems containsNonDate="0" containsString="0" containsBlank="1"/>
    </cacheField>
    <cacheField name="PALMITIC_value" numFmtId="0">
      <sharedItems containsNonDate="0" containsString="0" containsBlank="1"/>
    </cacheField>
    <cacheField name="PALMITIC-date" numFmtId="0">
      <sharedItems containsNonDate="0" containsString="0" containsBlank="1"/>
    </cacheField>
    <cacheField name="STEARIC_value" numFmtId="0">
      <sharedItems containsNonDate="0" containsString="0" containsBlank="1"/>
    </cacheField>
    <cacheField name="STEARIC_date" numFmtId="0">
      <sharedItems containsNonDate="0" containsString="0" containsBlank="1"/>
    </cacheField>
    <cacheField name="OLEIC_value" numFmtId="0">
      <sharedItems containsString="0" containsBlank="1" containsNumber="1" minValue="57.377000000000002" maxValue="72.900999999999996"/>
    </cacheField>
    <cacheField name="OLEIC_date" numFmtId="0">
      <sharedItems containsNonDate="0" containsDate="1" containsString="0" containsBlank="1" minDate="2015-07-15T00:00:00" maxDate="2015-07-16T00:00:00"/>
    </cacheField>
    <cacheField name="LINOLEIC_value" numFmtId="0">
      <sharedItems containsNonDate="0" containsString="0" containsBlank="1"/>
    </cacheField>
    <cacheField name="LINOLEIC_date" numFmtId="0">
      <sharedItems containsNonDate="0" containsString="0" containsBlank="1"/>
    </cacheField>
    <cacheField name="LINOLENIC_value" numFmtId="0">
      <sharedItems containsNonDate="0" containsString="0" containsBlank="1"/>
    </cacheField>
    <cacheField name="LINOLENIC_date" numFmtId="0">
      <sharedItems containsNonDate="0" containsString="0" containsBlank="1"/>
    </cacheField>
    <cacheField name="O_value" numFmtId="0">
      <sharedItems containsString="0" containsBlank="1" containsNumber="1" minValue="43.13" maxValue="55.717864990234375"/>
    </cacheField>
    <cacheField name="O_date" numFmtId="0">
      <sharedItems containsNonDate="0" containsDate="1" containsString="0" containsBlank="1" minDate="2015-07-15T00:00:00" maxDate="2015-07-16T00:00:00"/>
    </cacheField>
    <cacheField name="Pr_value" numFmtId="0">
      <sharedItems containsString="0" containsBlank="1" containsNumber="1" minValue="13.38310718536377" maxValue="23.222249984741211"/>
    </cacheField>
    <cacheField name="Pr_date" numFmtId="0">
      <sharedItems containsNonDate="0" containsDate="1" containsString="0" containsBlank="1" minDate="2015-07-15T00:00:00" maxDate="2015-07-16T00:00:00"/>
    </cacheField>
    <cacheField name="GLS_value" numFmtId="0">
      <sharedItems containsString="0" containsBlank="1" containsNumber="1" minValue="10.461" maxValue="84.370999999999995"/>
    </cacheField>
    <cacheField name="GLS_date" numFmtId="0">
      <sharedItems containsNonDate="0" containsDate="1" containsString="0" containsBlank="1" minDate="2015-07-15T00:00:00" maxDate="2015-07-16T00:00:00"/>
    </cacheField>
    <cacheField name="SEEDH2O_NIRS_value" numFmtId="0">
      <sharedItems containsNonDate="0" containsString="0" containsBlank="1"/>
    </cacheField>
    <cacheField name="SEEDH2O_NIRS_date" numFmtId="0">
      <sharedItems containsNonDate="0" containsString="0" containsBlank="1"/>
    </cacheField>
    <cacheField name="PRMEAL_value" numFmtId="0">
      <sharedItems containsNonDate="0" containsString="0" containsBlank="1"/>
    </cacheField>
    <cacheField name="PRMEAL_date" numFmtId="0">
      <sharedItems containsNonDate="0" containsString="0" containsBlank="1"/>
    </cacheField>
    <cacheField name="SEEDH2O_HARV_value" numFmtId="0">
      <sharedItems containsString="0" containsBlank="1" containsNumber="1" minValue="4.5" maxValue="14.1"/>
    </cacheField>
    <cacheField name="SEEDH2O_HARV_date" numFmtId="0">
      <sharedItems containsNonDate="0" containsDate="1" containsString="0" containsBlank="1" minDate="2015-07-06T00:00:00" maxDate="2015-07-07T00:00:00"/>
    </cacheField>
    <cacheField name="SEEDH2O_LAB_value" numFmtId="0">
      <sharedItems containsNonDate="0" containsString="0" containsBlank="1"/>
    </cacheField>
    <cacheField name="SEEDH2O_LAB_date" numFmtId="0">
      <sharedItems containsNonDate="0" containsString="0" containsBlank="1"/>
    </cacheField>
    <cacheField name="SEEDIMPUR_value" numFmtId="0">
      <sharedItems containsNonDate="0" containsString="0" containsBlank="1"/>
    </cacheField>
    <cacheField name="SEEDIMPUR_date" numFmtId="0">
      <sharedItems containsNonDate="0" containsString="0" containsBlank="1"/>
    </cacheField>
    <cacheField name="BIOTIC " numFmtId="0">
      <sharedItems containsNonDate="0" containsString="0" containsBlank="1"/>
    </cacheField>
    <cacheField name="CROP" numFmtId="0">
      <sharedItems containsNonDate="0" containsString="0" containsBlank="1"/>
    </cacheField>
    <cacheField name="CLIMATIC" numFmtId="0">
      <sharedItems containsNonDate="0" containsString="0" containsBlank="1"/>
    </cacheField>
    <cacheField name="LODGING_value" numFmtId="0">
      <sharedItems containsString="0" containsBlank="1" containsNumber="1" containsInteger="1" minValue="1" maxValue="9"/>
    </cacheField>
    <cacheField name="LODGING_date" numFmtId="0">
      <sharedItems containsNonDate="0" containsDate="1" containsString="0" containsBlank="1" minDate="2015-06-25T00:00:00" maxDate="2015-06-26T00:00:00"/>
    </cacheField>
    <cacheField name="Valid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6">
  <r>
    <s v="RAPSO_375"/>
    <s v="CETMEKI "/>
    <x v="0"/>
    <x v="0"/>
    <n v="118"/>
    <n v="12"/>
    <n v="32"/>
    <m/>
    <m/>
    <m/>
    <m/>
    <n v="8"/>
    <m/>
    <n v="0.16"/>
    <d v="2015-07-06T00:00:00"/>
    <m/>
    <m/>
    <m/>
    <m/>
    <n v="0.45"/>
    <d v="2015-07-15T00:00:00"/>
    <n v="18.5"/>
    <d v="2015-07-06T00:00:00"/>
    <m/>
    <m/>
    <m/>
    <m/>
    <m/>
    <m/>
    <x v="0"/>
    <m/>
    <n v="0.93"/>
    <d v="2015-07-06T00:00:00"/>
    <m/>
    <m/>
    <n v="120"/>
    <m/>
    <m/>
    <m/>
    <n v="107"/>
    <m/>
    <m/>
    <m/>
    <m/>
    <m/>
    <m/>
    <m/>
    <m/>
    <m/>
    <m/>
    <m/>
    <m/>
    <m/>
    <n v="1"/>
    <m/>
    <m/>
    <m/>
    <m/>
    <m/>
    <m/>
    <m/>
    <m/>
    <m/>
    <m/>
    <m/>
    <n v="63.406999999999996"/>
    <d v="2015-07-15T00:00:00"/>
    <m/>
    <m/>
    <m/>
    <m/>
    <n v="48.6947021484375"/>
    <d v="2015-07-15T00:00:00"/>
    <n v="18.151777267456055"/>
    <d v="2015-07-15T00:00:00"/>
    <n v="25.82"/>
    <d v="2015-07-15T00:00:00"/>
    <m/>
    <m/>
    <m/>
    <m/>
    <n v="4.5"/>
    <d v="2015-07-06T00:00:00"/>
    <m/>
    <m/>
    <m/>
    <m/>
    <m/>
    <m/>
    <m/>
    <n v="9"/>
    <d v="2015-06-25T00:00:00"/>
    <s v="NON VALIDE"/>
  </r>
  <r>
    <s v="RAPSO_148"/>
    <s v="Boston"/>
    <x v="0"/>
    <x v="0"/>
    <n v="49"/>
    <n v="7"/>
    <n v="23"/>
    <m/>
    <m/>
    <m/>
    <m/>
    <n v="3"/>
    <m/>
    <n v="0.36"/>
    <d v="2015-07-06T00:00:00"/>
    <m/>
    <m/>
    <m/>
    <m/>
    <n v="1.02"/>
    <d v="2015-07-15T00:00:00"/>
    <n v="18.5"/>
    <d v="2015-07-06T00:00:00"/>
    <m/>
    <m/>
    <m/>
    <m/>
    <m/>
    <m/>
    <x v="1"/>
    <m/>
    <n v="2.08"/>
    <d v="2015-07-06T00:00:00"/>
    <m/>
    <m/>
    <n v="140"/>
    <m/>
    <m/>
    <m/>
    <n v="105"/>
    <m/>
    <m/>
    <m/>
    <m/>
    <m/>
    <m/>
    <m/>
    <m/>
    <m/>
    <m/>
    <m/>
    <m/>
    <m/>
    <n v="1"/>
    <m/>
    <m/>
    <m/>
    <m/>
    <m/>
    <m/>
    <m/>
    <m/>
    <m/>
    <m/>
    <m/>
    <n v="62.936999999999998"/>
    <d v="2015-07-15T00:00:00"/>
    <m/>
    <m/>
    <m/>
    <m/>
    <n v="48.999702453613281"/>
    <d v="2015-07-15T00:00:00"/>
    <n v="18.895929336547852"/>
    <d v="2015-07-15T00:00:00"/>
    <n v="21.620999999999999"/>
    <d v="2015-07-15T00:00:00"/>
    <m/>
    <m/>
    <m/>
    <m/>
    <n v="4.5"/>
    <d v="2015-07-06T00:00:00"/>
    <m/>
    <m/>
    <m/>
    <m/>
    <m/>
    <m/>
    <m/>
    <n v="5"/>
    <d v="2015-06-25T00:00:00"/>
    <s v="NON VALIDE"/>
  </r>
  <r>
    <s v="RAPSO_063"/>
    <s v="Tonus"/>
    <x v="0"/>
    <x v="0"/>
    <n v="21"/>
    <n v="7"/>
    <n v="24"/>
    <m/>
    <m/>
    <m/>
    <m/>
    <n v="6"/>
    <m/>
    <n v="0.62"/>
    <d v="2015-07-06T00:00:00"/>
    <m/>
    <m/>
    <m/>
    <m/>
    <n v="1.73"/>
    <d v="2015-07-15T00:00:00"/>
    <n v="18.5"/>
    <d v="2015-07-06T00:00:00"/>
    <m/>
    <m/>
    <m/>
    <m/>
    <m/>
    <m/>
    <x v="2"/>
    <m/>
    <n v="3.56"/>
    <d v="2015-07-06T00:00:00"/>
    <m/>
    <m/>
    <n v="130"/>
    <m/>
    <m/>
    <m/>
    <n v="107"/>
    <m/>
    <m/>
    <m/>
    <m/>
    <m/>
    <m/>
    <m/>
    <m/>
    <m/>
    <m/>
    <m/>
    <m/>
    <m/>
    <n v="1"/>
    <m/>
    <m/>
    <m/>
    <m/>
    <m/>
    <m/>
    <m/>
    <m/>
    <m/>
    <m/>
    <m/>
    <n v="64.001999999999995"/>
    <d v="2015-07-15T00:00:00"/>
    <m/>
    <m/>
    <m/>
    <m/>
    <n v="48.724891662597656"/>
    <d v="2015-07-15T00:00:00"/>
    <n v="19.405145645141602"/>
    <d v="2015-07-15T00:00:00"/>
    <n v="42.058999999999997"/>
    <d v="2015-07-15T00:00:00"/>
    <m/>
    <m/>
    <m/>
    <m/>
    <n v="5.0999999999999996"/>
    <d v="2015-07-06T00:00:00"/>
    <m/>
    <m/>
    <m/>
    <m/>
    <m/>
    <m/>
    <m/>
    <n v="3"/>
    <d v="2015-06-25T00:00:00"/>
    <s v="NON VALIDE"/>
  </r>
  <r>
    <s v="RAPSO_322"/>
    <s v="RAGT-08"/>
    <x v="0"/>
    <x v="0"/>
    <n v="159"/>
    <n v="11"/>
    <n v="32"/>
    <m/>
    <m/>
    <m/>
    <m/>
    <n v="1"/>
    <m/>
    <n v="0.69"/>
    <d v="2015-07-06T00:00:00"/>
    <m/>
    <m/>
    <m/>
    <m/>
    <n v="2"/>
    <d v="2015-07-15T00:00:00"/>
    <n v="18.5"/>
    <d v="2015-07-06T00:00:00"/>
    <m/>
    <m/>
    <m/>
    <m/>
    <m/>
    <m/>
    <x v="3"/>
    <m/>
    <n v="3.96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588000000000001"/>
    <d v="2015-07-15T00:00:00"/>
    <m/>
    <m/>
    <m/>
    <m/>
    <n v="50.497501373291016"/>
    <d v="2015-07-15T00:00:00"/>
    <n v="16.850624084472656"/>
    <d v="2015-07-15T00:00:00"/>
    <n v="22.053000000000001"/>
    <d v="2015-07-15T00:00:00"/>
    <m/>
    <m/>
    <m/>
    <m/>
    <n v="5.3"/>
    <d v="2015-07-06T00:00:00"/>
    <m/>
    <m/>
    <m/>
    <m/>
    <m/>
    <m/>
    <m/>
    <n v="3"/>
    <d v="2015-06-25T00:00:00"/>
    <s v="NON VALIDE"/>
  </r>
  <r>
    <s v="RAPSO_298"/>
    <s v="ES-CUBIC"/>
    <x v="0"/>
    <x v="0"/>
    <n v="135"/>
    <n v="12"/>
    <n v="31"/>
    <m/>
    <m/>
    <m/>
    <m/>
    <n v="5"/>
    <m/>
    <n v="0.73"/>
    <d v="2015-07-06T00:00:00"/>
    <m/>
    <m/>
    <m/>
    <m/>
    <n v="2"/>
    <d v="2015-07-15T00:00:00"/>
    <n v="18.5"/>
    <d v="2015-07-06T00:00:00"/>
    <m/>
    <m/>
    <m/>
    <m/>
    <m/>
    <m/>
    <x v="4"/>
    <m/>
    <n v="4.22"/>
    <d v="2015-07-06T00:00:00"/>
    <m/>
    <m/>
    <n v="105"/>
    <m/>
    <m/>
    <m/>
    <n v="102"/>
    <m/>
    <m/>
    <m/>
    <m/>
    <m/>
    <m/>
    <m/>
    <m/>
    <m/>
    <m/>
    <m/>
    <m/>
    <m/>
    <n v="1"/>
    <m/>
    <m/>
    <m/>
    <m/>
    <m/>
    <m/>
    <m/>
    <m/>
    <m/>
    <m/>
    <m/>
    <n v="60.683"/>
    <d v="2015-07-15T00:00:00"/>
    <m/>
    <m/>
    <m/>
    <m/>
    <n v="47.438308715820313"/>
    <d v="2015-07-15T00:00:00"/>
    <n v="19.173490524291992"/>
    <d v="2015-07-15T00:00:00"/>
    <n v="17.611999999999998"/>
    <d v="2015-07-15T00:00:00"/>
    <m/>
    <m/>
    <m/>
    <m/>
    <n v="4.5999999999999996"/>
    <d v="2015-07-06T00:00:00"/>
    <m/>
    <m/>
    <m/>
    <m/>
    <m/>
    <m/>
    <m/>
    <n v="7"/>
    <d v="2015-06-25T00:00:00"/>
    <s v="NON VALIDE"/>
  </r>
  <r>
    <s v="RAPSO_072"/>
    <s v="Aztec"/>
    <x v="0"/>
    <x v="0"/>
    <n v="24"/>
    <n v="8"/>
    <n v="30"/>
    <m/>
    <m/>
    <m/>
    <m/>
    <n v="8"/>
    <m/>
    <n v="0.87"/>
    <d v="2015-07-06T00:00:00"/>
    <m/>
    <m/>
    <m/>
    <m/>
    <n v="2.35"/>
    <d v="2015-07-15T00:00:00"/>
    <n v="18.5"/>
    <d v="2015-07-06T00:00:00"/>
    <m/>
    <m/>
    <m/>
    <m/>
    <m/>
    <m/>
    <x v="5"/>
    <m/>
    <n v="4.97"/>
    <d v="2015-07-06T00:00:00"/>
    <m/>
    <m/>
    <n v="130"/>
    <m/>
    <m/>
    <m/>
    <n v="105"/>
    <m/>
    <m/>
    <m/>
    <m/>
    <m/>
    <m/>
    <m/>
    <m/>
    <m/>
    <m/>
    <m/>
    <m/>
    <m/>
    <n v="3"/>
    <m/>
    <m/>
    <m/>
    <m/>
    <m/>
    <m/>
    <m/>
    <m/>
    <m/>
    <m/>
    <m/>
    <n v="66.040000000000006"/>
    <d v="2015-07-15T00:00:00"/>
    <m/>
    <m/>
    <m/>
    <m/>
    <n v="47.323883056640625"/>
    <d v="2015-07-15T00:00:00"/>
    <n v="21.055002212524414"/>
    <d v="2015-07-15T00:00:00"/>
    <n v="50.198"/>
    <d v="2015-07-15T00:00:00"/>
    <m/>
    <m/>
    <m/>
    <m/>
    <n v="5.6"/>
    <d v="2015-07-06T00:00:00"/>
    <m/>
    <m/>
    <m/>
    <m/>
    <m/>
    <m/>
    <m/>
    <n v="7"/>
    <d v="2015-06-25T00:00:00"/>
    <s v="NON VALIDE"/>
  </r>
  <r>
    <s v="RAPSO_304"/>
    <s v="ADRIANA"/>
    <x v="0"/>
    <x v="0"/>
    <n v="141"/>
    <n v="7"/>
    <n v="25"/>
    <m/>
    <m/>
    <m/>
    <m/>
    <n v="3"/>
    <m/>
    <n v="1.08"/>
    <d v="2015-07-06T00:00:00"/>
    <m/>
    <m/>
    <m/>
    <m/>
    <n v="3.09"/>
    <d v="2015-07-15T00:00:00"/>
    <n v="18.5"/>
    <d v="2015-07-06T00:00:00"/>
    <m/>
    <m/>
    <m/>
    <m/>
    <m/>
    <m/>
    <x v="6"/>
    <m/>
    <n v="6.21"/>
    <d v="2015-07-06T00:00:00"/>
    <m/>
    <m/>
    <n v="125"/>
    <m/>
    <m/>
    <m/>
    <n v="105"/>
    <m/>
    <m/>
    <m/>
    <m/>
    <m/>
    <m/>
    <m/>
    <m/>
    <m/>
    <m/>
    <m/>
    <m/>
    <m/>
    <n v="1"/>
    <m/>
    <m/>
    <m/>
    <m/>
    <m/>
    <m/>
    <m/>
    <m/>
    <m/>
    <m/>
    <m/>
    <n v="64.338999999999999"/>
    <d v="2015-07-15T00:00:00"/>
    <m/>
    <m/>
    <m/>
    <m/>
    <n v="49.751644134521484"/>
    <d v="2015-07-15T00:00:00"/>
    <n v="18.304424285888672"/>
    <d v="2015-07-15T00:00:00"/>
    <n v="16.442"/>
    <d v="2015-07-15T00:00:00"/>
    <m/>
    <m/>
    <m/>
    <m/>
    <n v="5.0999999999999996"/>
    <d v="2015-07-06T00:00:00"/>
    <m/>
    <m/>
    <m/>
    <m/>
    <m/>
    <m/>
    <m/>
    <n v="3"/>
    <d v="2015-06-25T00:00:00"/>
    <s v="NON VALIDE"/>
  </r>
  <r>
    <s v="BRA_006"/>
    <s v="Bristol"/>
    <x v="0"/>
    <x v="0"/>
    <n v="124"/>
    <n v="7"/>
    <n v="21"/>
    <m/>
    <m/>
    <m/>
    <m/>
    <n v="3"/>
    <m/>
    <n v="1.1000000000000001"/>
    <d v="2015-07-06T00:00:00"/>
    <m/>
    <m/>
    <m/>
    <m/>
    <n v="3.11"/>
    <d v="2015-07-15T00:00:00"/>
    <n v="18.5"/>
    <d v="2015-07-06T00:00:00"/>
    <m/>
    <m/>
    <m/>
    <m/>
    <m/>
    <m/>
    <x v="7"/>
    <m/>
    <n v="6.33"/>
    <d v="2015-07-06T00:00:00"/>
    <m/>
    <m/>
    <n v="140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0.624000000000002"/>
    <d v="2015-07-15T00:00:00"/>
    <m/>
    <m/>
    <m/>
    <m/>
    <n v="49.061912536621094"/>
    <d v="2015-07-15T00:00:00"/>
    <n v="19.556791305541992"/>
    <d v="2015-07-15T00:00:00"/>
    <n v="24.997"/>
    <d v="2015-07-15T00:00:00"/>
    <m/>
    <m/>
    <m/>
    <m/>
    <n v="5"/>
    <d v="2015-07-06T00:00:00"/>
    <m/>
    <m/>
    <m/>
    <m/>
    <m/>
    <m/>
    <m/>
    <n v="5"/>
    <d v="2015-06-25T00:00:00"/>
    <s v="NON VALIDE"/>
  </r>
  <r>
    <s v="RAPSO_216"/>
    <s v="Kosto"/>
    <x v="0"/>
    <x v="0"/>
    <n v="77"/>
    <n v="7"/>
    <n v="22"/>
    <m/>
    <m/>
    <m/>
    <m/>
    <n v="3"/>
    <m/>
    <n v="1.1399999999999999"/>
    <d v="2015-07-06T00:00:00"/>
    <m/>
    <m/>
    <m/>
    <m/>
    <n v="3.34"/>
    <d v="2015-07-15T00:00:00"/>
    <n v="18.5"/>
    <d v="2015-07-06T00:00:00"/>
    <m/>
    <m/>
    <m/>
    <m/>
    <m/>
    <m/>
    <x v="8"/>
    <m/>
    <n v="6.49"/>
    <d v="2015-07-06T00:00:00"/>
    <m/>
    <m/>
    <n v="130"/>
    <m/>
    <m/>
    <m/>
    <n v="106"/>
    <m/>
    <m/>
    <m/>
    <m/>
    <m/>
    <m/>
    <m/>
    <m/>
    <m/>
    <m/>
    <m/>
    <m/>
    <m/>
    <n v="3"/>
    <m/>
    <m/>
    <m/>
    <m/>
    <m/>
    <m/>
    <m/>
    <m/>
    <m/>
    <m/>
    <m/>
    <n v="63.131"/>
    <d v="2015-07-15T00:00:00"/>
    <m/>
    <m/>
    <m/>
    <m/>
    <n v="51.447956085205078"/>
    <d v="2015-07-15T00:00:00"/>
    <n v="16.520421981811523"/>
    <d v="2015-07-15T00:00:00"/>
    <n v="17.853999999999999"/>
    <d v="2015-07-15T00:00:00"/>
    <m/>
    <m/>
    <m/>
    <m/>
    <n v="6"/>
    <d v="2015-07-06T00:00:00"/>
    <m/>
    <m/>
    <m/>
    <m/>
    <m/>
    <m/>
    <m/>
    <n v="5"/>
    <d v="2015-06-25T00:00:00"/>
    <s v="NON VALIDE"/>
  </r>
  <r>
    <s v="RAPSO_174"/>
    <s v="Contact"/>
    <x v="0"/>
    <x v="0"/>
    <n v="60"/>
    <n v="7"/>
    <n v="30"/>
    <m/>
    <m/>
    <m/>
    <m/>
    <n v="3"/>
    <m/>
    <n v="1.18"/>
    <d v="2015-07-06T00:00:00"/>
    <m/>
    <m/>
    <m/>
    <m/>
    <n v="3.3"/>
    <d v="2015-07-15T00:00:00"/>
    <n v="18.5"/>
    <d v="2015-07-06T00:00:00"/>
    <m/>
    <m/>
    <m/>
    <m/>
    <m/>
    <m/>
    <x v="9"/>
    <m/>
    <n v="6.71"/>
    <d v="2015-07-06T00:00:00"/>
    <m/>
    <m/>
    <n v="110"/>
    <m/>
    <m/>
    <m/>
    <n v="111"/>
    <m/>
    <m/>
    <m/>
    <m/>
    <m/>
    <m/>
    <m/>
    <m/>
    <m/>
    <m/>
    <m/>
    <m/>
    <m/>
    <n v="9"/>
    <m/>
    <m/>
    <m/>
    <m/>
    <m/>
    <m/>
    <m/>
    <m/>
    <m/>
    <m/>
    <m/>
    <n v="71.072999999999993"/>
    <d v="2015-07-15T00:00:00"/>
    <m/>
    <m/>
    <m/>
    <m/>
    <n v="49.226547241210938"/>
    <d v="2015-07-15T00:00:00"/>
    <n v="19.267776489257812"/>
    <d v="2015-07-15T00:00:00"/>
    <n v="24.576000000000001"/>
    <d v="2015-07-15T00:00:00"/>
    <m/>
    <m/>
    <m/>
    <m/>
    <n v="6.1"/>
    <d v="2015-07-06T00:00:00"/>
    <m/>
    <m/>
    <m/>
    <m/>
    <m/>
    <m/>
    <m/>
    <n v="5"/>
    <d v="2015-06-25T00:00:00"/>
    <s v="NON VALIDE"/>
  </r>
  <r>
    <s v="RAPSO_102"/>
    <s v="Lesira"/>
    <x v="0"/>
    <x v="0"/>
    <n v="34"/>
    <n v="8"/>
    <n v="27"/>
    <m/>
    <m/>
    <m/>
    <m/>
    <n v="8"/>
    <m/>
    <n v="1.33"/>
    <d v="2015-07-06T00:00:00"/>
    <m/>
    <m/>
    <m/>
    <m/>
    <n v="3.52"/>
    <d v="2015-07-15T00:00:00"/>
    <n v="18.5"/>
    <d v="2015-07-06T00:00:00"/>
    <m/>
    <m/>
    <m/>
    <m/>
    <m/>
    <m/>
    <x v="10"/>
    <m/>
    <n v="7.63"/>
    <d v="2015-07-06T00:00:00"/>
    <m/>
    <m/>
    <n v="125"/>
    <m/>
    <m/>
    <m/>
    <n v="104"/>
    <m/>
    <m/>
    <m/>
    <m/>
    <m/>
    <m/>
    <m/>
    <m/>
    <m/>
    <m/>
    <m/>
    <m/>
    <m/>
    <n v="1"/>
    <m/>
    <m/>
    <m/>
    <m/>
    <m/>
    <m/>
    <m/>
    <m/>
    <m/>
    <m/>
    <m/>
    <n v="57.927999999999997"/>
    <d v="2015-07-15T00:00:00"/>
    <m/>
    <m/>
    <m/>
    <m/>
    <n v="46.12982177734375"/>
    <d v="2015-07-15T00:00:00"/>
    <n v="19.819393157958984"/>
    <d v="2015-07-15T00:00:00"/>
    <n v="52.826000000000001"/>
    <d v="2015-07-15T00:00:00"/>
    <m/>
    <m/>
    <m/>
    <m/>
    <n v="5.3"/>
    <d v="2015-07-06T00:00:00"/>
    <m/>
    <m/>
    <m/>
    <m/>
    <m/>
    <m/>
    <m/>
    <n v="3"/>
    <d v="2015-06-25T00:00:00"/>
    <s v="NON VALIDE"/>
  </r>
  <r>
    <s v="RAPSO_307"/>
    <s v="COOPER "/>
    <x v="0"/>
    <x v="0"/>
    <n v="144"/>
    <n v="7"/>
    <n v="19"/>
    <m/>
    <m/>
    <m/>
    <m/>
    <n v="5"/>
    <m/>
    <n v="1.48"/>
    <d v="2015-07-06T00:00:00"/>
    <m/>
    <m/>
    <m/>
    <m/>
    <n v="4.09"/>
    <d v="2015-07-15T00:00:00"/>
    <n v="18.5"/>
    <d v="2015-07-06T00:00:00"/>
    <m/>
    <m/>
    <m/>
    <m/>
    <m/>
    <m/>
    <x v="11"/>
    <m/>
    <n v="8.48"/>
    <d v="2015-07-06T00:00:00"/>
    <m/>
    <m/>
    <n v="150"/>
    <m/>
    <m/>
    <m/>
    <n v="103"/>
    <m/>
    <m/>
    <m/>
    <m/>
    <m/>
    <m/>
    <m/>
    <m/>
    <m/>
    <m/>
    <m/>
    <m/>
    <m/>
    <n v="3"/>
    <m/>
    <m/>
    <m/>
    <m/>
    <m/>
    <m/>
    <m/>
    <m/>
    <m/>
    <m/>
    <m/>
    <n v="62.386000000000003"/>
    <d v="2015-07-15T00:00:00"/>
    <m/>
    <m/>
    <m/>
    <m/>
    <n v="48.221168518066406"/>
    <d v="2015-07-15T00:00:00"/>
    <n v="19.219898223876953"/>
    <d v="2015-07-15T00:00:00"/>
    <n v="16.309999999999999"/>
    <d v="2015-07-15T00:00:00"/>
    <m/>
    <m/>
    <m/>
    <m/>
    <n v="5.4"/>
    <d v="2015-07-06T00:00:00"/>
    <m/>
    <m/>
    <m/>
    <m/>
    <m/>
    <m/>
    <m/>
    <n v="3"/>
    <d v="2015-06-25T00:00:00"/>
    <s v="NON VALIDE"/>
  </r>
  <r>
    <s v="RAPSO_215"/>
    <s v="Kadore"/>
    <x v="0"/>
    <x v="0"/>
    <n v="76"/>
    <n v="8"/>
    <n v="23"/>
    <m/>
    <m/>
    <m/>
    <m/>
    <n v="5"/>
    <m/>
    <n v="1.51"/>
    <d v="2015-07-06T00:00:00"/>
    <m/>
    <m/>
    <m/>
    <m/>
    <n v="4.04"/>
    <d v="2015-07-15T00:00:00"/>
    <n v="18.5"/>
    <d v="2015-07-06T00:00:00"/>
    <m/>
    <m/>
    <m/>
    <m/>
    <m/>
    <m/>
    <x v="12"/>
    <m/>
    <n v="8.6199999999999992"/>
    <d v="2015-07-06T00:00:00"/>
    <m/>
    <m/>
    <n v="120"/>
    <m/>
    <m/>
    <m/>
    <n v="106"/>
    <m/>
    <m/>
    <m/>
    <m/>
    <m/>
    <m/>
    <m/>
    <m/>
    <m/>
    <m/>
    <m/>
    <m/>
    <m/>
    <n v="3"/>
    <m/>
    <m/>
    <m/>
    <m/>
    <m/>
    <m/>
    <m/>
    <m/>
    <m/>
    <m/>
    <m/>
    <n v="64.534000000000006"/>
    <d v="2015-07-15T00:00:00"/>
    <m/>
    <m/>
    <m/>
    <m/>
    <n v="46.889968872070313"/>
    <d v="2015-07-15T00:00:00"/>
    <n v="19.38062858581543"/>
    <d v="2015-07-15T00:00:00"/>
    <n v="22.286999999999999"/>
    <d v="2015-07-15T00:00:00"/>
    <m/>
    <m/>
    <m/>
    <m/>
    <n v="5.7"/>
    <d v="2015-07-06T00:00:00"/>
    <m/>
    <m/>
    <m/>
    <m/>
    <m/>
    <m/>
    <m/>
    <n v="5"/>
    <d v="2015-06-25T00:00:00"/>
    <s v="NON VALIDE"/>
  </r>
  <r>
    <s v="RAPSO_235"/>
    <s v="Mar"/>
    <x v="0"/>
    <x v="0"/>
    <n v="87"/>
    <n v="8"/>
    <n v="29"/>
    <m/>
    <m/>
    <m/>
    <m/>
    <n v="6"/>
    <m/>
    <n v="1.6"/>
    <d v="2015-07-06T00:00:00"/>
    <m/>
    <m/>
    <m/>
    <m/>
    <n v="4.55"/>
    <d v="2015-07-15T00:00:00"/>
    <n v="18.5"/>
    <d v="2015-07-06T00:00:00"/>
    <m/>
    <m/>
    <m/>
    <m/>
    <m/>
    <m/>
    <x v="13"/>
    <m/>
    <n v="9.15"/>
    <d v="2015-07-06T00:00:00"/>
    <m/>
    <m/>
    <n v="11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203000000000003"/>
    <d v="2015-07-15T00:00:00"/>
    <m/>
    <m/>
    <m/>
    <m/>
    <n v="49.691612243652344"/>
    <d v="2015-07-15T00:00:00"/>
    <n v="19.041641235351563"/>
    <d v="2015-07-15T00:00:00"/>
    <n v="19.315000000000001"/>
    <d v="2015-07-15T00:00:00"/>
    <m/>
    <m/>
    <m/>
    <m/>
    <n v="5.6"/>
    <d v="2015-07-06T00:00:00"/>
    <m/>
    <m/>
    <m/>
    <m/>
    <m/>
    <m/>
    <m/>
    <n v="5"/>
    <d v="2015-06-25T00:00:00"/>
    <s v="NON VALIDE"/>
  </r>
  <r>
    <s v="RAPSO_130"/>
    <s v="Akamar"/>
    <x v="0"/>
    <x v="0"/>
    <n v="40"/>
    <n v="8"/>
    <n v="32"/>
    <m/>
    <m/>
    <m/>
    <m/>
    <n v="5"/>
    <m/>
    <n v="1.62"/>
    <d v="2015-07-06T00:00:00"/>
    <m/>
    <m/>
    <m/>
    <m/>
    <n v="4.55"/>
    <d v="2015-07-15T00:00:00"/>
    <n v="18.5"/>
    <d v="2015-07-06T00:00:00"/>
    <m/>
    <m/>
    <m/>
    <m/>
    <m/>
    <m/>
    <x v="14"/>
    <m/>
    <n v="9.17"/>
    <d v="2015-07-06T00:00:00"/>
    <m/>
    <m/>
    <n v="12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1.783999999999999"/>
    <d v="2015-07-15T00:00:00"/>
    <m/>
    <m/>
    <m/>
    <m/>
    <n v="49.58795166015625"/>
    <d v="2015-07-15T00:00:00"/>
    <n v="18.067403793334961"/>
    <d v="2015-07-15T00:00:00"/>
    <n v="17.648"/>
    <d v="2015-07-15T00:00:00"/>
    <m/>
    <m/>
    <m/>
    <m/>
    <n v="6.5"/>
    <d v="2015-07-06T00:00:00"/>
    <m/>
    <m/>
    <m/>
    <m/>
    <m/>
    <m/>
    <m/>
    <n v="3"/>
    <d v="2015-06-25T00:00:00"/>
    <s v="NON VALIDE"/>
  </r>
  <r>
    <s v="RAPSO_040"/>
    <s v="Olquell Gulzover"/>
    <x v="0"/>
    <x v="0"/>
    <n v="13"/>
    <n v="7"/>
    <n v="17"/>
    <m/>
    <m/>
    <m/>
    <m/>
    <n v="8"/>
    <m/>
    <n v="1.62"/>
    <d v="2015-07-06T00:00:00"/>
    <m/>
    <m/>
    <m/>
    <m/>
    <n v="4.53"/>
    <d v="2015-07-15T00:00:00"/>
    <n v="18.5"/>
    <d v="2015-07-06T00:00:00"/>
    <m/>
    <m/>
    <m/>
    <m/>
    <m/>
    <m/>
    <x v="15"/>
    <m/>
    <n v="9.26"/>
    <d v="2015-07-06T00:00:00"/>
    <m/>
    <m/>
    <n v="16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6.099999999999994"/>
    <d v="2015-07-15T00:00:00"/>
    <m/>
    <m/>
    <m/>
    <m/>
    <n v="48.938518524169922"/>
    <d v="2015-07-15T00:00:00"/>
    <n v="19.332275390625"/>
    <d v="2015-07-15T00:00:00"/>
    <n v="43.252000000000002"/>
    <d v="2015-07-15T00:00:00"/>
    <m/>
    <m/>
    <m/>
    <m/>
    <n v="5.6"/>
    <d v="2015-07-06T00:00:00"/>
    <m/>
    <m/>
    <m/>
    <m/>
    <m/>
    <m/>
    <m/>
    <n v="5"/>
    <d v="2015-06-25T00:00:00"/>
    <s v="NON VALIDE"/>
  </r>
  <r>
    <s v="RAPSO_476"/>
    <s v="RAGT-13"/>
    <x v="0"/>
    <x v="0"/>
    <n v="176"/>
    <n v="8"/>
    <n v="31"/>
    <m/>
    <m/>
    <m/>
    <m/>
    <n v="5"/>
    <m/>
    <n v="1.65"/>
    <d v="2015-07-06T00:00:00"/>
    <m/>
    <m/>
    <m/>
    <m/>
    <n v="4.55"/>
    <d v="2015-07-15T00:00:00"/>
    <n v="18.5"/>
    <d v="2015-07-06T00:00:00"/>
    <m/>
    <m/>
    <m/>
    <m/>
    <m/>
    <m/>
    <x v="16"/>
    <m/>
    <n v="9.4"/>
    <d v="2015-07-06T00:00:00"/>
    <m/>
    <m/>
    <n v="115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2.177999999999997"/>
    <d v="2015-07-15T00:00:00"/>
    <m/>
    <m/>
    <m/>
    <m/>
    <n v="48.360214233398437"/>
    <d v="2015-07-15T00:00:00"/>
    <n v="18.399457931518555"/>
    <d v="2015-07-15T00:00:00"/>
    <n v="20.260999999999999"/>
    <d v="2015-07-15T00:00:00"/>
    <m/>
    <m/>
    <m/>
    <m/>
    <n v="5.9"/>
    <d v="2015-07-06T00:00:00"/>
    <m/>
    <m/>
    <m/>
    <m/>
    <m/>
    <m/>
    <m/>
    <n v="3"/>
    <d v="2015-06-25T00:00:00"/>
    <s v="NON VALIDE"/>
  </r>
  <r>
    <s v="RAPSO_320"/>
    <s v="RAGT-06"/>
    <x v="0"/>
    <x v="0"/>
    <n v="157"/>
    <n v="9"/>
    <n v="32"/>
    <m/>
    <m/>
    <m/>
    <m/>
    <n v="3"/>
    <m/>
    <n v="1.67"/>
    <d v="2015-07-06T00:00:00"/>
    <m/>
    <m/>
    <m/>
    <m/>
    <n v="4.6500000000000004"/>
    <d v="2015-07-15T00:00:00"/>
    <n v="18.5"/>
    <d v="2015-07-06T00:00:00"/>
    <m/>
    <m/>
    <m/>
    <m/>
    <m/>
    <m/>
    <x v="17"/>
    <m/>
    <n v="9.4700000000000006"/>
    <d v="2015-07-06T00:00:00"/>
    <m/>
    <m/>
    <n v="10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3.027000000000001"/>
    <d v="2015-07-15T00:00:00"/>
    <m/>
    <m/>
    <m/>
    <m/>
    <n v="49.107963562011719"/>
    <d v="2015-07-15T00:00:00"/>
    <n v="19.487462997436523"/>
    <d v="2015-07-15T00:00:00"/>
    <n v="18.803999999999998"/>
    <d v="2015-07-15T00:00:00"/>
    <m/>
    <m/>
    <m/>
    <m/>
    <n v="6.4"/>
    <d v="2015-07-06T00:00:00"/>
    <m/>
    <m/>
    <m/>
    <m/>
    <m/>
    <m/>
    <m/>
    <n v="3"/>
    <d v="2015-06-25T00:00:00"/>
    <s v="NON VALIDE"/>
  </r>
  <r>
    <s v="RAPSO_265"/>
    <s v="Roxet"/>
    <x v="0"/>
    <x v="0"/>
    <n v="102"/>
    <n v="8"/>
    <n v="19"/>
    <m/>
    <m/>
    <m/>
    <m/>
    <n v="8"/>
    <m/>
    <n v="1.78"/>
    <d v="2015-07-06T00:00:00"/>
    <m/>
    <m/>
    <m/>
    <m/>
    <n v="5.22"/>
    <d v="2015-07-15T00:00:00"/>
    <n v="18.5"/>
    <d v="2015-07-06T00:00:00"/>
    <m/>
    <m/>
    <m/>
    <m/>
    <m/>
    <m/>
    <x v="18"/>
    <m/>
    <n v="10.15"/>
    <d v="2015-07-06T00:00:00"/>
    <m/>
    <m/>
    <n v="140"/>
    <m/>
    <m/>
    <m/>
    <n v="105"/>
    <m/>
    <m/>
    <m/>
    <m/>
    <m/>
    <m/>
    <m/>
    <m/>
    <m/>
    <m/>
    <m/>
    <m/>
    <m/>
    <n v="3"/>
    <m/>
    <m/>
    <m/>
    <m/>
    <m/>
    <m/>
    <m/>
    <m/>
    <m/>
    <m/>
    <m/>
    <n v="62.713000000000001"/>
    <d v="2015-07-15T00:00:00"/>
    <m/>
    <m/>
    <m/>
    <m/>
    <n v="51.42584228515625"/>
    <d v="2015-07-15T00:00:00"/>
    <n v="17.7735595703125"/>
    <d v="2015-07-15T00:00:00"/>
    <n v="18.178999999999998"/>
    <d v="2015-07-15T00:00:00"/>
    <m/>
    <m/>
    <m/>
    <m/>
    <n v="5.8"/>
    <d v="2015-07-06T00:00:00"/>
    <m/>
    <m/>
    <m/>
    <m/>
    <m/>
    <m/>
    <m/>
    <n v="5"/>
    <d v="2015-06-25T00:00:00"/>
    <s v="NON VALIDE"/>
  </r>
  <r>
    <s v="RAPSO_251"/>
    <s v="Olymp"/>
    <x v="0"/>
    <x v="0"/>
    <n v="93"/>
    <n v="9"/>
    <n v="24"/>
    <m/>
    <m/>
    <m/>
    <m/>
    <n v="3"/>
    <m/>
    <n v="1.82"/>
    <d v="2015-07-06T00:00:00"/>
    <m/>
    <m/>
    <m/>
    <m/>
    <n v="4.8499999999999996"/>
    <d v="2015-07-15T00:00:00"/>
    <n v="18.5"/>
    <d v="2015-07-06T00:00:00"/>
    <m/>
    <m/>
    <m/>
    <m/>
    <m/>
    <m/>
    <x v="19"/>
    <m/>
    <n v="10.25"/>
    <d v="2015-07-06T00:00:00"/>
    <m/>
    <m/>
    <n v="125"/>
    <m/>
    <m/>
    <m/>
    <n v="112"/>
    <m/>
    <m/>
    <m/>
    <m/>
    <m/>
    <m/>
    <m/>
    <m/>
    <m/>
    <m/>
    <m/>
    <m/>
    <m/>
    <n v="9"/>
    <m/>
    <m/>
    <m/>
    <m/>
    <m/>
    <m/>
    <m/>
    <m/>
    <m/>
    <m/>
    <m/>
    <n v="65.135999999999996"/>
    <d v="2015-07-15T00:00:00"/>
    <m/>
    <m/>
    <m/>
    <m/>
    <n v="47.304588317871094"/>
    <d v="2015-07-15T00:00:00"/>
    <n v="19.826404571533203"/>
    <d v="2015-07-15T00:00:00"/>
    <n v="17.157"/>
    <d v="2015-07-15T00:00:00"/>
    <m/>
    <m/>
    <m/>
    <m/>
    <n v="7"/>
    <d v="2015-07-06T00:00:00"/>
    <m/>
    <m/>
    <m/>
    <m/>
    <m/>
    <m/>
    <m/>
    <n v="3"/>
    <d v="2015-06-25T00:00:00"/>
    <s v="NON VALIDE"/>
  </r>
  <r>
    <s v="Alpaga"/>
    <s v="Alpaga"/>
    <x v="0"/>
    <x v="0"/>
    <n v="190"/>
    <n v="8"/>
    <n v="28"/>
    <m/>
    <m/>
    <m/>
    <m/>
    <n v="6"/>
    <m/>
    <n v="1.82"/>
    <d v="2015-07-06T00:00:00"/>
    <m/>
    <m/>
    <m/>
    <m/>
    <n v="5.04"/>
    <d v="2015-07-15T00:00:00"/>
    <n v="18.5"/>
    <d v="2015-07-06T00:00:00"/>
    <m/>
    <m/>
    <m/>
    <m/>
    <m/>
    <m/>
    <x v="20"/>
    <m/>
    <n v="10.3"/>
    <d v="2015-07-06T00:00:00"/>
    <m/>
    <m/>
    <n v="130"/>
    <m/>
    <m/>
    <m/>
    <n v="103"/>
    <m/>
    <m/>
    <m/>
    <m/>
    <m/>
    <m/>
    <m/>
    <m/>
    <m/>
    <m/>
    <m/>
    <m/>
    <m/>
    <n v="3"/>
    <m/>
    <m/>
    <m/>
    <m/>
    <m/>
    <m/>
    <m/>
    <m/>
    <m/>
    <m/>
    <m/>
    <n v="63.545000000000002"/>
    <d v="2015-07-15T00:00:00"/>
    <m/>
    <m/>
    <m/>
    <m/>
    <n v="48.983409881591797"/>
    <d v="2015-07-15T00:00:00"/>
    <n v="18.595962524414062"/>
    <d v="2015-07-15T00:00:00"/>
    <n v="30.776"/>
    <d v="2015-07-15T00:00:00"/>
    <m/>
    <m/>
    <m/>
    <m/>
    <n v="6.5"/>
    <d v="2015-07-06T00:00:00"/>
    <m/>
    <m/>
    <m/>
    <m/>
    <m/>
    <m/>
    <m/>
    <n v="5"/>
    <d v="2015-06-25T00:00:00"/>
    <s v="NON VALIDE"/>
  </r>
  <r>
    <s v="RAPSO_273"/>
    <s v="TAROX"/>
    <x v="0"/>
    <x v="0"/>
    <n v="107"/>
    <n v="8"/>
    <n v="26"/>
    <m/>
    <m/>
    <m/>
    <m/>
    <n v="5"/>
    <m/>
    <n v="1.85"/>
    <d v="2015-07-06T00:00:00"/>
    <m/>
    <m/>
    <m/>
    <m/>
    <n v="5.09"/>
    <d v="2015-07-15T00:00:00"/>
    <n v="18.5"/>
    <d v="2015-07-06T00:00:00"/>
    <m/>
    <m/>
    <m/>
    <m/>
    <m/>
    <m/>
    <x v="21"/>
    <m/>
    <n v="10.45"/>
    <d v="2015-07-06T00:00:00"/>
    <m/>
    <m/>
    <n v="13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3.905000000000001"/>
    <d v="2015-07-15T00:00:00"/>
    <m/>
    <m/>
    <m/>
    <m/>
    <n v="48.699150085449219"/>
    <d v="2015-07-15T00:00:00"/>
    <n v="19.136011123657227"/>
    <d v="2015-07-15T00:00:00"/>
    <n v="16.486000000000001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154"/>
    <s v="Campala"/>
    <x v="0"/>
    <x v="0"/>
    <n v="50"/>
    <n v="11"/>
    <n v="31"/>
    <m/>
    <m/>
    <m/>
    <m/>
    <n v="3"/>
    <m/>
    <n v="1.89"/>
    <d v="2015-07-06T00:00:00"/>
    <m/>
    <m/>
    <m/>
    <m/>
    <n v="5.62"/>
    <d v="2015-07-15T00:00:00"/>
    <n v="18.5"/>
    <d v="2015-07-06T00:00:00"/>
    <m/>
    <m/>
    <m/>
    <m/>
    <m/>
    <m/>
    <x v="22"/>
    <m/>
    <n v="10.76"/>
    <d v="2015-07-06T00:00:00"/>
    <m/>
    <m/>
    <n v="11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459000000000003"/>
    <d v="2015-07-15T00:00:00"/>
    <m/>
    <m/>
    <m/>
    <m/>
    <n v="52.238731384277344"/>
    <d v="2015-07-15T00:00:00"/>
    <n v="15.779422760009766"/>
    <d v="2015-07-15T00:00:00"/>
    <n v="16.062000000000001"/>
    <d v="2015-07-15T00:00:00"/>
    <m/>
    <m/>
    <m/>
    <m/>
    <n v="6"/>
    <d v="2015-07-06T00:00:00"/>
    <m/>
    <m/>
    <m/>
    <m/>
    <m/>
    <m/>
    <m/>
    <n v="3"/>
    <d v="2015-06-25T00:00:00"/>
    <s v="NON VALIDE"/>
  </r>
  <r>
    <s v="RAPSO_296"/>
    <s v="ES-ALIENOR"/>
    <x v="0"/>
    <x v="0"/>
    <n v="133"/>
    <n v="12"/>
    <n v="30"/>
    <m/>
    <m/>
    <m/>
    <m/>
    <n v="5"/>
    <m/>
    <n v="1.95"/>
    <d v="2015-07-06T00:00:00"/>
    <m/>
    <m/>
    <m/>
    <m/>
    <n v="5.52"/>
    <d v="2015-07-15T00:00:00"/>
    <n v="18.5"/>
    <d v="2015-07-06T00:00:00"/>
    <m/>
    <m/>
    <m/>
    <m/>
    <m/>
    <m/>
    <x v="23"/>
    <m/>
    <n v="11.04"/>
    <d v="2015-07-06T00:00:00"/>
    <m/>
    <m/>
    <n v="10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3.73"/>
    <d v="2015-07-15T00:00:00"/>
    <m/>
    <m/>
    <m/>
    <m/>
    <n v="49.984779357910156"/>
    <d v="2015-07-15T00:00:00"/>
    <n v="17.500980377197266"/>
    <d v="2015-07-15T00:00:00"/>
    <n v="15.1"/>
    <d v="2015-07-15T00:00:00"/>
    <m/>
    <m/>
    <m/>
    <m/>
    <n v="6.5"/>
    <d v="2015-07-06T00:00:00"/>
    <m/>
    <m/>
    <m/>
    <m/>
    <m/>
    <m/>
    <m/>
    <n v="5"/>
    <d v="2015-06-25T00:00:00"/>
    <s v="NON VALIDE"/>
  </r>
  <r>
    <s v="RAPSO_368"/>
    <s v="BLAGODATNYI "/>
    <x v="0"/>
    <x v="0"/>
    <n v="117"/>
    <n v="8"/>
    <n v="17"/>
    <m/>
    <m/>
    <m/>
    <m/>
    <n v="8"/>
    <m/>
    <n v="1.98"/>
    <d v="2015-07-06T00:00:00"/>
    <m/>
    <m/>
    <m/>
    <m/>
    <n v="5.61"/>
    <d v="2015-07-15T00:00:00"/>
    <n v="18.5"/>
    <d v="2015-07-06T00:00:00"/>
    <m/>
    <m/>
    <m/>
    <m/>
    <m/>
    <m/>
    <x v="24"/>
    <m/>
    <n v="11.29"/>
    <d v="2015-07-06T00:00:00"/>
    <m/>
    <m/>
    <n v="140"/>
    <m/>
    <m/>
    <m/>
    <n v="110"/>
    <m/>
    <m/>
    <m/>
    <m/>
    <m/>
    <m/>
    <m/>
    <m/>
    <m/>
    <m/>
    <m/>
    <m/>
    <m/>
    <n v="7"/>
    <m/>
    <m/>
    <m/>
    <m/>
    <m/>
    <m/>
    <m/>
    <m/>
    <m/>
    <m/>
    <m/>
    <n v="65.921999999999997"/>
    <d v="2015-07-15T00:00:00"/>
    <m/>
    <m/>
    <m/>
    <m/>
    <n v="49.708114624023438"/>
    <d v="2015-07-15T00:00:00"/>
    <n v="20.615589141845703"/>
    <d v="2015-07-15T00:00:00"/>
    <n v="59.494999999999997"/>
    <d v="2015-07-15T00:00:00"/>
    <m/>
    <m/>
    <m/>
    <m/>
    <n v="5.8"/>
    <d v="2015-07-06T00:00:00"/>
    <m/>
    <m/>
    <m/>
    <m/>
    <m/>
    <m/>
    <m/>
    <n v="5"/>
    <d v="2015-06-25T00:00:00"/>
    <s v="NON VALIDE"/>
  </r>
  <r>
    <s v="RAPSO_230"/>
    <s v="Lirabon"/>
    <x v="0"/>
    <x v="0"/>
    <n v="83"/>
    <n v="9"/>
    <n v="11"/>
    <m/>
    <m/>
    <m/>
    <m/>
    <n v="8"/>
    <m/>
    <n v="2.0099999999999998"/>
    <d v="2015-07-06T00:00:00"/>
    <m/>
    <m/>
    <m/>
    <m/>
    <n v="5.56"/>
    <d v="2015-07-15T00:00:00"/>
    <n v="18.5"/>
    <d v="2015-07-06T00:00:00"/>
    <m/>
    <m/>
    <m/>
    <m/>
    <m/>
    <m/>
    <x v="25"/>
    <m/>
    <n v="11.115592515592512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391000000000005"/>
    <d v="2015-07-15T00:00:00"/>
    <m/>
    <m/>
    <m/>
    <m/>
    <n v="49.079540252685547"/>
    <d v="2015-07-15T00:00:00"/>
    <n v="18.205692291259766"/>
    <d v="2015-07-15T00:00:00"/>
    <n v="21.077000000000002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208"/>
    <s v="Idol"/>
    <x v="0"/>
    <x v="0"/>
    <n v="73"/>
    <n v="8"/>
    <n v="25"/>
    <m/>
    <m/>
    <m/>
    <m/>
    <n v="6"/>
    <m/>
    <n v="2"/>
    <d v="2015-07-06T00:00:00"/>
    <m/>
    <m/>
    <m/>
    <m/>
    <n v="5.45"/>
    <d v="2015-07-15T00:00:00"/>
    <n v="18.5"/>
    <d v="2015-07-06T00:00:00"/>
    <m/>
    <m/>
    <m/>
    <m/>
    <m/>
    <m/>
    <x v="26"/>
    <m/>
    <n v="11.36"/>
    <d v="2015-07-06T00:00:00"/>
    <m/>
    <m/>
    <n v="13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7.350999999999999"/>
    <d v="2015-07-15T00:00:00"/>
    <m/>
    <m/>
    <m/>
    <m/>
    <n v="47.97882080078125"/>
    <d v="2015-07-15T00:00:00"/>
    <n v="19.670940399169922"/>
    <d v="2015-07-15T00:00:00"/>
    <n v="13.567"/>
    <d v="2015-07-15T00:00:00"/>
    <m/>
    <m/>
    <m/>
    <m/>
    <n v="6.2"/>
    <d v="2015-07-06T00:00:00"/>
    <m/>
    <m/>
    <m/>
    <m/>
    <m/>
    <m/>
    <m/>
    <n v="3"/>
    <d v="2015-06-25T00:00:00"/>
    <s v="NON VALIDE"/>
  </r>
  <r>
    <s v="RAPSO_316"/>
    <s v="RAGT-02"/>
    <x v="0"/>
    <x v="0"/>
    <n v="153"/>
    <n v="8"/>
    <n v="24"/>
    <m/>
    <m/>
    <m/>
    <m/>
    <n v="5"/>
    <m/>
    <n v="2.11"/>
    <d v="2015-07-06T00:00:00"/>
    <m/>
    <m/>
    <m/>
    <m/>
    <n v="6.16"/>
    <d v="2015-07-15T00:00:00"/>
    <n v="18.5"/>
    <d v="2015-07-06T00:00:00"/>
    <m/>
    <m/>
    <m/>
    <m/>
    <m/>
    <m/>
    <x v="27"/>
    <m/>
    <n v="11.92"/>
    <d v="2015-07-06T00:00:00"/>
    <m/>
    <m/>
    <n v="135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3.781999999999996"/>
    <d v="2015-07-15T00:00:00"/>
    <m/>
    <m/>
    <m/>
    <m/>
    <n v="51.687381744384766"/>
    <d v="2015-07-15T00:00:00"/>
    <n v="17.063091278076172"/>
    <d v="2015-07-15T00:00:00"/>
    <n v="21.76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227"/>
    <s v="Liporta"/>
    <x v="0"/>
    <x v="0"/>
    <n v="82"/>
    <n v="8"/>
    <n v="20"/>
    <m/>
    <m/>
    <m/>
    <m/>
    <n v="7"/>
    <m/>
    <n v="2.17"/>
    <d v="2015-07-06T00:00:00"/>
    <m/>
    <m/>
    <m/>
    <m/>
    <n v="6.15"/>
    <d v="2015-07-15T00:00:00"/>
    <n v="18.5"/>
    <d v="2015-07-06T00:00:00"/>
    <m/>
    <m/>
    <m/>
    <m/>
    <m/>
    <m/>
    <x v="28"/>
    <m/>
    <n v="12.27"/>
    <d v="2015-07-06T00:00:00"/>
    <m/>
    <m/>
    <n v="11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4.361000000000004"/>
    <d v="2015-07-15T00:00:00"/>
    <m/>
    <m/>
    <m/>
    <m/>
    <n v="50.129043579101562"/>
    <d v="2015-07-15T00:00:00"/>
    <n v="18.146495819091797"/>
    <d v="2015-07-15T00:00:00"/>
    <n v="18.138000000000002"/>
    <d v="2015-07-15T00:00:00"/>
    <m/>
    <m/>
    <m/>
    <m/>
    <n v="6.6"/>
    <d v="2015-07-06T00:00:00"/>
    <m/>
    <m/>
    <m/>
    <m/>
    <m/>
    <m/>
    <m/>
    <n v="5"/>
    <d v="2015-06-25T00:00:00"/>
    <s v="NON VALIDE"/>
  </r>
  <r>
    <s v="RAPSO_155"/>
    <s v="Canberra"/>
    <x v="0"/>
    <x v="0"/>
    <n v="51"/>
    <n v="7"/>
    <n v="20"/>
    <m/>
    <m/>
    <m/>
    <m/>
    <n v="5"/>
    <m/>
    <n v="2.1800000000000002"/>
    <d v="2015-07-06T00:00:00"/>
    <m/>
    <m/>
    <m/>
    <m/>
    <n v="6.18"/>
    <d v="2015-07-15T00:00:00"/>
    <n v="18.5"/>
    <d v="2015-07-06T00:00:00"/>
    <m/>
    <m/>
    <m/>
    <m/>
    <m/>
    <m/>
    <x v="29"/>
    <m/>
    <n v="12.3"/>
    <d v="2015-07-06T00:00:00"/>
    <m/>
    <m/>
    <n v="12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4.912999999999997"/>
    <d v="2015-07-15T00:00:00"/>
    <m/>
    <m/>
    <m/>
    <m/>
    <n v="50.24517822265625"/>
    <d v="2015-07-15T00:00:00"/>
    <n v="17.867292404174805"/>
    <d v="2015-07-15T00:00:00"/>
    <n v="15.162000000000001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333"/>
    <s v="SYN09"/>
    <x v="0"/>
    <x v="0"/>
    <n v="170"/>
    <n v="7"/>
    <n v="32"/>
    <m/>
    <m/>
    <m/>
    <m/>
    <n v="6"/>
    <m/>
    <n v="2.19"/>
    <d v="2015-07-06T00:00:00"/>
    <m/>
    <m/>
    <m/>
    <m/>
    <n v="6.08"/>
    <d v="2015-07-15T00:00:00"/>
    <n v="18.5"/>
    <d v="2015-07-06T00:00:00"/>
    <m/>
    <m/>
    <m/>
    <m/>
    <m/>
    <m/>
    <x v="30"/>
    <m/>
    <n v="12.36"/>
    <d v="2015-07-06T00:00:00"/>
    <m/>
    <m/>
    <n v="135"/>
    <m/>
    <m/>
    <m/>
    <n v="100"/>
    <m/>
    <m/>
    <m/>
    <m/>
    <m/>
    <m/>
    <m/>
    <m/>
    <m/>
    <m/>
    <m/>
    <m/>
    <m/>
    <n v="3"/>
    <m/>
    <m/>
    <m/>
    <m/>
    <m/>
    <m/>
    <m/>
    <m/>
    <m/>
    <m/>
    <m/>
    <n v="64.522000000000006"/>
    <d v="2015-07-15T00:00:00"/>
    <m/>
    <m/>
    <m/>
    <m/>
    <n v="49.213150024414063"/>
    <d v="2015-07-15T00:00:00"/>
    <n v="18.570480346679688"/>
    <d v="2015-07-15T00:00:00"/>
    <n v="14.129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077"/>
    <s v="Brink"/>
    <x v="0"/>
    <x v="0"/>
    <n v="28"/>
    <n v="8"/>
    <n v="6"/>
    <m/>
    <m/>
    <m/>
    <m/>
    <n v="7"/>
    <m/>
    <n v="2.2400000000000002"/>
    <d v="2015-07-06T00:00:00"/>
    <m/>
    <m/>
    <m/>
    <m/>
    <n v="6.36"/>
    <d v="2015-07-15T00:00:00"/>
    <n v="18.5"/>
    <d v="2015-07-06T00:00:00"/>
    <m/>
    <m/>
    <m/>
    <m/>
    <m/>
    <m/>
    <x v="31"/>
    <m/>
    <n v="12.71"/>
    <d v="2015-07-06T00:00:00"/>
    <m/>
    <m/>
    <n v="11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2.695"/>
    <d v="2015-07-15T00:00:00"/>
    <m/>
    <m/>
    <m/>
    <m/>
    <n v="50.022697448730469"/>
    <d v="2015-07-15T00:00:00"/>
    <n v="18.12237548828125"/>
    <d v="2015-07-15T00:00:00"/>
    <n v="62.265999999999998"/>
    <d v="2015-07-15T00:00:00"/>
    <m/>
    <m/>
    <m/>
    <m/>
    <n v="6.3"/>
    <d v="2015-07-06T00:00:00"/>
    <m/>
    <m/>
    <m/>
    <m/>
    <m/>
    <m/>
    <m/>
    <n v="5"/>
    <d v="2015-06-25T00:00:00"/>
    <s v="NON VALIDE"/>
  </r>
  <r>
    <s v="RAPSO_220"/>
    <s v="Liberator"/>
    <x v="0"/>
    <x v="0"/>
    <n v="79"/>
    <n v="7"/>
    <n v="27"/>
    <m/>
    <m/>
    <m/>
    <m/>
    <n v="6"/>
    <m/>
    <n v="2.3199999999999998"/>
    <d v="2015-07-06T00:00:00"/>
    <m/>
    <m/>
    <m/>
    <m/>
    <n v="6.56"/>
    <d v="2015-07-15T00:00:00"/>
    <n v="18.5"/>
    <d v="2015-07-06T00:00:00"/>
    <m/>
    <m/>
    <m/>
    <m/>
    <m/>
    <m/>
    <x v="32"/>
    <m/>
    <n v="13.18"/>
    <d v="2015-07-06T00:00:00"/>
    <m/>
    <m/>
    <n v="140"/>
    <m/>
    <m/>
    <m/>
    <n v="104"/>
    <m/>
    <m/>
    <m/>
    <m/>
    <m/>
    <m/>
    <m/>
    <m/>
    <m/>
    <m/>
    <m/>
    <m/>
    <m/>
    <n v="5"/>
    <m/>
    <m/>
    <m/>
    <m/>
    <m/>
    <m/>
    <m/>
    <m/>
    <m/>
    <m/>
    <m/>
    <n v="63.283000000000001"/>
    <d v="2015-07-15T00:00:00"/>
    <m/>
    <m/>
    <m/>
    <m/>
    <n v="49.788856506347656"/>
    <d v="2015-07-15T00:00:00"/>
    <n v="18.962179183959961"/>
    <d v="2015-07-15T00:00:00"/>
    <n v="25.783000000000001"/>
    <d v="2015-07-15T00:00:00"/>
    <m/>
    <m/>
    <m/>
    <m/>
    <n v="6.2"/>
    <d v="2015-07-06T00:00:00"/>
    <m/>
    <m/>
    <m/>
    <m/>
    <m/>
    <m/>
    <m/>
    <n v="5"/>
    <d v="2015-06-25T00:00:00"/>
    <s v="NON VALIDE"/>
  </r>
  <r>
    <s v="RAPSO_330"/>
    <s v="SYN06"/>
    <x v="0"/>
    <x v="0"/>
    <n v="167"/>
    <n v="7"/>
    <n v="18"/>
    <m/>
    <m/>
    <m/>
    <m/>
    <n v="8"/>
    <m/>
    <n v="2.36"/>
    <d v="2015-07-06T00:00:00"/>
    <m/>
    <m/>
    <m/>
    <m/>
    <n v="6.77"/>
    <d v="2015-07-15T00:00:00"/>
    <n v="18.5"/>
    <d v="2015-07-06T00:00:00"/>
    <m/>
    <m/>
    <m/>
    <m/>
    <m/>
    <m/>
    <x v="33"/>
    <m/>
    <n v="13.35"/>
    <d v="2015-07-06T00:00:00"/>
    <m/>
    <m/>
    <n v="130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62.904000000000003"/>
    <d v="2015-07-15T00:00:00"/>
    <m/>
    <m/>
    <m/>
    <m/>
    <n v="50.735904693603516"/>
    <d v="2015-07-15T00:00:00"/>
    <n v="18.079690933227539"/>
    <d v="2015-07-15T00:00:00"/>
    <n v="18.015999999999998"/>
    <d v="2015-07-15T00:00:00"/>
    <m/>
    <m/>
    <m/>
    <m/>
    <n v="6.6"/>
    <d v="2015-07-06T00:00:00"/>
    <m/>
    <m/>
    <m/>
    <m/>
    <m/>
    <m/>
    <m/>
    <n v="5"/>
    <d v="2015-06-25T00:00:00"/>
    <s v="NON VALIDE"/>
  </r>
  <r>
    <s v="RAPSO_027"/>
    <s v="Major"/>
    <x v="0"/>
    <x v="0"/>
    <n v="7"/>
    <n v="7"/>
    <n v="29"/>
    <m/>
    <m/>
    <m/>
    <m/>
    <n v="8"/>
    <m/>
    <n v="2.37"/>
    <d v="2015-07-06T00:00:00"/>
    <m/>
    <m/>
    <m/>
    <m/>
    <n v="6.77"/>
    <d v="2015-07-15T00:00:00"/>
    <n v="18.5"/>
    <d v="2015-07-06T00:00:00"/>
    <m/>
    <m/>
    <m/>
    <m/>
    <m/>
    <m/>
    <x v="34"/>
    <m/>
    <n v="13.43"/>
    <d v="2015-07-06T00:00:00"/>
    <m/>
    <m/>
    <n v="14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7.063000000000002"/>
    <d v="2015-07-15T00:00:00"/>
    <m/>
    <m/>
    <m/>
    <m/>
    <n v="50.418796539306641"/>
    <d v="2015-07-15T00:00:00"/>
    <n v="18.684059143066406"/>
    <d v="2015-07-15T00:00:00"/>
    <n v="60.131999999999998"/>
    <d v="2015-07-15T00:00:00"/>
    <m/>
    <m/>
    <m/>
    <m/>
    <n v="6.4"/>
    <d v="2015-07-06T00:00:00"/>
    <m/>
    <m/>
    <m/>
    <m/>
    <m/>
    <m/>
    <m/>
    <n v="3"/>
    <d v="2015-06-25T00:00:00"/>
    <s v="NON VALIDE"/>
  </r>
  <r>
    <s v="RAPSO_281"/>
    <s v="Tradition"/>
    <x v="0"/>
    <x v="0"/>
    <n v="110"/>
    <n v="7"/>
    <n v="31"/>
    <m/>
    <m/>
    <m/>
    <m/>
    <n v="5"/>
    <m/>
    <n v="2.37"/>
    <d v="2015-07-06T00:00:00"/>
    <m/>
    <m/>
    <m/>
    <m/>
    <n v="6.88"/>
    <d v="2015-07-15T00:00:00"/>
    <n v="18.5"/>
    <d v="2015-07-06T00:00:00"/>
    <m/>
    <m/>
    <m/>
    <m/>
    <m/>
    <m/>
    <x v="35"/>
    <m/>
    <n v="13.46"/>
    <d v="2015-07-06T00:00:00"/>
    <m/>
    <m/>
    <n v="130"/>
    <m/>
    <m/>
    <m/>
    <n v="103"/>
    <m/>
    <m/>
    <m/>
    <m/>
    <m/>
    <m/>
    <m/>
    <m/>
    <m/>
    <m/>
    <m/>
    <m/>
    <m/>
    <n v="3"/>
    <m/>
    <m/>
    <m/>
    <m/>
    <m/>
    <m/>
    <m/>
    <m/>
    <m/>
    <m/>
    <m/>
    <n v="64.498999999999995"/>
    <d v="2015-07-15T00:00:00"/>
    <m/>
    <m/>
    <m/>
    <m/>
    <n v="51.14251708984375"/>
    <d v="2015-07-15T00:00:00"/>
    <n v="16.871515274047852"/>
    <d v="2015-07-15T00:00:00"/>
    <n v="16.774999999999999"/>
    <d v="2015-07-15T00:00:00"/>
    <m/>
    <m/>
    <m/>
    <m/>
    <n v="6.2"/>
    <d v="2015-07-06T00:00:00"/>
    <m/>
    <m/>
    <m/>
    <m/>
    <m/>
    <m/>
    <m/>
    <n v="5"/>
    <d v="2015-06-25T00:00:00"/>
    <s v="NON VALIDE"/>
  </r>
  <r>
    <s v="RAPSO_270"/>
    <s v="Shogun"/>
    <x v="0"/>
    <x v="0"/>
    <n v="105"/>
    <n v="7"/>
    <n v="16"/>
    <m/>
    <m/>
    <m/>
    <m/>
    <n v="7"/>
    <m/>
    <n v="2.38"/>
    <d v="2015-07-06T00:00:00"/>
    <m/>
    <m/>
    <m/>
    <m/>
    <n v="6.76"/>
    <d v="2015-07-15T00:00:00"/>
    <n v="18.5"/>
    <d v="2015-07-06T00:00:00"/>
    <m/>
    <m/>
    <m/>
    <m/>
    <m/>
    <m/>
    <x v="36"/>
    <m/>
    <n v="13.48"/>
    <d v="2015-07-06T00:00:00"/>
    <m/>
    <m/>
    <n v="13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1.42"/>
    <d v="2015-07-15T00:00:00"/>
    <m/>
    <m/>
    <m/>
    <m/>
    <n v="50.12213134765625"/>
    <d v="2015-07-15T00:00:00"/>
    <n v="17.251811981201172"/>
    <d v="2015-07-15T00:00:00"/>
    <n v="18.254999999999999"/>
    <d v="2015-07-15T00:00:00"/>
    <m/>
    <m/>
    <m/>
    <m/>
    <n v="6.5"/>
    <d v="2015-07-06T00:00:00"/>
    <m/>
    <m/>
    <m/>
    <m/>
    <m/>
    <m/>
    <m/>
    <n v="5"/>
    <d v="2015-06-25T00:00:00"/>
    <s v="NON VALIDE"/>
  </r>
  <r>
    <s v="RAPSO_138"/>
    <s v="Ariana"/>
    <x v="0"/>
    <x v="0"/>
    <n v="44"/>
    <n v="8"/>
    <n v="21"/>
    <m/>
    <m/>
    <m/>
    <m/>
    <n v="8"/>
    <m/>
    <n v="2.46"/>
    <d v="2015-07-06T00:00:00"/>
    <m/>
    <m/>
    <m/>
    <m/>
    <n v="6.7"/>
    <d v="2015-07-15T00:00:00"/>
    <n v="18.5"/>
    <d v="2015-07-06T00:00:00"/>
    <m/>
    <m/>
    <m/>
    <m/>
    <m/>
    <m/>
    <x v="37"/>
    <m/>
    <n v="13.94"/>
    <d v="2015-07-06T00:00:00"/>
    <m/>
    <m/>
    <n v="120"/>
    <m/>
    <m/>
    <m/>
    <n v="110"/>
    <m/>
    <m/>
    <m/>
    <m/>
    <m/>
    <m/>
    <m/>
    <m/>
    <m/>
    <m/>
    <m/>
    <m/>
    <m/>
    <n v="7"/>
    <m/>
    <m/>
    <m/>
    <m/>
    <m/>
    <m/>
    <m/>
    <m/>
    <m/>
    <m/>
    <m/>
    <n v="61.067"/>
    <d v="2015-07-15T00:00:00"/>
    <m/>
    <m/>
    <m/>
    <m/>
    <n v="48.064002990722656"/>
    <d v="2015-07-15T00:00:00"/>
    <n v="18.844562530517578"/>
    <d v="2015-07-15T00:00:00"/>
    <n v="20.253"/>
    <d v="2015-07-15T00:00:00"/>
    <m/>
    <m/>
    <m/>
    <m/>
    <n v="6.4"/>
    <d v="2015-07-06T00:00:00"/>
    <m/>
    <m/>
    <m/>
    <m/>
    <m/>
    <m/>
    <m/>
    <n v="5"/>
    <d v="2015-06-25T00:00:00"/>
    <s v="NON VALIDE"/>
  </r>
  <r>
    <s v="RAPSO_013"/>
    <s v="Gesunder"/>
    <x v="0"/>
    <x v="0"/>
    <n v="4"/>
    <n v="7"/>
    <n v="14"/>
    <m/>
    <m/>
    <m/>
    <m/>
    <n v="8"/>
    <m/>
    <n v="2.46"/>
    <d v="2015-07-06T00:00:00"/>
    <m/>
    <m/>
    <m/>
    <m/>
    <n v="6.89"/>
    <d v="2015-07-15T00:00:00"/>
    <n v="18.5"/>
    <d v="2015-07-06T00:00:00"/>
    <m/>
    <m/>
    <m/>
    <m/>
    <m/>
    <m/>
    <x v="38"/>
    <m/>
    <n v="13.96"/>
    <d v="2015-07-06T00:00:00"/>
    <m/>
    <m/>
    <n v="16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932000000000002"/>
    <d v="2015-07-15T00:00:00"/>
    <m/>
    <m/>
    <m/>
    <m/>
    <n v="49.377376556396484"/>
    <d v="2015-07-15T00:00:00"/>
    <n v="19.992191314697266"/>
    <d v="2015-07-15T00:00:00"/>
    <n v="76.61"/>
    <d v="2015-07-15T00:00:00"/>
    <m/>
    <m/>
    <m/>
    <m/>
    <n v="6.3"/>
    <d v="2015-07-06T00:00:00"/>
    <m/>
    <m/>
    <m/>
    <m/>
    <m/>
    <m/>
    <m/>
    <n v="3"/>
    <d v="2015-06-25T00:00:00"/>
    <s v="NON VALIDE"/>
  </r>
  <r>
    <s v="RAPSO_046"/>
    <s v="Prerouska"/>
    <x v="0"/>
    <x v="0"/>
    <n v="16"/>
    <n v="7"/>
    <n v="28"/>
    <m/>
    <m/>
    <m/>
    <m/>
    <n v="7"/>
    <m/>
    <n v="2.4900000000000002"/>
    <d v="2015-07-06T00:00:00"/>
    <m/>
    <m/>
    <m/>
    <m/>
    <n v="6.69"/>
    <d v="2015-07-15T00:00:00"/>
    <n v="18.5"/>
    <d v="2015-07-06T00:00:00"/>
    <m/>
    <m/>
    <m/>
    <m/>
    <m/>
    <m/>
    <x v="39"/>
    <m/>
    <n v="14.08"/>
    <d v="2015-07-06T00:00:00"/>
    <m/>
    <m/>
    <n v="14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640999999999998"/>
    <d v="2015-07-15T00:00:00"/>
    <m/>
    <m/>
    <m/>
    <m/>
    <n v="47.477134704589844"/>
    <d v="2015-07-15T00:00:00"/>
    <n v="19.360145568847656"/>
    <d v="2015-07-15T00:00:00"/>
    <n v="56.015000000000001"/>
    <d v="2015-07-15T00:00:00"/>
    <m/>
    <m/>
    <m/>
    <m/>
    <n v="6.6"/>
    <d v="2015-07-06T00:00:00"/>
    <m/>
    <m/>
    <m/>
    <m/>
    <m/>
    <m/>
    <m/>
    <n v="5"/>
    <d v="2015-06-25T00:00:00"/>
    <s v="NON VALIDE"/>
  </r>
  <r>
    <s v="RAPSO_008"/>
    <s v="Fertodi elit"/>
    <x v="0"/>
    <x v="0"/>
    <n v="2"/>
    <n v="8"/>
    <n v="12"/>
    <m/>
    <m/>
    <m/>
    <m/>
    <n v="9"/>
    <m/>
    <n v="2.64"/>
    <d v="2015-07-06T00:00:00"/>
    <m/>
    <m/>
    <m/>
    <m/>
    <n v="7.36"/>
    <d v="2015-07-15T00:00:00"/>
    <n v="18.5"/>
    <d v="2015-07-06T00:00:00"/>
    <m/>
    <m/>
    <m/>
    <m/>
    <m/>
    <m/>
    <x v="40"/>
    <m/>
    <n v="14.9"/>
    <d v="2015-07-06T00:00:00"/>
    <m/>
    <m/>
    <n v="17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6.384"/>
    <d v="2015-07-15T00:00:00"/>
    <m/>
    <m/>
    <m/>
    <m/>
    <n v="49.370933532714844"/>
    <d v="2015-07-15T00:00:00"/>
    <n v="19.035717010498047"/>
    <d v="2015-07-15T00:00:00"/>
    <n v="63.014000000000003"/>
    <d v="2015-07-15T00:00:00"/>
    <m/>
    <m/>
    <m/>
    <m/>
    <n v="6.8"/>
    <d v="2015-07-06T00:00:00"/>
    <m/>
    <m/>
    <m/>
    <m/>
    <m/>
    <m/>
    <m/>
    <n v="5"/>
    <d v="2015-06-25T00:00:00"/>
    <s v="NON VALIDE"/>
  </r>
  <r>
    <s v="RAPSO_043"/>
    <s v="Polux"/>
    <x v="0"/>
    <x v="0"/>
    <n v="15"/>
    <n v="11"/>
    <n v="8"/>
    <m/>
    <m/>
    <m/>
    <m/>
    <n v="9"/>
    <m/>
    <n v="2.71"/>
    <d v="2015-07-06T00:00:00"/>
    <m/>
    <m/>
    <m/>
    <m/>
    <n v="7.7"/>
    <d v="2015-07-15T00:00:00"/>
    <n v="18.5"/>
    <d v="2015-07-06T00:00:00"/>
    <m/>
    <m/>
    <m/>
    <m/>
    <m/>
    <m/>
    <x v="41"/>
    <m/>
    <n v="15.31"/>
    <d v="2015-07-06T00:00:00"/>
    <m/>
    <m/>
    <n v="13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5.340999999999994"/>
    <d v="2015-07-15T00:00:00"/>
    <m/>
    <m/>
    <m/>
    <m/>
    <n v="50.312545776367188"/>
    <d v="2015-07-15T00:00:00"/>
    <n v="19.005525588989258"/>
    <d v="2015-07-15T00:00:00"/>
    <n v="63.94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BRA_011"/>
    <s v="Lembke"/>
    <x v="0"/>
    <x v="0"/>
    <n v="128"/>
    <n v="8"/>
    <n v="9"/>
    <m/>
    <m/>
    <m/>
    <m/>
    <n v="9"/>
    <m/>
    <n v="2.72"/>
    <d v="2015-07-06T00:00:00"/>
    <m/>
    <m/>
    <m/>
    <m/>
    <n v="8.3699999999999992"/>
    <d v="2015-07-15T00:00:00"/>
    <n v="18.5"/>
    <d v="2015-07-06T00:00:00"/>
    <m/>
    <m/>
    <m/>
    <m/>
    <m/>
    <m/>
    <x v="42"/>
    <m/>
    <n v="15.4"/>
    <d v="2015-07-06T00:00:00"/>
    <m/>
    <m/>
    <n v="175"/>
    <m/>
    <m/>
    <m/>
    <n v="109"/>
    <m/>
    <m/>
    <m/>
    <m/>
    <m/>
    <m/>
    <m/>
    <m/>
    <m/>
    <m/>
    <m/>
    <m/>
    <m/>
    <n v="7"/>
    <m/>
    <m/>
    <m/>
    <m/>
    <m/>
    <m/>
    <m/>
    <m/>
    <m/>
    <m/>
    <m/>
    <n v="66.13"/>
    <d v="2015-07-15T00:00:00"/>
    <m/>
    <m/>
    <m/>
    <m/>
    <n v="54.374221801757812"/>
    <d v="2015-07-15T00:00:00"/>
    <n v="16.603305816650391"/>
    <d v="2015-07-15T00:00:00"/>
    <n v="58.076000000000001"/>
    <d v="2015-07-15T00:00:00"/>
    <m/>
    <m/>
    <m/>
    <m/>
    <n v="6.5"/>
    <d v="2015-07-06T00:00:00"/>
    <m/>
    <m/>
    <m/>
    <m/>
    <m/>
    <m/>
    <m/>
    <n v="3"/>
    <d v="2015-06-25T00:00:00"/>
    <s v="NON VALIDE"/>
  </r>
  <r>
    <s v="RAPSO_382"/>
    <s v="DEBRUDER DIPPES "/>
    <x v="0"/>
    <x v="0"/>
    <n v="119"/>
    <n v="8"/>
    <n v="5"/>
    <m/>
    <m/>
    <m/>
    <m/>
    <n v="9"/>
    <m/>
    <n v="2.81"/>
    <d v="2015-07-06T00:00:00"/>
    <m/>
    <m/>
    <m/>
    <m/>
    <n v="8.02"/>
    <d v="2015-07-15T00:00:00"/>
    <n v="18.5"/>
    <d v="2015-07-06T00:00:00"/>
    <m/>
    <m/>
    <m/>
    <m/>
    <m/>
    <m/>
    <x v="43"/>
    <m/>
    <n v="15.93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6.337999999999994"/>
    <d v="2015-07-15T00:00:00"/>
    <m/>
    <m/>
    <m/>
    <m/>
    <n v="50.356838226318359"/>
    <d v="2015-07-15T00:00:00"/>
    <n v="17.192182540893555"/>
    <d v="2015-07-15T00:00:00"/>
    <n v="63.238999999999997"/>
    <d v="2015-07-15T00:00:00"/>
    <m/>
    <m/>
    <m/>
    <m/>
    <n v="6.4"/>
    <d v="2015-07-06T00:00:00"/>
    <m/>
    <m/>
    <m/>
    <m/>
    <m/>
    <m/>
    <m/>
    <n v="5"/>
    <d v="2015-06-25T00:00:00"/>
    <s v="NON VALIDE"/>
  </r>
  <r>
    <s v="RAPSO_146"/>
    <s v="Bolko - POH 285"/>
    <x v="0"/>
    <x v="0"/>
    <n v="48"/>
    <n v="10"/>
    <n v="14"/>
    <m/>
    <m/>
    <m/>
    <m/>
    <n v="3"/>
    <m/>
    <n v="2.84"/>
    <d v="2015-07-06T00:00:00"/>
    <m/>
    <m/>
    <m/>
    <m/>
    <n v="7.52"/>
    <d v="2015-07-15T00:00:00"/>
    <n v="18.5"/>
    <d v="2015-07-06T00:00:00"/>
    <m/>
    <m/>
    <m/>
    <m/>
    <m/>
    <m/>
    <x v="44"/>
    <m/>
    <n v="16.03"/>
    <d v="2015-07-06T00:00:00"/>
    <m/>
    <m/>
    <n v="12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168000000000006"/>
    <d v="2015-07-15T00:00:00"/>
    <m/>
    <m/>
    <m/>
    <m/>
    <n v="46.893356323242188"/>
    <d v="2015-07-15T00:00:00"/>
    <n v="19.507816314697266"/>
    <d v="2015-07-15T00:00:00"/>
    <n v="25.759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231"/>
    <s v="Lirajet"/>
    <x v="0"/>
    <x v="0"/>
    <n v="84"/>
    <n v="8"/>
    <n v="18"/>
    <m/>
    <m/>
    <m/>
    <m/>
    <n v="7"/>
    <m/>
    <n v="2.88"/>
    <d v="2015-07-06T00:00:00"/>
    <m/>
    <m/>
    <m/>
    <m/>
    <n v="8.1300000000000008"/>
    <d v="2015-07-15T00:00:00"/>
    <n v="18.5"/>
    <d v="2015-07-06T00:00:00"/>
    <m/>
    <m/>
    <m/>
    <m/>
    <m/>
    <m/>
    <x v="45"/>
    <m/>
    <n v="16.29"/>
    <d v="2015-07-06T00:00:00"/>
    <m/>
    <m/>
    <n v="13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4.867999999999995"/>
    <d v="2015-07-15T00:00:00"/>
    <m/>
    <m/>
    <m/>
    <m/>
    <n v="49.889060974121094"/>
    <d v="2015-07-15T00:00:00"/>
    <n v="17.308784484863281"/>
    <d v="2015-07-15T00:00:00"/>
    <n v="17.146999999999998"/>
    <d v="2015-07-15T00:00:00"/>
    <m/>
    <m/>
    <m/>
    <m/>
    <n v="6.6"/>
    <d v="2015-07-06T00:00:00"/>
    <m/>
    <m/>
    <m/>
    <m/>
    <m/>
    <m/>
    <m/>
    <n v="3"/>
    <d v="2015-06-25T00:00:00"/>
    <s v="NON VALIDE"/>
  </r>
  <r>
    <s v="RAPSO_282"/>
    <s v="Twister"/>
    <x v="0"/>
    <x v="0"/>
    <n v="111"/>
    <n v="8"/>
    <n v="15"/>
    <m/>
    <m/>
    <m/>
    <m/>
    <n v="6"/>
    <m/>
    <n v="2.89"/>
    <d v="2015-07-06T00:00:00"/>
    <m/>
    <m/>
    <m/>
    <m/>
    <n v="8"/>
    <d v="2015-07-15T00:00:00"/>
    <n v="18.5"/>
    <d v="2015-07-06T00:00:00"/>
    <m/>
    <m/>
    <m/>
    <m/>
    <m/>
    <m/>
    <x v="46"/>
    <m/>
    <n v="16.309999999999999"/>
    <d v="2015-07-06T00:00:00"/>
    <m/>
    <m/>
    <n v="130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1.228000000000002"/>
    <d v="2015-07-15T00:00:00"/>
    <m/>
    <m/>
    <m/>
    <m/>
    <n v="49.027786254882813"/>
    <d v="2015-07-15T00:00:00"/>
    <n v="18.920646667480469"/>
    <d v="2015-07-15T00:00:00"/>
    <n v="24.93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203"/>
    <s v="Grizzly"/>
    <x v="0"/>
    <x v="0"/>
    <n v="71"/>
    <n v="11"/>
    <n v="21"/>
    <m/>
    <m/>
    <m/>
    <m/>
    <n v="3"/>
    <m/>
    <n v="2.94"/>
    <d v="2015-07-06T00:00:00"/>
    <m/>
    <m/>
    <m/>
    <m/>
    <n v="8.67"/>
    <d v="2015-07-15T00:00:00"/>
    <n v="18.5"/>
    <d v="2015-07-06T00:00:00"/>
    <m/>
    <m/>
    <m/>
    <m/>
    <m/>
    <m/>
    <x v="47"/>
    <m/>
    <n v="16.63"/>
    <d v="2015-07-06T00:00:00"/>
    <m/>
    <m/>
    <n v="12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2.872"/>
    <d v="2015-07-15T00:00:00"/>
    <m/>
    <m/>
    <m/>
    <m/>
    <n v="52.139930725097656"/>
    <d v="2015-07-15T00:00:00"/>
    <n v="15.880854606628418"/>
    <d v="2015-07-15T00:00:00"/>
    <n v="20.959"/>
    <d v="2015-07-15T00:00:00"/>
    <m/>
    <m/>
    <m/>
    <m/>
    <n v="6.6"/>
    <d v="2015-07-06T00:00:00"/>
    <m/>
    <m/>
    <m/>
    <m/>
    <m/>
    <m/>
    <m/>
    <n v="3"/>
    <d v="2015-06-25T00:00:00"/>
    <s v="NON VALIDE"/>
  </r>
  <r>
    <s v="RAPSO_265"/>
    <s v="Roxet"/>
    <x v="1"/>
    <x v="1"/>
    <n v="102"/>
    <n v="16"/>
    <n v="18"/>
    <m/>
    <m/>
    <m/>
    <m/>
    <n v="3"/>
    <m/>
    <n v="3"/>
    <d v="2015-07-06T00:00:00"/>
    <m/>
    <m/>
    <m/>
    <m/>
    <n v="7.8"/>
    <d v="2015-07-15T00:00:00"/>
    <n v="18.5"/>
    <d v="2015-07-06T00:00:00"/>
    <m/>
    <m/>
    <m/>
    <m/>
    <m/>
    <m/>
    <x v="48"/>
    <m/>
    <n v="16.79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551000000000002"/>
    <d v="2015-07-15T00:00:00"/>
    <m/>
    <m/>
    <m/>
    <m/>
    <n v="46.435676574707031"/>
    <d v="2015-07-15T00:00:00"/>
    <n v="17.608150482177734"/>
    <d v="2015-07-15T00:00:00"/>
    <n v="17.244"/>
    <d v="2015-07-15T00:00:00"/>
    <m/>
    <m/>
    <m/>
    <m/>
    <n v="7.6"/>
    <d v="2015-07-06T00:00:00"/>
    <m/>
    <m/>
    <m/>
    <m/>
    <m/>
    <m/>
    <m/>
    <n v="9"/>
    <d v="2015-06-25T00:00:00"/>
    <s v="NON VALIDE"/>
  </r>
  <r>
    <s v="RAPSO_002"/>
    <s v="Alsace 1360"/>
    <x v="0"/>
    <x v="0"/>
    <n v="1"/>
    <n v="11"/>
    <n v="1"/>
    <m/>
    <m/>
    <m/>
    <m/>
    <n v="8"/>
    <m/>
    <n v="2.98"/>
    <d v="2015-07-06T00:00:00"/>
    <m/>
    <m/>
    <m/>
    <m/>
    <n v="8.43"/>
    <d v="2015-07-15T00:00:00"/>
    <n v="18.5"/>
    <d v="2015-07-06T00:00:00"/>
    <m/>
    <m/>
    <m/>
    <m/>
    <m/>
    <m/>
    <x v="49"/>
    <m/>
    <n v="16.87"/>
    <d v="2015-07-06T00:00:00"/>
    <m/>
    <m/>
    <n v="12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5.007999999999996"/>
    <d v="2015-07-15T00:00:00"/>
    <m/>
    <m/>
    <m/>
    <m/>
    <n v="49.976779937744141"/>
    <d v="2015-07-15T00:00:00"/>
    <n v="17.510507583618164"/>
    <d v="2015-07-15T00:00:00"/>
    <n v="56.023000000000003"/>
    <d v="2015-07-15T00:00:00"/>
    <m/>
    <m/>
    <m/>
    <m/>
    <n v="6.5"/>
    <d v="2015-07-06T00:00:00"/>
    <m/>
    <m/>
    <m/>
    <m/>
    <m/>
    <m/>
    <m/>
    <n v="5"/>
    <d v="2015-06-25T00:00:00"/>
    <s v="NON VALIDE"/>
  </r>
  <r>
    <s v="BRA_005"/>
    <s v="Sarepta"/>
    <x v="0"/>
    <x v="0"/>
    <n v="123"/>
    <n v="7"/>
    <n v="15"/>
    <m/>
    <m/>
    <m/>
    <m/>
    <n v="8"/>
    <m/>
    <n v="2.99"/>
    <d v="2015-07-06T00:00:00"/>
    <m/>
    <m/>
    <m/>
    <m/>
    <n v="8.93"/>
    <d v="2015-07-15T00:00:00"/>
    <n v="18.5"/>
    <d v="2015-07-06T00:00:00"/>
    <m/>
    <m/>
    <m/>
    <m/>
    <m/>
    <m/>
    <x v="50"/>
    <m/>
    <n v="16.95"/>
    <d v="2015-07-06T00:00:00"/>
    <m/>
    <m/>
    <n v="14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4.296000000000006"/>
    <d v="2015-07-15T00:00:00"/>
    <m/>
    <m/>
    <m/>
    <m/>
    <n v="52.694168090820312"/>
    <d v="2015-07-15T00:00:00"/>
    <n v="16.812067031860352"/>
    <d v="2015-07-15T00:00:00"/>
    <n v="48.396000000000001"/>
    <d v="2015-07-15T00:00:00"/>
    <m/>
    <m/>
    <m/>
    <m/>
    <n v="6.4"/>
    <d v="2015-07-06T00:00:00"/>
    <m/>
    <m/>
    <m/>
    <m/>
    <m/>
    <m/>
    <m/>
    <n v="3"/>
    <d v="2015-06-25T00:00:00"/>
    <s v="NON VALIDE"/>
  </r>
  <r>
    <s v="RAPSO_165"/>
    <s v="Ceres"/>
    <x v="0"/>
    <x v="0"/>
    <n v="56"/>
    <n v="11"/>
    <n v="12"/>
    <m/>
    <m/>
    <m/>
    <m/>
    <n v="8"/>
    <m/>
    <n v="3"/>
    <d v="2015-07-06T00:00:00"/>
    <m/>
    <m/>
    <m/>
    <m/>
    <n v="8.7100000000000009"/>
    <d v="2015-07-15T00:00:00"/>
    <n v="18.5"/>
    <d v="2015-07-06T00:00:00"/>
    <m/>
    <m/>
    <m/>
    <m/>
    <m/>
    <m/>
    <x v="51"/>
    <m/>
    <n v="16.989999999999998"/>
    <d v="2015-07-06T00:00:00"/>
    <m/>
    <m/>
    <n v="11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1.664000000000001"/>
    <d v="2015-07-15T00:00:00"/>
    <m/>
    <m/>
    <m/>
    <m/>
    <n v="51.294376373291016"/>
    <d v="2015-07-15T00:00:00"/>
    <n v="16.830574035644531"/>
    <d v="2015-07-15T00:00:00"/>
    <n v="14.478999999999999"/>
    <d v="2015-07-15T00:00:00"/>
    <m/>
    <m/>
    <m/>
    <m/>
    <n v="6.5"/>
    <d v="2015-07-06T00:00:00"/>
    <m/>
    <m/>
    <m/>
    <m/>
    <m/>
    <m/>
    <m/>
    <n v="3"/>
    <d v="2015-06-25T00:00:00"/>
    <s v="NON VALIDE"/>
  </r>
  <r>
    <s v="RAPSO_254"/>
    <s v="PAYROL"/>
    <x v="0"/>
    <x v="0"/>
    <n v="95"/>
    <n v="11"/>
    <n v="3"/>
    <m/>
    <m/>
    <m/>
    <m/>
    <n v="5"/>
    <m/>
    <n v="3"/>
    <d v="2015-07-06T00:00:00"/>
    <m/>
    <m/>
    <m/>
    <m/>
    <n v="8.6999999999999993"/>
    <d v="2015-07-15T00:00:00"/>
    <n v="18.5"/>
    <d v="2015-07-06T00:00:00"/>
    <m/>
    <m/>
    <m/>
    <m/>
    <m/>
    <m/>
    <x v="52"/>
    <m/>
    <n v="17"/>
    <d v="2015-07-06T00:00:00"/>
    <m/>
    <m/>
    <n v="11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596999999999994"/>
    <d v="2015-07-15T00:00:00"/>
    <m/>
    <m/>
    <m/>
    <m/>
    <n v="51.203273773193359"/>
    <d v="2015-07-15T00:00:00"/>
    <n v="18.002719879150391"/>
    <d v="2015-07-15T00:00:00"/>
    <n v="20.280999999999999"/>
    <d v="2015-07-15T00:00:00"/>
    <m/>
    <m/>
    <m/>
    <m/>
    <n v="6.4"/>
    <d v="2015-07-06T00:00:00"/>
    <m/>
    <m/>
    <m/>
    <m/>
    <m/>
    <m/>
    <m/>
    <n v="5"/>
    <d v="2015-06-25T00:00:00"/>
    <s v="NON VALIDE"/>
  </r>
  <r>
    <s v="RAPSO_319"/>
    <s v="RAGT-05"/>
    <x v="0"/>
    <x v="0"/>
    <n v="156"/>
    <n v="12"/>
    <n v="15"/>
    <m/>
    <m/>
    <m/>
    <m/>
    <n v="8"/>
    <m/>
    <n v="3.07"/>
    <d v="2015-07-06T00:00:00"/>
    <m/>
    <m/>
    <m/>
    <m/>
    <n v="8.5299999999999994"/>
    <d v="2015-07-15T00:00:00"/>
    <n v="18.5"/>
    <d v="2015-07-06T00:00:00"/>
    <m/>
    <m/>
    <m/>
    <m/>
    <m/>
    <m/>
    <x v="53"/>
    <m/>
    <n v="16.886367686367684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499000000000002"/>
    <d v="2015-07-15T00:00:00"/>
    <m/>
    <m/>
    <m/>
    <m/>
    <n v="49.544319152832031"/>
    <d v="2015-07-15T00:00:00"/>
    <n v="19.870807647705078"/>
    <d v="2015-07-15T00:00:00"/>
    <n v="17.567"/>
    <d v="2015-07-15T00:00:00"/>
    <m/>
    <m/>
    <m/>
    <m/>
    <n v="7.4"/>
    <d v="2015-07-06T00:00:00"/>
    <m/>
    <m/>
    <m/>
    <m/>
    <m/>
    <m/>
    <m/>
    <n v="1"/>
    <d v="2015-06-25T00:00:00"/>
    <s v="NON VALIDE"/>
  </r>
  <r>
    <s v="RAPSO_158"/>
    <s v="Capitol"/>
    <x v="0"/>
    <x v="0"/>
    <n v="53"/>
    <n v="12"/>
    <n v="13"/>
    <m/>
    <m/>
    <m/>
    <m/>
    <n v="7"/>
    <m/>
    <n v="3.15"/>
    <d v="2015-07-06T00:00:00"/>
    <m/>
    <m/>
    <m/>
    <m/>
    <n v="8.8699999999999992"/>
    <d v="2015-07-15T00:00:00"/>
    <n v="18.5"/>
    <d v="2015-07-06T00:00:00"/>
    <m/>
    <m/>
    <m/>
    <m/>
    <m/>
    <m/>
    <x v="54"/>
    <m/>
    <n v="17.401247401247399"/>
    <d v="2015-07-06T00:00:00"/>
    <m/>
    <m/>
    <n v="14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1.317999999999998"/>
    <d v="2015-07-15T00:00:00"/>
    <m/>
    <m/>
    <m/>
    <m/>
    <n v="49.982093811035156"/>
    <d v="2015-07-15T00:00:00"/>
    <n v="17.051389694213867"/>
    <d v="2015-07-15T00:00:00"/>
    <n v="17.199000000000002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124"/>
    <s v="Valdor"/>
    <x v="0"/>
    <x v="0"/>
    <n v="38"/>
    <n v="9"/>
    <n v="26"/>
    <m/>
    <m/>
    <m/>
    <m/>
    <n v="7"/>
    <m/>
    <n v="3.14"/>
    <d v="2015-07-06T00:00:00"/>
    <m/>
    <m/>
    <m/>
    <m/>
    <n v="8.5500000000000007"/>
    <d v="2015-07-15T00:00:00"/>
    <n v="18.5"/>
    <d v="2015-07-06T00:00:00"/>
    <m/>
    <m/>
    <m/>
    <m/>
    <m/>
    <m/>
    <x v="55"/>
    <m/>
    <n v="17.739999999999998"/>
    <d v="2015-07-06T00:00:00"/>
    <m/>
    <m/>
    <n v="120"/>
    <m/>
    <m/>
    <m/>
    <n v="106"/>
    <m/>
    <m/>
    <m/>
    <m/>
    <m/>
    <m/>
    <m/>
    <m/>
    <m/>
    <m/>
    <m/>
    <m/>
    <m/>
    <n v="3"/>
    <m/>
    <m/>
    <m/>
    <m/>
    <m/>
    <m/>
    <m/>
    <m/>
    <m/>
    <m/>
    <m/>
    <n v="63.503999999999998"/>
    <d v="2015-07-15T00:00:00"/>
    <m/>
    <m/>
    <m/>
    <m/>
    <n v="48.216690063476562"/>
    <d v="2015-07-15T00:00:00"/>
    <n v="19.973474502563477"/>
    <d v="2015-07-15T00:00:00"/>
    <n v="56.008000000000003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209"/>
    <s v="Inca"/>
    <x v="0"/>
    <x v="0"/>
    <n v="74"/>
    <n v="10"/>
    <n v="4"/>
    <m/>
    <m/>
    <m/>
    <m/>
    <n v="8"/>
    <m/>
    <n v="3.21"/>
    <d v="2015-07-06T00:00:00"/>
    <m/>
    <m/>
    <m/>
    <m/>
    <n v="8.7899999999999991"/>
    <d v="2015-07-15T00:00:00"/>
    <n v="18.5"/>
    <d v="2015-07-06T00:00:00"/>
    <m/>
    <m/>
    <m/>
    <m/>
    <m/>
    <m/>
    <x v="56"/>
    <m/>
    <n v="18.04"/>
    <d v="2015-07-06T00:00:00"/>
    <m/>
    <m/>
    <n v="12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933999999999997"/>
    <d v="2015-07-15T00:00:00"/>
    <m/>
    <m/>
    <m/>
    <m/>
    <n v="48.723052978515625"/>
    <d v="2015-07-15T00:00:00"/>
    <n v="18.554479598999023"/>
    <d v="2015-07-15T00:00:00"/>
    <n v="13.775"/>
    <d v="2015-07-15T00:00:00"/>
    <m/>
    <m/>
    <m/>
    <m/>
    <n v="7.2"/>
    <d v="2015-07-06T00:00:00"/>
    <m/>
    <m/>
    <m/>
    <m/>
    <m/>
    <m/>
    <m/>
    <n v="3"/>
    <d v="2015-06-25T00:00:00"/>
    <s v="NON VALIDE"/>
  </r>
  <r>
    <s v="RAPSO_259"/>
    <s v="Prince"/>
    <x v="0"/>
    <x v="0"/>
    <n v="98"/>
    <n v="7"/>
    <n v="9"/>
    <m/>
    <m/>
    <m/>
    <m/>
    <n v="8"/>
    <m/>
    <n v="3.23"/>
    <d v="2015-07-06T00:00:00"/>
    <m/>
    <m/>
    <m/>
    <m/>
    <n v="9.84"/>
    <d v="2015-07-15T00:00:00"/>
    <n v="18.5"/>
    <d v="2015-07-06T00:00:00"/>
    <m/>
    <m/>
    <m/>
    <m/>
    <m/>
    <m/>
    <x v="57"/>
    <m/>
    <n v="18.25"/>
    <d v="2015-07-06T00:00:00"/>
    <m/>
    <m/>
    <n v="120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4.668000000000006"/>
    <d v="2015-07-15T00:00:00"/>
    <m/>
    <m/>
    <m/>
    <m/>
    <n v="53.908065795898437"/>
    <d v="2015-07-15T00:00:00"/>
    <n v="15.100439071655273"/>
    <d v="2015-07-15T00:00:00"/>
    <n v="13.378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246"/>
    <s v="NSL 96-25"/>
    <x v="0"/>
    <x v="0"/>
    <n v="91"/>
    <n v="9"/>
    <n v="25"/>
    <m/>
    <m/>
    <m/>
    <m/>
    <n v="3"/>
    <m/>
    <n v="3.26"/>
    <d v="2015-07-06T00:00:00"/>
    <m/>
    <m/>
    <m/>
    <m/>
    <n v="8.44"/>
    <d v="2015-07-15T00:00:00"/>
    <n v="18.5"/>
    <d v="2015-07-06T00:00:00"/>
    <m/>
    <m/>
    <m/>
    <m/>
    <m/>
    <m/>
    <x v="58"/>
    <m/>
    <n v="18.420000000000002"/>
    <d v="2015-07-06T00:00:00"/>
    <m/>
    <m/>
    <n v="11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1.298000000000002"/>
    <d v="2015-07-15T00:00:00"/>
    <m/>
    <m/>
    <m/>
    <m/>
    <n v="45.805347442626953"/>
    <d v="2015-07-15T00:00:00"/>
    <n v="19.214414596557617"/>
    <d v="2015-07-15T00:00:00"/>
    <n v="21.896999999999998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301"/>
    <s v="ES-BRAVA"/>
    <x v="0"/>
    <x v="0"/>
    <n v="138"/>
    <n v="7"/>
    <n v="26"/>
    <m/>
    <m/>
    <m/>
    <m/>
    <n v="6"/>
    <m/>
    <n v="3.27"/>
    <d v="2015-07-06T00:00:00"/>
    <m/>
    <m/>
    <m/>
    <m/>
    <n v="9.31"/>
    <d v="2015-07-15T00:00:00"/>
    <n v="18.5"/>
    <d v="2015-07-06T00:00:00"/>
    <m/>
    <m/>
    <m/>
    <m/>
    <m/>
    <m/>
    <x v="59"/>
    <m/>
    <n v="18.122423522423521"/>
    <d v="2015-07-06T00:00:00"/>
    <m/>
    <m/>
    <n v="135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4.994"/>
    <d v="2015-07-15T00:00:00"/>
    <m/>
    <m/>
    <m/>
    <m/>
    <n v="50.417678833007813"/>
    <d v="2015-07-15T00:00:00"/>
    <n v="17.678897857666016"/>
    <d v="2015-07-15T00:00:00"/>
    <n v="13.887"/>
    <d v="2015-07-15T00:00:00"/>
    <m/>
    <m/>
    <m/>
    <m/>
    <n v="6.7"/>
    <d v="2015-07-06T00:00:00"/>
    <m/>
    <m/>
    <m/>
    <m/>
    <m/>
    <m/>
    <m/>
    <n v="1"/>
    <d v="2015-06-25T00:00:00"/>
    <s v="NON VALIDE"/>
  </r>
  <r>
    <s v="RAPSO_053"/>
    <s v="Rapol"/>
    <x v="0"/>
    <x v="0"/>
    <n v="19"/>
    <n v="7"/>
    <n v="4"/>
    <m/>
    <m/>
    <m/>
    <m/>
    <n v="9"/>
    <m/>
    <n v="3.29"/>
    <d v="2015-07-06T00:00:00"/>
    <m/>
    <m/>
    <m/>
    <m/>
    <n v="9.25"/>
    <d v="2015-07-15T00:00:00"/>
    <n v="18.5"/>
    <d v="2015-07-06T00:00:00"/>
    <m/>
    <m/>
    <m/>
    <m/>
    <m/>
    <m/>
    <x v="60"/>
    <m/>
    <n v="18.27234927234927"/>
    <d v="2015-07-06T00:00:00"/>
    <m/>
    <m/>
    <n v="15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174999999999997"/>
    <d v="2015-07-15T00:00:00"/>
    <m/>
    <m/>
    <m/>
    <m/>
    <n v="49.667343139648438"/>
    <d v="2015-07-15T00:00:00"/>
    <n v="17.836801528930664"/>
    <d v="2015-07-15T00:00:00"/>
    <n v="58.67"/>
    <d v="2015-07-15T00:00:00"/>
    <m/>
    <m/>
    <m/>
    <m/>
    <n v="6.5"/>
    <d v="2015-07-06T00:00:00"/>
    <m/>
    <m/>
    <m/>
    <m/>
    <m/>
    <m/>
    <m/>
    <n v="1"/>
    <d v="2015-06-25T00:00:00"/>
    <s v="NON VALIDE"/>
  </r>
  <r>
    <s v="RAPSO_248"/>
    <s v="Oase"/>
    <x v="0"/>
    <x v="0"/>
    <n v="92"/>
    <n v="7"/>
    <n v="12"/>
    <m/>
    <m/>
    <m/>
    <m/>
    <n v="8"/>
    <m/>
    <n v="3.3"/>
    <d v="2015-07-06T00:00:00"/>
    <m/>
    <m/>
    <m/>
    <m/>
    <n v="10.4"/>
    <d v="2015-07-15T00:00:00"/>
    <n v="18.5"/>
    <d v="2015-07-06T00:00:00"/>
    <m/>
    <m/>
    <m/>
    <m/>
    <m/>
    <m/>
    <x v="61"/>
    <m/>
    <n v="18.66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798000000000002"/>
    <d v="2015-07-15T00:00:00"/>
    <m/>
    <m/>
    <m/>
    <m/>
    <n v="55.717864990234375"/>
    <d v="2015-07-15T00:00:00"/>
    <n v="15.432979583740234"/>
    <d v="2015-07-15T00:00:00"/>
    <n v="14.677"/>
    <d v="2015-07-15T00:00:00"/>
    <m/>
    <m/>
    <m/>
    <m/>
    <n v="6.6"/>
    <d v="2015-07-06T00:00:00"/>
    <m/>
    <m/>
    <m/>
    <m/>
    <m/>
    <m/>
    <m/>
    <n v="3"/>
    <d v="2015-06-25T00:00:00"/>
    <s v="NON VALIDE"/>
  </r>
  <r>
    <s v="RAPSO_033"/>
    <s v="Moldavia"/>
    <x v="0"/>
    <x v="0"/>
    <n v="10"/>
    <n v="11"/>
    <n v="29"/>
    <m/>
    <m/>
    <m/>
    <m/>
    <n v="7"/>
    <m/>
    <n v="3.32"/>
    <d v="2015-07-06T00:00:00"/>
    <m/>
    <m/>
    <m/>
    <m/>
    <n v="9.9499999999999993"/>
    <d v="2015-07-15T00:00:00"/>
    <n v="18.5"/>
    <d v="2015-07-06T00:00:00"/>
    <m/>
    <m/>
    <m/>
    <m/>
    <m/>
    <m/>
    <x v="62"/>
    <m/>
    <n v="18.8"/>
    <d v="2015-07-06T00:00:00"/>
    <m/>
    <m/>
    <n v="120"/>
    <m/>
    <m/>
    <m/>
    <n v="100"/>
    <m/>
    <m/>
    <m/>
    <m/>
    <m/>
    <m/>
    <m/>
    <m/>
    <m/>
    <m/>
    <m/>
    <m/>
    <m/>
    <n v="3"/>
    <m/>
    <m/>
    <m/>
    <m/>
    <m/>
    <m/>
    <m/>
    <m/>
    <m/>
    <m/>
    <m/>
    <n v="63.284999999999997"/>
    <d v="2015-07-15T00:00:00"/>
    <m/>
    <m/>
    <m/>
    <m/>
    <n v="52.919548034667969"/>
    <d v="2015-07-15T00:00:00"/>
    <n v="16.710899353027344"/>
    <d v="2015-07-15T00:00:00"/>
    <n v="58.143999999999998"/>
    <d v="2015-07-15T00:00:00"/>
    <m/>
    <m/>
    <m/>
    <m/>
    <n v="6.5"/>
    <d v="2015-07-06T00:00:00"/>
    <m/>
    <m/>
    <m/>
    <m/>
    <m/>
    <m/>
    <m/>
    <n v="3"/>
    <d v="2015-06-25T00:00:00"/>
    <s v="NON VALIDE"/>
  </r>
  <r>
    <s v="RAPSO_363"/>
    <s v="MANSHOLTS "/>
    <x v="0"/>
    <x v="0"/>
    <n v="116"/>
    <n v="10"/>
    <n v="15"/>
    <m/>
    <m/>
    <m/>
    <m/>
    <n v="7"/>
    <m/>
    <n v="3.36"/>
    <d v="2015-07-06T00:00:00"/>
    <m/>
    <m/>
    <m/>
    <m/>
    <n v="8.73"/>
    <d v="2015-07-15T00:00:00"/>
    <n v="18.5"/>
    <d v="2015-07-06T00:00:00"/>
    <m/>
    <m/>
    <m/>
    <m/>
    <m/>
    <m/>
    <x v="63"/>
    <m/>
    <n v="18.98"/>
    <d v="2015-07-06T00:00:00"/>
    <m/>
    <m/>
    <n v="110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7.432000000000002"/>
    <d v="2015-07-15T00:00:00"/>
    <m/>
    <m/>
    <m/>
    <m/>
    <n v="45.995391845703125"/>
    <d v="2015-07-15T00:00:00"/>
    <n v="20.00334358215332"/>
    <d v="2015-07-15T00:00:00"/>
    <n v="66.122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050"/>
    <s v="QuedLinburger Platzfester"/>
    <x v="0"/>
    <x v="0"/>
    <n v="17"/>
    <n v="11"/>
    <n v="18"/>
    <m/>
    <m/>
    <m/>
    <m/>
    <n v="8"/>
    <m/>
    <n v="3.4"/>
    <d v="2015-07-06T00:00:00"/>
    <m/>
    <m/>
    <m/>
    <m/>
    <n v="9.8000000000000007"/>
    <d v="2015-07-15T00:00:00"/>
    <n v="18.5"/>
    <d v="2015-07-06T00:00:00"/>
    <m/>
    <m/>
    <m/>
    <m/>
    <m/>
    <m/>
    <x v="64"/>
    <m/>
    <n v="19.21"/>
    <d v="2015-07-06T00:00:00"/>
    <m/>
    <m/>
    <n v="15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5.903000000000006"/>
    <d v="2015-07-15T00:00:00"/>
    <m/>
    <m/>
    <m/>
    <m/>
    <n v="50.987323760986328"/>
    <d v="2015-07-15T00:00:00"/>
    <n v="16.831809997558594"/>
    <d v="2015-07-15T00:00:00"/>
    <n v="54.609000000000002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406"/>
    <s v="KORMOVOI SKRIVERSKYI "/>
    <x v="0"/>
    <x v="0"/>
    <n v="121"/>
    <n v="12"/>
    <n v="8"/>
    <m/>
    <m/>
    <m/>
    <m/>
    <n v="9"/>
    <m/>
    <n v="3.47"/>
    <d v="2015-07-06T00:00:00"/>
    <m/>
    <m/>
    <m/>
    <m/>
    <n v="9.5399999999999991"/>
    <d v="2015-07-15T00:00:00"/>
    <n v="18.5"/>
    <d v="2015-07-06T00:00:00"/>
    <m/>
    <m/>
    <m/>
    <m/>
    <m/>
    <m/>
    <x v="65"/>
    <m/>
    <n v="19.559999999999999"/>
    <d v="2015-07-06T00:00:00"/>
    <m/>
    <m/>
    <n v="135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65.23"/>
    <d v="2015-07-15T00:00:00"/>
    <m/>
    <m/>
    <m/>
    <m/>
    <n v="48.755771636962891"/>
    <d v="2015-07-15T00:00:00"/>
    <n v="20.465490341186523"/>
    <d v="2015-07-15T00:00:00"/>
    <n v="73.13"/>
    <d v="2015-07-15T00:00:00"/>
    <m/>
    <m/>
    <m/>
    <m/>
    <n v="6.9"/>
    <d v="2015-07-06T00:00:00"/>
    <m/>
    <m/>
    <m/>
    <m/>
    <m/>
    <m/>
    <m/>
    <n v="5"/>
    <d v="2015-06-25T00:00:00"/>
    <s v="NON VALIDE"/>
  </r>
  <r>
    <s v="RAPSO_075"/>
    <s v="Beryl"/>
    <x v="0"/>
    <x v="0"/>
    <n v="26"/>
    <n v="11"/>
    <n v="22"/>
    <m/>
    <m/>
    <m/>
    <m/>
    <n v="5"/>
    <m/>
    <n v="3.46"/>
    <d v="2015-07-06T00:00:00"/>
    <m/>
    <m/>
    <m/>
    <m/>
    <n v="9.73"/>
    <d v="2015-07-15T00:00:00"/>
    <n v="18.5"/>
    <d v="2015-07-06T00:00:00"/>
    <m/>
    <m/>
    <m/>
    <m/>
    <m/>
    <m/>
    <x v="66"/>
    <m/>
    <n v="19.59"/>
    <d v="2015-07-06T00:00:00"/>
    <m/>
    <m/>
    <n v="12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0.314999999999998"/>
    <d v="2015-07-15T00:00:00"/>
    <m/>
    <m/>
    <m/>
    <m/>
    <n v="49.680923461914063"/>
    <d v="2015-07-15T00:00:00"/>
    <n v="18.863401412963867"/>
    <d v="2015-07-15T00:00:00"/>
    <n v="66.191000000000003"/>
    <d v="2015-07-15T00:00:00"/>
    <m/>
    <m/>
    <m/>
    <m/>
    <n v="6.5"/>
    <d v="2015-07-06T00:00:00"/>
    <m/>
    <m/>
    <m/>
    <m/>
    <m/>
    <m/>
    <m/>
    <n v="5"/>
    <d v="2015-06-25T00:00:00"/>
    <s v="NON VALIDE"/>
  </r>
  <r>
    <s v="RAPSO_299"/>
    <s v="ESC1132"/>
    <x v="0"/>
    <x v="0"/>
    <n v="136"/>
    <n v="8"/>
    <n v="14"/>
    <m/>
    <m/>
    <m/>
    <m/>
    <n v="7"/>
    <m/>
    <n v="3.48"/>
    <d v="2015-07-06T00:00:00"/>
    <m/>
    <m/>
    <m/>
    <m/>
    <n v="10.14"/>
    <d v="2015-07-15T00:00:00"/>
    <n v="18.5"/>
    <d v="2015-07-06T00:00:00"/>
    <m/>
    <m/>
    <m/>
    <m/>
    <m/>
    <m/>
    <x v="67"/>
    <m/>
    <n v="19.600000000000001"/>
    <d v="2015-07-06T00:00:00"/>
    <m/>
    <m/>
    <n v="115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5.762"/>
    <d v="2015-07-15T00:00:00"/>
    <m/>
    <m/>
    <m/>
    <m/>
    <n v="51.711257934570313"/>
    <d v="2015-07-15T00:00:00"/>
    <n v="16.093149185180664"/>
    <d v="2015-07-15T00:00:00"/>
    <n v="23.419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115"/>
    <s v="Rafal"/>
    <x v="0"/>
    <x v="0"/>
    <n v="36"/>
    <n v="8"/>
    <n v="2"/>
    <m/>
    <m/>
    <m/>
    <m/>
    <n v="8"/>
    <m/>
    <n v="3.48"/>
    <d v="2015-07-06T00:00:00"/>
    <m/>
    <m/>
    <m/>
    <m/>
    <n v="9.7200000000000006"/>
    <d v="2015-07-15T00:00:00"/>
    <n v="18.5"/>
    <d v="2015-07-06T00:00:00"/>
    <m/>
    <m/>
    <m/>
    <m/>
    <m/>
    <m/>
    <x v="68"/>
    <m/>
    <n v="19.64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103000000000002"/>
    <d v="2015-07-15T00:00:00"/>
    <m/>
    <m/>
    <m/>
    <m/>
    <n v="49.497077941894531"/>
    <d v="2015-07-15T00:00:00"/>
    <n v="17.599723815917969"/>
    <d v="2015-07-15T00:00:00"/>
    <n v="62.082999999999998"/>
    <d v="2015-07-15T00:00:00"/>
    <m/>
    <m/>
    <m/>
    <m/>
    <n v="6.8"/>
    <d v="2015-07-06T00:00:00"/>
    <m/>
    <m/>
    <m/>
    <m/>
    <m/>
    <m/>
    <m/>
    <n v="5"/>
    <d v="2015-06-25T00:00:00"/>
    <s v="NON VALIDE"/>
  </r>
  <r>
    <s v="Aviso"/>
    <s v="Aviso"/>
    <x v="0"/>
    <x v="0"/>
    <n v="183"/>
    <n v="12"/>
    <n v="10"/>
    <m/>
    <m/>
    <m/>
    <m/>
    <n v="7"/>
    <m/>
    <n v="3.49"/>
    <d v="2015-07-06T00:00:00"/>
    <m/>
    <m/>
    <m/>
    <m/>
    <n v="9.6999999999999993"/>
    <d v="2015-07-15T00:00:00"/>
    <n v="18.5"/>
    <d v="2015-07-06T00:00:00"/>
    <m/>
    <m/>
    <m/>
    <m/>
    <m/>
    <m/>
    <x v="69"/>
    <m/>
    <n v="19.649999999999999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109000000000002"/>
    <d v="2015-07-15T00:00:00"/>
    <m/>
    <m/>
    <m/>
    <m/>
    <n v="49.344165802001953"/>
    <d v="2015-07-15T00:00:00"/>
    <n v="17.998952865600586"/>
    <d v="2015-07-15T00:00:00"/>
    <n v="14.744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395"/>
    <s v="HOCHZUCHT REPOLE "/>
    <x v="0"/>
    <x v="0"/>
    <n v="120"/>
    <n v="12"/>
    <n v="14"/>
    <m/>
    <m/>
    <m/>
    <m/>
    <n v="7"/>
    <m/>
    <n v="3.5"/>
    <d v="2015-07-06T00:00:00"/>
    <m/>
    <m/>
    <m/>
    <m/>
    <n v="9.36"/>
    <d v="2015-07-15T00:00:00"/>
    <n v="18.5"/>
    <d v="2015-07-06T00:00:00"/>
    <m/>
    <m/>
    <m/>
    <m/>
    <m/>
    <m/>
    <x v="70"/>
    <m/>
    <n v="19.417879417879423"/>
    <d v="2015-07-06T00:00:00"/>
    <m/>
    <m/>
    <n v="120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3.206000000000003"/>
    <d v="2015-07-15T00:00:00"/>
    <m/>
    <m/>
    <m/>
    <m/>
    <n v="47.294475555419922"/>
    <d v="2015-07-15T00:00:00"/>
    <n v="20.575794219970703"/>
    <d v="2015-07-15T00:00:00"/>
    <n v="78.649000000000001"/>
    <d v="2015-07-15T00:00:00"/>
    <m/>
    <m/>
    <m/>
    <m/>
    <n v="6.6"/>
    <d v="2015-07-06T00:00:00"/>
    <m/>
    <m/>
    <m/>
    <m/>
    <m/>
    <m/>
    <m/>
    <n v="1"/>
    <d v="2015-06-25T00:00:00"/>
    <s v="NON VALIDE"/>
  </r>
  <r>
    <s v="RAPSO_144"/>
    <s v="Bellini"/>
    <x v="0"/>
    <x v="0"/>
    <n v="47"/>
    <n v="9"/>
    <n v="30"/>
    <m/>
    <m/>
    <m/>
    <m/>
    <n v="3"/>
    <m/>
    <n v="3.51"/>
    <d v="2015-07-06T00:00:00"/>
    <m/>
    <m/>
    <m/>
    <m/>
    <n v="9.9"/>
    <d v="2015-07-15T00:00:00"/>
    <n v="18.5"/>
    <d v="2015-07-06T00:00:00"/>
    <m/>
    <m/>
    <m/>
    <m/>
    <m/>
    <m/>
    <x v="71"/>
    <m/>
    <n v="19.809999999999999"/>
    <d v="2015-07-06T00:00:00"/>
    <m/>
    <m/>
    <n v="10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2.917999999999999"/>
    <d v="2015-07-15T00:00:00"/>
    <m/>
    <m/>
    <m/>
    <m/>
    <n v="49.987106323242188"/>
    <d v="2015-07-15T00:00:00"/>
    <n v="18.445667266845703"/>
    <d v="2015-07-15T00:00:00"/>
    <n v="22.007999999999999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323"/>
    <s v="RAGT-09"/>
    <x v="0"/>
    <x v="0"/>
    <n v="160"/>
    <n v="11"/>
    <n v="30"/>
    <m/>
    <m/>
    <m/>
    <m/>
    <n v="3"/>
    <m/>
    <n v="3.51"/>
    <d v="2015-07-06T00:00:00"/>
    <m/>
    <m/>
    <m/>
    <m/>
    <n v="10.16"/>
    <d v="2015-07-15T00:00:00"/>
    <n v="18.5"/>
    <d v="2015-07-06T00:00:00"/>
    <m/>
    <m/>
    <m/>
    <m/>
    <m/>
    <m/>
    <x v="71"/>
    <m/>
    <n v="19.809999999999999"/>
    <d v="2015-07-06T00:00:00"/>
    <m/>
    <m/>
    <n v="13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3.734999999999999"/>
    <d v="2015-07-15T00:00:00"/>
    <m/>
    <m/>
    <m/>
    <m/>
    <n v="51.310752868652344"/>
    <d v="2015-07-15T00:00:00"/>
    <n v="16.517318725585938"/>
    <d v="2015-07-15T00:00:00"/>
    <n v="21.096"/>
    <d v="2015-07-15T00:00:00"/>
    <m/>
    <m/>
    <m/>
    <m/>
    <n v="6.8"/>
    <d v="2015-07-06T00:00:00"/>
    <m/>
    <m/>
    <m/>
    <m/>
    <m/>
    <m/>
    <m/>
    <n v="5"/>
    <d v="2015-06-25T00:00:00"/>
    <s v="NON VALIDE"/>
  </r>
  <r>
    <s v="RAPSO_277"/>
    <s v="Tenor"/>
    <x v="0"/>
    <x v="0"/>
    <n v="108"/>
    <n v="8"/>
    <n v="7"/>
    <m/>
    <m/>
    <m/>
    <m/>
    <n v="7"/>
    <m/>
    <n v="3.51"/>
    <d v="2015-07-06T00:00:00"/>
    <m/>
    <m/>
    <m/>
    <m/>
    <n v="10.79"/>
    <d v="2015-07-15T00:00:00"/>
    <n v="18.5"/>
    <d v="2015-07-06T00:00:00"/>
    <m/>
    <m/>
    <m/>
    <m/>
    <m/>
    <m/>
    <x v="72"/>
    <m/>
    <n v="19.87"/>
    <d v="2015-07-06T00:00:00"/>
    <m/>
    <m/>
    <n v="13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436000000000007"/>
    <d v="2015-07-15T00:00:00"/>
    <m/>
    <m/>
    <m/>
    <m/>
    <n v="54.284564971923828"/>
    <d v="2015-07-15T00:00:00"/>
    <n v="16.398277282714844"/>
    <d v="2015-07-15T00:00:00"/>
    <n v="19.042000000000002"/>
    <d v="2015-07-15T00:00:00"/>
    <m/>
    <m/>
    <m/>
    <m/>
    <n v="6.5"/>
    <d v="2015-07-06T00:00:00"/>
    <m/>
    <m/>
    <m/>
    <m/>
    <m/>
    <m/>
    <m/>
    <n v="3"/>
    <d v="2015-06-25T00:00:00"/>
    <s v="NON VALIDE"/>
  </r>
  <r>
    <s v="RAPSO_202"/>
    <s v="Goeland"/>
    <x v="0"/>
    <x v="0"/>
    <n v="70"/>
    <n v="7"/>
    <n v="13"/>
    <m/>
    <m/>
    <m/>
    <m/>
    <n v="6"/>
    <m/>
    <n v="3.54"/>
    <d v="2015-07-06T00:00:00"/>
    <m/>
    <m/>
    <m/>
    <m/>
    <n v="10.42"/>
    <d v="2015-07-15T00:00:00"/>
    <n v="18.5"/>
    <d v="2015-07-06T00:00:00"/>
    <m/>
    <m/>
    <m/>
    <m/>
    <m/>
    <m/>
    <x v="73"/>
    <m/>
    <n v="20.04"/>
    <d v="2015-07-06T00:00:00"/>
    <m/>
    <m/>
    <n v="13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2.292000000000002"/>
    <d v="2015-07-15T00:00:00"/>
    <m/>
    <m/>
    <m/>
    <m/>
    <n v="51.977016448974609"/>
    <d v="2015-07-15T00:00:00"/>
    <n v="16.040899276733398"/>
    <d v="2015-07-15T00:00:00"/>
    <n v="15.51"/>
    <d v="2015-07-15T00:00:00"/>
    <m/>
    <m/>
    <m/>
    <m/>
    <n v="6.5"/>
    <d v="2015-07-06T00:00:00"/>
    <m/>
    <m/>
    <m/>
    <m/>
    <m/>
    <m/>
    <m/>
    <n v="3"/>
    <d v="2015-06-25T00:00:00"/>
    <s v="NON VALIDE"/>
  </r>
  <r>
    <s v="RAPSO_023"/>
    <s v="Lembke"/>
    <x v="0"/>
    <x v="0"/>
    <n v="6"/>
    <n v="9"/>
    <n v="15"/>
    <m/>
    <m/>
    <m/>
    <m/>
    <n v="9"/>
    <m/>
    <n v="3.56"/>
    <d v="2015-07-06T00:00:00"/>
    <m/>
    <m/>
    <m/>
    <m/>
    <n v="9.4700000000000006"/>
    <d v="2015-07-15T00:00:00"/>
    <n v="18.5"/>
    <d v="2015-07-06T00:00:00"/>
    <m/>
    <m/>
    <m/>
    <m/>
    <m/>
    <m/>
    <x v="74"/>
    <m/>
    <n v="20.05"/>
    <d v="2015-07-06T00:00:00"/>
    <m/>
    <m/>
    <n v="15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7.671000000000006"/>
    <d v="2015-07-15T00:00:00"/>
    <m/>
    <m/>
    <m/>
    <m/>
    <n v="47.233505249023438"/>
    <d v="2015-07-15T00:00:00"/>
    <n v="20.682842254638672"/>
    <d v="2015-07-15T00:00:00"/>
    <n v="70.242000000000004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193"/>
    <s v="Express"/>
    <x v="0"/>
    <x v="0"/>
    <n v="68"/>
    <n v="8"/>
    <n v="4"/>
    <m/>
    <m/>
    <m/>
    <m/>
    <n v="9"/>
    <m/>
    <n v="3.61"/>
    <d v="2015-07-06T00:00:00"/>
    <m/>
    <m/>
    <m/>
    <m/>
    <n v="10.67"/>
    <d v="2015-07-15T00:00:00"/>
    <n v="18.5"/>
    <d v="2015-07-06T00:00:00"/>
    <m/>
    <m/>
    <m/>
    <m/>
    <m/>
    <m/>
    <x v="75"/>
    <m/>
    <n v="19.98526878526879"/>
    <d v="2015-07-06T00:00:00"/>
    <m/>
    <m/>
    <n v="12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581000000000003"/>
    <d v="2015-07-15T00:00:00"/>
    <m/>
    <m/>
    <m/>
    <m/>
    <n v="52.383155822753906"/>
    <d v="2015-07-15T00:00:00"/>
    <n v="16.37742805480957"/>
    <d v="2015-07-15T00:00:00"/>
    <n v="18.303999999999998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245"/>
    <s v="Navajo"/>
    <x v="0"/>
    <x v="0"/>
    <n v="90"/>
    <n v="11"/>
    <n v="2"/>
    <m/>
    <m/>
    <m/>
    <m/>
    <n v="3"/>
    <m/>
    <n v="3.62"/>
    <d v="2015-07-06T00:00:00"/>
    <m/>
    <m/>
    <m/>
    <m/>
    <n v="10.46"/>
    <d v="2015-07-15T00:00:00"/>
    <n v="18.5"/>
    <d v="2015-07-06T00:00:00"/>
    <m/>
    <m/>
    <m/>
    <m/>
    <m/>
    <m/>
    <x v="76"/>
    <m/>
    <n v="20.39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122999999999998"/>
    <d v="2015-07-15T00:00:00"/>
    <m/>
    <m/>
    <m/>
    <m/>
    <n v="51.301647186279297"/>
    <d v="2015-07-15T00:00:00"/>
    <n v="15.191813468933105"/>
    <d v="2015-07-15T00:00:00"/>
    <n v="15.430999999999999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278"/>
    <s v="TOR"/>
    <x v="0"/>
    <x v="0"/>
    <n v="109"/>
    <n v="7"/>
    <n v="11"/>
    <m/>
    <m/>
    <m/>
    <m/>
    <n v="7"/>
    <m/>
    <n v="3.65"/>
    <d v="2015-07-06T00:00:00"/>
    <m/>
    <m/>
    <m/>
    <m/>
    <n v="10.51"/>
    <d v="2015-07-15T00:00:00"/>
    <n v="18.5"/>
    <d v="2015-07-06T00:00:00"/>
    <m/>
    <m/>
    <m/>
    <m/>
    <m/>
    <m/>
    <x v="77"/>
    <m/>
    <n v="20.67"/>
    <d v="2015-07-06T00:00:00"/>
    <m/>
    <m/>
    <n v="135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4.567999999999998"/>
    <d v="2015-07-15T00:00:00"/>
    <m/>
    <m/>
    <m/>
    <m/>
    <n v="50.8443603515625"/>
    <d v="2015-07-15T00:00:00"/>
    <n v="16.934577941894531"/>
    <d v="2015-07-15T00:00:00"/>
    <n v="12.035"/>
    <d v="2015-07-15T00:00:00"/>
    <m/>
    <m/>
    <m/>
    <m/>
    <n v="6.5"/>
    <d v="2015-07-06T00:00:00"/>
    <m/>
    <m/>
    <m/>
    <m/>
    <m/>
    <m/>
    <m/>
    <n v="5"/>
    <d v="2015-06-25T00:00:00"/>
    <s v="NON VALIDE"/>
  </r>
  <r>
    <s v="RAPSO_035"/>
    <s v="Nain de Hambourg"/>
    <x v="0"/>
    <x v="0"/>
    <n v="11"/>
    <n v="12"/>
    <n v="25"/>
    <m/>
    <m/>
    <m/>
    <m/>
    <n v="7"/>
    <m/>
    <n v="3.66"/>
    <d v="2015-07-06T00:00:00"/>
    <m/>
    <m/>
    <m/>
    <m/>
    <n v="10.01"/>
    <d v="2015-07-15T00:00:00"/>
    <n v="18.5"/>
    <d v="2015-07-06T00:00:00"/>
    <m/>
    <m/>
    <m/>
    <m/>
    <m/>
    <m/>
    <x v="78"/>
    <m/>
    <n v="20.370775170775172"/>
    <d v="2015-07-06T00:00:00"/>
    <m/>
    <m/>
    <n v="11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19"/>
    <d v="2015-07-15T00:00:00"/>
    <m/>
    <m/>
    <m/>
    <m/>
    <n v="48.175765991210937"/>
    <d v="2015-07-15T00:00:00"/>
    <n v="21.447015762329102"/>
    <d v="2015-07-15T00:00:00"/>
    <n v="68.774000000000001"/>
    <d v="2015-07-15T00:00:00"/>
    <m/>
    <m/>
    <m/>
    <m/>
    <n v="6.3"/>
    <d v="2015-07-06T00:00:00"/>
    <m/>
    <m/>
    <m/>
    <m/>
    <m/>
    <m/>
    <m/>
    <n v="1"/>
    <d v="2015-06-25T00:00:00"/>
    <s v="NON VALIDE"/>
  </r>
  <r>
    <s v="RAPSO_030"/>
    <s v="Matador"/>
    <x v="0"/>
    <x v="0"/>
    <n v="9"/>
    <n v="11"/>
    <n v="19"/>
    <m/>
    <m/>
    <m/>
    <m/>
    <n v="9"/>
    <m/>
    <n v="3.69"/>
    <d v="2015-07-06T00:00:00"/>
    <m/>
    <m/>
    <m/>
    <m/>
    <n v="10.52"/>
    <d v="2015-07-15T00:00:00"/>
    <n v="18.5"/>
    <d v="2015-07-06T00:00:00"/>
    <m/>
    <m/>
    <m/>
    <m/>
    <m/>
    <m/>
    <x v="79"/>
    <m/>
    <n v="20.49391149391149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795000000000002"/>
    <d v="2015-07-15T00:00:00"/>
    <m/>
    <m/>
    <m/>
    <m/>
    <n v="50.349212646484375"/>
    <d v="2015-07-15T00:00:00"/>
    <n v="18.845199584960938"/>
    <d v="2015-07-15T00:00:00"/>
    <n v="66.325000000000003"/>
    <d v="2015-07-15T00:00:00"/>
    <m/>
    <m/>
    <m/>
    <m/>
    <n v="6.5"/>
    <d v="2015-07-06T00:00:00"/>
    <m/>
    <m/>
    <m/>
    <m/>
    <m/>
    <m/>
    <m/>
    <n v="1"/>
    <d v="2015-06-25T00:00:00"/>
    <s v="NON VALIDE"/>
  </r>
  <r>
    <s v="RAPSO_131"/>
    <s v="Alesi"/>
    <x v="0"/>
    <x v="0"/>
    <n v="41"/>
    <n v="12"/>
    <n v="29"/>
    <m/>
    <m/>
    <m/>
    <m/>
    <n v="5"/>
    <m/>
    <n v="3.72"/>
    <d v="2015-07-06T00:00:00"/>
    <m/>
    <m/>
    <m/>
    <m/>
    <n v="10.69"/>
    <d v="2015-07-15T00:00:00"/>
    <n v="18.5"/>
    <d v="2015-07-06T00:00:00"/>
    <m/>
    <m/>
    <m/>
    <m/>
    <m/>
    <m/>
    <x v="80"/>
    <m/>
    <n v="21.02"/>
    <d v="2015-07-06T00:00:00"/>
    <m/>
    <m/>
    <n v="11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596000000000004"/>
    <d v="2015-07-15T00:00:00"/>
    <m/>
    <m/>
    <m/>
    <m/>
    <n v="50.844917297363281"/>
    <d v="2015-07-15T00:00:00"/>
    <n v="16.222171783447266"/>
    <d v="2015-07-15T00:00:00"/>
    <n v="17.18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014"/>
    <s v="Goldgelber Zarter Butter"/>
    <x v="0"/>
    <x v="0"/>
    <n v="5"/>
    <n v="7"/>
    <n v="1"/>
    <m/>
    <m/>
    <m/>
    <m/>
    <n v="9"/>
    <m/>
    <n v="3.74"/>
    <d v="2015-07-06T00:00:00"/>
    <m/>
    <m/>
    <m/>
    <m/>
    <n v="10.4"/>
    <d v="2015-07-15T00:00:00"/>
    <n v="18.5"/>
    <d v="2015-07-06T00:00:00"/>
    <m/>
    <m/>
    <m/>
    <m/>
    <m/>
    <m/>
    <x v="81"/>
    <m/>
    <n v="21.13"/>
    <d v="2015-07-06T00:00:00"/>
    <m/>
    <m/>
    <n v="150"/>
    <m/>
    <m/>
    <m/>
    <n v="95"/>
    <m/>
    <m/>
    <m/>
    <m/>
    <m/>
    <m/>
    <m/>
    <m/>
    <m/>
    <m/>
    <m/>
    <m/>
    <m/>
    <n v="3"/>
    <m/>
    <m/>
    <m/>
    <m/>
    <m/>
    <m/>
    <m/>
    <m/>
    <m/>
    <m/>
    <m/>
    <n v="63.835999999999999"/>
    <d v="2015-07-15T00:00:00"/>
    <m/>
    <m/>
    <m/>
    <m/>
    <n v="49.225353240966797"/>
    <d v="2015-07-15T00:00:00"/>
    <n v="18.5924072265625"/>
    <d v="2015-07-15T00:00:00"/>
    <n v="71.242000000000004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051"/>
    <s v="Ramses"/>
    <x v="0"/>
    <x v="0"/>
    <n v="18"/>
    <n v="11"/>
    <n v="14"/>
    <m/>
    <m/>
    <m/>
    <m/>
    <n v="8"/>
    <m/>
    <n v="3.75"/>
    <d v="2015-07-06T00:00:00"/>
    <m/>
    <m/>
    <m/>
    <m/>
    <n v="10.43"/>
    <d v="2015-07-15T00:00:00"/>
    <n v="18.5"/>
    <d v="2015-07-06T00:00:00"/>
    <m/>
    <m/>
    <m/>
    <m/>
    <m/>
    <m/>
    <x v="82"/>
    <m/>
    <n v="21.16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984000000000002"/>
    <d v="2015-07-15T00:00:00"/>
    <m/>
    <m/>
    <m/>
    <m/>
    <n v="49.311759948730469"/>
    <d v="2015-07-15T00:00:00"/>
    <n v="18.356288909912109"/>
    <d v="2015-07-15T00:00:00"/>
    <n v="48.716000000000001"/>
    <d v="2015-07-15T00:00:00"/>
    <m/>
    <m/>
    <m/>
    <m/>
    <n v="6.8"/>
    <d v="2015-07-06T00:00:00"/>
    <m/>
    <m/>
    <m/>
    <m/>
    <m/>
    <m/>
    <m/>
    <n v="5"/>
    <d v="2015-06-25T00:00:00"/>
    <s v="NON VALIDE"/>
  </r>
  <r>
    <s v="RAPSO_311"/>
    <s v="ONTARIO"/>
    <x v="0"/>
    <x v="0"/>
    <n v="148"/>
    <n v="11"/>
    <n v="7"/>
    <m/>
    <m/>
    <m/>
    <m/>
    <n v="7"/>
    <m/>
    <n v="3.75"/>
    <d v="2015-07-06T00:00:00"/>
    <m/>
    <m/>
    <m/>
    <m/>
    <n v="11.18"/>
    <d v="2015-07-15T00:00:00"/>
    <n v="18.5"/>
    <d v="2015-07-06T00:00:00"/>
    <m/>
    <m/>
    <m/>
    <m/>
    <m/>
    <m/>
    <x v="83"/>
    <m/>
    <n v="21.19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6.436000000000007"/>
    <d v="2015-07-15T00:00:00"/>
    <m/>
    <m/>
    <m/>
    <m/>
    <n v="52.772720336914062"/>
    <d v="2015-07-15T00:00:00"/>
    <n v="15.169572830200195"/>
    <d v="2015-07-15T00:00:00"/>
    <n v="19.25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266"/>
    <s v="Sahara"/>
    <x v="0"/>
    <x v="0"/>
    <n v="103"/>
    <n v="11"/>
    <n v="15"/>
    <m/>
    <m/>
    <m/>
    <m/>
    <n v="3"/>
    <m/>
    <n v="3.77"/>
    <d v="2015-07-06T00:00:00"/>
    <m/>
    <m/>
    <m/>
    <m/>
    <n v="10.83"/>
    <d v="2015-07-15T00:00:00"/>
    <n v="18.5"/>
    <d v="2015-07-06T00:00:00"/>
    <m/>
    <m/>
    <m/>
    <m/>
    <m/>
    <m/>
    <x v="84"/>
    <m/>
    <n v="20.871042471042475"/>
    <d v="2015-07-06T00:00:00"/>
    <m/>
    <m/>
    <n v="13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6.903999999999996"/>
    <d v="2015-07-15T00:00:00"/>
    <m/>
    <m/>
    <m/>
    <m/>
    <n v="50.882713317871094"/>
    <d v="2015-07-15T00:00:00"/>
    <n v="17.588701248168945"/>
    <d v="2015-07-15T00:00:00"/>
    <n v="19.861000000000001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181"/>
    <s v="Eleonore"/>
    <x v="0"/>
    <x v="0"/>
    <n v="65"/>
    <n v="11"/>
    <n v="13"/>
    <m/>
    <m/>
    <m/>
    <m/>
    <n v="5"/>
    <m/>
    <n v="3.78"/>
    <d v="2015-07-06T00:00:00"/>
    <m/>
    <m/>
    <m/>
    <m/>
    <n v="11.4"/>
    <d v="2015-07-15T00:00:00"/>
    <n v="18.5"/>
    <d v="2015-07-06T00:00:00"/>
    <m/>
    <m/>
    <m/>
    <m/>
    <m/>
    <m/>
    <x v="85"/>
    <m/>
    <n v="21.31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597000000000001"/>
    <d v="2015-07-15T00:00:00"/>
    <m/>
    <m/>
    <m/>
    <m/>
    <n v="53.488334655761719"/>
    <d v="2015-07-15T00:00:00"/>
    <n v="15.543919563293457"/>
    <d v="2015-07-15T00:00:00"/>
    <n v="17.361000000000001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RAPSO_271"/>
    <s v="SW Gospel"/>
    <x v="0"/>
    <x v="0"/>
    <n v="106"/>
    <n v="8"/>
    <n v="22"/>
    <m/>
    <m/>
    <m/>
    <m/>
    <n v="5"/>
    <m/>
    <n v="3.82"/>
    <d v="2015-07-06T00:00:00"/>
    <m/>
    <m/>
    <m/>
    <m/>
    <n v="11.12"/>
    <d v="2015-07-15T00:00:00"/>
    <n v="18.5"/>
    <d v="2015-07-06T00:00:00"/>
    <m/>
    <m/>
    <m/>
    <m/>
    <m/>
    <m/>
    <x v="86"/>
    <m/>
    <n v="21.54"/>
    <d v="2015-07-06T00:00:00"/>
    <m/>
    <m/>
    <n v="11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5.197000000000003"/>
    <d v="2015-07-15T00:00:00"/>
    <m/>
    <m/>
    <m/>
    <m/>
    <n v="51.612407684326172"/>
    <d v="2015-07-15T00:00:00"/>
    <n v="17.267658233642578"/>
    <d v="2015-07-15T00:00:00"/>
    <n v="19.611000000000001"/>
    <d v="2015-07-15T00:00:00"/>
    <m/>
    <m/>
    <m/>
    <m/>
    <n v="6.9"/>
    <d v="2015-07-06T00:00:00"/>
    <m/>
    <m/>
    <m/>
    <m/>
    <m/>
    <m/>
    <m/>
    <n v="5"/>
    <d v="2015-06-25T00:00:00"/>
    <s v="NON VALIDE"/>
  </r>
  <r>
    <s v="RAPSO_232"/>
    <s v="Madrigal"/>
    <x v="0"/>
    <x v="0"/>
    <n v="85"/>
    <n v="11"/>
    <n v="11"/>
    <m/>
    <m/>
    <m/>
    <m/>
    <n v="6"/>
    <m/>
    <n v="3.83"/>
    <d v="2015-07-06T00:00:00"/>
    <m/>
    <m/>
    <m/>
    <m/>
    <n v="11.16"/>
    <d v="2015-07-15T00:00:00"/>
    <n v="18.5"/>
    <d v="2015-07-06T00:00:00"/>
    <m/>
    <m/>
    <m/>
    <m/>
    <m/>
    <m/>
    <x v="87"/>
    <m/>
    <n v="21.64"/>
    <d v="2015-07-06T00:00:00"/>
    <m/>
    <m/>
    <n v="11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2.996000000000002"/>
    <d v="2015-07-15T00:00:00"/>
    <m/>
    <m/>
    <m/>
    <m/>
    <n v="51.545780181884766"/>
    <d v="2015-07-15T00:00:00"/>
    <n v="17.257099151611328"/>
    <d v="2015-07-15T00:00:00"/>
    <n v="15.029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292"/>
    <s v="Zorro"/>
    <x v="0"/>
    <x v="0"/>
    <n v="112"/>
    <n v="8"/>
    <n v="8"/>
    <m/>
    <m/>
    <m/>
    <m/>
    <n v="9"/>
    <m/>
    <n v="3.83"/>
    <d v="2015-07-06T00:00:00"/>
    <m/>
    <m/>
    <m/>
    <m/>
    <n v="11.27"/>
    <d v="2015-07-15T00:00:00"/>
    <n v="18.5"/>
    <d v="2015-07-06T00:00:00"/>
    <m/>
    <m/>
    <m/>
    <m/>
    <m/>
    <m/>
    <x v="87"/>
    <m/>
    <n v="21.225957825957824"/>
    <d v="2015-07-06T00:00:00"/>
    <m/>
    <m/>
    <n v="130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63.463999999999999"/>
    <d v="2015-07-15T00:00:00"/>
    <m/>
    <m/>
    <m/>
    <m/>
    <n v="52.062103271484375"/>
    <d v="2015-07-15T00:00:00"/>
    <n v="15.155050277709961"/>
    <d v="2015-07-15T00:00:00"/>
    <n v="14.253"/>
    <d v="2015-07-15T00:00:00"/>
    <m/>
    <m/>
    <m/>
    <m/>
    <n v="6.7"/>
    <d v="2015-07-06T00:00:00"/>
    <m/>
    <m/>
    <m/>
    <m/>
    <m/>
    <m/>
    <m/>
    <n v="1"/>
    <d v="2015-06-25T00:00:00"/>
    <s v="NON VALIDE"/>
  </r>
  <r>
    <s v="RAPSO_176"/>
    <s v="Darmor"/>
    <x v="0"/>
    <x v="0"/>
    <n v="62"/>
    <n v="10"/>
    <n v="32"/>
    <m/>
    <m/>
    <m/>
    <m/>
    <n v="5"/>
    <m/>
    <n v="3.84"/>
    <d v="2015-07-06T00:00:00"/>
    <m/>
    <m/>
    <m/>
    <m/>
    <n v="10.31"/>
    <d v="2015-07-15T00:00:00"/>
    <n v="18.5"/>
    <d v="2015-07-06T00:00:00"/>
    <m/>
    <m/>
    <m/>
    <m/>
    <m/>
    <m/>
    <x v="88"/>
    <m/>
    <n v="21.65"/>
    <d v="2015-07-06T00:00:00"/>
    <m/>
    <m/>
    <n v="12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0.396000000000001"/>
    <d v="2015-07-15T00:00:00"/>
    <m/>
    <m/>
    <m/>
    <m/>
    <n v="47.615013122558594"/>
    <d v="2015-07-15T00:00:00"/>
    <n v="18.890026092529297"/>
    <d v="2015-07-15T00:00:00"/>
    <n v="29.902999999999999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RAPSO_041"/>
    <s v="Orléans"/>
    <x v="0"/>
    <x v="0"/>
    <n v="14"/>
    <n v="12"/>
    <n v="5"/>
    <m/>
    <m/>
    <m/>
    <m/>
    <n v="9"/>
    <m/>
    <n v="3.84"/>
    <d v="2015-07-06T00:00:00"/>
    <m/>
    <m/>
    <m/>
    <m/>
    <n v="10.71"/>
    <d v="2015-07-15T00:00:00"/>
    <n v="18.5"/>
    <d v="2015-07-06T00:00:00"/>
    <m/>
    <m/>
    <m/>
    <m/>
    <m/>
    <m/>
    <x v="89"/>
    <m/>
    <n v="21.7"/>
    <d v="2015-07-06T00:00:00"/>
    <m/>
    <m/>
    <n v="11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6.307000000000002"/>
    <d v="2015-07-15T00:00:00"/>
    <m/>
    <m/>
    <m/>
    <m/>
    <n v="49.335395812988281"/>
    <d v="2015-07-15T00:00:00"/>
    <n v="20.238584518432617"/>
    <d v="2015-07-15T00:00:00"/>
    <n v="58.412999999999997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343"/>
    <s v="Madora3-DS1"/>
    <x v="0"/>
    <x v="0"/>
    <n v="114"/>
    <n v="12"/>
    <n v="6"/>
    <m/>
    <m/>
    <m/>
    <m/>
    <n v="3"/>
    <m/>
    <n v="3.85"/>
    <d v="2015-07-06T00:00:00"/>
    <m/>
    <m/>
    <m/>
    <m/>
    <n v="10.71"/>
    <d v="2015-07-15T00:00:00"/>
    <n v="18.5"/>
    <d v="2015-07-06T00:00:00"/>
    <m/>
    <m/>
    <m/>
    <m/>
    <m/>
    <m/>
    <x v="90"/>
    <m/>
    <n v="21.71"/>
    <d v="2015-07-06T00:00:00"/>
    <m/>
    <m/>
    <n v="12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1.649000000000001"/>
    <d v="2015-07-15T00:00:00"/>
    <m/>
    <m/>
    <m/>
    <m/>
    <n v="49.309341430664063"/>
    <d v="2015-07-15T00:00:00"/>
    <n v="17.967134475708008"/>
    <d v="2015-07-15T00:00:00"/>
    <n v="21.873999999999999"/>
    <d v="2015-07-15T00:00:00"/>
    <m/>
    <m/>
    <m/>
    <m/>
    <n v="6.9"/>
    <d v="2015-07-06T00:00:00"/>
    <m/>
    <m/>
    <m/>
    <m/>
    <m/>
    <m/>
    <m/>
    <n v="5"/>
    <d v="2015-06-25T00:00:00"/>
    <s v="NON VALIDE"/>
  </r>
  <r>
    <s v="RAPSO_099"/>
    <s v="Kurander"/>
    <x v="0"/>
    <x v="0"/>
    <n v="33"/>
    <n v="11"/>
    <n v="9"/>
    <m/>
    <m/>
    <m/>
    <m/>
    <n v="8"/>
    <m/>
    <n v="3.85"/>
    <d v="2015-07-06T00:00:00"/>
    <m/>
    <m/>
    <m/>
    <m/>
    <n v="10.57"/>
    <d v="2015-07-15T00:00:00"/>
    <n v="18.5"/>
    <d v="2015-07-06T00:00:00"/>
    <m/>
    <m/>
    <m/>
    <m/>
    <m/>
    <m/>
    <x v="91"/>
    <m/>
    <n v="21.75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97000000000001"/>
    <d v="2015-07-15T00:00:00"/>
    <m/>
    <m/>
    <m/>
    <m/>
    <n v="48.612869262695313"/>
    <d v="2015-07-15T00:00:00"/>
    <n v="17.782833099365234"/>
    <d v="2015-07-15T00:00:00"/>
    <n v="51.225000000000001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315"/>
    <s v="RAGT-01"/>
    <x v="0"/>
    <x v="0"/>
    <n v="152"/>
    <n v="11"/>
    <n v="6"/>
    <m/>
    <m/>
    <m/>
    <m/>
    <n v="5"/>
    <m/>
    <n v="3.89"/>
    <d v="2015-07-06T00:00:00"/>
    <m/>
    <m/>
    <m/>
    <m/>
    <n v="11.47"/>
    <d v="2015-07-15T00:00:00"/>
    <n v="18.5"/>
    <d v="2015-07-06T00:00:00"/>
    <m/>
    <m/>
    <m/>
    <m/>
    <m/>
    <m/>
    <x v="92"/>
    <m/>
    <n v="21.91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444000000000003"/>
    <d v="2015-07-15T00:00:00"/>
    <m/>
    <m/>
    <m/>
    <m/>
    <n v="52.362567901611328"/>
    <d v="2015-07-15T00:00:00"/>
    <n v="16.583339691162109"/>
    <d v="2015-07-15T00:00:00"/>
    <n v="12.166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238"/>
    <s v="Milena"/>
    <x v="0"/>
    <x v="0"/>
    <n v="88"/>
    <n v="8"/>
    <n v="1"/>
    <m/>
    <m/>
    <m/>
    <m/>
    <n v="8"/>
    <m/>
    <n v="3.89"/>
    <d v="2015-07-06T00:00:00"/>
    <m/>
    <m/>
    <m/>
    <m/>
    <n v="11"/>
    <d v="2015-07-15T00:00:00"/>
    <n v="18.5"/>
    <d v="2015-07-06T00:00:00"/>
    <m/>
    <m/>
    <m/>
    <m/>
    <m/>
    <m/>
    <x v="93"/>
    <m/>
    <n v="21.93"/>
    <d v="2015-07-06T00:00:00"/>
    <m/>
    <m/>
    <n v="14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78"/>
    <d v="2015-07-15T00:00:00"/>
    <m/>
    <m/>
    <m/>
    <m/>
    <n v="50.182193756103516"/>
    <d v="2015-07-15T00:00:00"/>
    <n v="16.690118789672852"/>
    <d v="2015-07-15T00:00:00"/>
    <n v="23.251000000000001"/>
    <d v="2015-07-15T00:00:00"/>
    <m/>
    <m/>
    <m/>
    <m/>
    <n v="6.9"/>
    <d v="2015-07-06T00:00:00"/>
    <m/>
    <m/>
    <m/>
    <m/>
    <m/>
    <m/>
    <m/>
    <n v="5"/>
    <d v="2015-06-25T00:00:00"/>
    <s v="NON VALIDE"/>
  </r>
  <r>
    <s v="RAPSO_140"/>
    <s v="Aurum"/>
    <x v="0"/>
    <x v="0"/>
    <n v="46"/>
    <n v="11"/>
    <n v="28"/>
    <m/>
    <m/>
    <m/>
    <m/>
    <n v="6"/>
    <m/>
    <n v="3.92"/>
    <d v="2015-07-06T00:00:00"/>
    <m/>
    <m/>
    <m/>
    <m/>
    <n v="11.59"/>
    <d v="2015-07-15T00:00:00"/>
    <n v="18.5"/>
    <d v="2015-07-06T00:00:00"/>
    <m/>
    <m/>
    <m/>
    <m/>
    <m/>
    <m/>
    <x v="94"/>
    <m/>
    <n v="22.15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442999999999998"/>
    <d v="2015-07-15T00:00:00"/>
    <m/>
    <m/>
    <m/>
    <m/>
    <n v="52.314476013183594"/>
    <d v="2015-07-15T00:00:00"/>
    <n v="15.801223754882813"/>
    <d v="2015-07-15T00:00:00"/>
    <n v="16.829000000000001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064"/>
    <s v="Victor"/>
    <x v="0"/>
    <x v="2"/>
    <n v="6"/>
    <m/>
    <m/>
    <n v="3"/>
    <n v="1"/>
    <m/>
    <m/>
    <n v="8"/>
    <m/>
    <n v="3.99"/>
    <d v="2015-07-06T00:00:00"/>
    <m/>
    <m/>
    <m/>
    <m/>
    <n v="10.66"/>
    <d v="2015-07-15T00:00:00"/>
    <n v="18.5"/>
    <d v="2015-07-06T00:00:00"/>
    <m/>
    <m/>
    <m/>
    <m/>
    <m/>
    <m/>
    <x v="95"/>
    <m/>
    <n v="22.23"/>
    <d v="2015-07-06T00:00:00"/>
    <m/>
    <m/>
    <n v="15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98"/>
    <d v="2015-07-15T00:00:00"/>
    <m/>
    <m/>
    <m/>
    <m/>
    <n v="47.94"/>
    <d v="2015-07-15T00:00:00"/>
    <n v="20.804866790771484"/>
    <d v="2015-07-15T00:00:00"/>
    <n v="80.216999999999999"/>
    <d v="2015-07-15T00:00:00"/>
    <m/>
    <m/>
    <m/>
    <m/>
    <n v="8"/>
    <d v="2015-07-06T00:00:00"/>
    <m/>
    <m/>
    <m/>
    <m/>
    <m/>
    <m/>
    <m/>
    <n v="9"/>
    <d v="2015-06-25T00:00:00"/>
    <s v="NON VALIDE"/>
  </r>
  <r>
    <s v="RAPSO_084"/>
    <s v="Emil"/>
    <x v="0"/>
    <x v="0"/>
    <n v="31"/>
    <n v="11"/>
    <n v="4"/>
    <m/>
    <m/>
    <m/>
    <m/>
    <n v="6"/>
    <m/>
    <n v="3.97"/>
    <d v="2015-07-06T00:00:00"/>
    <m/>
    <m/>
    <m/>
    <m/>
    <n v="11.15"/>
    <d v="2015-07-15T00:00:00"/>
    <n v="18.5"/>
    <d v="2015-07-06T00:00:00"/>
    <m/>
    <m/>
    <m/>
    <m/>
    <m/>
    <m/>
    <x v="96"/>
    <m/>
    <n v="22.43"/>
    <d v="2015-07-06T00:00:00"/>
    <m/>
    <m/>
    <n v="12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853999999999999"/>
    <d v="2015-07-15T00:00:00"/>
    <m/>
    <m/>
    <m/>
    <m/>
    <n v="49.713249206542969"/>
    <d v="2015-07-15T00:00:00"/>
    <n v="18.26678466796875"/>
    <d v="2015-07-15T00:00:00"/>
    <n v="50.2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139"/>
    <s v="Atlantic"/>
    <x v="0"/>
    <x v="0"/>
    <n v="45"/>
    <n v="10"/>
    <n v="7"/>
    <m/>
    <m/>
    <m/>
    <m/>
    <n v="8"/>
    <m/>
    <n v="4"/>
    <d v="2015-07-06T00:00:00"/>
    <m/>
    <m/>
    <m/>
    <m/>
    <n v="11.52"/>
    <d v="2015-07-15T00:00:00"/>
    <n v="18.5"/>
    <d v="2015-07-06T00:00:00"/>
    <m/>
    <m/>
    <m/>
    <m/>
    <m/>
    <m/>
    <x v="97"/>
    <m/>
    <n v="22.48"/>
    <d v="2015-07-06T00:00:00"/>
    <m/>
    <m/>
    <n v="13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644999999999996"/>
    <d v="2015-07-15T00:00:00"/>
    <m/>
    <m/>
    <m/>
    <m/>
    <n v="51.244674682617188"/>
    <d v="2015-07-15T00:00:00"/>
    <n v="17.915538787841797"/>
    <d v="2015-07-15T00:00:00"/>
    <n v="22.99"/>
    <d v="2015-07-15T00:00:00"/>
    <m/>
    <m/>
    <m/>
    <m/>
    <n v="7.2"/>
    <d v="2015-07-06T00:00:00"/>
    <m/>
    <m/>
    <m/>
    <m/>
    <m/>
    <m/>
    <m/>
    <n v="3"/>
    <d v="2015-06-25T00:00:00"/>
    <s v="NON VALIDE"/>
  </r>
  <r>
    <s v="RAPSO_122"/>
    <s v="Start"/>
    <x v="0"/>
    <x v="0"/>
    <n v="37"/>
    <n v="12"/>
    <n v="12"/>
    <m/>
    <m/>
    <m/>
    <m/>
    <n v="8"/>
    <m/>
    <n v="4"/>
    <d v="2015-07-06T00:00:00"/>
    <m/>
    <m/>
    <m/>
    <m/>
    <n v="10.53"/>
    <d v="2015-07-15T00:00:00"/>
    <n v="18.5"/>
    <d v="2015-07-06T00:00:00"/>
    <m/>
    <m/>
    <m/>
    <m/>
    <m/>
    <m/>
    <x v="98"/>
    <m/>
    <n v="22.6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59.587000000000003"/>
    <d v="2015-07-15T00:00:00"/>
    <m/>
    <m/>
    <m/>
    <m/>
    <n v="46.604400634765625"/>
    <d v="2015-07-15T00:00:00"/>
    <n v="20.680234909057617"/>
    <d v="2015-07-15T00:00:00"/>
    <n v="26.675999999999998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171"/>
    <s v="Colvert"/>
    <x v="0"/>
    <x v="0"/>
    <n v="59"/>
    <n v="8"/>
    <n v="13"/>
    <m/>
    <m/>
    <m/>
    <m/>
    <n v="7"/>
    <m/>
    <n v="4.0199999999999996"/>
    <d v="2015-07-06T00:00:00"/>
    <m/>
    <m/>
    <m/>
    <m/>
    <n v="11.38"/>
    <d v="2015-07-15T00:00:00"/>
    <n v="18.5"/>
    <d v="2015-07-06T00:00:00"/>
    <m/>
    <m/>
    <m/>
    <m/>
    <m/>
    <m/>
    <x v="99"/>
    <m/>
    <n v="22.61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432000000000002"/>
    <d v="2015-07-15T00:00:00"/>
    <m/>
    <m/>
    <m/>
    <m/>
    <n v="50.308822631835937"/>
    <d v="2015-07-15T00:00:00"/>
    <n v="17.528177261352539"/>
    <d v="2015-07-15T00:00:00"/>
    <n v="18.837"/>
    <d v="2015-07-15T00:00:00"/>
    <m/>
    <m/>
    <m/>
    <m/>
    <n v="7.1"/>
    <d v="2015-07-06T00:00:00"/>
    <m/>
    <m/>
    <m/>
    <m/>
    <m/>
    <m/>
    <m/>
    <n v="3"/>
    <d v="2015-06-25T00:00:00"/>
    <s v="NON VALIDE"/>
  </r>
  <r>
    <s v="RAPSO_108"/>
    <s v="Mikado"/>
    <x v="0"/>
    <x v="0"/>
    <n v="35"/>
    <n v="11"/>
    <n v="20"/>
    <m/>
    <m/>
    <m/>
    <m/>
    <n v="7"/>
    <m/>
    <n v="4"/>
    <d v="2015-07-06T00:00:00"/>
    <m/>
    <m/>
    <m/>
    <m/>
    <n v="12.1"/>
    <d v="2015-07-15T00:00:00"/>
    <n v="18.5"/>
    <d v="2015-07-06T00:00:00"/>
    <m/>
    <m/>
    <m/>
    <m/>
    <m/>
    <m/>
    <x v="100"/>
    <m/>
    <n v="22.215622215622215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631999999999998"/>
    <d v="2015-07-15T00:00:00"/>
    <m/>
    <m/>
    <m/>
    <m/>
    <n v="53.40509033203125"/>
    <d v="2015-07-15T00:00:00"/>
    <n v="16.515432357788086"/>
    <d v="2015-07-15T00:00:00"/>
    <n v="50.2"/>
    <d v="2015-07-15T00:00:00"/>
    <m/>
    <m/>
    <m/>
    <m/>
    <n v="6.5"/>
    <d v="2015-07-06T00:00:00"/>
    <m/>
    <m/>
    <m/>
    <m/>
    <m/>
    <m/>
    <m/>
    <n v="1"/>
    <d v="2015-06-25T00:00:00"/>
    <s v="NON VALIDE"/>
  </r>
  <r>
    <s v="Alpaga"/>
    <s v="Alpaga"/>
    <x v="0"/>
    <x v="0"/>
    <n v="191"/>
    <n v="11"/>
    <n v="5"/>
    <m/>
    <m/>
    <m/>
    <m/>
    <n v="5"/>
    <m/>
    <n v="4.07"/>
    <d v="2015-07-06T00:00:00"/>
    <m/>
    <m/>
    <m/>
    <m/>
    <n v="12.35"/>
    <d v="2015-07-15T00:00:00"/>
    <n v="18.5"/>
    <d v="2015-07-06T00:00:00"/>
    <m/>
    <m/>
    <m/>
    <m/>
    <m/>
    <m/>
    <x v="101"/>
    <m/>
    <n v="22.99"/>
    <d v="2015-07-06T00:00:00"/>
    <m/>
    <m/>
    <n v="13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313999999999993"/>
    <d v="2015-07-15T00:00:00"/>
    <m/>
    <m/>
    <m/>
    <m/>
    <n v="53.71514892578125"/>
    <d v="2015-07-15T00:00:00"/>
    <n v="15.158658981323242"/>
    <d v="2015-07-15T00:00:00"/>
    <n v="18.798999999999999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331"/>
    <s v="SYN07"/>
    <x v="0"/>
    <x v="0"/>
    <n v="168"/>
    <n v="9"/>
    <n v="31"/>
    <m/>
    <m/>
    <m/>
    <m/>
    <n v="6"/>
    <m/>
    <n v="4.08"/>
    <d v="2015-07-06T00:00:00"/>
    <m/>
    <m/>
    <m/>
    <m/>
    <n v="11.44"/>
    <d v="2015-07-15T00:00:00"/>
    <n v="18.5"/>
    <d v="2015-07-06T00:00:00"/>
    <m/>
    <m/>
    <m/>
    <m/>
    <m/>
    <m/>
    <x v="102"/>
    <m/>
    <n v="22.562993762993759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694000000000003"/>
    <d v="2015-07-15T00:00:00"/>
    <m/>
    <m/>
    <m/>
    <m/>
    <n v="49.75390625"/>
    <d v="2015-07-15T00:00:00"/>
    <n v="18.582311630249023"/>
    <d v="2015-07-15T00:00:00"/>
    <n v="18.02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MP003"/>
    <s v="Mohican"/>
    <x v="0"/>
    <x v="0"/>
    <n v="130"/>
    <n v="9"/>
    <n v="17"/>
    <m/>
    <m/>
    <m/>
    <m/>
    <n v="5"/>
    <m/>
    <n v="4.09"/>
    <d v="2015-07-06T00:00:00"/>
    <m/>
    <m/>
    <m/>
    <m/>
    <n v="11.53"/>
    <d v="2015-07-15T00:00:00"/>
    <n v="18.5"/>
    <d v="2015-07-06T00:00:00"/>
    <m/>
    <m/>
    <m/>
    <m/>
    <m/>
    <m/>
    <x v="103"/>
    <m/>
    <n v="22.59400059400059"/>
    <d v="2015-07-06T00:00:00"/>
    <m/>
    <m/>
    <n v="125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3.963000000000001"/>
    <d v="2015-07-15T00:00:00"/>
    <m/>
    <m/>
    <m/>
    <m/>
    <n v="50.062591552734375"/>
    <d v="2015-07-15T00:00:00"/>
    <n v="18.578239440917969"/>
    <d v="2015-07-15T00:00:00"/>
    <n v="25.972999999999999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038"/>
    <s v="Oleski"/>
    <x v="0"/>
    <x v="0"/>
    <n v="12"/>
    <n v="12"/>
    <n v="2"/>
    <m/>
    <m/>
    <m/>
    <m/>
    <n v="8"/>
    <m/>
    <n v="4.09"/>
    <d v="2015-07-06T00:00:00"/>
    <m/>
    <m/>
    <m/>
    <m/>
    <n v="10.89"/>
    <d v="2015-07-15T00:00:00"/>
    <n v="18.5"/>
    <d v="2015-07-06T00:00:00"/>
    <m/>
    <m/>
    <m/>
    <m/>
    <m/>
    <m/>
    <x v="104"/>
    <m/>
    <n v="23.08"/>
    <d v="2015-07-06T00:00:00"/>
    <m/>
    <m/>
    <n v="12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1.298000000000002"/>
    <d v="2015-07-15T00:00:00"/>
    <m/>
    <m/>
    <m/>
    <m/>
    <n v="47.191177368164063"/>
    <d v="2015-07-15T00:00:00"/>
    <n v="19.56273078918457"/>
    <d v="2015-07-15T00:00:00"/>
    <n v="64.688000000000002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Montego"/>
    <s v="Montego"/>
    <x v="0"/>
    <x v="0"/>
    <n v="185"/>
    <n v="12"/>
    <n v="3"/>
    <m/>
    <m/>
    <m/>
    <m/>
    <n v="9"/>
    <m/>
    <n v="4.1100000000000003"/>
    <d v="2015-07-06T00:00:00"/>
    <m/>
    <m/>
    <m/>
    <m/>
    <n v="11.64"/>
    <d v="2015-07-15T00:00:00"/>
    <n v="18.5"/>
    <d v="2015-07-06T00:00:00"/>
    <m/>
    <m/>
    <m/>
    <m/>
    <m/>
    <m/>
    <x v="105"/>
    <m/>
    <n v="22.655657855657854"/>
    <d v="2015-07-06T00:00:00"/>
    <m/>
    <m/>
    <n v="11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111999999999995"/>
    <d v="2015-07-15T00:00:00"/>
    <m/>
    <m/>
    <m/>
    <m/>
    <n v="50.403682708740234"/>
    <d v="2015-07-15T00:00:00"/>
    <n v="18.479598999023438"/>
    <d v="2015-07-15T00:00:00"/>
    <n v="12.566000000000001"/>
    <d v="2015-07-15T00:00:00"/>
    <m/>
    <m/>
    <m/>
    <m/>
    <n v="7.2"/>
    <d v="2015-07-06T00:00:00"/>
    <m/>
    <m/>
    <m/>
    <m/>
    <m/>
    <m/>
    <m/>
    <n v="1"/>
    <d v="2015-06-25T00:00:00"/>
    <s v="NON VALIDE"/>
  </r>
  <r>
    <s v="RAPSO_207"/>
    <s v="Ibex"/>
    <x v="0"/>
    <x v="0"/>
    <n v="72"/>
    <n v="12"/>
    <n v="9"/>
    <m/>
    <m/>
    <m/>
    <m/>
    <n v="6"/>
    <m/>
    <n v="4.1500000000000004"/>
    <d v="2015-07-06T00:00:00"/>
    <m/>
    <m/>
    <m/>
    <m/>
    <n v="11.66"/>
    <d v="2015-07-15T00:00:00"/>
    <n v="18.5"/>
    <d v="2015-07-06T00:00:00"/>
    <m/>
    <m/>
    <m/>
    <m/>
    <m/>
    <m/>
    <x v="106"/>
    <m/>
    <n v="22.950103950103948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152000000000001"/>
    <d v="2015-07-15T00:00:00"/>
    <m/>
    <m/>
    <m/>
    <m/>
    <n v="49.851539611816406"/>
    <d v="2015-07-15T00:00:00"/>
    <n v="19.209892272949219"/>
    <d v="2015-07-15T00:00:00"/>
    <n v="19.303999999999998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085"/>
    <s v="Expander"/>
    <x v="0"/>
    <x v="0"/>
    <n v="32"/>
    <n v="10"/>
    <n v="12"/>
    <m/>
    <m/>
    <m/>
    <m/>
    <n v="9"/>
    <m/>
    <n v="4.17"/>
    <d v="2015-07-06T00:00:00"/>
    <m/>
    <m/>
    <m/>
    <m/>
    <n v="11.22"/>
    <d v="2015-07-15T00:00:00"/>
    <n v="18.5"/>
    <d v="2015-07-06T00:00:00"/>
    <m/>
    <m/>
    <m/>
    <m/>
    <m/>
    <m/>
    <x v="107"/>
    <m/>
    <n v="23.56"/>
    <d v="2015-07-06T00:00:00"/>
    <m/>
    <m/>
    <n v="12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59.924999999999997"/>
    <d v="2015-07-15T00:00:00"/>
    <m/>
    <m/>
    <m/>
    <m/>
    <n v="47.63128662109375"/>
    <d v="2015-07-15T00:00:00"/>
    <n v="19.393659591674805"/>
    <d v="2015-07-15T00:00:00"/>
    <n v="23.245999999999999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162"/>
    <s v="CAPVERT"/>
    <x v="0"/>
    <x v="0"/>
    <n v="55"/>
    <n v="11"/>
    <n v="10"/>
    <m/>
    <m/>
    <m/>
    <m/>
    <n v="5"/>
    <m/>
    <n v="4.18"/>
    <d v="2015-07-06T00:00:00"/>
    <m/>
    <m/>
    <m/>
    <m/>
    <n v="12.67"/>
    <d v="2015-07-15T00:00:00"/>
    <n v="18.5"/>
    <d v="2015-07-06T00:00:00"/>
    <m/>
    <m/>
    <m/>
    <m/>
    <m/>
    <m/>
    <x v="108"/>
    <m/>
    <n v="23.59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512"/>
    <d v="2015-07-15T00:00:00"/>
    <m/>
    <m/>
    <m/>
    <m/>
    <n v="53.713310241699219"/>
    <d v="2015-07-15T00:00:00"/>
    <n v="14.852480888366699"/>
    <d v="2015-07-15T00:00:00"/>
    <n v="19.733000000000001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080"/>
    <s v="Constable"/>
    <x v="0"/>
    <x v="0"/>
    <n v="29"/>
    <n v="9"/>
    <n v="14"/>
    <m/>
    <m/>
    <m/>
    <m/>
    <n v="7"/>
    <m/>
    <n v="4.1900000000000004"/>
    <d v="2015-07-06T00:00:00"/>
    <m/>
    <m/>
    <m/>
    <m/>
    <n v="11.35"/>
    <d v="2015-07-15T00:00:00"/>
    <n v="18.5"/>
    <d v="2015-07-06T00:00:00"/>
    <m/>
    <m/>
    <m/>
    <m/>
    <m/>
    <m/>
    <x v="109"/>
    <m/>
    <n v="23.245975645975651"/>
    <d v="2015-07-06T00:00:00"/>
    <m/>
    <m/>
    <n v="14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0.914999999999999"/>
    <d v="2015-07-15T00:00:00"/>
    <m/>
    <m/>
    <m/>
    <m/>
    <n v="47.902210235595703"/>
    <d v="2015-07-15T00:00:00"/>
    <n v="21.532800674438477"/>
    <d v="2015-07-15T00:00:00"/>
    <n v="72.453000000000003"/>
    <d v="2015-07-15T00:00:00"/>
    <m/>
    <m/>
    <m/>
    <m/>
    <n v="6.6"/>
    <d v="2015-07-06T00:00:00"/>
    <m/>
    <m/>
    <m/>
    <m/>
    <m/>
    <m/>
    <m/>
    <n v="1"/>
    <d v="2015-06-25T00:00:00"/>
    <s v="NON VALIDE"/>
  </r>
  <r>
    <s v="RAPSO_256"/>
    <s v="Pollen"/>
    <x v="0"/>
    <x v="0"/>
    <n v="96"/>
    <n v="11"/>
    <n v="23"/>
    <m/>
    <m/>
    <m/>
    <m/>
    <n v="6"/>
    <m/>
    <n v="4.2"/>
    <d v="2015-07-06T00:00:00"/>
    <m/>
    <m/>
    <m/>
    <m/>
    <n v="12.07"/>
    <d v="2015-07-15T00:00:00"/>
    <n v="18.5"/>
    <d v="2015-07-06T00:00:00"/>
    <m/>
    <m/>
    <m/>
    <m/>
    <m/>
    <m/>
    <x v="110"/>
    <m/>
    <n v="23.7"/>
    <d v="2015-07-06T00:00:00"/>
    <m/>
    <m/>
    <n v="12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6.697999999999993"/>
    <d v="2015-07-15T00:00:00"/>
    <m/>
    <m/>
    <m/>
    <m/>
    <n v="50.905242919921875"/>
    <d v="2015-07-15T00:00:00"/>
    <n v="16.574653625488281"/>
    <d v="2015-07-15T00:00:00"/>
    <n v="18.536000000000001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243"/>
    <s v="Montego"/>
    <x v="0"/>
    <x v="0"/>
    <n v="89"/>
    <n v="7"/>
    <n v="8"/>
    <m/>
    <m/>
    <m/>
    <m/>
    <n v="9"/>
    <m/>
    <n v="4.21"/>
    <d v="2015-07-06T00:00:00"/>
    <m/>
    <m/>
    <m/>
    <m/>
    <n v="12.57"/>
    <d v="2015-07-15T00:00:00"/>
    <n v="18.5"/>
    <d v="2015-07-06T00:00:00"/>
    <m/>
    <m/>
    <m/>
    <m/>
    <m/>
    <m/>
    <x v="111"/>
    <m/>
    <n v="23.281912681912679"/>
    <d v="2015-07-06T00:00:00"/>
    <m/>
    <m/>
    <n v="12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4.245999999999995"/>
    <d v="2015-07-15T00:00:00"/>
    <m/>
    <m/>
    <m/>
    <m/>
    <n v="52.974136352539062"/>
    <d v="2015-07-15T00:00:00"/>
    <n v="16.717988967895508"/>
    <d v="2015-07-15T00:00:00"/>
    <n v="10.895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430"/>
    <s v="RANGI "/>
    <x v="0"/>
    <x v="0"/>
    <n v="122"/>
    <n v="9"/>
    <n v="16"/>
    <m/>
    <m/>
    <m/>
    <m/>
    <n v="9"/>
    <m/>
    <n v="4.21"/>
    <d v="2015-07-06T00:00:00"/>
    <m/>
    <m/>
    <m/>
    <m/>
    <n v="11.3"/>
    <d v="2015-07-15T00:00:00"/>
    <n v="18.5"/>
    <d v="2015-07-06T00:00:00"/>
    <m/>
    <m/>
    <m/>
    <m/>
    <m/>
    <m/>
    <x v="112"/>
    <m/>
    <n v="23.79"/>
    <d v="2015-07-06T00:00:00"/>
    <m/>
    <m/>
    <n v="15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3.66"/>
    <d v="2015-07-15T00:00:00"/>
    <m/>
    <m/>
    <m/>
    <m/>
    <n v="47.480461120605469"/>
    <d v="2015-07-15T00:00:00"/>
    <n v="20.307373046875"/>
    <d v="2015-07-15T00:00:00"/>
    <n v="60.823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258"/>
    <s v="Potomac"/>
    <x v="0"/>
    <x v="0"/>
    <n v="97"/>
    <n v="8"/>
    <n v="3"/>
    <m/>
    <m/>
    <m/>
    <m/>
    <n v="9"/>
    <m/>
    <n v="4.24"/>
    <d v="2015-07-06T00:00:00"/>
    <m/>
    <m/>
    <m/>
    <m/>
    <n v="12.31"/>
    <d v="2015-07-15T00:00:00"/>
    <n v="18.5"/>
    <d v="2015-07-06T00:00:00"/>
    <m/>
    <m/>
    <m/>
    <m/>
    <m/>
    <m/>
    <x v="113"/>
    <m/>
    <n v="23.9"/>
    <d v="2015-07-06T00:00:00"/>
    <m/>
    <m/>
    <n v="14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0.512999999999998"/>
    <d v="2015-07-15T00:00:00"/>
    <m/>
    <m/>
    <m/>
    <m/>
    <n v="51.500301361083984"/>
    <d v="2015-07-15T00:00:00"/>
    <n v="15.119001388549805"/>
    <d v="2015-07-15T00:00:00"/>
    <n v="16.594999999999999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RAPSO_011"/>
    <s v="Gaspard"/>
    <x v="0"/>
    <x v="0"/>
    <n v="3"/>
    <n v="7"/>
    <n v="3"/>
    <m/>
    <m/>
    <m/>
    <m/>
    <n v="9"/>
    <m/>
    <n v="4.24"/>
    <d v="2015-07-06T00:00:00"/>
    <m/>
    <m/>
    <m/>
    <m/>
    <n v="12.28"/>
    <d v="2015-07-15T00:00:00"/>
    <n v="18.5"/>
    <d v="2015-07-06T00:00:00"/>
    <m/>
    <m/>
    <m/>
    <m/>
    <m/>
    <m/>
    <x v="114"/>
    <m/>
    <n v="23.473002673002679"/>
    <d v="2015-07-06T00:00:00"/>
    <m/>
    <m/>
    <n v="14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429000000000002"/>
    <d v="2015-07-15T00:00:00"/>
    <m/>
    <m/>
    <m/>
    <m/>
    <n v="51.307945251464844"/>
    <d v="2015-07-15T00:00:00"/>
    <n v="16.661344528198242"/>
    <d v="2015-07-15T00:00:00"/>
    <n v="71.355000000000004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334"/>
    <s v="SYN10"/>
    <x v="0"/>
    <x v="0"/>
    <n v="171"/>
    <n v="7"/>
    <n v="10"/>
    <m/>
    <m/>
    <m/>
    <m/>
    <n v="8"/>
    <m/>
    <n v="4.3"/>
    <d v="2015-07-06T00:00:00"/>
    <m/>
    <m/>
    <m/>
    <m/>
    <n v="13.26"/>
    <d v="2015-07-15T00:00:00"/>
    <n v="18.5"/>
    <d v="2015-07-06T00:00:00"/>
    <m/>
    <m/>
    <m/>
    <m/>
    <m/>
    <m/>
    <x v="115"/>
    <m/>
    <n v="24.29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673999999999999"/>
    <d v="2015-07-15T00:00:00"/>
    <m/>
    <m/>
    <m/>
    <m/>
    <n v="54.583702087402344"/>
    <d v="2015-07-15T00:00:00"/>
    <n v="15.609406471252441"/>
    <d v="2015-07-15T00:00:00"/>
    <n v="14.2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267"/>
    <s v="Salomont"/>
    <x v="0"/>
    <x v="0"/>
    <n v="104"/>
    <n v="9"/>
    <n v="6"/>
    <m/>
    <m/>
    <m/>
    <m/>
    <n v="5"/>
    <m/>
    <n v="4.3099999999999996"/>
    <d v="2015-07-06T00:00:00"/>
    <m/>
    <m/>
    <m/>
    <m/>
    <n v="11.82"/>
    <d v="2015-07-15T00:00:00"/>
    <n v="18.5"/>
    <d v="2015-07-06T00:00:00"/>
    <m/>
    <m/>
    <m/>
    <m/>
    <m/>
    <m/>
    <x v="116"/>
    <m/>
    <n v="23.834927234927228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27"/>
    <d v="2015-07-15T00:00:00"/>
    <m/>
    <m/>
    <m/>
    <m/>
    <n v="48.659000396728516"/>
    <d v="2015-07-15T00:00:00"/>
    <n v="18.972551345825195"/>
    <d v="2015-07-15T00:00:00"/>
    <n v="19.559999999999999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222"/>
    <s v="Licorne"/>
    <x v="0"/>
    <x v="0"/>
    <n v="80"/>
    <n v="11"/>
    <n v="27"/>
    <m/>
    <m/>
    <m/>
    <m/>
    <n v="6"/>
    <m/>
    <n v="4.34"/>
    <d v="2015-07-06T00:00:00"/>
    <m/>
    <m/>
    <m/>
    <m/>
    <n v="12.61"/>
    <d v="2015-07-15T00:00:00"/>
    <n v="18.5"/>
    <d v="2015-07-06T00:00:00"/>
    <m/>
    <m/>
    <m/>
    <m/>
    <m/>
    <m/>
    <x v="117"/>
    <m/>
    <n v="24.52"/>
    <d v="2015-07-06T00:00:00"/>
    <m/>
    <m/>
    <n v="135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1.655000000000001"/>
    <d v="2015-07-15T00:00:00"/>
    <m/>
    <m/>
    <m/>
    <m/>
    <n v="51.412387847900391"/>
    <d v="2015-07-15T00:00:00"/>
    <n v="16.008956909179688"/>
    <d v="2015-07-15T00:00:00"/>
    <n v="17.766999999999999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081"/>
    <s v="Doral"/>
    <x v="0"/>
    <x v="0"/>
    <n v="30"/>
    <n v="9"/>
    <n v="20"/>
    <m/>
    <m/>
    <m/>
    <m/>
    <n v="9"/>
    <m/>
    <n v="4.37"/>
    <d v="2015-07-06T00:00:00"/>
    <m/>
    <m/>
    <m/>
    <m/>
    <n v="10.82"/>
    <d v="2015-07-15T00:00:00"/>
    <n v="18.5"/>
    <d v="2015-07-06T00:00:00"/>
    <m/>
    <m/>
    <m/>
    <m/>
    <m/>
    <m/>
    <x v="118"/>
    <m/>
    <n v="24.53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344000000000001"/>
    <d v="2015-07-15T00:00:00"/>
    <m/>
    <m/>
    <m/>
    <m/>
    <n v="44.116855621337891"/>
    <d v="2015-07-15T00:00:00"/>
    <n v="21.593465805053711"/>
    <d v="2015-07-15T00:00:00"/>
    <n v="66.460999999999999"/>
    <d v="2015-07-15T00:00:00"/>
    <m/>
    <m/>
    <m/>
    <m/>
    <n v="7.3"/>
    <d v="2015-07-06T00:00:00"/>
    <m/>
    <m/>
    <m/>
    <m/>
    <m/>
    <m/>
    <m/>
    <n v="5"/>
    <d v="2015-06-25T00:00:00"/>
    <s v="NON VALIDE"/>
  </r>
  <r>
    <s v="RAPSO_135"/>
    <s v="Amber"/>
    <x v="0"/>
    <x v="0"/>
    <n v="43"/>
    <n v="12"/>
    <n v="4"/>
    <m/>
    <m/>
    <m/>
    <m/>
    <n v="8"/>
    <m/>
    <n v="4.38"/>
    <d v="2015-07-06T00:00:00"/>
    <m/>
    <m/>
    <m/>
    <m/>
    <n v="11.81"/>
    <d v="2015-07-15T00:00:00"/>
    <n v="18.5"/>
    <d v="2015-07-06T00:00:00"/>
    <m/>
    <m/>
    <m/>
    <m/>
    <m/>
    <m/>
    <x v="119"/>
    <m/>
    <n v="24.75"/>
    <d v="2015-07-06T00:00:00"/>
    <m/>
    <m/>
    <n v="12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3.146000000000001"/>
    <d v="2015-07-15T00:00:00"/>
    <m/>
    <m/>
    <m/>
    <m/>
    <n v="47.715610504150391"/>
    <d v="2015-07-15T00:00:00"/>
    <n v="18.853277206420898"/>
    <d v="2015-07-15T00:00:00"/>
    <n v="15.05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175"/>
    <s v="Courage"/>
    <x v="0"/>
    <x v="0"/>
    <n v="61"/>
    <n v="7"/>
    <n v="7"/>
    <m/>
    <m/>
    <m/>
    <m/>
    <n v="8"/>
    <m/>
    <n v="4.3899999999999997"/>
    <d v="2015-07-06T00:00:00"/>
    <m/>
    <m/>
    <m/>
    <m/>
    <n v="13.34"/>
    <d v="2015-07-15T00:00:00"/>
    <n v="18.5"/>
    <d v="2015-07-06T00:00:00"/>
    <m/>
    <m/>
    <m/>
    <m/>
    <m/>
    <m/>
    <x v="120"/>
    <m/>
    <n v="24.78"/>
    <d v="2015-07-06T00:00:00"/>
    <m/>
    <m/>
    <n v="13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5.239999999999995"/>
    <d v="2015-07-15T00:00:00"/>
    <m/>
    <m/>
    <m/>
    <m/>
    <n v="53.829902648925781"/>
    <d v="2015-07-15T00:00:00"/>
    <n v="14.928798675537109"/>
    <d v="2015-07-15T00:00:00"/>
    <n v="20.739000000000001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128"/>
    <s v="Adriana"/>
    <x v="0"/>
    <x v="0"/>
    <n v="39"/>
    <n v="9"/>
    <n v="29"/>
    <m/>
    <m/>
    <m/>
    <m/>
    <n v="5"/>
    <m/>
    <n v="4.4000000000000004"/>
    <d v="2015-07-06T00:00:00"/>
    <m/>
    <m/>
    <m/>
    <m/>
    <n v="12.66"/>
    <d v="2015-07-15T00:00:00"/>
    <n v="18.5"/>
    <d v="2015-07-06T00:00:00"/>
    <m/>
    <m/>
    <m/>
    <m/>
    <m/>
    <m/>
    <x v="121"/>
    <m/>
    <n v="24.78"/>
    <d v="2015-07-06T00:00:00"/>
    <m/>
    <m/>
    <n v="12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7.198999999999998"/>
    <d v="2015-07-15T00:00:00"/>
    <m/>
    <m/>
    <m/>
    <m/>
    <n v="51.093414306640625"/>
    <d v="2015-07-15T00:00:00"/>
    <n v="17.590139389038086"/>
    <d v="2015-07-15T00:00:00"/>
    <n v="14.141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314"/>
    <s v="Maccarena"/>
    <x v="0"/>
    <x v="0"/>
    <n v="151"/>
    <n v="10"/>
    <n v="16"/>
    <m/>
    <m/>
    <m/>
    <m/>
    <n v="6"/>
    <m/>
    <n v="4.4000000000000004"/>
    <d v="2015-07-06T00:00:00"/>
    <m/>
    <m/>
    <m/>
    <m/>
    <n v="12.45"/>
    <d v="2015-07-15T00:00:00"/>
    <n v="18.5"/>
    <d v="2015-07-06T00:00:00"/>
    <m/>
    <m/>
    <m/>
    <m/>
    <m/>
    <m/>
    <x v="122"/>
    <m/>
    <n v="24.358776358776364"/>
    <d v="2015-07-06T00:00:00"/>
    <m/>
    <m/>
    <n v="13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6.805999999999997"/>
    <d v="2015-07-15T00:00:00"/>
    <m/>
    <m/>
    <m/>
    <m/>
    <n v="50.163021087646484"/>
    <d v="2015-07-15T00:00:00"/>
    <n v="18.521228790283203"/>
    <d v="2015-07-15T00:00:00"/>
    <n v="17.577999999999999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073"/>
    <s v="Belinda"/>
    <x v="0"/>
    <x v="0"/>
    <n v="25"/>
    <n v="9"/>
    <n v="21"/>
    <m/>
    <m/>
    <m/>
    <m/>
    <n v="7"/>
    <m/>
    <n v="4.42"/>
    <d v="2015-07-06T00:00:00"/>
    <m/>
    <m/>
    <m/>
    <m/>
    <n v="11.4"/>
    <d v="2015-07-15T00:00:00"/>
    <n v="18.5"/>
    <d v="2015-07-06T00:00:00"/>
    <m/>
    <m/>
    <m/>
    <m/>
    <m/>
    <m/>
    <x v="123"/>
    <m/>
    <n v="24.87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1.514000000000003"/>
    <d v="2015-07-15T00:00:00"/>
    <m/>
    <m/>
    <m/>
    <m/>
    <n v="45.839771270751953"/>
    <d v="2015-07-15T00:00:00"/>
    <n v="21.591026306152344"/>
    <d v="2015-07-15T00:00:00"/>
    <n v="65.816999999999993"/>
    <d v="2015-07-15T00:00:00"/>
    <m/>
    <m/>
    <m/>
    <m/>
    <n v="7.1"/>
    <d v="2015-07-06T00:00:00"/>
    <m/>
    <m/>
    <m/>
    <m/>
    <m/>
    <m/>
    <m/>
    <n v="3"/>
    <d v="2015-06-25T00:00:00"/>
    <s v="NON VALIDE"/>
  </r>
  <r>
    <s v="BRA_007"/>
    <s v="Tosca"/>
    <x v="0"/>
    <x v="0"/>
    <n v="125"/>
    <n v="12"/>
    <n v="20"/>
    <m/>
    <m/>
    <m/>
    <m/>
    <n v="9"/>
    <m/>
    <n v="4.4400000000000004"/>
    <d v="2015-07-06T00:00:00"/>
    <m/>
    <m/>
    <m/>
    <m/>
    <n v="12.39"/>
    <d v="2015-07-15T00:00:00"/>
    <n v="18.5"/>
    <d v="2015-07-06T00:00:00"/>
    <m/>
    <m/>
    <m/>
    <m/>
    <m/>
    <m/>
    <x v="124"/>
    <m/>
    <n v="24.606593406593408"/>
    <d v="2015-07-06T00:00:00"/>
    <m/>
    <m/>
    <n v="15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2.152000000000001"/>
    <d v="2015-07-15T00:00:00"/>
    <m/>
    <m/>
    <m/>
    <m/>
    <n v="49.385368347167969"/>
    <d v="2015-07-15T00:00:00"/>
    <n v="19.063272476196289"/>
    <d v="2015-07-15T00:00:00"/>
    <n v="16.356000000000002"/>
    <d v="2015-07-15T00:00:00"/>
    <m/>
    <m/>
    <m/>
    <m/>
    <n v="6.7"/>
    <d v="2015-07-06T00:00:00"/>
    <m/>
    <m/>
    <m/>
    <m/>
    <m/>
    <m/>
    <m/>
    <n v="1"/>
    <d v="2015-06-25T00:00:00"/>
    <s v="NON VALIDE"/>
  </r>
  <r>
    <s v="RAPSO_190"/>
    <s v="Evri"/>
    <x v="0"/>
    <x v="0"/>
    <n v="67"/>
    <n v="9"/>
    <n v="28"/>
    <m/>
    <m/>
    <m/>
    <m/>
    <n v="7"/>
    <m/>
    <n v="4.49"/>
    <d v="2015-07-06T00:00:00"/>
    <m/>
    <m/>
    <m/>
    <m/>
    <n v="12.36"/>
    <d v="2015-07-15T00:00:00"/>
    <n v="18.5"/>
    <d v="2015-07-06T00:00:00"/>
    <m/>
    <m/>
    <m/>
    <m/>
    <m/>
    <m/>
    <x v="125"/>
    <m/>
    <n v="24.857024057024063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813999999999993"/>
    <d v="2015-07-15T00:00:00"/>
    <m/>
    <m/>
    <m/>
    <m/>
    <n v="48.764053344726563"/>
    <d v="2015-07-15T00:00:00"/>
    <n v="19.181373596191406"/>
    <d v="2015-07-15T00:00:00"/>
    <n v="19.498000000000001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BRA_009"/>
    <s v="Jupiter"/>
    <x v="0"/>
    <x v="0"/>
    <n v="127"/>
    <n v="10"/>
    <n v="26"/>
    <m/>
    <m/>
    <m/>
    <m/>
    <n v="7"/>
    <m/>
    <n v="4.5199999999999996"/>
    <d v="2015-07-06T00:00:00"/>
    <m/>
    <m/>
    <m/>
    <m/>
    <n v="12.48"/>
    <d v="2015-07-15T00:00:00"/>
    <n v="18.5"/>
    <d v="2015-07-06T00:00:00"/>
    <m/>
    <m/>
    <m/>
    <m/>
    <m/>
    <m/>
    <x v="126"/>
    <m/>
    <n v="25.51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27000000000001"/>
    <d v="2015-07-15T00:00:00"/>
    <m/>
    <m/>
    <m/>
    <m/>
    <n v="48.939060211181641"/>
    <d v="2015-07-15T00:00:00"/>
    <n v="19.370882034301758"/>
    <d v="2015-07-15T00:00:00"/>
    <n v="57.033000000000001"/>
    <d v="2015-07-15T00:00:00"/>
    <m/>
    <m/>
    <m/>
    <m/>
    <n v="6.8"/>
    <d v="2015-07-06T00:00:00"/>
    <m/>
    <m/>
    <m/>
    <m/>
    <m/>
    <m/>
    <m/>
    <n v="5"/>
    <d v="2015-06-25T00:00:00"/>
    <s v="NON VALIDE"/>
  </r>
  <r>
    <s v="Aviso"/>
    <s v="Aviso"/>
    <x v="0"/>
    <x v="0"/>
    <n v="181"/>
    <n v="12"/>
    <n v="16"/>
    <m/>
    <m/>
    <m/>
    <m/>
    <n v="9"/>
    <m/>
    <n v="4.58"/>
    <d v="2015-07-06T00:00:00"/>
    <m/>
    <m/>
    <m/>
    <m/>
    <n v="12.96"/>
    <d v="2015-07-15T00:00:00"/>
    <n v="18.5"/>
    <d v="2015-07-06T00:00:00"/>
    <m/>
    <m/>
    <m/>
    <m/>
    <m/>
    <m/>
    <x v="127"/>
    <m/>
    <n v="25.328066528066525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180999999999997"/>
    <d v="2015-07-15T00:00:00"/>
    <m/>
    <m/>
    <m/>
    <m/>
    <n v="50.190849304199219"/>
    <d v="2015-07-15T00:00:00"/>
    <n v="18.87812614440918"/>
    <d v="2015-07-15T00:00:00"/>
    <n v="15.881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306"/>
    <s v="ANGELINA "/>
    <x v="0"/>
    <x v="0"/>
    <n v="143"/>
    <n v="8"/>
    <n v="11"/>
    <m/>
    <m/>
    <m/>
    <m/>
    <n v="8"/>
    <m/>
    <n v="4.6100000000000003"/>
    <d v="2015-07-06T00:00:00"/>
    <m/>
    <m/>
    <m/>
    <m/>
    <n v="13.97"/>
    <d v="2015-07-15T00:00:00"/>
    <n v="18.5"/>
    <d v="2015-07-06T00:00:00"/>
    <m/>
    <m/>
    <m/>
    <m/>
    <m/>
    <m/>
    <x v="128"/>
    <m/>
    <n v="25.466587466587466"/>
    <d v="2015-07-06T00:00:00"/>
    <m/>
    <m/>
    <n v="14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6.168000000000006"/>
    <d v="2015-07-15T00:00:00"/>
    <m/>
    <m/>
    <m/>
    <m/>
    <n v="53.797027587890625"/>
    <d v="2015-07-15T00:00:00"/>
    <n v="14.927047729492188"/>
    <d v="2015-07-15T00:00:00"/>
    <n v="15.106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303"/>
    <s v="ES-VIPER"/>
    <x v="0"/>
    <x v="0"/>
    <n v="140"/>
    <n v="10"/>
    <n v="6"/>
    <m/>
    <m/>
    <m/>
    <m/>
    <n v="6"/>
    <m/>
    <n v="4.6100000000000003"/>
    <d v="2015-07-06T00:00:00"/>
    <m/>
    <m/>
    <m/>
    <m/>
    <n v="12.82"/>
    <d v="2015-07-15T00:00:00"/>
    <n v="18.5"/>
    <d v="2015-07-06T00:00:00"/>
    <m/>
    <m/>
    <m/>
    <m/>
    <m/>
    <m/>
    <x v="129"/>
    <m/>
    <n v="26.02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271000000000001"/>
    <d v="2015-07-15T00:00:00"/>
    <m/>
    <m/>
    <m/>
    <m/>
    <n v="49.277580261230469"/>
    <d v="2015-07-15T00:00:00"/>
    <n v="17.540935516357422"/>
    <d v="2015-07-15T00:00:00"/>
    <n v="16.774000000000001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313"/>
    <s v="TASMAN"/>
    <x v="0"/>
    <x v="0"/>
    <n v="150"/>
    <n v="11"/>
    <n v="26"/>
    <m/>
    <m/>
    <m/>
    <m/>
    <n v="5"/>
    <m/>
    <n v="4.6399999999999997"/>
    <d v="2015-07-06T00:00:00"/>
    <m/>
    <m/>
    <m/>
    <m/>
    <n v="13.92"/>
    <d v="2015-07-15T00:00:00"/>
    <n v="18.5"/>
    <d v="2015-07-06T00:00:00"/>
    <m/>
    <m/>
    <m/>
    <m/>
    <m/>
    <m/>
    <x v="130"/>
    <m/>
    <n v="25.659875259875257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664000000000001"/>
    <d v="2015-07-15T00:00:00"/>
    <m/>
    <m/>
    <m/>
    <m/>
    <n v="53.226802825927734"/>
    <d v="2015-07-15T00:00:00"/>
    <n v="15.275317192077637"/>
    <d v="2015-07-15T00:00:00"/>
    <n v="14.72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068"/>
    <s v="Zeruca"/>
    <x v="0"/>
    <x v="0"/>
    <n v="22"/>
    <n v="12"/>
    <n v="28"/>
    <m/>
    <m/>
    <m/>
    <m/>
    <n v="8"/>
    <m/>
    <n v="4.6399999999999997"/>
    <d v="2015-07-06T00:00:00"/>
    <m/>
    <m/>
    <m/>
    <m/>
    <n v="14.14"/>
    <d v="2015-07-15T00:00:00"/>
    <n v="18.5"/>
    <d v="2015-07-06T00:00:00"/>
    <m/>
    <m/>
    <m/>
    <m/>
    <m/>
    <m/>
    <x v="131"/>
    <m/>
    <n v="25.742560142560148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8.003"/>
    <d v="2015-07-15T00:00:00"/>
    <m/>
    <m/>
    <m/>
    <m/>
    <n v="53.873710632324219"/>
    <d v="2015-07-15T00:00:00"/>
    <n v="17.171247482299805"/>
    <d v="2015-07-15T00:00:00"/>
    <n v="13.302"/>
    <d v="2015-07-15T00:00:00"/>
    <m/>
    <m/>
    <m/>
    <m/>
    <n v="6.6"/>
    <d v="2015-07-06T00:00:00"/>
    <m/>
    <m/>
    <m/>
    <m/>
    <m/>
    <m/>
    <m/>
    <n v="1"/>
    <d v="2015-06-25T00:00:00"/>
    <s v="NON VALIDE"/>
  </r>
  <r>
    <s v="RAPSO_317"/>
    <s v="RAGT-03"/>
    <x v="0"/>
    <x v="0"/>
    <n v="154"/>
    <n v="7"/>
    <n v="2"/>
    <m/>
    <m/>
    <m/>
    <m/>
    <n v="7"/>
    <m/>
    <n v="4.66"/>
    <d v="2015-07-06T00:00:00"/>
    <m/>
    <m/>
    <m/>
    <m/>
    <n v="13.87"/>
    <d v="2015-07-15T00:00:00"/>
    <n v="18.5"/>
    <d v="2015-07-06T00:00:00"/>
    <m/>
    <m/>
    <m/>
    <m/>
    <m/>
    <m/>
    <x v="132"/>
    <m/>
    <n v="26.24"/>
    <d v="2015-07-06T00:00:00"/>
    <m/>
    <m/>
    <n v="155"/>
    <m/>
    <m/>
    <m/>
    <n v="100"/>
    <m/>
    <m/>
    <m/>
    <m/>
    <m/>
    <m/>
    <m/>
    <m/>
    <m/>
    <m/>
    <m/>
    <m/>
    <m/>
    <n v="9"/>
    <m/>
    <m/>
    <m/>
    <m/>
    <m/>
    <m/>
    <m/>
    <m/>
    <m/>
    <m/>
    <m/>
    <n v="63.354999999999997"/>
    <d v="2015-07-15T00:00:00"/>
    <m/>
    <m/>
    <m/>
    <m/>
    <n v="52.846916198730469"/>
    <d v="2015-07-15T00:00:00"/>
    <n v="14.888096809387207"/>
    <d v="2015-07-15T00:00:00"/>
    <n v="19.259"/>
    <d v="2015-07-15T00:00:00"/>
    <m/>
    <m/>
    <m/>
    <m/>
    <n v="7"/>
    <d v="2015-07-06T00:00:00"/>
    <m/>
    <m/>
    <m/>
    <m/>
    <m/>
    <m/>
    <m/>
    <n v="3"/>
    <d v="2015-06-25T00:00:00"/>
    <s v="NON VALIDE"/>
  </r>
  <r>
    <s v="Montego"/>
    <s v="Montego"/>
    <x v="0"/>
    <x v="0"/>
    <n v="186"/>
    <n v="9"/>
    <n v="22"/>
    <m/>
    <m/>
    <m/>
    <m/>
    <n v="7"/>
    <m/>
    <n v="4.6900000000000004"/>
    <d v="2015-07-06T00:00:00"/>
    <m/>
    <m/>
    <m/>
    <m/>
    <n v="13.09"/>
    <d v="2015-07-15T00:00:00"/>
    <n v="18.5"/>
    <d v="2015-07-06T00:00:00"/>
    <m/>
    <m/>
    <m/>
    <m/>
    <m/>
    <m/>
    <x v="133"/>
    <m/>
    <n v="26.38"/>
    <d v="2015-07-06T00:00:00"/>
    <m/>
    <m/>
    <n v="115"/>
    <m/>
    <m/>
    <m/>
    <n v="100"/>
    <m/>
    <m/>
    <m/>
    <m/>
    <m/>
    <m/>
    <m/>
    <m/>
    <m/>
    <m/>
    <m/>
    <m/>
    <m/>
    <n v="9"/>
    <m/>
    <m/>
    <m/>
    <m/>
    <m/>
    <m/>
    <m/>
    <m/>
    <m/>
    <m/>
    <m/>
    <n v="64.36"/>
    <d v="2015-07-15T00:00:00"/>
    <m/>
    <m/>
    <m/>
    <m/>
    <n v="49.621322631835938"/>
    <d v="2015-07-15T00:00:00"/>
    <n v="19.106496810913086"/>
    <d v="2015-07-15T00:00:00"/>
    <n v="15.891999999999999"/>
    <d v="2015-07-15T00:00:00"/>
    <m/>
    <m/>
    <m/>
    <m/>
    <n v="7.1"/>
    <d v="2015-07-06T00:00:00"/>
    <m/>
    <m/>
    <m/>
    <m/>
    <m/>
    <m/>
    <m/>
    <n v="3"/>
    <d v="2015-06-25T00:00:00"/>
    <s v="NON VALIDE"/>
  </r>
  <r>
    <s v="RAPSO_342"/>
    <s v="Madora2-DS3"/>
    <x v="0"/>
    <x v="0"/>
    <n v="113"/>
    <n v="10"/>
    <n v="2"/>
    <m/>
    <m/>
    <m/>
    <m/>
    <n v="6"/>
    <m/>
    <n v="4.6900000000000004"/>
    <d v="2015-07-06T00:00:00"/>
    <m/>
    <m/>
    <m/>
    <m/>
    <n v="12.86"/>
    <d v="2015-07-15T00:00:00"/>
    <n v="18.5"/>
    <d v="2015-07-06T00:00:00"/>
    <m/>
    <m/>
    <m/>
    <m/>
    <m/>
    <m/>
    <x v="133"/>
    <m/>
    <n v="25.880665280665287"/>
    <d v="2015-07-06T00:00:00"/>
    <m/>
    <m/>
    <n v="13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137"/>
    <d v="2015-07-15T00:00:00"/>
    <m/>
    <m/>
    <m/>
    <m/>
    <n v="48.738540649414063"/>
    <d v="2015-07-15T00:00:00"/>
    <n v="18.208652496337891"/>
    <d v="2015-07-15T00:00:00"/>
    <n v="21.754999999999999"/>
    <d v="2015-07-15T00:00:00"/>
    <m/>
    <m/>
    <m/>
    <m/>
    <n v="7.1"/>
    <d v="2015-07-06T00:00:00"/>
    <m/>
    <m/>
    <m/>
    <m/>
    <m/>
    <m/>
    <m/>
    <n v="1"/>
    <d v="2015-06-25T00:00:00"/>
    <s v="NON VALIDE"/>
  </r>
  <r>
    <s v="Aviso"/>
    <s v="Aviso"/>
    <x v="1"/>
    <x v="1"/>
    <n v="24"/>
    <m/>
    <m/>
    <n v="14"/>
    <n v="4"/>
    <m/>
    <m/>
    <n v="8"/>
    <m/>
    <n v="4.7699999999999996"/>
    <d v="2015-07-06T00:00:00"/>
    <m/>
    <m/>
    <m/>
    <m/>
    <n v="13.05"/>
    <d v="2015-07-15T00:00:00"/>
    <n v="18.5"/>
    <d v="2015-07-06T00:00:00"/>
    <m/>
    <m/>
    <m/>
    <m/>
    <m/>
    <m/>
    <x v="134"/>
    <m/>
    <n v="26.43"/>
    <d v="2015-07-06T00:00:00"/>
    <m/>
    <m/>
    <n v="13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0.91"/>
    <d v="2015-07-15T00:00:00"/>
    <m/>
    <m/>
    <m/>
    <m/>
    <n v="49.39"/>
    <d v="2015-07-15T00:00:00"/>
    <n v="18.399261474609375"/>
    <d v="2015-07-15T00:00:00"/>
    <n v="21.696999999999999"/>
    <d v="2015-07-15T00:00:00"/>
    <m/>
    <m/>
    <m/>
    <m/>
    <n v="8.5"/>
    <d v="2015-07-06T00:00:00"/>
    <m/>
    <m/>
    <m/>
    <m/>
    <m/>
    <m/>
    <m/>
    <n v="9"/>
    <d v="2015-06-25T00:00:00"/>
    <s v="NON VALIDE"/>
  </r>
  <r>
    <s v="RAPSO_132"/>
    <s v="Aligator"/>
    <x v="0"/>
    <x v="0"/>
    <n v="42"/>
    <n v="11"/>
    <n v="16"/>
    <m/>
    <m/>
    <m/>
    <m/>
    <n v="8"/>
    <m/>
    <n v="4.7"/>
    <d v="2015-07-06T00:00:00"/>
    <m/>
    <m/>
    <m/>
    <m/>
    <n v="14.02"/>
    <d v="2015-07-15T00:00:00"/>
    <n v="18.5"/>
    <d v="2015-07-06T00:00:00"/>
    <m/>
    <m/>
    <m/>
    <m/>
    <m/>
    <m/>
    <x v="135"/>
    <m/>
    <n v="26.5"/>
    <d v="2015-07-06T00:00:00"/>
    <m/>
    <m/>
    <n v="14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3.304000000000002"/>
    <d v="2015-07-15T00:00:00"/>
    <m/>
    <m/>
    <m/>
    <m/>
    <n v="52.899482727050781"/>
    <d v="2015-07-15T00:00:00"/>
    <n v="15.463626861572266"/>
    <d v="2015-07-15T00:00:00"/>
    <n v="15.95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Montego"/>
    <s v="Montego"/>
    <x v="0"/>
    <x v="0"/>
    <n v="187"/>
    <n v="7"/>
    <n v="5"/>
    <m/>
    <m/>
    <m/>
    <m/>
    <n v="8"/>
    <m/>
    <n v="4.71"/>
    <d v="2015-07-06T00:00:00"/>
    <m/>
    <m/>
    <m/>
    <m/>
    <n v="13.87"/>
    <d v="2015-07-15T00:00:00"/>
    <n v="18.5"/>
    <d v="2015-07-06T00:00:00"/>
    <m/>
    <m/>
    <m/>
    <m/>
    <m/>
    <m/>
    <x v="136"/>
    <m/>
    <n v="26.01900801900802"/>
    <d v="2015-07-06T00:00:00"/>
    <m/>
    <m/>
    <n v="12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4.372"/>
    <d v="2015-07-15T00:00:00"/>
    <m/>
    <m/>
    <m/>
    <m/>
    <n v="52.271274566650391"/>
    <d v="2015-07-15T00:00:00"/>
    <n v="17.167398452758789"/>
    <d v="2015-07-15T00:00:00"/>
    <n v="11.906000000000001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261"/>
    <s v="Remy"/>
    <x v="0"/>
    <x v="0"/>
    <n v="100"/>
    <n v="9"/>
    <n v="18"/>
    <m/>
    <m/>
    <m/>
    <m/>
    <n v="5"/>
    <m/>
    <n v="4.76"/>
    <d v="2015-07-06T00:00:00"/>
    <m/>
    <m/>
    <m/>
    <m/>
    <n v="12.76"/>
    <d v="2015-07-15T00:00:00"/>
    <n v="18.5"/>
    <d v="2015-07-06T00:00:00"/>
    <m/>
    <m/>
    <m/>
    <m/>
    <m/>
    <m/>
    <x v="137"/>
    <m/>
    <n v="26.6"/>
    <d v="2015-07-06T00:00:00"/>
    <m/>
    <m/>
    <n v="13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028000000000006"/>
    <d v="2015-07-15T00:00:00"/>
    <m/>
    <m/>
    <m/>
    <m/>
    <n v="47.968280792236328"/>
    <d v="2015-07-15T00:00:00"/>
    <n v="19.410465240478516"/>
    <d v="2015-07-15T00:00:00"/>
    <n v="17.454000000000001"/>
    <d v="2015-07-15T00:00:00"/>
    <m/>
    <m/>
    <m/>
    <m/>
    <n v="7.7"/>
    <d v="2015-07-06T00:00:00"/>
    <m/>
    <m/>
    <m/>
    <m/>
    <m/>
    <m/>
    <m/>
    <n v="3"/>
    <d v="2015-06-25T00:00:00"/>
    <s v="NON VALIDE"/>
  </r>
  <r>
    <s v="RAPSO_152"/>
    <s v="Caddy"/>
    <x v="0"/>
    <x v="2"/>
    <n v="13"/>
    <m/>
    <m/>
    <n v="6"/>
    <n v="3"/>
    <m/>
    <m/>
    <n v="9"/>
    <m/>
    <n v="4.87"/>
    <d v="2015-07-06T00:00:00"/>
    <m/>
    <m/>
    <m/>
    <m/>
    <n v="12.97"/>
    <d v="2015-07-15T00:00:00"/>
    <n v="18.5"/>
    <d v="2015-07-06T00:00:00"/>
    <m/>
    <m/>
    <m/>
    <m/>
    <m/>
    <m/>
    <x v="138"/>
    <m/>
    <n v="26.92"/>
    <d v="2015-07-06T00:00:00"/>
    <m/>
    <m/>
    <n v="15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808"/>
    <d v="2015-07-15T00:00:00"/>
    <m/>
    <m/>
    <m/>
    <m/>
    <n v="48.17"/>
    <d v="2015-07-15T00:00:00"/>
    <n v="19.024341583251953"/>
    <d v="2015-07-15T00:00:00"/>
    <n v="30.286999999999999"/>
    <d v="2015-07-15T00:00:00"/>
    <m/>
    <m/>
    <m/>
    <m/>
    <n v="8.6999999999999993"/>
    <d v="2015-07-06T00:00:00"/>
    <m/>
    <m/>
    <m/>
    <m/>
    <m/>
    <m/>
    <m/>
    <n v="9"/>
    <d v="2015-06-25T00:00:00"/>
    <s v="NON VALIDE"/>
  </r>
  <r>
    <s v="RAPSO_213"/>
    <s v="Jetton"/>
    <x v="0"/>
    <x v="0"/>
    <n v="75"/>
    <n v="12"/>
    <n v="23"/>
    <m/>
    <m/>
    <m/>
    <m/>
    <n v="7"/>
    <m/>
    <n v="4.78"/>
    <d v="2015-07-06T00:00:00"/>
    <m/>
    <m/>
    <m/>
    <m/>
    <n v="13.52"/>
    <d v="2015-07-15T00:00:00"/>
    <n v="18.5"/>
    <d v="2015-07-06T00:00:00"/>
    <m/>
    <m/>
    <m/>
    <m/>
    <m/>
    <m/>
    <x v="139"/>
    <m/>
    <n v="26.462488862488872"/>
    <d v="2015-07-06T00:00:00"/>
    <m/>
    <m/>
    <n v="12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302"/>
    <d v="2015-07-15T00:00:00"/>
    <m/>
    <m/>
    <m/>
    <m/>
    <n v="50.117607116699219"/>
    <d v="2015-07-15T00:00:00"/>
    <n v="18.445823669433594"/>
    <d v="2015-07-15T00:00:00"/>
    <n v="17.675999999999998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Aviso"/>
    <s v="Aviso"/>
    <x v="0"/>
    <x v="0"/>
    <n v="182"/>
    <n v="10"/>
    <n v="9"/>
    <m/>
    <m/>
    <m/>
    <m/>
    <n v="8"/>
    <m/>
    <n v="4.8099999999999996"/>
    <d v="2015-07-06T00:00:00"/>
    <m/>
    <m/>
    <m/>
    <m/>
    <n v="13.21"/>
    <d v="2015-07-15T00:00:00"/>
    <n v="18.5"/>
    <d v="2015-07-06T00:00:00"/>
    <m/>
    <m/>
    <m/>
    <m/>
    <m/>
    <m/>
    <x v="140"/>
    <m/>
    <n v="26.514285714285709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125999999999998"/>
    <d v="2015-07-15T00:00:00"/>
    <m/>
    <m/>
    <m/>
    <m/>
    <n v="48.871871948242188"/>
    <d v="2015-07-15T00:00:00"/>
    <n v="18.592174530029297"/>
    <d v="2015-07-15T00:00:00"/>
    <n v="19.484000000000002"/>
    <d v="2015-07-15T00:00:00"/>
    <m/>
    <m/>
    <m/>
    <m/>
    <n v="7.2"/>
    <d v="2015-07-06T00:00:00"/>
    <m/>
    <m/>
    <m/>
    <m/>
    <m/>
    <m/>
    <m/>
    <n v="1"/>
    <d v="2015-06-25T00:00:00"/>
    <s v="NON VALIDE"/>
  </r>
  <r>
    <s v="RAPSO_480"/>
    <s v="SYNG12"/>
    <x v="0"/>
    <x v="0"/>
    <n v="180"/>
    <n v="11"/>
    <n v="25"/>
    <m/>
    <m/>
    <m/>
    <m/>
    <n v="3"/>
    <m/>
    <n v="4.8099999999999996"/>
    <d v="2015-07-06T00:00:00"/>
    <m/>
    <m/>
    <m/>
    <m/>
    <n v="14.32"/>
    <d v="2015-07-15T00:00:00"/>
    <n v="18.5"/>
    <d v="2015-07-06T00:00:00"/>
    <m/>
    <m/>
    <m/>
    <m/>
    <m/>
    <m/>
    <x v="141"/>
    <m/>
    <n v="26.571428571428566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007999999999996"/>
    <d v="2015-07-15T00:00:00"/>
    <m/>
    <m/>
    <m/>
    <m/>
    <n v="52.851448059082031"/>
    <d v="2015-07-15T00:00:00"/>
    <n v="14.143829345703125"/>
    <d v="2015-07-15T00:00:00"/>
    <n v="14.977"/>
    <d v="2015-07-15T00:00:00"/>
    <m/>
    <m/>
    <m/>
    <m/>
    <n v="7"/>
    <d v="2015-07-06T00:00:00"/>
    <m/>
    <m/>
    <m/>
    <m/>
    <m/>
    <m/>
    <m/>
    <n v="1"/>
    <d v="2015-06-25T00:00:00"/>
    <s v="NON VALIDE"/>
  </r>
  <r>
    <s v="Aviso"/>
    <s v="Aviso"/>
    <x v="0"/>
    <x v="0"/>
    <n v="184"/>
    <n v="8"/>
    <n v="10"/>
    <m/>
    <m/>
    <m/>
    <m/>
    <n v="7"/>
    <m/>
    <n v="4.8099999999999996"/>
    <d v="2015-07-06T00:00:00"/>
    <m/>
    <m/>
    <m/>
    <m/>
    <n v="13.75"/>
    <d v="2015-07-15T00:00:00"/>
    <n v="18.5"/>
    <d v="2015-07-06T00:00:00"/>
    <m/>
    <m/>
    <m/>
    <m/>
    <m/>
    <m/>
    <x v="142"/>
    <m/>
    <n v="26.599999999999991"/>
    <d v="2015-07-06T00:00:00"/>
    <m/>
    <m/>
    <n v="14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2.761000000000003"/>
    <d v="2015-07-15T00:00:00"/>
    <m/>
    <m/>
    <m/>
    <m/>
    <n v="50.708885192871094"/>
    <d v="2015-07-15T00:00:00"/>
    <n v="16.971591949462891"/>
    <d v="2015-07-15T00:00:00"/>
    <n v="17.417000000000002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321"/>
    <s v="RAGT-07"/>
    <x v="0"/>
    <x v="0"/>
    <n v="158"/>
    <n v="11"/>
    <n v="24"/>
    <m/>
    <m/>
    <m/>
    <m/>
    <n v="6"/>
    <m/>
    <n v="4.8600000000000003"/>
    <d v="2015-07-06T00:00:00"/>
    <m/>
    <m/>
    <m/>
    <m/>
    <n v="14.61"/>
    <d v="2015-07-15T00:00:00"/>
    <n v="18.5"/>
    <d v="2015-07-06T00:00:00"/>
    <m/>
    <m/>
    <m/>
    <m/>
    <m/>
    <m/>
    <x v="143"/>
    <m/>
    <n v="26.876507276507276"/>
    <d v="2015-07-06T00:00:00"/>
    <m/>
    <m/>
    <n v="14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5.274000000000001"/>
    <d v="2015-07-15T00:00:00"/>
    <m/>
    <m/>
    <m/>
    <m/>
    <n v="53.328475952148438"/>
    <d v="2015-07-15T00:00:00"/>
    <n v="15.839399337768555"/>
    <d v="2015-07-15T00:00:00"/>
    <n v="17.347999999999999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479"/>
    <s v="SYNG11"/>
    <x v="0"/>
    <x v="0"/>
    <n v="179"/>
    <n v="12"/>
    <n v="1"/>
    <m/>
    <m/>
    <m/>
    <m/>
    <n v="7"/>
    <m/>
    <n v="4.9800000000000004"/>
    <d v="2015-07-06T00:00:00"/>
    <m/>
    <m/>
    <m/>
    <m/>
    <n v="14.15"/>
    <d v="2015-07-15T00:00:00"/>
    <n v="18.5"/>
    <d v="2015-07-06T00:00:00"/>
    <m/>
    <m/>
    <m/>
    <m/>
    <m/>
    <m/>
    <x v="144"/>
    <m/>
    <n v="27.96"/>
    <d v="2015-07-06T00:00:00"/>
    <m/>
    <m/>
    <n v="12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4.11"/>
    <d v="2015-07-15T00:00:00"/>
    <m/>
    <m/>
    <m/>
    <m/>
    <n v="50.618080139160156"/>
    <d v="2015-07-15T00:00:00"/>
    <n v="17.336227416992187"/>
    <d v="2015-07-15T00:00:00"/>
    <n v="20.048999999999999"/>
    <d v="2015-07-15T00:00:00"/>
    <m/>
    <m/>
    <m/>
    <m/>
    <n v="7.3"/>
    <d v="2015-07-06T00:00:00"/>
    <m/>
    <m/>
    <m/>
    <m/>
    <m/>
    <m/>
    <m/>
    <n v="3"/>
    <d v="2015-06-25T00:00:00"/>
    <s v="NON VALIDE"/>
  </r>
  <r>
    <s v="RAPSO_312"/>
    <s v="PAMELA"/>
    <x v="0"/>
    <x v="0"/>
    <n v="149"/>
    <n v="7"/>
    <n v="6"/>
    <m/>
    <m/>
    <m/>
    <m/>
    <n v="8"/>
    <m/>
    <n v="5.01"/>
    <d v="2015-07-06T00:00:00"/>
    <m/>
    <m/>
    <m/>
    <m/>
    <n v="15.15"/>
    <d v="2015-07-15T00:00:00"/>
    <n v="18.5"/>
    <d v="2015-07-06T00:00:00"/>
    <m/>
    <m/>
    <m/>
    <m/>
    <m/>
    <m/>
    <x v="145"/>
    <m/>
    <n v="28.31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674999999999997"/>
    <d v="2015-07-15T00:00:00"/>
    <m/>
    <m/>
    <m/>
    <m/>
    <n v="53.509841918945313"/>
    <d v="2015-07-15T00:00:00"/>
    <n v="14.685662269592285"/>
    <d v="2015-07-15T00:00:00"/>
    <n v="15.96"/>
    <d v="2015-07-15T00:00:00"/>
    <m/>
    <m/>
    <m/>
    <m/>
    <n v="6.7"/>
    <d v="2015-07-06T00:00:00"/>
    <m/>
    <m/>
    <m/>
    <m/>
    <m/>
    <m/>
    <m/>
    <n v="3"/>
    <d v="2015-06-25T00:00:00"/>
    <s v="NON VALIDE"/>
  </r>
  <r>
    <s v="RAPSO_062"/>
    <s v="Titus"/>
    <x v="0"/>
    <x v="0"/>
    <n v="20"/>
    <n v="10"/>
    <n v="19"/>
    <m/>
    <m/>
    <m/>
    <m/>
    <n v="8"/>
    <m/>
    <n v="5.0599999999999996"/>
    <d v="2015-07-06T00:00:00"/>
    <m/>
    <m/>
    <m/>
    <m/>
    <n v="13.08"/>
    <d v="2015-07-15T00:00:00"/>
    <n v="18.5"/>
    <d v="2015-07-06T00:00:00"/>
    <m/>
    <m/>
    <m/>
    <m/>
    <m/>
    <m/>
    <x v="146"/>
    <m/>
    <n v="28.43"/>
    <d v="2015-07-06T00:00:00"/>
    <m/>
    <m/>
    <n v="13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974000000000004"/>
    <d v="2015-07-15T00:00:00"/>
    <m/>
    <m/>
    <m/>
    <m/>
    <n v="46.006362915039063"/>
    <d v="2015-07-15T00:00:00"/>
    <n v="20.994571685791016"/>
    <d v="2015-07-15T00:00:00"/>
    <n v="60.753"/>
    <d v="2015-07-15T00:00:00"/>
    <m/>
    <m/>
    <m/>
    <m/>
    <n v="7.2"/>
    <d v="2015-07-06T00:00:00"/>
    <m/>
    <m/>
    <m/>
    <m/>
    <m/>
    <m/>
    <m/>
    <n v="3"/>
    <d v="2015-06-25T00:00:00"/>
    <s v="NON VALIDE"/>
  </r>
  <r>
    <s v="RAPSO_263"/>
    <s v="Rocket"/>
    <x v="0"/>
    <x v="0"/>
    <n v="101"/>
    <n v="10"/>
    <n v="23"/>
    <m/>
    <m/>
    <m/>
    <m/>
    <n v="7"/>
    <m/>
    <n v="5.0599999999999996"/>
    <d v="2015-07-06T00:00:00"/>
    <m/>
    <m/>
    <m/>
    <m/>
    <n v="13.64"/>
    <d v="2015-07-15T00:00:00"/>
    <n v="18.5"/>
    <d v="2015-07-06T00:00:00"/>
    <m/>
    <m/>
    <m/>
    <m/>
    <m/>
    <m/>
    <x v="147"/>
    <m/>
    <n v="27.952479952479948"/>
    <d v="2015-07-06T00:00:00"/>
    <m/>
    <m/>
    <n v="12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3.326000000000001"/>
    <d v="2015-07-15T00:00:00"/>
    <m/>
    <m/>
    <m/>
    <m/>
    <n v="47.858810424804688"/>
    <d v="2015-07-15T00:00:00"/>
    <n v="18.194223403930664"/>
    <d v="2015-07-15T00:00:00"/>
    <n v="18.693999999999999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070"/>
    <s v="Askari"/>
    <x v="0"/>
    <x v="0"/>
    <n v="23"/>
    <n v="10"/>
    <n v="13"/>
    <m/>
    <m/>
    <m/>
    <m/>
    <n v="9"/>
    <m/>
    <n v="5.08"/>
    <d v="2015-07-06T00:00:00"/>
    <m/>
    <m/>
    <m/>
    <m/>
    <n v="13.9"/>
    <d v="2015-07-15T00:00:00"/>
    <n v="18.5"/>
    <d v="2015-07-06T00:00:00"/>
    <m/>
    <m/>
    <m/>
    <m/>
    <m/>
    <m/>
    <x v="148"/>
    <m/>
    <n v="28.58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685000000000002"/>
    <d v="2015-07-15T00:00:00"/>
    <m/>
    <m/>
    <m/>
    <m/>
    <n v="48.627571105957031"/>
    <d v="2015-07-15T00:00:00"/>
    <n v="19.230489730834961"/>
    <d v="2015-07-15T00:00:00"/>
    <n v="54.71"/>
    <d v="2015-07-15T00:00:00"/>
    <m/>
    <m/>
    <m/>
    <m/>
    <n v="7.1"/>
    <d v="2015-07-06T00:00:00"/>
    <m/>
    <m/>
    <m/>
    <m/>
    <m/>
    <m/>
    <m/>
    <n v="5"/>
    <d v="2015-06-25T00:00:00"/>
    <s v="NON VALIDE"/>
  </r>
  <r>
    <s v="RAPSO_305"/>
    <s v="AMILLIA"/>
    <x v="0"/>
    <x v="0"/>
    <n v="142"/>
    <n v="10"/>
    <n v="3"/>
    <m/>
    <m/>
    <m/>
    <m/>
    <n v="7"/>
    <m/>
    <n v="5.17"/>
    <d v="2015-07-06T00:00:00"/>
    <m/>
    <m/>
    <m/>
    <m/>
    <n v="15.22"/>
    <d v="2015-07-15T00:00:00"/>
    <n v="18.5"/>
    <d v="2015-07-06T00:00:00"/>
    <m/>
    <m/>
    <m/>
    <m/>
    <m/>
    <m/>
    <x v="149"/>
    <m/>
    <n v="28.406593406593405"/>
    <d v="2015-07-06T00:00:00"/>
    <m/>
    <m/>
    <n v="12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239999999999995"/>
    <d v="2015-07-15T00:00:00"/>
    <m/>
    <m/>
    <m/>
    <m/>
    <n v="52.572624206542969"/>
    <d v="2015-07-15T00:00:00"/>
    <n v="17.026548385620117"/>
    <d v="2015-07-15T00:00:00"/>
    <n v="15.673999999999999"/>
    <d v="2015-07-15T00:00:00"/>
    <m/>
    <m/>
    <m/>
    <m/>
    <n v="7.5"/>
    <d v="2015-07-06T00:00:00"/>
    <m/>
    <m/>
    <m/>
    <m/>
    <m/>
    <m/>
    <m/>
    <n v="1"/>
    <d v="2015-06-25T00:00:00"/>
    <s v="NON VALIDE"/>
  </r>
  <r>
    <s v="RAPSO_308"/>
    <s v="LADOGA "/>
    <x v="0"/>
    <x v="0"/>
    <n v="145"/>
    <n v="12"/>
    <n v="11"/>
    <m/>
    <m/>
    <m/>
    <m/>
    <n v="8"/>
    <m/>
    <n v="5.16"/>
    <d v="2015-07-06T00:00:00"/>
    <m/>
    <m/>
    <m/>
    <m/>
    <n v="14.9"/>
    <d v="2015-07-15T00:00:00"/>
    <n v="18.5"/>
    <d v="2015-07-06T00:00:00"/>
    <m/>
    <m/>
    <m/>
    <m/>
    <m/>
    <m/>
    <x v="150"/>
    <m/>
    <n v="28.474250074250076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106999999999999"/>
    <d v="2015-07-15T00:00:00"/>
    <m/>
    <m/>
    <m/>
    <m/>
    <n v="51.336944580078125"/>
    <d v="2015-07-15T00:00:00"/>
    <n v="16.797849655151367"/>
    <d v="2015-07-15T00:00:00"/>
    <n v="14.172000000000001"/>
    <d v="2015-07-15T00:00:00"/>
    <m/>
    <m/>
    <m/>
    <m/>
    <n v="7.1"/>
    <d v="2015-07-06T00:00:00"/>
    <m/>
    <m/>
    <m/>
    <m/>
    <m/>
    <m/>
    <m/>
    <n v="1"/>
    <d v="2015-06-25T00:00:00"/>
    <s v="NON VALIDE"/>
  </r>
  <r>
    <s v="RAPSO_160"/>
    <s v="Capricorn"/>
    <x v="0"/>
    <x v="0"/>
    <n v="54"/>
    <n v="10"/>
    <n v="31"/>
    <m/>
    <m/>
    <m/>
    <m/>
    <n v="6"/>
    <m/>
    <n v="5.17"/>
    <d v="2015-07-06T00:00:00"/>
    <m/>
    <m/>
    <m/>
    <m/>
    <n v="14.32"/>
    <d v="2015-07-15T00:00:00"/>
    <n v="18.5"/>
    <d v="2015-07-06T00:00:00"/>
    <m/>
    <m/>
    <m/>
    <m/>
    <m/>
    <m/>
    <x v="151"/>
    <m/>
    <n v="28.498722898722896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0.686999999999998"/>
    <d v="2015-07-15T00:00:00"/>
    <m/>
    <m/>
    <m/>
    <m/>
    <n v="49.286781311035156"/>
    <d v="2015-07-15T00:00:00"/>
    <n v="18.127197265625"/>
    <d v="2015-07-15T00:00:00"/>
    <n v="19.195"/>
    <d v="2015-07-15T00:00:00"/>
    <m/>
    <m/>
    <m/>
    <m/>
    <n v="7.2"/>
    <d v="2015-07-06T00:00:00"/>
    <m/>
    <m/>
    <m/>
    <m/>
    <m/>
    <m/>
    <m/>
    <n v="1"/>
    <d v="2015-06-25T00:00:00"/>
    <s v="NON VALIDE"/>
  </r>
  <r>
    <s v="Aviso"/>
    <s v="Aviso"/>
    <x v="0"/>
    <x v="2"/>
    <n v="24"/>
    <m/>
    <m/>
    <n v="6"/>
    <n v="1"/>
    <m/>
    <m/>
    <n v="8"/>
    <m/>
    <n v="5.29"/>
    <d v="2015-07-06T00:00:00"/>
    <m/>
    <m/>
    <m/>
    <m/>
    <n v="14.77"/>
    <d v="2015-07-15T00:00:00"/>
    <n v="18.5"/>
    <d v="2015-07-06T00:00:00"/>
    <m/>
    <m/>
    <m/>
    <m/>
    <m/>
    <m/>
    <x v="152"/>
    <m/>
    <n v="29.09"/>
    <d v="2015-07-06T00:00:00"/>
    <m/>
    <m/>
    <n v="14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2.567999999999998"/>
    <d v="2015-07-15T00:00:00"/>
    <m/>
    <m/>
    <m/>
    <m/>
    <n v="50.78"/>
    <d v="2015-07-15T00:00:00"/>
    <n v="17.442237854003906"/>
    <d v="2015-07-15T00:00:00"/>
    <n v="15.101000000000001"/>
    <d v="2015-07-15T00:00:00"/>
    <m/>
    <m/>
    <m/>
    <m/>
    <n v="9.1999999999999993"/>
    <d v="2015-07-06T00:00:00"/>
    <m/>
    <m/>
    <m/>
    <m/>
    <m/>
    <m/>
    <m/>
    <n v="9"/>
    <d v="2015-06-25T00:00:00"/>
    <s v="NON VALIDE"/>
  </r>
  <r>
    <s v="RAPSO_187"/>
    <s v="Escort"/>
    <x v="0"/>
    <x v="0"/>
    <n v="66"/>
    <n v="9"/>
    <n v="23"/>
    <m/>
    <m/>
    <m/>
    <m/>
    <n v="9"/>
    <m/>
    <n v="5.22"/>
    <d v="2015-07-06T00:00:00"/>
    <m/>
    <m/>
    <m/>
    <m/>
    <n v="13.69"/>
    <d v="2015-07-15T00:00:00"/>
    <n v="18.5"/>
    <d v="2015-07-06T00:00:00"/>
    <m/>
    <m/>
    <m/>
    <m/>
    <m/>
    <m/>
    <x v="153"/>
    <m/>
    <n v="29.4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289000000000001"/>
    <d v="2015-07-15T00:00:00"/>
    <m/>
    <m/>
    <m/>
    <m/>
    <n v="46.561355590820313"/>
    <d v="2015-07-15T00:00:00"/>
    <n v="20.761423110961914"/>
    <d v="2015-07-15T00:00:00"/>
    <n v="23.672000000000001"/>
    <d v="2015-07-15T00:00:00"/>
    <m/>
    <m/>
    <m/>
    <m/>
    <n v="7"/>
    <d v="2015-07-06T00:00:00"/>
    <m/>
    <m/>
    <m/>
    <m/>
    <m/>
    <m/>
    <m/>
    <n v="5"/>
    <d v="2015-06-25T00:00:00"/>
    <s v="NON VALIDE"/>
  </r>
  <r>
    <s v="RAPSO_156"/>
    <s v="Cancan"/>
    <x v="0"/>
    <x v="0"/>
    <n v="52"/>
    <n v="10"/>
    <n v="30"/>
    <m/>
    <m/>
    <m/>
    <m/>
    <n v="3"/>
    <m/>
    <n v="5.22"/>
    <d v="2015-07-06T00:00:00"/>
    <m/>
    <m/>
    <m/>
    <m/>
    <n v="14.18"/>
    <d v="2015-07-15T00:00:00"/>
    <n v="18.5"/>
    <d v="2015-07-06T00:00:00"/>
    <m/>
    <m/>
    <m/>
    <m/>
    <m/>
    <m/>
    <x v="154"/>
    <m/>
    <n v="29.46"/>
    <d v="2015-07-06T00:00:00"/>
    <m/>
    <m/>
    <n v="12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2.622999999999998"/>
    <d v="2015-07-15T00:00:00"/>
    <m/>
    <m/>
    <m/>
    <m/>
    <n v="48.147544860839844"/>
    <d v="2015-07-15T00:00:00"/>
    <n v="18.956031799316406"/>
    <d v="2015-07-15T00:00:00"/>
    <n v="20.786000000000001"/>
    <d v="2015-07-15T00:00:00"/>
    <m/>
    <m/>
    <m/>
    <m/>
    <n v="6.8"/>
    <d v="2015-07-06T00:00:00"/>
    <m/>
    <m/>
    <m/>
    <m/>
    <m/>
    <m/>
    <m/>
    <n v="3"/>
    <d v="2015-06-25T00:00:00"/>
    <s v="NON VALIDE"/>
  </r>
  <r>
    <s v="RAPSO_302"/>
    <s v="ES-VENUS"/>
    <x v="0"/>
    <x v="0"/>
    <n v="139"/>
    <n v="12"/>
    <n v="27"/>
    <m/>
    <m/>
    <m/>
    <m/>
    <n v="9"/>
    <m/>
    <n v="5.24"/>
    <d v="2015-07-06T00:00:00"/>
    <m/>
    <m/>
    <m/>
    <m/>
    <n v="15.18"/>
    <d v="2015-07-15T00:00:00"/>
    <n v="18.5"/>
    <d v="2015-07-06T00:00:00"/>
    <m/>
    <m/>
    <m/>
    <m/>
    <m/>
    <m/>
    <x v="155"/>
    <m/>
    <n v="28.977962577962572"/>
    <d v="2015-07-06T00:00:00"/>
    <m/>
    <m/>
    <n v="13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5.497"/>
    <d v="2015-07-15T00:00:00"/>
    <m/>
    <m/>
    <m/>
    <m/>
    <n v="51.383209228515625"/>
    <d v="2015-07-15T00:00:00"/>
    <n v="17.742317199707031"/>
    <d v="2015-07-15T00:00:00"/>
    <n v="18.193999999999999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295"/>
    <s v="ES-ALEGRIA"/>
    <x v="0"/>
    <x v="0"/>
    <n v="132"/>
    <n v="8"/>
    <n v="16"/>
    <m/>
    <m/>
    <m/>
    <m/>
    <n v="8"/>
    <m/>
    <n v="5.27"/>
    <d v="2015-07-06T00:00:00"/>
    <m/>
    <m/>
    <m/>
    <m/>
    <n v="15.39"/>
    <d v="2015-07-15T00:00:00"/>
    <n v="18.5"/>
    <d v="2015-07-06T00:00:00"/>
    <m/>
    <m/>
    <m/>
    <m/>
    <m/>
    <m/>
    <x v="156"/>
    <m/>
    <n v="29.143866943866936"/>
    <d v="2015-07-06T00:00:00"/>
    <m/>
    <m/>
    <n v="130"/>
    <m/>
    <m/>
    <m/>
    <n v="100"/>
    <m/>
    <m/>
    <m/>
    <m/>
    <m/>
    <m/>
    <m/>
    <m/>
    <m/>
    <m/>
    <m/>
    <m/>
    <m/>
    <n v="3"/>
    <m/>
    <m/>
    <m/>
    <m/>
    <m/>
    <m/>
    <m/>
    <m/>
    <m/>
    <m/>
    <m/>
    <n v="63.155999999999999"/>
    <d v="2015-07-15T00:00:00"/>
    <m/>
    <m/>
    <m/>
    <m/>
    <n v="51.787864685058594"/>
    <d v="2015-07-15T00:00:00"/>
    <n v="16.434223175048828"/>
    <d v="2015-07-15T00:00:00"/>
    <n v="11.079000000000001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471"/>
    <s v="RAPSO_Compl_02 (euralis)"/>
    <x v="0"/>
    <x v="0"/>
    <n v="173"/>
    <n v="9"/>
    <n v="19"/>
    <m/>
    <m/>
    <m/>
    <m/>
    <n v="7"/>
    <m/>
    <n v="5.34"/>
    <d v="2015-07-06T00:00:00"/>
    <m/>
    <m/>
    <m/>
    <m/>
    <n v="14.46"/>
    <d v="2015-07-15T00:00:00"/>
    <n v="18.5"/>
    <d v="2015-07-06T00:00:00"/>
    <m/>
    <m/>
    <m/>
    <m/>
    <m/>
    <m/>
    <x v="157"/>
    <m/>
    <n v="29.94"/>
    <d v="2015-07-06T00:00:00"/>
    <m/>
    <m/>
    <n v="12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3.402999999999999"/>
    <d v="2015-07-15T00:00:00"/>
    <m/>
    <m/>
    <m/>
    <m/>
    <n v="48.280258178710937"/>
    <d v="2015-07-15T00:00:00"/>
    <n v="19.539827346801758"/>
    <d v="2015-07-15T00:00:00"/>
    <n v="20.978999999999999"/>
    <d v="2015-07-15T00:00:00"/>
    <m/>
    <m/>
    <m/>
    <m/>
    <n v="7.4"/>
    <d v="2015-07-06T00:00:00"/>
    <m/>
    <m/>
    <m/>
    <m/>
    <m/>
    <m/>
    <m/>
    <n v="5"/>
    <d v="2015-06-25T00:00:00"/>
    <s v="NON VALIDE"/>
  </r>
  <r>
    <s v="RAPSO_260"/>
    <s v="Recital"/>
    <x v="0"/>
    <x v="0"/>
    <n v="99"/>
    <n v="10"/>
    <n v="18"/>
    <m/>
    <m/>
    <m/>
    <m/>
    <n v="7"/>
    <m/>
    <n v="5.38"/>
    <d v="2015-07-06T00:00:00"/>
    <m/>
    <m/>
    <m/>
    <m/>
    <n v="14.96"/>
    <d v="2015-07-15T00:00:00"/>
    <n v="18.5"/>
    <d v="2015-07-06T00:00:00"/>
    <m/>
    <m/>
    <m/>
    <m/>
    <m/>
    <m/>
    <x v="158"/>
    <m/>
    <n v="29.752182952182945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884999999999998"/>
    <d v="2015-07-15T00:00:00"/>
    <m/>
    <m/>
    <m/>
    <m/>
    <n v="49.335113525390625"/>
    <d v="2015-07-15T00:00:00"/>
    <n v="19.408342361450195"/>
    <d v="2015-07-15T00:00:00"/>
    <n v="15.253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Montego"/>
    <s v="Montego"/>
    <x v="0"/>
    <x v="0"/>
    <n v="188"/>
    <n v="10"/>
    <n v="20"/>
    <m/>
    <m/>
    <m/>
    <m/>
    <n v="5"/>
    <m/>
    <n v="5.4"/>
    <d v="2015-07-06T00:00:00"/>
    <m/>
    <m/>
    <m/>
    <m/>
    <n v="14.61"/>
    <d v="2015-07-15T00:00:00"/>
    <n v="18.5"/>
    <d v="2015-07-06T00:00:00"/>
    <m/>
    <m/>
    <m/>
    <m/>
    <m/>
    <m/>
    <x v="159"/>
    <m/>
    <n v="29.798633798633805"/>
    <d v="2015-07-06T00:00:00"/>
    <m/>
    <m/>
    <n v="12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2.707999999999998"/>
    <d v="2015-07-15T00:00:00"/>
    <m/>
    <m/>
    <m/>
    <m/>
    <n v="48.103683471679688"/>
    <d v="2015-07-15T00:00:00"/>
    <n v="19.570417404174805"/>
    <d v="2015-07-15T00:00:00"/>
    <n v="14.340999999999999"/>
    <d v="2015-07-15T00:00:00"/>
    <m/>
    <m/>
    <m/>
    <m/>
    <n v="7.1"/>
    <d v="2015-07-06T00:00:00"/>
    <m/>
    <m/>
    <m/>
    <m/>
    <m/>
    <m/>
    <m/>
    <n v="1"/>
    <d v="2015-06-25T00:00:00"/>
    <s v="NON VALIDE"/>
  </r>
  <r>
    <s v="RAPSO_029"/>
    <s v="Markus"/>
    <x v="0"/>
    <x v="0"/>
    <n v="8"/>
    <n v="9"/>
    <n v="7"/>
    <m/>
    <m/>
    <m/>
    <m/>
    <n v="8"/>
    <m/>
    <n v="5.4"/>
    <d v="2015-07-06T00:00:00"/>
    <m/>
    <m/>
    <m/>
    <m/>
    <n v="15.35"/>
    <d v="2015-07-15T00:00:00"/>
    <n v="18.5"/>
    <d v="2015-07-06T00:00:00"/>
    <m/>
    <m/>
    <m/>
    <m/>
    <m/>
    <m/>
    <x v="160"/>
    <m/>
    <n v="30.44"/>
    <d v="2015-07-06T00:00:00"/>
    <m/>
    <m/>
    <n v="165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5.247"/>
    <d v="2015-07-15T00:00:00"/>
    <m/>
    <m/>
    <m/>
    <m/>
    <n v="50.431316375732422"/>
    <d v="2015-07-15T00:00:00"/>
    <n v="19.871225357055664"/>
    <d v="2015-07-15T00:00:00"/>
    <n v="54.360999999999997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RAPSO_076"/>
    <s v="Bienvenu - R33"/>
    <x v="0"/>
    <x v="0"/>
    <n v="27"/>
    <n v="10"/>
    <n v="8"/>
    <m/>
    <m/>
    <m/>
    <m/>
    <n v="7"/>
    <m/>
    <n v="5.39"/>
    <d v="2015-07-06T00:00:00"/>
    <m/>
    <m/>
    <m/>
    <m/>
    <n v="15.54"/>
    <d v="2015-07-15T00:00:00"/>
    <n v="18.5"/>
    <d v="2015-07-06T00:00:00"/>
    <m/>
    <m/>
    <m/>
    <m/>
    <m/>
    <m/>
    <x v="161"/>
    <m/>
    <n v="29.871517671517669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430999999999997"/>
    <d v="2015-07-15T00:00:00"/>
    <m/>
    <m/>
    <m/>
    <m/>
    <n v="51.044281005859375"/>
    <d v="2015-07-15T00:00:00"/>
    <n v="17.634788513183594"/>
    <d v="2015-07-15T00:00:00"/>
    <n v="50.396999999999998"/>
    <d v="2015-07-15T00:00:00"/>
    <m/>
    <m/>
    <m/>
    <m/>
    <n v="6.7"/>
    <d v="2015-07-06T00:00:00"/>
    <m/>
    <m/>
    <m/>
    <m/>
    <m/>
    <m/>
    <m/>
    <n v="1"/>
    <d v="2015-06-25T00:00:00"/>
    <s v="NON VALIDE"/>
  </r>
  <r>
    <s v="RAPSO_226"/>
    <s v="Lioness"/>
    <x v="0"/>
    <x v="0"/>
    <n v="81"/>
    <n v="9"/>
    <n v="1"/>
    <m/>
    <m/>
    <m/>
    <m/>
    <n v="7"/>
    <m/>
    <n v="5.48"/>
    <d v="2015-07-06T00:00:00"/>
    <m/>
    <m/>
    <m/>
    <m/>
    <n v="15.62"/>
    <d v="2015-07-15T00:00:00"/>
    <n v="18.5"/>
    <d v="2015-07-06T00:00:00"/>
    <m/>
    <m/>
    <m/>
    <m/>
    <m/>
    <m/>
    <x v="162"/>
    <m/>
    <n v="30.89"/>
    <d v="2015-07-06T00:00:00"/>
    <m/>
    <m/>
    <n v="14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6.185000000000002"/>
    <d v="2015-07-15T00:00:00"/>
    <m/>
    <m/>
    <m/>
    <m/>
    <n v="50.570346832275391"/>
    <d v="2015-07-15T00:00:00"/>
    <n v="19.132112503051758"/>
    <d v="2015-07-15T00:00:00"/>
    <n v="13.926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RAPSO_356"/>
    <s v="Regal2-DS1"/>
    <x v="0"/>
    <x v="0"/>
    <n v="115"/>
    <n v="12"/>
    <n v="19"/>
    <m/>
    <m/>
    <m/>
    <m/>
    <n v="9"/>
    <m/>
    <n v="5.49"/>
    <d v="2015-07-06T00:00:00"/>
    <m/>
    <m/>
    <m/>
    <m/>
    <n v="15.46"/>
    <d v="2015-07-15T00:00:00"/>
    <n v="18.5"/>
    <d v="2015-07-06T00:00:00"/>
    <m/>
    <m/>
    <m/>
    <m/>
    <m/>
    <m/>
    <x v="163"/>
    <m/>
    <n v="30.3931095931096"/>
    <d v="2015-07-06T00:00:00"/>
    <m/>
    <m/>
    <n v="15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186000000000007"/>
    <d v="2015-07-15T00:00:00"/>
    <m/>
    <m/>
    <m/>
    <m/>
    <n v="49.914535522460938"/>
    <d v="2015-07-15T00:00:00"/>
    <n v="19.382150650024414"/>
    <d v="2015-07-15T00:00:00"/>
    <n v="62.756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MP001"/>
    <s v="Astrid"/>
    <x v="0"/>
    <x v="0"/>
    <n v="129"/>
    <n v="12"/>
    <n v="26"/>
    <m/>
    <m/>
    <m/>
    <m/>
    <n v="5"/>
    <m/>
    <n v="5.6"/>
    <d v="2015-07-06T00:00:00"/>
    <m/>
    <m/>
    <m/>
    <m/>
    <n v="15.49"/>
    <d v="2015-07-15T00:00:00"/>
    <n v="18.5"/>
    <d v="2015-07-06T00:00:00"/>
    <m/>
    <m/>
    <m/>
    <m/>
    <m/>
    <m/>
    <x v="164"/>
    <m/>
    <n v="30.968814968814961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274000000000001"/>
    <d v="2015-07-15T00:00:00"/>
    <m/>
    <m/>
    <m/>
    <m/>
    <n v="49.065620422363281"/>
    <d v="2015-07-15T00:00:00"/>
    <n v="18.244712829589844"/>
    <d v="2015-07-15T00:00:00"/>
    <n v="24.277000000000001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477"/>
    <s v="RAGT-14"/>
    <x v="0"/>
    <x v="0"/>
    <n v="177"/>
    <n v="11"/>
    <n v="17"/>
    <m/>
    <m/>
    <m/>
    <m/>
    <n v="8"/>
    <m/>
    <n v="5.59"/>
    <d v="2015-07-06T00:00:00"/>
    <m/>
    <m/>
    <m/>
    <m/>
    <n v="17.37"/>
    <d v="2015-07-15T00:00:00"/>
    <n v="18.5"/>
    <d v="2015-07-06T00:00:00"/>
    <m/>
    <m/>
    <m/>
    <m/>
    <m/>
    <m/>
    <x v="165"/>
    <m/>
    <n v="31.013127413127414"/>
    <d v="2015-07-06T00:00:00"/>
    <m/>
    <m/>
    <n v="14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6.823999999999998"/>
    <d v="2015-07-15T00:00:00"/>
    <m/>
    <m/>
    <m/>
    <m/>
    <n v="54.922252655029297"/>
    <d v="2015-07-15T00:00:00"/>
    <n v="14.43397331237793"/>
    <d v="2015-07-15T00:00:00"/>
    <n v="18.062999999999999"/>
    <d v="2015-07-15T00:00:00"/>
    <m/>
    <m/>
    <m/>
    <m/>
    <n v="6.6"/>
    <d v="2015-07-06T00:00:00"/>
    <m/>
    <m/>
    <m/>
    <m/>
    <m/>
    <m/>
    <m/>
    <n v="1"/>
    <d v="2015-06-25T00:00:00"/>
    <s v="NON VALIDE"/>
  </r>
  <r>
    <s v="RAPSO_168"/>
    <s v="Cheops"/>
    <x v="0"/>
    <x v="0"/>
    <n v="58"/>
    <n v="12"/>
    <n v="24"/>
    <m/>
    <m/>
    <m/>
    <m/>
    <n v="8"/>
    <m/>
    <n v="5.69"/>
    <d v="2015-07-06T00:00:00"/>
    <m/>
    <m/>
    <m/>
    <m/>
    <n v="16.239999999999998"/>
    <d v="2015-07-15T00:00:00"/>
    <n v="18.5"/>
    <d v="2015-07-06T00:00:00"/>
    <m/>
    <m/>
    <m/>
    <m/>
    <m/>
    <m/>
    <x v="166"/>
    <m/>
    <n v="31.534125334125335"/>
    <d v="2015-07-06T00:00:00"/>
    <m/>
    <m/>
    <n v="13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3.462000000000003"/>
    <d v="2015-07-15T00:00:00"/>
    <m/>
    <m/>
    <m/>
    <m/>
    <n v="50.500644683837891"/>
    <d v="2015-07-15T00:00:00"/>
    <n v="18.679500579833984"/>
    <d v="2015-07-15T00:00:00"/>
    <n v="16.294"/>
    <d v="2015-07-15T00:00:00"/>
    <m/>
    <m/>
    <m/>
    <m/>
    <n v="6.7"/>
    <d v="2015-07-06T00:00:00"/>
    <m/>
    <m/>
    <m/>
    <m/>
    <m/>
    <m/>
    <m/>
    <n v="1"/>
    <d v="2015-06-25T00:00:00"/>
    <s v="NON VALIDE"/>
  </r>
  <r>
    <s v="RAPSO_178"/>
    <s v="Doublol"/>
    <x v="0"/>
    <x v="0"/>
    <n v="63"/>
    <n v="10"/>
    <n v="17"/>
    <m/>
    <m/>
    <m/>
    <m/>
    <n v="6"/>
    <m/>
    <n v="5.71"/>
    <d v="2015-07-06T00:00:00"/>
    <m/>
    <m/>
    <m/>
    <m/>
    <n v="16.53"/>
    <d v="2015-07-15T00:00:00"/>
    <n v="18.5"/>
    <d v="2015-07-06T00:00:00"/>
    <m/>
    <m/>
    <m/>
    <m/>
    <m/>
    <m/>
    <x v="167"/>
    <m/>
    <n v="32.26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375999999999998"/>
    <d v="2015-07-15T00:00:00"/>
    <m/>
    <m/>
    <m/>
    <m/>
    <n v="51.2396240234375"/>
    <d v="2015-07-15T00:00:00"/>
    <n v="18.616682052612305"/>
    <d v="2015-07-15T00:00:00"/>
    <n v="14.593999999999999"/>
    <d v="2015-07-15T00:00:00"/>
    <m/>
    <m/>
    <m/>
    <m/>
    <n v="6.7"/>
    <d v="2015-07-06T00:00:00"/>
    <m/>
    <m/>
    <m/>
    <m/>
    <m/>
    <m/>
    <m/>
    <n v="5"/>
    <d v="2015-06-25T00:00:00"/>
    <s v="NON VALIDE"/>
  </r>
  <r>
    <s v="RAPSO_199"/>
    <s v="Frederic"/>
    <x v="0"/>
    <x v="0"/>
    <n v="69"/>
    <n v="10"/>
    <n v="24"/>
    <m/>
    <m/>
    <m/>
    <m/>
    <n v="8"/>
    <m/>
    <n v="5.83"/>
    <d v="2015-07-06T00:00:00"/>
    <m/>
    <m/>
    <m/>
    <m/>
    <n v="16.23"/>
    <d v="2015-07-15T00:00:00"/>
    <n v="18.5"/>
    <d v="2015-07-06T00:00:00"/>
    <m/>
    <m/>
    <m/>
    <m/>
    <m/>
    <m/>
    <x v="168"/>
    <m/>
    <n v="32.275378675378683"/>
    <d v="2015-07-06T00:00:00"/>
    <m/>
    <m/>
    <n v="13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781999999999996"/>
    <d v="2015-07-15T00:00:00"/>
    <m/>
    <m/>
    <m/>
    <m/>
    <n v="49.336837768554688"/>
    <d v="2015-07-15T00:00:00"/>
    <n v="19.1793212890625"/>
    <d v="2015-07-15T00:00:00"/>
    <n v="18.440000000000001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253"/>
    <s v="Pacific"/>
    <x v="0"/>
    <x v="0"/>
    <n v="94"/>
    <n v="9"/>
    <n v="8"/>
    <m/>
    <m/>
    <m/>
    <m/>
    <n v="9"/>
    <m/>
    <n v="5.84"/>
    <d v="2015-07-06T00:00:00"/>
    <m/>
    <m/>
    <m/>
    <m/>
    <n v="16.73"/>
    <d v="2015-07-15T00:00:00"/>
    <n v="18.5"/>
    <d v="2015-07-06T00:00:00"/>
    <m/>
    <m/>
    <m/>
    <m/>
    <m/>
    <m/>
    <x v="169"/>
    <m/>
    <n v="32.296049896049894"/>
    <d v="2015-07-06T00:00:00"/>
    <m/>
    <m/>
    <n v="140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1.533999999999999"/>
    <d v="2015-07-15T00:00:00"/>
    <m/>
    <m/>
    <m/>
    <m/>
    <n v="50.82757568359375"/>
    <d v="2015-07-15T00:00:00"/>
    <n v="18.381174087524414"/>
    <d v="2015-07-15T00:00:00"/>
    <n v="11.601000000000001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309"/>
    <s v="MANITOBA"/>
    <x v="0"/>
    <x v="0"/>
    <n v="146"/>
    <n v="9"/>
    <n v="5"/>
    <m/>
    <m/>
    <m/>
    <m/>
    <n v="8"/>
    <m/>
    <n v="5.89"/>
    <d v="2015-07-06T00:00:00"/>
    <m/>
    <m/>
    <m/>
    <m/>
    <n v="16.03"/>
    <d v="2015-07-15T00:00:00"/>
    <n v="18.5"/>
    <d v="2015-07-06T00:00:00"/>
    <m/>
    <m/>
    <m/>
    <m/>
    <m/>
    <m/>
    <x v="170"/>
    <m/>
    <n v="32.467597267597263"/>
    <d v="2015-07-06T00:00:00"/>
    <m/>
    <m/>
    <n v="14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494"/>
    <d v="2015-07-15T00:00:00"/>
    <m/>
    <m/>
    <m/>
    <m/>
    <n v="48.441768646240234"/>
    <d v="2015-07-15T00:00:00"/>
    <n v="19.101865768432617"/>
    <d v="2015-07-15T00:00:00"/>
    <n v="17.012"/>
    <d v="2015-07-15T00:00:00"/>
    <m/>
    <m/>
    <m/>
    <m/>
    <n v="7.2"/>
    <d v="2015-07-06T00:00:00"/>
    <m/>
    <m/>
    <m/>
    <m/>
    <m/>
    <m/>
    <m/>
    <n v="1"/>
    <d v="2015-06-25T00:00:00"/>
    <s v="NON VALIDE"/>
  </r>
  <r>
    <s v="RAPSO_327"/>
    <s v="SYN03"/>
    <x v="0"/>
    <x v="0"/>
    <n v="164"/>
    <n v="12"/>
    <n v="21"/>
    <m/>
    <m/>
    <m/>
    <m/>
    <n v="9"/>
    <m/>
    <n v="5.96"/>
    <d v="2015-07-06T00:00:00"/>
    <m/>
    <m/>
    <m/>
    <m/>
    <n v="16.899999999999999"/>
    <d v="2015-07-15T00:00:00"/>
    <n v="18.5"/>
    <d v="2015-07-06T00:00:00"/>
    <m/>
    <m/>
    <m/>
    <m/>
    <m/>
    <m/>
    <x v="171"/>
    <m/>
    <n v="32.888862488862493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38"/>
    <d v="2015-07-15T00:00:00"/>
    <m/>
    <m/>
    <m/>
    <m/>
    <n v="50.411464691162109"/>
    <d v="2015-07-15T00:00:00"/>
    <n v="16.995576858520508"/>
    <d v="2015-07-15T00:00:00"/>
    <n v="14.617000000000001"/>
    <d v="2015-07-15T00:00:00"/>
    <m/>
    <m/>
    <m/>
    <m/>
    <n v="7.1"/>
    <d v="2015-07-06T00:00:00"/>
    <m/>
    <m/>
    <m/>
    <m/>
    <m/>
    <m/>
    <m/>
    <n v="1"/>
    <d v="2015-06-25T00:00:00"/>
    <s v="NON VALIDE"/>
  </r>
  <r>
    <s v="RAPSO_167"/>
    <s v="Chelsi"/>
    <x v="0"/>
    <x v="0"/>
    <n v="57"/>
    <n v="12"/>
    <n v="18"/>
    <m/>
    <m/>
    <m/>
    <m/>
    <n v="8"/>
    <m/>
    <n v="5.95"/>
    <d v="2015-07-06T00:00:00"/>
    <m/>
    <m/>
    <m/>
    <m/>
    <n v="16.95"/>
    <d v="2015-07-15T00:00:00"/>
    <n v="18.5"/>
    <d v="2015-07-06T00:00:00"/>
    <m/>
    <m/>
    <m/>
    <m/>
    <m/>
    <m/>
    <x v="172"/>
    <m/>
    <n v="32.939708939708943"/>
    <d v="2015-07-06T00:00:00"/>
    <m/>
    <m/>
    <n v="14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6.441000000000003"/>
    <d v="2015-07-15T00:00:00"/>
    <m/>
    <m/>
    <m/>
    <m/>
    <n v="50.472728729248047"/>
    <d v="2015-07-15T00:00:00"/>
    <n v="18.164291381835938"/>
    <d v="2015-07-15T00:00:00"/>
    <n v="21.184999999999999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326"/>
    <s v="SYN02"/>
    <x v="0"/>
    <x v="0"/>
    <n v="163"/>
    <n v="10"/>
    <n v="1"/>
    <m/>
    <m/>
    <m/>
    <m/>
    <n v="9"/>
    <m/>
    <n v="6.03"/>
    <d v="2015-07-06T00:00:00"/>
    <m/>
    <m/>
    <m/>
    <m/>
    <n v="16.63"/>
    <d v="2015-07-15T00:00:00"/>
    <n v="18.5"/>
    <d v="2015-07-06T00:00:00"/>
    <m/>
    <m/>
    <m/>
    <m/>
    <m/>
    <m/>
    <x v="173"/>
    <m/>
    <n v="33.096049896049905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31"/>
    <d v="2015-07-15T00:00:00"/>
    <m/>
    <m/>
    <m/>
    <m/>
    <n v="49.280879974365234"/>
    <d v="2015-07-15T00:00:00"/>
    <n v="18.763908386230469"/>
    <d v="2015-07-15T00:00:00"/>
    <n v="19.451000000000001"/>
    <d v="2015-07-15T00:00:00"/>
    <m/>
    <m/>
    <m/>
    <m/>
    <n v="7.6"/>
    <d v="2015-07-06T00:00:00"/>
    <m/>
    <m/>
    <m/>
    <m/>
    <m/>
    <m/>
    <m/>
    <n v="1"/>
    <d v="2015-06-25T00:00:00"/>
    <s v="NON VALIDE"/>
  </r>
  <r>
    <s v="RAPSO_180"/>
    <s v="Ecrin"/>
    <x v="0"/>
    <x v="0"/>
    <n v="64"/>
    <n v="12"/>
    <n v="17"/>
    <m/>
    <m/>
    <m/>
    <m/>
    <n v="7"/>
    <m/>
    <n v="6.06"/>
    <d v="2015-07-06T00:00:00"/>
    <m/>
    <m/>
    <m/>
    <m/>
    <n v="17.96"/>
    <d v="2015-07-15T00:00:00"/>
    <n v="18.5"/>
    <d v="2015-07-06T00:00:00"/>
    <m/>
    <m/>
    <m/>
    <m/>
    <m/>
    <m/>
    <x v="174"/>
    <m/>
    <n v="33.548678348678351"/>
    <d v="2015-07-06T00:00:00"/>
    <m/>
    <m/>
    <n v="13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4.986000000000004"/>
    <d v="2015-07-15T00:00:00"/>
    <m/>
    <m/>
    <m/>
    <m/>
    <n v="52.503852844238281"/>
    <d v="2015-07-15T00:00:00"/>
    <n v="16.689067840576172"/>
    <d v="2015-07-15T00:00:00"/>
    <n v="14.679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BRA_008"/>
    <s v="Aviso"/>
    <x v="0"/>
    <x v="0"/>
    <n v="126"/>
    <n v="9"/>
    <n v="9"/>
    <m/>
    <m/>
    <m/>
    <m/>
    <n v="8"/>
    <m/>
    <n v="6.11"/>
    <d v="2015-07-06T00:00:00"/>
    <m/>
    <m/>
    <m/>
    <m/>
    <n v="16.510000000000002"/>
    <d v="2015-07-15T00:00:00"/>
    <n v="18.5"/>
    <d v="2015-07-06T00:00:00"/>
    <m/>
    <m/>
    <m/>
    <m/>
    <m/>
    <m/>
    <x v="175"/>
    <m/>
    <n v="33.716602316602319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529000000000003"/>
    <d v="2015-07-15T00:00:00"/>
    <m/>
    <m/>
    <m/>
    <m/>
    <n v="48.033111572265625"/>
    <d v="2015-07-15T00:00:00"/>
    <n v="19.870630264282227"/>
    <d v="2015-07-15T00:00:00"/>
    <n v="17.710999999999999"/>
    <d v="2015-07-15T00:00:00"/>
    <m/>
    <m/>
    <m/>
    <m/>
    <n v="7.1"/>
    <d v="2015-07-06T00:00:00"/>
    <m/>
    <m/>
    <m/>
    <m/>
    <m/>
    <m/>
    <m/>
    <n v="1"/>
    <d v="2015-06-25T00:00:00"/>
    <s v="NON VALIDE"/>
  </r>
  <r>
    <s v="RAPSO_234"/>
    <s v="Makila"/>
    <x v="0"/>
    <x v="0"/>
    <n v="86"/>
    <n v="9"/>
    <n v="10"/>
    <m/>
    <m/>
    <m/>
    <m/>
    <n v="7"/>
    <m/>
    <n v="6.1"/>
    <d v="2015-07-06T00:00:00"/>
    <m/>
    <m/>
    <m/>
    <m/>
    <n v="17.5"/>
    <d v="2015-07-15T00:00:00"/>
    <n v="18.5"/>
    <d v="2015-07-06T00:00:00"/>
    <m/>
    <m/>
    <m/>
    <m/>
    <m/>
    <m/>
    <x v="176"/>
    <m/>
    <n v="33.770121770121776"/>
    <d v="2015-07-06T00:00:00"/>
    <m/>
    <m/>
    <n v="14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481999999999999"/>
    <d v="2015-07-15T00:00:00"/>
    <m/>
    <m/>
    <m/>
    <m/>
    <n v="50.821067810058594"/>
    <d v="2015-07-15T00:00:00"/>
    <n v="18.060548782348633"/>
    <d v="2015-07-15T00:00:00"/>
    <n v="21.273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470"/>
    <s v="RAPSO_Compl_01 (euralis)"/>
    <x v="0"/>
    <x v="0"/>
    <n v="172"/>
    <n v="9"/>
    <n v="27"/>
    <m/>
    <m/>
    <m/>
    <m/>
    <n v="8"/>
    <m/>
    <n v="6.2"/>
    <d v="2015-07-06T00:00:00"/>
    <m/>
    <m/>
    <m/>
    <m/>
    <n v="16.82"/>
    <d v="2015-07-15T00:00:00"/>
    <n v="18.5"/>
    <d v="2015-07-06T00:00:00"/>
    <m/>
    <m/>
    <m/>
    <m/>
    <m/>
    <m/>
    <x v="177"/>
    <m/>
    <n v="34.92"/>
    <d v="2015-07-06T00:00:00"/>
    <m/>
    <m/>
    <n v="12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1.008000000000003"/>
    <d v="2015-07-15T00:00:00"/>
    <m/>
    <m/>
    <m/>
    <m/>
    <n v="48.178485870361328"/>
    <d v="2015-07-15T00:00:00"/>
    <n v="19.20025634765625"/>
    <d v="2015-07-15T00:00:00"/>
    <n v="22.37"/>
    <d v="2015-07-15T00:00:00"/>
    <m/>
    <m/>
    <m/>
    <m/>
    <n v="7"/>
    <d v="2015-07-06T00:00:00"/>
    <m/>
    <m/>
    <m/>
    <m/>
    <m/>
    <m/>
    <m/>
    <n v="3"/>
    <d v="2015-06-25T00:00:00"/>
    <s v="NON VALIDE"/>
  </r>
  <r>
    <s v="RAPSO_329"/>
    <s v="SYN05"/>
    <x v="0"/>
    <x v="0"/>
    <n v="166"/>
    <n v="10"/>
    <n v="11"/>
    <m/>
    <m/>
    <m/>
    <m/>
    <n v="8"/>
    <m/>
    <n v="6.33"/>
    <d v="2015-07-06T00:00:00"/>
    <m/>
    <m/>
    <m/>
    <m/>
    <n v="17.73"/>
    <d v="2015-07-15T00:00:00"/>
    <n v="18.5"/>
    <d v="2015-07-06T00:00:00"/>
    <m/>
    <m/>
    <m/>
    <m/>
    <m/>
    <m/>
    <x v="178"/>
    <m/>
    <n v="34.930620730620738"/>
    <d v="2015-07-06T00:00:00"/>
    <m/>
    <m/>
    <n v="11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566000000000003"/>
    <d v="2015-07-15T00:00:00"/>
    <m/>
    <m/>
    <m/>
    <m/>
    <n v="49.775657653808594"/>
    <d v="2015-07-15T00:00:00"/>
    <n v="17.688119888305664"/>
    <d v="2015-07-15T00:00:00"/>
    <n v="14.497"/>
    <d v="2015-07-15T00:00:00"/>
    <m/>
    <m/>
    <m/>
    <m/>
    <n v="7.1"/>
    <d v="2015-07-06T00:00:00"/>
    <m/>
    <m/>
    <m/>
    <m/>
    <m/>
    <m/>
    <m/>
    <n v="1"/>
    <d v="2015-06-25T00:00:00"/>
    <s v="NON VALIDE"/>
  </r>
  <r>
    <s v="Alpaga"/>
    <s v="Alpaga"/>
    <x v="0"/>
    <x v="0"/>
    <n v="192"/>
    <n v="9"/>
    <n v="13"/>
    <m/>
    <m/>
    <m/>
    <m/>
    <n v="7"/>
    <m/>
    <n v="6.34"/>
    <d v="2015-07-06T00:00:00"/>
    <m/>
    <m/>
    <m/>
    <m/>
    <n v="18.8"/>
    <d v="2015-07-15T00:00:00"/>
    <n v="18.5"/>
    <d v="2015-07-06T00:00:00"/>
    <m/>
    <m/>
    <m/>
    <m/>
    <m/>
    <m/>
    <x v="179"/>
    <m/>
    <n v="35.098782298782304"/>
    <d v="2015-07-06T00:00:00"/>
    <m/>
    <m/>
    <n v="150"/>
    <m/>
    <m/>
    <m/>
    <n v="100"/>
    <m/>
    <m/>
    <m/>
    <m/>
    <m/>
    <m/>
    <m/>
    <m/>
    <m/>
    <m/>
    <m/>
    <m/>
    <m/>
    <n v="9"/>
    <m/>
    <m/>
    <m/>
    <m/>
    <m/>
    <m/>
    <m/>
    <m/>
    <m/>
    <m/>
    <m/>
    <n v="64.025999999999996"/>
    <d v="2015-07-15T00:00:00"/>
    <m/>
    <m/>
    <m/>
    <m/>
    <n v="52.546424865722656"/>
    <d v="2015-07-15T00:00:00"/>
    <n v="15.923620223999023"/>
    <d v="2015-07-15T00:00:00"/>
    <n v="20.762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219"/>
    <s v="Lewis"/>
    <x v="0"/>
    <x v="0"/>
    <n v="78"/>
    <n v="10"/>
    <n v="28"/>
    <m/>
    <m/>
    <m/>
    <m/>
    <n v="6"/>
    <m/>
    <n v="6.45"/>
    <d v="2015-07-06T00:00:00"/>
    <m/>
    <m/>
    <m/>
    <m/>
    <n v="16.920000000000002"/>
    <d v="2015-07-15T00:00:00"/>
    <n v="18.5"/>
    <d v="2015-07-06T00:00:00"/>
    <m/>
    <m/>
    <m/>
    <m/>
    <m/>
    <m/>
    <x v="180"/>
    <m/>
    <n v="35.631125631125627"/>
    <d v="2015-07-06T00:00:00"/>
    <m/>
    <m/>
    <n v="14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59.585000000000001"/>
    <d v="2015-07-15T00:00:00"/>
    <m/>
    <m/>
    <m/>
    <m/>
    <n v="46.582916259765625"/>
    <d v="2015-07-15T00:00:00"/>
    <n v="19.012483596801758"/>
    <d v="2015-07-15T00:00:00"/>
    <n v="19.841000000000001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478"/>
    <s v="RAGT-15"/>
    <x v="0"/>
    <x v="0"/>
    <n v="178"/>
    <n v="9"/>
    <n v="2"/>
    <m/>
    <m/>
    <m/>
    <m/>
    <n v="8"/>
    <m/>
    <n v="6.51"/>
    <d v="2015-07-06T00:00:00"/>
    <m/>
    <m/>
    <m/>
    <m/>
    <n v="17.96"/>
    <d v="2015-07-15T00:00:00"/>
    <n v="18.5"/>
    <d v="2015-07-06T00:00:00"/>
    <m/>
    <m/>
    <m/>
    <m/>
    <m/>
    <m/>
    <x v="181"/>
    <m/>
    <n v="35.807900207900204"/>
    <d v="2015-07-06T00:00:00"/>
    <m/>
    <m/>
    <n v="15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1.713999999999999"/>
    <d v="2015-07-15T00:00:00"/>
    <m/>
    <m/>
    <m/>
    <m/>
    <n v="49.210987091064453"/>
    <d v="2015-07-15T00:00:00"/>
    <n v="18.149982452392578"/>
    <d v="2015-07-15T00:00:00"/>
    <n v="15.914"/>
    <d v="2015-07-15T00:00:00"/>
    <m/>
    <m/>
    <m/>
    <m/>
    <n v="7.4"/>
    <d v="2015-07-06T00:00:00"/>
    <m/>
    <m/>
    <m/>
    <m/>
    <m/>
    <m/>
    <m/>
    <n v="1"/>
    <d v="2015-06-25T00:00:00"/>
    <s v="NON VALIDE"/>
  </r>
  <r>
    <s v="RAPSO_332"/>
    <s v="SYN08"/>
    <x v="0"/>
    <x v="0"/>
    <n v="169"/>
    <n v="10"/>
    <n v="21"/>
    <m/>
    <m/>
    <m/>
    <m/>
    <n v="7"/>
    <m/>
    <n v="6.6"/>
    <d v="2015-07-06T00:00:00"/>
    <m/>
    <m/>
    <m/>
    <m/>
    <n v="17.98"/>
    <d v="2015-07-15T00:00:00"/>
    <n v="18.5"/>
    <d v="2015-07-06T00:00:00"/>
    <m/>
    <m/>
    <m/>
    <m/>
    <m/>
    <m/>
    <x v="182"/>
    <m/>
    <n v="36.89"/>
    <d v="2015-07-06T00:00:00"/>
    <m/>
    <m/>
    <n v="13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4.355000000000004"/>
    <d v="2015-07-15T00:00:00"/>
    <m/>
    <m/>
    <m/>
    <m/>
    <n v="48.749610900878906"/>
    <d v="2015-07-15T00:00:00"/>
    <n v="17.918830871582031"/>
    <d v="2015-07-15T00:00:00"/>
    <n v="16.143000000000001"/>
    <d v="2015-07-15T00:00:00"/>
    <m/>
    <m/>
    <m/>
    <m/>
    <n v="7.7"/>
    <d v="2015-07-06T00:00:00"/>
    <m/>
    <m/>
    <m/>
    <m/>
    <m/>
    <m/>
    <m/>
    <n v="3"/>
    <d v="2015-06-25T00:00:00"/>
    <s v="NON VALIDE"/>
  </r>
  <r>
    <s v="RAPSO_310"/>
    <s v="OKAPI "/>
    <x v="0"/>
    <x v="0"/>
    <n v="147"/>
    <n v="10"/>
    <n v="22"/>
    <m/>
    <m/>
    <m/>
    <m/>
    <n v="8"/>
    <m/>
    <n v="6.7"/>
    <d v="2015-07-06T00:00:00"/>
    <m/>
    <m/>
    <m/>
    <m/>
    <n v="18.77"/>
    <d v="2015-07-15T00:00:00"/>
    <n v="18.5"/>
    <d v="2015-07-06T00:00:00"/>
    <m/>
    <m/>
    <m/>
    <m/>
    <m/>
    <m/>
    <x v="183"/>
    <m/>
    <n v="37.012177012177013"/>
    <d v="2015-07-06T00:00:00"/>
    <m/>
    <m/>
    <n v="13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6.652000000000001"/>
    <d v="2015-07-15T00:00:00"/>
    <m/>
    <m/>
    <m/>
    <m/>
    <n v="49.763893127441406"/>
    <d v="2015-07-15T00:00:00"/>
    <n v="17.477907180786133"/>
    <d v="2015-07-15T00:00:00"/>
    <n v="17.582999999999998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324"/>
    <s v="RAGT-10"/>
    <x v="0"/>
    <x v="0"/>
    <n v="161"/>
    <n v="9"/>
    <n v="3"/>
    <m/>
    <m/>
    <m/>
    <m/>
    <n v="8"/>
    <m/>
    <n v="6.82"/>
    <d v="2015-07-06T00:00:00"/>
    <m/>
    <m/>
    <m/>
    <m/>
    <n v="18.39"/>
    <d v="2015-07-15T00:00:00"/>
    <n v="18.5"/>
    <d v="2015-07-06T00:00:00"/>
    <m/>
    <m/>
    <m/>
    <m/>
    <m/>
    <m/>
    <x v="184"/>
    <m/>
    <n v="37.553549153549149"/>
    <d v="2015-07-06T00:00:00"/>
    <m/>
    <m/>
    <n v="15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739999999999995"/>
    <d v="2015-07-15T00:00:00"/>
    <m/>
    <m/>
    <m/>
    <m/>
    <n v="48.05340576171875"/>
    <d v="2015-07-15T00:00:00"/>
    <n v="20.723588943481445"/>
    <d v="2015-07-15T00:00:00"/>
    <n v="18.376999999999999"/>
    <d v="2015-07-15T00:00:00"/>
    <m/>
    <m/>
    <m/>
    <m/>
    <n v="7.3"/>
    <d v="2015-07-06T00:00:00"/>
    <m/>
    <m/>
    <m/>
    <m/>
    <m/>
    <m/>
    <m/>
    <n v="1"/>
    <d v="2015-06-25T00:00:00"/>
    <s v="NON VALIDE"/>
  </r>
  <r>
    <s v="RAPSO_318"/>
    <s v="RAGT-04"/>
    <x v="0"/>
    <x v="0"/>
    <n v="155"/>
    <n v="10"/>
    <n v="10"/>
    <m/>
    <m/>
    <m/>
    <m/>
    <n v="7"/>
    <m/>
    <n v="6.81"/>
    <d v="2015-07-06T00:00:00"/>
    <m/>
    <m/>
    <m/>
    <m/>
    <n v="18.98"/>
    <d v="2015-07-15T00:00:00"/>
    <n v="18.5"/>
    <d v="2015-07-06T00:00:00"/>
    <m/>
    <m/>
    <m/>
    <m/>
    <m/>
    <m/>
    <x v="185"/>
    <m/>
    <n v="37.61983961983961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277000000000001"/>
    <d v="2015-07-15T00:00:00"/>
    <m/>
    <m/>
    <m/>
    <m/>
    <n v="49.488002777099609"/>
    <d v="2015-07-15T00:00:00"/>
    <n v="17.722320556640625"/>
    <d v="2015-07-15T00:00:00"/>
    <n v="15.848000000000001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328"/>
    <s v="SYN04"/>
    <x v="0"/>
    <x v="0"/>
    <n v="165"/>
    <n v="9"/>
    <n v="4"/>
    <m/>
    <m/>
    <m/>
    <m/>
    <n v="9"/>
    <m/>
    <n v="6.93"/>
    <d v="2015-07-06T00:00:00"/>
    <m/>
    <m/>
    <m/>
    <m/>
    <n v="19.72"/>
    <d v="2015-07-15T00:00:00"/>
    <n v="18.5"/>
    <d v="2015-07-06T00:00:00"/>
    <m/>
    <m/>
    <m/>
    <m/>
    <m/>
    <m/>
    <x v="186"/>
    <m/>
    <n v="38.323908523908521"/>
    <d v="2015-07-06T00:00:00"/>
    <m/>
    <m/>
    <n v="15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268000000000001"/>
    <d v="2015-07-15T00:00:00"/>
    <m/>
    <m/>
    <m/>
    <m/>
    <n v="50.484592437744141"/>
    <d v="2015-07-15T00:00:00"/>
    <n v="18.835409164428711"/>
    <d v="2015-07-15T00:00:00"/>
    <n v="18.617999999999999"/>
    <d v="2015-07-15T00:00:00"/>
    <m/>
    <m/>
    <m/>
    <m/>
    <n v="6.9"/>
    <d v="2015-07-06T00:00:00"/>
    <m/>
    <m/>
    <m/>
    <m/>
    <m/>
    <m/>
    <m/>
    <n v="1"/>
    <d v="2015-06-25T00:00:00"/>
    <s v="NON VALIDE"/>
  </r>
  <r>
    <s v="RAPSO_294"/>
    <s v="ES-AGATHA"/>
    <x v="0"/>
    <x v="0"/>
    <n v="131"/>
    <n v="12"/>
    <n v="7"/>
    <m/>
    <m/>
    <m/>
    <m/>
    <n v="7"/>
    <m/>
    <n v="7.1"/>
    <d v="2015-07-06T00:00:00"/>
    <m/>
    <m/>
    <m/>
    <m/>
    <n v="20.46"/>
    <d v="2015-07-15T00:00:00"/>
    <n v="18.5"/>
    <d v="2015-07-06T00:00:00"/>
    <m/>
    <m/>
    <m/>
    <m/>
    <m/>
    <m/>
    <x v="187"/>
    <m/>
    <n v="40.03"/>
    <d v="2015-07-06T00:00:00"/>
    <m/>
    <m/>
    <n v="13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5.515000000000001"/>
    <d v="2015-07-15T00:00:00"/>
    <m/>
    <m/>
    <m/>
    <m/>
    <n v="51.110527038574219"/>
    <d v="2015-07-15T00:00:00"/>
    <n v="16.187929153442383"/>
    <d v="2015-07-15T00:00:00"/>
    <n v="17.619"/>
    <d v="2015-07-15T00:00:00"/>
    <m/>
    <m/>
    <m/>
    <m/>
    <n v="6.9"/>
    <d v="2015-07-06T00:00:00"/>
    <m/>
    <m/>
    <m/>
    <m/>
    <m/>
    <m/>
    <m/>
    <n v="3"/>
    <d v="2015-06-25T00:00:00"/>
    <s v="NON VALIDE"/>
  </r>
  <r>
    <s v="RAPSO_325"/>
    <s v="SYN01"/>
    <x v="0"/>
    <x v="0"/>
    <n v="162"/>
    <n v="9"/>
    <n v="12"/>
    <m/>
    <m/>
    <m/>
    <m/>
    <n v="9"/>
    <m/>
    <n v="7.11"/>
    <d v="2015-07-06T00:00:00"/>
    <m/>
    <m/>
    <m/>
    <m/>
    <n v="20.6"/>
    <d v="2015-07-15T00:00:00"/>
    <n v="18.5"/>
    <d v="2015-07-06T00:00:00"/>
    <m/>
    <m/>
    <m/>
    <m/>
    <m/>
    <m/>
    <x v="188"/>
    <m/>
    <n v="39.277101277101274"/>
    <d v="2015-07-06T00:00:00"/>
    <m/>
    <m/>
    <n v="15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305000000000007"/>
    <d v="2015-07-15T00:00:00"/>
    <m/>
    <m/>
    <m/>
    <m/>
    <n v="51.448089599609375"/>
    <d v="2015-07-15T00:00:00"/>
    <n v="17.413311004638672"/>
    <d v="2015-07-15T00:00:00"/>
    <n v="17.422999999999998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473"/>
    <s v="Anastasia"/>
    <x v="0"/>
    <x v="0"/>
    <n v="175"/>
    <n v="10"/>
    <n v="5"/>
    <m/>
    <m/>
    <m/>
    <m/>
    <n v="8"/>
    <m/>
    <n v="7.22"/>
    <d v="2015-07-06T00:00:00"/>
    <m/>
    <m/>
    <m/>
    <m/>
    <m/>
    <d v="2015-07-15T00:00:00"/>
    <n v="18.5"/>
    <d v="2015-07-06T00:00:00"/>
    <m/>
    <m/>
    <m/>
    <m/>
    <m/>
    <m/>
    <x v="189"/>
    <m/>
    <n v="39.713216513216508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n v="7.4"/>
    <d v="2015-07-06T00:00:00"/>
    <m/>
    <m/>
    <m/>
    <m/>
    <m/>
    <m/>
    <m/>
    <n v="1"/>
    <d v="2015-06-25T00:00:00"/>
    <s v="NON VALIDE"/>
  </r>
  <r>
    <s v="RAPSO_472"/>
    <s v="Pendulum"/>
    <x v="0"/>
    <x v="0"/>
    <n v="174"/>
    <n v="12"/>
    <n v="22"/>
    <m/>
    <m/>
    <m/>
    <m/>
    <n v="8"/>
    <m/>
    <n v="7.21"/>
    <d v="2015-07-06T00:00:00"/>
    <m/>
    <m/>
    <m/>
    <m/>
    <n v="21.48"/>
    <d v="2015-07-15T00:00:00"/>
    <n v="18.5"/>
    <d v="2015-07-06T00:00:00"/>
    <m/>
    <m/>
    <m/>
    <m/>
    <m/>
    <m/>
    <x v="190"/>
    <m/>
    <n v="39.915176715176727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844999999999999"/>
    <d v="2015-07-15T00:00:00"/>
    <m/>
    <m/>
    <m/>
    <m/>
    <n v="52.7830810546875"/>
    <d v="2015-07-15T00:00:00"/>
    <n v="15.783912658691406"/>
    <d v="2015-07-15T00:00:00"/>
    <n v="15.868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300"/>
    <s v="ES-ANTONIA"/>
    <x v="0"/>
    <x v="0"/>
    <n v="137"/>
    <n v="10"/>
    <n v="27"/>
    <m/>
    <m/>
    <m/>
    <m/>
    <n v="7"/>
    <m/>
    <n v="7.91"/>
    <d v="2015-07-06T00:00:00"/>
    <m/>
    <m/>
    <m/>
    <m/>
    <n v="22.54"/>
    <d v="2015-07-15T00:00:00"/>
    <n v="18.5"/>
    <d v="2015-07-06T00:00:00"/>
    <m/>
    <m/>
    <m/>
    <m/>
    <m/>
    <m/>
    <x v="191"/>
    <m/>
    <n v="43.696465696465694"/>
    <d v="2015-07-06T00:00:00"/>
    <m/>
    <m/>
    <n v="15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341000000000001"/>
    <d v="2015-07-15T00:00:00"/>
    <m/>
    <m/>
    <m/>
    <m/>
    <n v="50.601753234863281"/>
    <d v="2015-07-15T00:00:00"/>
    <n v="18.856441497802734"/>
    <d v="2015-07-15T00:00:00"/>
    <n v="20.260000000000002"/>
    <d v="2015-07-15T00:00:00"/>
    <m/>
    <m/>
    <m/>
    <m/>
    <n v="7"/>
    <d v="2015-07-06T00:00:00"/>
    <m/>
    <m/>
    <m/>
    <m/>
    <m/>
    <m/>
    <m/>
    <n v="1"/>
    <d v="2015-06-25T00:00:00"/>
    <s v="NON VALIDE"/>
  </r>
  <r>
    <s v="RAPSO_297"/>
    <s v="ES-CENTAURE"/>
    <x v="0"/>
    <x v="0"/>
    <n v="134"/>
    <n v="10"/>
    <n v="25"/>
    <m/>
    <m/>
    <m/>
    <m/>
    <n v="8"/>
    <m/>
    <n v="8.35"/>
    <d v="2015-07-06T00:00:00"/>
    <m/>
    <m/>
    <m/>
    <m/>
    <n v="23.43"/>
    <d v="2015-07-15T00:00:00"/>
    <n v="18.5"/>
    <d v="2015-07-06T00:00:00"/>
    <m/>
    <m/>
    <m/>
    <m/>
    <m/>
    <m/>
    <x v="192"/>
    <m/>
    <n v="46.127116127116125"/>
    <d v="2015-07-06T00:00:00"/>
    <m/>
    <m/>
    <n v="13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6.924999999999997"/>
    <d v="2015-07-15T00:00:00"/>
    <m/>
    <m/>
    <m/>
    <m/>
    <n v="49.828376770019531"/>
    <d v="2015-07-15T00:00:00"/>
    <n v="18.139228820800781"/>
    <d v="2015-07-15T00:00:00"/>
    <n v="17.547000000000001"/>
    <d v="2015-07-15T00:00:00"/>
    <m/>
    <m/>
    <m/>
    <m/>
    <n v="7"/>
    <d v="2015-07-06T00:00:00"/>
    <m/>
    <m/>
    <m/>
    <m/>
    <m/>
    <m/>
    <m/>
    <n v="1"/>
    <d v="2015-06-25T00:00:00"/>
    <s v="NON VALIDE"/>
  </r>
  <r>
    <s v="Alpaga"/>
    <s v="Alpaga"/>
    <x v="0"/>
    <x v="0"/>
    <n v="189"/>
    <n v="10"/>
    <n v="29"/>
    <m/>
    <m/>
    <m/>
    <m/>
    <n v="6"/>
    <m/>
    <n v="8.58"/>
    <d v="2015-07-06T00:00:00"/>
    <m/>
    <m/>
    <m/>
    <m/>
    <n v="24.98"/>
    <d v="2015-07-15T00:00:00"/>
    <n v="18.5"/>
    <d v="2015-07-06T00:00:00"/>
    <m/>
    <m/>
    <m/>
    <m/>
    <m/>
    <m/>
    <x v="193"/>
    <m/>
    <n v="47.499613899613905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019000000000005"/>
    <d v="2015-07-15T00:00:00"/>
    <m/>
    <m/>
    <m/>
    <m/>
    <n v="51.602424621582031"/>
    <d v="2015-07-15T00:00:00"/>
    <n v="17.430423736572266"/>
    <d v="2015-07-15T00:00:00"/>
    <n v="19.09"/>
    <d v="2015-07-15T00:00:00"/>
    <m/>
    <m/>
    <m/>
    <m/>
    <n v="6.8"/>
    <d v="2015-07-06T00:00:00"/>
    <m/>
    <m/>
    <m/>
    <m/>
    <m/>
    <m/>
    <m/>
    <n v="1"/>
    <d v="2015-06-25T00:00:00"/>
    <s v="NON VALIDE"/>
  </r>
  <r>
    <s v="RAPSO_006"/>
    <s v="Dublianski"/>
    <x v="0"/>
    <x v="2"/>
    <n v="1"/>
    <m/>
    <m/>
    <n v="1"/>
    <n v="1"/>
    <m/>
    <m/>
    <n v="9"/>
    <m/>
    <n v="4"/>
    <d v="2015-07-06T00:00:00"/>
    <m/>
    <m/>
    <m/>
    <m/>
    <m/>
    <m/>
    <m/>
    <m/>
    <m/>
    <m/>
    <m/>
    <m/>
    <m/>
    <m/>
    <x v="194"/>
    <m/>
    <n v="22.36"/>
    <d v="2015-07-06T00:00:00"/>
    <m/>
    <m/>
    <n v="15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n v="7.7"/>
    <d v="2015-07-06T00:00:00"/>
    <m/>
    <m/>
    <m/>
    <m/>
    <m/>
    <m/>
    <m/>
    <n v="9"/>
    <d v="2015-06-25T00:00:00"/>
    <s v="NON VALIDE"/>
  </r>
  <r>
    <s v="RAPSO_146"/>
    <s v="Bolko - POH 285"/>
    <x v="1"/>
    <x v="1"/>
    <n v="48"/>
    <n v="17"/>
    <n v="8"/>
    <m/>
    <m/>
    <m/>
    <m/>
    <n v="3"/>
    <m/>
    <n v="1.43"/>
    <d v="2015-07-06T00:00:00"/>
    <m/>
    <m/>
    <m/>
    <m/>
    <n v="3.86"/>
    <d v="2015-07-15T00:00:00"/>
    <n v="18.5"/>
    <d v="2015-07-06T00:00:00"/>
    <m/>
    <m/>
    <m/>
    <m/>
    <m/>
    <m/>
    <x v="195"/>
    <m/>
    <n v="8.01"/>
    <d v="2015-07-06T00:00:00"/>
    <m/>
    <m/>
    <n v="12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573999999999998"/>
    <d v="2015-07-15T00:00:00"/>
    <m/>
    <m/>
    <m/>
    <m/>
    <n v="48.171638488769531"/>
    <d v="2015-07-15T00:00:00"/>
    <n v="18.839864730834961"/>
    <d v="2015-07-15T00:00:00"/>
    <n v="23.713000000000001"/>
    <d v="2015-07-15T00:00:00"/>
    <m/>
    <m/>
    <m/>
    <m/>
    <n v="7.5"/>
    <d v="2015-07-06T00:00:00"/>
    <m/>
    <m/>
    <m/>
    <m/>
    <m/>
    <m/>
    <m/>
    <n v="7"/>
    <d v="2015-06-25T00:00:00"/>
    <s v="VALIDE"/>
  </r>
  <r>
    <s v="RAPSO_008"/>
    <s v="Fertodi elit"/>
    <x v="1"/>
    <x v="1"/>
    <n v="2"/>
    <n v="16"/>
    <n v="14"/>
    <m/>
    <m/>
    <m/>
    <m/>
    <n v="5"/>
    <m/>
    <n v="1.59"/>
    <d v="2015-07-06T00:00:00"/>
    <m/>
    <m/>
    <m/>
    <m/>
    <n v="4.1500000000000004"/>
    <d v="2015-07-15T00:00:00"/>
    <n v="18.5"/>
    <d v="2015-07-06T00:00:00"/>
    <m/>
    <m/>
    <m/>
    <m/>
    <m/>
    <m/>
    <x v="196"/>
    <m/>
    <n v="8.94"/>
    <d v="2015-07-06T00:00:00"/>
    <m/>
    <m/>
    <n v="13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314999999999998"/>
    <d v="2015-07-15T00:00:00"/>
    <m/>
    <m/>
    <m/>
    <m/>
    <n v="46.398551940917969"/>
    <d v="2015-07-15T00:00:00"/>
    <n v="21.184238433837891"/>
    <d v="2015-07-15T00:00:00"/>
    <n v="62.555999999999997"/>
    <d v="2015-07-15T00:00:00"/>
    <m/>
    <m/>
    <m/>
    <m/>
    <n v="7.1"/>
    <d v="2015-07-06T00:00:00"/>
    <m/>
    <m/>
    <m/>
    <m/>
    <m/>
    <m/>
    <m/>
    <n v="5"/>
    <d v="2015-06-25T00:00:00"/>
    <s v="VALIDE"/>
  </r>
  <r>
    <s v="BRA_010"/>
    <s v="Quinta"/>
    <x v="1"/>
    <x v="1"/>
    <n v="23"/>
    <m/>
    <m/>
    <n v="16"/>
    <n v="3"/>
    <m/>
    <m/>
    <n v="5"/>
    <m/>
    <n v="1.72"/>
    <d v="2015-07-06T00:00:00"/>
    <m/>
    <m/>
    <m/>
    <m/>
    <n v="4.16"/>
    <d v="2015-07-15T00:00:00"/>
    <n v="18.5"/>
    <d v="2015-07-06T00:00:00"/>
    <m/>
    <m/>
    <m/>
    <m/>
    <m/>
    <m/>
    <x v="197"/>
    <m/>
    <n v="9.64"/>
    <d v="2015-07-06T00:00:00"/>
    <m/>
    <m/>
    <n v="15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2.508000000000003"/>
    <d v="2015-07-15T00:00:00"/>
    <m/>
    <m/>
    <m/>
    <m/>
    <n v="43.17"/>
    <d v="2015-07-15T00:00:00"/>
    <n v="20.501594543457031"/>
    <d v="2015-07-15T00:00:00"/>
    <n v="65.540999999999997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009"/>
    <s v="Forto"/>
    <x v="1"/>
    <x v="3"/>
    <n v="2"/>
    <m/>
    <m/>
    <n v="22"/>
    <n v="3"/>
    <m/>
    <m/>
    <n v="8"/>
    <m/>
    <n v="1.95"/>
    <d v="2015-07-06T00:00:00"/>
    <m/>
    <m/>
    <m/>
    <m/>
    <n v="5.0599999999999996"/>
    <d v="2015-07-15T00:00:00"/>
    <n v="18.5"/>
    <d v="2015-07-06T00:00:00"/>
    <m/>
    <m/>
    <m/>
    <m/>
    <m/>
    <m/>
    <x v="198"/>
    <m/>
    <n v="10.99"/>
    <d v="2015-07-06T00:00:00"/>
    <m/>
    <m/>
    <n v="12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4.944000000000003"/>
    <d v="2015-07-15T00:00:00"/>
    <m/>
    <m/>
    <m/>
    <m/>
    <n v="46.06"/>
    <d v="2015-07-15T00:00:00"/>
    <n v="21.924642562866211"/>
    <d v="2015-07-15T00:00:00"/>
    <n v="60.844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146"/>
    <s v="Bolko - POH 285"/>
    <x v="1"/>
    <x v="3"/>
    <n v="48"/>
    <n v="22"/>
    <n v="24"/>
    <m/>
    <m/>
    <m/>
    <m/>
    <n v="3"/>
    <m/>
    <n v="2.04"/>
    <d v="2015-07-06T00:00:00"/>
    <m/>
    <m/>
    <m/>
    <m/>
    <n v="5.16"/>
    <d v="2015-07-15T00:00:00"/>
    <n v="18.5"/>
    <d v="2015-07-06T00:00:00"/>
    <m/>
    <m/>
    <m/>
    <m/>
    <m/>
    <m/>
    <x v="199"/>
    <m/>
    <n v="11.03"/>
    <d v="2015-07-06T00:00:00"/>
    <m/>
    <m/>
    <n v="11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7.069999999999993"/>
    <d v="2015-07-15T00:00:00"/>
    <m/>
    <m/>
    <m/>
    <m/>
    <n v="46.742450714111328"/>
    <d v="2015-07-15T00:00:00"/>
    <n v="18.906578063964844"/>
    <d v="2015-07-15T00:00:00"/>
    <n v="20.748999999999999"/>
    <d v="2015-07-15T00:00:00"/>
    <m/>
    <m/>
    <m/>
    <m/>
    <n v="10.7"/>
    <d v="2015-07-06T00:00:00"/>
    <m/>
    <m/>
    <m/>
    <m/>
    <m/>
    <m/>
    <m/>
    <n v="3"/>
    <d v="2015-06-25T00:00:00"/>
    <s v="VALIDE"/>
  </r>
  <r>
    <s v="RAPSO_335"/>
    <s v="Kromerska1-DS1"/>
    <x v="1"/>
    <x v="1"/>
    <n v="14"/>
    <m/>
    <m/>
    <n v="17"/>
    <n v="2"/>
    <m/>
    <m/>
    <n v="6"/>
    <m/>
    <n v="2.0699999999999998"/>
    <d v="2015-07-06T00:00:00"/>
    <m/>
    <m/>
    <m/>
    <m/>
    <n v="5.16"/>
    <d v="2015-07-15T00:00:00"/>
    <n v="18.5"/>
    <d v="2015-07-06T00:00:00"/>
    <m/>
    <m/>
    <m/>
    <m/>
    <m/>
    <m/>
    <x v="200"/>
    <m/>
    <n v="11.39"/>
    <d v="2015-07-06T00:00:00"/>
    <m/>
    <m/>
    <n v="12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6.221000000000004"/>
    <d v="2015-07-15T00:00:00"/>
    <m/>
    <m/>
    <m/>
    <m/>
    <n v="45.29"/>
    <d v="2015-07-15T00:00:00"/>
    <n v="21.497756958007813"/>
    <d v="2015-07-15T00:00:00"/>
    <n v="68.918999999999997"/>
    <d v="2015-07-15T00:00:00"/>
    <m/>
    <m/>
    <m/>
    <m/>
    <n v="9.1"/>
    <d v="2015-07-06T00:00:00"/>
    <m/>
    <m/>
    <m/>
    <m/>
    <m/>
    <m/>
    <m/>
    <n v="1"/>
    <d v="2015-06-25T00:00:00"/>
    <s v="VALIDE"/>
  </r>
  <r>
    <s v="RAPSO_008"/>
    <s v="Fertodi elit"/>
    <x v="1"/>
    <x v="3"/>
    <n v="2"/>
    <n v="19"/>
    <n v="21"/>
    <m/>
    <m/>
    <m/>
    <m/>
    <n v="7"/>
    <m/>
    <n v="2.0699999999999998"/>
    <d v="2015-07-06T00:00:00"/>
    <m/>
    <m/>
    <m/>
    <m/>
    <n v="5.67"/>
    <d v="2015-07-15T00:00:00"/>
    <n v="18.5"/>
    <d v="2015-07-06T00:00:00"/>
    <m/>
    <m/>
    <m/>
    <m/>
    <m/>
    <m/>
    <x v="201"/>
    <m/>
    <n v="11.7"/>
    <d v="2015-07-06T00:00:00"/>
    <m/>
    <m/>
    <n v="15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911999999999999"/>
    <d v="2015-07-15T00:00:00"/>
    <m/>
    <m/>
    <m/>
    <m/>
    <n v="48.470550537109375"/>
    <d v="2015-07-15T00:00:00"/>
    <n v="19.867570877075195"/>
    <d v="2015-07-15T00:00:00"/>
    <n v="52.503999999999998"/>
    <d v="2015-07-15T00:00:00"/>
    <m/>
    <m/>
    <m/>
    <m/>
    <n v="6.7"/>
    <d v="2015-07-06T00:00:00"/>
    <m/>
    <m/>
    <m/>
    <m/>
    <m/>
    <m/>
    <m/>
    <n v="7"/>
    <d v="2015-06-25T00:00:00"/>
    <s v="VALIDE"/>
  </r>
  <r>
    <s v="RAPSO_202"/>
    <s v="Goeland"/>
    <x v="1"/>
    <x v="1"/>
    <n v="70"/>
    <n v="16"/>
    <n v="5"/>
    <m/>
    <m/>
    <m/>
    <m/>
    <n v="3"/>
    <m/>
    <n v="2.08"/>
    <d v="2015-07-06T00:00:00"/>
    <m/>
    <m/>
    <m/>
    <m/>
    <n v="5.93"/>
    <d v="2015-07-15T00:00:00"/>
    <n v="18.5"/>
    <d v="2015-07-06T00:00:00"/>
    <m/>
    <m/>
    <m/>
    <m/>
    <m/>
    <m/>
    <x v="202"/>
    <m/>
    <n v="11.76"/>
    <d v="2015-07-06T00:00:00"/>
    <m/>
    <m/>
    <n v="95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4.287999999999997"/>
    <d v="2015-07-15T00:00:00"/>
    <m/>
    <m/>
    <m/>
    <m/>
    <n v="50.404335021972656"/>
    <d v="2015-07-15T00:00:00"/>
    <n v="17.642513275146484"/>
    <d v="2015-07-15T00:00:00"/>
    <n v="16.056000000000001"/>
    <d v="2015-07-15T00:00:00"/>
    <m/>
    <m/>
    <m/>
    <m/>
    <n v="6.6"/>
    <d v="2015-07-06T00:00:00"/>
    <m/>
    <m/>
    <m/>
    <m/>
    <m/>
    <m/>
    <m/>
    <n v="5"/>
    <d v="2015-06-25T00:00:00"/>
    <s v="VALIDE"/>
  </r>
  <r>
    <s v="RAPSO_013"/>
    <s v="Gesunder"/>
    <x v="1"/>
    <x v="1"/>
    <n v="4"/>
    <n v="14"/>
    <n v="18"/>
    <m/>
    <m/>
    <m/>
    <m/>
    <n v="6"/>
    <m/>
    <n v="2.08"/>
    <d v="2015-07-06T00:00:00"/>
    <m/>
    <m/>
    <m/>
    <m/>
    <n v="5.72"/>
    <d v="2015-07-15T00:00:00"/>
    <n v="18.5"/>
    <d v="2015-07-06T00:00:00"/>
    <m/>
    <m/>
    <m/>
    <m/>
    <m/>
    <m/>
    <x v="203"/>
    <m/>
    <n v="11.78"/>
    <d v="2015-07-06T00:00:00"/>
    <m/>
    <m/>
    <n v="12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572999999999993"/>
    <d v="2015-07-15T00:00:00"/>
    <m/>
    <m/>
    <m/>
    <m/>
    <n v="48.540298461914063"/>
    <d v="2015-07-15T00:00:00"/>
    <n v="21.059665679931641"/>
    <d v="2015-07-15T00:00:00"/>
    <n v="74.488"/>
    <d v="2015-07-15T00:00:00"/>
    <m/>
    <m/>
    <m/>
    <m/>
    <n v="6.5"/>
    <d v="2015-07-06T00:00:00"/>
    <m/>
    <m/>
    <m/>
    <m/>
    <m/>
    <m/>
    <m/>
    <n v="5"/>
    <d v="2015-06-25T00:00:00"/>
    <s v="VALIDE"/>
  </r>
  <r>
    <s v="RAPSO_387"/>
    <s v="EZSTERHAZY N.ST "/>
    <x v="1"/>
    <x v="1"/>
    <n v="15"/>
    <m/>
    <m/>
    <n v="18"/>
    <n v="1"/>
    <m/>
    <m/>
    <n v="6"/>
    <m/>
    <n v="2.12"/>
    <d v="2015-07-06T00:00:00"/>
    <m/>
    <m/>
    <m/>
    <m/>
    <n v="5.47"/>
    <d v="2015-07-15T00:00:00"/>
    <n v="18.5"/>
    <d v="2015-07-06T00:00:00"/>
    <m/>
    <m/>
    <m/>
    <m/>
    <m/>
    <m/>
    <x v="204"/>
    <m/>
    <n v="11.86"/>
    <d v="2015-07-06T00:00:00"/>
    <m/>
    <m/>
    <n v="10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3.54"/>
    <d v="2015-07-15T00:00:00"/>
    <m/>
    <m/>
    <m/>
    <m/>
    <n v="46.13"/>
    <d v="2015-07-15T00:00:00"/>
    <n v="22.357063293457031"/>
    <d v="2015-07-15T00:00:00"/>
    <n v="76.974000000000004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251"/>
    <s v="Olymp"/>
    <x v="1"/>
    <x v="3"/>
    <n v="93"/>
    <n v="19"/>
    <n v="26"/>
    <m/>
    <m/>
    <m/>
    <m/>
    <n v="3"/>
    <m/>
    <n v="2.34"/>
    <d v="2015-07-06T00:00:00"/>
    <m/>
    <m/>
    <m/>
    <m/>
    <n v="6.01"/>
    <d v="2015-07-15T00:00:00"/>
    <n v="18.5"/>
    <d v="2015-07-06T00:00:00"/>
    <m/>
    <m/>
    <m/>
    <m/>
    <m/>
    <m/>
    <x v="205"/>
    <m/>
    <n v="12.17"/>
    <d v="2015-07-06T00:00:00"/>
    <m/>
    <m/>
    <n v="110"/>
    <m/>
    <m/>
    <m/>
    <n v="109"/>
    <m/>
    <m/>
    <m/>
    <m/>
    <m/>
    <m/>
    <m/>
    <m/>
    <m/>
    <m/>
    <m/>
    <m/>
    <m/>
    <n v="9"/>
    <m/>
    <m/>
    <m/>
    <m/>
    <m/>
    <m/>
    <m/>
    <m/>
    <m/>
    <m/>
    <m/>
    <n v="66.603999999999999"/>
    <d v="2015-07-15T00:00:00"/>
    <m/>
    <m/>
    <m/>
    <m/>
    <n v="49.384071350097656"/>
    <d v="2015-07-15T00:00:00"/>
    <n v="18.215435028076172"/>
    <d v="2015-07-15T00:00:00"/>
    <n v="22.722000000000001"/>
    <d v="2015-07-15T00:00:00"/>
    <m/>
    <m/>
    <m/>
    <m/>
    <n v="14.1"/>
    <d v="2015-07-06T00:00:00"/>
    <m/>
    <m/>
    <m/>
    <m/>
    <m/>
    <m/>
    <m/>
    <n v="5"/>
    <d v="2015-06-25T00:00:00"/>
    <s v="VALIDE"/>
  </r>
  <r>
    <s v="RAPSO_266"/>
    <s v="Sahara"/>
    <x v="1"/>
    <x v="1"/>
    <n v="103"/>
    <n v="17"/>
    <n v="6"/>
    <m/>
    <m/>
    <m/>
    <m/>
    <n v="3"/>
    <m/>
    <n v="2.33"/>
    <d v="2015-07-06T00:00:00"/>
    <m/>
    <m/>
    <m/>
    <m/>
    <n v="6.58"/>
    <d v="2015-07-15T00:00:00"/>
    <n v="18.5"/>
    <d v="2015-07-06T00:00:00"/>
    <m/>
    <m/>
    <m/>
    <m/>
    <m/>
    <m/>
    <x v="206"/>
    <m/>
    <n v="12.85"/>
    <d v="2015-07-06T00:00:00"/>
    <m/>
    <m/>
    <n v="11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4.048000000000002"/>
    <d v="2015-07-15T00:00:00"/>
    <m/>
    <m/>
    <m/>
    <m/>
    <n v="51.2017822265625"/>
    <d v="2015-07-15T00:00:00"/>
    <n v="18.343044281005859"/>
    <d v="2015-07-15T00:00:00"/>
    <n v="19.587"/>
    <d v="2015-07-15T00:00:00"/>
    <m/>
    <m/>
    <m/>
    <m/>
    <n v="8.9"/>
    <d v="2015-07-06T00:00:00"/>
    <m/>
    <m/>
    <m/>
    <m/>
    <m/>
    <m/>
    <m/>
    <n v="3"/>
    <d v="2015-06-25T00:00:00"/>
    <s v="VALIDE"/>
  </r>
  <r>
    <s v="RAPSO_057"/>
    <s v="Sinus"/>
    <x v="1"/>
    <x v="1"/>
    <n v="5"/>
    <m/>
    <m/>
    <n v="18"/>
    <n v="4"/>
    <m/>
    <m/>
    <n v="8"/>
    <m/>
    <n v="2.37"/>
    <d v="2015-07-06T00:00:00"/>
    <m/>
    <m/>
    <m/>
    <m/>
    <n v="6.02"/>
    <d v="2015-07-15T00:00:00"/>
    <n v="18.5"/>
    <d v="2015-07-06T00:00:00"/>
    <m/>
    <m/>
    <m/>
    <m/>
    <m/>
    <m/>
    <x v="207"/>
    <m/>
    <n v="13.12"/>
    <d v="2015-07-06T00:00:00"/>
    <m/>
    <m/>
    <n v="10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3.347999999999999"/>
    <d v="2015-07-15T00:00:00"/>
    <m/>
    <m/>
    <m/>
    <m/>
    <n v="45.86"/>
    <d v="2015-07-15T00:00:00"/>
    <n v="22.73682975769043"/>
    <d v="2015-07-15T00:00:00"/>
    <n v="75.334999999999994"/>
    <d v="2015-07-15T00:00:00"/>
    <m/>
    <m/>
    <m/>
    <m/>
    <n v="8.6"/>
    <d v="2015-07-06T00:00:00"/>
    <m/>
    <m/>
    <m/>
    <m/>
    <m/>
    <m/>
    <m/>
    <n v="3"/>
    <d v="2015-06-25T00:00:00"/>
    <s v="VALIDE"/>
  </r>
  <r>
    <s v="RAPSO_335"/>
    <s v="Kromerska1-DS1"/>
    <x v="0"/>
    <x v="2"/>
    <n v="14"/>
    <m/>
    <m/>
    <n v="5"/>
    <n v="4"/>
    <m/>
    <m/>
    <n v="8"/>
    <m/>
    <n v="2.33"/>
    <d v="2015-07-06T00:00:00"/>
    <m/>
    <m/>
    <m/>
    <m/>
    <n v="6.19"/>
    <d v="2015-07-15T00:00:00"/>
    <n v="18.5"/>
    <d v="2015-07-06T00:00:00"/>
    <m/>
    <m/>
    <m/>
    <m/>
    <m/>
    <m/>
    <x v="208"/>
    <m/>
    <n v="13.12"/>
    <d v="2015-07-06T00:00:00"/>
    <m/>
    <m/>
    <n v="130"/>
    <m/>
    <m/>
    <m/>
    <n v="95"/>
    <m/>
    <m/>
    <m/>
    <m/>
    <m/>
    <m/>
    <m/>
    <m/>
    <m/>
    <m/>
    <m/>
    <m/>
    <m/>
    <n v="5"/>
    <m/>
    <m/>
    <m/>
    <m/>
    <m/>
    <m/>
    <m/>
    <m/>
    <m/>
    <m/>
    <m/>
    <n v="64.320999999999998"/>
    <d v="2015-07-15T00:00:00"/>
    <m/>
    <m/>
    <m/>
    <m/>
    <n v="47.19"/>
    <d v="2015-07-15T00:00:00"/>
    <n v="20.561540603637695"/>
    <d v="2015-07-15T00:00:00"/>
    <n v="63.054000000000002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146"/>
    <s v="Bolko - POH 285"/>
    <x v="0"/>
    <x v="2"/>
    <n v="48"/>
    <n v="6"/>
    <n v="29"/>
    <m/>
    <m/>
    <m/>
    <m/>
    <n v="3"/>
    <m/>
    <n v="2.3199999999999998"/>
    <d v="2015-07-06T00:00:00"/>
    <m/>
    <m/>
    <m/>
    <m/>
    <n v="6.43"/>
    <d v="2015-07-15T00:00:00"/>
    <n v="18.5"/>
    <d v="2015-07-06T00:00:00"/>
    <m/>
    <m/>
    <m/>
    <m/>
    <m/>
    <m/>
    <x v="209"/>
    <m/>
    <n v="13.15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561999999999998"/>
    <d v="2015-07-15T00:00:00"/>
    <m/>
    <m/>
    <m/>
    <m/>
    <n v="48.882003784179688"/>
    <d v="2015-07-15T00:00:00"/>
    <n v="18.450870513916016"/>
    <d v="2015-07-15T00:00:00"/>
    <n v="26.609000000000002"/>
    <d v="2015-07-15T00:00:00"/>
    <m/>
    <m/>
    <m/>
    <m/>
    <n v="6.4"/>
    <d v="2015-07-06T00:00:00"/>
    <m/>
    <m/>
    <m/>
    <m/>
    <m/>
    <m/>
    <m/>
    <n v="5"/>
    <d v="2015-06-25T00:00:00"/>
    <s v="VALIDE"/>
  </r>
  <r>
    <s v="RAPSO_040"/>
    <s v="Olquell Gulzover"/>
    <x v="1"/>
    <x v="1"/>
    <n v="13"/>
    <n v="16"/>
    <n v="19"/>
    <m/>
    <m/>
    <m/>
    <m/>
    <n v="3"/>
    <m/>
    <n v="2.34"/>
    <d v="2015-07-06T00:00:00"/>
    <m/>
    <m/>
    <m/>
    <m/>
    <n v="5.89"/>
    <d v="2015-07-15T00:00:00"/>
    <n v="18.5"/>
    <d v="2015-07-06T00:00:00"/>
    <m/>
    <m/>
    <m/>
    <m/>
    <m/>
    <m/>
    <x v="210"/>
    <m/>
    <n v="13.16"/>
    <d v="2015-07-06T00:00:00"/>
    <m/>
    <m/>
    <n v="12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6.820999999999998"/>
    <d v="2015-07-15T00:00:00"/>
    <m/>
    <m/>
    <m/>
    <m/>
    <n v="44.718879699707031"/>
    <d v="2015-07-15T00:00:00"/>
    <n v="20.720685958862305"/>
    <d v="2015-07-15T00:00:00"/>
    <n v="44.448"/>
    <d v="2015-07-15T00:00:00"/>
    <m/>
    <m/>
    <m/>
    <m/>
    <n v="7.1"/>
    <d v="2015-07-06T00:00:00"/>
    <m/>
    <m/>
    <m/>
    <m/>
    <m/>
    <m/>
    <m/>
    <n v="5"/>
    <d v="2015-06-25T00:00:00"/>
    <s v="VALIDE"/>
  </r>
  <r>
    <s v="RAPSO_091"/>
    <s v="Janpol"/>
    <x v="1"/>
    <x v="1"/>
    <n v="8"/>
    <m/>
    <m/>
    <n v="16"/>
    <n v="4"/>
    <m/>
    <m/>
    <n v="6"/>
    <m/>
    <n v="2.39"/>
    <d v="2015-07-06T00:00:00"/>
    <m/>
    <m/>
    <m/>
    <m/>
    <n v="6.34"/>
    <d v="2015-07-15T00:00:00"/>
    <n v="18.5"/>
    <d v="2015-07-06T00:00:00"/>
    <m/>
    <m/>
    <m/>
    <m/>
    <m/>
    <m/>
    <x v="211"/>
    <m/>
    <n v="13.4"/>
    <d v="2015-07-06T00:00:00"/>
    <m/>
    <m/>
    <n v="13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2.011000000000003"/>
    <d v="2015-07-15T00:00:00"/>
    <m/>
    <m/>
    <m/>
    <m/>
    <n v="47.28"/>
    <d v="2015-07-15T00:00:00"/>
    <n v="21.294694900512695"/>
    <d v="2015-07-15T00:00:00"/>
    <n v="65.126999999999995"/>
    <d v="2015-07-15T00:00:00"/>
    <m/>
    <m/>
    <m/>
    <m/>
    <n v="7.4"/>
    <d v="2015-07-06T00:00:00"/>
    <m/>
    <m/>
    <m/>
    <m/>
    <m/>
    <m/>
    <m/>
    <n v="5"/>
    <d v="2015-06-25T00:00:00"/>
    <s v="VALIDE"/>
  </r>
  <r>
    <s v="RAPSO_057"/>
    <s v="Sinus"/>
    <x v="1"/>
    <x v="3"/>
    <n v="5"/>
    <m/>
    <m/>
    <n v="21"/>
    <n v="4"/>
    <m/>
    <m/>
    <n v="7"/>
    <m/>
    <n v="2.41"/>
    <d v="2015-07-06T00:00:00"/>
    <m/>
    <m/>
    <m/>
    <m/>
    <n v="6.1"/>
    <d v="2015-07-15T00:00:00"/>
    <n v="18.5"/>
    <d v="2015-07-06T00:00:00"/>
    <m/>
    <m/>
    <m/>
    <m/>
    <m/>
    <m/>
    <x v="212"/>
    <m/>
    <n v="13.41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616"/>
    <d v="2015-07-15T00:00:00"/>
    <m/>
    <m/>
    <m/>
    <m/>
    <n v="45.52"/>
    <d v="2015-07-15T00:00:00"/>
    <n v="23.222249984741211"/>
    <d v="2015-07-15T00:00:00"/>
    <n v="74.164000000000001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411"/>
    <s v="LJUBLANA "/>
    <x v="1"/>
    <x v="1"/>
    <n v="17"/>
    <m/>
    <m/>
    <n v="17"/>
    <n v="3"/>
    <m/>
    <m/>
    <n v="8"/>
    <m/>
    <n v="2.4"/>
    <d v="2015-07-06T00:00:00"/>
    <m/>
    <m/>
    <m/>
    <m/>
    <n v="6.24"/>
    <d v="2015-07-15T00:00:00"/>
    <n v="18.5"/>
    <d v="2015-07-06T00:00:00"/>
    <m/>
    <m/>
    <m/>
    <m/>
    <m/>
    <m/>
    <x v="213"/>
    <m/>
    <n v="13.41"/>
    <d v="2015-07-06T00:00:00"/>
    <m/>
    <m/>
    <n v="12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745000000000005"/>
    <d v="2015-07-15T00:00:00"/>
    <m/>
    <m/>
    <m/>
    <m/>
    <n v="46.55"/>
    <d v="2015-07-15T00:00:00"/>
    <n v="20.668020248413086"/>
    <d v="2015-07-15T00:00:00"/>
    <n v="69.733999999999995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368"/>
    <s v="BLAGODATNYI "/>
    <x v="1"/>
    <x v="1"/>
    <n v="117"/>
    <n v="14"/>
    <n v="15"/>
    <m/>
    <m/>
    <m/>
    <m/>
    <n v="8"/>
    <m/>
    <n v="2.42"/>
    <d v="2015-07-06T00:00:00"/>
    <m/>
    <m/>
    <m/>
    <m/>
    <n v="6.66"/>
    <d v="2015-07-15T00:00:00"/>
    <n v="18.5"/>
    <d v="2015-07-06T00:00:00"/>
    <m/>
    <m/>
    <m/>
    <m/>
    <m/>
    <m/>
    <x v="214"/>
    <m/>
    <n v="13.57"/>
    <d v="2015-07-06T00:00:00"/>
    <m/>
    <m/>
    <n v="135"/>
    <m/>
    <m/>
    <m/>
    <n v="110"/>
    <m/>
    <m/>
    <m/>
    <m/>
    <m/>
    <m/>
    <m/>
    <m/>
    <m/>
    <m/>
    <m/>
    <m/>
    <m/>
    <n v="9"/>
    <m/>
    <m/>
    <m/>
    <m/>
    <m/>
    <m/>
    <m/>
    <m/>
    <m/>
    <m/>
    <m/>
    <n v="64.980999999999995"/>
    <d v="2015-07-15T00:00:00"/>
    <m/>
    <m/>
    <m/>
    <m/>
    <n v="49.084316253662109"/>
    <d v="2015-07-15T00:00:00"/>
    <n v="20.23719596862793"/>
    <d v="2015-07-15T00:00:00"/>
    <n v="58.545999999999999"/>
    <d v="2015-07-15T00:00:00"/>
    <m/>
    <m/>
    <m/>
    <m/>
    <n v="7.4"/>
    <d v="2015-07-06T00:00:00"/>
    <m/>
    <m/>
    <m/>
    <m/>
    <m/>
    <m/>
    <m/>
    <n v="5"/>
    <d v="2015-06-25T00:00:00"/>
    <s v="VALIDE"/>
  </r>
  <r>
    <s v="RAPSO_335"/>
    <s v="Kromerska1-DS1"/>
    <x v="1"/>
    <x v="3"/>
    <n v="14"/>
    <m/>
    <m/>
    <n v="20"/>
    <n v="2"/>
    <m/>
    <m/>
    <n v="9"/>
    <m/>
    <n v="2.4300000000000002"/>
    <d v="2015-07-06T00:00:00"/>
    <m/>
    <m/>
    <m/>
    <m/>
    <n v="6.2"/>
    <d v="2015-07-15T00:00:00"/>
    <n v="18.5"/>
    <d v="2015-07-06T00:00:00"/>
    <m/>
    <m/>
    <m/>
    <m/>
    <m/>
    <m/>
    <x v="215"/>
    <m/>
    <n v="13.6"/>
    <d v="2015-07-06T00:00:00"/>
    <m/>
    <m/>
    <n v="105"/>
    <m/>
    <m/>
    <m/>
    <n v="96"/>
    <m/>
    <m/>
    <m/>
    <m/>
    <m/>
    <m/>
    <m/>
    <m/>
    <m/>
    <m/>
    <m/>
    <m/>
    <m/>
    <n v="5"/>
    <m/>
    <m/>
    <m/>
    <m/>
    <m/>
    <m/>
    <m/>
    <m/>
    <m/>
    <m/>
    <m/>
    <n v="64.650000000000006"/>
    <d v="2015-07-15T00:00:00"/>
    <m/>
    <m/>
    <m/>
    <m/>
    <n v="45.57"/>
    <d v="2015-07-15T00:00:00"/>
    <n v="21.864143371582031"/>
    <d v="2015-07-15T00:00:00"/>
    <n v="69.665000000000006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395"/>
    <s v="HOCHZUCHT REPOLE "/>
    <x v="1"/>
    <x v="1"/>
    <n v="120"/>
    <n v="16"/>
    <n v="8"/>
    <m/>
    <m/>
    <m/>
    <m/>
    <n v="9"/>
    <m/>
    <n v="2.39"/>
    <d v="2015-07-06T00:00:00"/>
    <m/>
    <m/>
    <m/>
    <m/>
    <n v="6.65"/>
    <d v="2015-07-15T00:00:00"/>
    <n v="18.5"/>
    <d v="2015-07-06T00:00:00"/>
    <m/>
    <m/>
    <m/>
    <m/>
    <m/>
    <m/>
    <x v="216"/>
    <m/>
    <n v="13.63"/>
    <d v="2015-07-06T00:00:00"/>
    <m/>
    <m/>
    <n v="11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12"/>
    <d v="2015-07-15T00:00:00"/>
    <m/>
    <m/>
    <m/>
    <m/>
    <n v="48.812454223632812"/>
    <d v="2015-07-15T00:00:00"/>
    <n v="19.898090362548828"/>
    <d v="2015-07-15T00:00:00"/>
    <n v="67.165000000000006"/>
    <d v="2015-07-15T00:00:00"/>
    <m/>
    <m/>
    <m/>
    <m/>
    <n v="5.8"/>
    <d v="2015-07-06T00:00:00"/>
    <m/>
    <m/>
    <m/>
    <m/>
    <m/>
    <m/>
    <m/>
    <n v="5"/>
    <d v="2015-06-25T00:00:00"/>
    <s v="VALIDE"/>
  </r>
  <r>
    <s v="RAPSO_064"/>
    <s v="Victor"/>
    <x v="1"/>
    <x v="3"/>
    <n v="6"/>
    <m/>
    <m/>
    <n v="24"/>
    <n v="2"/>
    <m/>
    <m/>
    <n v="8"/>
    <m/>
    <n v="2.48"/>
    <d v="2015-07-06T00:00:00"/>
    <m/>
    <m/>
    <m/>
    <m/>
    <n v="6.79"/>
    <d v="2015-07-15T00:00:00"/>
    <n v="18.5"/>
    <d v="2015-07-06T00:00:00"/>
    <m/>
    <m/>
    <m/>
    <m/>
    <m/>
    <m/>
    <x v="217"/>
    <m/>
    <n v="13.68"/>
    <d v="2015-07-06T00:00:00"/>
    <m/>
    <m/>
    <n v="12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5.602000000000004"/>
    <d v="2015-07-15T00:00:00"/>
    <m/>
    <m/>
    <m/>
    <m/>
    <n v="49.64"/>
    <d v="2015-07-15T00:00:00"/>
    <n v="19.829999923706055"/>
    <d v="2015-07-15T00:00:00"/>
    <n v="76.893000000000001"/>
    <d v="2015-07-15T00:00:00"/>
    <m/>
    <m/>
    <m/>
    <m/>
    <n v="8.9"/>
    <d v="2015-07-06T00:00:00"/>
    <m/>
    <m/>
    <m/>
    <m/>
    <m/>
    <m/>
    <m/>
    <n v="3"/>
    <d v="2015-06-25T00:00:00"/>
    <s v="VALIDE"/>
  </r>
  <r>
    <s v="RAPSO_006"/>
    <s v="Dublianski"/>
    <x v="1"/>
    <x v="3"/>
    <n v="1"/>
    <m/>
    <m/>
    <n v="23"/>
    <n v="1"/>
    <m/>
    <m/>
    <n v="8"/>
    <m/>
    <n v="2.5"/>
    <d v="2015-07-06T00:00:00"/>
    <m/>
    <m/>
    <m/>
    <m/>
    <n v="6.75"/>
    <d v="2015-07-15T00:00:00"/>
    <n v="18.5"/>
    <d v="2015-07-06T00:00:00"/>
    <m/>
    <m/>
    <m/>
    <m/>
    <m/>
    <m/>
    <x v="218"/>
    <m/>
    <n v="13.88"/>
    <d v="2015-07-06T00:00:00"/>
    <m/>
    <m/>
    <n v="125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7.245999999999995"/>
    <d v="2015-07-15T00:00:00"/>
    <m/>
    <m/>
    <m/>
    <m/>
    <n v="48.66"/>
    <d v="2015-07-15T00:00:00"/>
    <n v="19.991331100463867"/>
    <d v="2015-07-15T00:00:00"/>
    <n v="70.572000000000003"/>
    <d v="2015-07-15T00:00:00"/>
    <m/>
    <m/>
    <m/>
    <m/>
    <n v="8.3000000000000007"/>
    <d v="2015-07-06T00:00:00"/>
    <m/>
    <m/>
    <m/>
    <m/>
    <m/>
    <m/>
    <m/>
    <n v="7"/>
    <d v="2015-06-25T00:00:00"/>
    <s v="VALIDE"/>
  </r>
  <r>
    <s v="RAPSO_057"/>
    <s v="Sinus"/>
    <x v="0"/>
    <x v="2"/>
    <n v="5"/>
    <m/>
    <m/>
    <n v="2"/>
    <n v="4"/>
    <m/>
    <m/>
    <n v="9"/>
    <m/>
    <n v="2.5099999999999998"/>
    <d v="2015-07-06T00:00:00"/>
    <m/>
    <m/>
    <m/>
    <m/>
    <n v="6.41"/>
    <d v="2015-07-15T00:00:00"/>
    <n v="18.5"/>
    <d v="2015-07-06T00:00:00"/>
    <m/>
    <m/>
    <m/>
    <m/>
    <m/>
    <m/>
    <x v="219"/>
    <m/>
    <n v="13.98"/>
    <d v="2015-07-06T00:00:00"/>
    <m/>
    <m/>
    <n v="15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2.484999999999999"/>
    <d v="2015-07-15T00:00:00"/>
    <m/>
    <m/>
    <m/>
    <m/>
    <n v="45.85"/>
    <d v="2015-07-15T00:00:00"/>
    <n v="22.262828826904297"/>
    <d v="2015-07-15T00:00:00"/>
    <n v="72.415000000000006"/>
    <d v="2015-07-15T00:00:00"/>
    <m/>
    <m/>
    <m/>
    <m/>
    <n v="8"/>
    <d v="2015-07-06T00:00:00"/>
    <m/>
    <m/>
    <m/>
    <m/>
    <m/>
    <m/>
    <m/>
    <n v="5"/>
    <d v="2015-06-25T00:00:00"/>
    <s v="VALIDE"/>
  </r>
  <r>
    <s v="RAPSO_202"/>
    <s v="Goeland"/>
    <x v="1"/>
    <x v="3"/>
    <n v="70"/>
    <n v="22"/>
    <n v="19"/>
    <m/>
    <m/>
    <m/>
    <m/>
    <n v="3"/>
    <m/>
    <n v="2.5499999999999998"/>
    <d v="2015-07-06T00:00:00"/>
    <m/>
    <m/>
    <m/>
    <m/>
    <n v="6.9"/>
    <d v="2015-07-15T00:00:00"/>
    <n v="18.5"/>
    <d v="2015-07-06T00:00:00"/>
    <m/>
    <m/>
    <m/>
    <m/>
    <m/>
    <m/>
    <x v="220"/>
    <m/>
    <n v="14.18"/>
    <d v="2015-07-06T00:00:00"/>
    <m/>
    <m/>
    <n v="125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62.362000000000002"/>
    <d v="2015-07-15T00:00:00"/>
    <m/>
    <m/>
    <m/>
    <m/>
    <n v="48.689418792724609"/>
    <d v="2015-07-15T00:00:00"/>
    <n v="18.213665008544922"/>
    <d v="2015-07-15T00:00:00"/>
    <n v="16.239999999999998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057"/>
    <s v="Sinus"/>
    <x v="0"/>
    <x v="0"/>
    <n v="5"/>
    <m/>
    <m/>
    <n v="11"/>
    <n v="2"/>
    <m/>
    <m/>
    <n v="4"/>
    <m/>
    <n v="2.5499999999999998"/>
    <d v="2015-07-06T00:00:00"/>
    <m/>
    <m/>
    <m/>
    <m/>
    <n v="6.9"/>
    <d v="2015-07-15T00:00:00"/>
    <n v="18.5"/>
    <d v="2015-07-06T00:00:00"/>
    <m/>
    <m/>
    <m/>
    <m/>
    <m/>
    <m/>
    <x v="221"/>
    <m/>
    <n v="14.24"/>
    <d v="2015-07-06T00:00:00"/>
    <m/>
    <m/>
    <n v="14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2.755000000000003"/>
    <d v="2015-07-15T00:00:00"/>
    <m/>
    <m/>
    <m/>
    <m/>
    <n v="48.43"/>
    <d v="2015-07-15T00:00:00"/>
    <n v="20.505327224731445"/>
    <d v="2015-07-15T00:00:00"/>
    <n v="67.792000000000002"/>
    <d v="2015-07-15T00:00:00"/>
    <m/>
    <m/>
    <m/>
    <m/>
    <n v="7.8"/>
    <d v="2015-07-06T00:00:00"/>
    <m/>
    <m/>
    <m/>
    <m/>
    <m/>
    <m/>
    <m/>
    <n v="1"/>
    <d v="2015-06-25T00:00:00"/>
    <s v="VALIDE"/>
  </r>
  <r>
    <s v="RAPSO_199"/>
    <s v="Frederic"/>
    <x v="1"/>
    <x v="3"/>
    <n v="69"/>
    <n v="22"/>
    <n v="28"/>
    <m/>
    <m/>
    <m/>
    <m/>
    <n v="1"/>
    <m/>
    <n v="2.63"/>
    <d v="2015-07-06T00:00:00"/>
    <m/>
    <m/>
    <m/>
    <m/>
    <n v="7.13"/>
    <d v="2015-07-15T00:00:00"/>
    <n v="18.5"/>
    <d v="2015-07-06T00:00:00"/>
    <m/>
    <m/>
    <m/>
    <m/>
    <m/>
    <m/>
    <x v="222"/>
    <m/>
    <n v="14.24"/>
    <d v="2015-07-06T00:00:00"/>
    <m/>
    <m/>
    <n v="11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4.486000000000004"/>
    <d v="2015-07-15T00:00:00"/>
    <m/>
    <m/>
    <m/>
    <m/>
    <n v="50.089000701904297"/>
    <d v="2015-07-15T00:00:00"/>
    <n v="17.178546905517578"/>
    <d v="2015-07-15T00:00:00"/>
    <n v="18.370999999999999"/>
    <d v="2015-07-15T00:00:00"/>
    <m/>
    <m/>
    <m/>
    <m/>
    <n v="10.6"/>
    <d v="2015-07-06T00:00:00"/>
    <m/>
    <m/>
    <m/>
    <m/>
    <m/>
    <m/>
    <m/>
    <n v="3"/>
    <d v="2015-06-25T00:00:00"/>
    <s v="VALIDE"/>
  </r>
  <r>
    <s v="RAPSO_063"/>
    <s v="Tonus"/>
    <x v="1"/>
    <x v="1"/>
    <n v="21"/>
    <n v="17"/>
    <n v="19"/>
    <m/>
    <m/>
    <m/>
    <m/>
    <n v="9"/>
    <m/>
    <n v="2.6"/>
    <d v="2015-07-06T00:00:00"/>
    <m/>
    <m/>
    <m/>
    <m/>
    <n v="6.84"/>
    <d v="2015-07-15T00:00:00"/>
    <n v="18.5"/>
    <d v="2015-07-06T00:00:00"/>
    <m/>
    <m/>
    <m/>
    <m/>
    <m/>
    <m/>
    <x v="223"/>
    <m/>
    <n v="14.6"/>
    <d v="2015-07-06T00:00:00"/>
    <m/>
    <m/>
    <n v="12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766000000000005"/>
    <d v="2015-07-15T00:00:00"/>
    <m/>
    <m/>
    <m/>
    <m/>
    <n v="46.864730834960938"/>
    <d v="2015-07-15T00:00:00"/>
    <n v="20.18629264831543"/>
    <d v="2015-07-15T00:00:00"/>
    <n v="57.003999999999998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199"/>
    <s v="Frederic"/>
    <x v="1"/>
    <x v="1"/>
    <n v="69"/>
    <n v="15"/>
    <n v="14"/>
    <m/>
    <m/>
    <m/>
    <m/>
    <n v="5"/>
    <m/>
    <n v="2.61"/>
    <d v="2015-07-06T00:00:00"/>
    <m/>
    <m/>
    <m/>
    <m/>
    <n v="7.33"/>
    <d v="2015-07-15T00:00:00"/>
    <n v="18.5"/>
    <d v="2015-07-06T00:00:00"/>
    <m/>
    <m/>
    <m/>
    <m/>
    <m/>
    <m/>
    <x v="224"/>
    <m/>
    <n v="14.6"/>
    <d v="2015-07-06T00:00:00"/>
    <m/>
    <m/>
    <n v="10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4.671000000000006"/>
    <d v="2015-07-15T00:00:00"/>
    <m/>
    <m/>
    <m/>
    <m/>
    <n v="50.183616638183594"/>
    <d v="2015-07-15T00:00:00"/>
    <n v="18.733182907104492"/>
    <d v="2015-07-15T00:00:00"/>
    <n v="19.920000000000002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415"/>
    <s v="MYTNINSKYI-2 "/>
    <x v="1"/>
    <x v="1"/>
    <n v="18"/>
    <m/>
    <m/>
    <n v="15"/>
    <n v="3"/>
    <m/>
    <m/>
    <n v="9"/>
    <m/>
    <n v="2.6"/>
    <d v="2015-07-06T00:00:00"/>
    <m/>
    <m/>
    <m/>
    <m/>
    <n v="6.52"/>
    <d v="2015-07-15T00:00:00"/>
    <n v="18.5"/>
    <d v="2015-07-06T00:00:00"/>
    <m/>
    <m/>
    <m/>
    <m/>
    <m/>
    <m/>
    <x v="225"/>
    <m/>
    <n v="14.63"/>
    <d v="2015-07-06T00:00:00"/>
    <m/>
    <m/>
    <n v="11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4.882000000000005"/>
    <d v="2015-07-15T00:00:00"/>
    <m/>
    <m/>
    <m/>
    <m/>
    <n v="44.6"/>
    <d v="2015-07-15T00:00:00"/>
    <n v="21.899236679077148"/>
    <d v="2015-07-15T00:00:00"/>
    <n v="66.028999999999996"/>
    <d v="2015-07-15T00:00:00"/>
    <m/>
    <m/>
    <m/>
    <m/>
    <n v="7.1"/>
    <d v="2015-07-06T00:00:00"/>
    <m/>
    <m/>
    <m/>
    <m/>
    <m/>
    <m/>
    <m/>
    <n v="5"/>
    <d v="2015-06-25T00:00:00"/>
    <s v="VALIDE"/>
  </r>
  <r>
    <s v="RAPSO_430"/>
    <s v="RANGI "/>
    <x v="1"/>
    <x v="3"/>
    <n v="122"/>
    <n v="24"/>
    <n v="7"/>
    <m/>
    <m/>
    <m/>
    <m/>
    <n v="9"/>
    <m/>
    <n v="2.62"/>
    <d v="2015-07-06T00:00:00"/>
    <m/>
    <m/>
    <m/>
    <m/>
    <n v="7.25"/>
    <d v="2015-07-15T00:00:00"/>
    <n v="18.5"/>
    <d v="2015-07-06T00:00:00"/>
    <m/>
    <m/>
    <m/>
    <m/>
    <m/>
    <m/>
    <x v="226"/>
    <m/>
    <n v="14.68"/>
    <d v="2015-07-06T00:00:00"/>
    <m/>
    <m/>
    <n v="135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1.25"/>
    <d v="2015-07-15T00:00:00"/>
    <m/>
    <m/>
    <m/>
    <m/>
    <n v="49.411231994628906"/>
    <d v="2015-07-15T00:00:00"/>
    <n v="18.570632934570313"/>
    <d v="2015-07-15T00:00:00"/>
    <n v="68.340999999999994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335"/>
    <s v="Kromerska1-DS1"/>
    <x v="0"/>
    <x v="0"/>
    <n v="14"/>
    <m/>
    <m/>
    <n v="7"/>
    <n v="1"/>
    <m/>
    <m/>
    <n v="7"/>
    <m/>
    <n v="2.61"/>
    <d v="2015-07-06T00:00:00"/>
    <m/>
    <m/>
    <m/>
    <m/>
    <n v="7.01"/>
    <d v="2015-07-15T00:00:00"/>
    <n v="18.5"/>
    <d v="2015-07-06T00:00:00"/>
    <m/>
    <m/>
    <m/>
    <m/>
    <m/>
    <m/>
    <x v="227"/>
    <m/>
    <n v="14.71"/>
    <d v="2015-07-06T00:00:00"/>
    <m/>
    <m/>
    <n v="125"/>
    <m/>
    <m/>
    <m/>
    <n v="95"/>
    <m/>
    <m/>
    <m/>
    <m/>
    <m/>
    <m/>
    <m/>
    <m/>
    <m/>
    <m/>
    <m/>
    <m/>
    <m/>
    <n v="5"/>
    <m/>
    <m/>
    <m/>
    <m/>
    <m/>
    <m/>
    <m/>
    <m/>
    <m/>
    <m/>
    <m/>
    <n v="62.877000000000002"/>
    <d v="2015-07-15T00:00:00"/>
    <m/>
    <m/>
    <m/>
    <m/>
    <n v="47.64"/>
    <d v="2015-07-15T00:00:00"/>
    <n v="20.20890998840332"/>
    <d v="2015-07-15T00:00:00"/>
    <n v="58.609000000000002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251"/>
    <s v="Olymp"/>
    <x v="1"/>
    <x v="1"/>
    <n v="93"/>
    <n v="18"/>
    <n v="13"/>
    <m/>
    <m/>
    <m/>
    <m/>
    <n v="6"/>
    <m/>
    <n v="2.62"/>
    <d v="2015-07-06T00:00:00"/>
    <m/>
    <m/>
    <m/>
    <m/>
    <n v="7.02"/>
    <d v="2015-07-15T00:00:00"/>
    <n v="18.5"/>
    <d v="2015-07-06T00:00:00"/>
    <m/>
    <m/>
    <m/>
    <m/>
    <m/>
    <m/>
    <x v="228"/>
    <m/>
    <n v="14.72"/>
    <d v="2015-07-06T00:00:00"/>
    <m/>
    <m/>
    <n v="105"/>
    <m/>
    <m/>
    <m/>
    <n v="110"/>
    <m/>
    <m/>
    <m/>
    <m/>
    <m/>
    <m/>
    <m/>
    <m/>
    <m/>
    <m/>
    <m/>
    <m/>
    <m/>
    <n v="9"/>
    <m/>
    <m/>
    <m/>
    <m/>
    <m/>
    <m/>
    <m/>
    <m/>
    <m/>
    <m/>
    <m/>
    <n v="66.087999999999994"/>
    <d v="2015-07-15T00:00:00"/>
    <m/>
    <m/>
    <m/>
    <m/>
    <n v="47.724010467529297"/>
    <d v="2015-07-15T00:00:00"/>
    <n v="17.76997184753418"/>
    <d v="2015-07-15T00:00:00"/>
    <n v="13.576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077"/>
    <s v="Brink"/>
    <x v="1"/>
    <x v="1"/>
    <n v="28"/>
    <n v="18"/>
    <n v="16"/>
    <m/>
    <m/>
    <m/>
    <m/>
    <n v="8"/>
    <m/>
    <n v="2.61"/>
    <d v="2015-07-06T00:00:00"/>
    <m/>
    <m/>
    <m/>
    <m/>
    <n v="7.27"/>
    <d v="2015-07-15T00:00:00"/>
    <n v="18.5"/>
    <d v="2015-07-06T00:00:00"/>
    <m/>
    <m/>
    <m/>
    <m/>
    <m/>
    <m/>
    <x v="229"/>
    <m/>
    <n v="14.73"/>
    <d v="2015-07-06T00:00:00"/>
    <m/>
    <m/>
    <n v="12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1.606999999999999"/>
    <d v="2015-07-15T00:00:00"/>
    <m/>
    <m/>
    <m/>
    <m/>
    <n v="49.325702667236328"/>
    <d v="2015-07-15T00:00:00"/>
    <n v="18.737766265869141"/>
    <d v="2015-07-15T00:00:00"/>
    <n v="66.272000000000006"/>
    <d v="2015-07-15T00:00:00"/>
    <m/>
    <m/>
    <m/>
    <m/>
    <n v="6.8"/>
    <d v="2015-07-06T00:00:00"/>
    <m/>
    <m/>
    <m/>
    <m/>
    <m/>
    <m/>
    <m/>
    <n v="7"/>
    <d v="2015-06-25T00:00:00"/>
    <s v="VALIDE"/>
  </r>
  <r>
    <s v="RAPSO_266"/>
    <s v="Sahara"/>
    <x v="1"/>
    <x v="3"/>
    <n v="103"/>
    <n v="23"/>
    <n v="28"/>
    <m/>
    <m/>
    <m/>
    <m/>
    <n v="3"/>
    <m/>
    <n v="2.75"/>
    <d v="2015-07-06T00:00:00"/>
    <m/>
    <m/>
    <m/>
    <m/>
    <n v="7.59"/>
    <d v="2015-07-15T00:00:00"/>
    <n v="18.5"/>
    <d v="2015-07-06T00:00:00"/>
    <m/>
    <m/>
    <m/>
    <m/>
    <m/>
    <m/>
    <x v="230"/>
    <m/>
    <n v="14.8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686000000000007"/>
    <d v="2015-07-15T00:00:00"/>
    <m/>
    <m/>
    <m/>
    <m/>
    <n v="51.258335113525391"/>
    <d v="2015-07-15T00:00:00"/>
    <n v="17.111293792724609"/>
    <d v="2015-07-15T00:00:00"/>
    <n v="14.513999999999999"/>
    <d v="2015-07-15T00:00:00"/>
    <m/>
    <m/>
    <m/>
    <m/>
    <n v="11.1"/>
    <d v="2015-07-06T00:00:00"/>
    <m/>
    <m/>
    <m/>
    <m/>
    <m/>
    <m/>
    <m/>
    <n v="3"/>
    <d v="2015-06-25T00:00:00"/>
    <s v="VALIDE"/>
  </r>
  <r>
    <s v="RAPSO_387"/>
    <s v="EZSTERHAZY N.ST "/>
    <x v="0"/>
    <x v="0"/>
    <n v="15"/>
    <m/>
    <m/>
    <n v="10"/>
    <n v="3"/>
    <m/>
    <m/>
    <n v="8"/>
    <m/>
    <n v="2.67"/>
    <d v="2015-07-06T00:00:00"/>
    <m/>
    <m/>
    <m/>
    <m/>
    <n v="7.19"/>
    <d v="2015-07-15T00:00:00"/>
    <n v="18.5"/>
    <d v="2015-07-06T00:00:00"/>
    <m/>
    <m/>
    <m/>
    <m/>
    <m/>
    <m/>
    <x v="231"/>
    <m/>
    <n v="14.97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353999999999999"/>
    <d v="2015-07-15T00:00:00"/>
    <m/>
    <m/>
    <m/>
    <m/>
    <n v="48.04"/>
    <d v="2015-07-15T00:00:00"/>
    <n v="21.736404418945313"/>
    <d v="2015-07-15T00:00:00"/>
    <n v="84.370999999999995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382"/>
    <s v="DEBRUDER DIPPES "/>
    <x v="1"/>
    <x v="1"/>
    <n v="119"/>
    <n v="14"/>
    <n v="26"/>
    <m/>
    <m/>
    <m/>
    <m/>
    <n v="5"/>
    <m/>
    <n v="2.67"/>
    <d v="2015-07-06T00:00:00"/>
    <m/>
    <m/>
    <m/>
    <m/>
    <n v="7.2"/>
    <d v="2015-07-15T00:00:00"/>
    <n v="18.5"/>
    <d v="2015-07-06T00:00:00"/>
    <m/>
    <m/>
    <m/>
    <m/>
    <m/>
    <m/>
    <x v="232"/>
    <m/>
    <n v="15.04"/>
    <d v="2015-07-06T00:00:00"/>
    <m/>
    <m/>
    <n v="135"/>
    <m/>
    <m/>
    <m/>
    <n v="109"/>
    <m/>
    <m/>
    <m/>
    <m/>
    <m/>
    <m/>
    <m/>
    <m/>
    <m/>
    <m/>
    <m/>
    <m/>
    <m/>
    <n v="7"/>
    <m/>
    <m/>
    <m/>
    <m/>
    <m/>
    <m/>
    <m/>
    <m/>
    <m/>
    <m/>
    <m/>
    <n v="64.992999999999995"/>
    <d v="2015-07-15T00:00:00"/>
    <m/>
    <m/>
    <m/>
    <m/>
    <n v="47.838932037353516"/>
    <d v="2015-07-15T00:00:00"/>
    <n v="19.538213729858398"/>
    <d v="2015-07-15T00:00:00"/>
    <n v="48.094999999999999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375"/>
    <s v="CETMEKI "/>
    <x v="1"/>
    <x v="3"/>
    <n v="118"/>
    <n v="23"/>
    <n v="19"/>
    <m/>
    <m/>
    <m/>
    <m/>
    <n v="7"/>
    <m/>
    <n v="2.68"/>
    <d v="2015-07-06T00:00:00"/>
    <m/>
    <m/>
    <m/>
    <m/>
    <n v="7.05"/>
    <d v="2015-07-15T00:00:00"/>
    <n v="18.5"/>
    <d v="2015-07-06T00:00:00"/>
    <m/>
    <m/>
    <m/>
    <m/>
    <m/>
    <m/>
    <x v="233"/>
    <m/>
    <n v="15.06"/>
    <d v="2015-07-06T00:00:00"/>
    <m/>
    <m/>
    <n v="11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6.600999999999999"/>
    <d v="2015-07-15T00:00:00"/>
    <m/>
    <m/>
    <m/>
    <m/>
    <n v="46.817707061767578"/>
    <d v="2015-07-15T00:00:00"/>
    <n v="20.302371978759766"/>
    <d v="2015-07-15T00:00:00"/>
    <n v="63.173999999999999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063"/>
    <s v="Tonus"/>
    <x v="1"/>
    <x v="3"/>
    <n v="21"/>
    <n v="24"/>
    <n v="6"/>
    <m/>
    <m/>
    <m/>
    <m/>
    <n v="9"/>
    <m/>
    <n v="2.7"/>
    <d v="2015-07-06T00:00:00"/>
    <m/>
    <m/>
    <m/>
    <m/>
    <n v="7.53"/>
    <d v="2015-07-15T00:00:00"/>
    <n v="18.5"/>
    <d v="2015-07-06T00:00:00"/>
    <m/>
    <m/>
    <m/>
    <m/>
    <m/>
    <m/>
    <x v="234"/>
    <m/>
    <n v="15.11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8.028000000000006"/>
    <d v="2015-07-15T00:00:00"/>
    <m/>
    <m/>
    <m/>
    <m/>
    <n v="49.848049163818359"/>
    <d v="2015-07-15T00:00:00"/>
    <n v="18.88585090637207"/>
    <d v="2015-07-15T00:00:00"/>
    <n v="62.402999999999999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017"/>
    <s v="Gross Luzewiter"/>
    <x v="0"/>
    <x v="0"/>
    <n v="4"/>
    <m/>
    <m/>
    <n v="8"/>
    <n v="1"/>
    <m/>
    <m/>
    <n v="9"/>
    <m/>
    <n v="2.7"/>
    <d v="2015-07-06T00:00:00"/>
    <m/>
    <m/>
    <m/>
    <m/>
    <n v="7.42"/>
    <d v="2015-07-15T00:00:00"/>
    <n v="18.5"/>
    <d v="2015-07-06T00:00:00"/>
    <m/>
    <m/>
    <m/>
    <m/>
    <m/>
    <m/>
    <x v="235"/>
    <m/>
    <n v="15.17"/>
    <d v="2015-07-06T00:00:00"/>
    <m/>
    <m/>
    <n v="140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4.816999999999993"/>
    <d v="2015-07-15T00:00:00"/>
    <m/>
    <m/>
    <m/>
    <m/>
    <n v="48.92"/>
    <d v="2015-07-15T00:00:00"/>
    <n v="19.982833862304688"/>
    <d v="2015-07-15T00:00:00"/>
    <n v="56.741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368"/>
    <s v="BLAGODATNYI "/>
    <x v="1"/>
    <x v="3"/>
    <n v="117"/>
    <n v="24"/>
    <n v="21"/>
    <m/>
    <m/>
    <m/>
    <m/>
    <n v="7"/>
    <m/>
    <n v="2.68"/>
    <d v="2015-07-06T00:00:00"/>
    <m/>
    <m/>
    <m/>
    <m/>
    <n v="7.56"/>
    <d v="2015-07-15T00:00:00"/>
    <n v="18.5"/>
    <d v="2015-07-06T00:00:00"/>
    <m/>
    <m/>
    <m/>
    <m/>
    <m/>
    <m/>
    <x v="236"/>
    <m/>
    <n v="15.17"/>
    <d v="2015-07-06T00:00:00"/>
    <m/>
    <m/>
    <n v="150"/>
    <m/>
    <m/>
    <m/>
    <n v="110"/>
    <m/>
    <m/>
    <m/>
    <m/>
    <m/>
    <m/>
    <m/>
    <m/>
    <m/>
    <m/>
    <m/>
    <m/>
    <m/>
    <n v="9"/>
    <m/>
    <m/>
    <m/>
    <m/>
    <m/>
    <m/>
    <m/>
    <m/>
    <m/>
    <m/>
    <m/>
    <n v="66.31"/>
    <d v="2015-07-15T00:00:00"/>
    <m/>
    <m/>
    <m/>
    <m/>
    <n v="49.863357543945313"/>
    <d v="2015-07-15T00:00:00"/>
    <n v="21.489660263061523"/>
    <d v="2015-07-15T00:00:00"/>
    <n v="64.483999999999995"/>
    <d v="2015-07-15T00:00:00"/>
    <m/>
    <m/>
    <m/>
    <m/>
    <n v="6.5"/>
    <d v="2015-07-06T00:00:00"/>
    <m/>
    <m/>
    <m/>
    <m/>
    <m/>
    <m/>
    <m/>
    <n v="5"/>
    <d v="2015-06-25T00:00:00"/>
    <s v="VALIDE"/>
  </r>
  <r>
    <s v="BRA_010"/>
    <s v="Quinta"/>
    <x v="1"/>
    <x v="3"/>
    <n v="23"/>
    <m/>
    <m/>
    <n v="19"/>
    <n v="2"/>
    <m/>
    <m/>
    <n v="8"/>
    <m/>
    <n v="2.75"/>
    <d v="2015-07-06T00:00:00"/>
    <m/>
    <m/>
    <m/>
    <m/>
    <n v="7.01"/>
    <d v="2015-07-15T00:00:00"/>
    <n v="18.5"/>
    <d v="2015-07-06T00:00:00"/>
    <m/>
    <m/>
    <m/>
    <m/>
    <m/>
    <m/>
    <x v="237"/>
    <m/>
    <n v="15.29"/>
    <d v="2015-07-06T00:00:00"/>
    <m/>
    <m/>
    <n v="14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1.015999999999998"/>
    <d v="2015-07-15T00:00:00"/>
    <m/>
    <m/>
    <m/>
    <m/>
    <n v="45.84"/>
    <d v="2015-07-15T00:00:00"/>
    <n v="20.115787506103516"/>
    <d v="2015-07-15T00:00:00"/>
    <n v="68.209000000000003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077"/>
    <s v="Brink"/>
    <x v="1"/>
    <x v="3"/>
    <n v="28"/>
    <n v="19"/>
    <n v="23"/>
    <m/>
    <m/>
    <m/>
    <m/>
    <n v="7"/>
    <m/>
    <n v="2.73"/>
    <d v="2015-07-06T00:00:00"/>
    <m/>
    <m/>
    <m/>
    <m/>
    <n v="7.2"/>
    <d v="2015-07-15T00:00:00"/>
    <n v="18.5"/>
    <d v="2015-07-06T00:00:00"/>
    <m/>
    <m/>
    <m/>
    <m/>
    <m/>
    <m/>
    <x v="238"/>
    <m/>
    <n v="15.29"/>
    <d v="2015-07-06T00:00:00"/>
    <m/>
    <m/>
    <n v="10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45"/>
    <d v="2015-07-15T00:00:00"/>
    <m/>
    <m/>
    <m/>
    <m/>
    <n v="47.084754943847656"/>
    <d v="2015-07-15T00:00:00"/>
    <n v="19.408140182495117"/>
    <d v="2015-07-15T00:00:00"/>
    <n v="51.758000000000003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278"/>
    <s v="TOR"/>
    <x v="1"/>
    <x v="1"/>
    <n v="109"/>
    <n v="17"/>
    <n v="28"/>
    <m/>
    <m/>
    <m/>
    <m/>
    <n v="3"/>
    <m/>
    <n v="2.72"/>
    <d v="2015-07-06T00:00:00"/>
    <m/>
    <m/>
    <m/>
    <m/>
    <n v="7.36"/>
    <d v="2015-07-15T00:00:00"/>
    <n v="18.5"/>
    <d v="2015-07-06T00:00:00"/>
    <m/>
    <m/>
    <m/>
    <m/>
    <m/>
    <m/>
    <x v="239"/>
    <m/>
    <n v="15.32"/>
    <d v="2015-07-06T00:00:00"/>
    <m/>
    <m/>
    <n v="130"/>
    <m/>
    <m/>
    <m/>
    <n v="109"/>
    <m/>
    <m/>
    <m/>
    <m/>
    <m/>
    <m/>
    <m/>
    <m/>
    <m/>
    <m/>
    <m/>
    <m/>
    <m/>
    <n v="7"/>
    <m/>
    <m/>
    <m/>
    <m/>
    <m/>
    <m/>
    <m/>
    <m/>
    <m/>
    <m/>
    <m/>
    <n v="64.641000000000005"/>
    <d v="2015-07-15T00:00:00"/>
    <m/>
    <m/>
    <m/>
    <m/>
    <n v="48.014266967773437"/>
    <d v="2015-07-15T00:00:00"/>
    <n v="18.721267700195313"/>
    <d v="2015-07-15T00:00:00"/>
    <n v="15.722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017"/>
    <s v="Gross Luzewiter"/>
    <x v="1"/>
    <x v="3"/>
    <n v="4"/>
    <m/>
    <m/>
    <n v="24"/>
    <n v="1"/>
    <m/>
    <m/>
    <n v="9"/>
    <m/>
    <n v="2.77"/>
    <d v="2015-07-06T00:00:00"/>
    <m/>
    <m/>
    <m/>
    <m/>
    <n v="7.36"/>
    <d v="2015-07-15T00:00:00"/>
    <n v="18.5"/>
    <d v="2015-07-06T00:00:00"/>
    <m/>
    <m/>
    <m/>
    <m/>
    <m/>
    <m/>
    <x v="240"/>
    <m/>
    <n v="15.35"/>
    <d v="2015-07-06T00:00:00"/>
    <m/>
    <m/>
    <n v="13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736999999999995"/>
    <d v="2015-07-15T00:00:00"/>
    <m/>
    <m/>
    <m/>
    <m/>
    <n v="47.94"/>
    <d v="2015-07-15T00:00:00"/>
    <n v="20.304605484008789"/>
    <d v="2015-07-15T00:00:00"/>
    <n v="62.386000000000003"/>
    <d v="2015-07-15T00:00:00"/>
    <m/>
    <m/>
    <m/>
    <m/>
    <n v="8.5"/>
    <d v="2015-07-06T00:00:00"/>
    <m/>
    <m/>
    <m/>
    <m/>
    <m/>
    <m/>
    <m/>
    <n v="3"/>
    <d v="2015-06-25T00:00:00"/>
    <s v="VALIDE"/>
  </r>
  <r>
    <s v="RAPSO_105"/>
    <s v="Ligora"/>
    <x v="1"/>
    <x v="1"/>
    <n v="10"/>
    <m/>
    <m/>
    <n v="15"/>
    <n v="2"/>
    <m/>
    <m/>
    <n v="9"/>
    <m/>
    <n v="2.75"/>
    <d v="2015-07-06T00:00:00"/>
    <m/>
    <m/>
    <m/>
    <m/>
    <n v="6.62"/>
    <d v="2015-07-15T00:00:00"/>
    <n v="18.5"/>
    <d v="2015-07-06T00:00:00"/>
    <m/>
    <m/>
    <m/>
    <m/>
    <m/>
    <m/>
    <x v="241"/>
    <m/>
    <n v="15.35"/>
    <d v="2015-07-06T00:00:00"/>
    <m/>
    <m/>
    <n v="145"/>
    <m/>
    <m/>
    <m/>
    <n v="105"/>
    <m/>
    <m/>
    <m/>
    <m/>
    <m/>
    <m/>
    <m/>
    <m/>
    <m/>
    <m/>
    <m/>
    <m/>
    <m/>
    <n v="1"/>
    <m/>
    <m/>
    <m/>
    <m/>
    <m/>
    <m/>
    <m/>
    <m/>
    <m/>
    <m/>
    <m/>
    <n v="62.747999999999998"/>
    <d v="2015-07-15T00:00:00"/>
    <m/>
    <m/>
    <m/>
    <m/>
    <n v="43.13"/>
    <d v="2015-07-15T00:00:00"/>
    <n v="23.197935104370117"/>
    <d v="2015-07-15T00:00:00"/>
    <n v="71.542000000000002"/>
    <d v="2015-07-15T00:00:00"/>
    <m/>
    <m/>
    <m/>
    <m/>
    <n v="7.8"/>
    <d v="2015-07-06T00:00:00"/>
    <m/>
    <m/>
    <m/>
    <m/>
    <m/>
    <m/>
    <m/>
    <n v="1"/>
    <d v="2015-06-25T00:00:00"/>
    <s v="VALIDE"/>
  </r>
  <r>
    <s v="RAPSO_009"/>
    <s v="Forto"/>
    <x v="1"/>
    <x v="1"/>
    <n v="2"/>
    <m/>
    <m/>
    <n v="13"/>
    <n v="1"/>
    <m/>
    <m/>
    <n v="9"/>
    <m/>
    <n v="2.75"/>
    <d v="2015-07-06T00:00:00"/>
    <m/>
    <m/>
    <m/>
    <m/>
    <n v="6.88"/>
    <d v="2015-07-15T00:00:00"/>
    <n v="18.5"/>
    <d v="2015-07-06T00:00:00"/>
    <m/>
    <m/>
    <m/>
    <m/>
    <m/>
    <m/>
    <x v="242"/>
    <m/>
    <n v="15.39"/>
    <d v="2015-07-06T00:00:00"/>
    <m/>
    <m/>
    <n v="11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370999999999995"/>
    <d v="2015-07-15T00:00:00"/>
    <m/>
    <m/>
    <m/>
    <m/>
    <n v="44.7"/>
    <d v="2015-07-15T00:00:00"/>
    <n v="21.561805725097656"/>
    <d v="2015-07-15T00:00:00"/>
    <n v="56.415999999999997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363"/>
    <s v="MANSHOLTS "/>
    <x v="1"/>
    <x v="3"/>
    <n v="116"/>
    <n v="19"/>
    <n v="27"/>
    <m/>
    <m/>
    <m/>
    <m/>
    <n v="8"/>
    <m/>
    <n v="2.73"/>
    <d v="2015-07-06T00:00:00"/>
    <m/>
    <m/>
    <m/>
    <m/>
    <n v="7.5"/>
    <d v="2015-07-15T00:00:00"/>
    <n v="18.5"/>
    <d v="2015-07-06T00:00:00"/>
    <m/>
    <m/>
    <m/>
    <m/>
    <m/>
    <m/>
    <x v="243"/>
    <m/>
    <n v="15.41"/>
    <d v="2015-07-06T00:00:00"/>
    <m/>
    <m/>
    <n v="13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7.228999999999999"/>
    <d v="2015-07-15T00:00:00"/>
    <m/>
    <m/>
    <m/>
    <m/>
    <n v="48.675506591796875"/>
    <d v="2015-07-15T00:00:00"/>
    <n v="18.185121536254883"/>
    <d v="2015-07-15T00:00:00"/>
    <n v="61.738999999999997"/>
    <d v="2015-07-15T00:00:00"/>
    <m/>
    <m/>
    <m/>
    <m/>
    <n v="6.8"/>
    <d v="2015-07-06T00:00:00"/>
    <m/>
    <m/>
    <m/>
    <m/>
    <m/>
    <m/>
    <m/>
    <n v="5"/>
    <d v="2015-06-25T00:00:00"/>
    <s v="VALIDE"/>
  </r>
  <r>
    <s v="RAPSO_091"/>
    <s v="Janpol"/>
    <x v="0"/>
    <x v="2"/>
    <n v="8"/>
    <m/>
    <m/>
    <n v="3"/>
    <n v="4"/>
    <m/>
    <m/>
    <n v="8"/>
    <m/>
    <n v="2.76"/>
    <d v="2015-07-06T00:00:00"/>
    <m/>
    <m/>
    <m/>
    <m/>
    <n v="7.15"/>
    <d v="2015-07-15T00:00:00"/>
    <n v="18.5"/>
    <d v="2015-07-06T00:00:00"/>
    <m/>
    <m/>
    <m/>
    <m/>
    <m/>
    <m/>
    <x v="244"/>
    <m/>
    <n v="15.44"/>
    <d v="2015-07-06T00:00:00"/>
    <m/>
    <m/>
    <n v="15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59.646000000000001"/>
    <d v="2015-07-15T00:00:00"/>
    <m/>
    <m/>
    <m/>
    <m/>
    <n v="46.33"/>
    <d v="2015-07-15T00:00:00"/>
    <n v="22.515121459960938"/>
    <d v="2015-07-15T00:00:00"/>
    <n v="65.599999999999994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363"/>
    <s v="MANSHOLTS "/>
    <x v="1"/>
    <x v="1"/>
    <n v="116"/>
    <n v="17"/>
    <n v="4"/>
    <m/>
    <m/>
    <m/>
    <m/>
    <n v="9"/>
    <m/>
    <n v="2.81"/>
    <d v="2015-07-06T00:00:00"/>
    <m/>
    <m/>
    <m/>
    <m/>
    <n v="7.39"/>
    <d v="2015-07-15T00:00:00"/>
    <n v="18.5"/>
    <d v="2015-07-06T00:00:00"/>
    <m/>
    <m/>
    <m/>
    <m/>
    <m/>
    <m/>
    <x v="245"/>
    <m/>
    <n v="15.45"/>
    <d v="2015-07-06T00:00:00"/>
    <m/>
    <m/>
    <n v="120"/>
    <m/>
    <m/>
    <m/>
    <n v="109"/>
    <m/>
    <m/>
    <m/>
    <m/>
    <m/>
    <m/>
    <m/>
    <m/>
    <m/>
    <m/>
    <m/>
    <m/>
    <m/>
    <n v="7"/>
    <m/>
    <m/>
    <m/>
    <m/>
    <m/>
    <m/>
    <m/>
    <m/>
    <m/>
    <m/>
    <m/>
    <n v="66.084999999999994"/>
    <d v="2015-07-15T00:00:00"/>
    <m/>
    <m/>
    <m/>
    <m/>
    <n v="47.821861267089844"/>
    <d v="2015-07-15T00:00:00"/>
    <n v="17.754234313964844"/>
    <d v="2015-07-15T00:00:00"/>
    <n v="58.575000000000003"/>
    <d v="2015-07-15T00:00:00"/>
    <m/>
    <m/>
    <m/>
    <m/>
    <n v="9.1999999999999993"/>
    <d v="2015-07-06T00:00:00"/>
    <m/>
    <m/>
    <m/>
    <m/>
    <m/>
    <m/>
    <m/>
    <n v="5"/>
    <d v="2015-06-25T00:00:00"/>
    <s v="VALIDE"/>
  </r>
  <r>
    <s v="RAPSO_091"/>
    <s v="Janpol"/>
    <x v="1"/>
    <x v="3"/>
    <n v="8"/>
    <m/>
    <m/>
    <n v="21"/>
    <n v="3"/>
    <m/>
    <m/>
    <n v="9"/>
    <m/>
    <n v="2.78"/>
    <d v="2015-07-06T00:00:00"/>
    <m/>
    <m/>
    <m/>
    <m/>
    <n v="7.37"/>
    <d v="2015-07-15T00:00:00"/>
    <n v="18.5"/>
    <d v="2015-07-06T00:00:00"/>
    <m/>
    <m/>
    <m/>
    <m/>
    <m/>
    <m/>
    <x v="246"/>
    <m/>
    <n v="15.54"/>
    <d v="2015-07-06T00:00:00"/>
    <m/>
    <m/>
    <n v="13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1.048999999999999"/>
    <d v="2015-07-15T00:00:00"/>
    <m/>
    <m/>
    <m/>
    <m/>
    <n v="47.4"/>
    <d v="2015-07-15T00:00:00"/>
    <n v="21.693105697631836"/>
    <d v="2015-07-15T00:00:00"/>
    <n v="68.191000000000003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040"/>
    <s v="Olquell Gulzover"/>
    <x v="1"/>
    <x v="3"/>
    <n v="13"/>
    <n v="22"/>
    <n v="5"/>
    <m/>
    <m/>
    <m/>
    <m/>
    <n v="8"/>
    <m/>
    <n v="2.78"/>
    <d v="2015-07-06T00:00:00"/>
    <m/>
    <m/>
    <m/>
    <m/>
    <n v="7.55"/>
    <d v="2015-07-15T00:00:00"/>
    <n v="18.5"/>
    <d v="2015-07-06T00:00:00"/>
    <m/>
    <m/>
    <m/>
    <m/>
    <m/>
    <m/>
    <x v="247"/>
    <m/>
    <n v="15.258212058212061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191000000000003"/>
    <d v="2015-07-15T00:00:00"/>
    <m/>
    <m/>
    <m/>
    <m/>
    <n v="48.550418853759766"/>
    <d v="2015-07-15T00:00:00"/>
    <n v="19.75434684753418"/>
    <d v="2015-07-15T00:00:00"/>
    <n v="43.551000000000002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375"/>
    <s v="CETMEKI "/>
    <x v="1"/>
    <x v="1"/>
    <n v="118"/>
    <n v="18"/>
    <n v="1"/>
    <m/>
    <m/>
    <m/>
    <m/>
    <n v="9"/>
    <m/>
    <n v="2.81"/>
    <d v="2015-07-06T00:00:00"/>
    <m/>
    <m/>
    <m/>
    <m/>
    <n v="7.42"/>
    <d v="2015-07-15T00:00:00"/>
    <n v="18.5"/>
    <d v="2015-07-06T00:00:00"/>
    <m/>
    <m/>
    <m/>
    <m/>
    <m/>
    <m/>
    <x v="248"/>
    <m/>
    <n v="15.6"/>
    <d v="2015-07-06T00:00:00"/>
    <m/>
    <m/>
    <n v="11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7.167000000000002"/>
    <d v="2015-07-15T00:00:00"/>
    <m/>
    <m/>
    <m/>
    <m/>
    <n v="47.587860107421875"/>
    <d v="2015-07-15T00:00:00"/>
    <n v="20.211782455444336"/>
    <d v="2015-07-15T00:00:00"/>
    <n v="63.301000000000002"/>
    <d v="2015-07-15T00:00:00"/>
    <m/>
    <m/>
    <m/>
    <m/>
    <n v="8.3000000000000007"/>
    <d v="2015-07-06T00:00:00"/>
    <m/>
    <m/>
    <m/>
    <m/>
    <m/>
    <m/>
    <m/>
    <n v="5"/>
    <d v="2015-06-25T00:00:00"/>
    <s v="VALIDE"/>
  </r>
  <r>
    <s v="RAPSO_105"/>
    <s v="Ligora"/>
    <x v="0"/>
    <x v="2"/>
    <n v="10"/>
    <m/>
    <m/>
    <n v="5"/>
    <n v="2"/>
    <m/>
    <m/>
    <n v="9"/>
    <m/>
    <n v="2.8"/>
    <d v="2015-07-06T00:00:00"/>
    <m/>
    <m/>
    <m/>
    <m/>
    <n v="7.29"/>
    <d v="2015-07-15T00:00:00"/>
    <n v="18.5"/>
    <d v="2015-07-06T00:00:00"/>
    <m/>
    <m/>
    <m/>
    <m/>
    <m/>
    <m/>
    <x v="249"/>
    <m/>
    <n v="15.63"/>
    <d v="2015-07-06T00:00:00"/>
    <m/>
    <m/>
    <n v="150"/>
    <m/>
    <m/>
    <m/>
    <n v="107"/>
    <m/>
    <m/>
    <m/>
    <m/>
    <m/>
    <m/>
    <m/>
    <m/>
    <m/>
    <m/>
    <m/>
    <m/>
    <m/>
    <n v="3"/>
    <m/>
    <m/>
    <m/>
    <m/>
    <m/>
    <m/>
    <m/>
    <m/>
    <m/>
    <m/>
    <m/>
    <n v="59.970999999999997"/>
    <d v="2015-07-15T00:00:00"/>
    <m/>
    <m/>
    <m/>
    <m/>
    <n v="46.61"/>
    <d v="2015-07-15T00:00:00"/>
    <n v="20.432397842407227"/>
    <d v="2015-07-15T00:00:00"/>
    <n v="72.231999999999999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235"/>
    <s v="Mar"/>
    <x v="1"/>
    <x v="1"/>
    <n v="87"/>
    <n v="16"/>
    <n v="4"/>
    <m/>
    <m/>
    <m/>
    <m/>
    <n v="6"/>
    <m/>
    <n v="2.82"/>
    <d v="2015-07-06T00:00:00"/>
    <m/>
    <m/>
    <m/>
    <m/>
    <n v="7.78"/>
    <d v="2015-07-15T00:00:00"/>
    <n v="18.5"/>
    <d v="2015-07-06T00:00:00"/>
    <m/>
    <m/>
    <m/>
    <m/>
    <m/>
    <m/>
    <x v="250"/>
    <m/>
    <n v="15.68"/>
    <d v="2015-07-06T00:00:00"/>
    <m/>
    <m/>
    <n v="10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945999999999998"/>
    <d v="2015-07-15T00:00:00"/>
    <m/>
    <m/>
    <m/>
    <m/>
    <n v="49.631072998046875"/>
    <d v="2015-07-15T00:00:00"/>
    <n v="17.652515411376953"/>
    <d v="2015-07-15T00:00:00"/>
    <n v="19.094999999999999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013"/>
    <s v="Gesunder"/>
    <x v="1"/>
    <x v="3"/>
    <n v="4"/>
    <n v="24"/>
    <n v="11"/>
    <m/>
    <m/>
    <m/>
    <m/>
    <n v="9"/>
    <m/>
    <n v="2.8"/>
    <d v="2015-07-06T00:00:00"/>
    <m/>
    <m/>
    <m/>
    <m/>
    <n v="7.59"/>
    <d v="2015-07-15T00:00:00"/>
    <n v="18.5"/>
    <d v="2015-07-06T00:00:00"/>
    <m/>
    <m/>
    <m/>
    <m/>
    <m/>
    <m/>
    <x v="251"/>
    <m/>
    <n v="15.79"/>
    <d v="2015-07-06T00:00:00"/>
    <m/>
    <m/>
    <n v="15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6.152000000000001"/>
    <d v="2015-07-15T00:00:00"/>
    <m/>
    <m/>
    <m/>
    <m/>
    <n v="48.1031494140625"/>
    <d v="2015-07-15T00:00:00"/>
    <n v="20.925384521484375"/>
    <d v="2015-07-15T00:00:00"/>
    <n v="72.876999999999995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009"/>
    <s v="Forto"/>
    <x v="0"/>
    <x v="2"/>
    <n v="2"/>
    <m/>
    <m/>
    <n v="2"/>
    <n v="3"/>
    <m/>
    <m/>
    <n v="9"/>
    <m/>
    <n v="2.82"/>
    <d v="2015-07-06T00:00:00"/>
    <m/>
    <m/>
    <m/>
    <m/>
    <n v="7.09"/>
    <d v="2015-07-15T00:00:00"/>
    <n v="18.5"/>
    <d v="2015-07-06T00:00:00"/>
    <m/>
    <m/>
    <m/>
    <m/>
    <m/>
    <m/>
    <x v="252"/>
    <m/>
    <n v="15.81"/>
    <d v="2015-07-06T00:00:00"/>
    <m/>
    <m/>
    <n v="15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722999999999999"/>
    <d v="2015-07-15T00:00:00"/>
    <m/>
    <m/>
    <m/>
    <m/>
    <n v="44.85"/>
    <d v="2015-07-15T00:00:00"/>
    <n v="22.576347351074219"/>
    <d v="2015-07-15T00:00:00"/>
    <n v="64.305000000000007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430"/>
    <s v="RANGI "/>
    <x v="1"/>
    <x v="1"/>
    <n v="122"/>
    <n v="13"/>
    <n v="23"/>
    <m/>
    <m/>
    <m/>
    <m/>
    <n v="5"/>
    <m/>
    <n v="2.82"/>
    <d v="2015-07-06T00:00:00"/>
    <m/>
    <m/>
    <m/>
    <m/>
    <n v="7.73"/>
    <d v="2015-07-15T00:00:00"/>
    <n v="18.5"/>
    <d v="2015-07-06T00:00:00"/>
    <m/>
    <m/>
    <m/>
    <m/>
    <m/>
    <m/>
    <x v="253"/>
    <m/>
    <n v="15.9"/>
    <d v="2015-07-06T00:00:00"/>
    <m/>
    <m/>
    <n v="14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5.504000000000005"/>
    <d v="2015-07-15T00:00:00"/>
    <m/>
    <m/>
    <m/>
    <m/>
    <n v="48.630558013916016"/>
    <d v="2015-07-15T00:00:00"/>
    <n v="19.500030517578125"/>
    <d v="2015-07-15T00:00:00"/>
    <n v="58.094999999999999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387"/>
    <s v="EZSTERHAZY N.ST "/>
    <x v="1"/>
    <x v="3"/>
    <n v="15"/>
    <m/>
    <m/>
    <n v="19"/>
    <n v="4"/>
    <m/>
    <m/>
    <n v="7"/>
    <m/>
    <n v="2.84"/>
    <d v="2015-07-06T00:00:00"/>
    <m/>
    <m/>
    <m/>
    <m/>
    <n v="7.85"/>
    <d v="2015-07-15T00:00:00"/>
    <n v="18.5"/>
    <d v="2015-07-06T00:00:00"/>
    <m/>
    <m/>
    <m/>
    <m/>
    <m/>
    <m/>
    <x v="254"/>
    <m/>
    <n v="15.94"/>
    <d v="2015-07-06T00:00:00"/>
    <m/>
    <m/>
    <n v="11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3.996000000000002"/>
    <d v="2015-07-15T00:00:00"/>
    <m/>
    <m/>
    <m/>
    <m/>
    <n v="49.25"/>
    <d v="2015-07-15T00:00:00"/>
    <n v="21.630701065063477"/>
    <d v="2015-07-15T00:00:00"/>
    <n v="83.908000000000001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415"/>
    <s v="MYTNINSKYI-2 "/>
    <x v="1"/>
    <x v="3"/>
    <n v="18"/>
    <m/>
    <m/>
    <n v="23"/>
    <n v="3"/>
    <m/>
    <m/>
    <n v="8"/>
    <m/>
    <n v="2.86"/>
    <d v="2015-07-06T00:00:00"/>
    <m/>
    <m/>
    <m/>
    <m/>
    <n v="7.46"/>
    <d v="2015-07-15T00:00:00"/>
    <n v="18.5"/>
    <d v="2015-07-06T00:00:00"/>
    <m/>
    <m/>
    <m/>
    <m/>
    <m/>
    <m/>
    <x v="255"/>
    <m/>
    <n v="15.95"/>
    <d v="2015-07-06T00:00:00"/>
    <m/>
    <m/>
    <n v="130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4.272999999999996"/>
    <d v="2015-07-15T00:00:00"/>
    <m/>
    <m/>
    <m/>
    <m/>
    <n v="46.76"/>
    <d v="2015-07-15T00:00:00"/>
    <n v="20.208122253417969"/>
    <d v="2015-07-15T00:00:00"/>
    <n v="66.552000000000007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091"/>
    <s v="Janpol"/>
    <x v="0"/>
    <x v="0"/>
    <n v="8"/>
    <m/>
    <m/>
    <n v="10"/>
    <n v="2"/>
    <m/>
    <m/>
    <n v="8"/>
    <m/>
    <n v="2.88"/>
    <d v="2015-07-06T00:00:00"/>
    <m/>
    <m/>
    <m/>
    <m/>
    <n v="7.3"/>
    <d v="2015-07-15T00:00:00"/>
    <n v="18.5"/>
    <d v="2015-07-06T00:00:00"/>
    <m/>
    <m/>
    <m/>
    <m/>
    <m/>
    <m/>
    <x v="256"/>
    <m/>
    <n v="16.11"/>
    <d v="2015-07-06T00:00:00"/>
    <m/>
    <m/>
    <n v="13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0.081000000000003"/>
    <d v="2015-07-15T00:00:00"/>
    <m/>
    <m/>
    <m/>
    <m/>
    <n v="45.34"/>
    <d v="2015-07-15T00:00:00"/>
    <n v="23.088478088378906"/>
    <d v="2015-07-15T00:00:00"/>
    <n v="71.948999999999998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456"/>
    <s v="KRASNODARSKYI "/>
    <x v="1"/>
    <x v="3"/>
    <n v="22"/>
    <m/>
    <m/>
    <n v="21"/>
    <n v="1"/>
    <m/>
    <m/>
    <n v="8"/>
    <m/>
    <n v="2.89"/>
    <d v="2015-07-06T00:00:00"/>
    <m/>
    <m/>
    <m/>
    <m/>
    <n v="7.52"/>
    <d v="2015-07-15T00:00:00"/>
    <n v="18.5"/>
    <d v="2015-07-06T00:00:00"/>
    <m/>
    <m/>
    <m/>
    <m/>
    <m/>
    <m/>
    <x v="257"/>
    <m/>
    <n v="16.12"/>
    <d v="2015-07-06T00:00:00"/>
    <m/>
    <m/>
    <n v="11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3.276000000000003"/>
    <d v="2015-07-15T00:00:00"/>
    <m/>
    <m/>
    <m/>
    <m/>
    <n v="46.64"/>
    <d v="2015-07-15T00:00:00"/>
    <n v="21.54534912109375"/>
    <d v="2015-07-15T00:00:00"/>
    <n v="74.069000000000003"/>
    <d v="2015-07-15T00:00:00"/>
    <m/>
    <m/>
    <m/>
    <m/>
    <n v="7.9"/>
    <d v="2015-07-06T00:00:00"/>
    <m/>
    <m/>
    <m/>
    <m/>
    <m/>
    <m/>
    <m/>
    <n v="7"/>
    <d v="2015-06-25T00:00:00"/>
    <s v="VALIDE"/>
  </r>
  <r>
    <s v="RAPSO_014"/>
    <s v="Goldgelber Zarter Butter"/>
    <x v="1"/>
    <x v="1"/>
    <n v="5"/>
    <n v="14"/>
    <n v="30"/>
    <m/>
    <m/>
    <m/>
    <m/>
    <n v="8"/>
    <m/>
    <n v="2.86"/>
    <d v="2015-07-06T00:00:00"/>
    <m/>
    <m/>
    <m/>
    <m/>
    <n v="7.77"/>
    <d v="2015-07-15T00:00:00"/>
    <n v="18.5"/>
    <d v="2015-07-06T00:00:00"/>
    <m/>
    <m/>
    <m/>
    <m/>
    <m/>
    <m/>
    <x v="258"/>
    <m/>
    <n v="16.18"/>
    <d v="2015-07-06T00:00:00"/>
    <m/>
    <m/>
    <n v="120"/>
    <m/>
    <m/>
    <m/>
    <n v="99"/>
    <m/>
    <m/>
    <m/>
    <m/>
    <m/>
    <m/>
    <m/>
    <m/>
    <m/>
    <m/>
    <m/>
    <m/>
    <m/>
    <n v="3"/>
    <m/>
    <m/>
    <m/>
    <m/>
    <m/>
    <m/>
    <m/>
    <m/>
    <m/>
    <m/>
    <m/>
    <n v="64.388999999999996"/>
    <d v="2015-07-15T00:00:00"/>
    <m/>
    <m/>
    <m/>
    <m/>
    <n v="48.008739471435547"/>
    <d v="2015-07-15T00:00:00"/>
    <n v="19.365913391113281"/>
    <d v="2015-07-15T00:00:00"/>
    <n v="61.127000000000002"/>
    <d v="2015-07-15T00:00:00"/>
    <m/>
    <m/>
    <m/>
    <m/>
    <n v="6.6"/>
    <d v="2015-07-06T00:00:00"/>
    <m/>
    <m/>
    <m/>
    <m/>
    <m/>
    <m/>
    <m/>
    <n v="7"/>
    <d v="2015-06-25T00:00:00"/>
    <s v="VALIDE"/>
  </r>
  <r>
    <s v="RAPSO_456"/>
    <s v="KRASNODARSKYI "/>
    <x v="1"/>
    <x v="1"/>
    <n v="22"/>
    <m/>
    <m/>
    <n v="17"/>
    <n v="1"/>
    <m/>
    <m/>
    <n v="6"/>
    <m/>
    <n v="2.92"/>
    <d v="2015-07-06T00:00:00"/>
    <m/>
    <m/>
    <m/>
    <m/>
    <n v="7.38"/>
    <d v="2015-07-15T00:00:00"/>
    <n v="18.5"/>
    <d v="2015-07-06T00:00:00"/>
    <m/>
    <m/>
    <m/>
    <m/>
    <m/>
    <m/>
    <x v="259"/>
    <m/>
    <n v="16.18"/>
    <d v="2015-07-06T00:00:00"/>
    <m/>
    <m/>
    <n v="11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5.709000000000003"/>
    <d v="2015-07-15T00:00:00"/>
    <m/>
    <m/>
    <m/>
    <m/>
    <n v="45.61"/>
    <d v="2015-07-15T00:00:00"/>
    <n v="21.6185302734375"/>
    <d v="2015-07-15T00:00:00"/>
    <n v="59.825000000000003"/>
    <d v="2015-07-15T00:00:00"/>
    <m/>
    <m/>
    <m/>
    <m/>
    <n v="8.5"/>
    <d v="2015-07-06T00:00:00"/>
    <m/>
    <m/>
    <m/>
    <m/>
    <m/>
    <m/>
    <m/>
    <n v="3"/>
    <d v="2015-06-25T00:00:00"/>
    <s v="VALIDE"/>
  </r>
  <r>
    <s v="RAPSO_402"/>
    <s v="KOMBI "/>
    <x v="1"/>
    <x v="1"/>
    <n v="16"/>
    <m/>
    <m/>
    <n v="18"/>
    <n v="2"/>
    <m/>
    <m/>
    <n v="6"/>
    <m/>
    <n v="2.96"/>
    <d v="2015-07-06T00:00:00"/>
    <m/>
    <m/>
    <m/>
    <m/>
    <n v="7.42"/>
    <d v="2015-07-15T00:00:00"/>
    <n v="18.5"/>
    <d v="2015-07-06T00:00:00"/>
    <m/>
    <m/>
    <m/>
    <m/>
    <m/>
    <m/>
    <x v="260"/>
    <m/>
    <n v="16.260000000000002"/>
    <d v="2015-07-06T00:00:00"/>
    <m/>
    <m/>
    <n v="125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4.811999999999998"/>
    <d v="2015-07-15T00:00:00"/>
    <m/>
    <m/>
    <m/>
    <m/>
    <n v="45.61"/>
    <d v="2015-07-15T00:00:00"/>
    <n v="22.760778427124023"/>
    <d v="2015-07-15T00:00:00"/>
    <n v="78.177999999999997"/>
    <d v="2015-07-15T00:00:00"/>
    <m/>
    <m/>
    <m/>
    <m/>
    <n v="9.3000000000000007"/>
    <d v="2015-07-06T00:00:00"/>
    <m/>
    <m/>
    <m/>
    <m/>
    <m/>
    <m/>
    <m/>
    <n v="3"/>
    <d v="2015-06-25T00:00:00"/>
    <s v="VALIDE"/>
  </r>
  <r>
    <s v="BRA_011"/>
    <s v="Lembke"/>
    <x v="1"/>
    <x v="1"/>
    <n v="128"/>
    <n v="16"/>
    <n v="16"/>
    <m/>
    <m/>
    <m/>
    <m/>
    <n v="7"/>
    <m/>
    <n v="2.93"/>
    <d v="2015-07-06T00:00:00"/>
    <m/>
    <m/>
    <m/>
    <m/>
    <n v="8.35"/>
    <d v="2015-07-15T00:00:00"/>
    <n v="18.5"/>
    <d v="2015-07-06T00:00:00"/>
    <m/>
    <m/>
    <m/>
    <m/>
    <m/>
    <m/>
    <x v="261"/>
    <m/>
    <n v="16.5"/>
    <d v="2015-07-06T00:00:00"/>
    <m/>
    <m/>
    <n v="130"/>
    <m/>
    <m/>
    <m/>
    <n v="109"/>
    <m/>
    <m/>
    <m/>
    <m/>
    <m/>
    <m/>
    <m/>
    <m/>
    <m/>
    <m/>
    <m/>
    <m/>
    <m/>
    <n v="7"/>
    <m/>
    <m/>
    <m/>
    <m/>
    <m/>
    <m/>
    <m/>
    <m/>
    <m/>
    <m/>
    <m/>
    <n v="68.072000000000003"/>
    <d v="2015-07-15T00:00:00"/>
    <m/>
    <m/>
    <m/>
    <m/>
    <n v="50.61163330078125"/>
    <d v="2015-07-15T00:00:00"/>
    <n v="19.249223709106445"/>
    <d v="2015-07-15T00:00:00"/>
    <n v="51.884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406"/>
    <s v="KORMOVOI SKRIVERSKYI "/>
    <x v="1"/>
    <x v="1"/>
    <n v="121"/>
    <n v="15"/>
    <n v="15"/>
    <m/>
    <m/>
    <m/>
    <m/>
    <n v="9"/>
    <m/>
    <n v="2.95"/>
    <d v="2015-07-06T00:00:00"/>
    <m/>
    <m/>
    <m/>
    <m/>
    <n v="8.08"/>
    <d v="2015-07-15T00:00:00"/>
    <n v="18.5"/>
    <d v="2015-07-06T00:00:00"/>
    <m/>
    <m/>
    <m/>
    <m/>
    <m/>
    <m/>
    <x v="262"/>
    <m/>
    <n v="16.559999999999999"/>
    <d v="2015-07-06T00:00:00"/>
    <m/>
    <m/>
    <n v="10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248000000000005"/>
    <d v="2015-07-15T00:00:00"/>
    <m/>
    <m/>
    <m/>
    <m/>
    <n v="48.801235198974609"/>
    <d v="2015-07-15T00:00:00"/>
    <n v="20.688247680664063"/>
    <d v="2015-07-15T00:00:00"/>
    <n v="66.84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202"/>
    <s v="Goeland"/>
    <x v="0"/>
    <x v="2"/>
    <n v="70"/>
    <n v="6"/>
    <n v="20"/>
    <m/>
    <m/>
    <m/>
    <m/>
    <n v="7"/>
    <m/>
    <n v="2.93"/>
    <d v="2015-07-06T00:00:00"/>
    <m/>
    <m/>
    <m/>
    <m/>
    <n v="8.81"/>
    <d v="2015-07-15T00:00:00"/>
    <n v="18.5"/>
    <d v="2015-07-06T00:00:00"/>
    <m/>
    <m/>
    <m/>
    <m/>
    <m/>
    <m/>
    <x v="263"/>
    <m/>
    <n v="16.57"/>
    <d v="2015-07-06T00:00:00"/>
    <m/>
    <m/>
    <n v="125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4.045000000000002"/>
    <d v="2015-07-15T00:00:00"/>
    <m/>
    <m/>
    <m/>
    <m/>
    <n v="53.181022644042969"/>
    <d v="2015-07-15T00:00:00"/>
    <n v="15.419734954833984"/>
    <d v="2015-07-15T00:00:00"/>
    <n v="19.067"/>
    <d v="2015-07-15T00:00:00"/>
    <m/>
    <m/>
    <m/>
    <m/>
    <n v="6.6"/>
    <d v="2015-07-06T00:00:00"/>
    <m/>
    <m/>
    <m/>
    <m/>
    <m/>
    <m/>
    <m/>
    <n v="3"/>
    <d v="2015-06-25T00:00:00"/>
    <s v="VALIDE"/>
  </r>
  <r>
    <s v="RAPSO_077"/>
    <s v="Brink"/>
    <x v="0"/>
    <x v="2"/>
    <n v="28"/>
    <n v="6"/>
    <n v="27"/>
    <m/>
    <m/>
    <m/>
    <m/>
    <n v="8"/>
    <m/>
    <n v="2.92"/>
    <d v="2015-07-06T00:00:00"/>
    <m/>
    <m/>
    <m/>
    <m/>
    <n v="8.08"/>
    <d v="2015-07-15T00:00:00"/>
    <n v="18.5"/>
    <d v="2015-07-06T00:00:00"/>
    <m/>
    <m/>
    <m/>
    <m/>
    <m/>
    <m/>
    <x v="264"/>
    <m/>
    <n v="16.59"/>
    <d v="2015-07-06T00:00:00"/>
    <m/>
    <m/>
    <n v="120"/>
    <m/>
    <m/>
    <m/>
    <n v="99"/>
    <m/>
    <m/>
    <m/>
    <m/>
    <m/>
    <m/>
    <m/>
    <m/>
    <m/>
    <m/>
    <m/>
    <m/>
    <m/>
    <n v="3"/>
    <m/>
    <m/>
    <m/>
    <m/>
    <m/>
    <m/>
    <m/>
    <m/>
    <m/>
    <m/>
    <m/>
    <n v="62.228000000000002"/>
    <d v="2015-07-15T00:00:00"/>
    <m/>
    <m/>
    <m/>
    <m/>
    <n v="48.691314697265625"/>
    <d v="2015-07-15T00:00:00"/>
    <n v="18.556219100952148"/>
    <d v="2015-07-15T00:00:00"/>
    <n v="68.432000000000002"/>
    <d v="2015-07-15T00:00:00"/>
    <m/>
    <m/>
    <m/>
    <m/>
    <n v="6.2"/>
    <d v="2015-07-06T00:00:00"/>
    <m/>
    <m/>
    <m/>
    <m/>
    <m/>
    <m/>
    <m/>
    <n v="7"/>
    <d v="2015-06-25T00:00:00"/>
    <s v="VALIDE"/>
  </r>
  <r>
    <s v="RAPSO_382"/>
    <s v="DEBRUDER DIPPES "/>
    <x v="1"/>
    <x v="3"/>
    <n v="119"/>
    <n v="19"/>
    <n v="4"/>
    <m/>
    <m/>
    <m/>
    <m/>
    <n v="9"/>
    <m/>
    <n v="3"/>
    <d v="2015-07-06T00:00:00"/>
    <m/>
    <m/>
    <m/>
    <m/>
    <n v="7.97"/>
    <d v="2015-07-15T00:00:00"/>
    <n v="18.5"/>
    <d v="2015-07-06T00:00:00"/>
    <m/>
    <m/>
    <m/>
    <m/>
    <m/>
    <m/>
    <x v="265"/>
    <m/>
    <n v="16.68"/>
    <d v="2015-07-06T00:00:00"/>
    <m/>
    <m/>
    <n v="14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5.066999999999993"/>
    <d v="2015-07-15T00:00:00"/>
    <m/>
    <m/>
    <m/>
    <m/>
    <n v="47.769676208496094"/>
    <d v="2015-07-15T00:00:00"/>
    <n v="20.466609954833984"/>
    <d v="2015-07-15T00:00:00"/>
    <n v="64.406000000000006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437"/>
    <s v="SNITYNSKYI "/>
    <x v="1"/>
    <x v="3"/>
    <n v="21"/>
    <m/>
    <m/>
    <n v="22"/>
    <n v="4"/>
    <m/>
    <m/>
    <n v="9"/>
    <m/>
    <n v="2.99"/>
    <d v="2015-07-06T00:00:00"/>
    <m/>
    <m/>
    <m/>
    <m/>
    <n v="8.33"/>
    <d v="2015-07-15T00:00:00"/>
    <n v="18.5"/>
    <d v="2015-07-06T00:00:00"/>
    <m/>
    <m/>
    <m/>
    <m/>
    <m/>
    <m/>
    <x v="266"/>
    <m/>
    <n v="16.73"/>
    <d v="2015-07-06T00:00:00"/>
    <m/>
    <m/>
    <n v="125"/>
    <m/>
    <m/>
    <m/>
    <n v="104"/>
    <m/>
    <m/>
    <m/>
    <m/>
    <m/>
    <m/>
    <m/>
    <m/>
    <m/>
    <m/>
    <m/>
    <m/>
    <m/>
    <n v="5"/>
    <m/>
    <m/>
    <m/>
    <m/>
    <m/>
    <m/>
    <m/>
    <m/>
    <m/>
    <m/>
    <m/>
    <n v="64.885000000000005"/>
    <d v="2015-07-15T00:00:00"/>
    <m/>
    <m/>
    <m/>
    <m/>
    <n v="49.77"/>
    <d v="2015-07-15T00:00:00"/>
    <n v="20.015911102294922"/>
    <d v="2015-07-15T00:00:00"/>
    <n v="67.823999999999998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174"/>
    <s v="Contact"/>
    <x v="1"/>
    <x v="1"/>
    <n v="60"/>
    <n v="14"/>
    <n v="19"/>
    <m/>
    <m/>
    <m/>
    <m/>
    <n v="5"/>
    <m/>
    <n v="3"/>
    <d v="2015-07-06T00:00:00"/>
    <m/>
    <m/>
    <m/>
    <m/>
    <n v="8.1199999999999992"/>
    <d v="2015-07-15T00:00:00"/>
    <n v="18.5"/>
    <d v="2015-07-06T00:00:00"/>
    <m/>
    <m/>
    <m/>
    <m/>
    <m/>
    <m/>
    <x v="267"/>
    <m/>
    <n v="16.73"/>
    <d v="2015-07-06T00:00:00"/>
    <m/>
    <m/>
    <n v="105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72.594999999999999"/>
    <d v="2015-07-15T00:00:00"/>
    <m/>
    <m/>
    <m/>
    <m/>
    <n v="48.549247741699219"/>
    <d v="2015-07-15T00:00:00"/>
    <n v="19.137311935424805"/>
    <d v="2015-07-15T00:00:00"/>
    <n v="23.306000000000001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411"/>
    <s v="LJUBLANA "/>
    <x v="1"/>
    <x v="3"/>
    <n v="17"/>
    <m/>
    <m/>
    <n v="19"/>
    <n v="1"/>
    <m/>
    <m/>
    <n v="8"/>
    <m/>
    <n v="3"/>
    <d v="2015-07-06T00:00:00"/>
    <m/>
    <m/>
    <m/>
    <m/>
    <n v="8.02"/>
    <d v="2015-07-15T00:00:00"/>
    <n v="18.5"/>
    <d v="2015-07-06T00:00:00"/>
    <m/>
    <m/>
    <m/>
    <m/>
    <m/>
    <m/>
    <x v="268"/>
    <m/>
    <n v="16.77"/>
    <d v="2015-07-06T00:00:00"/>
    <m/>
    <m/>
    <n v="12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4.16"/>
    <d v="2015-07-15T00:00:00"/>
    <m/>
    <m/>
    <m/>
    <m/>
    <n v="47.85"/>
    <d v="2015-07-15T00:00:00"/>
    <n v="19.654535293579102"/>
    <d v="2015-07-15T00:00:00"/>
    <n v="69.906000000000006"/>
    <d v="2015-07-15T00:00:00"/>
    <m/>
    <m/>
    <m/>
    <m/>
    <n v="7.7"/>
    <d v="2015-07-06T00:00:00"/>
    <m/>
    <m/>
    <m/>
    <m/>
    <m/>
    <m/>
    <m/>
    <n v="7"/>
    <d v="2015-06-25T00:00:00"/>
    <s v="VALIDE"/>
  </r>
  <r>
    <s v="RAPSO_017"/>
    <s v="Gross Luzewiter"/>
    <x v="1"/>
    <x v="1"/>
    <n v="4"/>
    <m/>
    <m/>
    <n v="15"/>
    <n v="4"/>
    <m/>
    <m/>
    <n v="9"/>
    <m/>
    <n v="3"/>
    <d v="2015-07-06T00:00:00"/>
    <m/>
    <m/>
    <m/>
    <m/>
    <n v="7.65"/>
    <d v="2015-07-15T00:00:00"/>
    <n v="18.5"/>
    <d v="2015-07-06T00:00:00"/>
    <m/>
    <m/>
    <m/>
    <m/>
    <m/>
    <m/>
    <x v="269"/>
    <m/>
    <n v="16.8"/>
    <d v="2015-07-06T00:00:00"/>
    <m/>
    <m/>
    <n v="120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5.581999999999994"/>
    <d v="2015-07-15T00:00:00"/>
    <m/>
    <m/>
    <m/>
    <m/>
    <n v="45.55"/>
    <d v="2015-07-15T00:00:00"/>
    <n v="22.090961456298828"/>
    <d v="2015-07-15T00:00:00"/>
    <n v="58.744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402"/>
    <s v="KOMBI "/>
    <x v="1"/>
    <x v="3"/>
    <n v="16"/>
    <m/>
    <m/>
    <n v="19"/>
    <n v="3"/>
    <m/>
    <m/>
    <n v="9"/>
    <m/>
    <n v="3.01"/>
    <d v="2015-07-06T00:00:00"/>
    <m/>
    <m/>
    <m/>
    <m/>
    <n v="8.07"/>
    <d v="2015-07-15T00:00:00"/>
    <n v="18.5"/>
    <d v="2015-07-06T00:00:00"/>
    <m/>
    <m/>
    <m/>
    <m/>
    <m/>
    <m/>
    <x v="270"/>
    <m/>
    <n v="16.86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7.146000000000001"/>
    <d v="2015-07-15T00:00:00"/>
    <m/>
    <m/>
    <m/>
    <m/>
    <n v="47.84"/>
    <d v="2015-07-15T00:00:00"/>
    <n v="20.662738800048828"/>
    <d v="2015-07-15T00:00:00"/>
    <n v="74.346999999999994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013"/>
    <s v="Gesunder"/>
    <x v="0"/>
    <x v="2"/>
    <n v="4"/>
    <n v="5"/>
    <n v="26"/>
    <m/>
    <m/>
    <m/>
    <m/>
    <n v="9"/>
    <m/>
    <n v="2.98"/>
    <d v="2015-07-06T00:00:00"/>
    <m/>
    <m/>
    <m/>
    <m/>
    <n v="8.24"/>
    <d v="2015-07-15T00:00:00"/>
    <n v="18.5"/>
    <d v="2015-07-06T00:00:00"/>
    <m/>
    <m/>
    <m/>
    <m/>
    <m/>
    <m/>
    <x v="271"/>
    <m/>
    <n v="16.91"/>
    <d v="2015-07-06T00:00:00"/>
    <m/>
    <m/>
    <n v="16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858999999999995"/>
    <d v="2015-07-15T00:00:00"/>
    <m/>
    <m/>
    <m/>
    <m/>
    <n v="48.7515869140625"/>
    <d v="2015-07-15T00:00:00"/>
    <n v="20.175121307373047"/>
    <d v="2015-07-15T00:00:00"/>
    <n v="72.054000000000002"/>
    <d v="2015-07-15T00:00:00"/>
    <m/>
    <m/>
    <m/>
    <m/>
    <n v="6.3"/>
    <d v="2015-07-06T00:00:00"/>
    <m/>
    <m/>
    <m/>
    <m/>
    <m/>
    <m/>
    <m/>
    <n v="3"/>
    <d v="2015-06-25T00:00:00"/>
    <s v="VALIDE"/>
  </r>
  <r>
    <s v="RAPSO_115"/>
    <s v="Rafal"/>
    <x v="1"/>
    <x v="3"/>
    <n v="36"/>
    <n v="23"/>
    <n v="4"/>
    <m/>
    <m/>
    <m/>
    <m/>
    <n v="9"/>
    <m/>
    <n v="3.04"/>
    <d v="2015-07-06T00:00:00"/>
    <m/>
    <m/>
    <m/>
    <m/>
    <n v="8.26"/>
    <d v="2015-07-15T00:00:00"/>
    <n v="18.5"/>
    <d v="2015-07-06T00:00:00"/>
    <m/>
    <m/>
    <m/>
    <m/>
    <m/>
    <m/>
    <x v="272"/>
    <m/>
    <n v="16.940000000000001"/>
    <d v="2015-07-06T00:00:00"/>
    <m/>
    <m/>
    <n v="12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4.180000000000007"/>
    <d v="2015-07-15T00:00:00"/>
    <m/>
    <m/>
    <m/>
    <m/>
    <n v="48.746566772460938"/>
    <d v="2015-07-15T00:00:00"/>
    <n v="18.095756530761719"/>
    <d v="2015-07-15T00:00:00"/>
    <n v="55.654000000000003"/>
    <d v="2015-07-15T00:00:00"/>
    <m/>
    <m/>
    <m/>
    <m/>
    <n v="8"/>
    <d v="2015-07-06T00:00:00"/>
    <m/>
    <m/>
    <m/>
    <m/>
    <m/>
    <m/>
    <m/>
    <n v="5"/>
    <d v="2015-06-25T00:00:00"/>
    <s v="VALIDE"/>
  </r>
  <r>
    <s v="RAPSO_395"/>
    <s v="HOCHZUCHT REPOLE "/>
    <x v="1"/>
    <x v="3"/>
    <n v="120"/>
    <n v="24"/>
    <n v="31"/>
    <m/>
    <m/>
    <m/>
    <m/>
    <n v="7"/>
    <m/>
    <n v="3"/>
    <d v="2015-07-06T00:00:00"/>
    <m/>
    <m/>
    <m/>
    <m/>
    <n v="8.35"/>
    <d v="2015-07-15T00:00:00"/>
    <n v="18.5"/>
    <d v="2015-07-06T00:00:00"/>
    <m/>
    <m/>
    <m/>
    <m/>
    <m/>
    <m/>
    <x v="273"/>
    <m/>
    <n v="16.97"/>
    <d v="2015-07-06T00:00:00"/>
    <m/>
    <m/>
    <n v="13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525999999999996"/>
    <d v="2015-07-15T00:00:00"/>
    <m/>
    <m/>
    <m/>
    <m/>
    <n v="49.211582183837891"/>
    <d v="2015-07-15T00:00:00"/>
    <n v="19.79925537109375"/>
    <d v="2015-07-15T00:00:00"/>
    <n v="61.02"/>
    <d v="2015-07-15T00:00:00"/>
    <m/>
    <m/>
    <m/>
    <m/>
    <n v="6.6"/>
    <d v="2015-07-06T00:00:00"/>
    <m/>
    <m/>
    <m/>
    <m/>
    <m/>
    <m/>
    <m/>
    <n v="3"/>
    <d v="2015-06-25T00:00:00"/>
    <s v="VALIDE"/>
  </r>
  <r>
    <s v="RAPSO_035"/>
    <s v="Nain de Hambourg"/>
    <x v="1"/>
    <x v="3"/>
    <n v="11"/>
    <n v="22"/>
    <n v="26"/>
    <m/>
    <m/>
    <m/>
    <m/>
    <n v="3"/>
    <m/>
    <n v="3.09"/>
    <d v="2015-07-06T00:00:00"/>
    <m/>
    <m/>
    <m/>
    <m/>
    <n v="7.93"/>
    <d v="2015-07-15T00:00:00"/>
    <n v="18.5"/>
    <d v="2015-07-06T00:00:00"/>
    <m/>
    <m/>
    <m/>
    <m/>
    <m/>
    <m/>
    <x v="274"/>
    <m/>
    <n v="16.97"/>
    <d v="2015-07-06T00:00:00"/>
    <m/>
    <m/>
    <n v="9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4.438000000000002"/>
    <d v="2015-07-15T00:00:00"/>
    <m/>
    <m/>
    <m/>
    <m/>
    <n v="46.734951019287109"/>
    <d v="2015-07-15T00:00:00"/>
    <n v="21.857795715332031"/>
    <d v="2015-07-15T00:00:00"/>
    <n v="77.831999999999994"/>
    <d v="2015-07-15T00:00:00"/>
    <m/>
    <m/>
    <m/>
    <m/>
    <n v="9.3000000000000007"/>
    <d v="2015-07-06T00:00:00"/>
    <m/>
    <m/>
    <m/>
    <m/>
    <m/>
    <m/>
    <m/>
    <n v="3"/>
    <d v="2015-06-25T00:00:00"/>
    <s v="VALIDE"/>
  </r>
  <r>
    <s v="RAPSO_014"/>
    <s v="Goldgelber Zarter Butter"/>
    <x v="1"/>
    <x v="3"/>
    <n v="5"/>
    <n v="21"/>
    <n v="14"/>
    <m/>
    <m/>
    <m/>
    <m/>
    <n v="9"/>
    <m/>
    <n v="3.02"/>
    <d v="2015-07-06T00:00:00"/>
    <m/>
    <m/>
    <m/>
    <m/>
    <n v="8.1"/>
    <d v="2015-07-15T00:00:00"/>
    <n v="18.5"/>
    <d v="2015-07-06T00:00:00"/>
    <m/>
    <m/>
    <m/>
    <m/>
    <m/>
    <m/>
    <x v="275"/>
    <m/>
    <n v="16.989999999999998"/>
    <d v="2015-07-06T00:00:00"/>
    <m/>
    <m/>
    <n v="125"/>
    <m/>
    <m/>
    <m/>
    <n v="99"/>
    <m/>
    <m/>
    <m/>
    <m/>
    <m/>
    <m/>
    <m/>
    <m/>
    <m/>
    <m/>
    <m/>
    <m/>
    <m/>
    <n v="3"/>
    <m/>
    <m/>
    <m/>
    <m/>
    <m/>
    <m/>
    <m/>
    <m/>
    <m/>
    <m/>
    <m/>
    <n v="63.64"/>
    <d v="2015-07-15T00:00:00"/>
    <m/>
    <m/>
    <m/>
    <m/>
    <n v="47.671154022216797"/>
    <d v="2015-07-15T00:00:00"/>
    <n v="20.584072113037109"/>
    <d v="2015-07-15T00:00:00"/>
    <n v="64.263000000000005"/>
    <d v="2015-07-15T00:00:00"/>
    <m/>
    <m/>
    <m/>
    <m/>
    <n v="7.1"/>
    <d v="2015-07-06T00:00:00"/>
    <m/>
    <m/>
    <m/>
    <m/>
    <m/>
    <m/>
    <m/>
    <n v="5"/>
    <d v="2015-06-25T00:00:00"/>
    <s v="VALIDE"/>
  </r>
  <r>
    <s v="RAPSO_099"/>
    <s v="Kurander"/>
    <x v="1"/>
    <x v="1"/>
    <n v="33"/>
    <n v="15"/>
    <n v="12"/>
    <m/>
    <m/>
    <m/>
    <m/>
    <n v="9"/>
    <m/>
    <n v="3.04"/>
    <d v="2015-07-06T00:00:00"/>
    <m/>
    <m/>
    <m/>
    <m/>
    <n v="7.99"/>
    <d v="2015-07-15T00:00:00"/>
    <n v="18.5"/>
    <d v="2015-07-06T00:00:00"/>
    <m/>
    <m/>
    <m/>
    <m/>
    <m/>
    <m/>
    <x v="276"/>
    <m/>
    <n v="17.010000000000002"/>
    <d v="2015-07-06T00:00:00"/>
    <m/>
    <m/>
    <n v="11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1.481999999999999"/>
    <d v="2015-07-15T00:00:00"/>
    <m/>
    <m/>
    <m/>
    <m/>
    <n v="46.978240966796875"/>
    <d v="2015-07-15T00:00:00"/>
    <n v="18.88667106628418"/>
    <d v="2015-07-15T00:00:00"/>
    <n v="52.613999999999997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053"/>
    <s v="Rapol"/>
    <x v="1"/>
    <x v="1"/>
    <n v="19"/>
    <n v="16"/>
    <n v="9"/>
    <m/>
    <m/>
    <m/>
    <m/>
    <n v="7"/>
    <m/>
    <n v="3.03"/>
    <d v="2015-07-06T00:00:00"/>
    <m/>
    <m/>
    <m/>
    <m/>
    <n v="8.0299999999999994"/>
    <d v="2015-07-15T00:00:00"/>
    <n v="18.5"/>
    <d v="2015-07-06T00:00:00"/>
    <m/>
    <m/>
    <m/>
    <m/>
    <m/>
    <m/>
    <x v="277"/>
    <m/>
    <n v="17.079999999999998"/>
    <d v="2015-07-06T00:00:00"/>
    <m/>
    <m/>
    <n v="115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5.322000000000003"/>
    <d v="2015-07-15T00:00:00"/>
    <m/>
    <m/>
    <m/>
    <m/>
    <n v="47.020408630371094"/>
    <d v="2015-07-15T00:00:00"/>
    <n v="20.529483795166016"/>
    <d v="2015-07-15T00:00:00"/>
    <n v="54.201000000000001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051"/>
    <s v="Ramses"/>
    <x v="1"/>
    <x v="1"/>
    <n v="18"/>
    <n v="17"/>
    <n v="31"/>
    <m/>
    <m/>
    <m/>
    <m/>
    <n v="3"/>
    <m/>
    <n v="3.03"/>
    <d v="2015-07-06T00:00:00"/>
    <m/>
    <m/>
    <m/>
    <m/>
    <n v="8.33"/>
    <d v="2015-07-15T00:00:00"/>
    <n v="18.5"/>
    <d v="2015-07-06T00:00:00"/>
    <m/>
    <m/>
    <m/>
    <m/>
    <m/>
    <m/>
    <x v="278"/>
    <m/>
    <n v="17.100000000000001"/>
    <d v="2015-07-06T00:00:00"/>
    <m/>
    <m/>
    <n v="120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6.438000000000002"/>
    <d v="2015-07-15T00:00:00"/>
    <m/>
    <m/>
    <m/>
    <m/>
    <n v="48.73297119140625"/>
    <d v="2015-07-15T00:00:00"/>
    <n v="19.793935775756836"/>
    <d v="2015-07-15T00:00:00"/>
    <n v="51.786999999999999"/>
    <d v="2015-07-15T00:00:00"/>
    <m/>
    <m/>
    <m/>
    <m/>
    <n v="6.8"/>
    <d v="2015-07-06T00:00:00"/>
    <m/>
    <m/>
    <m/>
    <m/>
    <m/>
    <m/>
    <m/>
    <n v="5"/>
    <d v="2015-06-25T00:00:00"/>
    <s v="VALIDE"/>
  </r>
  <r>
    <s v="RAPSO_174"/>
    <s v="Contact"/>
    <x v="1"/>
    <x v="3"/>
    <n v="60"/>
    <n v="19"/>
    <n v="10"/>
    <m/>
    <m/>
    <m/>
    <m/>
    <n v="6"/>
    <m/>
    <n v="3.07"/>
    <d v="2015-07-06T00:00:00"/>
    <m/>
    <m/>
    <m/>
    <m/>
    <n v="8.33"/>
    <d v="2015-07-15T00:00:00"/>
    <n v="18.5"/>
    <d v="2015-07-06T00:00:00"/>
    <m/>
    <m/>
    <m/>
    <m/>
    <m/>
    <m/>
    <x v="279"/>
    <m/>
    <n v="17.100000000000001"/>
    <d v="2015-07-06T00:00:00"/>
    <m/>
    <m/>
    <n v="120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72.900999999999996"/>
    <d v="2015-07-15T00:00:00"/>
    <m/>
    <m/>
    <m/>
    <m/>
    <n v="48.703712463378906"/>
    <d v="2015-07-15T00:00:00"/>
    <n v="19.627042770385742"/>
    <d v="2015-07-15T00:00:00"/>
    <n v="19.664999999999999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125"/>
    <s v="WIRA"/>
    <x v="1"/>
    <x v="3"/>
    <n v="12"/>
    <m/>
    <m/>
    <n v="24"/>
    <n v="4"/>
    <m/>
    <m/>
    <n v="9"/>
    <m/>
    <n v="3.07"/>
    <d v="2015-07-06T00:00:00"/>
    <m/>
    <m/>
    <m/>
    <m/>
    <n v="8.39"/>
    <d v="2015-07-15T00:00:00"/>
    <n v="18.5"/>
    <d v="2015-07-06T00:00:00"/>
    <m/>
    <m/>
    <m/>
    <m/>
    <m/>
    <m/>
    <x v="280"/>
    <m/>
    <n v="17.16"/>
    <d v="2015-07-06T00:00:00"/>
    <m/>
    <m/>
    <n v="11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2.176000000000002"/>
    <d v="2015-07-15T00:00:00"/>
    <m/>
    <m/>
    <m/>
    <m/>
    <n v="48.88"/>
    <d v="2015-07-15T00:00:00"/>
    <n v="20.039505004882813"/>
    <d v="2015-07-15T00:00:00"/>
    <n v="64.391999999999996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009"/>
    <s v="Forto"/>
    <x v="0"/>
    <x v="0"/>
    <n v="2"/>
    <m/>
    <m/>
    <n v="10"/>
    <n v="1"/>
    <m/>
    <m/>
    <n v="9"/>
    <m/>
    <n v="3.08"/>
    <d v="2015-07-06T00:00:00"/>
    <m/>
    <m/>
    <m/>
    <m/>
    <n v="7.67"/>
    <d v="2015-07-15T00:00:00"/>
    <n v="18.5"/>
    <d v="2015-07-06T00:00:00"/>
    <m/>
    <m/>
    <m/>
    <m/>
    <m/>
    <m/>
    <x v="281"/>
    <m/>
    <n v="17.2"/>
    <d v="2015-07-06T00:00:00"/>
    <m/>
    <m/>
    <n v="13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665999999999997"/>
    <d v="2015-07-15T00:00:00"/>
    <m/>
    <m/>
    <m/>
    <m/>
    <n v="44.61"/>
    <d v="2015-07-15T00:00:00"/>
    <n v="21.85087776184082"/>
    <d v="2015-07-15T00:00:00"/>
    <n v="60.262999999999998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125"/>
    <s v="WIRA"/>
    <x v="0"/>
    <x v="2"/>
    <n v="12"/>
    <m/>
    <m/>
    <n v="5"/>
    <n v="1"/>
    <m/>
    <m/>
    <n v="9"/>
    <m/>
    <n v="3.08"/>
    <d v="2015-07-06T00:00:00"/>
    <m/>
    <m/>
    <m/>
    <m/>
    <n v="8.66"/>
    <d v="2015-07-15T00:00:00"/>
    <n v="18.5"/>
    <d v="2015-07-06T00:00:00"/>
    <m/>
    <m/>
    <m/>
    <m/>
    <m/>
    <m/>
    <x v="282"/>
    <m/>
    <n v="17.27"/>
    <d v="2015-07-06T00:00:00"/>
    <m/>
    <m/>
    <n v="140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2.423999999999999"/>
    <d v="2015-07-15T00:00:00"/>
    <m/>
    <m/>
    <m/>
    <m/>
    <n v="50.12"/>
    <d v="2015-07-15T00:00:00"/>
    <n v="20.457818984985352"/>
    <d v="2015-07-15T00:00:00"/>
    <n v="74.08"/>
    <d v="2015-07-15T00:00:00"/>
    <m/>
    <m/>
    <m/>
    <m/>
    <n v="7.4"/>
    <d v="2015-07-06T00:00:00"/>
    <m/>
    <m/>
    <m/>
    <m/>
    <m/>
    <m/>
    <m/>
    <n v="7"/>
    <d v="2015-06-25T00:00:00"/>
    <s v="VALIDE"/>
  </r>
  <r>
    <s v="RAPSO_050"/>
    <s v="QuedLinburger Platzfester"/>
    <x v="1"/>
    <x v="1"/>
    <n v="17"/>
    <n v="16"/>
    <n v="10"/>
    <m/>
    <m/>
    <m/>
    <m/>
    <n v="8"/>
    <m/>
    <n v="3.09"/>
    <d v="2015-07-06T00:00:00"/>
    <m/>
    <m/>
    <m/>
    <m/>
    <n v="8.3699999999999992"/>
    <d v="2015-07-15T00:00:00"/>
    <n v="18.5"/>
    <d v="2015-07-06T00:00:00"/>
    <m/>
    <m/>
    <m/>
    <m/>
    <m/>
    <m/>
    <x v="283"/>
    <m/>
    <n v="17.309999999999999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8.745000000000005"/>
    <d v="2015-07-15T00:00:00"/>
    <m/>
    <m/>
    <m/>
    <m/>
    <n v="48.337593078613281"/>
    <d v="2015-07-15T00:00:00"/>
    <n v="19.439712524414063"/>
    <d v="2015-07-15T00:00:00"/>
    <n v="60.279000000000003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251"/>
    <s v="Olymp"/>
    <x v="0"/>
    <x v="2"/>
    <n v="93"/>
    <n v="5"/>
    <n v="12"/>
    <m/>
    <m/>
    <m/>
    <m/>
    <n v="6"/>
    <m/>
    <n v="3.08"/>
    <d v="2015-07-06T00:00:00"/>
    <m/>
    <m/>
    <m/>
    <m/>
    <n v="8.6300000000000008"/>
    <d v="2015-07-15T00:00:00"/>
    <n v="18.5"/>
    <d v="2015-07-06T00:00:00"/>
    <m/>
    <m/>
    <m/>
    <m/>
    <m/>
    <m/>
    <x v="284"/>
    <m/>
    <n v="17.38"/>
    <d v="2015-07-06T00:00:00"/>
    <m/>
    <m/>
    <n v="150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4.311999999999998"/>
    <d v="2015-07-15T00:00:00"/>
    <m/>
    <m/>
    <m/>
    <m/>
    <n v="49.641193389892578"/>
    <d v="2015-07-15T00:00:00"/>
    <n v="18.063638687133789"/>
    <d v="2015-07-15T00:00:00"/>
    <n v="19.326000000000001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387"/>
    <s v="EZSTERHAZY N.ST "/>
    <x v="0"/>
    <x v="2"/>
    <n v="15"/>
    <m/>
    <m/>
    <n v="3"/>
    <n v="2"/>
    <m/>
    <m/>
    <n v="9"/>
    <m/>
    <n v="3.11"/>
    <d v="2015-07-06T00:00:00"/>
    <m/>
    <m/>
    <m/>
    <m/>
    <n v="8.48"/>
    <d v="2015-07-15T00:00:00"/>
    <n v="18.5"/>
    <d v="2015-07-06T00:00:00"/>
    <m/>
    <m/>
    <m/>
    <m/>
    <m/>
    <m/>
    <x v="285"/>
    <m/>
    <n v="17.399999999999999"/>
    <d v="2015-07-06T00:00:00"/>
    <m/>
    <m/>
    <n v="13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4.147000000000006"/>
    <d v="2015-07-15T00:00:00"/>
    <m/>
    <m/>
    <m/>
    <m/>
    <n v="48.76"/>
    <d v="2015-07-15T00:00:00"/>
    <n v="21.870250701904297"/>
    <d v="2015-07-15T00:00:00"/>
    <n v="81.590999999999994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085"/>
    <s v="Expander"/>
    <x v="1"/>
    <x v="3"/>
    <n v="32"/>
    <n v="21"/>
    <n v="20"/>
    <m/>
    <m/>
    <m/>
    <m/>
    <n v="9"/>
    <m/>
    <n v="3.11"/>
    <d v="2015-07-06T00:00:00"/>
    <m/>
    <m/>
    <m/>
    <m/>
    <n v="8.41"/>
    <d v="2015-07-15T00:00:00"/>
    <n v="18.5"/>
    <d v="2015-07-06T00:00:00"/>
    <m/>
    <m/>
    <m/>
    <m/>
    <m/>
    <m/>
    <x v="286"/>
    <m/>
    <n v="17.5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58.69"/>
    <d v="2015-07-15T00:00:00"/>
    <m/>
    <m/>
    <m/>
    <m/>
    <n v="48.034408569335938"/>
    <d v="2015-07-15T00:00:00"/>
    <n v="19.211343765258789"/>
    <d v="2015-07-15T00:00:00"/>
    <n v="19.837"/>
    <d v="2015-07-15T00:00:00"/>
    <m/>
    <m/>
    <m/>
    <m/>
    <n v="7.1"/>
    <d v="2015-07-06T00:00:00"/>
    <m/>
    <m/>
    <m/>
    <m/>
    <m/>
    <m/>
    <m/>
    <n v="7"/>
    <d v="2015-06-25T00:00:00"/>
    <s v="VALIDE"/>
  </r>
  <r>
    <s v="BRA_010"/>
    <s v="Quinta"/>
    <x v="0"/>
    <x v="0"/>
    <n v="23"/>
    <m/>
    <m/>
    <n v="12"/>
    <n v="1"/>
    <m/>
    <m/>
    <n v="8"/>
    <m/>
    <n v="3.16"/>
    <d v="2015-07-06T00:00:00"/>
    <m/>
    <m/>
    <m/>
    <m/>
    <n v="8.0399999999999991"/>
    <d v="2015-07-15T00:00:00"/>
    <n v="18.5"/>
    <d v="2015-07-06T00:00:00"/>
    <m/>
    <m/>
    <m/>
    <m/>
    <m/>
    <m/>
    <x v="287"/>
    <m/>
    <n v="17.55"/>
    <d v="2015-07-06T00:00:00"/>
    <m/>
    <m/>
    <n v="15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2.747999999999998"/>
    <d v="2015-07-15T00:00:00"/>
    <m/>
    <m/>
    <m/>
    <m/>
    <n v="45.82"/>
    <d v="2015-07-15T00:00:00"/>
    <n v="19.825407028198242"/>
    <d v="2015-07-15T00:00:00"/>
    <n v="57.655000000000001"/>
    <d v="2015-07-15T00:00:00"/>
    <m/>
    <m/>
    <m/>
    <m/>
    <n v="8.3000000000000007"/>
    <d v="2015-07-06T00:00:00"/>
    <m/>
    <m/>
    <m/>
    <m/>
    <m/>
    <m/>
    <m/>
    <n v="3"/>
    <d v="2015-06-25T00:00:00"/>
    <s v="VALIDE"/>
  </r>
  <r>
    <s v="RAPSO_043"/>
    <s v="Polux"/>
    <x v="1"/>
    <x v="3"/>
    <n v="15"/>
    <n v="19"/>
    <n v="20"/>
    <m/>
    <m/>
    <m/>
    <m/>
    <n v="9"/>
    <m/>
    <n v="3.13"/>
    <d v="2015-07-06T00:00:00"/>
    <m/>
    <m/>
    <m/>
    <m/>
    <n v="7.87"/>
    <d v="2015-07-15T00:00:00"/>
    <n v="18.5"/>
    <d v="2015-07-06T00:00:00"/>
    <m/>
    <m/>
    <m/>
    <m/>
    <m/>
    <m/>
    <x v="288"/>
    <m/>
    <n v="17.57"/>
    <d v="2015-07-06T00:00:00"/>
    <m/>
    <m/>
    <n v="13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5.861000000000004"/>
    <d v="2015-07-15T00:00:00"/>
    <m/>
    <m/>
    <m/>
    <m/>
    <n v="44.777748107910156"/>
    <d v="2015-07-15T00:00:00"/>
    <n v="21.980840682983398"/>
    <d v="2015-07-15T00:00:00"/>
    <n v="56.078000000000003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099"/>
    <s v="Kurander"/>
    <x v="1"/>
    <x v="3"/>
    <n v="33"/>
    <n v="20"/>
    <n v="27"/>
    <m/>
    <m/>
    <m/>
    <m/>
    <n v="9"/>
    <m/>
    <n v="3.13"/>
    <d v="2015-07-06T00:00:00"/>
    <m/>
    <m/>
    <m/>
    <m/>
    <n v="8.5500000000000007"/>
    <d v="2015-07-15T00:00:00"/>
    <n v="18.5"/>
    <d v="2015-07-06T00:00:00"/>
    <m/>
    <m/>
    <m/>
    <m/>
    <m/>
    <m/>
    <x v="289"/>
    <m/>
    <n v="17.59"/>
    <d v="2015-07-06T00:00:00"/>
    <m/>
    <m/>
    <n v="11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27999999999999"/>
    <d v="2015-07-15T00:00:00"/>
    <m/>
    <m/>
    <m/>
    <m/>
    <n v="48.622718811035156"/>
    <d v="2015-07-15T00:00:00"/>
    <n v="17.973352432250977"/>
    <d v="2015-07-15T00:00:00"/>
    <n v="50.018000000000001"/>
    <d v="2015-07-15T00:00:00"/>
    <m/>
    <m/>
    <m/>
    <m/>
    <n v="7.2"/>
    <d v="2015-07-06T00:00:00"/>
    <m/>
    <m/>
    <m/>
    <m/>
    <m/>
    <m/>
    <m/>
    <n v="7"/>
    <d v="2015-06-25T00:00:00"/>
    <s v="VALIDE"/>
  </r>
  <r>
    <s v="BRA_010"/>
    <s v="Quinta"/>
    <x v="0"/>
    <x v="2"/>
    <n v="23"/>
    <m/>
    <m/>
    <n v="2"/>
    <n v="2"/>
    <m/>
    <m/>
    <n v="7"/>
    <m/>
    <n v="3.16"/>
    <d v="2015-07-06T00:00:00"/>
    <m/>
    <m/>
    <m/>
    <m/>
    <n v="7.99"/>
    <d v="2015-07-15T00:00:00"/>
    <n v="18.5"/>
    <d v="2015-07-06T00:00:00"/>
    <m/>
    <m/>
    <m/>
    <m/>
    <m/>
    <m/>
    <x v="290"/>
    <m/>
    <n v="17.62"/>
    <d v="2015-07-06T00:00:00"/>
    <m/>
    <m/>
    <n v="16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972000000000001"/>
    <d v="2015-07-15T00:00:00"/>
    <m/>
    <m/>
    <m/>
    <m/>
    <n v="45.32"/>
    <d v="2015-07-15T00:00:00"/>
    <n v="20.878870010375977"/>
    <d v="2015-07-15T00:00:00"/>
    <n v="70.602000000000004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006"/>
    <s v="Dublianski"/>
    <x v="1"/>
    <x v="1"/>
    <n v="1"/>
    <m/>
    <m/>
    <n v="13"/>
    <n v="4"/>
    <m/>
    <m/>
    <n v="9"/>
    <m/>
    <n v="3.15"/>
    <d v="2015-07-06T00:00:00"/>
    <m/>
    <m/>
    <m/>
    <m/>
    <n v="8.19"/>
    <d v="2015-07-15T00:00:00"/>
    <n v="18.5"/>
    <d v="2015-07-06T00:00:00"/>
    <m/>
    <m/>
    <m/>
    <m/>
    <m/>
    <m/>
    <x v="291"/>
    <m/>
    <n v="17.63"/>
    <d v="2015-07-06T00:00:00"/>
    <m/>
    <m/>
    <n v="120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7.45"/>
    <d v="2015-07-15T00:00:00"/>
    <m/>
    <m/>
    <m/>
    <m/>
    <n v="46.46"/>
    <d v="2015-07-15T00:00:00"/>
    <n v="22.706029891967773"/>
    <d v="2015-07-15T00:00:00"/>
    <n v="78.394000000000005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322"/>
    <s v="RAGT-08"/>
    <x v="1"/>
    <x v="3"/>
    <n v="159"/>
    <n v="22"/>
    <n v="27"/>
    <m/>
    <m/>
    <m/>
    <m/>
    <n v="1"/>
    <m/>
    <n v="3.23"/>
    <d v="2015-07-06T00:00:00"/>
    <m/>
    <m/>
    <m/>
    <m/>
    <n v="8.9700000000000006"/>
    <d v="2015-07-15T00:00:00"/>
    <n v="18.5"/>
    <d v="2015-07-06T00:00:00"/>
    <m/>
    <m/>
    <m/>
    <m/>
    <m/>
    <m/>
    <x v="292"/>
    <m/>
    <n v="17.739999999999998"/>
    <d v="2015-07-06T00:00:00"/>
    <m/>
    <m/>
    <n v="10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754000000000005"/>
    <d v="2015-07-15T00:00:00"/>
    <m/>
    <m/>
    <m/>
    <m/>
    <n v="50.575050354003906"/>
    <d v="2015-07-15T00:00:00"/>
    <n v="16.014461517333984"/>
    <d v="2015-07-15T00:00:00"/>
    <n v="20.033000000000001"/>
    <d v="2015-07-15T00:00:00"/>
    <m/>
    <m/>
    <m/>
    <m/>
    <n v="9.3000000000000007"/>
    <d v="2015-07-06T00:00:00"/>
    <m/>
    <m/>
    <m/>
    <m/>
    <m/>
    <m/>
    <m/>
    <n v="3"/>
    <d v="2015-06-25T00:00:00"/>
    <s v="VALIDE"/>
  </r>
  <r>
    <s v="RAPSO_307"/>
    <s v="COOPER "/>
    <x v="1"/>
    <x v="3"/>
    <n v="144"/>
    <n v="23"/>
    <n v="29"/>
    <m/>
    <m/>
    <m/>
    <m/>
    <n v="3"/>
    <m/>
    <n v="3.34"/>
    <d v="2015-07-06T00:00:00"/>
    <m/>
    <m/>
    <m/>
    <m/>
    <n v="8.89"/>
    <d v="2015-07-15T00:00:00"/>
    <n v="18.5"/>
    <d v="2015-07-06T00:00:00"/>
    <m/>
    <m/>
    <m/>
    <m/>
    <m/>
    <m/>
    <x v="293"/>
    <m/>
    <n v="17.419186219186219"/>
    <d v="2015-07-06T00:00:00"/>
    <m/>
    <m/>
    <n v="12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784000000000006"/>
    <d v="2015-07-15T00:00:00"/>
    <m/>
    <m/>
    <m/>
    <m/>
    <n v="50.075901031494141"/>
    <d v="2015-07-15T00:00:00"/>
    <n v="17.799039840698242"/>
    <d v="2015-07-15T00:00:00"/>
    <n v="16.463000000000001"/>
    <d v="2015-07-15T00:00:00"/>
    <m/>
    <m/>
    <m/>
    <m/>
    <n v="12.2"/>
    <d v="2015-07-06T00:00:00"/>
    <m/>
    <m/>
    <m/>
    <m/>
    <m/>
    <m/>
    <m/>
    <n v="1"/>
    <d v="2015-06-25T00:00:00"/>
    <s v="VALIDE"/>
  </r>
  <r>
    <s v="RAPSO_382"/>
    <s v="DEBRUDER DIPPES "/>
    <x v="0"/>
    <x v="2"/>
    <n v="119"/>
    <n v="5"/>
    <n v="29"/>
    <m/>
    <m/>
    <m/>
    <m/>
    <n v="6"/>
    <m/>
    <n v="3.15"/>
    <d v="2015-07-06T00:00:00"/>
    <m/>
    <m/>
    <m/>
    <m/>
    <n v="8.6300000000000008"/>
    <d v="2015-07-15T00:00:00"/>
    <n v="18.5"/>
    <d v="2015-07-06T00:00:00"/>
    <m/>
    <m/>
    <m/>
    <m/>
    <m/>
    <m/>
    <x v="294"/>
    <m/>
    <n v="17.760000000000002"/>
    <d v="2015-07-06T00:00:00"/>
    <m/>
    <m/>
    <n v="18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6.022000000000006"/>
    <d v="2015-07-15T00:00:00"/>
    <m/>
    <m/>
    <m/>
    <m/>
    <n v="48.598579406738281"/>
    <d v="2015-07-15T00:00:00"/>
    <n v="19.656242370605469"/>
    <d v="2015-07-15T00:00:00"/>
    <n v="60.399000000000001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105"/>
    <s v="Ligora"/>
    <x v="0"/>
    <x v="0"/>
    <n v="10"/>
    <m/>
    <m/>
    <n v="9"/>
    <n v="2"/>
    <m/>
    <m/>
    <n v="7"/>
    <m/>
    <n v="3.2"/>
    <d v="2015-07-06T00:00:00"/>
    <m/>
    <m/>
    <m/>
    <m/>
    <n v="7.74"/>
    <d v="2015-07-15T00:00:00"/>
    <n v="18.5"/>
    <d v="2015-07-06T00:00:00"/>
    <m/>
    <m/>
    <m/>
    <m/>
    <m/>
    <m/>
    <x v="295"/>
    <m/>
    <n v="17.829999999999998"/>
    <d v="2015-07-06T00:00:00"/>
    <m/>
    <m/>
    <n v="160"/>
    <m/>
    <m/>
    <m/>
    <n v="106"/>
    <m/>
    <m/>
    <m/>
    <m/>
    <m/>
    <m/>
    <m/>
    <m/>
    <m/>
    <m/>
    <m/>
    <m/>
    <m/>
    <n v="3"/>
    <m/>
    <m/>
    <m/>
    <m/>
    <m/>
    <m/>
    <m/>
    <m/>
    <m/>
    <m/>
    <m/>
    <n v="61.375999999999998"/>
    <d v="2015-07-15T00:00:00"/>
    <m/>
    <m/>
    <m/>
    <m/>
    <n v="43.43"/>
    <d v="2015-07-15T00:00:00"/>
    <n v="22.265432357788086"/>
    <d v="2015-07-15T00:00:00"/>
    <n v="65.284000000000006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050"/>
    <s v="QuedLinburger Platzfester"/>
    <x v="1"/>
    <x v="3"/>
    <n v="17"/>
    <n v="23"/>
    <n v="27"/>
    <m/>
    <m/>
    <m/>
    <m/>
    <n v="8"/>
    <m/>
    <n v="3.21"/>
    <d v="2015-07-06T00:00:00"/>
    <m/>
    <m/>
    <m/>
    <m/>
    <n v="8.98"/>
    <d v="2015-07-15T00:00:00"/>
    <n v="18.5"/>
    <d v="2015-07-06T00:00:00"/>
    <m/>
    <m/>
    <m/>
    <m/>
    <m/>
    <m/>
    <x v="296"/>
    <m/>
    <n v="17.920000000000002"/>
    <d v="2015-07-06T00:00:00"/>
    <m/>
    <m/>
    <n v="14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7.963999999999999"/>
    <d v="2015-07-15T00:00:00"/>
    <m/>
    <m/>
    <m/>
    <m/>
    <n v="50.127250671386719"/>
    <d v="2015-07-15T00:00:00"/>
    <n v="17.832391738891602"/>
    <d v="2015-07-15T00:00:00"/>
    <n v="57.238"/>
    <d v="2015-07-15T00:00:00"/>
    <m/>
    <m/>
    <m/>
    <m/>
    <n v="7.8"/>
    <d v="2015-07-06T00:00:00"/>
    <m/>
    <m/>
    <m/>
    <m/>
    <m/>
    <m/>
    <m/>
    <n v="3"/>
    <d v="2015-06-25T00:00:00"/>
    <s v="VALIDE"/>
  </r>
  <r>
    <s v="RAPSO_282"/>
    <s v="Twister"/>
    <x v="1"/>
    <x v="1"/>
    <n v="111"/>
    <n v="15"/>
    <n v="10"/>
    <m/>
    <m/>
    <m/>
    <m/>
    <n v="6"/>
    <m/>
    <n v="3.21"/>
    <d v="2015-07-06T00:00:00"/>
    <m/>
    <m/>
    <m/>
    <m/>
    <n v="8.99"/>
    <d v="2015-07-15T00:00:00"/>
    <n v="18.5"/>
    <d v="2015-07-06T00:00:00"/>
    <m/>
    <m/>
    <m/>
    <m/>
    <m/>
    <m/>
    <x v="297"/>
    <m/>
    <n v="17.98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256999999999998"/>
    <d v="2015-07-15T00:00:00"/>
    <m/>
    <m/>
    <m/>
    <m/>
    <n v="50.0150146484375"/>
    <d v="2015-07-15T00:00:00"/>
    <n v="17.976869583129883"/>
    <d v="2015-07-15T00:00:00"/>
    <n v="24.617000000000001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456"/>
    <s v="KRASNODARSKYI "/>
    <x v="0"/>
    <x v="2"/>
    <n v="22"/>
    <m/>
    <m/>
    <n v="4"/>
    <n v="2"/>
    <m/>
    <m/>
    <n v="5"/>
    <m/>
    <n v="3.22"/>
    <d v="2015-07-06T00:00:00"/>
    <m/>
    <m/>
    <m/>
    <m/>
    <n v="8.65"/>
    <d v="2015-07-15T00:00:00"/>
    <n v="18.5"/>
    <d v="2015-07-06T00:00:00"/>
    <m/>
    <m/>
    <m/>
    <m/>
    <m/>
    <m/>
    <x v="298"/>
    <m/>
    <n v="18"/>
    <d v="2015-07-06T00:00:00"/>
    <m/>
    <m/>
    <n v="14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72"/>
    <d v="2015-07-15T00:00:00"/>
    <m/>
    <m/>
    <m/>
    <m/>
    <n v="48.03"/>
    <d v="2015-07-15T00:00:00"/>
    <n v="21.007549285888672"/>
    <d v="2015-07-15T00:00:00"/>
    <n v="76.634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043"/>
    <s v="Polux"/>
    <x v="0"/>
    <x v="2"/>
    <n v="15"/>
    <n v="6"/>
    <n v="32"/>
    <m/>
    <m/>
    <m/>
    <m/>
    <n v="9"/>
    <m/>
    <n v="3.21"/>
    <d v="2015-07-06T00:00:00"/>
    <m/>
    <m/>
    <m/>
    <m/>
    <n v="8.7100000000000009"/>
    <d v="2015-07-15T00:00:00"/>
    <n v="18.5"/>
    <d v="2015-07-06T00:00:00"/>
    <m/>
    <m/>
    <m/>
    <m/>
    <m/>
    <m/>
    <x v="299"/>
    <m/>
    <n v="18.100000000000001"/>
    <d v="2015-07-06T00:00:00"/>
    <m/>
    <m/>
    <n v="17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6.576999999999998"/>
    <d v="2015-07-15T00:00:00"/>
    <m/>
    <m/>
    <m/>
    <m/>
    <n v="48.131988525390625"/>
    <d v="2015-07-15T00:00:00"/>
    <n v="21.158214569091797"/>
    <d v="2015-07-15T00:00:00"/>
    <n v="72.799000000000007"/>
    <d v="2015-07-15T00:00:00"/>
    <m/>
    <m/>
    <m/>
    <m/>
    <n v="6.9"/>
    <d v="2015-07-06T00:00:00"/>
    <m/>
    <m/>
    <m/>
    <m/>
    <m/>
    <m/>
    <m/>
    <n v="5"/>
    <d v="2015-06-25T00:00:00"/>
    <s v="VALIDE"/>
  </r>
  <r>
    <s v="BRA_011"/>
    <s v="Lembke"/>
    <x v="1"/>
    <x v="3"/>
    <n v="128"/>
    <n v="23"/>
    <n v="25"/>
    <m/>
    <m/>
    <m/>
    <m/>
    <n v="5"/>
    <m/>
    <n v="3.22"/>
    <d v="2015-07-06T00:00:00"/>
    <m/>
    <m/>
    <m/>
    <m/>
    <n v="9.1300000000000008"/>
    <d v="2015-07-15T00:00:00"/>
    <n v="18.5"/>
    <d v="2015-07-06T00:00:00"/>
    <m/>
    <m/>
    <m/>
    <m/>
    <m/>
    <m/>
    <x v="300"/>
    <m/>
    <n v="18.11"/>
    <d v="2015-07-06T00:00:00"/>
    <m/>
    <m/>
    <n v="140"/>
    <m/>
    <m/>
    <m/>
    <n v="111"/>
    <m/>
    <m/>
    <m/>
    <m/>
    <m/>
    <m/>
    <m/>
    <m/>
    <m/>
    <m/>
    <m/>
    <m/>
    <m/>
    <n v="9"/>
    <m/>
    <m/>
    <m/>
    <m/>
    <m/>
    <m/>
    <m/>
    <m/>
    <m/>
    <m/>
    <m/>
    <n v="66.78"/>
    <d v="2015-07-15T00:00:00"/>
    <m/>
    <m/>
    <m/>
    <m/>
    <n v="50.436473846435547"/>
    <d v="2015-07-15T00:00:00"/>
    <n v="18.524566650390625"/>
    <d v="2015-07-15T00:00:00"/>
    <n v="47.116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419"/>
    <s v="NOVOCHARTORYISKYI "/>
    <x v="1"/>
    <x v="3"/>
    <n v="20"/>
    <m/>
    <m/>
    <n v="21"/>
    <n v="2"/>
    <m/>
    <m/>
    <n v="8"/>
    <m/>
    <n v="3.27"/>
    <d v="2015-07-06T00:00:00"/>
    <m/>
    <m/>
    <m/>
    <m/>
    <n v="8.9499999999999993"/>
    <d v="2015-07-15T00:00:00"/>
    <n v="18.5"/>
    <d v="2015-07-06T00:00:00"/>
    <m/>
    <m/>
    <m/>
    <m/>
    <m/>
    <m/>
    <x v="301"/>
    <m/>
    <n v="18.12"/>
    <d v="2015-07-06T00:00:00"/>
    <m/>
    <m/>
    <n v="12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8.861000000000004"/>
    <d v="2015-07-15T00:00:00"/>
    <m/>
    <m/>
    <m/>
    <m/>
    <n v="49.41"/>
    <d v="2015-07-15T00:00:00"/>
    <n v="22.024723052978516"/>
    <d v="2015-07-15T00:00:00"/>
    <n v="65.807000000000002"/>
    <d v="2015-07-15T00:00:00"/>
    <m/>
    <m/>
    <m/>
    <m/>
    <n v="8.5"/>
    <d v="2015-07-06T00:00:00"/>
    <m/>
    <m/>
    <m/>
    <m/>
    <m/>
    <m/>
    <m/>
    <n v="5"/>
    <d v="2015-06-25T00:00:00"/>
    <s v="VALIDE"/>
  </r>
  <r>
    <s v="RAPSO_043"/>
    <s v="Polux"/>
    <x v="1"/>
    <x v="1"/>
    <n v="15"/>
    <n v="14"/>
    <n v="10"/>
    <m/>
    <m/>
    <m/>
    <m/>
    <n v="9"/>
    <m/>
    <n v="3.24"/>
    <d v="2015-07-06T00:00:00"/>
    <m/>
    <m/>
    <m/>
    <m/>
    <n v="8.3000000000000007"/>
    <d v="2015-07-15T00:00:00"/>
    <n v="18.5"/>
    <d v="2015-07-06T00:00:00"/>
    <m/>
    <m/>
    <m/>
    <m/>
    <m/>
    <m/>
    <x v="302"/>
    <m/>
    <n v="18.149999999999999"/>
    <d v="2015-07-06T00:00:00"/>
    <m/>
    <m/>
    <n v="15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7.510999999999996"/>
    <d v="2015-07-15T00:00:00"/>
    <m/>
    <m/>
    <m/>
    <m/>
    <n v="45.750644683837891"/>
    <d v="2015-07-15T00:00:00"/>
    <n v="21.916732788085938"/>
    <d v="2015-07-15T00:00:00"/>
    <n v="65.241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415"/>
    <s v="MYTNINSKYI-2 "/>
    <x v="0"/>
    <x v="0"/>
    <n v="18"/>
    <m/>
    <m/>
    <n v="12"/>
    <n v="4"/>
    <m/>
    <m/>
    <n v="9"/>
    <m/>
    <n v="3.25"/>
    <d v="2015-07-06T00:00:00"/>
    <m/>
    <m/>
    <m/>
    <m/>
    <n v="8.2899999999999991"/>
    <d v="2015-07-15T00:00:00"/>
    <n v="18.5"/>
    <d v="2015-07-06T00:00:00"/>
    <m/>
    <m/>
    <m/>
    <m/>
    <m/>
    <m/>
    <x v="303"/>
    <m/>
    <n v="18.18"/>
    <d v="2015-07-06T00:00:00"/>
    <m/>
    <m/>
    <n v="120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3.292000000000002"/>
    <d v="2015-07-15T00:00:00"/>
    <m/>
    <m/>
    <m/>
    <m/>
    <n v="45.6"/>
    <d v="2015-07-15T00:00:00"/>
    <n v="20.705251693725586"/>
    <d v="2015-07-15T00:00:00"/>
    <n v="68.171000000000006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085"/>
    <s v="Expander"/>
    <x v="1"/>
    <x v="1"/>
    <n v="32"/>
    <n v="17"/>
    <n v="7"/>
    <m/>
    <m/>
    <m/>
    <m/>
    <n v="5"/>
    <m/>
    <n v="3.29"/>
    <d v="2015-07-06T00:00:00"/>
    <m/>
    <m/>
    <m/>
    <m/>
    <n v="8.93"/>
    <d v="2015-07-15T00:00:00"/>
    <n v="18.5"/>
    <d v="2015-07-06T00:00:00"/>
    <m/>
    <m/>
    <m/>
    <m/>
    <m/>
    <m/>
    <x v="304"/>
    <m/>
    <n v="18.25"/>
    <d v="2015-07-06T00:00:00"/>
    <m/>
    <m/>
    <n v="14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1.542999999999999"/>
    <d v="2015-07-15T00:00:00"/>
    <m/>
    <m/>
    <m/>
    <m/>
    <n v="48.917747497558594"/>
    <d v="2015-07-15T00:00:00"/>
    <n v="19.373327255249023"/>
    <d v="2015-07-15T00:00:00"/>
    <n v="20.62"/>
    <d v="2015-07-15T00:00:00"/>
    <m/>
    <m/>
    <m/>
    <m/>
    <n v="8.4"/>
    <d v="2015-07-06T00:00:00"/>
    <m/>
    <m/>
    <m/>
    <m/>
    <m/>
    <m/>
    <m/>
    <n v="7"/>
    <d v="2015-06-25T00:00:00"/>
    <s v="VALIDE"/>
  </r>
  <r>
    <s v="RAPSO_105"/>
    <s v="Ligora"/>
    <x v="1"/>
    <x v="3"/>
    <n v="10"/>
    <m/>
    <m/>
    <n v="22"/>
    <n v="2"/>
    <m/>
    <m/>
    <n v="9"/>
    <m/>
    <n v="3.28"/>
    <d v="2015-07-06T00:00:00"/>
    <m/>
    <m/>
    <m/>
    <m/>
    <n v="8.31"/>
    <d v="2015-07-15T00:00:00"/>
    <n v="18.5"/>
    <d v="2015-07-06T00:00:00"/>
    <m/>
    <m/>
    <m/>
    <m/>
    <m/>
    <m/>
    <x v="305"/>
    <m/>
    <n v="18.29"/>
    <d v="2015-07-06T00:00:00"/>
    <m/>
    <m/>
    <n v="140"/>
    <m/>
    <m/>
    <m/>
    <n v="107"/>
    <m/>
    <m/>
    <m/>
    <m/>
    <m/>
    <m/>
    <m/>
    <m/>
    <m/>
    <m/>
    <m/>
    <m/>
    <m/>
    <n v="3"/>
    <m/>
    <m/>
    <m/>
    <m/>
    <m/>
    <m/>
    <m/>
    <m/>
    <m/>
    <m/>
    <m/>
    <n v="61.868000000000002"/>
    <d v="2015-07-15T00:00:00"/>
    <m/>
    <m/>
    <m/>
    <m/>
    <n v="45.41"/>
    <d v="2015-07-15T00:00:00"/>
    <n v="21.364938735961914"/>
    <d v="2015-07-15T00:00:00"/>
    <n v="65.299000000000007"/>
    <d v="2015-07-15T00:00:00"/>
    <m/>
    <m/>
    <m/>
    <m/>
    <n v="7.9"/>
    <d v="2015-07-06T00:00:00"/>
    <m/>
    <m/>
    <m/>
    <m/>
    <m/>
    <m/>
    <m/>
    <n v="3"/>
    <d v="2015-06-25T00:00:00"/>
    <s v="VALIDE"/>
  </r>
  <r>
    <s v="RAPSO_259"/>
    <s v="Prince"/>
    <x v="1"/>
    <x v="1"/>
    <n v="98"/>
    <n v="16"/>
    <n v="11"/>
    <m/>
    <m/>
    <m/>
    <m/>
    <n v="3"/>
    <m/>
    <n v="3.29"/>
    <d v="2015-07-06T00:00:00"/>
    <m/>
    <m/>
    <m/>
    <m/>
    <n v="8.9600000000000009"/>
    <d v="2015-07-15T00:00:00"/>
    <n v="18.5"/>
    <d v="2015-07-06T00:00:00"/>
    <m/>
    <m/>
    <m/>
    <m/>
    <m/>
    <m/>
    <x v="306"/>
    <m/>
    <n v="17.95966735966736"/>
    <d v="2015-07-06T00:00:00"/>
    <m/>
    <m/>
    <n v="11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3.563000000000002"/>
    <d v="2015-07-15T00:00:00"/>
    <m/>
    <m/>
    <m/>
    <m/>
    <n v="48.925563812255859"/>
    <d v="2015-07-15T00:00:00"/>
    <n v="18.811855316162109"/>
    <d v="2015-07-15T00:00:00"/>
    <n v="17.692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030"/>
    <s v="Matador"/>
    <x v="1"/>
    <x v="3"/>
    <n v="9"/>
    <n v="22"/>
    <n v="6"/>
    <m/>
    <m/>
    <m/>
    <m/>
    <n v="9"/>
    <m/>
    <n v="3.28"/>
    <d v="2015-07-06T00:00:00"/>
    <m/>
    <m/>
    <m/>
    <m/>
    <n v="8.92"/>
    <d v="2015-07-15T00:00:00"/>
    <n v="18.5"/>
    <d v="2015-07-06T00:00:00"/>
    <m/>
    <m/>
    <m/>
    <m/>
    <m/>
    <m/>
    <x v="307"/>
    <m/>
    <n v="18.329999999999998"/>
    <d v="2015-07-06T00:00:00"/>
    <m/>
    <m/>
    <n v="12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5.507000000000005"/>
    <d v="2015-07-15T00:00:00"/>
    <m/>
    <m/>
    <m/>
    <m/>
    <n v="48.649795532226563"/>
    <d v="2015-07-15T00:00:00"/>
    <n v="19.982507705688477"/>
    <d v="2015-07-15T00:00:00"/>
    <n v="61.704000000000001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415"/>
    <s v="MYTNINSKYI-2 "/>
    <x v="0"/>
    <x v="2"/>
    <n v="18"/>
    <m/>
    <m/>
    <n v="3"/>
    <n v="3"/>
    <m/>
    <m/>
    <n v="9"/>
    <m/>
    <n v="3.29"/>
    <d v="2015-07-06T00:00:00"/>
    <m/>
    <m/>
    <m/>
    <m/>
    <n v="8.48"/>
    <d v="2015-07-15T00:00:00"/>
    <n v="18.5"/>
    <d v="2015-07-06T00:00:00"/>
    <m/>
    <m/>
    <m/>
    <m/>
    <m/>
    <m/>
    <x v="308"/>
    <m/>
    <n v="18.39"/>
    <d v="2015-07-06T00:00:00"/>
    <m/>
    <m/>
    <n v="13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293000000000006"/>
    <d v="2015-07-15T00:00:00"/>
    <m/>
    <m/>
    <m/>
    <m/>
    <n v="46.09"/>
    <d v="2015-07-15T00:00:00"/>
    <n v="21.293489456176758"/>
    <d v="2015-07-15T00:00:00"/>
    <n v="68.704999999999998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235"/>
    <s v="Mar"/>
    <x v="1"/>
    <x v="3"/>
    <n v="87"/>
    <n v="22"/>
    <n v="22"/>
    <m/>
    <m/>
    <m/>
    <m/>
    <n v="3"/>
    <m/>
    <n v="3.46"/>
    <d v="2015-07-06T00:00:00"/>
    <m/>
    <m/>
    <m/>
    <m/>
    <n v="9.0299999999999994"/>
    <d v="2015-07-15T00:00:00"/>
    <n v="18.5"/>
    <d v="2015-07-06T00:00:00"/>
    <m/>
    <m/>
    <m/>
    <m/>
    <m/>
    <m/>
    <x v="309"/>
    <m/>
    <n v="18.127234927234927"/>
    <d v="2015-07-06T00:00:00"/>
    <m/>
    <m/>
    <n v="11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3.86"/>
    <d v="2015-07-15T00:00:00"/>
    <m/>
    <m/>
    <m/>
    <m/>
    <n v="48.85748291015625"/>
    <d v="2015-07-15T00:00:00"/>
    <n v="17.909152984619141"/>
    <d v="2015-07-15T00:00:00"/>
    <n v="19.920000000000002"/>
    <d v="2015-07-15T00:00:00"/>
    <m/>
    <m/>
    <m/>
    <m/>
    <n v="11.8"/>
    <d v="2015-07-06T00:00:00"/>
    <m/>
    <m/>
    <m/>
    <m/>
    <m/>
    <m/>
    <m/>
    <n v="1"/>
    <d v="2015-06-25T00:00:00"/>
    <s v="VALIDE"/>
  </r>
  <r>
    <s v="RAPSO_125"/>
    <s v="WIRA"/>
    <x v="1"/>
    <x v="1"/>
    <n v="12"/>
    <m/>
    <m/>
    <n v="14"/>
    <n v="2"/>
    <m/>
    <m/>
    <n v="8"/>
    <m/>
    <n v="3.31"/>
    <d v="2015-07-06T00:00:00"/>
    <m/>
    <m/>
    <m/>
    <m/>
    <n v="8.94"/>
    <d v="2015-07-15T00:00:00"/>
    <n v="18.5"/>
    <d v="2015-07-06T00:00:00"/>
    <m/>
    <m/>
    <m/>
    <m/>
    <m/>
    <m/>
    <x v="310"/>
    <m/>
    <n v="18.48"/>
    <d v="2015-07-06T00:00:00"/>
    <m/>
    <m/>
    <n v="12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2.451000000000001"/>
    <d v="2015-07-15T00:00:00"/>
    <m/>
    <m/>
    <m/>
    <m/>
    <n v="48.36"/>
    <d v="2015-07-15T00:00:00"/>
    <n v="21.164997100830078"/>
    <d v="2015-07-15T00:00:00"/>
    <n v="66.063999999999993"/>
    <d v="2015-07-15T00:00:00"/>
    <m/>
    <m/>
    <m/>
    <m/>
    <n v="7.8"/>
    <d v="2015-07-06T00:00:00"/>
    <m/>
    <m/>
    <m/>
    <m/>
    <m/>
    <m/>
    <m/>
    <n v="7"/>
    <d v="2015-06-25T00:00:00"/>
    <s v="VALIDE"/>
  </r>
  <r>
    <s v="RAPSO_437"/>
    <s v="SNITYNSKYI "/>
    <x v="1"/>
    <x v="1"/>
    <n v="21"/>
    <m/>
    <m/>
    <n v="14"/>
    <n v="3"/>
    <m/>
    <m/>
    <n v="9"/>
    <m/>
    <n v="3.33"/>
    <d v="2015-07-06T00:00:00"/>
    <m/>
    <m/>
    <m/>
    <m/>
    <n v="8.9"/>
    <d v="2015-07-15T00:00:00"/>
    <n v="18.5"/>
    <d v="2015-07-06T00:00:00"/>
    <m/>
    <m/>
    <m/>
    <m/>
    <m/>
    <m/>
    <x v="311"/>
    <m/>
    <n v="18.53"/>
    <d v="2015-07-06T00:00:00"/>
    <m/>
    <m/>
    <n v="11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2.424999999999997"/>
    <d v="2015-07-15T00:00:00"/>
    <m/>
    <m/>
    <m/>
    <m/>
    <n v="48.05"/>
    <d v="2015-07-15T00:00:00"/>
    <n v="21.2928466796875"/>
    <d v="2015-07-15T00:00:00"/>
    <n v="69.433000000000007"/>
    <d v="2015-07-15T00:00:00"/>
    <m/>
    <m/>
    <m/>
    <m/>
    <n v="8.1"/>
    <d v="2015-07-06T00:00:00"/>
    <m/>
    <m/>
    <m/>
    <m/>
    <m/>
    <m/>
    <m/>
    <n v="5"/>
    <d v="2015-06-25T00:00:00"/>
    <s v="VALIDE"/>
  </r>
  <r>
    <s v="RAPSO_053"/>
    <s v="Rapol"/>
    <x v="1"/>
    <x v="3"/>
    <n v="19"/>
    <n v="21"/>
    <n v="28"/>
    <m/>
    <m/>
    <m/>
    <m/>
    <n v="8"/>
    <m/>
    <n v="3.29"/>
    <d v="2015-07-06T00:00:00"/>
    <m/>
    <m/>
    <m/>
    <m/>
    <n v="9.14"/>
    <d v="2015-07-15T00:00:00"/>
    <n v="18.5"/>
    <d v="2015-07-06T00:00:00"/>
    <m/>
    <m/>
    <m/>
    <m/>
    <m/>
    <m/>
    <x v="312"/>
    <m/>
    <n v="18.55"/>
    <d v="2015-07-06T00:00:00"/>
    <m/>
    <m/>
    <n v="15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262"/>
    <d v="2015-07-15T00:00:00"/>
    <m/>
    <m/>
    <m/>
    <m/>
    <n v="49.273365020751953"/>
    <d v="2015-07-15T00:00:00"/>
    <n v="18.572370529174805"/>
    <d v="2015-07-15T00:00:00"/>
    <n v="53.488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402"/>
    <s v="KOMBI "/>
    <x v="0"/>
    <x v="2"/>
    <n v="16"/>
    <m/>
    <m/>
    <n v="1"/>
    <n v="3"/>
    <m/>
    <m/>
    <n v="7"/>
    <m/>
    <n v="3.32"/>
    <d v="2015-07-06T00:00:00"/>
    <m/>
    <m/>
    <m/>
    <m/>
    <n v="9.11"/>
    <d v="2015-07-15T00:00:00"/>
    <n v="18.5"/>
    <d v="2015-07-06T00:00:00"/>
    <m/>
    <m/>
    <m/>
    <m/>
    <m/>
    <m/>
    <x v="313"/>
    <m/>
    <n v="18.559999999999999"/>
    <d v="2015-07-06T00:00:00"/>
    <m/>
    <m/>
    <n v="145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4.914000000000001"/>
    <d v="2015-07-15T00:00:00"/>
    <m/>
    <m/>
    <m/>
    <m/>
    <n v="49.06"/>
    <d v="2015-07-15T00:00:00"/>
    <n v="20.115537643432617"/>
    <d v="2015-07-15T00:00:00"/>
    <n v="72.620999999999995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080"/>
    <s v="Constable"/>
    <x v="1"/>
    <x v="3"/>
    <n v="29"/>
    <n v="24"/>
    <n v="2"/>
    <m/>
    <m/>
    <m/>
    <m/>
    <n v="7"/>
    <m/>
    <n v="3.33"/>
    <d v="2015-07-06T00:00:00"/>
    <m/>
    <m/>
    <m/>
    <m/>
    <n v="9.09"/>
    <d v="2015-07-15T00:00:00"/>
    <n v="18.5"/>
    <d v="2015-07-06T00:00:00"/>
    <m/>
    <m/>
    <m/>
    <m/>
    <m/>
    <m/>
    <x v="314"/>
    <m/>
    <n v="18.61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0.677999999999997"/>
    <d v="2015-07-15T00:00:00"/>
    <m/>
    <m/>
    <m/>
    <m/>
    <n v="48.837066650390625"/>
    <d v="2015-07-15T00:00:00"/>
    <n v="20.208614349365234"/>
    <d v="2015-07-15T00:00:00"/>
    <n v="69.382999999999996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138"/>
    <s v="Ariana"/>
    <x v="1"/>
    <x v="3"/>
    <n v="44"/>
    <n v="20"/>
    <n v="29"/>
    <m/>
    <m/>
    <m/>
    <m/>
    <n v="7"/>
    <m/>
    <n v="3.32"/>
    <d v="2015-07-06T00:00:00"/>
    <m/>
    <m/>
    <m/>
    <m/>
    <n v="8.7899999999999991"/>
    <d v="2015-07-15T00:00:00"/>
    <n v="18.5"/>
    <d v="2015-07-06T00:00:00"/>
    <m/>
    <m/>
    <m/>
    <m/>
    <m/>
    <m/>
    <x v="315"/>
    <m/>
    <n v="18.66"/>
    <d v="2015-07-06T00:00:00"/>
    <m/>
    <m/>
    <n v="125"/>
    <m/>
    <m/>
    <m/>
    <n v="108"/>
    <m/>
    <m/>
    <m/>
    <m/>
    <m/>
    <m/>
    <m/>
    <m/>
    <m/>
    <m/>
    <m/>
    <m/>
    <m/>
    <n v="5"/>
    <m/>
    <m/>
    <m/>
    <m/>
    <m/>
    <m/>
    <m/>
    <m/>
    <m/>
    <m/>
    <m/>
    <n v="64.103999999999999"/>
    <d v="2015-07-15T00:00:00"/>
    <m/>
    <m/>
    <m/>
    <m/>
    <n v="47.109336853027344"/>
    <d v="2015-07-15T00:00:00"/>
    <n v="18.815708160400391"/>
    <d v="2015-07-15T00:00:00"/>
    <n v="28.02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002"/>
    <s v="Alsace 1360"/>
    <x v="1"/>
    <x v="1"/>
    <n v="1"/>
    <n v="17"/>
    <n v="22"/>
    <m/>
    <m/>
    <m/>
    <m/>
    <n v="8"/>
    <m/>
    <n v="3.3"/>
    <d v="2015-07-06T00:00:00"/>
    <m/>
    <m/>
    <m/>
    <m/>
    <n v="8.7899999999999991"/>
    <d v="2015-07-15T00:00:00"/>
    <n v="18.5"/>
    <d v="2015-07-06T00:00:00"/>
    <m/>
    <m/>
    <m/>
    <m/>
    <m/>
    <m/>
    <x v="61"/>
    <m/>
    <n v="18.66"/>
    <d v="2015-07-06T00:00:00"/>
    <m/>
    <m/>
    <n v="14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835999999999999"/>
    <d v="2015-07-15T00:00:00"/>
    <m/>
    <m/>
    <m/>
    <m/>
    <n v="47.11480712890625"/>
    <d v="2015-07-15T00:00:00"/>
    <n v="20.31364631652832"/>
    <d v="2015-07-15T00:00:00"/>
    <n v="62.287999999999997"/>
    <d v="2015-07-15T00:00:00"/>
    <m/>
    <m/>
    <m/>
    <m/>
    <n v="6.6"/>
    <d v="2015-07-06T00:00:00"/>
    <m/>
    <m/>
    <m/>
    <m/>
    <m/>
    <m/>
    <m/>
    <n v="5"/>
    <d v="2015-06-25T00:00:00"/>
    <s v="VALIDE"/>
  </r>
  <r>
    <s v="RAPSO_411"/>
    <s v="LJUBLANA "/>
    <x v="0"/>
    <x v="0"/>
    <n v="17"/>
    <m/>
    <m/>
    <n v="11"/>
    <n v="4"/>
    <m/>
    <m/>
    <n v="8"/>
    <m/>
    <n v="3.34"/>
    <d v="2015-07-06T00:00:00"/>
    <m/>
    <m/>
    <m/>
    <m/>
    <n v="9.4700000000000006"/>
    <d v="2015-07-15T00:00:00"/>
    <n v="18.5"/>
    <d v="2015-07-06T00:00:00"/>
    <m/>
    <m/>
    <m/>
    <m/>
    <m/>
    <m/>
    <x v="316"/>
    <m/>
    <n v="18.71"/>
    <d v="2015-07-06T00:00:00"/>
    <m/>
    <m/>
    <n v="14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489000000000004"/>
    <d v="2015-07-15T00:00:00"/>
    <m/>
    <m/>
    <m/>
    <m/>
    <n v="50.61"/>
    <d v="2015-07-15T00:00:00"/>
    <n v="18.830513000488281"/>
    <d v="2015-07-15T00:00:00"/>
    <n v="72.316999999999993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178"/>
    <s v="Doublol"/>
    <x v="1"/>
    <x v="1"/>
    <n v="63"/>
    <n v="17"/>
    <n v="11"/>
    <m/>
    <m/>
    <m/>
    <m/>
    <n v="5"/>
    <m/>
    <n v="3.37"/>
    <d v="2015-07-06T00:00:00"/>
    <m/>
    <m/>
    <m/>
    <m/>
    <n v="9.7799999999999994"/>
    <d v="2015-07-15T00:00:00"/>
    <n v="18.5"/>
    <d v="2015-07-06T00:00:00"/>
    <m/>
    <m/>
    <m/>
    <m/>
    <m/>
    <m/>
    <x v="317"/>
    <m/>
    <n v="18.75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715999999999994"/>
    <d v="2015-07-15T00:00:00"/>
    <m/>
    <m/>
    <m/>
    <m/>
    <n v="52.145957946777344"/>
    <d v="2015-07-15T00:00:00"/>
    <n v="17.264949798583984"/>
    <d v="2015-07-15T00:00:00"/>
    <n v="15.878"/>
    <d v="2015-07-15T00:00:00"/>
    <m/>
    <m/>
    <m/>
    <m/>
    <n v="8.1"/>
    <d v="2015-07-06T00:00:00"/>
    <m/>
    <m/>
    <m/>
    <m/>
    <m/>
    <m/>
    <m/>
    <n v="5"/>
    <d v="2015-06-25T00:00:00"/>
    <s v="VALIDE"/>
  </r>
  <r>
    <s v="RAPSO_040"/>
    <s v="Olquell Gulzover"/>
    <x v="0"/>
    <x v="2"/>
    <n v="13"/>
    <n v="1"/>
    <n v="2"/>
    <m/>
    <m/>
    <m/>
    <m/>
    <n v="8"/>
    <m/>
    <n v="3.1"/>
    <d v="2015-07-06T00:00:00"/>
    <m/>
    <m/>
    <m/>
    <m/>
    <m/>
    <d v="2015-07-15T00:00:00"/>
    <n v="18.5"/>
    <d v="2015-07-06T00:00:00"/>
    <m/>
    <m/>
    <m/>
    <m/>
    <m/>
    <m/>
    <x v="318"/>
    <m/>
    <m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m/>
    <d v="2015-07-06T00:00:00"/>
    <m/>
    <m/>
    <m/>
    <m/>
    <m/>
    <m/>
    <m/>
    <n v="3"/>
    <d v="2015-06-25T00:00:00"/>
    <s v="VALIDE"/>
  </r>
  <r>
    <s v="RAPSO_006"/>
    <s v="Dublianski"/>
    <x v="0"/>
    <x v="0"/>
    <n v="1"/>
    <m/>
    <m/>
    <n v="10"/>
    <n v="4"/>
    <m/>
    <m/>
    <n v="9"/>
    <m/>
    <n v="3.36"/>
    <d v="2015-07-06T00:00:00"/>
    <m/>
    <m/>
    <m/>
    <m/>
    <n v="8.76"/>
    <d v="2015-07-15T00:00:00"/>
    <n v="18.5"/>
    <d v="2015-07-06T00:00:00"/>
    <m/>
    <m/>
    <m/>
    <m/>
    <m/>
    <m/>
    <x v="319"/>
    <m/>
    <n v="18.8"/>
    <d v="2015-07-06T00:00:00"/>
    <m/>
    <m/>
    <n v="145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6.948999999999998"/>
    <d v="2015-07-15T00:00:00"/>
    <m/>
    <m/>
    <m/>
    <m/>
    <n v="46.61"/>
    <d v="2015-07-15T00:00:00"/>
    <n v="22.5560302734375"/>
    <d v="2015-07-15T00:00:00"/>
    <n v="81.087999999999994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456"/>
    <s v="KRASNODARSKYI "/>
    <x v="0"/>
    <x v="0"/>
    <n v="22"/>
    <m/>
    <m/>
    <n v="9"/>
    <n v="4"/>
    <m/>
    <m/>
    <n v="8"/>
    <m/>
    <n v="3.37"/>
    <d v="2015-07-06T00:00:00"/>
    <m/>
    <m/>
    <m/>
    <m/>
    <n v="8.7200000000000006"/>
    <d v="2015-07-15T00:00:00"/>
    <n v="18.5"/>
    <d v="2015-07-06T00:00:00"/>
    <m/>
    <m/>
    <m/>
    <m/>
    <m/>
    <m/>
    <x v="320"/>
    <m/>
    <n v="18.82"/>
    <d v="2015-07-06T00:00:00"/>
    <m/>
    <m/>
    <n v="13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3.944000000000003"/>
    <d v="2015-07-15T00:00:00"/>
    <m/>
    <m/>
    <m/>
    <m/>
    <n v="46.34"/>
    <d v="2015-07-15T00:00:00"/>
    <n v="22.148014068603516"/>
    <d v="2015-07-15T00:00:00"/>
    <n v="74.563000000000002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278"/>
    <s v="TOR"/>
    <x v="1"/>
    <x v="3"/>
    <n v="109"/>
    <n v="22"/>
    <n v="9"/>
    <m/>
    <m/>
    <m/>
    <m/>
    <n v="8"/>
    <m/>
    <n v="3.4"/>
    <d v="2015-07-06T00:00:00"/>
    <m/>
    <m/>
    <m/>
    <m/>
    <n v="9.36"/>
    <d v="2015-07-15T00:00:00"/>
    <n v="18.5"/>
    <d v="2015-07-06T00:00:00"/>
    <m/>
    <m/>
    <m/>
    <m/>
    <m/>
    <m/>
    <x v="321"/>
    <m/>
    <n v="18.82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2.857999999999997"/>
    <d v="2015-07-15T00:00:00"/>
    <m/>
    <m/>
    <m/>
    <m/>
    <n v="49.750526428222656"/>
    <d v="2015-07-15T00:00:00"/>
    <n v="18.013114929199219"/>
    <d v="2015-07-15T00:00:00"/>
    <n v="10.611000000000001"/>
    <d v="2015-07-15T00:00:00"/>
    <m/>
    <m/>
    <m/>
    <m/>
    <n v="8.6"/>
    <d v="2015-07-06T00:00:00"/>
    <m/>
    <m/>
    <m/>
    <m/>
    <m/>
    <m/>
    <m/>
    <n v="5"/>
    <d v="2015-06-25T00:00:00"/>
    <s v="VALIDE"/>
  </r>
  <r>
    <s v="RAPSO_430"/>
    <s v="RANGI "/>
    <x v="0"/>
    <x v="2"/>
    <n v="122"/>
    <n v="3"/>
    <n v="18"/>
    <m/>
    <m/>
    <m/>
    <m/>
    <n v="7"/>
    <m/>
    <n v="3.33"/>
    <d v="2015-07-06T00:00:00"/>
    <m/>
    <m/>
    <m/>
    <m/>
    <n v="9.36"/>
    <d v="2015-07-15T00:00:00"/>
    <n v="18.5"/>
    <d v="2015-07-06T00:00:00"/>
    <m/>
    <m/>
    <m/>
    <m/>
    <m/>
    <m/>
    <x v="322"/>
    <m/>
    <n v="18.850000000000001"/>
    <d v="2015-07-06T00:00:00"/>
    <m/>
    <m/>
    <n v="170"/>
    <m/>
    <m/>
    <m/>
    <n v="107"/>
    <m/>
    <m/>
    <m/>
    <m/>
    <m/>
    <m/>
    <m/>
    <m/>
    <m/>
    <m/>
    <m/>
    <m/>
    <m/>
    <n v="3"/>
    <m/>
    <m/>
    <m/>
    <m/>
    <m/>
    <m/>
    <m/>
    <m/>
    <m/>
    <m/>
    <m/>
    <n v="62.277000000000001"/>
    <d v="2015-07-15T00:00:00"/>
    <m/>
    <m/>
    <m/>
    <m/>
    <n v="49.639503479003906"/>
    <d v="2015-07-15T00:00:00"/>
    <n v="18.240669250488281"/>
    <d v="2015-07-15T00:00:00"/>
    <n v="66.694000000000003"/>
    <d v="2015-07-15T00:00:00"/>
    <m/>
    <m/>
    <m/>
    <m/>
    <n v="6.5"/>
    <d v="2015-07-06T00:00:00"/>
    <m/>
    <m/>
    <m/>
    <m/>
    <m/>
    <m/>
    <m/>
    <n v="3"/>
    <d v="2015-06-25T00:00:00"/>
    <s v="VALIDE"/>
  </r>
  <r>
    <s v="RAPSO_035"/>
    <s v="Nain de Hambourg"/>
    <x v="1"/>
    <x v="1"/>
    <n v="11"/>
    <n v="13"/>
    <n v="1"/>
    <m/>
    <m/>
    <m/>
    <m/>
    <n v="8"/>
    <m/>
    <n v="3.4"/>
    <d v="2015-07-06T00:00:00"/>
    <m/>
    <m/>
    <m/>
    <m/>
    <n v="9.1300000000000008"/>
    <d v="2015-07-15T00:00:00"/>
    <n v="18.5"/>
    <d v="2015-07-06T00:00:00"/>
    <m/>
    <m/>
    <m/>
    <m/>
    <m/>
    <m/>
    <x v="323"/>
    <m/>
    <n v="18.940000000000001"/>
    <d v="2015-07-06T00:00:00"/>
    <m/>
    <m/>
    <n v="9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578999999999994"/>
    <d v="2015-07-15T00:00:00"/>
    <m/>
    <m/>
    <m/>
    <m/>
    <n v="48.185066223144531"/>
    <d v="2015-07-15T00:00:00"/>
    <n v="22.309637069702148"/>
    <d v="2015-07-15T00:00:00"/>
    <n v="72.994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098"/>
    <s v="Korina"/>
    <x v="1"/>
    <x v="1"/>
    <n v="9"/>
    <m/>
    <m/>
    <n v="13"/>
    <n v="3"/>
    <m/>
    <m/>
    <n v="9"/>
    <m/>
    <n v="3.41"/>
    <d v="2015-07-06T00:00:00"/>
    <m/>
    <m/>
    <m/>
    <m/>
    <n v="9.59"/>
    <d v="2015-07-15T00:00:00"/>
    <n v="18.5"/>
    <d v="2015-07-06T00:00:00"/>
    <m/>
    <m/>
    <m/>
    <m/>
    <m/>
    <m/>
    <x v="324"/>
    <m/>
    <n v="19.02"/>
    <d v="2015-07-06T00:00:00"/>
    <m/>
    <m/>
    <n v="12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1.271000000000001"/>
    <d v="2015-07-15T00:00:00"/>
    <m/>
    <m/>
    <m/>
    <m/>
    <n v="50.42"/>
    <d v="2015-07-15T00:00:00"/>
    <n v="19.89177131652832"/>
    <d v="2015-07-15T00:00:00"/>
    <n v="61.253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220"/>
    <s v="Liberator"/>
    <x v="1"/>
    <x v="1"/>
    <n v="79"/>
    <n v="16"/>
    <n v="25"/>
    <m/>
    <m/>
    <m/>
    <m/>
    <n v="1"/>
    <m/>
    <n v="3.39"/>
    <d v="2015-07-06T00:00:00"/>
    <m/>
    <m/>
    <m/>
    <m/>
    <n v="9.1999999999999993"/>
    <d v="2015-07-15T00:00:00"/>
    <n v="18.5"/>
    <d v="2015-07-06T00:00:00"/>
    <m/>
    <m/>
    <m/>
    <m/>
    <m/>
    <m/>
    <x v="325"/>
    <m/>
    <n v="18.666646866646865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234999999999999"/>
    <d v="2015-07-15T00:00:00"/>
    <m/>
    <m/>
    <m/>
    <m/>
    <n v="48.358314514160156"/>
    <d v="2015-07-15T00:00:00"/>
    <n v="18.96318244934082"/>
    <d v="2015-07-15T00:00:00"/>
    <n v="21.245999999999999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017"/>
    <s v="Gross Luzewiter"/>
    <x v="0"/>
    <x v="2"/>
    <n v="4"/>
    <m/>
    <m/>
    <n v="6"/>
    <n v="4"/>
    <m/>
    <m/>
    <n v="9"/>
    <m/>
    <n v="3.39"/>
    <d v="2015-07-06T00:00:00"/>
    <m/>
    <m/>
    <m/>
    <m/>
    <n v="9.27"/>
    <d v="2015-07-15T00:00:00"/>
    <n v="18.5"/>
    <d v="2015-07-06T00:00:00"/>
    <m/>
    <m/>
    <m/>
    <m/>
    <m/>
    <m/>
    <x v="326"/>
    <m/>
    <n v="19.05"/>
    <d v="2015-07-06T00:00:00"/>
    <m/>
    <m/>
    <n v="145"/>
    <m/>
    <m/>
    <m/>
    <n v="95"/>
    <m/>
    <m/>
    <m/>
    <m/>
    <m/>
    <m/>
    <m/>
    <m/>
    <m/>
    <m/>
    <m/>
    <m/>
    <m/>
    <n v="5"/>
    <m/>
    <m/>
    <m/>
    <m/>
    <m/>
    <m/>
    <m/>
    <m/>
    <m/>
    <m/>
    <m/>
    <n v="65.652000000000001"/>
    <d v="2015-07-15T00:00:00"/>
    <m/>
    <m/>
    <m/>
    <m/>
    <n v="48.65"/>
    <d v="2015-07-15T00:00:00"/>
    <n v="20.62775993347168"/>
    <d v="2015-07-15T00:00:00"/>
    <n v="60.414999999999999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125"/>
    <s v="WIRA"/>
    <x v="0"/>
    <x v="0"/>
    <n v="12"/>
    <m/>
    <m/>
    <n v="7"/>
    <n v="4"/>
    <m/>
    <m/>
    <n v="8"/>
    <m/>
    <n v="3.4"/>
    <d v="2015-07-06T00:00:00"/>
    <m/>
    <m/>
    <m/>
    <m/>
    <n v="9.49"/>
    <d v="2015-07-15T00:00:00"/>
    <n v="18.5"/>
    <d v="2015-07-06T00:00:00"/>
    <m/>
    <m/>
    <m/>
    <m/>
    <m/>
    <m/>
    <x v="327"/>
    <m/>
    <n v="19.11"/>
    <d v="2015-07-06T00:00:00"/>
    <m/>
    <m/>
    <n v="15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2.421999999999997"/>
    <d v="2015-07-15T00:00:00"/>
    <m/>
    <m/>
    <m/>
    <m/>
    <n v="49.65"/>
    <d v="2015-07-15T00:00:00"/>
    <n v="20.951807022094727"/>
    <d v="2015-07-15T00:00:00"/>
    <n v="70.143000000000001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243"/>
    <s v="Montego"/>
    <x v="1"/>
    <x v="1"/>
    <n v="89"/>
    <n v="14"/>
    <n v="29"/>
    <m/>
    <m/>
    <m/>
    <m/>
    <n v="5"/>
    <m/>
    <n v="3.41"/>
    <d v="2015-07-06T00:00:00"/>
    <m/>
    <m/>
    <m/>
    <m/>
    <n v="9.89"/>
    <d v="2015-07-15T00:00:00"/>
    <n v="18.5"/>
    <d v="2015-07-06T00:00:00"/>
    <m/>
    <m/>
    <m/>
    <m/>
    <m/>
    <m/>
    <x v="328"/>
    <m/>
    <n v="19.2"/>
    <d v="2015-07-06T00:00:00"/>
    <m/>
    <m/>
    <n v="9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944999999999993"/>
    <d v="2015-07-15T00:00:00"/>
    <m/>
    <m/>
    <m/>
    <m/>
    <n v="51.488449096679688"/>
    <d v="2015-07-15T00:00:00"/>
    <n v="17.475532531738281"/>
    <d v="2015-07-15T00:00:00"/>
    <n v="11.699"/>
    <d v="2015-07-15T00:00:00"/>
    <m/>
    <m/>
    <m/>
    <m/>
    <n v="7"/>
    <d v="2015-07-06T00:00:00"/>
    <m/>
    <m/>
    <m/>
    <m/>
    <m/>
    <m/>
    <m/>
    <n v="7"/>
    <d v="2015-06-25T00:00:00"/>
    <s v="VALIDE"/>
  </r>
  <r>
    <s v="RAPSO_193"/>
    <s v="Express"/>
    <x v="1"/>
    <x v="1"/>
    <n v="68"/>
    <n v="16"/>
    <n v="7"/>
    <m/>
    <m/>
    <m/>
    <m/>
    <n v="3"/>
    <m/>
    <n v="3.46"/>
    <d v="2015-07-06T00:00:00"/>
    <m/>
    <m/>
    <m/>
    <m/>
    <n v="9.69"/>
    <d v="2015-07-15T00:00:00"/>
    <n v="18.5"/>
    <d v="2015-07-06T00:00:00"/>
    <m/>
    <m/>
    <m/>
    <m/>
    <m/>
    <m/>
    <x v="329"/>
    <m/>
    <n v="19.32"/>
    <d v="2015-07-06T00:00:00"/>
    <m/>
    <m/>
    <n v="9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6.459999999999994"/>
    <d v="2015-07-15T00:00:00"/>
    <m/>
    <m/>
    <m/>
    <m/>
    <n v="50.129547119140625"/>
    <d v="2015-07-15T00:00:00"/>
    <n v="17.997940063476562"/>
    <d v="2015-07-15T00:00:00"/>
    <n v="22.260999999999999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203"/>
    <s v="Grizzly"/>
    <x v="1"/>
    <x v="1"/>
    <n v="71"/>
    <n v="15"/>
    <n v="19"/>
    <m/>
    <m/>
    <m/>
    <m/>
    <n v="3"/>
    <m/>
    <n v="3.44"/>
    <d v="2015-07-06T00:00:00"/>
    <m/>
    <m/>
    <m/>
    <m/>
    <n v="9.58"/>
    <d v="2015-07-15T00:00:00"/>
    <n v="18.5"/>
    <d v="2015-07-06T00:00:00"/>
    <m/>
    <m/>
    <m/>
    <m/>
    <m/>
    <m/>
    <x v="330"/>
    <m/>
    <n v="19.329999999999998"/>
    <d v="2015-07-06T00:00:00"/>
    <m/>
    <m/>
    <n v="11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945999999999998"/>
    <d v="2015-07-15T00:00:00"/>
    <m/>
    <m/>
    <m/>
    <m/>
    <n v="49.548267364501953"/>
    <d v="2015-07-15T00:00:00"/>
    <n v="17.628580093383789"/>
    <d v="2015-07-15T00:00:00"/>
    <n v="19.155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122"/>
    <s v="Start"/>
    <x v="1"/>
    <x v="3"/>
    <n v="37"/>
    <n v="23"/>
    <n v="30"/>
    <m/>
    <m/>
    <m/>
    <m/>
    <n v="3"/>
    <m/>
    <n v="3.43"/>
    <d v="2015-07-06T00:00:00"/>
    <m/>
    <m/>
    <m/>
    <m/>
    <n v="9.59"/>
    <d v="2015-07-15T00:00:00"/>
    <n v="18.5"/>
    <d v="2015-07-06T00:00:00"/>
    <m/>
    <m/>
    <m/>
    <m/>
    <m/>
    <m/>
    <x v="331"/>
    <m/>
    <n v="19.34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570999999999998"/>
    <d v="2015-07-15T00:00:00"/>
    <m/>
    <m/>
    <m/>
    <m/>
    <n v="49.589317321777344"/>
    <d v="2015-07-15T00:00:00"/>
    <n v="18.741632461547852"/>
    <d v="2015-07-15T00:00:00"/>
    <n v="24.004999999999999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207"/>
    <s v="Ibex"/>
    <x v="1"/>
    <x v="1"/>
    <n v="72"/>
    <n v="17"/>
    <n v="32"/>
    <m/>
    <m/>
    <m/>
    <m/>
    <n v="3"/>
    <m/>
    <n v="3.44"/>
    <d v="2015-07-06T00:00:00"/>
    <m/>
    <m/>
    <m/>
    <m/>
    <n v="9.9600000000000009"/>
    <d v="2015-07-15T00:00:00"/>
    <n v="18.5"/>
    <d v="2015-07-06T00:00:00"/>
    <m/>
    <m/>
    <m/>
    <m/>
    <m/>
    <m/>
    <x v="332"/>
    <m/>
    <n v="19.350000000000001"/>
    <d v="2015-07-06T00:00:00"/>
    <m/>
    <m/>
    <n v="11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486999999999995"/>
    <d v="2015-07-15T00:00:00"/>
    <m/>
    <m/>
    <m/>
    <m/>
    <n v="51.473350524902344"/>
    <d v="2015-07-15T00:00:00"/>
    <n v="18.318721771240234"/>
    <d v="2015-07-15T00:00:00"/>
    <n v="18.033999999999999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115"/>
    <s v="Rafal"/>
    <x v="1"/>
    <x v="1"/>
    <n v="36"/>
    <n v="17"/>
    <n v="20"/>
    <m/>
    <m/>
    <m/>
    <m/>
    <n v="8"/>
    <m/>
    <n v="3.46"/>
    <d v="2015-07-06T00:00:00"/>
    <m/>
    <m/>
    <m/>
    <m/>
    <n v="8.91"/>
    <d v="2015-07-15T00:00:00"/>
    <n v="18.5"/>
    <d v="2015-07-06T00:00:00"/>
    <m/>
    <m/>
    <m/>
    <m/>
    <m/>
    <m/>
    <x v="333"/>
    <m/>
    <n v="19.36"/>
    <d v="2015-07-06T00:00:00"/>
    <m/>
    <m/>
    <n v="12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3.673000000000002"/>
    <d v="2015-07-15T00:00:00"/>
    <m/>
    <m/>
    <m/>
    <m/>
    <n v="46.018836975097656"/>
    <d v="2015-07-15T00:00:00"/>
    <n v="19.717830657958984"/>
    <d v="2015-07-15T00:00:00"/>
    <n v="58.865000000000002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437"/>
    <s v="SNITYNSKYI "/>
    <x v="0"/>
    <x v="0"/>
    <n v="21"/>
    <m/>
    <m/>
    <n v="7"/>
    <n v="2"/>
    <m/>
    <m/>
    <n v="6"/>
    <m/>
    <n v="3.46"/>
    <d v="2015-07-06T00:00:00"/>
    <m/>
    <m/>
    <m/>
    <m/>
    <n v="9.74"/>
    <d v="2015-07-15T00:00:00"/>
    <n v="18.5"/>
    <d v="2015-07-06T00:00:00"/>
    <m/>
    <m/>
    <m/>
    <m/>
    <m/>
    <m/>
    <x v="334"/>
    <m/>
    <n v="19.38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48"/>
    <d v="2015-07-15T00:00:00"/>
    <m/>
    <m/>
    <m/>
    <m/>
    <n v="50.27"/>
    <d v="2015-07-15T00:00:00"/>
    <n v="19.456302642822266"/>
    <d v="2015-07-15T00:00:00"/>
    <n v="65.903000000000006"/>
    <d v="2015-07-15T00:00:00"/>
    <m/>
    <m/>
    <m/>
    <m/>
    <n v="7.5"/>
    <d v="2015-07-06T00:00:00"/>
    <m/>
    <m/>
    <m/>
    <m/>
    <m/>
    <m/>
    <m/>
    <n v="5"/>
    <d v="2015-06-25T00:00:00"/>
    <s v="VALIDE"/>
  </r>
  <r>
    <s v="Montego"/>
    <s v="Montego"/>
    <x v="1"/>
    <x v="1"/>
    <n v="188"/>
    <n v="18"/>
    <n v="10"/>
    <m/>
    <m/>
    <m/>
    <m/>
    <n v="5"/>
    <m/>
    <n v="3.49"/>
    <d v="2015-07-06T00:00:00"/>
    <m/>
    <m/>
    <m/>
    <m/>
    <n v="9.8800000000000008"/>
    <d v="2015-07-15T00:00:00"/>
    <n v="18.5"/>
    <d v="2015-07-06T00:00:00"/>
    <m/>
    <m/>
    <m/>
    <m/>
    <m/>
    <m/>
    <x v="335"/>
    <m/>
    <n v="19.420000000000002"/>
    <d v="2015-07-06T00:00:00"/>
    <m/>
    <m/>
    <n v="10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864000000000004"/>
    <d v="2015-07-15T00:00:00"/>
    <m/>
    <m/>
    <m/>
    <m/>
    <n v="50.865684509277344"/>
    <d v="2015-07-15T00:00:00"/>
    <n v="18.169229507446289"/>
    <d v="2015-07-15T00:00:00"/>
    <n v="15.26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144"/>
    <s v="Bellini"/>
    <x v="1"/>
    <x v="1"/>
    <n v="47"/>
    <n v="17"/>
    <n v="12"/>
    <m/>
    <m/>
    <m/>
    <m/>
    <n v="7"/>
    <m/>
    <n v="3.54"/>
    <d v="2015-07-06T00:00:00"/>
    <m/>
    <m/>
    <m/>
    <m/>
    <n v="9.93"/>
    <d v="2015-07-15T00:00:00"/>
    <n v="18.5"/>
    <d v="2015-07-06T00:00:00"/>
    <m/>
    <m/>
    <m/>
    <m/>
    <m/>
    <m/>
    <x v="336"/>
    <m/>
    <n v="19.46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966000000000001"/>
    <d v="2015-07-15T00:00:00"/>
    <m/>
    <m/>
    <m/>
    <m/>
    <n v="51.053047180175781"/>
    <d v="2015-07-15T00:00:00"/>
    <n v="17.282524108886719"/>
    <d v="2015-07-15T00:00:00"/>
    <n v="18.398"/>
    <d v="2015-07-15T00:00:00"/>
    <m/>
    <m/>
    <m/>
    <m/>
    <n v="9.1999999999999993"/>
    <d v="2015-07-06T00:00:00"/>
    <m/>
    <m/>
    <m/>
    <m/>
    <m/>
    <m/>
    <m/>
    <n v="3"/>
    <d v="2015-06-25T00:00:00"/>
    <s v="VALIDE"/>
  </r>
  <r>
    <s v="RAPSO_015"/>
    <s v="Gorczanski"/>
    <x v="1"/>
    <x v="3"/>
    <n v="3"/>
    <m/>
    <m/>
    <n v="20"/>
    <n v="3"/>
    <m/>
    <m/>
    <n v="9"/>
    <m/>
    <n v="3.5"/>
    <d v="2015-07-06T00:00:00"/>
    <m/>
    <m/>
    <m/>
    <m/>
    <n v="9.64"/>
    <d v="2015-07-15T00:00:00"/>
    <n v="18.5"/>
    <d v="2015-07-06T00:00:00"/>
    <m/>
    <m/>
    <m/>
    <m/>
    <m/>
    <m/>
    <x v="337"/>
    <m/>
    <n v="19.5"/>
    <d v="2015-07-06T00:00:00"/>
    <m/>
    <m/>
    <n v="130"/>
    <m/>
    <m/>
    <m/>
    <n v="95"/>
    <m/>
    <m/>
    <m/>
    <m/>
    <m/>
    <m/>
    <m/>
    <m/>
    <m/>
    <m/>
    <m/>
    <m/>
    <m/>
    <n v="3"/>
    <m/>
    <m/>
    <m/>
    <m/>
    <m/>
    <m/>
    <m/>
    <m/>
    <m/>
    <m/>
    <m/>
    <n v="65.456000000000003"/>
    <d v="2015-07-15T00:00:00"/>
    <m/>
    <m/>
    <m/>
    <m/>
    <n v="49.46"/>
    <d v="2015-07-15T00:00:00"/>
    <n v="19.66253662109375"/>
    <d v="2015-07-15T00:00:00"/>
    <n v="66.073999999999998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437"/>
    <s v="SNITYNSKYI "/>
    <x v="0"/>
    <x v="2"/>
    <n v="21"/>
    <m/>
    <m/>
    <n v="4"/>
    <n v="3"/>
    <m/>
    <m/>
    <n v="8"/>
    <m/>
    <n v="3.5"/>
    <d v="2015-07-06T00:00:00"/>
    <m/>
    <m/>
    <m/>
    <m/>
    <n v="9.5299999999999994"/>
    <d v="2015-07-15T00:00:00"/>
    <n v="18.5"/>
    <d v="2015-07-06T00:00:00"/>
    <m/>
    <m/>
    <m/>
    <m/>
    <m/>
    <m/>
    <x v="338"/>
    <m/>
    <n v="19.52"/>
    <d v="2015-07-06T00:00:00"/>
    <m/>
    <m/>
    <n v="14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5.052999999999997"/>
    <d v="2015-07-15T00:00:00"/>
    <m/>
    <m/>
    <m/>
    <m/>
    <n v="48.82"/>
    <d v="2015-07-15T00:00:00"/>
    <n v="20.507238388061523"/>
    <d v="2015-07-15T00:00:00"/>
    <n v="68.131"/>
    <d v="2015-07-15T00:00:00"/>
    <m/>
    <m/>
    <m/>
    <m/>
    <n v="7.9"/>
    <d v="2015-07-06T00:00:00"/>
    <m/>
    <m/>
    <m/>
    <m/>
    <m/>
    <m/>
    <m/>
    <n v="7"/>
    <d v="2015-06-25T00:00:00"/>
    <s v="VALIDE"/>
  </r>
  <r>
    <s v="RAPSO_098"/>
    <s v="Korina"/>
    <x v="1"/>
    <x v="3"/>
    <n v="9"/>
    <m/>
    <m/>
    <n v="23"/>
    <n v="2"/>
    <m/>
    <m/>
    <n v="8"/>
    <m/>
    <n v="3.5"/>
    <d v="2015-07-06T00:00:00"/>
    <m/>
    <m/>
    <m/>
    <m/>
    <n v="9.76"/>
    <d v="2015-07-15T00:00:00"/>
    <n v="18.5"/>
    <d v="2015-07-06T00:00:00"/>
    <m/>
    <m/>
    <m/>
    <m/>
    <m/>
    <m/>
    <x v="339"/>
    <m/>
    <n v="19.54"/>
    <d v="2015-07-06T00:00:00"/>
    <m/>
    <m/>
    <n v="135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1.311999999999998"/>
    <d v="2015-07-15T00:00:00"/>
    <m/>
    <m/>
    <m/>
    <m/>
    <n v="49.95"/>
    <d v="2015-07-15T00:00:00"/>
    <n v="19.905237197875977"/>
    <d v="2015-07-15T00:00:00"/>
    <n v="56.023000000000003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259"/>
    <s v="Prince"/>
    <x v="0"/>
    <x v="2"/>
    <n v="98"/>
    <n v="6"/>
    <n v="31"/>
    <m/>
    <m/>
    <m/>
    <m/>
    <n v="5"/>
    <m/>
    <n v="3.48"/>
    <d v="2015-07-06T00:00:00"/>
    <m/>
    <m/>
    <m/>
    <m/>
    <n v="10.34"/>
    <d v="2015-07-15T00:00:00"/>
    <n v="18.5"/>
    <d v="2015-07-06T00:00:00"/>
    <m/>
    <m/>
    <m/>
    <m/>
    <m/>
    <m/>
    <x v="340"/>
    <m/>
    <n v="19.203564003564004"/>
    <d v="2015-07-06T00:00:00"/>
    <m/>
    <m/>
    <n v="13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484000000000002"/>
    <d v="2015-07-15T00:00:00"/>
    <m/>
    <m/>
    <m/>
    <m/>
    <n v="52.826065063476563"/>
    <d v="2015-07-15T00:00:00"/>
    <n v="16.165929794311523"/>
    <d v="2015-07-15T00:00:00"/>
    <n v="15.154999999999999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75"/>
    <s v="CETMEKI "/>
    <x v="0"/>
    <x v="2"/>
    <n v="118"/>
    <n v="2"/>
    <n v="16"/>
    <m/>
    <m/>
    <m/>
    <m/>
    <n v="9"/>
    <m/>
    <n v="3.48"/>
    <d v="2015-07-06T00:00:00"/>
    <m/>
    <m/>
    <m/>
    <m/>
    <n v="9.6300000000000008"/>
    <d v="2015-07-15T00:00:00"/>
    <n v="18.5"/>
    <d v="2015-07-06T00:00:00"/>
    <m/>
    <m/>
    <m/>
    <m/>
    <m/>
    <m/>
    <x v="341"/>
    <m/>
    <n v="19.62"/>
    <d v="2015-07-06T00:00:00"/>
    <m/>
    <m/>
    <n v="150"/>
    <m/>
    <m/>
    <m/>
    <n v="105"/>
    <m/>
    <m/>
    <m/>
    <m/>
    <m/>
    <m/>
    <m/>
    <m/>
    <m/>
    <m/>
    <m/>
    <m/>
    <m/>
    <n v="3"/>
    <m/>
    <m/>
    <m/>
    <m/>
    <m/>
    <m/>
    <m/>
    <m/>
    <m/>
    <m/>
    <m/>
    <n v="64.790999999999997"/>
    <d v="2015-07-15T00:00:00"/>
    <m/>
    <m/>
    <m/>
    <m/>
    <n v="49.097099304199219"/>
    <d v="2015-07-15T00:00:00"/>
    <n v="18.286140441894531"/>
    <d v="2015-07-15T00:00:00"/>
    <n v="44.933999999999997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263"/>
    <s v="Rocket"/>
    <x v="1"/>
    <x v="3"/>
    <n v="101"/>
    <n v="20"/>
    <n v="28"/>
    <m/>
    <m/>
    <m/>
    <m/>
    <n v="8"/>
    <m/>
    <n v="3.5"/>
    <d v="2015-07-06T00:00:00"/>
    <m/>
    <m/>
    <m/>
    <m/>
    <n v="9.65"/>
    <d v="2015-07-15T00:00:00"/>
    <n v="18.5"/>
    <d v="2015-07-06T00:00:00"/>
    <m/>
    <m/>
    <m/>
    <m/>
    <m/>
    <m/>
    <x v="342"/>
    <m/>
    <n v="19.670000000000002"/>
    <d v="2015-07-06T00:00:00"/>
    <m/>
    <m/>
    <n v="100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65.122"/>
    <d v="2015-07-15T00:00:00"/>
    <m/>
    <m/>
    <m/>
    <m/>
    <n v="49.047775268554688"/>
    <d v="2015-07-15T00:00:00"/>
    <n v="17.940196990966797"/>
    <d v="2015-07-15T00:00:00"/>
    <n v="20.905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122"/>
    <s v="Start"/>
    <x v="1"/>
    <x v="1"/>
    <n v="37"/>
    <n v="14"/>
    <n v="2"/>
    <m/>
    <m/>
    <m/>
    <m/>
    <n v="9"/>
    <m/>
    <n v="3.53"/>
    <d v="2015-07-06T00:00:00"/>
    <m/>
    <m/>
    <m/>
    <m/>
    <n v="9.17"/>
    <d v="2015-07-15T00:00:00"/>
    <n v="18.5"/>
    <d v="2015-07-06T00:00:00"/>
    <m/>
    <m/>
    <m/>
    <m/>
    <m/>
    <m/>
    <x v="343"/>
    <m/>
    <n v="19.690000000000001"/>
    <d v="2015-07-06T00:00:00"/>
    <m/>
    <m/>
    <n v="14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57.377000000000002"/>
    <d v="2015-07-15T00:00:00"/>
    <m/>
    <m/>
    <m/>
    <m/>
    <n v="46.5673828125"/>
    <d v="2015-07-15T00:00:00"/>
    <n v="20.906116485595703"/>
    <d v="2015-07-15T00:00:00"/>
    <n v="31.881"/>
    <d v="2015-07-15T00:00:00"/>
    <m/>
    <m/>
    <m/>
    <m/>
    <n v="7.9"/>
    <d v="2015-07-06T00:00:00"/>
    <m/>
    <m/>
    <m/>
    <m/>
    <m/>
    <m/>
    <m/>
    <n v="3"/>
    <d v="2015-06-25T00:00:00"/>
    <s v="VALIDE"/>
  </r>
  <r>
    <s v="RAPSO_002"/>
    <s v="Alsace 1360"/>
    <x v="1"/>
    <x v="3"/>
    <n v="1"/>
    <n v="23"/>
    <n v="12"/>
    <m/>
    <m/>
    <m/>
    <m/>
    <n v="9"/>
    <m/>
    <n v="3.51"/>
    <d v="2015-07-06T00:00:00"/>
    <m/>
    <m/>
    <m/>
    <m/>
    <n v="9.64"/>
    <d v="2015-07-15T00:00:00"/>
    <n v="18.5"/>
    <d v="2015-07-06T00:00:00"/>
    <m/>
    <m/>
    <m/>
    <m/>
    <m/>
    <m/>
    <x v="344"/>
    <m/>
    <n v="19.7"/>
    <d v="2015-07-06T00:00:00"/>
    <m/>
    <m/>
    <n v="12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4.581000000000003"/>
    <d v="2015-07-15T00:00:00"/>
    <m/>
    <m/>
    <m/>
    <m/>
    <n v="48.915985107421875"/>
    <d v="2015-07-15T00:00:00"/>
    <n v="18.964836120605469"/>
    <d v="2015-07-15T00:00:00"/>
    <n v="55.281999999999996"/>
    <d v="2015-07-15T00:00:00"/>
    <m/>
    <m/>
    <m/>
    <m/>
    <n v="7.3"/>
    <d v="2015-07-06T00:00:00"/>
    <m/>
    <m/>
    <m/>
    <m/>
    <m/>
    <m/>
    <m/>
    <n v="3"/>
    <d v="2015-06-25T00:00:00"/>
    <s v="VALIDE"/>
  </r>
  <r>
    <s v="BRA_011"/>
    <s v="Lembke"/>
    <x v="0"/>
    <x v="2"/>
    <n v="128"/>
    <n v="5"/>
    <n v="24"/>
    <m/>
    <m/>
    <m/>
    <m/>
    <n v="8"/>
    <m/>
    <n v="3.48"/>
    <d v="2015-07-06T00:00:00"/>
    <m/>
    <m/>
    <m/>
    <m/>
    <n v="10.57"/>
    <d v="2015-07-15T00:00:00"/>
    <n v="18.5"/>
    <d v="2015-07-06T00:00:00"/>
    <m/>
    <m/>
    <m/>
    <m/>
    <m/>
    <m/>
    <x v="345"/>
    <m/>
    <n v="19.7"/>
    <d v="2015-07-06T00:00:00"/>
    <m/>
    <m/>
    <n v="185"/>
    <m/>
    <m/>
    <m/>
    <n v="111"/>
    <m/>
    <m/>
    <m/>
    <m/>
    <m/>
    <m/>
    <m/>
    <m/>
    <m/>
    <m/>
    <m/>
    <m/>
    <m/>
    <n v="7"/>
    <m/>
    <m/>
    <m/>
    <m/>
    <m/>
    <m/>
    <m/>
    <m/>
    <m/>
    <m/>
    <m/>
    <n v="66.578000000000003"/>
    <d v="2015-07-15T00:00:00"/>
    <m/>
    <m/>
    <m/>
    <m/>
    <n v="53.657394409179688"/>
    <d v="2015-07-15T00:00:00"/>
    <n v="18.257802963256836"/>
    <d v="2015-07-15T00:00:00"/>
    <n v="55.301000000000002"/>
    <d v="2015-07-15T00:00:00"/>
    <m/>
    <m/>
    <m/>
    <m/>
    <n v="6.5"/>
    <d v="2015-07-06T00:00:00"/>
    <m/>
    <m/>
    <m/>
    <m/>
    <m/>
    <m/>
    <m/>
    <n v="5"/>
    <d v="2015-06-25T00:00:00"/>
    <s v="VALIDE"/>
  </r>
  <r>
    <s v="RAPSO_411"/>
    <s v="LJUBLANA "/>
    <x v="0"/>
    <x v="2"/>
    <n v="17"/>
    <m/>
    <m/>
    <n v="1"/>
    <n v="4"/>
    <m/>
    <m/>
    <n v="9"/>
    <m/>
    <n v="3.54"/>
    <d v="2015-07-06T00:00:00"/>
    <m/>
    <m/>
    <m/>
    <m/>
    <n v="9.6300000000000008"/>
    <d v="2015-07-15T00:00:00"/>
    <n v="18.5"/>
    <d v="2015-07-06T00:00:00"/>
    <m/>
    <m/>
    <m/>
    <m/>
    <m/>
    <m/>
    <x v="346"/>
    <m/>
    <n v="19.72"/>
    <d v="2015-07-06T00:00:00"/>
    <m/>
    <m/>
    <n v="15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4.19"/>
    <d v="2015-07-15T00:00:00"/>
    <m/>
    <m/>
    <m/>
    <m/>
    <n v="48.84"/>
    <d v="2015-07-15T00:00:00"/>
    <n v="18.870100021362305"/>
    <d v="2015-07-15T00:00:00"/>
    <n v="70.016999999999996"/>
    <d v="2015-07-15T00:00:00"/>
    <m/>
    <m/>
    <m/>
    <m/>
    <n v="8"/>
    <d v="2015-07-06T00:00:00"/>
    <m/>
    <m/>
    <m/>
    <m/>
    <m/>
    <m/>
    <m/>
    <n v="7"/>
    <d v="2015-06-25T00:00:00"/>
    <s v="VALIDE"/>
  </r>
  <r>
    <s v="RAPSO_265"/>
    <s v="Roxet"/>
    <x v="1"/>
    <x v="3"/>
    <n v="102"/>
    <n v="19"/>
    <n v="15"/>
    <m/>
    <m/>
    <m/>
    <m/>
    <n v="8"/>
    <m/>
    <n v="3.53"/>
    <d v="2015-07-06T00:00:00"/>
    <m/>
    <m/>
    <m/>
    <m/>
    <n v="10.14"/>
    <d v="2015-07-15T00:00:00"/>
    <n v="18.5"/>
    <d v="2015-07-06T00:00:00"/>
    <m/>
    <m/>
    <m/>
    <m/>
    <m/>
    <m/>
    <x v="347"/>
    <m/>
    <n v="19.75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82"/>
    <d v="2015-07-15T00:00:00"/>
    <m/>
    <m/>
    <m/>
    <m/>
    <n v="51.351051330566406"/>
    <d v="2015-07-15T00:00:00"/>
    <n v="17.224889755249023"/>
    <d v="2015-07-15T00:00:00"/>
    <n v="20.562999999999999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030"/>
    <s v="Matador"/>
    <x v="1"/>
    <x v="1"/>
    <n v="9"/>
    <n v="15"/>
    <n v="25"/>
    <m/>
    <m/>
    <m/>
    <m/>
    <n v="7"/>
    <m/>
    <n v="3.5"/>
    <d v="2015-07-06T00:00:00"/>
    <m/>
    <m/>
    <m/>
    <m/>
    <n v="9.52"/>
    <d v="2015-07-15T00:00:00"/>
    <n v="18.5"/>
    <d v="2015-07-06T00:00:00"/>
    <m/>
    <m/>
    <m/>
    <m/>
    <m/>
    <m/>
    <x v="348"/>
    <m/>
    <n v="19.75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6.959999999999994"/>
    <d v="2015-07-15T00:00:00"/>
    <m/>
    <m/>
    <m/>
    <m/>
    <n v="48.215938568115234"/>
    <d v="2015-07-15T00:00:00"/>
    <n v="19.994035720825195"/>
    <d v="2015-07-15T00:00:00"/>
    <n v="57.290999999999997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035"/>
    <s v="Nain de Hambourg"/>
    <x v="0"/>
    <x v="2"/>
    <n v="11"/>
    <n v="6"/>
    <n v="2"/>
    <m/>
    <m/>
    <m/>
    <m/>
    <n v="6"/>
    <m/>
    <n v="3.49"/>
    <d v="2015-07-06T00:00:00"/>
    <m/>
    <m/>
    <m/>
    <m/>
    <n v="9.84"/>
    <d v="2015-07-15T00:00:00"/>
    <n v="18.5"/>
    <d v="2015-07-06T00:00:00"/>
    <m/>
    <m/>
    <m/>
    <m/>
    <m/>
    <m/>
    <x v="349"/>
    <m/>
    <n v="19.383130383130382"/>
    <d v="2015-07-06T00:00:00"/>
    <m/>
    <m/>
    <n v="125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4.853999999999999"/>
    <d v="2015-07-15T00:00:00"/>
    <m/>
    <m/>
    <m/>
    <m/>
    <n v="49.778244018554688"/>
    <d v="2015-07-15T00:00:00"/>
    <n v="20.667369842529297"/>
    <d v="2015-07-15T00:00:00"/>
    <n v="64.92"/>
    <d v="2015-07-15T00:00:00"/>
    <m/>
    <m/>
    <m/>
    <m/>
    <n v="6.5"/>
    <d v="2015-07-06T00:00:00"/>
    <m/>
    <m/>
    <m/>
    <m/>
    <m/>
    <m/>
    <m/>
    <n v="1"/>
    <d v="2015-06-25T00:00:00"/>
    <s v="VALIDE"/>
  </r>
  <r>
    <s v="RAPSO_073"/>
    <s v="Belinda"/>
    <x v="1"/>
    <x v="1"/>
    <n v="25"/>
    <n v="17"/>
    <n v="15"/>
    <m/>
    <m/>
    <m/>
    <m/>
    <n v="3"/>
    <m/>
    <n v="3.58"/>
    <d v="2015-07-06T00:00:00"/>
    <m/>
    <m/>
    <m/>
    <m/>
    <n v="9.86"/>
    <d v="2015-07-15T00:00:00"/>
    <n v="18.5"/>
    <d v="2015-07-06T00:00:00"/>
    <m/>
    <m/>
    <m/>
    <m/>
    <m/>
    <m/>
    <x v="350"/>
    <m/>
    <n v="19.77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052"/>
    <d v="2015-07-15T00:00:00"/>
    <m/>
    <m/>
    <m/>
    <m/>
    <n v="49.849250793457031"/>
    <d v="2015-07-15T00:00:00"/>
    <n v="18.225994110107422"/>
    <d v="2015-07-15T00:00:00"/>
    <n v="58.567999999999998"/>
    <d v="2015-07-15T00:00:00"/>
    <m/>
    <m/>
    <m/>
    <m/>
    <n v="8.8000000000000007"/>
    <d v="2015-07-06T00:00:00"/>
    <m/>
    <m/>
    <m/>
    <m/>
    <m/>
    <m/>
    <m/>
    <n v="5"/>
    <d v="2015-06-25T00:00:00"/>
    <s v="VALIDE"/>
  </r>
  <r>
    <s v="RAPSO_178"/>
    <s v="Doublol"/>
    <x v="1"/>
    <x v="3"/>
    <n v="63"/>
    <n v="22"/>
    <n v="30"/>
    <m/>
    <m/>
    <m/>
    <m/>
    <n v="3"/>
    <m/>
    <n v="3.55"/>
    <d v="2015-07-06T00:00:00"/>
    <m/>
    <m/>
    <m/>
    <m/>
    <n v="10.050000000000001"/>
    <d v="2015-07-15T00:00:00"/>
    <n v="18.5"/>
    <d v="2015-07-06T00:00:00"/>
    <m/>
    <m/>
    <m/>
    <m/>
    <m/>
    <m/>
    <x v="351"/>
    <m/>
    <n v="19.91"/>
    <d v="2015-07-06T00:00:00"/>
    <m/>
    <m/>
    <n v="13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44"/>
    <d v="2015-07-15T00:00:00"/>
    <m/>
    <m/>
    <m/>
    <m/>
    <n v="50.459617614746094"/>
    <d v="2015-07-15T00:00:00"/>
    <n v="18.04356575012207"/>
    <d v="2015-07-15T00:00:00"/>
    <n v="13.476000000000001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072"/>
    <s v="Aztec"/>
    <x v="1"/>
    <x v="3"/>
    <n v="24"/>
    <n v="21"/>
    <n v="7"/>
    <m/>
    <m/>
    <m/>
    <m/>
    <n v="7"/>
    <m/>
    <n v="3.59"/>
    <d v="2015-07-06T00:00:00"/>
    <m/>
    <m/>
    <m/>
    <m/>
    <n v="9.6999999999999993"/>
    <d v="2015-07-15T00:00:00"/>
    <n v="18.5"/>
    <d v="2015-07-06T00:00:00"/>
    <m/>
    <m/>
    <m/>
    <m/>
    <m/>
    <m/>
    <x v="352"/>
    <m/>
    <n v="19.98"/>
    <d v="2015-07-06T00:00:00"/>
    <m/>
    <m/>
    <n v="13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5.927999999999997"/>
    <d v="2015-07-15T00:00:00"/>
    <m/>
    <m/>
    <m/>
    <m/>
    <n v="48.533248901367188"/>
    <d v="2015-07-15T00:00:00"/>
    <n v="20.275899887084961"/>
    <d v="2015-07-15T00:00:00"/>
    <n v="65.938000000000002"/>
    <d v="2015-07-15T00:00:00"/>
    <m/>
    <m/>
    <m/>
    <m/>
    <n v="8.1"/>
    <d v="2015-07-06T00:00:00"/>
    <m/>
    <m/>
    <m/>
    <m/>
    <m/>
    <m/>
    <m/>
    <n v="5"/>
    <d v="2015-06-25T00:00:00"/>
    <s v="VALIDE"/>
  </r>
  <r>
    <s v="RAPSO_008"/>
    <s v="Fertodi elit"/>
    <x v="0"/>
    <x v="2"/>
    <n v="2"/>
    <n v="2"/>
    <n v="30"/>
    <m/>
    <m/>
    <m/>
    <m/>
    <n v="9"/>
    <m/>
    <n v="3.54"/>
    <d v="2015-07-06T00:00:00"/>
    <m/>
    <m/>
    <m/>
    <m/>
    <n v="9.57"/>
    <d v="2015-07-15T00:00:00"/>
    <n v="18.5"/>
    <d v="2015-07-06T00:00:00"/>
    <m/>
    <m/>
    <m/>
    <m/>
    <m/>
    <m/>
    <x v="353"/>
    <m/>
    <n v="20"/>
    <d v="2015-07-06T00:00:00"/>
    <m/>
    <m/>
    <n v="17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638000000000005"/>
    <d v="2015-07-15T00:00:00"/>
    <m/>
    <m/>
    <m/>
    <m/>
    <n v="47.85284423828125"/>
    <d v="2015-07-15T00:00:00"/>
    <n v="19.939857482910156"/>
    <d v="2015-07-15T00:00:00"/>
    <n v="62.515000000000001"/>
    <d v="2015-07-15T00:00:00"/>
    <m/>
    <m/>
    <m/>
    <m/>
    <n v="6.7"/>
    <d v="2015-07-06T00:00:00"/>
    <m/>
    <m/>
    <m/>
    <m/>
    <m/>
    <m/>
    <m/>
    <n v="5"/>
    <d v="2015-06-25T00:00:00"/>
    <s v="VALIDE"/>
  </r>
  <r>
    <s v="RAPSO_171"/>
    <s v="Colvert"/>
    <x v="1"/>
    <x v="3"/>
    <n v="59"/>
    <n v="23"/>
    <n v="14"/>
    <m/>
    <m/>
    <m/>
    <m/>
    <n v="5"/>
    <m/>
    <n v="3.59"/>
    <d v="2015-07-06T00:00:00"/>
    <m/>
    <m/>
    <m/>
    <m/>
    <n v="9.81"/>
    <d v="2015-07-15T00:00:00"/>
    <n v="18.5"/>
    <d v="2015-07-06T00:00:00"/>
    <m/>
    <m/>
    <m/>
    <m/>
    <m/>
    <m/>
    <x v="354"/>
    <m/>
    <n v="20.04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835000000000001"/>
    <d v="2015-07-15T00:00:00"/>
    <m/>
    <m/>
    <m/>
    <m/>
    <n v="48.956398010253906"/>
    <d v="2015-07-15T00:00:00"/>
    <n v="18.853052139282227"/>
    <d v="2015-07-15T00:00:00"/>
    <n v="18.568000000000001"/>
    <d v="2015-07-15T00:00:00"/>
    <m/>
    <m/>
    <m/>
    <m/>
    <n v="7.8"/>
    <d v="2015-07-06T00:00:00"/>
    <m/>
    <m/>
    <m/>
    <m/>
    <m/>
    <m/>
    <m/>
    <n v="3"/>
    <d v="2015-06-25T00:00:00"/>
    <s v="VALIDE"/>
  </r>
  <r>
    <s v="RAPSO_259"/>
    <s v="Prince"/>
    <x v="1"/>
    <x v="3"/>
    <n v="98"/>
    <n v="21"/>
    <n v="32"/>
    <m/>
    <m/>
    <m/>
    <m/>
    <n v="9"/>
    <m/>
    <n v="3.59"/>
    <d v="2015-07-06T00:00:00"/>
    <m/>
    <m/>
    <m/>
    <m/>
    <n v="10.42"/>
    <d v="2015-07-15T00:00:00"/>
    <n v="18.5"/>
    <d v="2015-07-06T00:00:00"/>
    <m/>
    <m/>
    <m/>
    <m/>
    <m/>
    <m/>
    <x v="355"/>
    <m/>
    <n v="20.2"/>
    <d v="2015-07-06T00:00:00"/>
    <m/>
    <m/>
    <n v="11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929000000000002"/>
    <d v="2015-07-15T00:00:00"/>
    <m/>
    <m/>
    <m/>
    <m/>
    <n v="51.599990844726562"/>
    <d v="2015-07-15T00:00:00"/>
    <n v="16.512510299682617"/>
    <d v="2015-07-15T00:00:00"/>
    <n v="21.17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002"/>
    <s v="Alsace 1360"/>
    <x v="0"/>
    <x v="2"/>
    <n v="1"/>
    <n v="6"/>
    <n v="21"/>
    <m/>
    <m/>
    <m/>
    <m/>
    <n v="9"/>
    <m/>
    <n v="3.56"/>
    <d v="2015-07-06T00:00:00"/>
    <m/>
    <m/>
    <m/>
    <m/>
    <n v="9.64"/>
    <d v="2015-07-15T00:00:00"/>
    <n v="18.5"/>
    <d v="2015-07-06T00:00:00"/>
    <m/>
    <m/>
    <m/>
    <m/>
    <m/>
    <m/>
    <x v="356"/>
    <m/>
    <n v="20.22"/>
    <d v="2015-07-06T00:00:00"/>
    <m/>
    <m/>
    <n v="120"/>
    <m/>
    <m/>
    <m/>
    <n v="107"/>
    <m/>
    <m/>
    <m/>
    <m/>
    <m/>
    <m/>
    <m/>
    <m/>
    <m/>
    <m/>
    <m/>
    <m/>
    <m/>
    <n v="3"/>
    <m/>
    <m/>
    <m/>
    <m/>
    <m/>
    <m/>
    <m/>
    <m/>
    <m/>
    <m/>
    <m/>
    <n v="65.38"/>
    <d v="2015-07-15T00:00:00"/>
    <m/>
    <m/>
    <m/>
    <m/>
    <n v="47.685100555419922"/>
    <d v="2015-07-15T00:00:00"/>
    <n v="19.501703262329102"/>
    <d v="2015-07-15T00:00:00"/>
    <n v="54.993000000000002"/>
    <d v="2015-07-15T00:00:00"/>
    <m/>
    <m/>
    <m/>
    <m/>
    <n v="6.2"/>
    <d v="2015-07-06T00:00:00"/>
    <m/>
    <m/>
    <m/>
    <m/>
    <m/>
    <m/>
    <m/>
    <n v="5"/>
    <d v="2015-06-25T00:00:00"/>
    <s v="VALIDE"/>
  </r>
  <r>
    <s v="RAPSO_064"/>
    <s v="Victor"/>
    <x v="0"/>
    <x v="0"/>
    <n v="6"/>
    <m/>
    <m/>
    <n v="11"/>
    <n v="3"/>
    <m/>
    <m/>
    <n v="8"/>
    <m/>
    <n v="3.62"/>
    <d v="2015-07-06T00:00:00"/>
    <m/>
    <m/>
    <m/>
    <m/>
    <n v="9.9600000000000009"/>
    <d v="2015-07-15T00:00:00"/>
    <n v="18.5"/>
    <d v="2015-07-06T00:00:00"/>
    <m/>
    <m/>
    <m/>
    <m/>
    <m/>
    <m/>
    <x v="357"/>
    <m/>
    <n v="20.32"/>
    <d v="2015-07-06T00:00:00"/>
    <m/>
    <m/>
    <n v="13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5.376999999999995"/>
    <d v="2015-07-15T00:00:00"/>
    <m/>
    <m/>
    <m/>
    <m/>
    <n v="49.03"/>
    <d v="2015-07-15T00:00:00"/>
    <n v="19.997556686401367"/>
    <d v="2015-07-15T00:00:00"/>
    <n v="83.227999999999994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402"/>
    <s v="KOMBI "/>
    <x v="0"/>
    <x v="0"/>
    <n v="16"/>
    <m/>
    <m/>
    <n v="12"/>
    <n v="3"/>
    <m/>
    <m/>
    <n v="8"/>
    <m/>
    <n v="3.65"/>
    <d v="2015-07-06T00:00:00"/>
    <m/>
    <m/>
    <m/>
    <m/>
    <n v="9.69"/>
    <d v="2015-07-15T00:00:00"/>
    <n v="18.5"/>
    <d v="2015-07-06T00:00:00"/>
    <m/>
    <m/>
    <m/>
    <m/>
    <m/>
    <m/>
    <x v="358"/>
    <m/>
    <n v="20.38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6.049000000000007"/>
    <d v="2015-07-15T00:00:00"/>
    <m/>
    <m/>
    <m/>
    <m/>
    <n v="47.53"/>
    <d v="2015-07-15T00:00:00"/>
    <n v="20.697044372558594"/>
    <d v="2015-07-15T00:00:00"/>
    <n v="78.415999999999997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041"/>
    <s v="Orléans"/>
    <x v="1"/>
    <x v="1"/>
    <n v="14"/>
    <n v="14"/>
    <n v="5"/>
    <m/>
    <m/>
    <m/>
    <m/>
    <n v="9"/>
    <m/>
    <n v="3.66"/>
    <d v="2015-07-06T00:00:00"/>
    <m/>
    <m/>
    <m/>
    <m/>
    <n v="9.94"/>
    <d v="2015-07-15T00:00:00"/>
    <n v="18.5"/>
    <d v="2015-07-06T00:00:00"/>
    <m/>
    <m/>
    <m/>
    <m/>
    <m/>
    <m/>
    <x v="359"/>
    <m/>
    <n v="20.39"/>
    <d v="2015-07-06T00:00:00"/>
    <m/>
    <m/>
    <n v="12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4.596000000000004"/>
    <d v="2015-07-15T00:00:00"/>
    <m/>
    <m/>
    <m/>
    <m/>
    <n v="48.736087799072266"/>
    <d v="2015-07-15T00:00:00"/>
    <n v="19.724573135375977"/>
    <d v="2015-07-15T00:00:00"/>
    <n v="51.847999999999999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213"/>
    <s v="Jetton"/>
    <x v="1"/>
    <x v="1"/>
    <n v="75"/>
    <n v="17"/>
    <n v="2"/>
    <m/>
    <m/>
    <m/>
    <m/>
    <n v="5"/>
    <m/>
    <n v="3.71"/>
    <d v="2015-07-06T00:00:00"/>
    <m/>
    <m/>
    <m/>
    <m/>
    <n v="10.18"/>
    <d v="2015-07-15T00:00:00"/>
    <n v="18.5"/>
    <d v="2015-07-06T00:00:00"/>
    <m/>
    <m/>
    <m/>
    <m/>
    <m/>
    <m/>
    <x v="360"/>
    <m/>
    <n v="20.00997920997921"/>
    <d v="2015-07-06T00:00:00"/>
    <m/>
    <m/>
    <n v="9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948"/>
    <d v="2015-07-15T00:00:00"/>
    <m/>
    <m/>
    <m/>
    <m/>
    <n v="49.896614074707031"/>
    <d v="2015-07-15T00:00:00"/>
    <n v="18.758203506469727"/>
    <d v="2015-07-15T00:00:00"/>
    <n v="20.395"/>
    <d v="2015-07-15T00:00:00"/>
    <m/>
    <m/>
    <m/>
    <m/>
    <n v="9.1999999999999993"/>
    <d v="2015-07-06T00:00:00"/>
    <m/>
    <m/>
    <m/>
    <m/>
    <m/>
    <m/>
    <m/>
    <n v="1"/>
    <d v="2015-06-25T00:00:00"/>
    <s v="VALIDE"/>
  </r>
  <r>
    <s v="RAPSO_051"/>
    <s v="Ramses"/>
    <x v="1"/>
    <x v="3"/>
    <n v="18"/>
    <n v="23"/>
    <n v="11"/>
    <m/>
    <m/>
    <m/>
    <m/>
    <n v="6"/>
    <m/>
    <n v="3.66"/>
    <d v="2015-07-06T00:00:00"/>
    <m/>
    <m/>
    <m/>
    <m/>
    <n v="10.16"/>
    <d v="2015-07-15T00:00:00"/>
    <n v="18.5"/>
    <d v="2015-07-06T00:00:00"/>
    <m/>
    <m/>
    <m/>
    <m/>
    <m/>
    <m/>
    <x v="361"/>
    <m/>
    <n v="20.153370953370953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165999999999997"/>
    <d v="2015-07-15T00:00:00"/>
    <m/>
    <m/>
    <m/>
    <m/>
    <n v="49.423973083496094"/>
    <d v="2015-07-15T00:00:00"/>
    <n v="18.480661392211914"/>
    <d v="2015-07-15T00:00:00"/>
    <n v="49.95700000000000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95"/>
    <s v="HOCHZUCHT REPOLE "/>
    <x v="0"/>
    <x v="2"/>
    <n v="120"/>
    <n v="2"/>
    <n v="18"/>
    <m/>
    <m/>
    <m/>
    <m/>
    <n v="5"/>
    <m/>
    <n v="3.65"/>
    <d v="2015-07-06T00:00:00"/>
    <m/>
    <m/>
    <m/>
    <m/>
    <n v="9.9499999999999993"/>
    <d v="2015-07-15T00:00:00"/>
    <n v="18.5"/>
    <d v="2015-07-06T00:00:00"/>
    <m/>
    <m/>
    <m/>
    <m/>
    <m/>
    <m/>
    <x v="77"/>
    <m/>
    <n v="20.271755271755268"/>
    <d v="2015-07-06T00:00:00"/>
    <m/>
    <m/>
    <n v="135"/>
    <m/>
    <m/>
    <m/>
    <n v="96"/>
    <m/>
    <m/>
    <m/>
    <m/>
    <m/>
    <m/>
    <m/>
    <m/>
    <m/>
    <m/>
    <m/>
    <m/>
    <m/>
    <n v="5"/>
    <m/>
    <m/>
    <m/>
    <m/>
    <m/>
    <m/>
    <m/>
    <m/>
    <m/>
    <m/>
    <m/>
    <n v="64.052000000000007"/>
    <d v="2015-07-15T00:00:00"/>
    <m/>
    <m/>
    <m/>
    <m/>
    <n v="48.137123107910156"/>
    <d v="2015-07-15T00:00:00"/>
    <n v="20.319402694702148"/>
    <d v="2015-07-15T00:00:00"/>
    <n v="83.025999999999996"/>
    <d v="2015-07-15T00:00:00"/>
    <m/>
    <m/>
    <m/>
    <m/>
    <n v="6.5"/>
    <d v="2015-07-06T00:00:00"/>
    <m/>
    <m/>
    <m/>
    <m/>
    <m/>
    <m/>
    <m/>
    <n v="1"/>
    <d v="2015-06-25T00:00:00"/>
    <s v="VALIDE"/>
  </r>
  <r>
    <s v="RAPSO_368"/>
    <s v="BLAGODATNYI "/>
    <x v="0"/>
    <x v="2"/>
    <n v="117"/>
    <n v="2"/>
    <n v="5"/>
    <m/>
    <m/>
    <m/>
    <m/>
    <n v="8"/>
    <m/>
    <n v="3.67"/>
    <d v="2015-07-06T00:00:00"/>
    <m/>
    <m/>
    <m/>
    <m/>
    <n v="10.25"/>
    <d v="2015-07-15T00:00:00"/>
    <n v="18.5"/>
    <d v="2015-07-06T00:00:00"/>
    <m/>
    <m/>
    <m/>
    <m/>
    <m/>
    <m/>
    <x v="362"/>
    <m/>
    <n v="20.67"/>
    <d v="2015-07-06T00:00:00"/>
    <m/>
    <m/>
    <n v="165"/>
    <m/>
    <m/>
    <m/>
    <n v="110"/>
    <m/>
    <m/>
    <m/>
    <m/>
    <m/>
    <m/>
    <m/>
    <m/>
    <m/>
    <m/>
    <m/>
    <m/>
    <m/>
    <n v="7"/>
    <m/>
    <m/>
    <m/>
    <m/>
    <m/>
    <m/>
    <m/>
    <m/>
    <m/>
    <m/>
    <m/>
    <n v="64.966999999999999"/>
    <d v="2015-07-15T00:00:00"/>
    <m/>
    <m/>
    <m/>
    <m/>
    <n v="49.600444793701172"/>
    <d v="2015-07-15T00:00:00"/>
    <n v="19.92938232421875"/>
    <d v="2015-07-15T00:00:00"/>
    <n v="53.500999999999998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419"/>
    <s v="NOVOCHARTORYISKYI "/>
    <x v="1"/>
    <x v="1"/>
    <n v="20"/>
    <m/>
    <m/>
    <n v="17"/>
    <n v="4"/>
    <m/>
    <m/>
    <n v="8"/>
    <m/>
    <n v="3.73"/>
    <d v="2015-07-06T00:00:00"/>
    <m/>
    <m/>
    <m/>
    <m/>
    <n v="10.14"/>
    <d v="2015-07-15T00:00:00"/>
    <n v="18.5"/>
    <d v="2015-07-06T00:00:00"/>
    <m/>
    <m/>
    <m/>
    <m/>
    <m/>
    <m/>
    <x v="363"/>
    <m/>
    <n v="20.71"/>
    <d v="2015-07-06T00:00:00"/>
    <m/>
    <m/>
    <n v="130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64.819999999999993"/>
    <d v="2015-07-15T00:00:00"/>
    <m/>
    <m/>
    <m/>
    <m/>
    <n v="48.95"/>
    <d v="2015-07-15T00:00:00"/>
    <n v="21.821554183959961"/>
    <d v="2015-07-15T00:00:00"/>
    <n v="71.382000000000005"/>
    <d v="2015-07-15T00:00:00"/>
    <m/>
    <m/>
    <m/>
    <m/>
    <n v="8.3000000000000007"/>
    <d v="2015-07-06T00:00:00"/>
    <m/>
    <m/>
    <m/>
    <m/>
    <m/>
    <m/>
    <m/>
    <n v="5"/>
    <d v="2015-06-25T00:00:00"/>
    <s v="VALIDE"/>
  </r>
  <r>
    <s v="RAPSO_132"/>
    <s v="Aligator"/>
    <x v="1"/>
    <x v="1"/>
    <n v="42"/>
    <n v="13"/>
    <n v="30"/>
    <m/>
    <m/>
    <m/>
    <m/>
    <n v="3"/>
    <m/>
    <n v="3.69"/>
    <d v="2015-07-06T00:00:00"/>
    <m/>
    <m/>
    <m/>
    <m/>
    <n v="10.44"/>
    <d v="2015-07-15T00:00:00"/>
    <n v="18.5"/>
    <d v="2015-07-06T00:00:00"/>
    <m/>
    <m/>
    <m/>
    <m/>
    <m/>
    <m/>
    <x v="364"/>
    <m/>
    <n v="20.74"/>
    <d v="2015-07-06T00:00:00"/>
    <m/>
    <m/>
    <n v="13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4.944999999999993"/>
    <d v="2015-07-15T00:00:00"/>
    <m/>
    <m/>
    <m/>
    <m/>
    <n v="50.317100524902344"/>
    <d v="2015-07-15T00:00:00"/>
    <n v="18.020442962646484"/>
    <d v="2015-07-15T00:00:00"/>
    <n v="15.836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418"/>
    <s v="NIEDERARNBACHER "/>
    <x v="1"/>
    <x v="1"/>
    <n v="19"/>
    <m/>
    <m/>
    <n v="16"/>
    <n v="2"/>
    <m/>
    <m/>
    <n v="6"/>
    <m/>
    <n v="3.7"/>
    <d v="2015-07-06T00:00:00"/>
    <m/>
    <m/>
    <m/>
    <m/>
    <n v="9.82"/>
    <d v="2015-07-15T00:00:00"/>
    <n v="18.5"/>
    <d v="2015-07-06T00:00:00"/>
    <m/>
    <m/>
    <m/>
    <m/>
    <m/>
    <m/>
    <x v="365"/>
    <m/>
    <n v="20.79"/>
    <d v="2015-07-06T00:00:00"/>
    <m/>
    <m/>
    <n v="11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328999999999994"/>
    <d v="2015-07-15T00:00:00"/>
    <m/>
    <m/>
    <m/>
    <m/>
    <n v="47.24"/>
    <d v="2015-07-15T00:00:00"/>
    <n v="22.205957412719727"/>
    <d v="2015-07-15T00:00:00"/>
    <n v="80.194000000000003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406"/>
    <s v="KORMOVOI SKRIVERSKYI "/>
    <x v="1"/>
    <x v="3"/>
    <n v="121"/>
    <n v="21"/>
    <n v="26"/>
    <m/>
    <m/>
    <m/>
    <m/>
    <n v="8"/>
    <m/>
    <n v="3.71"/>
    <d v="2015-07-06T00:00:00"/>
    <m/>
    <m/>
    <m/>
    <m/>
    <n v="10.37"/>
    <d v="2015-07-15T00:00:00"/>
    <n v="18.5"/>
    <d v="2015-07-06T00:00:00"/>
    <m/>
    <m/>
    <m/>
    <m/>
    <m/>
    <m/>
    <x v="366"/>
    <m/>
    <n v="20.83"/>
    <d v="2015-07-06T00:00:00"/>
    <m/>
    <m/>
    <n v="12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6.084000000000003"/>
    <d v="2015-07-15T00:00:00"/>
    <m/>
    <m/>
    <m/>
    <m/>
    <n v="49.798439025878906"/>
    <d v="2015-07-15T00:00:00"/>
    <n v="19.571466445922852"/>
    <d v="2015-07-15T00:00:00"/>
    <n v="61.988999999999997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261"/>
    <s v="Remy"/>
    <x v="1"/>
    <x v="3"/>
    <n v="100"/>
    <n v="20"/>
    <n v="25"/>
    <m/>
    <m/>
    <m/>
    <m/>
    <n v="8"/>
    <m/>
    <n v="3.77"/>
    <d v="2015-07-06T00:00:00"/>
    <m/>
    <m/>
    <m/>
    <m/>
    <n v="10.3"/>
    <d v="2015-07-15T00:00:00"/>
    <n v="18.5"/>
    <d v="2015-07-06T00:00:00"/>
    <m/>
    <m/>
    <m/>
    <m/>
    <m/>
    <m/>
    <x v="367"/>
    <m/>
    <n v="20.84"/>
    <d v="2015-07-06T00:00:00"/>
    <m/>
    <m/>
    <n v="12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6.581000000000003"/>
    <d v="2015-07-15T00:00:00"/>
    <m/>
    <m/>
    <m/>
    <m/>
    <n v="49.441436767578125"/>
    <d v="2015-07-15T00:00:00"/>
    <n v="18.137111663818359"/>
    <d v="2015-07-15T00:00:00"/>
    <n v="16.524999999999999"/>
    <d v="2015-07-15T00:00:00"/>
    <m/>
    <m/>
    <m/>
    <m/>
    <n v="8.6999999999999993"/>
    <d v="2015-07-06T00:00:00"/>
    <m/>
    <m/>
    <m/>
    <m/>
    <m/>
    <m/>
    <m/>
    <n v="5"/>
    <d v="2015-06-25T00:00:00"/>
    <s v="VALIDE"/>
  </r>
  <r>
    <s v="RAPSO_080"/>
    <s v="Constable"/>
    <x v="1"/>
    <x v="1"/>
    <n v="29"/>
    <n v="17"/>
    <n v="24"/>
    <m/>
    <m/>
    <m/>
    <m/>
    <n v="5"/>
    <m/>
    <n v="3.72"/>
    <d v="2015-07-06T00:00:00"/>
    <m/>
    <m/>
    <m/>
    <m/>
    <n v="9.86"/>
    <d v="2015-07-15T00:00:00"/>
    <n v="18.5"/>
    <d v="2015-07-06T00:00:00"/>
    <m/>
    <m/>
    <m/>
    <m/>
    <m/>
    <m/>
    <x v="368"/>
    <m/>
    <n v="20.93"/>
    <d v="2015-07-06T00:00:00"/>
    <m/>
    <m/>
    <n v="15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0.64"/>
    <d v="2015-07-15T00:00:00"/>
    <m/>
    <m/>
    <m/>
    <m/>
    <n v="47.120231628417969"/>
    <d v="2015-07-15T00:00:00"/>
    <n v="21.754179000854492"/>
    <d v="2015-07-15T00:00:00"/>
    <n v="72.581999999999994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238"/>
    <s v="Milena"/>
    <x v="1"/>
    <x v="1"/>
    <n v="88"/>
    <n v="15"/>
    <n v="13"/>
    <m/>
    <m/>
    <m/>
    <m/>
    <n v="6"/>
    <m/>
    <n v="3.73"/>
    <d v="2015-07-06T00:00:00"/>
    <m/>
    <m/>
    <m/>
    <m/>
    <n v="10.55"/>
    <d v="2015-07-15T00:00:00"/>
    <n v="18.5"/>
    <d v="2015-07-06T00:00:00"/>
    <m/>
    <m/>
    <m/>
    <m/>
    <m/>
    <m/>
    <x v="369"/>
    <m/>
    <n v="20.94"/>
    <d v="2015-07-06T00:00:00"/>
    <m/>
    <m/>
    <n v="10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840999999999994"/>
    <d v="2015-07-15T00:00:00"/>
    <m/>
    <m/>
    <m/>
    <m/>
    <n v="50.395782470703125"/>
    <d v="2015-07-15T00:00:00"/>
    <n v="17.972476959228516"/>
    <d v="2015-07-15T00:00:00"/>
    <n v="15.198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076"/>
    <s v="Bienvenu - R33"/>
    <x v="1"/>
    <x v="1"/>
    <n v="27"/>
    <n v="14"/>
    <n v="32"/>
    <m/>
    <m/>
    <m/>
    <m/>
    <n v="6"/>
    <m/>
    <n v="3.71"/>
    <d v="2015-07-06T00:00:00"/>
    <m/>
    <m/>
    <m/>
    <m/>
    <n v="10.62"/>
    <d v="2015-07-15T00:00:00"/>
    <n v="18.5"/>
    <d v="2015-07-06T00:00:00"/>
    <m/>
    <m/>
    <m/>
    <m/>
    <m/>
    <m/>
    <x v="370"/>
    <m/>
    <n v="20.96"/>
    <d v="2015-07-06T00:00:00"/>
    <m/>
    <m/>
    <n v="110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3.628"/>
    <d v="2015-07-15T00:00:00"/>
    <m/>
    <m/>
    <m/>
    <m/>
    <n v="50.669380187988281"/>
    <d v="2015-07-15T00:00:00"/>
    <n v="17.831562042236328"/>
    <d v="2015-07-15T00:00:00"/>
    <n v="43.691000000000003"/>
    <d v="2015-07-15T00:00:00"/>
    <m/>
    <m/>
    <m/>
    <m/>
    <n v="6.7"/>
    <d v="2015-07-06T00:00:00"/>
    <m/>
    <m/>
    <m/>
    <m/>
    <m/>
    <m/>
    <m/>
    <n v="5"/>
    <d v="2015-06-25T00:00:00"/>
    <s v="VALIDE"/>
  </r>
  <r>
    <s v="RAPSO_108"/>
    <s v="Mikado"/>
    <x v="1"/>
    <x v="1"/>
    <n v="35"/>
    <n v="16"/>
    <n v="17"/>
    <m/>
    <m/>
    <m/>
    <m/>
    <n v="3"/>
    <m/>
    <n v="3.76"/>
    <d v="2015-07-06T00:00:00"/>
    <m/>
    <m/>
    <m/>
    <m/>
    <n v="10.199999999999999"/>
    <d v="2015-07-15T00:00:00"/>
    <n v="18.5"/>
    <d v="2015-07-06T00:00:00"/>
    <m/>
    <m/>
    <m/>
    <m/>
    <m/>
    <m/>
    <x v="371"/>
    <m/>
    <n v="20.570002970002967"/>
    <d v="2015-07-06T00:00:00"/>
    <m/>
    <m/>
    <n v="10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2.265000000000001"/>
    <d v="2015-07-15T00:00:00"/>
    <m/>
    <m/>
    <m/>
    <m/>
    <n v="48.625511169433594"/>
    <d v="2015-07-15T00:00:00"/>
    <n v="18.877426147460938"/>
    <d v="2015-07-15T00:00:00"/>
    <n v="40.671999999999997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155"/>
    <s v="Canberra"/>
    <x v="1"/>
    <x v="1"/>
    <n v="51"/>
    <n v="17"/>
    <n v="16"/>
    <m/>
    <m/>
    <m/>
    <m/>
    <n v="3"/>
    <m/>
    <n v="3.76"/>
    <d v="2015-07-06T00:00:00"/>
    <m/>
    <m/>
    <m/>
    <m/>
    <n v="10.77"/>
    <d v="2015-07-15T00:00:00"/>
    <n v="18.5"/>
    <d v="2015-07-06T00:00:00"/>
    <m/>
    <m/>
    <m/>
    <m/>
    <m/>
    <m/>
    <x v="371"/>
    <m/>
    <n v="20.97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700999999999993"/>
    <d v="2015-07-15T00:00:00"/>
    <m/>
    <m/>
    <m/>
    <m/>
    <n v="51.363010406494141"/>
    <d v="2015-07-15T00:00:00"/>
    <n v="16.862482070922852"/>
    <d v="2015-07-15T00:00:00"/>
    <n v="21.867999999999999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216"/>
    <s v="Kosto"/>
    <x v="1"/>
    <x v="1"/>
    <n v="77"/>
    <n v="16"/>
    <n v="26"/>
    <m/>
    <m/>
    <m/>
    <m/>
    <n v="1"/>
    <m/>
    <n v="3.74"/>
    <d v="2015-07-06T00:00:00"/>
    <m/>
    <m/>
    <m/>
    <m/>
    <n v="10.43"/>
    <d v="2015-07-15T00:00:00"/>
    <n v="18.5"/>
    <d v="2015-07-06T00:00:00"/>
    <m/>
    <m/>
    <m/>
    <m/>
    <m/>
    <m/>
    <x v="372"/>
    <m/>
    <n v="20.99"/>
    <d v="2015-07-06T00:00:00"/>
    <m/>
    <m/>
    <n v="12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3.723999999999997"/>
    <d v="2015-07-15T00:00:00"/>
    <m/>
    <m/>
    <m/>
    <m/>
    <n v="49.695884704589844"/>
    <d v="2015-07-15T00:00:00"/>
    <n v="17.75868034362793"/>
    <d v="2015-07-15T00:00:00"/>
    <n v="18.056000000000001"/>
    <d v="2015-07-15T00:00:00"/>
    <m/>
    <m/>
    <m/>
    <m/>
    <n v="7.3"/>
    <d v="2015-07-06T00:00:00"/>
    <m/>
    <m/>
    <m/>
    <m/>
    <m/>
    <m/>
    <m/>
    <n v="5"/>
    <d v="2015-06-25T00:00:00"/>
    <s v="VALIDE"/>
  </r>
  <r>
    <s v="BRA_005"/>
    <s v="Sarepta"/>
    <x v="1"/>
    <x v="1"/>
    <n v="123"/>
    <n v="17"/>
    <n v="29"/>
    <m/>
    <m/>
    <m/>
    <m/>
    <n v="5"/>
    <m/>
    <n v="3.73"/>
    <d v="2015-07-06T00:00:00"/>
    <m/>
    <m/>
    <m/>
    <m/>
    <n v="9.91"/>
    <d v="2015-07-15T00:00:00"/>
    <n v="18.5"/>
    <d v="2015-07-06T00:00:00"/>
    <m/>
    <m/>
    <m/>
    <m/>
    <m/>
    <m/>
    <x v="373"/>
    <m/>
    <n v="21.03"/>
    <d v="2015-07-06T00:00:00"/>
    <m/>
    <m/>
    <n v="11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6.664000000000001"/>
    <d v="2015-07-15T00:00:00"/>
    <m/>
    <m/>
    <m/>
    <m/>
    <n v="47.100910186767578"/>
    <d v="2015-07-15T00:00:00"/>
    <n v="20.224102020263672"/>
    <d v="2015-07-15T00:00:00"/>
    <n v="45.000999999999998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067"/>
    <s v="Warzanwski"/>
    <x v="1"/>
    <x v="3"/>
    <n v="7"/>
    <m/>
    <m/>
    <n v="22"/>
    <n v="1"/>
    <m/>
    <m/>
    <n v="9"/>
    <m/>
    <n v="3.78"/>
    <d v="2015-07-06T00:00:00"/>
    <m/>
    <m/>
    <m/>
    <m/>
    <n v="10.41"/>
    <d v="2015-07-15T00:00:00"/>
    <n v="18.5"/>
    <d v="2015-07-06T00:00:00"/>
    <m/>
    <m/>
    <m/>
    <m/>
    <m/>
    <m/>
    <x v="374"/>
    <m/>
    <n v="21.08"/>
    <d v="2015-07-06T00:00:00"/>
    <m/>
    <m/>
    <n v="115"/>
    <m/>
    <m/>
    <m/>
    <n v="96"/>
    <m/>
    <m/>
    <m/>
    <m/>
    <m/>
    <m/>
    <m/>
    <m/>
    <m/>
    <m/>
    <m/>
    <m/>
    <m/>
    <n v="3"/>
    <m/>
    <m/>
    <m/>
    <m/>
    <m/>
    <m/>
    <m/>
    <m/>
    <m/>
    <m/>
    <m/>
    <n v="64.106999999999999"/>
    <d v="2015-07-15T00:00:00"/>
    <m/>
    <m/>
    <m/>
    <m/>
    <n v="49.37"/>
    <d v="2015-07-15T00:00:00"/>
    <n v="19.218713760375977"/>
    <d v="2015-07-15T00:00:00"/>
    <n v="65.382999999999996"/>
    <d v="2015-07-15T00:00:00"/>
    <m/>
    <m/>
    <m/>
    <m/>
    <n v="7.9"/>
    <d v="2015-07-06T00:00:00"/>
    <m/>
    <m/>
    <m/>
    <m/>
    <m/>
    <m/>
    <m/>
    <n v="7"/>
    <d v="2015-06-25T00:00:00"/>
    <s v="VALIDE"/>
  </r>
  <r>
    <s v="RAPSO_067"/>
    <s v="Warzanwski"/>
    <x v="0"/>
    <x v="2"/>
    <n v="7"/>
    <m/>
    <m/>
    <n v="4"/>
    <n v="4"/>
    <m/>
    <m/>
    <n v="9"/>
    <m/>
    <n v="3.77"/>
    <d v="2015-07-06T00:00:00"/>
    <m/>
    <m/>
    <m/>
    <m/>
    <n v="10.210000000000001"/>
    <d v="2015-07-15T00:00:00"/>
    <n v="18.5"/>
    <d v="2015-07-06T00:00:00"/>
    <m/>
    <m/>
    <m/>
    <m/>
    <m/>
    <m/>
    <x v="375"/>
    <m/>
    <n v="21.12"/>
    <d v="2015-07-06T00:00:00"/>
    <m/>
    <m/>
    <n v="125"/>
    <m/>
    <m/>
    <m/>
    <n v="95"/>
    <m/>
    <m/>
    <m/>
    <m/>
    <m/>
    <m/>
    <m/>
    <m/>
    <m/>
    <m/>
    <m/>
    <m/>
    <m/>
    <n v="1"/>
    <m/>
    <m/>
    <m/>
    <m/>
    <m/>
    <m/>
    <m/>
    <m/>
    <m/>
    <m/>
    <m/>
    <n v="64.537000000000006"/>
    <d v="2015-07-15T00:00:00"/>
    <m/>
    <m/>
    <m/>
    <m/>
    <n v="48.36"/>
    <d v="2015-07-15T00:00:00"/>
    <n v="19.945758819580078"/>
    <d v="2015-07-15T00:00:00"/>
    <n v="67.084000000000003"/>
    <d v="2015-07-15T00:00:00"/>
    <m/>
    <m/>
    <m/>
    <m/>
    <n v="7.5"/>
    <d v="2015-07-06T00:00:00"/>
    <m/>
    <m/>
    <m/>
    <m/>
    <m/>
    <m/>
    <m/>
    <n v="7"/>
    <d v="2015-06-25T00:00:00"/>
    <s v="VALIDE"/>
  </r>
  <r>
    <s v="RAPSO_015"/>
    <s v="Gorczanski"/>
    <x v="1"/>
    <x v="1"/>
    <n v="3"/>
    <m/>
    <m/>
    <n v="18"/>
    <n v="3"/>
    <m/>
    <m/>
    <n v="8"/>
    <m/>
    <n v="3.8"/>
    <d v="2015-07-06T00:00:00"/>
    <m/>
    <m/>
    <m/>
    <m/>
    <n v="10.29"/>
    <d v="2015-07-15T00:00:00"/>
    <n v="18.5"/>
    <d v="2015-07-06T00:00:00"/>
    <m/>
    <m/>
    <m/>
    <m/>
    <m/>
    <m/>
    <x v="376"/>
    <m/>
    <n v="21.12"/>
    <d v="2015-07-06T00:00:00"/>
    <m/>
    <m/>
    <n v="120"/>
    <m/>
    <m/>
    <m/>
    <n v="98"/>
    <m/>
    <m/>
    <m/>
    <m/>
    <m/>
    <m/>
    <m/>
    <m/>
    <m/>
    <m/>
    <m/>
    <m/>
    <m/>
    <n v="3"/>
    <m/>
    <m/>
    <m/>
    <m/>
    <m/>
    <m/>
    <m/>
    <m/>
    <m/>
    <m/>
    <m/>
    <n v="65.872"/>
    <d v="2015-07-15T00:00:00"/>
    <m/>
    <m/>
    <m/>
    <m/>
    <n v="48.71"/>
    <d v="2015-07-15T00:00:00"/>
    <n v="20.824771881103516"/>
    <d v="2015-07-15T00:00:00"/>
    <n v="71.022000000000006"/>
    <d v="2015-07-15T00:00:00"/>
    <m/>
    <m/>
    <m/>
    <m/>
    <n v="8.1999999999999993"/>
    <d v="2015-07-06T00:00:00"/>
    <m/>
    <m/>
    <m/>
    <m/>
    <m/>
    <m/>
    <m/>
    <n v="5"/>
    <d v="2015-06-25T00:00:00"/>
    <s v="VALIDE"/>
  </r>
  <r>
    <s v="Montego"/>
    <s v="Montego"/>
    <x v="1"/>
    <x v="3"/>
    <n v="185"/>
    <n v="23"/>
    <n v="26"/>
    <m/>
    <m/>
    <m/>
    <m/>
    <n v="3"/>
    <m/>
    <n v="3.82"/>
    <d v="2015-07-06T00:00:00"/>
    <m/>
    <m/>
    <m/>
    <m/>
    <n v="10.82"/>
    <d v="2015-07-15T00:00:00"/>
    <n v="18.5"/>
    <d v="2015-07-06T00:00:00"/>
    <m/>
    <m/>
    <m/>
    <m/>
    <m/>
    <m/>
    <x v="377"/>
    <m/>
    <n v="21.17"/>
    <d v="2015-07-06T00:00:00"/>
    <m/>
    <m/>
    <n v="11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444000000000003"/>
    <d v="2015-07-15T00:00:00"/>
    <m/>
    <m/>
    <m/>
    <m/>
    <n v="51.118339538574219"/>
    <d v="2015-07-15T00:00:00"/>
    <n v="18.67840576171875"/>
    <d v="2015-07-15T00:00:00"/>
    <n v="13.513"/>
    <d v="2015-07-15T00:00:00"/>
    <m/>
    <m/>
    <m/>
    <m/>
    <n v="8.5"/>
    <d v="2015-07-06T00:00:00"/>
    <m/>
    <m/>
    <m/>
    <m/>
    <m/>
    <m/>
    <m/>
    <n v="1"/>
    <d v="2015-06-25T00:00:00"/>
    <s v="VALIDE"/>
  </r>
  <r>
    <s v="RAPSO_235"/>
    <s v="Mar"/>
    <x v="0"/>
    <x v="2"/>
    <n v="87"/>
    <n v="1"/>
    <n v="12"/>
    <m/>
    <m/>
    <m/>
    <m/>
    <n v="7"/>
    <m/>
    <n v="3.76"/>
    <d v="2015-07-06T00:00:00"/>
    <m/>
    <m/>
    <m/>
    <m/>
    <n v="10.47"/>
    <d v="2015-07-15T00:00:00"/>
    <n v="18.5"/>
    <d v="2015-07-06T00:00:00"/>
    <m/>
    <m/>
    <m/>
    <m/>
    <m/>
    <m/>
    <x v="378"/>
    <m/>
    <n v="20.793347193347188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361000000000004"/>
    <d v="2015-07-15T00:00:00"/>
    <m/>
    <m/>
    <m/>
    <m/>
    <n v="49.403736114501953"/>
    <d v="2015-07-15T00:00:00"/>
    <n v="19.035120010375977"/>
    <d v="2015-07-15T00:00:00"/>
    <n v="23.05099999999999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92"/>
    <s v="Zorro"/>
    <x v="1"/>
    <x v="1"/>
    <n v="112"/>
    <n v="16"/>
    <n v="1"/>
    <m/>
    <m/>
    <m/>
    <m/>
    <n v="7"/>
    <m/>
    <n v="3.84"/>
    <d v="2015-07-06T00:00:00"/>
    <m/>
    <m/>
    <m/>
    <m/>
    <n v="10.76"/>
    <d v="2015-07-15T00:00:00"/>
    <n v="18.5"/>
    <d v="2015-07-06T00:00:00"/>
    <m/>
    <m/>
    <m/>
    <m/>
    <m/>
    <m/>
    <x v="379"/>
    <m/>
    <n v="21.23"/>
    <d v="2015-07-06T00:00:00"/>
    <m/>
    <m/>
    <n v="120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3.113999999999997"/>
    <d v="2015-07-15T00:00:00"/>
    <m/>
    <m/>
    <m/>
    <m/>
    <n v="50.665756225585938"/>
    <d v="2015-07-15T00:00:00"/>
    <n v="16.937776565551758"/>
    <d v="2015-07-15T00:00:00"/>
    <n v="16.791"/>
    <d v="2015-07-15T00:00:00"/>
    <m/>
    <m/>
    <m/>
    <m/>
    <n v="8.6999999999999993"/>
    <d v="2015-07-06T00:00:00"/>
    <m/>
    <m/>
    <m/>
    <m/>
    <m/>
    <m/>
    <m/>
    <n v="3"/>
    <d v="2015-06-25T00:00:00"/>
    <s v="VALIDE"/>
  </r>
  <r>
    <s v="RAPSO_041"/>
    <s v="Orléans"/>
    <x v="0"/>
    <x v="2"/>
    <n v="14"/>
    <n v="1"/>
    <n v="27"/>
    <m/>
    <m/>
    <m/>
    <m/>
    <n v="9"/>
    <m/>
    <n v="3.77"/>
    <d v="2015-07-06T00:00:00"/>
    <m/>
    <m/>
    <m/>
    <m/>
    <n v="10.38"/>
    <d v="2015-07-15T00:00:00"/>
    <n v="18.5"/>
    <d v="2015-07-06T00:00:00"/>
    <m/>
    <m/>
    <m/>
    <m/>
    <m/>
    <m/>
    <x v="84"/>
    <m/>
    <n v="21.28"/>
    <d v="2015-07-06T00:00:00"/>
    <m/>
    <m/>
    <n v="14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4.753"/>
    <d v="2015-07-15T00:00:00"/>
    <m/>
    <m/>
    <m/>
    <m/>
    <n v="48.786064147949219"/>
    <d v="2015-07-15T00:00:00"/>
    <n v="20.91526985168457"/>
    <d v="2015-07-15T00:00:00"/>
    <n v="57.31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067"/>
    <s v="Warzanwski"/>
    <x v="0"/>
    <x v="0"/>
    <n v="7"/>
    <m/>
    <m/>
    <n v="7"/>
    <n v="3"/>
    <m/>
    <m/>
    <n v="9"/>
    <m/>
    <n v="3.8"/>
    <d v="2015-07-06T00:00:00"/>
    <m/>
    <m/>
    <m/>
    <m/>
    <n v="10.75"/>
    <d v="2015-07-15T00:00:00"/>
    <n v="18.5"/>
    <d v="2015-07-06T00:00:00"/>
    <m/>
    <m/>
    <m/>
    <m/>
    <m/>
    <m/>
    <x v="380"/>
    <m/>
    <n v="21.29"/>
    <d v="2015-07-06T00:00:00"/>
    <m/>
    <m/>
    <n v="130"/>
    <m/>
    <m/>
    <m/>
    <n v="95"/>
    <m/>
    <m/>
    <m/>
    <m/>
    <m/>
    <m/>
    <m/>
    <m/>
    <m/>
    <m/>
    <m/>
    <m/>
    <m/>
    <n v="3"/>
    <m/>
    <m/>
    <m/>
    <m/>
    <m/>
    <m/>
    <m/>
    <m/>
    <m/>
    <m/>
    <m/>
    <n v="63.277000000000001"/>
    <d v="2015-07-15T00:00:00"/>
    <m/>
    <m/>
    <m/>
    <m/>
    <n v="50.48"/>
    <d v="2015-07-15T00:00:00"/>
    <n v="18.239967346191406"/>
    <d v="2015-07-15T00:00:00"/>
    <n v="61.747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418"/>
    <s v="NIEDERARNBACHER "/>
    <x v="0"/>
    <x v="0"/>
    <n v="19"/>
    <m/>
    <m/>
    <n v="8"/>
    <n v="3"/>
    <m/>
    <m/>
    <n v="9"/>
    <m/>
    <n v="3.8"/>
    <d v="2015-07-06T00:00:00"/>
    <m/>
    <m/>
    <m/>
    <m/>
    <n v="10.87"/>
    <d v="2015-07-15T00:00:00"/>
    <n v="18.5"/>
    <d v="2015-07-06T00:00:00"/>
    <m/>
    <m/>
    <m/>
    <m/>
    <m/>
    <m/>
    <x v="381"/>
    <m/>
    <n v="21.35"/>
    <d v="2015-07-06T00:00:00"/>
    <m/>
    <m/>
    <n v="12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5.468999999999994"/>
    <d v="2015-07-15T00:00:00"/>
    <m/>
    <m/>
    <m/>
    <m/>
    <n v="50.9"/>
    <d v="2015-07-15T00:00:00"/>
    <n v="20.069751739501953"/>
    <d v="2015-07-15T00:00:00"/>
    <n v="76.100999999999999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062"/>
    <s v="Titus"/>
    <x v="1"/>
    <x v="1"/>
    <n v="20"/>
    <n v="17"/>
    <n v="5"/>
    <m/>
    <m/>
    <m/>
    <m/>
    <n v="8"/>
    <m/>
    <n v="3.87"/>
    <d v="2015-07-06T00:00:00"/>
    <m/>
    <m/>
    <m/>
    <m/>
    <n v="10.44"/>
    <d v="2015-07-15T00:00:00"/>
    <n v="18.5"/>
    <d v="2015-07-06T00:00:00"/>
    <m/>
    <m/>
    <m/>
    <m/>
    <m/>
    <m/>
    <x v="382"/>
    <m/>
    <n v="21.4"/>
    <d v="2015-07-06T00:00:00"/>
    <m/>
    <m/>
    <n v="12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4.302000000000007"/>
    <d v="2015-07-15T00:00:00"/>
    <m/>
    <m/>
    <m/>
    <m/>
    <n v="48.802970886230469"/>
    <d v="2015-07-15T00:00:00"/>
    <n v="18.790882110595703"/>
    <d v="2015-07-15T00:00:00"/>
    <n v="53.021999999999998"/>
    <d v="2015-07-15T00:00:00"/>
    <m/>
    <m/>
    <m/>
    <m/>
    <n v="8.6999999999999993"/>
    <d v="2015-07-06T00:00:00"/>
    <m/>
    <m/>
    <m/>
    <m/>
    <m/>
    <m/>
    <m/>
    <n v="3"/>
    <d v="2015-06-25T00:00:00"/>
    <s v="VALIDE"/>
  </r>
  <r>
    <s v="RAPSO_323"/>
    <s v="RAGT-09"/>
    <x v="1"/>
    <x v="1"/>
    <n v="160"/>
    <n v="17"/>
    <n v="14"/>
    <m/>
    <m/>
    <m/>
    <m/>
    <n v="5"/>
    <m/>
    <n v="3.87"/>
    <d v="2015-07-06T00:00:00"/>
    <m/>
    <m/>
    <m/>
    <m/>
    <n v="10.63"/>
    <d v="2015-07-15T00:00:00"/>
    <n v="18.5"/>
    <d v="2015-07-06T00:00:00"/>
    <m/>
    <m/>
    <m/>
    <m/>
    <m/>
    <m/>
    <x v="383"/>
    <m/>
    <n v="21.42"/>
    <d v="2015-07-06T00:00:00"/>
    <m/>
    <m/>
    <n v="11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034999999999997"/>
    <d v="2015-07-15T00:00:00"/>
    <m/>
    <m/>
    <m/>
    <m/>
    <n v="49.627120971679688"/>
    <d v="2015-07-15T00:00:00"/>
    <n v="17.704195022583008"/>
    <d v="2015-07-15T00:00:00"/>
    <n v="17.452999999999999"/>
    <d v="2015-07-15T00:00:00"/>
    <m/>
    <m/>
    <m/>
    <m/>
    <n v="8.6"/>
    <d v="2015-07-06T00:00:00"/>
    <m/>
    <m/>
    <m/>
    <m/>
    <m/>
    <m/>
    <m/>
    <n v="3"/>
    <d v="2015-06-25T00:00:00"/>
    <s v="VALIDE"/>
  </r>
  <r>
    <s v="RAPSO_222"/>
    <s v="Licorne"/>
    <x v="1"/>
    <x v="1"/>
    <n v="80"/>
    <n v="16"/>
    <n v="28"/>
    <m/>
    <m/>
    <m/>
    <m/>
    <n v="3"/>
    <m/>
    <n v="3.8"/>
    <d v="2015-07-06T00:00:00"/>
    <m/>
    <m/>
    <m/>
    <m/>
    <n v="10.42"/>
    <d v="2015-07-15T00:00:00"/>
    <n v="18.5"/>
    <d v="2015-07-06T00:00:00"/>
    <m/>
    <m/>
    <m/>
    <m/>
    <m/>
    <m/>
    <x v="384"/>
    <m/>
    <n v="21.014553014553009"/>
    <d v="2015-07-06T00:00:00"/>
    <m/>
    <m/>
    <n v="135"/>
    <m/>
    <m/>
    <m/>
    <n v="112"/>
    <m/>
    <m/>
    <m/>
    <m/>
    <m/>
    <m/>
    <m/>
    <m/>
    <m/>
    <m/>
    <m/>
    <m/>
    <m/>
    <n v="7"/>
    <m/>
    <m/>
    <m/>
    <m/>
    <m/>
    <m/>
    <m/>
    <m/>
    <m/>
    <m/>
    <m/>
    <n v="63.896000000000001"/>
    <d v="2015-07-15T00:00:00"/>
    <m/>
    <m/>
    <m/>
    <m/>
    <n v="48.631137847900391"/>
    <d v="2015-07-15T00:00:00"/>
    <n v="19.172328948974609"/>
    <d v="2015-07-15T00:00:00"/>
    <n v="20.344999999999999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033"/>
    <s v="Moldavia"/>
    <x v="1"/>
    <x v="3"/>
    <n v="10"/>
    <n v="22"/>
    <n v="14"/>
    <m/>
    <m/>
    <m/>
    <m/>
    <n v="8"/>
    <m/>
    <n v="3.82"/>
    <d v="2015-07-06T00:00:00"/>
    <m/>
    <m/>
    <m/>
    <m/>
    <n v="10.67"/>
    <d v="2015-07-15T00:00:00"/>
    <n v="18.5"/>
    <d v="2015-07-06T00:00:00"/>
    <m/>
    <m/>
    <m/>
    <m/>
    <m/>
    <m/>
    <x v="385"/>
    <m/>
    <n v="21.47"/>
    <d v="2015-07-06T00:00:00"/>
    <m/>
    <m/>
    <n v="11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1.985999999999997"/>
    <d v="2015-07-15T00:00:00"/>
    <m/>
    <m/>
    <m/>
    <m/>
    <n v="49.691734313964844"/>
    <d v="2015-07-15T00:00:00"/>
    <n v="18.112087249755859"/>
    <d v="2015-07-15T00:00:00"/>
    <n v="65.582999999999998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07"/>
    <s v="Ibex"/>
    <x v="1"/>
    <x v="3"/>
    <n v="72"/>
    <n v="24"/>
    <n v="5"/>
    <m/>
    <m/>
    <m/>
    <m/>
    <n v="7"/>
    <m/>
    <n v="3.87"/>
    <d v="2015-07-06T00:00:00"/>
    <m/>
    <m/>
    <m/>
    <m/>
    <n v="11.11"/>
    <d v="2015-07-15T00:00:00"/>
    <n v="18.5"/>
    <d v="2015-07-06T00:00:00"/>
    <m/>
    <m/>
    <m/>
    <m/>
    <m/>
    <m/>
    <x v="386"/>
    <m/>
    <n v="21.125809325809325"/>
    <d v="2015-07-06T00:00:00"/>
    <m/>
    <m/>
    <n v="10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4.731999999999999"/>
    <d v="2015-07-15T00:00:00"/>
    <m/>
    <m/>
    <m/>
    <m/>
    <n v="51.590049743652344"/>
    <d v="2015-07-15T00:00:00"/>
    <n v="17.608831405639648"/>
    <d v="2015-07-15T00:00:00"/>
    <n v="14.263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030"/>
    <s v="Matador"/>
    <x v="0"/>
    <x v="2"/>
    <n v="9"/>
    <n v="1"/>
    <n v="9"/>
    <m/>
    <m/>
    <m/>
    <m/>
    <n v="8"/>
    <m/>
    <n v="3.82"/>
    <d v="2015-07-06T00:00:00"/>
    <m/>
    <m/>
    <m/>
    <m/>
    <n v="10.5"/>
    <d v="2015-07-15T00:00:00"/>
    <n v="18.5"/>
    <d v="2015-07-06T00:00:00"/>
    <m/>
    <m/>
    <m/>
    <m/>
    <m/>
    <m/>
    <x v="387"/>
    <m/>
    <n v="21.56"/>
    <d v="2015-07-06T00:00:00"/>
    <m/>
    <m/>
    <n v="155"/>
    <m/>
    <m/>
    <m/>
    <n v="104"/>
    <m/>
    <m/>
    <m/>
    <m/>
    <m/>
    <m/>
    <m/>
    <m/>
    <m/>
    <m/>
    <m/>
    <m/>
    <m/>
    <n v="5"/>
    <m/>
    <m/>
    <m/>
    <m/>
    <m/>
    <m/>
    <m/>
    <m/>
    <m/>
    <m/>
    <m/>
    <n v="65.905000000000001"/>
    <d v="2015-07-15T00:00:00"/>
    <m/>
    <m/>
    <m/>
    <m/>
    <n v="48.680683135986328"/>
    <d v="2015-07-15T00:00:00"/>
    <n v="19.939292907714844"/>
    <d v="2015-07-15T00:00:00"/>
    <n v="68.295000000000002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209"/>
    <s v="Inca"/>
    <x v="1"/>
    <x v="3"/>
    <n v="74"/>
    <n v="21"/>
    <n v="2"/>
    <m/>
    <m/>
    <m/>
    <m/>
    <n v="8"/>
    <m/>
    <n v="3.91"/>
    <d v="2015-07-06T00:00:00"/>
    <m/>
    <m/>
    <m/>
    <m/>
    <n v="10.64"/>
    <d v="2015-07-15T00:00:00"/>
    <n v="18.5"/>
    <d v="2015-07-06T00:00:00"/>
    <m/>
    <m/>
    <m/>
    <m/>
    <m/>
    <m/>
    <x v="388"/>
    <m/>
    <n v="21.158360558360556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44"/>
    <d v="2015-07-15T00:00:00"/>
    <m/>
    <m/>
    <m/>
    <m/>
    <n v="49.335655212402344"/>
    <d v="2015-07-15T00:00:00"/>
    <n v="18.02507209777832"/>
    <d v="2015-07-15T00:00:00"/>
    <n v="16.138999999999999"/>
    <d v="2015-07-15T00:00:00"/>
    <m/>
    <m/>
    <m/>
    <m/>
    <n v="8.9"/>
    <d v="2015-07-06T00:00:00"/>
    <m/>
    <m/>
    <m/>
    <m/>
    <m/>
    <m/>
    <m/>
    <n v="1"/>
    <d v="2015-06-25T00:00:00"/>
    <s v="VALIDE"/>
  </r>
  <r>
    <s v="RAPSO_098"/>
    <s v="Korina"/>
    <x v="0"/>
    <x v="2"/>
    <n v="9"/>
    <m/>
    <m/>
    <n v="6"/>
    <n v="2"/>
    <m/>
    <m/>
    <n v="8"/>
    <m/>
    <n v="3.87"/>
    <d v="2015-07-06T00:00:00"/>
    <m/>
    <m/>
    <m/>
    <m/>
    <n v="11.21"/>
    <d v="2015-07-15T00:00:00"/>
    <n v="18.5"/>
    <d v="2015-07-06T00:00:00"/>
    <m/>
    <m/>
    <m/>
    <m/>
    <m/>
    <m/>
    <x v="389"/>
    <m/>
    <n v="21.63"/>
    <d v="2015-07-06T00:00:00"/>
    <m/>
    <m/>
    <n v="16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59.612000000000002"/>
    <d v="2015-07-15T00:00:00"/>
    <m/>
    <m/>
    <m/>
    <m/>
    <n v="51.84"/>
    <d v="2015-07-15T00:00:00"/>
    <n v="18.700586318969727"/>
    <d v="2015-07-15T00:00:00"/>
    <n v="59.512"/>
    <d v="2015-07-15T00:00:00"/>
    <m/>
    <m/>
    <m/>
    <m/>
    <n v="7.7"/>
    <d v="2015-07-06T00:00:00"/>
    <m/>
    <m/>
    <m/>
    <m/>
    <m/>
    <m/>
    <m/>
    <n v="7"/>
    <d v="2015-06-25T00:00:00"/>
    <s v="VALIDE"/>
  </r>
  <r>
    <s v="RAPSO_064"/>
    <s v="Victor"/>
    <x v="1"/>
    <x v="1"/>
    <n v="6"/>
    <m/>
    <m/>
    <n v="15"/>
    <n v="1"/>
    <m/>
    <m/>
    <n v="6"/>
    <m/>
    <n v="3.88"/>
    <d v="2015-07-06T00:00:00"/>
    <m/>
    <m/>
    <m/>
    <m/>
    <n v="9.73"/>
    <d v="2015-07-15T00:00:00"/>
    <n v="18.5"/>
    <d v="2015-07-06T00:00:00"/>
    <m/>
    <m/>
    <m/>
    <m/>
    <m/>
    <m/>
    <x v="390"/>
    <m/>
    <n v="21.64"/>
    <d v="2015-07-06T00:00:00"/>
    <m/>
    <m/>
    <n v="13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6.100999999999999"/>
    <d v="2015-07-15T00:00:00"/>
    <m/>
    <m/>
    <m/>
    <m/>
    <n v="44.96"/>
    <d v="2015-07-15T00:00:00"/>
    <n v="23.147605895996094"/>
    <d v="2015-07-15T00:00:00"/>
    <n v="83.495000000000005"/>
    <d v="2015-07-15T00:00:00"/>
    <m/>
    <m/>
    <m/>
    <m/>
    <n v="7.9"/>
    <d v="2015-07-06T00:00:00"/>
    <m/>
    <m/>
    <m/>
    <m/>
    <m/>
    <m/>
    <m/>
    <n v="7"/>
    <d v="2015-06-25T00:00:00"/>
    <s v="VALIDE"/>
  </r>
  <r>
    <s v="RAPSO_282"/>
    <s v="Twister"/>
    <x v="1"/>
    <x v="3"/>
    <n v="111"/>
    <n v="24"/>
    <n v="23"/>
    <m/>
    <m/>
    <m/>
    <m/>
    <n v="5"/>
    <m/>
    <n v="3.84"/>
    <d v="2015-07-06T00:00:00"/>
    <m/>
    <m/>
    <m/>
    <m/>
    <n v="10.88"/>
    <d v="2015-07-15T00:00:00"/>
    <n v="18.5"/>
    <d v="2015-07-06T00:00:00"/>
    <m/>
    <m/>
    <m/>
    <m/>
    <m/>
    <m/>
    <x v="88"/>
    <m/>
    <n v="21.23575883575883"/>
    <d v="2015-07-06T00:00:00"/>
    <m/>
    <m/>
    <n v="135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0.417000000000002"/>
    <d v="2015-07-15T00:00:00"/>
    <m/>
    <m/>
    <m/>
    <m/>
    <n v="50.270233154296875"/>
    <d v="2015-07-15T00:00:00"/>
    <n v="17.43780517578125"/>
    <d v="2015-07-15T00:00:00"/>
    <n v="17.87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03"/>
    <s v="Grizzly"/>
    <x v="1"/>
    <x v="3"/>
    <n v="71"/>
    <n v="21"/>
    <n v="11"/>
    <m/>
    <m/>
    <m/>
    <m/>
    <n v="5"/>
    <m/>
    <n v="3.91"/>
    <d v="2015-07-06T00:00:00"/>
    <m/>
    <m/>
    <m/>
    <m/>
    <n v="10.99"/>
    <d v="2015-07-15T00:00:00"/>
    <n v="18.5"/>
    <d v="2015-07-06T00:00:00"/>
    <m/>
    <m/>
    <m/>
    <m/>
    <m/>
    <m/>
    <x v="391"/>
    <m/>
    <n v="21.251262251262251"/>
    <d v="2015-07-06T00:00:00"/>
    <m/>
    <m/>
    <n v="12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3.408000000000001"/>
    <d v="2015-07-15T00:00:00"/>
    <m/>
    <m/>
    <m/>
    <m/>
    <n v="50.741954803466797"/>
    <d v="2015-07-15T00:00:00"/>
    <n v="16.728818893432617"/>
    <d v="2015-07-15T00:00:00"/>
    <n v="20.125"/>
    <d v="2015-07-15T00:00:00"/>
    <m/>
    <m/>
    <m/>
    <m/>
    <n v="8.5"/>
    <d v="2015-07-06T00:00:00"/>
    <m/>
    <m/>
    <m/>
    <m/>
    <m/>
    <m/>
    <m/>
    <n v="1"/>
    <d v="2015-06-25T00:00:00"/>
    <s v="VALIDE"/>
  </r>
  <r>
    <s v="RAPSO_253"/>
    <s v="Pacific"/>
    <x v="1"/>
    <x v="3"/>
    <n v="94"/>
    <n v="21"/>
    <n v="27"/>
    <m/>
    <m/>
    <m/>
    <m/>
    <n v="8"/>
    <m/>
    <n v="3.95"/>
    <d v="2015-07-06T00:00:00"/>
    <m/>
    <m/>
    <m/>
    <m/>
    <n v="11.34"/>
    <d v="2015-07-15T00:00:00"/>
    <n v="18.5"/>
    <d v="2015-07-06T00:00:00"/>
    <m/>
    <m/>
    <m/>
    <m/>
    <m/>
    <m/>
    <x v="392"/>
    <m/>
    <n v="21.67"/>
    <d v="2015-07-06T00:00:00"/>
    <m/>
    <m/>
    <n v="11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173999999999999"/>
    <d v="2015-07-15T00:00:00"/>
    <m/>
    <m/>
    <m/>
    <m/>
    <n v="52.336315155029297"/>
    <d v="2015-07-15T00:00:00"/>
    <n v="16.779411315917969"/>
    <d v="2015-07-15T00:00:00"/>
    <n v="14.378"/>
    <d v="2015-07-15T00:00:00"/>
    <m/>
    <m/>
    <m/>
    <m/>
    <n v="9.4"/>
    <d v="2015-07-06T00:00:00"/>
    <m/>
    <m/>
    <m/>
    <m/>
    <m/>
    <m/>
    <m/>
    <n v="3"/>
    <d v="2015-06-25T00:00:00"/>
    <s v="VALIDE"/>
  </r>
  <r>
    <s v="RAPSO_322"/>
    <s v="RAGT-08"/>
    <x v="1"/>
    <x v="1"/>
    <n v="159"/>
    <n v="13"/>
    <n v="2"/>
    <m/>
    <m/>
    <m/>
    <m/>
    <n v="3"/>
    <m/>
    <n v="3.93"/>
    <d v="2015-07-06T00:00:00"/>
    <m/>
    <m/>
    <m/>
    <m/>
    <n v="10.78"/>
    <d v="2015-07-15T00:00:00"/>
    <n v="18.5"/>
    <d v="2015-07-06T00:00:00"/>
    <m/>
    <m/>
    <m/>
    <m/>
    <m/>
    <m/>
    <x v="393"/>
    <m/>
    <n v="21.7"/>
    <d v="2015-07-06T00:00:00"/>
    <m/>
    <m/>
    <n v="12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2.005000000000003"/>
    <d v="2015-07-15T00:00:00"/>
    <m/>
    <m/>
    <m/>
    <m/>
    <n v="49.656436920166016"/>
    <d v="2015-07-15T00:00:00"/>
    <n v="16.846189498901367"/>
    <d v="2015-07-15T00:00:00"/>
    <n v="17.196000000000002"/>
    <d v="2015-07-15T00:00:00"/>
    <m/>
    <m/>
    <m/>
    <m/>
    <n v="8.8000000000000007"/>
    <d v="2015-07-06T00:00:00"/>
    <m/>
    <m/>
    <m/>
    <m/>
    <m/>
    <m/>
    <m/>
    <n v="3"/>
    <d v="2015-06-25T00:00:00"/>
    <s v="VALIDE"/>
  </r>
  <r>
    <s v="RAPSO_419"/>
    <s v="NOVOCHARTORYISKYI "/>
    <x v="0"/>
    <x v="0"/>
    <n v="20"/>
    <m/>
    <m/>
    <n v="11"/>
    <n v="1"/>
    <m/>
    <m/>
    <n v="5"/>
    <m/>
    <n v="3.89"/>
    <d v="2015-07-06T00:00:00"/>
    <m/>
    <m/>
    <m/>
    <m/>
    <n v="10.86"/>
    <d v="2015-07-15T00:00:00"/>
    <n v="18.5"/>
    <d v="2015-07-06T00:00:00"/>
    <m/>
    <m/>
    <m/>
    <m/>
    <m/>
    <m/>
    <x v="394"/>
    <m/>
    <n v="21.72"/>
    <d v="2015-07-06T00:00:00"/>
    <m/>
    <m/>
    <n v="14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7.718000000000004"/>
    <d v="2015-07-15T00:00:00"/>
    <m/>
    <m/>
    <m/>
    <m/>
    <n v="50.02"/>
    <d v="2015-07-15T00:00:00"/>
    <n v="20.876911163330078"/>
    <d v="2015-07-15T00:00:00"/>
    <n v="63.097000000000001"/>
    <d v="2015-07-15T00:00:00"/>
    <m/>
    <m/>
    <m/>
    <m/>
    <n v="7.8"/>
    <d v="2015-07-06T00:00:00"/>
    <m/>
    <m/>
    <m/>
    <m/>
    <m/>
    <m/>
    <m/>
    <n v="3"/>
    <d v="2015-06-25T00:00:00"/>
    <s v="VALIDE"/>
  </r>
  <r>
    <s v="RAPSO_124"/>
    <s v="Valdor"/>
    <x v="1"/>
    <x v="1"/>
    <n v="38"/>
    <n v="14"/>
    <n v="6"/>
    <m/>
    <m/>
    <m/>
    <m/>
    <n v="8"/>
    <m/>
    <n v="3.92"/>
    <d v="2015-07-06T00:00:00"/>
    <m/>
    <m/>
    <m/>
    <m/>
    <n v="10.75"/>
    <d v="2015-07-15T00:00:00"/>
    <n v="18.5"/>
    <d v="2015-07-06T00:00:00"/>
    <m/>
    <m/>
    <m/>
    <m/>
    <m/>
    <m/>
    <x v="395"/>
    <m/>
    <n v="21.352182952182954"/>
    <d v="2015-07-06T00:00:00"/>
    <m/>
    <m/>
    <n v="13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1.238999999999997"/>
    <d v="2015-07-15T00:00:00"/>
    <m/>
    <m/>
    <m/>
    <m/>
    <n v="49.394550323486328"/>
    <d v="2015-07-15T00:00:00"/>
    <n v="18.686733245849609"/>
    <d v="2015-07-15T00:00:00"/>
    <n v="52.177999999999997"/>
    <d v="2015-07-15T00:00:00"/>
    <m/>
    <m/>
    <m/>
    <m/>
    <n v="8.3000000000000007"/>
    <d v="2015-07-06T00:00:00"/>
    <m/>
    <m/>
    <m/>
    <m/>
    <m/>
    <m/>
    <m/>
    <n v="1"/>
    <d v="2015-06-25T00:00:00"/>
    <s v="VALIDE"/>
  </r>
  <r>
    <s v="RAPSO_023"/>
    <s v="Lembke"/>
    <x v="1"/>
    <x v="3"/>
    <n v="6"/>
    <n v="21"/>
    <n v="29"/>
    <m/>
    <m/>
    <m/>
    <m/>
    <n v="9"/>
    <m/>
    <n v="3.89"/>
    <d v="2015-07-06T00:00:00"/>
    <m/>
    <m/>
    <m/>
    <m/>
    <n v="10.88"/>
    <d v="2015-07-15T00:00:00"/>
    <n v="18.5"/>
    <d v="2015-07-06T00:00:00"/>
    <m/>
    <m/>
    <m/>
    <m/>
    <m/>
    <m/>
    <x v="396"/>
    <m/>
    <n v="21.86"/>
    <d v="2015-07-06T00:00:00"/>
    <m/>
    <m/>
    <n v="13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7.061999999999998"/>
    <d v="2015-07-15T00:00:00"/>
    <m/>
    <m/>
    <m/>
    <m/>
    <n v="49.793312072753906"/>
    <d v="2015-07-15T00:00:00"/>
    <n v="19.003734588623047"/>
    <d v="2015-07-15T00:00:00"/>
    <n v="62.268999999999998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075"/>
    <s v="Beryl"/>
    <x v="1"/>
    <x v="3"/>
    <n v="26"/>
    <n v="24"/>
    <n v="28"/>
    <m/>
    <m/>
    <m/>
    <m/>
    <n v="8"/>
    <m/>
    <n v="3.87"/>
    <d v="2015-07-06T00:00:00"/>
    <m/>
    <m/>
    <m/>
    <m/>
    <n v="10.8"/>
    <d v="2015-07-15T00:00:00"/>
    <n v="18.5"/>
    <d v="2015-07-06T00:00:00"/>
    <m/>
    <m/>
    <m/>
    <m/>
    <m/>
    <m/>
    <x v="397"/>
    <m/>
    <n v="21.89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59.993000000000002"/>
    <d v="2015-07-15T00:00:00"/>
    <m/>
    <m/>
    <m/>
    <m/>
    <n v="49.345840454101563"/>
    <d v="2015-07-15T00:00:00"/>
    <n v="19.576742172241211"/>
    <d v="2015-07-15T00:00:00"/>
    <n v="55.95"/>
    <d v="2015-07-15T00:00:00"/>
    <m/>
    <m/>
    <m/>
    <m/>
    <n v="6.6"/>
    <d v="2015-07-06T00:00:00"/>
    <m/>
    <m/>
    <m/>
    <m/>
    <m/>
    <m/>
    <m/>
    <n v="5"/>
    <d v="2015-06-25T00:00:00"/>
    <s v="VALIDE"/>
  </r>
  <r>
    <s v="RAPSO_321"/>
    <s v="RAGT-07"/>
    <x v="1"/>
    <x v="1"/>
    <n v="158"/>
    <n v="14"/>
    <n v="24"/>
    <m/>
    <m/>
    <m/>
    <m/>
    <n v="5"/>
    <m/>
    <n v="3.91"/>
    <d v="2015-07-06T00:00:00"/>
    <m/>
    <m/>
    <m/>
    <m/>
    <n v="10.91"/>
    <d v="2015-07-15T00:00:00"/>
    <n v="18.5"/>
    <d v="2015-07-06T00:00:00"/>
    <m/>
    <m/>
    <m/>
    <m/>
    <m/>
    <m/>
    <x v="398"/>
    <m/>
    <n v="21.97"/>
    <d v="2015-07-06T00:00:00"/>
    <m/>
    <m/>
    <n v="10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5.322999999999993"/>
    <d v="2015-07-15T00:00:00"/>
    <m/>
    <m/>
    <m/>
    <m/>
    <n v="49.643581390380859"/>
    <d v="2015-07-15T00:00:00"/>
    <n v="17.162490844726562"/>
    <d v="2015-07-15T00:00:00"/>
    <n v="17.114999999999998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343"/>
    <s v="Madora3-DS1"/>
    <x v="1"/>
    <x v="3"/>
    <n v="114"/>
    <n v="22"/>
    <n v="15"/>
    <m/>
    <m/>
    <m/>
    <m/>
    <n v="3"/>
    <m/>
    <n v="3.91"/>
    <d v="2015-07-06T00:00:00"/>
    <m/>
    <m/>
    <m/>
    <m/>
    <n v="11.33"/>
    <d v="2015-07-15T00:00:00"/>
    <n v="18.5"/>
    <d v="2015-07-06T00:00:00"/>
    <m/>
    <m/>
    <m/>
    <m/>
    <m/>
    <m/>
    <x v="398"/>
    <m/>
    <n v="21.97"/>
    <d v="2015-07-06T00:00:00"/>
    <m/>
    <m/>
    <n v="13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2.188000000000002"/>
    <d v="2015-07-15T00:00:00"/>
    <m/>
    <m/>
    <m/>
    <m/>
    <n v="51.577430725097656"/>
    <d v="2015-07-15T00:00:00"/>
    <n v="16.165645599365234"/>
    <d v="2015-07-15T00:00:00"/>
    <n v="19.655999999999999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122"/>
    <s v="Start"/>
    <x v="0"/>
    <x v="2"/>
    <n v="37"/>
    <n v="4"/>
    <n v="31"/>
    <m/>
    <m/>
    <m/>
    <m/>
    <n v="9"/>
    <m/>
    <n v="3.9"/>
    <d v="2015-07-06T00:00:00"/>
    <m/>
    <m/>
    <m/>
    <m/>
    <n v="10.32"/>
    <d v="2015-07-15T00:00:00"/>
    <n v="18.5"/>
    <d v="2015-07-06T00:00:00"/>
    <m/>
    <m/>
    <m/>
    <m/>
    <m/>
    <m/>
    <x v="399"/>
    <m/>
    <n v="21.590733590733592"/>
    <d v="2015-07-06T00:00:00"/>
    <m/>
    <m/>
    <n v="16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59.850999999999999"/>
    <d v="2015-07-15T00:00:00"/>
    <m/>
    <m/>
    <m/>
    <m/>
    <n v="46.872150421142578"/>
    <d v="2015-07-15T00:00:00"/>
    <n v="19.999517440795898"/>
    <d v="2015-07-15T00:00:00"/>
    <n v="30.928000000000001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076"/>
    <s v="Bienvenu - R33"/>
    <x v="1"/>
    <x v="3"/>
    <n v="27"/>
    <n v="22"/>
    <n v="3"/>
    <m/>
    <m/>
    <m/>
    <m/>
    <n v="6"/>
    <m/>
    <n v="3.96"/>
    <d v="2015-07-06T00:00:00"/>
    <m/>
    <m/>
    <m/>
    <m/>
    <n v="11.33"/>
    <d v="2015-07-15T00:00:00"/>
    <n v="18.5"/>
    <d v="2015-07-06T00:00:00"/>
    <m/>
    <m/>
    <m/>
    <m/>
    <m/>
    <m/>
    <x v="400"/>
    <m/>
    <n v="21.617107217107215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197000000000003"/>
    <d v="2015-07-15T00:00:00"/>
    <m/>
    <m/>
    <m/>
    <m/>
    <n v="51.402732849121094"/>
    <d v="2015-07-15T00:00:00"/>
    <n v="16.959245681762695"/>
    <d v="2015-07-15T00:00:00"/>
    <n v="48.822000000000003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027"/>
    <s v="Major"/>
    <x v="1"/>
    <x v="3"/>
    <n v="7"/>
    <n v="20"/>
    <n v="14"/>
    <m/>
    <m/>
    <m/>
    <m/>
    <n v="9"/>
    <m/>
    <n v="3.92"/>
    <d v="2015-07-06T00:00:00"/>
    <m/>
    <m/>
    <m/>
    <m/>
    <n v="10.93"/>
    <d v="2015-07-15T00:00:00"/>
    <n v="18.5"/>
    <d v="2015-07-06T00:00:00"/>
    <m/>
    <m/>
    <m/>
    <m/>
    <m/>
    <m/>
    <x v="401"/>
    <m/>
    <n v="22.05"/>
    <d v="2015-07-06T00:00:00"/>
    <m/>
    <m/>
    <n v="10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491"/>
    <d v="2015-07-15T00:00:00"/>
    <m/>
    <m/>
    <m/>
    <m/>
    <n v="49.572593688964844"/>
    <d v="2015-07-15T00:00:00"/>
    <n v="19.863979339599609"/>
    <d v="2015-07-15T00:00:00"/>
    <n v="64.971999999999994"/>
    <d v="2015-07-15T00:00:00"/>
    <m/>
    <m/>
    <m/>
    <m/>
    <n v="7.1"/>
    <d v="2015-07-06T00:00:00"/>
    <m/>
    <m/>
    <m/>
    <m/>
    <m/>
    <m/>
    <m/>
    <n v="5"/>
    <d v="2015-06-25T00:00:00"/>
    <s v="VALIDE"/>
  </r>
  <r>
    <s v="RAPSO_067"/>
    <s v="Warzanwski"/>
    <x v="1"/>
    <x v="1"/>
    <n v="7"/>
    <m/>
    <m/>
    <n v="13"/>
    <n v="2"/>
    <m/>
    <m/>
    <n v="9"/>
    <m/>
    <n v="3.95"/>
    <d v="2015-07-06T00:00:00"/>
    <m/>
    <m/>
    <m/>
    <m/>
    <n v="10.5"/>
    <d v="2015-07-15T00:00:00"/>
    <n v="18.5"/>
    <d v="2015-07-06T00:00:00"/>
    <m/>
    <m/>
    <m/>
    <m/>
    <m/>
    <m/>
    <x v="402"/>
    <m/>
    <n v="22.05"/>
    <d v="2015-07-06T00:00:00"/>
    <m/>
    <m/>
    <n v="11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4.796000000000006"/>
    <d v="2015-07-15T00:00:00"/>
    <m/>
    <m/>
    <m/>
    <m/>
    <n v="47.62"/>
    <d v="2015-07-15T00:00:00"/>
    <n v="20.411806106567383"/>
    <d v="2015-07-15T00:00:00"/>
    <n v="65.209000000000003"/>
    <d v="2015-07-15T00:00:00"/>
    <m/>
    <m/>
    <m/>
    <m/>
    <n v="7.8"/>
    <d v="2015-07-06T00:00:00"/>
    <m/>
    <m/>
    <m/>
    <m/>
    <m/>
    <m/>
    <m/>
    <n v="3"/>
    <d v="2015-06-25T00:00:00"/>
    <s v="VALIDE"/>
  </r>
  <r>
    <s v="RAPSO_154"/>
    <s v="Campala"/>
    <x v="1"/>
    <x v="3"/>
    <n v="50"/>
    <n v="20"/>
    <n v="5"/>
    <m/>
    <m/>
    <m/>
    <m/>
    <n v="9"/>
    <m/>
    <n v="4"/>
    <d v="2015-07-06T00:00:00"/>
    <m/>
    <m/>
    <m/>
    <m/>
    <n v="11.49"/>
    <d v="2015-07-15T00:00:00"/>
    <n v="18.5"/>
    <d v="2015-07-06T00:00:00"/>
    <m/>
    <m/>
    <m/>
    <m/>
    <m/>
    <m/>
    <x v="403"/>
    <m/>
    <n v="21.66914166914167"/>
    <d v="2015-07-06T00:00:00"/>
    <m/>
    <m/>
    <n v="12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4.706999999999994"/>
    <d v="2015-07-15T00:00:00"/>
    <m/>
    <m/>
    <m/>
    <m/>
    <n v="52.024070739746094"/>
    <d v="2015-07-15T00:00:00"/>
    <n v="16.872945785522461"/>
    <d v="2015-07-15T00:00:00"/>
    <n v="14.603999999999999"/>
    <d v="2015-07-15T00:00:00"/>
    <m/>
    <m/>
    <m/>
    <m/>
    <n v="8.8000000000000007"/>
    <d v="2015-07-06T00:00:00"/>
    <m/>
    <m/>
    <m/>
    <m/>
    <m/>
    <m/>
    <m/>
    <n v="1"/>
    <d v="2015-06-25T00:00:00"/>
    <s v="VALIDE"/>
  </r>
  <r>
    <s v="RAPSO_075"/>
    <s v="Beryl"/>
    <x v="1"/>
    <x v="1"/>
    <n v="26"/>
    <n v="13"/>
    <n v="4"/>
    <m/>
    <m/>
    <m/>
    <m/>
    <n v="9"/>
    <m/>
    <n v="4"/>
    <d v="2015-07-06T00:00:00"/>
    <m/>
    <m/>
    <m/>
    <m/>
    <n v="10.75"/>
    <d v="2015-07-15T00:00:00"/>
    <n v="18.5"/>
    <d v="2015-07-06T00:00:00"/>
    <m/>
    <m/>
    <m/>
    <m/>
    <m/>
    <m/>
    <x v="404"/>
    <m/>
    <n v="22.11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59.125"/>
    <d v="2015-07-15T00:00:00"/>
    <m/>
    <m/>
    <m/>
    <m/>
    <n v="48.59918212890625"/>
    <d v="2015-07-15T00:00:00"/>
    <n v="20.743183135986328"/>
    <d v="2015-07-15T00:00:00"/>
    <n v="69.225999999999999"/>
    <d v="2015-07-15T00:00:00"/>
    <m/>
    <m/>
    <m/>
    <m/>
    <n v="8.6999999999999993"/>
    <d v="2015-07-06T00:00:00"/>
    <m/>
    <m/>
    <m/>
    <m/>
    <m/>
    <m/>
    <m/>
    <n v="3"/>
    <d v="2015-06-25T00:00:00"/>
    <s v="VALIDE"/>
  </r>
  <r>
    <s v="RAPSO_227"/>
    <s v="Liporta"/>
    <x v="1"/>
    <x v="3"/>
    <n v="82"/>
    <n v="21"/>
    <n v="1"/>
    <m/>
    <m/>
    <m/>
    <m/>
    <n v="7"/>
    <m/>
    <n v="4"/>
    <d v="2015-07-06T00:00:00"/>
    <m/>
    <m/>
    <m/>
    <m/>
    <n v="11.2"/>
    <d v="2015-07-15T00:00:00"/>
    <n v="18.5"/>
    <d v="2015-07-06T00:00:00"/>
    <m/>
    <m/>
    <m/>
    <m/>
    <m/>
    <m/>
    <x v="404"/>
    <m/>
    <n v="22.11"/>
    <d v="2015-07-06T00:00:00"/>
    <m/>
    <m/>
    <n v="12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3.975000000000001"/>
    <d v="2015-07-15T00:00:00"/>
    <m/>
    <m/>
    <m/>
    <m/>
    <n v="50.669933319091797"/>
    <d v="2015-07-15T00:00:00"/>
    <n v="17.589088439941406"/>
    <d v="2015-07-15T00:00:00"/>
    <n v="17.239999999999998"/>
    <d v="2015-07-15T00:00:00"/>
    <m/>
    <m/>
    <m/>
    <m/>
    <n v="8.6999999999999993"/>
    <d v="2015-07-06T00:00:00"/>
    <m/>
    <m/>
    <m/>
    <m/>
    <m/>
    <m/>
    <m/>
    <n v="3"/>
    <d v="2015-06-25T00:00:00"/>
    <s v="VALIDE"/>
  </r>
  <r>
    <s v="RAPSO_167"/>
    <s v="Chelsi"/>
    <x v="1"/>
    <x v="3"/>
    <n v="57"/>
    <n v="21"/>
    <n v="24"/>
    <m/>
    <m/>
    <m/>
    <m/>
    <n v="9"/>
    <m/>
    <n v="4.04"/>
    <d v="2015-07-06T00:00:00"/>
    <m/>
    <m/>
    <m/>
    <m/>
    <n v="11.19"/>
    <d v="2015-07-15T00:00:00"/>
    <n v="18.5"/>
    <d v="2015-07-06T00:00:00"/>
    <m/>
    <m/>
    <m/>
    <m/>
    <m/>
    <m/>
    <x v="405"/>
    <m/>
    <n v="22.12"/>
    <d v="2015-07-06T00:00:00"/>
    <m/>
    <m/>
    <n v="11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6.36"/>
    <d v="2015-07-15T00:00:00"/>
    <m/>
    <m/>
    <m/>
    <m/>
    <n v="50.577583312988281"/>
    <d v="2015-07-15T00:00:00"/>
    <n v="17.674976348876953"/>
    <d v="2015-07-15T00:00:00"/>
    <n v="18.209"/>
    <d v="2015-07-15T00:00:00"/>
    <m/>
    <m/>
    <m/>
    <m/>
    <n v="9.6"/>
    <d v="2015-07-06T00:00:00"/>
    <m/>
    <m/>
    <m/>
    <m/>
    <m/>
    <m/>
    <m/>
    <n v="5"/>
    <d v="2015-06-25T00:00:00"/>
    <s v="VALIDE"/>
  </r>
  <r>
    <s v="RAPSO_418"/>
    <s v="NIEDERARNBACHER "/>
    <x v="1"/>
    <x v="3"/>
    <n v="19"/>
    <m/>
    <m/>
    <n v="20"/>
    <n v="4"/>
    <m/>
    <m/>
    <n v="8"/>
    <m/>
    <n v="3.94"/>
    <d v="2015-07-06T00:00:00"/>
    <m/>
    <m/>
    <m/>
    <m/>
    <n v="10.91"/>
    <d v="2015-07-15T00:00:00"/>
    <n v="18.5"/>
    <d v="2015-07-06T00:00:00"/>
    <m/>
    <m/>
    <m/>
    <m/>
    <m/>
    <m/>
    <x v="406"/>
    <m/>
    <n v="22.12"/>
    <d v="2015-07-06T00:00:00"/>
    <m/>
    <m/>
    <n v="110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4.837999999999994"/>
    <d v="2015-07-15T00:00:00"/>
    <m/>
    <m/>
    <m/>
    <m/>
    <n v="49.31"/>
    <d v="2015-07-15T00:00:00"/>
    <n v="21.391017913818359"/>
    <d v="2015-07-15T00:00:00"/>
    <n v="78.531000000000006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171"/>
    <s v="Colvert"/>
    <x v="1"/>
    <x v="1"/>
    <n v="59"/>
    <n v="15"/>
    <n v="28"/>
    <m/>
    <m/>
    <m/>
    <m/>
    <n v="8"/>
    <m/>
    <n v="3.93"/>
    <d v="2015-07-06T00:00:00"/>
    <m/>
    <m/>
    <m/>
    <m/>
    <n v="11.11"/>
    <d v="2015-07-15T00:00:00"/>
    <n v="18.5"/>
    <d v="2015-07-06T00:00:00"/>
    <m/>
    <m/>
    <m/>
    <m/>
    <m/>
    <m/>
    <x v="407"/>
    <m/>
    <n v="22.13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97"/>
    <d v="2015-07-15T00:00:00"/>
    <m/>
    <m/>
    <m/>
    <m/>
    <n v="50.189811706542969"/>
    <d v="2015-07-15T00:00:00"/>
    <n v="19.00660514831543"/>
    <d v="2015-07-15T00:00:00"/>
    <n v="18.710999999999999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193"/>
    <s v="Express"/>
    <x v="1"/>
    <x v="3"/>
    <n v="68"/>
    <n v="20"/>
    <n v="26"/>
    <m/>
    <m/>
    <m/>
    <m/>
    <n v="5"/>
    <m/>
    <n v="4"/>
    <d v="2015-07-06T00:00:00"/>
    <m/>
    <m/>
    <m/>
    <m/>
    <n v="11.13"/>
    <d v="2015-07-15T00:00:00"/>
    <n v="18.5"/>
    <d v="2015-07-06T00:00:00"/>
    <m/>
    <m/>
    <m/>
    <m/>
    <m/>
    <m/>
    <x v="408"/>
    <m/>
    <n v="22.19"/>
    <d v="2015-07-06T00:00:00"/>
    <m/>
    <m/>
    <n v="10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585999999999999"/>
    <d v="2015-07-15T00:00:00"/>
    <m/>
    <m/>
    <m/>
    <m/>
    <n v="50.178054809570312"/>
    <d v="2015-07-15T00:00:00"/>
    <n v="18.307226181030273"/>
    <d v="2015-07-15T00:00:00"/>
    <n v="22.585999999999999"/>
    <d v="2015-07-15T00:00:00"/>
    <m/>
    <m/>
    <m/>
    <m/>
    <n v="8.4"/>
    <d v="2015-07-06T00:00:00"/>
    <m/>
    <m/>
    <m/>
    <m/>
    <m/>
    <m/>
    <m/>
    <n v="3"/>
    <d v="2015-06-25T00:00:00"/>
    <s v="VALIDE"/>
  </r>
  <r>
    <s v="RAPSO_254"/>
    <s v="PAYROL"/>
    <x v="1"/>
    <x v="1"/>
    <n v="95"/>
    <n v="16"/>
    <n v="24"/>
    <m/>
    <m/>
    <m/>
    <m/>
    <n v="3"/>
    <m/>
    <n v="3.94"/>
    <d v="2015-07-06T00:00:00"/>
    <m/>
    <m/>
    <m/>
    <m/>
    <n v="10.79"/>
    <d v="2015-07-15T00:00:00"/>
    <n v="18.5"/>
    <d v="2015-07-06T00:00:00"/>
    <m/>
    <m/>
    <m/>
    <m/>
    <m/>
    <m/>
    <x v="409"/>
    <m/>
    <n v="22.21"/>
    <d v="2015-07-06T00:00:00"/>
    <m/>
    <m/>
    <n v="13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150000000000006"/>
    <d v="2015-07-15T00:00:00"/>
    <m/>
    <m/>
    <m/>
    <m/>
    <n v="48.569068908691406"/>
    <d v="2015-07-15T00:00:00"/>
    <n v="18.668855667114258"/>
    <d v="2015-07-15T00:00:00"/>
    <n v="28.367000000000001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072"/>
    <s v="Aztec"/>
    <x v="1"/>
    <x v="1"/>
    <n v="24"/>
    <n v="15"/>
    <n v="20"/>
    <m/>
    <m/>
    <m/>
    <m/>
    <n v="9"/>
    <m/>
    <n v="3.95"/>
    <d v="2015-07-06T00:00:00"/>
    <m/>
    <m/>
    <m/>
    <m/>
    <n v="10.49"/>
    <d v="2015-07-15T00:00:00"/>
    <n v="18.5"/>
    <d v="2015-07-06T00:00:00"/>
    <m/>
    <m/>
    <m/>
    <m/>
    <m/>
    <m/>
    <x v="410"/>
    <m/>
    <n v="22.22"/>
    <d v="2015-07-06T00:00:00"/>
    <m/>
    <m/>
    <n v="12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5.388000000000005"/>
    <d v="2015-07-15T00:00:00"/>
    <m/>
    <m/>
    <m/>
    <m/>
    <n v="47.195606231689453"/>
    <d v="2015-07-15T00:00:00"/>
    <n v="20.431777954101563"/>
    <d v="2015-07-15T00:00:00"/>
    <n v="60.027999999999999"/>
    <d v="2015-07-15T00:00:00"/>
    <m/>
    <m/>
    <m/>
    <m/>
    <n v="7.1"/>
    <d v="2015-07-06T00:00:00"/>
    <m/>
    <m/>
    <m/>
    <m/>
    <m/>
    <m/>
    <m/>
    <n v="7"/>
    <d v="2015-06-25T00:00:00"/>
    <s v="VALIDE"/>
  </r>
  <r>
    <s v="RAPSO_138"/>
    <s v="Ariana"/>
    <x v="1"/>
    <x v="1"/>
    <n v="44"/>
    <n v="14"/>
    <n v="3"/>
    <m/>
    <m/>
    <m/>
    <m/>
    <n v="8"/>
    <m/>
    <n v="4"/>
    <d v="2015-07-06T00:00:00"/>
    <m/>
    <m/>
    <m/>
    <m/>
    <n v="10.44"/>
    <d v="2015-07-15T00:00:00"/>
    <n v="18.5"/>
    <d v="2015-07-06T00:00:00"/>
    <m/>
    <m/>
    <m/>
    <m/>
    <m/>
    <m/>
    <x v="411"/>
    <m/>
    <n v="21.811701811701813"/>
    <d v="2015-07-06T00:00:00"/>
    <m/>
    <m/>
    <n v="150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61.518999999999998"/>
    <d v="2015-07-15T00:00:00"/>
    <m/>
    <m/>
    <m/>
    <m/>
    <n v="46.9305419921875"/>
    <d v="2015-07-15T00:00:00"/>
    <n v="18.934440612792969"/>
    <d v="2015-07-15T00:00:00"/>
    <n v="22.501999999999999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243"/>
    <s v="Montego"/>
    <x v="1"/>
    <x v="3"/>
    <n v="89"/>
    <n v="20"/>
    <n v="6"/>
    <m/>
    <m/>
    <m/>
    <m/>
    <n v="7"/>
    <m/>
    <n v="4"/>
    <d v="2015-07-06T00:00:00"/>
    <m/>
    <m/>
    <m/>
    <m/>
    <n v="11.1"/>
    <d v="2015-07-15T00:00:00"/>
    <n v="18.5"/>
    <d v="2015-07-06T00:00:00"/>
    <m/>
    <m/>
    <m/>
    <m/>
    <m/>
    <m/>
    <x v="411"/>
    <m/>
    <n v="21.811701811701813"/>
    <d v="2015-07-06T00:00:00"/>
    <m/>
    <m/>
    <n v="10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572000000000003"/>
    <d v="2015-07-15T00:00:00"/>
    <m/>
    <m/>
    <m/>
    <m/>
    <n v="49.910133361816406"/>
    <d v="2015-07-15T00:00:00"/>
    <n v="19.498712539672852"/>
    <d v="2015-07-15T00:00:00"/>
    <n v="14.895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135"/>
    <s v="Amber"/>
    <x v="1"/>
    <x v="3"/>
    <n v="43"/>
    <n v="24"/>
    <n v="30"/>
    <m/>
    <m/>
    <m/>
    <m/>
    <n v="5"/>
    <m/>
    <n v="3.94"/>
    <d v="2015-07-06T00:00:00"/>
    <m/>
    <m/>
    <m/>
    <m/>
    <n v="11.46"/>
    <d v="2015-07-15T00:00:00"/>
    <n v="18.5"/>
    <d v="2015-07-06T00:00:00"/>
    <m/>
    <m/>
    <m/>
    <m/>
    <m/>
    <m/>
    <x v="412"/>
    <m/>
    <n v="22.26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219000000000001"/>
    <d v="2015-07-15T00:00:00"/>
    <m/>
    <m/>
    <m/>
    <m/>
    <n v="51.482135772705078"/>
    <d v="2015-07-15T00:00:00"/>
    <n v="17.211034774780273"/>
    <d v="2015-07-15T00:00:00"/>
    <n v="16.765999999999998"/>
    <d v="2015-07-15T00:00:00"/>
    <m/>
    <m/>
    <m/>
    <m/>
    <n v="6.7"/>
    <d v="2015-07-06T00:00:00"/>
    <m/>
    <m/>
    <m/>
    <m/>
    <m/>
    <m/>
    <m/>
    <n v="3"/>
    <d v="2015-06-25T00:00:00"/>
    <s v="VALIDE"/>
  </r>
  <r>
    <s v="RAPSO_041"/>
    <s v="Orléans"/>
    <x v="1"/>
    <x v="3"/>
    <n v="14"/>
    <n v="23"/>
    <n v="23"/>
    <m/>
    <m/>
    <m/>
    <m/>
    <n v="8"/>
    <m/>
    <n v="3.95"/>
    <d v="2015-07-06T00:00:00"/>
    <m/>
    <m/>
    <m/>
    <m/>
    <n v="10.69"/>
    <d v="2015-07-15T00:00:00"/>
    <n v="18.5"/>
    <d v="2015-07-06T00:00:00"/>
    <m/>
    <m/>
    <m/>
    <m/>
    <m/>
    <m/>
    <x v="413"/>
    <m/>
    <n v="22.27"/>
    <d v="2015-07-06T00:00:00"/>
    <m/>
    <m/>
    <n v="12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4.822999999999993"/>
    <d v="2015-07-15T00:00:00"/>
    <m/>
    <m/>
    <m/>
    <m/>
    <n v="47.986236572265625"/>
    <d v="2015-07-15T00:00:00"/>
    <n v="20.658849716186523"/>
    <d v="2015-07-15T00:00:00"/>
    <n v="60.923000000000002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155"/>
    <s v="Canberra"/>
    <x v="1"/>
    <x v="3"/>
    <n v="51"/>
    <n v="24"/>
    <n v="26"/>
    <m/>
    <m/>
    <m/>
    <m/>
    <n v="5"/>
    <m/>
    <n v="3.95"/>
    <d v="2015-07-06T00:00:00"/>
    <m/>
    <m/>
    <m/>
    <m/>
    <n v="11.46"/>
    <d v="2015-07-15T00:00:00"/>
    <n v="18.5"/>
    <d v="2015-07-06T00:00:00"/>
    <m/>
    <m/>
    <m/>
    <m/>
    <m/>
    <m/>
    <x v="413"/>
    <m/>
    <n v="21.844074844074843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215000000000003"/>
    <d v="2015-07-15T00:00:00"/>
    <m/>
    <m/>
    <m/>
    <m/>
    <n v="51.450950622558594"/>
    <d v="2015-07-15T00:00:00"/>
    <n v="18.000629425048828"/>
    <d v="2015-07-15T00:00:00"/>
    <n v="19.611999999999998"/>
    <d v="2015-07-15T00:00:00"/>
    <m/>
    <m/>
    <m/>
    <m/>
    <n v="6.9"/>
    <d v="2015-07-06T00:00:00"/>
    <m/>
    <m/>
    <m/>
    <m/>
    <m/>
    <m/>
    <m/>
    <n v="1"/>
    <d v="2015-06-25T00:00:00"/>
    <s v="VALIDE"/>
  </r>
  <r>
    <s v="Montego"/>
    <s v="Montego"/>
    <x v="1"/>
    <x v="3"/>
    <n v="188"/>
    <n v="21"/>
    <n v="25"/>
    <m/>
    <m/>
    <m/>
    <m/>
    <n v="6"/>
    <m/>
    <n v="4"/>
    <d v="2015-07-06T00:00:00"/>
    <m/>
    <m/>
    <m/>
    <m/>
    <n v="11.4"/>
    <d v="2015-07-15T00:00:00"/>
    <n v="18.5"/>
    <d v="2015-07-06T00:00:00"/>
    <m/>
    <m/>
    <m/>
    <m/>
    <m/>
    <m/>
    <x v="414"/>
    <m/>
    <n v="22.28"/>
    <d v="2015-07-06T00:00:00"/>
    <m/>
    <m/>
    <n v="10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055999999999997"/>
    <d v="2015-07-15T00:00:00"/>
    <m/>
    <m/>
    <m/>
    <m/>
    <n v="51.1712646484375"/>
    <d v="2015-07-15T00:00:00"/>
    <n v="18.456367492675781"/>
    <d v="2015-07-15T00:00:00"/>
    <n v="15.009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176"/>
    <s v="Darmor"/>
    <x v="1"/>
    <x v="1"/>
    <n v="62"/>
    <n v="14"/>
    <n v="11"/>
    <m/>
    <m/>
    <m/>
    <m/>
    <n v="9"/>
    <m/>
    <n v="4.01"/>
    <d v="2015-07-06T00:00:00"/>
    <m/>
    <m/>
    <m/>
    <m/>
    <n v="10.84"/>
    <d v="2015-07-15T00:00:00"/>
    <n v="18.5"/>
    <d v="2015-07-06T00:00:00"/>
    <m/>
    <m/>
    <m/>
    <m/>
    <m/>
    <m/>
    <x v="415"/>
    <m/>
    <n v="22.29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0.715000000000003"/>
    <d v="2015-07-15T00:00:00"/>
    <m/>
    <m/>
    <m/>
    <m/>
    <n v="48.618240356445313"/>
    <d v="2015-07-15T00:00:00"/>
    <n v="17.855379104614258"/>
    <d v="2015-07-15T00:00:00"/>
    <n v="34.262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073"/>
    <s v="Belinda"/>
    <x v="1"/>
    <x v="3"/>
    <n v="25"/>
    <n v="19"/>
    <n v="29"/>
    <m/>
    <m/>
    <m/>
    <m/>
    <n v="8"/>
    <m/>
    <n v="3.96"/>
    <d v="2015-07-06T00:00:00"/>
    <m/>
    <m/>
    <m/>
    <m/>
    <n v="10.53"/>
    <d v="2015-07-15T00:00:00"/>
    <n v="18.5"/>
    <d v="2015-07-06T00:00:00"/>
    <m/>
    <m/>
    <m/>
    <m/>
    <m/>
    <m/>
    <x v="416"/>
    <m/>
    <n v="22.3"/>
    <d v="2015-07-06T00:00:00"/>
    <m/>
    <m/>
    <n v="13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1.066000000000003"/>
    <d v="2015-07-15T00:00:00"/>
    <m/>
    <m/>
    <m/>
    <m/>
    <n v="47.197052001953125"/>
    <d v="2015-07-15T00:00:00"/>
    <n v="20.546503067016602"/>
    <d v="2015-07-15T00:00:00"/>
    <n v="68.772000000000006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220"/>
    <s v="Liberator"/>
    <x v="1"/>
    <x v="3"/>
    <n v="79"/>
    <n v="20"/>
    <n v="11"/>
    <m/>
    <m/>
    <m/>
    <m/>
    <n v="9"/>
    <m/>
    <n v="4"/>
    <d v="2015-07-06T00:00:00"/>
    <m/>
    <m/>
    <m/>
    <m/>
    <n v="10.67"/>
    <d v="2015-07-15T00:00:00"/>
    <n v="18.5"/>
    <d v="2015-07-06T00:00:00"/>
    <m/>
    <m/>
    <m/>
    <m/>
    <m/>
    <m/>
    <x v="417"/>
    <m/>
    <n v="22.36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241999999999997"/>
    <d v="2015-07-15T00:00:00"/>
    <m/>
    <m/>
    <m/>
    <m/>
    <n v="47.72930908203125"/>
    <d v="2015-07-15T00:00:00"/>
    <n v="19.620410919189453"/>
    <d v="2015-07-15T00:00:00"/>
    <n v="18.942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418"/>
    <s v="NIEDERARNBACHER "/>
    <x v="0"/>
    <x v="2"/>
    <n v="19"/>
    <m/>
    <m/>
    <n v="4"/>
    <n v="1"/>
    <m/>
    <m/>
    <n v="7"/>
    <m/>
    <n v="4"/>
    <d v="2015-07-06T00:00:00"/>
    <m/>
    <m/>
    <m/>
    <m/>
    <n v="11.43"/>
    <d v="2015-07-15T00:00:00"/>
    <n v="18.5"/>
    <d v="2015-07-06T00:00:00"/>
    <m/>
    <m/>
    <m/>
    <m/>
    <m/>
    <m/>
    <x v="417"/>
    <m/>
    <n v="22.36"/>
    <d v="2015-07-06T00:00:00"/>
    <m/>
    <m/>
    <n v="13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4.841999999999999"/>
    <d v="2015-07-15T00:00:00"/>
    <m/>
    <m/>
    <m/>
    <m/>
    <n v="51.1"/>
    <d v="2015-07-15T00:00:00"/>
    <n v="19.104621887207031"/>
    <d v="2015-07-15T00:00:00"/>
    <n v="73.293000000000006"/>
    <d v="2015-07-15T00:00:00"/>
    <m/>
    <m/>
    <m/>
    <m/>
    <n v="7.7"/>
    <d v="2015-07-06T00:00:00"/>
    <m/>
    <m/>
    <m/>
    <m/>
    <m/>
    <m/>
    <m/>
    <n v="7"/>
    <d v="2015-06-25T00:00:00"/>
    <s v="VALIDE"/>
  </r>
  <r>
    <s v="BRA_005"/>
    <s v="Sarepta"/>
    <x v="0"/>
    <x v="2"/>
    <n v="123"/>
    <n v="1"/>
    <n v="17"/>
    <m/>
    <m/>
    <m/>
    <m/>
    <n v="6"/>
    <m/>
    <n v="3.96"/>
    <d v="2015-07-06T00:00:00"/>
    <m/>
    <m/>
    <m/>
    <m/>
    <n v="11.25"/>
    <d v="2015-07-15T00:00:00"/>
    <n v="18.5"/>
    <d v="2015-07-06T00:00:00"/>
    <m/>
    <m/>
    <m/>
    <m/>
    <m/>
    <m/>
    <x v="418"/>
    <m/>
    <n v="21.946421146421148"/>
    <d v="2015-07-06T00:00:00"/>
    <m/>
    <m/>
    <n v="16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561999999999998"/>
    <d v="2015-07-15T00:00:00"/>
    <m/>
    <m/>
    <m/>
    <m/>
    <n v="50.28265380859375"/>
    <d v="2015-07-15T00:00:00"/>
    <n v="17.810791015625"/>
    <d v="2015-07-15T00:00:00"/>
    <n v="43.252000000000002"/>
    <d v="2015-07-15T00:00:00"/>
    <m/>
    <m/>
    <m/>
    <m/>
    <n v="6.7"/>
    <d v="2015-07-06T00:00:00"/>
    <m/>
    <m/>
    <m/>
    <m/>
    <m/>
    <m/>
    <m/>
    <n v="1"/>
    <d v="2015-06-25T00:00:00"/>
    <s v="VALIDE"/>
  </r>
  <r>
    <s v="RAPSO_261"/>
    <s v="Remy"/>
    <x v="1"/>
    <x v="1"/>
    <n v="100"/>
    <n v="14"/>
    <n v="13"/>
    <m/>
    <m/>
    <m/>
    <m/>
    <n v="7"/>
    <m/>
    <n v="4.03"/>
    <d v="2015-07-06T00:00:00"/>
    <m/>
    <m/>
    <m/>
    <m/>
    <n v="11.02"/>
    <d v="2015-07-15T00:00:00"/>
    <n v="18.5"/>
    <d v="2015-07-06T00:00:00"/>
    <m/>
    <m/>
    <m/>
    <m/>
    <m/>
    <m/>
    <x v="419"/>
    <m/>
    <n v="22.38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673000000000002"/>
    <d v="2015-07-15T00:00:00"/>
    <m/>
    <m/>
    <m/>
    <m/>
    <n v="49.257476806640625"/>
    <d v="2015-07-15T00:00:00"/>
    <n v="18.359289169311523"/>
    <d v="2015-07-15T00:00:00"/>
    <n v="13.321999999999999"/>
    <d v="2015-07-15T00:00:00"/>
    <m/>
    <m/>
    <m/>
    <m/>
    <n v="8.3000000000000007"/>
    <d v="2015-07-06T00:00:00"/>
    <m/>
    <m/>
    <m/>
    <m/>
    <m/>
    <m/>
    <m/>
    <n v="3"/>
    <d v="2015-06-25T00:00:00"/>
    <s v="VALIDE"/>
  </r>
  <r>
    <s v="RAPSO_231"/>
    <s v="Lirajet"/>
    <x v="1"/>
    <x v="3"/>
    <n v="84"/>
    <n v="23"/>
    <n v="17"/>
    <m/>
    <m/>
    <m/>
    <m/>
    <n v="5"/>
    <m/>
    <n v="4.03"/>
    <d v="2015-07-06T00:00:00"/>
    <m/>
    <m/>
    <m/>
    <m/>
    <n v="11.19"/>
    <d v="2015-07-15T00:00:00"/>
    <n v="18.5"/>
    <d v="2015-07-06T00:00:00"/>
    <m/>
    <m/>
    <m/>
    <m/>
    <m/>
    <m/>
    <x v="420"/>
    <m/>
    <n v="22.43"/>
    <d v="2015-07-06T00:00:00"/>
    <m/>
    <m/>
    <n v="11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861999999999995"/>
    <d v="2015-07-15T00:00:00"/>
    <m/>
    <m/>
    <m/>
    <m/>
    <n v="49.878059387207031"/>
    <d v="2015-07-15T00:00:00"/>
    <n v="17.084907531738281"/>
    <d v="2015-07-15T00:00:00"/>
    <n v="13.951000000000001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245"/>
    <s v="Navajo"/>
    <x v="1"/>
    <x v="3"/>
    <n v="90"/>
    <n v="22"/>
    <n v="29"/>
    <m/>
    <m/>
    <m/>
    <m/>
    <n v="3"/>
    <m/>
    <n v="4.03"/>
    <d v="2015-07-06T00:00:00"/>
    <m/>
    <m/>
    <m/>
    <m/>
    <n v="10.34"/>
    <d v="2015-07-15T00:00:00"/>
    <n v="18.5"/>
    <d v="2015-07-06T00:00:00"/>
    <m/>
    <m/>
    <m/>
    <m/>
    <m/>
    <m/>
    <x v="420"/>
    <m/>
    <n v="22.43"/>
    <d v="2015-07-06T00:00:00"/>
    <m/>
    <m/>
    <n v="11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6.652000000000001"/>
    <d v="2015-07-15T00:00:00"/>
    <m/>
    <m/>
    <m/>
    <m/>
    <n v="46.098518371582031"/>
    <d v="2015-07-15T00:00:00"/>
    <n v="19.206422805786133"/>
    <d v="2015-07-15T00:00:00"/>
    <n v="21.231000000000002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102"/>
    <s v="Lesira"/>
    <x v="1"/>
    <x v="3"/>
    <n v="34"/>
    <n v="22"/>
    <n v="21"/>
    <m/>
    <m/>
    <m/>
    <m/>
    <n v="6"/>
    <m/>
    <n v="4.04"/>
    <d v="2015-07-06T00:00:00"/>
    <m/>
    <m/>
    <m/>
    <m/>
    <n v="10.74"/>
    <d v="2015-07-15T00:00:00"/>
    <n v="18.5"/>
    <d v="2015-07-06T00:00:00"/>
    <m/>
    <m/>
    <m/>
    <m/>
    <m/>
    <m/>
    <x v="421"/>
    <m/>
    <n v="22.46"/>
    <d v="2015-07-06T00:00:00"/>
    <m/>
    <m/>
    <n v="13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2.45"/>
    <d v="2015-07-15T00:00:00"/>
    <m/>
    <m/>
    <m/>
    <m/>
    <n v="47.815689086914063"/>
    <d v="2015-07-15T00:00:00"/>
    <n v="18.493278503417969"/>
    <d v="2015-07-15T00:00:00"/>
    <n v="62.94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277"/>
    <s v="Tenor"/>
    <x v="1"/>
    <x v="3"/>
    <n v="108"/>
    <n v="24"/>
    <n v="3"/>
    <m/>
    <m/>
    <m/>
    <m/>
    <n v="8"/>
    <m/>
    <n v="4.0199999999999996"/>
    <d v="2015-07-06T00:00:00"/>
    <m/>
    <m/>
    <m/>
    <m/>
    <n v="11.48"/>
    <d v="2015-07-15T00:00:00"/>
    <n v="18.5"/>
    <d v="2015-07-06T00:00:00"/>
    <m/>
    <m/>
    <m/>
    <m/>
    <m/>
    <m/>
    <x v="422"/>
    <m/>
    <n v="22.47"/>
    <d v="2015-07-06T00:00:00"/>
    <m/>
    <m/>
    <n v="12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331999999999994"/>
    <d v="2015-07-15T00:00:00"/>
    <m/>
    <m/>
    <m/>
    <m/>
    <n v="51.067527770996094"/>
    <d v="2015-07-15T00:00:00"/>
    <n v="18.552642822265625"/>
    <d v="2015-07-15T00:00:00"/>
    <n v="21.484000000000002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343"/>
    <s v="Madora3-DS1"/>
    <x v="1"/>
    <x v="1"/>
    <n v="114"/>
    <n v="17"/>
    <n v="17"/>
    <m/>
    <m/>
    <m/>
    <m/>
    <n v="3"/>
    <m/>
    <n v="4.04"/>
    <d v="2015-07-06T00:00:00"/>
    <m/>
    <m/>
    <m/>
    <m/>
    <n v="11.28"/>
    <d v="2015-07-15T00:00:00"/>
    <n v="18.5"/>
    <d v="2015-07-06T00:00:00"/>
    <m/>
    <m/>
    <m/>
    <m/>
    <m/>
    <m/>
    <x v="423"/>
    <m/>
    <n v="22.51"/>
    <d v="2015-07-06T00:00:00"/>
    <m/>
    <m/>
    <n v="11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0.414000000000001"/>
    <d v="2015-07-15T00:00:00"/>
    <m/>
    <m/>
    <m/>
    <m/>
    <n v="50.115684509277344"/>
    <d v="2015-07-15T00:00:00"/>
    <n v="17.487016677856445"/>
    <d v="2015-07-15T00:00:00"/>
    <n v="18.876999999999999"/>
    <d v="2015-07-15T00:00:00"/>
    <m/>
    <m/>
    <m/>
    <m/>
    <n v="8"/>
    <d v="2015-07-06T00:00:00"/>
    <m/>
    <m/>
    <m/>
    <m/>
    <m/>
    <m/>
    <m/>
    <n v="7"/>
    <d v="2015-06-25T00:00:00"/>
    <s v="VALIDE"/>
  </r>
  <r>
    <s v="RAPSO_033"/>
    <s v="Moldavia"/>
    <x v="1"/>
    <x v="1"/>
    <n v="10"/>
    <n v="18"/>
    <n v="24"/>
    <m/>
    <m/>
    <m/>
    <m/>
    <n v="9"/>
    <m/>
    <n v="4"/>
    <d v="2015-07-06T00:00:00"/>
    <m/>
    <m/>
    <m/>
    <m/>
    <n v="11.01"/>
    <d v="2015-07-15T00:00:00"/>
    <n v="18.5"/>
    <d v="2015-07-06T00:00:00"/>
    <m/>
    <m/>
    <m/>
    <m/>
    <m/>
    <m/>
    <x v="424"/>
    <m/>
    <n v="22.53"/>
    <d v="2015-07-06T00:00:00"/>
    <m/>
    <m/>
    <n v="10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3.070999999999998"/>
    <d v="2015-07-15T00:00:00"/>
    <m/>
    <m/>
    <m/>
    <m/>
    <n v="48.880298614501953"/>
    <d v="2015-07-15T00:00:00"/>
    <n v="20.083887100219727"/>
    <d v="2015-07-15T00:00:00"/>
    <n v="68.087000000000003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213"/>
    <s v="Jetton"/>
    <x v="1"/>
    <x v="3"/>
    <n v="75"/>
    <n v="20"/>
    <n v="31"/>
    <m/>
    <m/>
    <m/>
    <m/>
    <n v="8"/>
    <m/>
    <n v="4"/>
    <d v="2015-07-06T00:00:00"/>
    <m/>
    <m/>
    <m/>
    <m/>
    <n v="11.22"/>
    <d v="2015-07-15T00:00:00"/>
    <n v="18.5"/>
    <d v="2015-07-06T00:00:00"/>
    <m/>
    <m/>
    <m/>
    <m/>
    <m/>
    <m/>
    <x v="424"/>
    <m/>
    <n v="22.096822096822095"/>
    <d v="2015-07-06T00:00:00"/>
    <m/>
    <m/>
    <n v="11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283000000000001"/>
    <d v="2015-07-15T00:00:00"/>
    <m/>
    <m/>
    <m/>
    <m/>
    <n v="49.803131103515625"/>
    <d v="2015-07-15T00:00:00"/>
    <n v="18.96742057800293"/>
    <d v="2015-07-15T00:00:00"/>
    <n v="19.512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24"/>
    <s v="RAGT-10"/>
    <x v="1"/>
    <x v="3"/>
    <n v="161"/>
    <n v="22"/>
    <n v="23"/>
    <m/>
    <m/>
    <m/>
    <m/>
    <n v="3"/>
    <m/>
    <n v="4.13"/>
    <d v="2015-07-06T00:00:00"/>
    <m/>
    <m/>
    <m/>
    <m/>
    <n v="11.1"/>
    <d v="2015-07-15T00:00:00"/>
    <n v="18.5"/>
    <d v="2015-07-06T00:00:00"/>
    <m/>
    <m/>
    <m/>
    <m/>
    <m/>
    <m/>
    <x v="425"/>
    <m/>
    <n v="22.53"/>
    <d v="2015-07-06T00:00:00"/>
    <m/>
    <m/>
    <n v="12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694000000000003"/>
    <d v="2015-07-15T00:00:00"/>
    <m/>
    <m/>
    <m/>
    <m/>
    <n v="49.255950927734375"/>
    <d v="2015-07-15T00:00:00"/>
    <n v="19.075582504272461"/>
    <d v="2015-07-15T00:00:00"/>
    <n v="16.867999999999999"/>
    <d v="2015-07-15T00:00:00"/>
    <m/>
    <m/>
    <m/>
    <m/>
    <n v="9.9"/>
    <d v="2015-07-06T00:00:00"/>
    <m/>
    <m/>
    <m/>
    <m/>
    <m/>
    <m/>
    <m/>
    <n v="3"/>
    <d v="2015-06-25T00:00:00"/>
    <s v="VALIDE"/>
  </r>
  <r>
    <s v="RAPSO_144"/>
    <s v="Bellini"/>
    <x v="1"/>
    <x v="3"/>
    <n v="47"/>
    <n v="19"/>
    <n v="32"/>
    <m/>
    <m/>
    <m/>
    <m/>
    <n v="9"/>
    <m/>
    <n v="4"/>
    <d v="2015-07-06T00:00:00"/>
    <m/>
    <m/>
    <m/>
    <m/>
    <n v="11.62"/>
    <d v="2015-07-15T00:00:00"/>
    <n v="18.5"/>
    <d v="2015-07-06T00:00:00"/>
    <m/>
    <m/>
    <m/>
    <m/>
    <m/>
    <m/>
    <x v="426"/>
    <m/>
    <n v="22.55"/>
    <d v="2015-07-06T00:00:00"/>
    <m/>
    <m/>
    <n v="10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134"/>
    <d v="2015-07-15T00:00:00"/>
    <m/>
    <m/>
    <m/>
    <m/>
    <n v="51.507633209228516"/>
    <d v="2015-07-15T00:00:00"/>
    <n v="17.987924575805664"/>
    <d v="2015-07-15T00:00:00"/>
    <n v="18.603999999999999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112"/>
    <s v="Primor"/>
    <x v="1"/>
    <x v="3"/>
    <n v="11"/>
    <m/>
    <m/>
    <n v="20"/>
    <n v="1"/>
    <m/>
    <m/>
    <n v="9"/>
    <m/>
    <n v="4.07"/>
    <d v="2015-07-06T00:00:00"/>
    <m/>
    <m/>
    <m/>
    <m/>
    <n v="10.56"/>
    <d v="2015-07-15T00:00:00"/>
    <n v="18.5"/>
    <d v="2015-07-06T00:00:00"/>
    <m/>
    <m/>
    <m/>
    <m/>
    <m/>
    <m/>
    <x v="427"/>
    <m/>
    <n v="22.63"/>
    <d v="2015-07-06T00:00:00"/>
    <m/>
    <m/>
    <n v="11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024999999999999"/>
    <d v="2015-07-15T00:00:00"/>
    <m/>
    <m/>
    <m/>
    <m/>
    <n v="46.66"/>
    <d v="2015-07-15T00:00:00"/>
    <n v="21.443401336669922"/>
    <d v="2015-07-15T00:00:00"/>
    <n v="63.753"/>
    <d v="2015-07-15T00:00:00"/>
    <m/>
    <m/>
    <m/>
    <m/>
    <n v="8.1999999999999993"/>
    <d v="2015-07-06T00:00:00"/>
    <m/>
    <m/>
    <m/>
    <m/>
    <m/>
    <m/>
    <m/>
    <n v="7"/>
    <d v="2015-06-25T00:00:00"/>
    <s v="VALIDE"/>
  </r>
  <r>
    <s v="RAPSO_307"/>
    <s v="COOPER "/>
    <x v="1"/>
    <x v="1"/>
    <n v="144"/>
    <n v="15"/>
    <n v="7"/>
    <m/>
    <m/>
    <m/>
    <m/>
    <n v="7"/>
    <m/>
    <n v="4.05"/>
    <d v="2015-07-06T00:00:00"/>
    <m/>
    <m/>
    <m/>
    <m/>
    <n v="11.07"/>
    <d v="2015-07-15T00:00:00"/>
    <n v="18.5"/>
    <d v="2015-07-06T00:00:00"/>
    <m/>
    <m/>
    <m/>
    <m/>
    <m/>
    <m/>
    <x v="428"/>
    <m/>
    <n v="22.66"/>
    <d v="2015-07-06T00:00:00"/>
    <m/>
    <m/>
    <n v="11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2.63"/>
    <d v="2015-07-15T00:00:00"/>
    <m/>
    <m/>
    <m/>
    <m/>
    <n v="48.846916198730469"/>
    <d v="2015-07-15T00:00:00"/>
    <n v="18.814426422119141"/>
    <d v="2015-07-15T00:00:00"/>
    <n v="16.960999999999999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027"/>
    <s v="Major"/>
    <x v="1"/>
    <x v="1"/>
    <n v="7"/>
    <n v="13"/>
    <n v="32"/>
    <m/>
    <m/>
    <m/>
    <m/>
    <n v="9"/>
    <m/>
    <n v="4.0199999999999996"/>
    <d v="2015-07-06T00:00:00"/>
    <m/>
    <m/>
    <m/>
    <m/>
    <n v="11.69"/>
    <d v="2015-07-15T00:00:00"/>
    <n v="18.5"/>
    <d v="2015-07-06T00:00:00"/>
    <m/>
    <m/>
    <m/>
    <m/>
    <m/>
    <m/>
    <x v="429"/>
    <m/>
    <n v="22.69"/>
    <d v="2015-07-06T00:00:00"/>
    <m/>
    <m/>
    <n v="12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6.421000000000006"/>
    <d v="2015-07-15T00:00:00"/>
    <m/>
    <m/>
    <m/>
    <m/>
    <n v="51.533897399902344"/>
    <d v="2015-07-15T00:00:00"/>
    <n v="18.30824089050293"/>
    <d v="2015-07-15T00:00:00"/>
    <n v="59.529000000000003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080"/>
    <s v="Constable"/>
    <x v="0"/>
    <x v="2"/>
    <n v="29"/>
    <n v="1"/>
    <n v="32"/>
    <m/>
    <m/>
    <m/>
    <m/>
    <n v="8"/>
    <m/>
    <n v="4.0199999999999996"/>
    <d v="2015-07-06T00:00:00"/>
    <m/>
    <m/>
    <m/>
    <m/>
    <n v="11.34"/>
    <d v="2015-07-15T00:00:00"/>
    <n v="18.5"/>
    <d v="2015-07-06T00:00:00"/>
    <m/>
    <m/>
    <m/>
    <m/>
    <m/>
    <m/>
    <x v="430"/>
    <m/>
    <n v="22.302821502821505"/>
    <d v="2015-07-06T00:00:00"/>
    <m/>
    <m/>
    <n v="160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1.203000000000003"/>
    <d v="2015-07-15T00:00:00"/>
    <m/>
    <m/>
    <m/>
    <m/>
    <n v="49.877182006835938"/>
    <d v="2015-07-15T00:00:00"/>
    <n v="19.321538925170898"/>
    <d v="2015-07-15T00:00:00"/>
    <n v="66.974000000000004"/>
    <d v="2015-07-15T00:00:00"/>
    <m/>
    <m/>
    <m/>
    <m/>
    <n v="6.6"/>
    <d v="2015-07-06T00:00:00"/>
    <m/>
    <m/>
    <m/>
    <m/>
    <m/>
    <m/>
    <m/>
    <n v="1"/>
    <d v="2015-06-25T00:00:00"/>
    <s v="VALIDE"/>
  </r>
  <r>
    <s v="RAPSO_124"/>
    <s v="Valdor"/>
    <x v="1"/>
    <x v="3"/>
    <n v="38"/>
    <n v="21"/>
    <n v="31"/>
    <m/>
    <m/>
    <m/>
    <m/>
    <n v="9"/>
    <m/>
    <n v="4.0599999999999996"/>
    <d v="2015-07-06T00:00:00"/>
    <m/>
    <m/>
    <m/>
    <m/>
    <n v="11.25"/>
    <d v="2015-07-15T00:00:00"/>
    <n v="18.5"/>
    <d v="2015-07-06T00:00:00"/>
    <m/>
    <m/>
    <m/>
    <m/>
    <m/>
    <m/>
    <x v="431"/>
    <m/>
    <n v="22.77"/>
    <d v="2015-07-06T00:00:00"/>
    <m/>
    <m/>
    <n v="11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4.039000000000001"/>
    <d v="2015-07-15T00:00:00"/>
    <m/>
    <m/>
    <m/>
    <m/>
    <n v="49.424209594726563"/>
    <d v="2015-07-15T00:00:00"/>
    <n v="18.556619644165039"/>
    <d v="2015-07-15T00:00:00"/>
    <n v="50.555999999999997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174"/>
    <s v="Contact"/>
    <x v="0"/>
    <x v="2"/>
    <n v="60"/>
    <n v="4"/>
    <n v="11"/>
    <m/>
    <m/>
    <m/>
    <m/>
    <n v="5"/>
    <m/>
    <n v="4.0599999999999996"/>
    <d v="2015-07-06T00:00:00"/>
    <m/>
    <m/>
    <m/>
    <m/>
    <n v="11.34"/>
    <d v="2015-07-15T00:00:00"/>
    <n v="18.5"/>
    <d v="2015-07-06T00:00:00"/>
    <m/>
    <m/>
    <m/>
    <m/>
    <m/>
    <m/>
    <x v="431"/>
    <m/>
    <n v="22.77"/>
    <d v="2015-07-06T00:00:00"/>
    <m/>
    <m/>
    <n v="150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70.796999999999997"/>
    <d v="2015-07-15T00:00:00"/>
    <m/>
    <m/>
    <m/>
    <m/>
    <n v="49.801345825195313"/>
    <d v="2015-07-15T00:00:00"/>
    <n v="18.717082977294922"/>
    <d v="2015-07-15T00:00:00"/>
    <n v="20.263999999999999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085"/>
    <s v="Expander"/>
    <x v="0"/>
    <x v="2"/>
    <n v="32"/>
    <n v="3"/>
    <n v="22"/>
    <m/>
    <m/>
    <m/>
    <m/>
    <n v="6"/>
    <m/>
    <n v="4.03"/>
    <d v="2015-07-06T00:00:00"/>
    <m/>
    <m/>
    <m/>
    <m/>
    <n v="10.57"/>
    <d v="2015-07-15T00:00:00"/>
    <n v="18.5"/>
    <d v="2015-07-06T00:00:00"/>
    <m/>
    <m/>
    <m/>
    <m/>
    <m/>
    <m/>
    <x v="432"/>
    <m/>
    <n v="22.79"/>
    <d v="2015-07-06T00:00:00"/>
    <m/>
    <m/>
    <n v="17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58.776000000000003"/>
    <d v="2015-07-15T00:00:00"/>
    <m/>
    <m/>
    <m/>
    <m/>
    <n v="46.381523132324219"/>
    <d v="2015-07-15T00:00:00"/>
    <n v="20.796342849731445"/>
    <d v="2015-07-15T00:00:00"/>
    <n v="20.329999999999998"/>
    <d v="2015-07-15T00:00:00"/>
    <m/>
    <m/>
    <m/>
    <m/>
    <n v="6.6"/>
    <d v="2015-07-06T00:00:00"/>
    <m/>
    <m/>
    <m/>
    <m/>
    <m/>
    <m/>
    <m/>
    <n v="3"/>
    <d v="2015-06-25T00:00:00"/>
    <s v="VALIDE"/>
  </r>
  <r>
    <s v="RAPSO_160"/>
    <s v="Capricorn"/>
    <x v="1"/>
    <x v="1"/>
    <n v="54"/>
    <n v="14"/>
    <n v="28"/>
    <m/>
    <m/>
    <m/>
    <m/>
    <n v="6"/>
    <m/>
    <n v="4.05"/>
    <d v="2015-07-06T00:00:00"/>
    <m/>
    <m/>
    <m/>
    <m/>
    <n v="11.11"/>
    <d v="2015-07-15T00:00:00"/>
    <n v="18.5"/>
    <d v="2015-07-06T00:00:00"/>
    <m/>
    <m/>
    <m/>
    <m/>
    <m/>
    <m/>
    <x v="433"/>
    <m/>
    <n v="22.81"/>
    <d v="2015-07-06T00:00:00"/>
    <m/>
    <m/>
    <n v="9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2.649000000000001"/>
    <d v="2015-07-15T00:00:00"/>
    <m/>
    <m/>
    <m/>
    <m/>
    <n v="48.711868286132813"/>
    <d v="2015-07-15T00:00:00"/>
    <n v="18.382583618164063"/>
    <d v="2015-07-15T00:00:00"/>
    <n v="20.385999999999999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130"/>
    <s v="Akamar"/>
    <x v="1"/>
    <x v="1"/>
    <n v="40"/>
    <n v="13"/>
    <n v="24"/>
    <m/>
    <m/>
    <m/>
    <m/>
    <n v="7"/>
    <m/>
    <n v="4.08"/>
    <d v="2015-07-06T00:00:00"/>
    <m/>
    <m/>
    <m/>
    <m/>
    <n v="11.35"/>
    <d v="2015-07-15T00:00:00"/>
    <n v="18.5"/>
    <d v="2015-07-06T00:00:00"/>
    <m/>
    <m/>
    <m/>
    <m/>
    <m/>
    <m/>
    <x v="434"/>
    <m/>
    <n v="22.9"/>
    <d v="2015-07-06T00:00:00"/>
    <m/>
    <m/>
    <n v="13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2.718000000000004"/>
    <d v="2015-07-15T00:00:00"/>
    <m/>
    <m/>
    <m/>
    <m/>
    <n v="49.553382873535156"/>
    <d v="2015-07-15T00:00:00"/>
    <n v="17.547767639160156"/>
    <d v="2015-07-15T00:00:00"/>
    <n v="20.015999999999998"/>
    <d v="2015-07-15T00:00:00"/>
    <m/>
    <m/>
    <m/>
    <m/>
    <n v="7.3"/>
    <d v="2015-07-06T00:00:00"/>
    <m/>
    <m/>
    <m/>
    <m/>
    <m/>
    <m/>
    <m/>
    <n v="3"/>
    <d v="2015-06-25T00:00:00"/>
    <s v="VALIDE"/>
  </r>
  <r>
    <s v="Montego"/>
    <s v="Montego"/>
    <x v="1"/>
    <x v="1"/>
    <n v="185"/>
    <n v="14"/>
    <n v="14"/>
    <m/>
    <m/>
    <m/>
    <m/>
    <n v="5"/>
    <m/>
    <n v="4.0999999999999996"/>
    <d v="2015-07-06T00:00:00"/>
    <m/>
    <m/>
    <m/>
    <m/>
    <n v="11.39"/>
    <d v="2015-07-15T00:00:00"/>
    <n v="18.5"/>
    <d v="2015-07-06T00:00:00"/>
    <m/>
    <m/>
    <m/>
    <m/>
    <m/>
    <m/>
    <x v="435"/>
    <m/>
    <n v="22.94"/>
    <d v="2015-07-06T00:00:00"/>
    <m/>
    <m/>
    <n v="115"/>
    <m/>
    <m/>
    <m/>
    <n v="100"/>
    <m/>
    <m/>
    <m/>
    <m/>
    <m/>
    <m/>
    <m/>
    <m/>
    <m/>
    <m/>
    <m/>
    <m/>
    <m/>
    <n v="9"/>
    <m/>
    <m/>
    <m/>
    <m/>
    <m/>
    <m/>
    <m/>
    <m/>
    <m/>
    <m/>
    <m/>
    <n v="64.06"/>
    <d v="2015-07-15T00:00:00"/>
    <m/>
    <m/>
    <m/>
    <m/>
    <n v="49.639003753662109"/>
    <d v="2015-07-15T00:00:00"/>
    <n v="18.755311965942383"/>
    <d v="2015-07-15T00:00:00"/>
    <n v="12.725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168"/>
    <s v="Cheops"/>
    <x v="1"/>
    <x v="1"/>
    <n v="58"/>
    <n v="17"/>
    <n v="3"/>
    <m/>
    <m/>
    <m/>
    <m/>
    <n v="5"/>
    <m/>
    <n v="4.21"/>
    <d v="2015-07-06T00:00:00"/>
    <m/>
    <m/>
    <m/>
    <m/>
    <n v="11.43"/>
    <d v="2015-07-15T00:00:00"/>
    <n v="18.5"/>
    <d v="2015-07-06T00:00:00"/>
    <m/>
    <m/>
    <m/>
    <m/>
    <m/>
    <m/>
    <x v="436"/>
    <m/>
    <n v="22.94"/>
    <d v="2015-07-06T00:00:00"/>
    <m/>
    <m/>
    <n v="9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655999999999999"/>
    <d v="2015-07-15T00:00:00"/>
    <m/>
    <m/>
    <m/>
    <m/>
    <n v="49.844650268554687"/>
    <d v="2015-07-15T00:00:00"/>
    <n v="17.81378173828125"/>
    <d v="2015-07-15T00:00:00"/>
    <n v="22.173999999999999"/>
    <d v="2015-07-15T00:00:00"/>
    <m/>
    <m/>
    <m/>
    <m/>
    <n v="10"/>
    <d v="2015-07-06T00:00:00"/>
    <m/>
    <m/>
    <m/>
    <m/>
    <m/>
    <m/>
    <m/>
    <n v="5"/>
    <d v="2015-06-25T00:00:00"/>
    <s v="VALIDE"/>
  </r>
  <r>
    <s v="RAPSO_029"/>
    <s v="Markus"/>
    <x v="1"/>
    <x v="1"/>
    <n v="8"/>
    <n v="15"/>
    <n v="21"/>
    <m/>
    <m/>
    <m/>
    <m/>
    <n v="9"/>
    <m/>
    <n v="4.08"/>
    <d v="2015-07-06T00:00:00"/>
    <m/>
    <m/>
    <m/>
    <m/>
    <n v="11.72"/>
    <d v="2015-07-15T00:00:00"/>
    <n v="18.5"/>
    <d v="2015-07-06T00:00:00"/>
    <m/>
    <m/>
    <m/>
    <m/>
    <m/>
    <m/>
    <x v="102"/>
    <m/>
    <n v="23"/>
    <d v="2015-07-06T00:00:00"/>
    <m/>
    <m/>
    <n v="120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5.415000000000006"/>
    <d v="2015-07-15T00:00:00"/>
    <m/>
    <m/>
    <m/>
    <m/>
    <n v="50.954032897949219"/>
    <d v="2015-07-15T00:00:00"/>
    <n v="18.159502029418945"/>
    <d v="2015-07-15T00:00:00"/>
    <n v="51.664999999999999"/>
    <d v="2015-07-15T00:00:00"/>
    <m/>
    <m/>
    <m/>
    <m/>
    <n v="6.9"/>
    <d v="2015-07-06T00:00:00"/>
    <m/>
    <m/>
    <m/>
    <m/>
    <m/>
    <m/>
    <m/>
    <n v="5"/>
    <d v="2015-06-25T00:00:00"/>
    <s v="VALIDE"/>
  </r>
  <r>
    <s v="BRA_005"/>
    <s v="Sarepta"/>
    <x v="1"/>
    <x v="3"/>
    <n v="123"/>
    <n v="21"/>
    <n v="8"/>
    <m/>
    <m/>
    <m/>
    <m/>
    <n v="9"/>
    <m/>
    <n v="4.1500000000000004"/>
    <d v="2015-07-06T00:00:00"/>
    <m/>
    <m/>
    <m/>
    <m/>
    <n v="11.21"/>
    <d v="2015-07-15T00:00:00"/>
    <n v="18.5"/>
    <d v="2015-07-06T00:00:00"/>
    <m/>
    <m/>
    <m/>
    <m/>
    <m/>
    <m/>
    <x v="437"/>
    <m/>
    <n v="23.02"/>
    <d v="2015-07-06T00:00:00"/>
    <m/>
    <m/>
    <n v="12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2.241999999999997"/>
    <d v="2015-07-15T00:00:00"/>
    <m/>
    <m/>
    <m/>
    <m/>
    <n v="48.714908599853516"/>
    <d v="2015-07-15T00:00:00"/>
    <n v="19.187679290771484"/>
    <d v="2015-07-15T00:00:00"/>
    <n v="47.73"/>
    <d v="2015-07-15T00:00:00"/>
    <m/>
    <m/>
    <m/>
    <m/>
    <n v="8.4"/>
    <d v="2015-07-06T00:00:00"/>
    <m/>
    <m/>
    <m/>
    <m/>
    <m/>
    <m/>
    <m/>
    <n v="3"/>
    <d v="2015-06-25T00:00:00"/>
    <s v="VALIDE"/>
  </r>
  <r>
    <s v="RAPSO_046"/>
    <s v="Prerouska"/>
    <x v="1"/>
    <x v="3"/>
    <n v="16"/>
    <n v="19"/>
    <n v="28"/>
    <m/>
    <m/>
    <m/>
    <m/>
    <n v="9"/>
    <m/>
    <n v="4.0999999999999996"/>
    <d v="2015-07-06T00:00:00"/>
    <m/>
    <m/>
    <m/>
    <m/>
    <n v="10.96"/>
    <d v="2015-07-15T00:00:00"/>
    <n v="18.5"/>
    <d v="2015-07-06T00:00:00"/>
    <m/>
    <m/>
    <m/>
    <m/>
    <m/>
    <m/>
    <x v="438"/>
    <m/>
    <n v="23.07"/>
    <d v="2015-07-06T00:00:00"/>
    <m/>
    <m/>
    <n v="13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349999999999994"/>
    <d v="2015-07-15T00:00:00"/>
    <m/>
    <m/>
    <m/>
    <m/>
    <n v="47.489986419677734"/>
    <d v="2015-07-15T00:00:00"/>
    <n v="19.671716690063477"/>
    <d v="2015-07-15T00:00:00"/>
    <n v="59.56"/>
    <d v="2015-07-15T00:00:00"/>
    <m/>
    <m/>
    <m/>
    <m/>
    <n v="7.1"/>
    <d v="2015-07-06T00:00:00"/>
    <m/>
    <m/>
    <m/>
    <m/>
    <m/>
    <m/>
    <m/>
    <n v="5"/>
    <d v="2015-06-25T00:00:00"/>
    <s v="VALIDE"/>
  </r>
  <r>
    <s v="RAPSO_226"/>
    <s v="Lioness"/>
    <x v="1"/>
    <x v="1"/>
    <n v="81"/>
    <n v="13"/>
    <n v="27"/>
    <m/>
    <m/>
    <m/>
    <m/>
    <n v="3"/>
    <m/>
    <n v="4.12"/>
    <d v="2015-07-06T00:00:00"/>
    <m/>
    <m/>
    <m/>
    <m/>
    <n v="11.56"/>
    <d v="2015-07-15T00:00:00"/>
    <n v="18.5"/>
    <d v="2015-07-06T00:00:00"/>
    <m/>
    <m/>
    <m/>
    <m/>
    <m/>
    <m/>
    <x v="439"/>
    <m/>
    <n v="23.1"/>
    <d v="2015-07-06T00:00:00"/>
    <m/>
    <m/>
    <n v="11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8.296000000000006"/>
    <d v="2015-07-15T00:00:00"/>
    <m/>
    <m/>
    <m/>
    <m/>
    <n v="50.044345855712891"/>
    <d v="2015-07-15T00:00:00"/>
    <n v="18.842788696289063"/>
    <d v="2015-07-15T00:00:00"/>
    <n v="11.914"/>
    <d v="2015-07-15T00:00:00"/>
    <m/>
    <m/>
    <m/>
    <m/>
    <n v="7.4"/>
    <d v="2015-07-06T00:00:00"/>
    <m/>
    <m/>
    <m/>
    <m/>
    <m/>
    <m/>
    <m/>
    <n v="5"/>
    <d v="2015-06-25T00:00:00"/>
    <s v="VALIDE"/>
  </r>
  <r>
    <s v="RAPSO_098"/>
    <s v="Korina"/>
    <x v="0"/>
    <x v="0"/>
    <n v="9"/>
    <m/>
    <m/>
    <n v="9"/>
    <n v="3"/>
    <m/>
    <m/>
    <n v="9"/>
    <m/>
    <n v="4.16"/>
    <d v="2015-07-06T00:00:00"/>
    <m/>
    <m/>
    <m/>
    <m/>
    <n v="11.09"/>
    <d v="2015-07-15T00:00:00"/>
    <n v="18.5"/>
    <d v="2015-07-06T00:00:00"/>
    <m/>
    <m/>
    <m/>
    <m/>
    <m/>
    <m/>
    <x v="440"/>
    <m/>
    <n v="23.15"/>
    <d v="2015-07-06T00:00:00"/>
    <m/>
    <m/>
    <n v="15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59.481000000000002"/>
    <d v="2015-07-15T00:00:00"/>
    <m/>
    <m/>
    <m/>
    <m/>
    <n v="47.92"/>
    <d v="2015-07-15T00:00:00"/>
    <n v="21.405651092529297"/>
    <d v="2015-07-15T00:00:00"/>
    <n v="67.506"/>
    <d v="2015-07-15T00:00:00"/>
    <m/>
    <m/>
    <m/>
    <m/>
    <n v="8.1"/>
    <d v="2015-07-06T00:00:00"/>
    <m/>
    <m/>
    <m/>
    <m/>
    <m/>
    <m/>
    <m/>
    <n v="5"/>
    <d v="2015-06-25T00:00:00"/>
    <s v="VALIDE"/>
  </r>
  <r>
    <s v="RAPSO_102"/>
    <s v="Lesira"/>
    <x v="1"/>
    <x v="1"/>
    <n v="34"/>
    <n v="13"/>
    <n v="10"/>
    <m/>
    <m/>
    <m/>
    <m/>
    <n v="9"/>
    <m/>
    <n v="4.1500000000000004"/>
    <d v="2015-07-06T00:00:00"/>
    <m/>
    <m/>
    <m/>
    <m/>
    <n v="10.98"/>
    <d v="2015-07-15T00:00:00"/>
    <n v="18.5"/>
    <d v="2015-07-06T00:00:00"/>
    <m/>
    <m/>
    <m/>
    <m/>
    <m/>
    <m/>
    <x v="441"/>
    <m/>
    <n v="22.75289575289575"/>
    <d v="2015-07-06T00:00:00"/>
    <m/>
    <m/>
    <n v="14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0.356000000000002"/>
    <d v="2015-07-15T00:00:00"/>
    <m/>
    <m/>
    <m/>
    <m/>
    <n v="47.328636169433594"/>
    <d v="2015-07-15T00:00:00"/>
    <n v="19.753326416015625"/>
    <d v="2015-07-15T00:00:00"/>
    <n v="60.497999999999998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014"/>
    <s v="Goldgelber Zarter Butter"/>
    <x v="0"/>
    <x v="2"/>
    <n v="5"/>
    <n v="1"/>
    <n v="18"/>
    <m/>
    <m/>
    <m/>
    <m/>
    <n v="9"/>
    <m/>
    <n v="4.0999999999999996"/>
    <d v="2015-07-06T00:00:00"/>
    <m/>
    <m/>
    <m/>
    <m/>
    <n v="11.35"/>
    <d v="2015-07-15T00:00:00"/>
    <n v="18.5"/>
    <d v="2015-07-06T00:00:00"/>
    <m/>
    <m/>
    <m/>
    <m/>
    <m/>
    <m/>
    <x v="442"/>
    <m/>
    <n v="23.21"/>
    <d v="2015-07-06T00:00:00"/>
    <m/>
    <m/>
    <n v="155"/>
    <m/>
    <m/>
    <m/>
    <n v="95"/>
    <m/>
    <m/>
    <m/>
    <m/>
    <m/>
    <m/>
    <m/>
    <m/>
    <m/>
    <m/>
    <m/>
    <m/>
    <m/>
    <n v="3"/>
    <m/>
    <m/>
    <m/>
    <m/>
    <m/>
    <m/>
    <m/>
    <m/>
    <m/>
    <m/>
    <m/>
    <n v="63.209000000000003"/>
    <d v="2015-07-15T00:00:00"/>
    <m/>
    <m/>
    <m/>
    <m/>
    <n v="48.91864013671875"/>
    <d v="2015-07-15T00:00:00"/>
    <n v="19.017023086547852"/>
    <d v="2015-07-15T00:00:00"/>
    <n v="68.253"/>
    <d v="2015-07-15T00:00:00"/>
    <m/>
    <m/>
    <m/>
    <m/>
    <n v="6.5"/>
    <d v="2015-07-06T00:00:00"/>
    <m/>
    <m/>
    <m/>
    <m/>
    <m/>
    <m/>
    <m/>
    <n v="7"/>
    <d v="2015-06-25T00:00:00"/>
    <s v="VALIDE"/>
  </r>
  <r>
    <s v="RAPSO_154"/>
    <s v="Campala"/>
    <x v="1"/>
    <x v="1"/>
    <n v="50"/>
    <n v="14"/>
    <n v="20"/>
    <m/>
    <m/>
    <m/>
    <m/>
    <n v="5"/>
    <m/>
    <n v="4.12"/>
    <d v="2015-07-06T00:00:00"/>
    <m/>
    <m/>
    <m/>
    <m/>
    <n v="11.65"/>
    <d v="2015-07-15T00:00:00"/>
    <n v="18.5"/>
    <d v="2015-07-06T00:00:00"/>
    <m/>
    <m/>
    <m/>
    <m/>
    <m/>
    <m/>
    <x v="443"/>
    <m/>
    <n v="23.25"/>
    <d v="2015-07-06T00:00:00"/>
    <m/>
    <m/>
    <n v="10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161000000000001"/>
    <d v="2015-07-15T00:00:00"/>
    <m/>
    <m/>
    <m/>
    <m/>
    <n v="50.118228912353516"/>
    <d v="2015-07-15T00:00:00"/>
    <n v="17.202487945556641"/>
    <d v="2015-07-15T00:00:00"/>
    <n v="23.016999999999999"/>
    <d v="2015-07-15T00:00:00"/>
    <m/>
    <m/>
    <m/>
    <m/>
    <n v="6.8"/>
    <d v="2015-07-06T00:00:00"/>
    <m/>
    <m/>
    <m/>
    <m/>
    <m/>
    <m/>
    <m/>
    <n v="5"/>
    <d v="2015-06-25T00:00:00"/>
    <s v="VALIDE"/>
  </r>
  <r>
    <s v="RAPSO_299"/>
    <s v="ESC1132"/>
    <x v="1"/>
    <x v="1"/>
    <n v="136"/>
    <n v="15"/>
    <n v="24"/>
    <m/>
    <m/>
    <m/>
    <m/>
    <n v="9"/>
    <m/>
    <n v="4.1500000000000004"/>
    <d v="2015-07-06T00:00:00"/>
    <m/>
    <m/>
    <m/>
    <m/>
    <n v="11.8"/>
    <d v="2015-07-15T00:00:00"/>
    <n v="18.5"/>
    <d v="2015-07-06T00:00:00"/>
    <m/>
    <m/>
    <m/>
    <m/>
    <m/>
    <m/>
    <x v="444"/>
    <m/>
    <n v="23.32"/>
    <d v="2015-07-06T00:00:00"/>
    <m/>
    <m/>
    <n v="11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5.915999999999997"/>
    <d v="2015-07-15T00:00:00"/>
    <m/>
    <m/>
    <m/>
    <m/>
    <n v="50.601615905761719"/>
    <d v="2015-07-15T00:00:00"/>
    <n v="16.436313629150391"/>
    <d v="2015-07-15T00:00:00"/>
    <n v="20.367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63"/>
    <s v="Rocket"/>
    <x v="1"/>
    <x v="1"/>
    <n v="101"/>
    <n v="18"/>
    <n v="2"/>
    <m/>
    <m/>
    <m/>
    <m/>
    <n v="7"/>
    <m/>
    <n v="4.21"/>
    <d v="2015-07-06T00:00:00"/>
    <m/>
    <m/>
    <m/>
    <m/>
    <n v="11.65"/>
    <d v="2015-07-15T00:00:00"/>
    <n v="18.5"/>
    <d v="2015-07-06T00:00:00"/>
    <m/>
    <m/>
    <m/>
    <m/>
    <m/>
    <m/>
    <x v="445"/>
    <m/>
    <n v="23.33"/>
    <d v="2015-07-06T00:00:00"/>
    <m/>
    <m/>
    <n v="11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171999999999997"/>
    <d v="2015-07-15T00:00:00"/>
    <m/>
    <m/>
    <m/>
    <m/>
    <n v="49.928947448730469"/>
    <d v="2015-07-15T00:00:00"/>
    <n v="18.386833190917969"/>
    <d v="2015-07-15T00:00:00"/>
    <n v="15.912000000000001"/>
    <d v="2015-07-15T00:00:00"/>
    <m/>
    <m/>
    <m/>
    <m/>
    <n v="8.5"/>
    <d v="2015-07-06T00:00:00"/>
    <m/>
    <m/>
    <m/>
    <m/>
    <m/>
    <m/>
    <m/>
    <n v="3"/>
    <d v="2015-06-25T00:00:00"/>
    <s v="VALIDE"/>
  </r>
  <r>
    <s v="RAPSO_038"/>
    <s v="Oleski"/>
    <x v="1"/>
    <x v="1"/>
    <n v="12"/>
    <n v="18"/>
    <n v="31"/>
    <m/>
    <m/>
    <m/>
    <m/>
    <n v="8"/>
    <m/>
    <n v="4.12"/>
    <d v="2015-07-06T00:00:00"/>
    <m/>
    <m/>
    <m/>
    <m/>
    <n v="11.27"/>
    <d v="2015-07-15T00:00:00"/>
    <n v="18.5"/>
    <d v="2015-07-06T00:00:00"/>
    <m/>
    <m/>
    <m/>
    <m/>
    <m/>
    <m/>
    <x v="446"/>
    <m/>
    <n v="23.33"/>
    <d v="2015-07-06T00:00:00"/>
    <m/>
    <m/>
    <n v="10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143000000000001"/>
    <d v="2015-07-15T00:00:00"/>
    <m/>
    <m/>
    <m/>
    <m/>
    <n v="48.287906646728516"/>
    <d v="2015-07-15T00:00:00"/>
    <n v="19.574827194213867"/>
    <d v="2015-07-15T00:00:00"/>
    <n v="59.207999999999998"/>
    <d v="2015-07-15T00:00:00"/>
    <m/>
    <m/>
    <m/>
    <m/>
    <n v="6.5"/>
    <d v="2015-07-06T00:00:00"/>
    <m/>
    <m/>
    <m/>
    <m/>
    <m/>
    <m/>
    <m/>
    <n v="5"/>
    <d v="2015-06-25T00:00:00"/>
    <s v="VALIDE"/>
  </r>
  <r>
    <s v="RAPSO_015"/>
    <s v="Gorczanski"/>
    <x v="0"/>
    <x v="0"/>
    <n v="3"/>
    <m/>
    <m/>
    <n v="12"/>
    <n v="2"/>
    <m/>
    <m/>
    <n v="8"/>
    <m/>
    <n v="4.1900000000000004"/>
    <d v="2015-07-06T00:00:00"/>
    <m/>
    <m/>
    <m/>
    <m/>
    <n v="11.31"/>
    <d v="2015-07-15T00:00:00"/>
    <n v="18.5"/>
    <d v="2015-07-06T00:00:00"/>
    <m/>
    <m/>
    <m/>
    <m/>
    <m/>
    <m/>
    <x v="447"/>
    <m/>
    <n v="23.34"/>
    <d v="2015-07-06T00:00:00"/>
    <m/>
    <m/>
    <n v="130"/>
    <m/>
    <m/>
    <m/>
    <n v="98"/>
    <m/>
    <m/>
    <m/>
    <m/>
    <m/>
    <m/>
    <m/>
    <m/>
    <m/>
    <m/>
    <m/>
    <m/>
    <m/>
    <n v="3"/>
    <m/>
    <m/>
    <m/>
    <m/>
    <m/>
    <m/>
    <m/>
    <m/>
    <m/>
    <m/>
    <m/>
    <n v="67.063999999999993"/>
    <d v="2015-07-15T00:00:00"/>
    <m/>
    <m/>
    <m/>
    <m/>
    <n v="48.44"/>
    <d v="2015-07-15T00:00:00"/>
    <n v="20.701715469360352"/>
    <d v="2015-07-15T00:00:00"/>
    <n v="63.664000000000001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190"/>
    <s v="Evri"/>
    <x v="1"/>
    <x v="1"/>
    <n v="67"/>
    <n v="17"/>
    <n v="30"/>
    <m/>
    <m/>
    <m/>
    <m/>
    <n v="5"/>
    <m/>
    <n v="4.1500000000000004"/>
    <d v="2015-07-06T00:00:00"/>
    <m/>
    <m/>
    <m/>
    <m/>
    <n v="11.57"/>
    <d v="2015-07-15T00:00:00"/>
    <n v="18.5"/>
    <d v="2015-07-06T00:00:00"/>
    <m/>
    <m/>
    <m/>
    <m/>
    <m/>
    <m/>
    <x v="448"/>
    <m/>
    <n v="23.37"/>
    <d v="2015-07-06T00:00:00"/>
    <m/>
    <m/>
    <n v="11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688000000000002"/>
    <d v="2015-07-15T00:00:00"/>
    <m/>
    <m/>
    <m/>
    <m/>
    <n v="49.515892028808594"/>
    <d v="2015-07-15T00:00:00"/>
    <n v="19.004684448242187"/>
    <d v="2015-07-15T00:00:00"/>
    <n v="20.51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320"/>
    <s v="RAGT-06"/>
    <x v="1"/>
    <x v="3"/>
    <n v="157"/>
    <n v="23"/>
    <n v="9"/>
    <m/>
    <m/>
    <m/>
    <m/>
    <n v="5"/>
    <m/>
    <n v="4.22"/>
    <d v="2015-07-06T00:00:00"/>
    <m/>
    <m/>
    <m/>
    <m/>
    <n v="11.84"/>
    <d v="2015-07-15T00:00:00"/>
    <n v="18.5"/>
    <d v="2015-07-06T00:00:00"/>
    <m/>
    <m/>
    <m/>
    <m/>
    <m/>
    <m/>
    <x v="449"/>
    <m/>
    <n v="23.41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81000000000003"/>
    <d v="2015-07-15T00:00:00"/>
    <m/>
    <m/>
    <m/>
    <m/>
    <n v="50.587593078613281"/>
    <d v="2015-07-15T00:00:00"/>
    <n v="17.70246696472168"/>
    <d v="2015-07-15T00:00:00"/>
    <n v="15.092000000000001"/>
    <d v="2015-07-15T00:00:00"/>
    <m/>
    <m/>
    <m/>
    <m/>
    <n v="8.4"/>
    <d v="2015-07-06T00:00:00"/>
    <m/>
    <m/>
    <m/>
    <m/>
    <m/>
    <m/>
    <m/>
    <n v="3"/>
    <d v="2015-06-25T00:00:00"/>
    <s v="VALIDE"/>
  </r>
  <r>
    <s v="RAPSO_132"/>
    <s v="Aligator"/>
    <x v="1"/>
    <x v="3"/>
    <n v="42"/>
    <n v="23"/>
    <n v="15"/>
    <m/>
    <m/>
    <m/>
    <m/>
    <n v="6"/>
    <m/>
    <n v="4.17"/>
    <d v="2015-07-06T00:00:00"/>
    <m/>
    <m/>
    <m/>
    <m/>
    <n v="11.97"/>
    <d v="2015-07-15T00:00:00"/>
    <n v="18.5"/>
    <d v="2015-07-06T00:00:00"/>
    <m/>
    <m/>
    <m/>
    <m/>
    <m/>
    <m/>
    <x v="450"/>
    <m/>
    <n v="23.41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738999999999997"/>
    <d v="2015-07-15T00:00:00"/>
    <m/>
    <m/>
    <m/>
    <m/>
    <n v="51.1468505859375"/>
    <d v="2015-07-15T00:00:00"/>
    <n v="17.083690643310547"/>
    <d v="2015-07-15T00:00:00"/>
    <n v="15.137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084"/>
    <s v="Emil"/>
    <x v="1"/>
    <x v="1"/>
    <n v="31"/>
    <n v="16"/>
    <n v="30"/>
    <m/>
    <m/>
    <m/>
    <m/>
    <n v="3"/>
    <m/>
    <n v="4.1500000000000004"/>
    <d v="2015-07-06T00:00:00"/>
    <m/>
    <m/>
    <m/>
    <m/>
    <n v="10.94"/>
    <d v="2015-07-15T00:00:00"/>
    <n v="18.5"/>
    <d v="2015-07-06T00:00:00"/>
    <m/>
    <m/>
    <m/>
    <m/>
    <m/>
    <m/>
    <x v="451"/>
    <m/>
    <n v="22.999405999406001"/>
    <d v="2015-07-06T00:00:00"/>
    <m/>
    <m/>
    <n v="11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2.01"/>
    <d v="2015-07-15T00:00:00"/>
    <m/>
    <m/>
    <m/>
    <m/>
    <n v="46.644893646240234"/>
    <d v="2015-07-15T00:00:00"/>
    <n v="19.702947616577148"/>
    <d v="2015-07-15T00:00:00"/>
    <n v="54.597999999999999"/>
    <d v="2015-07-15T00:00:00"/>
    <m/>
    <m/>
    <m/>
    <m/>
    <n v="6.7"/>
    <d v="2015-07-06T00:00:00"/>
    <m/>
    <m/>
    <m/>
    <m/>
    <m/>
    <m/>
    <m/>
    <n v="1"/>
    <d v="2015-06-25T00:00:00"/>
    <s v="VALIDE"/>
  </r>
  <r>
    <s v="RAPSO_209"/>
    <s v="Inca"/>
    <x v="1"/>
    <x v="1"/>
    <n v="74"/>
    <n v="18"/>
    <n v="26"/>
    <m/>
    <m/>
    <m/>
    <m/>
    <n v="7"/>
    <m/>
    <n v="4.2"/>
    <d v="2015-07-06T00:00:00"/>
    <m/>
    <m/>
    <m/>
    <m/>
    <n v="11.47"/>
    <d v="2015-07-15T00:00:00"/>
    <n v="18.5"/>
    <d v="2015-07-06T00:00:00"/>
    <m/>
    <m/>
    <m/>
    <m/>
    <m/>
    <m/>
    <x v="452"/>
    <m/>
    <n v="23.58"/>
    <d v="2015-07-06T00:00:00"/>
    <m/>
    <m/>
    <n v="12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4.878"/>
    <d v="2015-07-15T00:00:00"/>
    <m/>
    <m/>
    <m/>
    <m/>
    <n v="48.638412475585938"/>
    <d v="2015-07-15T00:00:00"/>
    <n v="19.426944732666016"/>
    <d v="2015-07-15T00:00:00"/>
    <n v="17.917999999999999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075"/>
    <s v="Beryl"/>
    <x v="0"/>
    <x v="2"/>
    <n v="26"/>
    <n v="2"/>
    <n v="12"/>
    <m/>
    <m/>
    <m/>
    <m/>
    <n v="9"/>
    <m/>
    <n v="4.17"/>
    <d v="2015-07-06T00:00:00"/>
    <m/>
    <m/>
    <m/>
    <m/>
    <n v="11.26"/>
    <d v="2015-07-15T00:00:00"/>
    <n v="18.5"/>
    <d v="2015-07-06T00:00:00"/>
    <m/>
    <m/>
    <m/>
    <m/>
    <m/>
    <m/>
    <x v="453"/>
    <m/>
    <n v="23.59"/>
    <d v="2015-07-06T00:00:00"/>
    <m/>
    <m/>
    <n v="16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58.689"/>
    <d v="2015-07-15T00:00:00"/>
    <m/>
    <m/>
    <m/>
    <m/>
    <n v="47.750778198242188"/>
    <d v="2015-07-15T00:00:00"/>
    <n v="21.101606369018555"/>
    <d v="2015-07-15T00:00:00"/>
    <n v="72.736999999999995"/>
    <d v="2015-07-15T00:00:00"/>
    <m/>
    <m/>
    <m/>
    <m/>
    <n v="6.6"/>
    <d v="2015-07-06T00:00:00"/>
    <m/>
    <m/>
    <m/>
    <m/>
    <m/>
    <m/>
    <m/>
    <n v="3"/>
    <d v="2015-06-25T00:00:00"/>
    <s v="VALIDE"/>
  </r>
  <r>
    <s v="RAPSO_152"/>
    <s v="Caddy"/>
    <x v="1"/>
    <x v="1"/>
    <n v="13"/>
    <m/>
    <m/>
    <n v="14"/>
    <n v="1"/>
    <m/>
    <m/>
    <n v="7"/>
    <m/>
    <n v="4.26"/>
    <d v="2015-07-06T00:00:00"/>
    <m/>
    <m/>
    <m/>
    <m/>
    <n v="11.3"/>
    <d v="2015-07-15T00:00:00"/>
    <n v="18.5"/>
    <d v="2015-07-06T00:00:00"/>
    <m/>
    <m/>
    <m/>
    <m/>
    <m/>
    <m/>
    <x v="454"/>
    <m/>
    <n v="23.6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73999999999998"/>
    <d v="2015-07-15T00:00:00"/>
    <m/>
    <m/>
    <m/>
    <m/>
    <n v="47.88"/>
    <d v="2015-07-15T00:00:00"/>
    <n v="19.262355804443359"/>
    <d v="2015-07-15T00:00:00"/>
    <n v="25.106000000000002"/>
    <d v="2015-07-15T00:00:00"/>
    <m/>
    <m/>
    <m/>
    <m/>
    <n v="8.5"/>
    <d v="2015-07-06T00:00:00"/>
    <m/>
    <m/>
    <m/>
    <m/>
    <m/>
    <m/>
    <m/>
    <n v="7"/>
    <d v="2015-06-25T00:00:00"/>
    <s v="VALIDE"/>
  </r>
  <r>
    <s v="RAPSO_321"/>
    <s v="RAGT-07"/>
    <x v="1"/>
    <x v="3"/>
    <n v="158"/>
    <n v="21"/>
    <n v="13"/>
    <m/>
    <m/>
    <m/>
    <m/>
    <n v="8"/>
    <m/>
    <n v="4.24"/>
    <d v="2015-07-06T00:00:00"/>
    <m/>
    <m/>
    <m/>
    <m/>
    <n v="12.01"/>
    <d v="2015-07-15T00:00:00"/>
    <n v="18.5"/>
    <d v="2015-07-06T00:00:00"/>
    <m/>
    <m/>
    <m/>
    <m/>
    <m/>
    <m/>
    <x v="455"/>
    <m/>
    <n v="23.62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755000000000003"/>
    <d v="2015-07-15T00:00:00"/>
    <m/>
    <m/>
    <m/>
    <m/>
    <n v="50.840850830078125"/>
    <d v="2015-07-15T00:00:00"/>
    <n v="17.064546585083008"/>
    <d v="2015-07-15T00:00:00"/>
    <n v="18.376000000000001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108"/>
    <s v="Mikado"/>
    <x v="1"/>
    <x v="3"/>
    <n v="35"/>
    <n v="21"/>
    <n v="3"/>
    <m/>
    <m/>
    <m/>
    <m/>
    <n v="8"/>
    <m/>
    <n v="4.26"/>
    <d v="2015-07-06T00:00:00"/>
    <m/>
    <m/>
    <m/>
    <m/>
    <n v="12.38"/>
    <d v="2015-07-15T00:00:00"/>
    <n v="18.5"/>
    <d v="2015-07-06T00:00:00"/>
    <m/>
    <m/>
    <m/>
    <m/>
    <m/>
    <m/>
    <x v="456"/>
    <m/>
    <n v="23.204158004158003"/>
    <d v="2015-07-06T00:00:00"/>
    <m/>
    <m/>
    <n v="11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362000000000002"/>
    <d v="2015-07-15T00:00:00"/>
    <m/>
    <m/>
    <m/>
    <m/>
    <n v="52.334568023681641"/>
    <d v="2015-07-15T00:00:00"/>
    <n v="18.091655731201172"/>
    <d v="2015-07-15T00:00:00"/>
    <n v="53.052"/>
    <d v="2015-07-15T00:00:00"/>
    <m/>
    <m/>
    <m/>
    <m/>
    <n v="8.3000000000000007"/>
    <d v="2015-07-06T00:00:00"/>
    <m/>
    <m/>
    <m/>
    <m/>
    <m/>
    <m/>
    <m/>
    <n v="1"/>
    <d v="2015-06-25T00:00:00"/>
    <s v="VALIDE"/>
  </r>
  <r>
    <s v="RAPSO_152"/>
    <s v="Caddy"/>
    <x v="1"/>
    <x v="3"/>
    <n v="13"/>
    <m/>
    <m/>
    <n v="23"/>
    <n v="4"/>
    <m/>
    <m/>
    <n v="8"/>
    <m/>
    <n v="4.26"/>
    <d v="2015-07-06T00:00:00"/>
    <m/>
    <m/>
    <m/>
    <m/>
    <n v="11.33"/>
    <d v="2015-07-15T00:00:00"/>
    <n v="18.5"/>
    <d v="2015-07-06T00:00:00"/>
    <m/>
    <m/>
    <m/>
    <m/>
    <m/>
    <m/>
    <x v="457"/>
    <m/>
    <n v="23.71"/>
    <d v="2015-07-06T00:00:00"/>
    <m/>
    <m/>
    <n v="12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3.438000000000002"/>
    <d v="2015-07-15T00:00:00"/>
    <m/>
    <m/>
    <m/>
    <m/>
    <n v="47.79"/>
    <d v="2015-07-15T00:00:00"/>
    <n v="18.501640319824219"/>
    <d v="2015-07-15T00:00:00"/>
    <n v="22.823"/>
    <d v="2015-07-15T00:00:00"/>
    <m/>
    <m/>
    <m/>
    <m/>
    <n v="8.1"/>
    <d v="2015-07-06T00:00:00"/>
    <m/>
    <m/>
    <m/>
    <m/>
    <m/>
    <m/>
    <m/>
    <n v="5"/>
    <d v="2015-06-25T00:00:00"/>
    <s v="VALIDE"/>
  </r>
  <r>
    <s v="RAPSO_046"/>
    <s v="Prerouska"/>
    <x v="1"/>
    <x v="1"/>
    <n v="16"/>
    <n v="14"/>
    <n v="8"/>
    <m/>
    <m/>
    <m/>
    <m/>
    <n v="9"/>
    <m/>
    <n v="4.2699999999999996"/>
    <d v="2015-07-06T00:00:00"/>
    <m/>
    <m/>
    <m/>
    <m/>
    <n v="11.61"/>
    <d v="2015-07-15T00:00:00"/>
    <n v="18.5"/>
    <d v="2015-07-06T00:00:00"/>
    <m/>
    <m/>
    <m/>
    <m/>
    <m/>
    <m/>
    <x v="458"/>
    <m/>
    <n v="23.71"/>
    <d v="2015-07-06T00:00:00"/>
    <m/>
    <m/>
    <n v="13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7.012"/>
    <d v="2015-07-15T00:00:00"/>
    <m/>
    <m/>
    <m/>
    <m/>
    <n v="48.948467254638672"/>
    <d v="2015-07-15T00:00:00"/>
    <n v="18.728504180908203"/>
    <d v="2015-07-15T00:00:00"/>
    <n v="57.758000000000003"/>
    <d v="2015-07-15T00:00:00"/>
    <m/>
    <m/>
    <m/>
    <m/>
    <n v="8.3000000000000007"/>
    <d v="2015-07-06T00:00:00"/>
    <m/>
    <m/>
    <m/>
    <m/>
    <m/>
    <m/>
    <m/>
    <n v="5"/>
    <d v="2015-06-25T00:00:00"/>
    <s v="VALIDE"/>
  </r>
  <r>
    <s v="RAPSO_112"/>
    <s v="Primor"/>
    <x v="1"/>
    <x v="1"/>
    <n v="11"/>
    <m/>
    <m/>
    <n v="16"/>
    <n v="1"/>
    <m/>
    <m/>
    <n v="9"/>
    <m/>
    <n v="4.29"/>
    <d v="2015-07-06T00:00:00"/>
    <m/>
    <m/>
    <m/>
    <m/>
    <n v="11.02"/>
    <d v="2015-07-15T00:00:00"/>
    <n v="18.5"/>
    <d v="2015-07-06T00:00:00"/>
    <m/>
    <m/>
    <m/>
    <m/>
    <m/>
    <m/>
    <x v="459"/>
    <m/>
    <n v="23.74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0.393000000000001"/>
    <d v="2015-07-15T00:00:00"/>
    <m/>
    <m/>
    <m/>
    <m/>
    <n v="46.44"/>
    <d v="2015-07-15T00:00:00"/>
    <n v="20.494649887084961"/>
    <d v="2015-07-15T00:00:00"/>
    <n v="60.661000000000001"/>
    <d v="2015-07-15T00:00:00"/>
    <m/>
    <m/>
    <m/>
    <m/>
    <n v="8.6"/>
    <d v="2015-07-06T00:00:00"/>
    <m/>
    <m/>
    <m/>
    <m/>
    <m/>
    <m/>
    <m/>
    <n v="5"/>
    <d v="2015-06-25T00:00:00"/>
    <s v="VALIDE"/>
  </r>
  <r>
    <s v="RAPSO_053"/>
    <s v="Rapol"/>
    <x v="0"/>
    <x v="2"/>
    <n v="19"/>
    <n v="2"/>
    <n v="23"/>
    <m/>
    <m/>
    <m/>
    <m/>
    <n v="9"/>
    <m/>
    <n v="4.24"/>
    <d v="2015-07-06T00:00:00"/>
    <m/>
    <m/>
    <m/>
    <m/>
    <n v="11.32"/>
    <d v="2015-07-15T00:00:00"/>
    <n v="18.5"/>
    <d v="2015-07-06T00:00:00"/>
    <m/>
    <m/>
    <m/>
    <m/>
    <m/>
    <m/>
    <x v="460"/>
    <m/>
    <n v="23.83"/>
    <d v="2015-07-06T00:00:00"/>
    <m/>
    <m/>
    <n v="16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643000000000001"/>
    <d v="2015-07-15T00:00:00"/>
    <m/>
    <m/>
    <m/>
    <m/>
    <n v="47.518028259277344"/>
    <d v="2015-07-15T00:00:00"/>
    <n v="19.640161514282227"/>
    <d v="2015-07-15T00:00:00"/>
    <n v="57.862000000000002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16"/>
    <s v="Kosto"/>
    <x v="1"/>
    <x v="3"/>
    <n v="77"/>
    <n v="23"/>
    <n v="8"/>
    <m/>
    <m/>
    <m/>
    <m/>
    <n v="6"/>
    <m/>
    <n v="4.33"/>
    <d v="2015-07-06T00:00:00"/>
    <m/>
    <m/>
    <m/>
    <m/>
    <n v="12.4"/>
    <d v="2015-07-15T00:00:00"/>
    <n v="18.5"/>
    <d v="2015-07-06T00:00:00"/>
    <m/>
    <m/>
    <m/>
    <m/>
    <m/>
    <m/>
    <x v="461"/>
    <m/>
    <n v="23.86"/>
    <d v="2015-07-06T00:00:00"/>
    <m/>
    <m/>
    <n v="11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2.796999999999997"/>
    <d v="2015-07-15T00:00:00"/>
    <m/>
    <m/>
    <m/>
    <m/>
    <n v="51.963394165039063"/>
    <d v="2015-07-15T00:00:00"/>
    <n v="15.680389404296875"/>
    <d v="2015-07-15T00:00:00"/>
    <n v="17.513000000000002"/>
    <d v="2015-07-15T00:00:00"/>
    <m/>
    <m/>
    <m/>
    <m/>
    <n v="9"/>
    <d v="2015-07-06T00:00:00"/>
    <m/>
    <m/>
    <m/>
    <m/>
    <m/>
    <m/>
    <m/>
    <n v="5"/>
    <d v="2015-06-25T00:00:00"/>
    <s v="VALIDE"/>
  </r>
  <r>
    <s v="RAPSO_138"/>
    <s v="Ariana"/>
    <x v="0"/>
    <x v="2"/>
    <n v="44"/>
    <n v="4"/>
    <n v="9"/>
    <m/>
    <m/>
    <m/>
    <m/>
    <n v="9"/>
    <m/>
    <n v="4.25"/>
    <d v="2015-07-06T00:00:00"/>
    <m/>
    <m/>
    <m/>
    <m/>
    <n v="11.55"/>
    <d v="2015-07-15T00:00:00"/>
    <n v="18.5"/>
    <d v="2015-07-06T00:00:00"/>
    <m/>
    <m/>
    <m/>
    <m/>
    <m/>
    <m/>
    <x v="462"/>
    <m/>
    <n v="23.427383427383425"/>
    <d v="2015-07-06T00:00:00"/>
    <m/>
    <m/>
    <n v="155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59.829000000000001"/>
    <d v="2015-07-15T00:00:00"/>
    <m/>
    <m/>
    <m/>
    <m/>
    <n v="48.384208679199219"/>
    <d v="2015-07-15T00:00:00"/>
    <n v="17.482309341430664"/>
    <d v="2015-07-15T00:00:00"/>
    <n v="15.922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77"/>
    <s v="Tenor"/>
    <x v="1"/>
    <x v="1"/>
    <n v="108"/>
    <n v="15"/>
    <n v="30"/>
    <m/>
    <m/>
    <m/>
    <m/>
    <n v="6"/>
    <m/>
    <n v="4.2300000000000004"/>
    <d v="2015-07-06T00:00:00"/>
    <m/>
    <m/>
    <m/>
    <m/>
    <n v="12.38"/>
    <d v="2015-07-15T00:00:00"/>
    <n v="18.5"/>
    <d v="2015-07-06T00:00:00"/>
    <m/>
    <m/>
    <m/>
    <m/>
    <m/>
    <m/>
    <x v="463"/>
    <m/>
    <n v="23.9"/>
    <d v="2015-07-06T00:00:00"/>
    <m/>
    <m/>
    <n v="13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111999999999995"/>
    <d v="2015-07-15T00:00:00"/>
    <m/>
    <m/>
    <m/>
    <m/>
    <n v="51.780117034912109"/>
    <d v="2015-07-15T00:00:00"/>
    <n v="18.103387832641602"/>
    <d v="2015-07-15T00:00:00"/>
    <n v="25.207000000000001"/>
    <d v="2015-07-15T00:00:00"/>
    <m/>
    <m/>
    <m/>
    <m/>
    <n v="6.7"/>
    <d v="2015-07-06T00:00:00"/>
    <m/>
    <m/>
    <m/>
    <m/>
    <m/>
    <m/>
    <m/>
    <n v="3"/>
    <d v="2015-06-25T00:00:00"/>
    <s v="VALIDE"/>
  </r>
  <r>
    <s v="RAPSO_029"/>
    <s v="Markus"/>
    <x v="1"/>
    <x v="3"/>
    <n v="8"/>
    <n v="24"/>
    <n v="8"/>
    <m/>
    <m/>
    <m/>
    <m/>
    <n v="9"/>
    <m/>
    <n v="4.29"/>
    <d v="2015-07-06T00:00:00"/>
    <m/>
    <m/>
    <m/>
    <m/>
    <n v="12.59"/>
    <d v="2015-07-15T00:00:00"/>
    <n v="18.5"/>
    <d v="2015-07-06T00:00:00"/>
    <m/>
    <m/>
    <m/>
    <m/>
    <m/>
    <m/>
    <x v="464"/>
    <m/>
    <n v="23.9"/>
    <d v="2015-07-06T00:00:00"/>
    <m/>
    <m/>
    <n v="140"/>
    <m/>
    <m/>
    <m/>
    <n v="109"/>
    <m/>
    <m/>
    <m/>
    <m/>
    <m/>
    <m/>
    <m/>
    <m/>
    <m/>
    <m/>
    <m/>
    <m/>
    <m/>
    <n v="9"/>
    <m/>
    <m/>
    <m/>
    <m/>
    <m/>
    <m/>
    <m/>
    <m/>
    <m/>
    <m/>
    <m/>
    <n v="66.052999999999997"/>
    <d v="2015-07-15T00:00:00"/>
    <m/>
    <m/>
    <m/>
    <m/>
    <n v="52.668769836425781"/>
    <d v="2015-07-15T00:00:00"/>
    <n v="16.768390655517578"/>
    <d v="2015-07-15T00:00:00"/>
    <n v="57.566000000000003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238"/>
    <s v="Milena"/>
    <x v="1"/>
    <x v="3"/>
    <n v="88"/>
    <n v="24"/>
    <n v="24"/>
    <m/>
    <m/>
    <m/>
    <m/>
    <n v="8"/>
    <m/>
    <n v="4.26"/>
    <d v="2015-07-06T00:00:00"/>
    <m/>
    <m/>
    <m/>
    <m/>
    <n v="11.78"/>
    <d v="2015-07-15T00:00:00"/>
    <n v="18.5"/>
    <d v="2015-07-06T00:00:00"/>
    <m/>
    <m/>
    <m/>
    <m/>
    <m/>
    <m/>
    <x v="465"/>
    <m/>
    <n v="23.94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764000000000003"/>
    <d v="2015-07-15T00:00:00"/>
    <m/>
    <m/>
    <m/>
    <m/>
    <n v="49.216354370117188"/>
    <d v="2015-07-15T00:00:00"/>
    <n v="18.493810653686523"/>
    <d v="2015-07-15T00:00:00"/>
    <n v="16.597999999999999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92"/>
    <s v="Zorro"/>
    <x v="1"/>
    <x v="3"/>
    <n v="112"/>
    <n v="20"/>
    <n v="24"/>
    <m/>
    <m/>
    <m/>
    <m/>
    <n v="9"/>
    <m/>
    <n v="4.3099999999999996"/>
    <d v="2015-07-06T00:00:00"/>
    <m/>
    <m/>
    <m/>
    <m/>
    <n v="11.62"/>
    <d v="2015-07-15T00:00:00"/>
    <n v="18.5"/>
    <d v="2015-07-06T00:00:00"/>
    <m/>
    <m/>
    <m/>
    <m/>
    <m/>
    <m/>
    <x v="466"/>
    <m/>
    <n v="23.99"/>
    <d v="2015-07-06T00:00:00"/>
    <m/>
    <m/>
    <n v="110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2.96"/>
    <d v="2015-07-15T00:00:00"/>
    <m/>
    <m/>
    <m/>
    <m/>
    <n v="48.420494079589844"/>
    <d v="2015-07-15T00:00:00"/>
    <n v="18.008277893066406"/>
    <d v="2015-07-15T00:00:00"/>
    <n v="19.434000000000001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038"/>
    <s v="Oleski"/>
    <x v="1"/>
    <x v="3"/>
    <n v="12"/>
    <n v="24"/>
    <n v="16"/>
    <m/>
    <m/>
    <m/>
    <m/>
    <n v="9"/>
    <m/>
    <n v="4.2699999999999996"/>
    <d v="2015-07-06T00:00:00"/>
    <m/>
    <m/>
    <m/>
    <m/>
    <n v="11.61"/>
    <d v="2015-07-15T00:00:00"/>
    <n v="18.5"/>
    <d v="2015-07-06T00:00:00"/>
    <m/>
    <m/>
    <m/>
    <m/>
    <m/>
    <m/>
    <x v="467"/>
    <m/>
    <n v="23.562993762993763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664999999999999"/>
    <d v="2015-07-15T00:00:00"/>
    <m/>
    <m/>
    <m/>
    <m/>
    <n v="48.35321044921875"/>
    <d v="2015-07-15T00:00:00"/>
    <n v="19.60331916809082"/>
    <d v="2015-07-15T00:00:00"/>
    <n v="61.954999999999998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30"/>
    <s v="Lirabon"/>
    <x v="1"/>
    <x v="3"/>
    <n v="83"/>
    <n v="23"/>
    <n v="3"/>
    <m/>
    <m/>
    <m/>
    <m/>
    <n v="8"/>
    <m/>
    <n v="4.3600000000000003"/>
    <d v="2015-07-06T00:00:00"/>
    <m/>
    <m/>
    <m/>
    <m/>
    <n v="12.31"/>
    <d v="2015-07-15T00:00:00"/>
    <n v="18.5"/>
    <d v="2015-07-06T00:00:00"/>
    <m/>
    <m/>
    <m/>
    <m/>
    <m/>
    <m/>
    <x v="468"/>
    <m/>
    <n v="24.03"/>
    <d v="2015-07-06T00:00:00"/>
    <m/>
    <m/>
    <n v="12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305999999999997"/>
    <d v="2015-07-15T00:00:00"/>
    <m/>
    <m/>
    <m/>
    <m/>
    <n v="51.215091705322266"/>
    <d v="2015-07-15T00:00:00"/>
    <n v="16.288547515869141"/>
    <d v="2015-07-15T00:00:00"/>
    <n v="17.207000000000001"/>
    <d v="2015-07-15T00:00:00"/>
    <m/>
    <m/>
    <m/>
    <m/>
    <n v="9"/>
    <d v="2015-07-06T00:00:00"/>
    <m/>
    <m/>
    <m/>
    <m/>
    <m/>
    <m/>
    <m/>
    <n v="3"/>
    <d v="2015-06-25T00:00:00"/>
    <s v="VALIDE"/>
  </r>
  <r>
    <s v="RAPSO_256"/>
    <s v="Pollen"/>
    <x v="1"/>
    <x v="3"/>
    <n v="96"/>
    <n v="23"/>
    <n v="13"/>
    <m/>
    <m/>
    <m/>
    <m/>
    <n v="7"/>
    <m/>
    <n v="4.32"/>
    <d v="2015-07-06T00:00:00"/>
    <m/>
    <m/>
    <m/>
    <m/>
    <n v="11.88"/>
    <d v="2015-07-15T00:00:00"/>
    <n v="18.5"/>
    <d v="2015-07-06T00:00:00"/>
    <m/>
    <m/>
    <m/>
    <m/>
    <m/>
    <m/>
    <x v="469"/>
    <m/>
    <n v="24.04"/>
    <d v="2015-07-06T00:00:00"/>
    <m/>
    <m/>
    <n v="12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5.915000000000006"/>
    <d v="2015-07-15T00:00:00"/>
    <m/>
    <m/>
    <m/>
    <m/>
    <n v="49.427825927734375"/>
    <d v="2015-07-15T00:00:00"/>
    <n v="17.401172637939453"/>
    <d v="2015-07-15T00:00:00"/>
    <n v="21.337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160"/>
    <s v="Capricorn"/>
    <x v="1"/>
    <x v="3"/>
    <n v="54"/>
    <n v="24"/>
    <n v="10"/>
    <m/>
    <m/>
    <m/>
    <m/>
    <n v="8"/>
    <m/>
    <n v="4.32"/>
    <d v="2015-07-06T00:00:00"/>
    <m/>
    <m/>
    <m/>
    <m/>
    <n v="12.21"/>
    <d v="2015-07-15T00:00:00"/>
    <n v="18.5"/>
    <d v="2015-07-06T00:00:00"/>
    <m/>
    <m/>
    <m/>
    <m/>
    <m/>
    <m/>
    <x v="470"/>
    <m/>
    <n v="23.607959607959607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0.878"/>
    <d v="2015-07-15T00:00:00"/>
    <m/>
    <m/>
    <m/>
    <m/>
    <n v="50.744758605957031"/>
    <d v="2015-07-15T00:00:00"/>
    <n v="17.179744720458984"/>
    <d v="2015-07-15T00:00:00"/>
    <n v="20.539000000000001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081"/>
    <s v="Doral"/>
    <x v="0"/>
    <x v="2"/>
    <n v="30"/>
    <n v="4"/>
    <n v="1"/>
    <m/>
    <m/>
    <m/>
    <m/>
    <n v="9"/>
    <m/>
    <n v="4.29"/>
    <d v="2015-07-06T00:00:00"/>
    <m/>
    <m/>
    <m/>
    <m/>
    <n v="11.31"/>
    <d v="2015-07-15T00:00:00"/>
    <n v="18.5"/>
    <d v="2015-07-06T00:00:00"/>
    <m/>
    <m/>
    <m/>
    <m/>
    <m/>
    <m/>
    <x v="471"/>
    <m/>
    <n v="24.08"/>
    <d v="2015-07-06T00:00:00"/>
    <m/>
    <m/>
    <n v="17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926000000000002"/>
    <d v="2015-07-15T00:00:00"/>
    <m/>
    <m/>
    <m/>
    <m/>
    <n v="46.972335815429687"/>
    <d v="2015-07-15T00:00:00"/>
    <n v="19.552682876586914"/>
    <d v="2015-07-15T00:00:00"/>
    <n v="63.95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323"/>
    <s v="RAGT-09"/>
    <x v="1"/>
    <x v="3"/>
    <n v="160"/>
    <n v="20"/>
    <n v="19"/>
    <m/>
    <m/>
    <m/>
    <m/>
    <n v="8"/>
    <m/>
    <n v="4.29"/>
    <d v="2015-07-06T00:00:00"/>
    <m/>
    <m/>
    <m/>
    <m/>
    <n v="11.82"/>
    <d v="2015-07-15T00:00:00"/>
    <n v="18.5"/>
    <d v="2015-07-06T00:00:00"/>
    <m/>
    <m/>
    <m/>
    <m/>
    <m/>
    <m/>
    <x v="472"/>
    <m/>
    <n v="24.11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51"/>
    <d v="2015-07-15T00:00:00"/>
    <m/>
    <m/>
    <m/>
    <m/>
    <n v="49.006248474121094"/>
    <d v="2015-07-15T00:00:00"/>
    <n v="17.483768463134766"/>
    <d v="2015-07-15T00:00:00"/>
    <n v="15.092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011"/>
    <s v="Gaspard"/>
    <x v="1"/>
    <x v="3"/>
    <n v="3"/>
    <n v="20"/>
    <n v="12"/>
    <m/>
    <m/>
    <m/>
    <m/>
    <n v="9"/>
    <m/>
    <n v="4.3099999999999996"/>
    <d v="2015-07-06T00:00:00"/>
    <m/>
    <m/>
    <m/>
    <m/>
    <n v="11.76"/>
    <d v="2015-07-15T00:00:00"/>
    <n v="18.5"/>
    <d v="2015-07-06T00:00:00"/>
    <m/>
    <m/>
    <m/>
    <m/>
    <m/>
    <m/>
    <x v="473"/>
    <m/>
    <n v="24.14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91999999999999"/>
    <d v="2015-07-15T00:00:00"/>
    <m/>
    <m/>
    <m/>
    <m/>
    <n v="48.732139587402344"/>
    <d v="2015-07-15T00:00:00"/>
    <n v="19.394493103027344"/>
    <d v="2015-07-15T00:00:00"/>
    <n v="66.742999999999995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232"/>
    <s v="Madrigal"/>
    <x v="1"/>
    <x v="3"/>
    <n v="85"/>
    <n v="21"/>
    <n v="21"/>
    <m/>
    <m/>
    <m/>
    <m/>
    <n v="7"/>
    <m/>
    <n v="4.32"/>
    <d v="2015-07-06T00:00:00"/>
    <m/>
    <m/>
    <m/>
    <m/>
    <n v="12.09"/>
    <d v="2015-07-15T00:00:00"/>
    <n v="18.5"/>
    <d v="2015-07-06T00:00:00"/>
    <m/>
    <m/>
    <m/>
    <m/>
    <m/>
    <m/>
    <x v="474"/>
    <m/>
    <n v="24.2"/>
    <d v="2015-07-06T00:00:00"/>
    <m/>
    <m/>
    <n v="13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341000000000001"/>
    <d v="2015-07-15T00:00:00"/>
    <m/>
    <m/>
    <m/>
    <m/>
    <n v="49.962619781494141"/>
    <d v="2015-07-15T00:00:00"/>
    <n v="18.869174957275391"/>
    <d v="2015-07-15T00:00:00"/>
    <n v="16.317"/>
    <d v="2015-07-15T00:00:00"/>
    <m/>
    <m/>
    <m/>
    <m/>
    <n v="7.5"/>
    <d v="2015-07-06T00:00:00"/>
    <m/>
    <m/>
    <m/>
    <m/>
    <m/>
    <m/>
    <m/>
    <n v="5"/>
    <d v="2015-06-25T00:00:00"/>
    <s v="VALIDE"/>
  </r>
  <r>
    <s v="RAPSO_084"/>
    <s v="Emil"/>
    <x v="1"/>
    <x v="3"/>
    <n v="31"/>
    <n v="19"/>
    <n v="2"/>
    <m/>
    <m/>
    <m/>
    <m/>
    <n v="9"/>
    <m/>
    <n v="4.34"/>
    <d v="2015-07-06T00:00:00"/>
    <m/>
    <m/>
    <m/>
    <m/>
    <n v="11.74"/>
    <d v="2015-07-15T00:00:00"/>
    <n v="18.5"/>
    <d v="2015-07-06T00:00:00"/>
    <m/>
    <m/>
    <m/>
    <m/>
    <m/>
    <m/>
    <x v="475"/>
    <m/>
    <n v="24.23"/>
    <d v="2015-07-06T00:00:00"/>
    <m/>
    <m/>
    <n v="10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588999999999999"/>
    <d v="2015-07-15T00:00:00"/>
    <m/>
    <m/>
    <m/>
    <m/>
    <n v="48.46612548828125"/>
    <d v="2015-07-15T00:00:00"/>
    <n v="18.504301071166992"/>
    <d v="2015-07-15T00:00:00"/>
    <n v="53.686999999999998"/>
    <d v="2015-07-15T00:00:00"/>
    <m/>
    <m/>
    <m/>
    <m/>
    <n v="7.8"/>
    <d v="2015-07-06T00:00:00"/>
    <m/>
    <m/>
    <m/>
    <m/>
    <m/>
    <m/>
    <m/>
    <n v="3"/>
    <d v="2015-06-25T00:00:00"/>
    <s v="VALIDE"/>
  </r>
  <r>
    <s v="RAPSO_295"/>
    <s v="ES-ALEGRIA"/>
    <x v="1"/>
    <x v="1"/>
    <n v="132"/>
    <n v="14"/>
    <n v="25"/>
    <m/>
    <m/>
    <m/>
    <m/>
    <n v="8"/>
    <m/>
    <n v="4.32"/>
    <d v="2015-07-06T00:00:00"/>
    <m/>
    <m/>
    <m/>
    <m/>
    <n v="12.59"/>
    <d v="2015-07-15T00:00:00"/>
    <n v="18.5"/>
    <d v="2015-07-06T00:00:00"/>
    <m/>
    <m/>
    <m/>
    <m/>
    <m/>
    <m/>
    <x v="476"/>
    <m/>
    <n v="24.25"/>
    <d v="2015-07-06T00:00:00"/>
    <m/>
    <m/>
    <n v="11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7.289000000000001"/>
    <d v="2015-07-15T00:00:00"/>
    <m/>
    <m/>
    <m/>
    <m/>
    <n v="51.896858215332031"/>
    <d v="2015-07-15T00:00:00"/>
    <n v="17.186084747314453"/>
    <d v="2015-07-15T00:00:00"/>
    <n v="14.342000000000001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070"/>
    <s v="Askari"/>
    <x v="1"/>
    <x v="3"/>
    <n v="23"/>
    <n v="19"/>
    <n v="17"/>
    <m/>
    <m/>
    <m/>
    <m/>
    <n v="9"/>
    <m/>
    <n v="4.34"/>
    <d v="2015-07-06T00:00:00"/>
    <m/>
    <m/>
    <m/>
    <m/>
    <n v="12.33"/>
    <d v="2015-07-15T00:00:00"/>
    <n v="18.5"/>
    <d v="2015-07-06T00:00:00"/>
    <m/>
    <m/>
    <m/>
    <m/>
    <m/>
    <m/>
    <x v="477"/>
    <m/>
    <n v="24.26"/>
    <d v="2015-07-06T00:00:00"/>
    <m/>
    <m/>
    <n v="13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052000000000007"/>
    <d v="2015-07-15T00:00:00"/>
    <m/>
    <m/>
    <m/>
    <m/>
    <n v="50.828147888183594"/>
    <d v="2015-07-15T00:00:00"/>
    <n v="18.485614776611328"/>
    <d v="2015-07-15T00:00:00"/>
    <n v="46.603000000000002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254"/>
    <s v="PAYROL"/>
    <x v="1"/>
    <x v="3"/>
    <n v="95"/>
    <n v="23"/>
    <n v="7"/>
    <m/>
    <m/>
    <m/>
    <m/>
    <n v="7"/>
    <m/>
    <n v="4.34"/>
    <d v="2015-07-06T00:00:00"/>
    <m/>
    <m/>
    <m/>
    <m/>
    <n v="12.29"/>
    <d v="2015-07-15T00:00:00"/>
    <n v="18.5"/>
    <d v="2015-07-06T00:00:00"/>
    <m/>
    <m/>
    <m/>
    <m/>
    <m/>
    <m/>
    <x v="478"/>
    <m/>
    <n v="24.28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396999999999998"/>
    <d v="2015-07-15T00:00:00"/>
    <m/>
    <m/>
    <m/>
    <m/>
    <n v="50.623908996582031"/>
    <d v="2015-07-15T00:00:00"/>
    <n v="17.493556976318359"/>
    <d v="2015-07-15T00:00:00"/>
    <n v="25.501000000000001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135"/>
    <s v="Amber"/>
    <x v="1"/>
    <x v="1"/>
    <n v="43"/>
    <n v="15"/>
    <n v="5"/>
    <m/>
    <m/>
    <m/>
    <m/>
    <n v="8"/>
    <m/>
    <n v="4.38"/>
    <d v="2015-07-06T00:00:00"/>
    <m/>
    <m/>
    <m/>
    <m/>
    <n v="11.59"/>
    <d v="2015-07-15T00:00:00"/>
    <n v="18.5"/>
    <d v="2015-07-06T00:00:00"/>
    <m/>
    <m/>
    <m/>
    <m/>
    <m/>
    <m/>
    <x v="479"/>
    <m/>
    <n v="23.831779031779032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1.179000000000002"/>
    <d v="2015-07-15T00:00:00"/>
    <m/>
    <m/>
    <m/>
    <m/>
    <n v="47.699813842773438"/>
    <d v="2015-07-15T00:00:00"/>
    <n v="18.396640777587891"/>
    <d v="2015-07-15T00:00:00"/>
    <n v="16.844999999999999"/>
    <d v="2015-07-15T00:00:00"/>
    <m/>
    <m/>
    <m/>
    <m/>
    <n v="8.4"/>
    <d v="2015-07-06T00:00:00"/>
    <m/>
    <m/>
    <m/>
    <m/>
    <m/>
    <m/>
    <m/>
    <n v="1"/>
    <d v="2015-06-25T00:00:00"/>
    <s v="VALIDE"/>
  </r>
  <r>
    <s v="RAPSO_051"/>
    <s v="Ramses"/>
    <x v="0"/>
    <x v="2"/>
    <n v="18"/>
    <n v="4"/>
    <n v="27"/>
    <m/>
    <m/>
    <m/>
    <m/>
    <n v="7"/>
    <m/>
    <n v="4.3099999999999996"/>
    <d v="2015-07-06T00:00:00"/>
    <m/>
    <m/>
    <m/>
    <m/>
    <n v="12.01"/>
    <d v="2015-07-15T00:00:00"/>
    <n v="18.5"/>
    <d v="2015-07-06T00:00:00"/>
    <m/>
    <m/>
    <m/>
    <m/>
    <m/>
    <m/>
    <x v="116"/>
    <m/>
    <n v="23.834927234927228"/>
    <d v="2015-07-06T00:00:00"/>
    <m/>
    <m/>
    <n v="15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3.97"/>
    <d v="2015-07-15T00:00:00"/>
    <m/>
    <m/>
    <m/>
    <m/>
    <n v="49.416229248046875"/>
    <d v="2015-07-15T00:00:00"/>
    <n v="18.931381225585938"/>
    <d v="2015-07-15T00:00:00"/>
    <n v="52.155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167"/>
    <s v="Chelsi"/>
    <x v="1"/>
    <x v="1"/>
    <n v="57"/>
    <n v="18"/>
    <n v="5"/>
    <m/>
    <m/>
    <m/>
    <m/>
    <n v="8"/>
    <m/>
    <n v="4.4000000000000004"/>
    <d v="2015-07-06T00:00:00"/>
    <m/>
    <m/>
    <m/>
    <m/>
    <n v="12.37"/>
    <d v="2015-07-15T00:00:00"/>
    <n v="18.5"/>
    <d v="2015-07-06T00:00:00"/>
    <m/>
    <m/>
    <m/>
    <m/>
    <m/>
    <m/>
    <x v="480"/>
    <m/>
    <n v="24.3"/>
    <d v="2015-07-06T00:00:00"/>
    <m/>
    <m/>
    <n v="12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772999999999996"/>
    <d v="2015-07-15T00:00:00"/>
    <m/>
    <m/>
    <m/>
    <m/>
    <n v="50.920028686523437"/>
    <d v="2015-07-15T00:00:00"/>
    <n v="17.694652557373047"/>
    <d v="2015-07-15T00:00:00"/>
    <n v="21.585999999999999"/>
    <d v="2015-07-15T00:00:00"/>
    <m/>
    <m/>
    <m/>
    <m/>
    <n v="8.8000000000000007"/>
    <d v="2015-07-06T00:00:00"/>
    <m/>
    <m/>
    <m/>
    <m/>
    <m/>
    <m/>
    <m/>
    <n v="3"/>
    <d v="2015-06-25T00:00:00"/>
    <s v="VALIDE"/>
  </r>
  <r>
    <s v="RAPSO_081"/>
    <s v="Doral"/>
    <x v="1"/>
    <x v="3"/>
    <n v="30"/>
    <n v="20"/>
    <n v="16"/>
    <m/>
    <m/>
    <m/>
    <m/>
    <n v="9"/>
    <m/>
    <n v="4.34"/>
    <d v="2015-07-06T00:00:00"/>
    <m/>
    <m/>
    <m/>
    <m/>
    <n v="11.16"/>
    <d v="2015-07-15T00:00:00"/>
    <n v="18.5"/>
    <d v="2015-07-06T00:00:00"/>
    <m/>
    <m/>
    <m/>
    <m/>
    <m/>
    <m/>
    <x v="481"/>
    <m/>
    <n v="24.31"/>
    <d v="2015-07-06T00:00:00"/>
    <m/>
    <m/>
    <n v="13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1.963000000000001"/>
    <d v="2015-07-15T00:00:00"/>
    <m/>
    <m/>
    <m/>
    <m/>
    <n v="45.9097900390625"/>
    <d v="2015-07-15T00:00:00"/>
    <n v="19.998989105224609"/>
    <d v="2015-07-15T00:00:00"/>
    <n v="59.927999999999997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081"/>
    <s v="Doral"/>
    <x v="1"/>
    <x v="1"/>
    <n v="30"/>
    <n v="16"/>
    <n v="23"/>
    <m/>
    <m/>
    <m/>
    <m/>
    <n v="5"/>
    <m/>
    <n v="4.3499999999999996"/>
    <d v="2015-07-06T00:00:00"/>
    <m/>
    <m/>
    <m/>
    <m/>
    <n v="10.85"/>
    <d v="2015-07-15T00:00:00"/>
    <n v="18.5"/>
    <d v="2015-07-06T00:00:00"/>
    <m/>
    <m/>
    <m/>
    <m/>
    <m/>
    <m/>
    <x v="482"/>
    <m/>
    <n v="24.34"/>
    <d v="2015-07-06T00:00:00"/>
    <m/>
    <m/>
    <n v="14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1.274000000000001"/>
    <d v="2015-07-15T00:00:00"/>
    <m/>
    <m/>
    <m/>
    <m/>
    <n v="44.577407836914063"/>
    <d v="2015-07-15T00:00:00"/>
    <n v="21.342254638671875"/>
    <d v="2015-07-15T00:00:00"/>
    <n v="64.081000000000003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363"/>
    <s v="MANSHOLTS "/>
    <x v="0"/>
    <x v="2"/>
    <n v="116"/>
    <n v="2"/>
    <n v="31"/>
    <m/>
    <m/>
    <m/>
    <m/>
    <n v="9"/>
    <m/>
    <n v="4.32"/>
    <d v="2015-07-06T00:00:00"/>
    <m/>
    <m/>
    <m/>
    <m/>
    <n v="11.28"/>
    <d v="2015-07-15T00:00:00"/>
    <n v="18.5"/>
    <d v="2015-07-06T00:00:00"/>
    <m/>
    <m/>
    <m/>
    <m/>
    <m/>
    <m/>
    <x v="483"/>
    <m/>
    <n v="24.35"/>
    <d v="2015-07-06T00:00:00"/>
    <m/>
    <m/>
    <n v="15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173000000000002"/>
    <d v="2015-07-15T00:00:00"/>
    <m/>
    <m/>
    <m/>
    <m/>
    <n v="46.33880615234375"/>
    <d v="2015-07-15T00:00:00"/>
    <n v="19.306163787841797"/>
    <d v="2015-07-15T00:00:00"/>
    <n v="63.92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308"/>
    <s v="LADOGA "/>
    <x v="1"/>
    <x v="1"/>
    <n v="145"/>
    <n v="14"/>
    <n v="23"/>
    <m/>
    <m/>
    <m/>
    <m/>
    <n v="5"/>
    <m/>
    <n v="4.3499999999999996"/>
    <d v="2015-07-06T00:00:00"/>
    <m/>
    <m/>
    <m/>
    <m/>
    <n v="12.04"/>
    <d v="2015-07-15T00:00:00"/>
    <n v="18.5"/>
    <d v="2015-07-06T00:00:00"/>
    <m/>
    <m/>
    <m/>
    <m/>
    <m/>
    <m/>
    <x v="484"/>
    <m/>
    <n v="24.37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27"/>
    <d v="2015-07-15T00:00:00"/>
    <m/>
    <m/>
    <m/>
    <m/>
    <n v="49.404850006103516"/>
    <d v="2015-07-15T00:00:00"/>
    <n v="15.95570182800293"/>
    <d v="2015-07-15T00:00:00"/>
    <n v="13.06"/>
    <d v="2015-07-15T00:00:00"/>
    <m/>
    <m/>
    <m/>
    <m/>
    <n v="7.5"/>
    <d v="2015-07-06T00:00:00"/>
    <m/>
    <m/>
    <m/>
    <m/>
    <m/>
    <m/>
    <m/>
    <n v="5"/>
    <d v="2015-06-25T00:00:00"/>
    <s v="VALIDE"/>
  </r>
  <r>
    <s v="BRA_007"/>
    <s v="Tosca"/>
    <x v="1"/>
    <x v="1"/>
    <n v="125"/>
    <n v="18"/>
    <n v="29"/>
    <m/>
    <m/>
    <m/>
    <m/>
    <n v="9"/>
    <m/>
    <n v="4.33"/>
    <d v="2015-07-06T00:00:00"/>
    <m/>
    <m/>
    <m/>
    <m/>
    <n v="11.89"/>
    <d v="2015-07-15T00:00:00"/>
    <n v="18.5"/>
    <d v="2015-07-06T00:00:00"/>
    <m/>
    <m/>
    <m/>
    <m/>
    <m/>
    <m/>
    <x v="485"/>
    <m/>
    <n v="24.39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146999999999998"/>
    <d v="2015-07-15T00:00:00"/>
    <m/>
    <m/>
    <m/>
    <m/>
    <n v="48.736618041992188"/>
    <d v="2015-07-15T00:00:00"/>
    <n v="19.79278564453125"/>
    <d v="2015-07-15T00:00:00"/>
    <n v="17.088000000000001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265"/>
    <s v="Roxet"/>
    <x v="0"/>
    <x v="2"/>
    <n v="102"/>
    <n v="4"/>
    <n v="3"/>
    <m/>
    <m/>
    <m/>
    <m/>
    <n v="8"/>
    <m/>
    <n v="4.3499999999999996"/>
    <d v="2015-07-06T00:00:00"/>
    <m/>
    <m/>
    <m/>
    <m/>
    <n v="12.42"/>
    <d v="2015-07-15T00:00:00"/>
    <n v="18.5"/>
    <d v="2015-07-06T00:00:00"/>
    <m/>
    <m/>
    <m/>
    <m/>
    <m/>
    <m/>
    <x v="486"/>
    <m/>
    <n v="23.952776952776947"/>
    <d v="2015-07-06T00:00:00"/>
    <m/>
    <m/>
    <n v="15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2.603000000000002"/>
    <d v="2015-07-15T00:00:00"/>
    <m/>
    <m/>
    <m/>
    <m/>
    <n v="50.846797943115234"/>
    <d v="2015-07-15T00:00:00"/>
    <n v="16.340877532958984"/>
    <d v="2015-07-15T00:00:00"/>
    <n v="20.18400000000000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22"/>
    <s v="RAGT-08"/>
    <x v="0"/>
    <x v="2"/>
    <n v="159"/>
    <n v="5"/>
    <n v="8"/>
    <m/>
    <m/>
    <m/>
    <m/>
    <n v="3"/>
    <m/>
    <n v="4.3499999999999996"/>
    <d v="2015-07-06T00:00:00"/>
    <m/>
    <m/>
    <m/>
    <m/>
    <n v="12.06"/>
    <d v="2015-07-15T00:00:00"/>
    <n v="18.5"/>
    <d v="2015-07-06T00:00:00"/>
    <m/>
    <m/>
    <m/>
    <m/>
    <m/>
    <m/>
    <x v="486"/>
    <m/>
    <n v="24.42"/>
    <d v="2015-07-06T00:00:00"/>
    <m/>
    <m/>
    <n v="14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2.383000000000003"/>
    <d v="2015-07-15T00:00:00"/>
    <m/>
    <m/>
    <m/>
    <m/>
    <n v="49.381797790527344"/>
    <d v="2015-07-15T00:00:00"/>
    <n v="16.463459014892578"/>
    <d v="2015-07-15T00:00:00"/>
    <n v="14.622999999999999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176"/>
    <s v="Darmor"/>
    <x v="1"/>
    <x v="3"/>
    <n v="62"/>
    <n v="24"/>
    <n v="19"/>
    <m/>
    <m/>
    <m/>
    <m/>
    <n v="8"/>
    <m/>
    <n v="4.3499999999999996"/>
    <d v="2015-07-06T00:00:00"/>
    <m/>
    <m/>
    <m/>
    <m/>
    <n v="11.92"/>
    <d v="2015-07-15T00:00:00"/>
    <n v="18.5"/>
    <d v="2015-07-06T00:00:00"/>
    <m/>
    <m/>
    <m/>
    <m/>
    <m/>
    <m/>
    <x v="487"/>
    <m/>
    <n v="23.978615978615977"/>
    <d v="2015-07-06T00:00:00"/>
    <m/>
    <m/>
    <n v="13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1.103999999999999"/>
    <d v="2015-07-15T00:00:00"/>
    <m/>
    <m/>
    <m/>
    <m/>
    <n v="48.746612548828125"/>
    <d v="2015-07-15T00:00:00"/>
    <n v="17.967147827148438"/>
    <d v="2015-07-15T00:00:00"/>
    <n v="30.393999999999998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112"/>
    <s v="Primor"/>
    <x v="0"/>
    <x v="0"/>
    <n v="11"/>
    <m/>
    <m/>
    <n v="8"/>
    <n v="4"/>
    <m/>
    <m/>
    <n v="7"/>
    <m/>
    <n v="4.37"/>
    <d v="2015-07-06T00:00:00"/>
    <m/>
    <m/>
    <m/>
    <m/>
    <m/>
    <d v="2015-07-15T00:00:00"/>
    <n v="18.5"/>
    <d v="2015-07-06T00:00:00"/>
    <m/>
    <m/>
    <m/>
    <m/>
    <m/>
    <m/>
    <x v="488"/>
    <m/>
    <n v="24.45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023"/>
    <s v="Lembke"/>
    <x v="1"/>
    <x v="1"/>
    <n v="6"/>
    <n v="16"/>
    <n v="2"/>
    <m/>
    <m/>
    <m/>
    <m/>
    <n v="9"/>
    <m/>
    <n v="4.38"/>
    <d v="2015-07-06T00:00:00"/>
    <m/>
    <m/>
    <m/>
    <m/>
    <n v="11.76"/>
    <d v="2015-07-15T00:00:00"/>
    <n v="18.5"/>
    <d v="2015-07-06T00:00:00"/>
    <m/>
    <m/>
    <m/>
    <m/>
    <m/>
    <m/>
    <x v="489"/>
    <m/>
    <n v="24.45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718000000000004"/>
    <d v="2015-07-15T00:00:00"/>
    <m/>
    <m/>
    <m/>
    <m/>
    <n v="48.094051361083984"/>
    <d v="2015-07-15T00:00:00"/>
    <n v="20.177898406982422"/>
    <d v="2015-07-15T00:00:00"/>
    <n v="74.576999999999998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277"/>
    <s v="Tenor"/>
    <x v="0"/>
    <x v="2"/>
    <n v="108"/>
    <n v="5"/>
    <n v="32"/>
    <m/>
    <m/>
    <m/>
    <m/>
    <n v="5"/>
    <m/>
    <n v="4.33"/>
    <d v="2015-07-06T00:00:00"/>
    <m/>
    <m/>
    <m/>
    <m/>
    <n v="13.11"/>
    <d v="2015-07-15T00:00:00"/>
    <n v="18.5"/>
    <d v="2015-07-06T00:00:00"/>
    <m/>
    <m/>
    <m/>
    <m/>
    <m/>
    <m/>
    <x v="490"/>
    <m/>
    <n v="23.996970596970595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42"/>
    <d v="2015-07-15T00:00:00"/>
    <m/>
    <m/>
    <m/>
    <m/>
    <n v="53.609817504882813"/>
    <d v="2015-07-15T00:00:00"/>
    <n v="16.433347702026367"/>
    <d v="2015-07-15T00:00:00"/>
    <n v="19.757999999999999"/>
    <d v="2015-07-15T00:00:00"/>
    <m/>
    <m/>
    <m/>
    <m/>
    <n v="6.7"/>
    <d v="2015-07-06T00:00:00"/>
    <m/>
    <m/>
    <m/>
    <m/>
    <m/>
    <m/>
    <m/>
    <n v="1"/>
    <d v="2015-06-25T00:00:00"/>
    <s v="VALIDE"/>
  </r>
  <r>
    <s v="RAPSO_070"/>
    <s v="Askari"/>
    <x v="1"/>
    <x v="1"/>
    <n v="23"/>
    <n v="17"/>
    <n v="9"/>
    <m/>
    <m/>
    <m/>
    <m/>
    <n v="8"/>
    <m/>
    <n v="4.3"/>
    <d v="2015-07-06T00:00:00"/>
    <m/>
    <m/>
    <m/>
    <m/>
    <n v="13.02"/>
    <d v="2015-07-15T00:00:00"/>
    <n v="18.5"/>
    <d v="2015-07-06T00:00:00"/>
    <m/>
    <m/>
    <m/>
    <m/>
    <m/>
    <m/>
    <x v="491"/>
    <m/>
    <n v="24.48"/>
    <d v="2015-07-06T00:00:00"/>
    <m/>
    <m/>
    <n v="11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5.322999999999993"/>
    <d v="2015-07-15T00:00:00"/>
    <m/>
    <m/>
    <m/>
    <m/>
    <n v="53.187187194824219"/>
    <d v="2015-07-15T00:00:00"/>
    <n v="17.166145324707031"/>
    <d v="2015-07-15T00:00:00"/>
    <n v="47.735999999999997"/>
    <d v="2015-07-15T00:00:00"/>
    <m/>
    <m/>
    <m/>
    <m/>
    <n v="6"/>
    <d v="2015-07-06T00:00:00"/>
    <m/>
    <m/>
    <m/>
    <m/>
    <m/>
    <m/>
    <m/>
    <n v="7"/>
    <d v="2015-06-25T00:00:00"/>
    <s v="VALIDE"/>
  </r>
  <r>
    <s v="RAPSO_168"/>
    <s v="Cheops"/>
    <x v="1"/>
    <x v="3"/>
    <n v="58"/>
    <n v="21"/>
    <n v="23"/>
    <m/>
    <m/>
    <m/>
    <m/>
    <n v="9"/>
    <m/>
    <n v="4.4000000000000004"/>
    <d v="2015-07-06T00:00:00"/>
    <m/>
    <m/>
    <m/>
    <m/>
    <n v="12.5"/>
    <d v="2015-07-15T00:00:00"/>
    <n v="18.5"/>
    <d v="2015-07-06T00:00:00"/>
    <m/>
    <m/>
    <m/>
    <m/>
    <m/>
    <m/>
    <x v="492"/>
    <m/>
    <n v="24.49"/>
    <d v="2015-07-06T00:00:00"/>
    <m/>
    <m/>
    <n v="10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811000000000007"/>
    <d v="2015-07-15T00:00:00"/>
    <m/>
    <m/>
    <m/>
    <m/>
    <n v="51.043655395507813"/>
    <d v="2015-07-15T00:00:00"/>
    <n v="18.134008407592773"/>
    <d v="2015-07-15T00:00:00"/>
    <n v="18.542000000000002"/>
    <d v="2015-07-15T00:00:00"/>
    <m/>
    <m/>
    <m/>
    <m/>
    <n v="8.1"/>
    <d v="2015-07-06T00:00:00"/>
    <m/>
    <m/>
    <m/>
    <m/>
    <m/>
    <m/>
    <m/>
    <n v="3"/>
    <d v="2015-06-25T00:00:00"/>
    <s v="VALIDE"/>
  </r>
  <r>
    <s v="Alpaga"/>
    <s v="Alpaga"/>
    <x v="1"/>
    <x v="1"/>
    <n v="189"/>
    <n v="13"/>
    <n v="28"/>
    <m/>
    <m/>
    <m/>
    <m/>
    <n v="5"/>
    <m/>
    <n v="4.3499999999999996"/>
    <d v="2015-07-06T00:00:00"/>
    <m/>
    <m/>
    <m/>
    <m/>
    <n v="12.71"/>
    <d v="2015-07-15T00:00:00"/>
    <n v="18.5"/>
    <d v="2015-07-06T00:00:00"/>
    <m/>
    <m/>
    <m/>
    <m/>
    <m/>
    <m/>
    <x v="493"/>
    <m/>
    <n v="24.5"/>
    <d v="2015-07-06T00:00:00"/>
    <m/>
    <m/>
    <n v="12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4.548000000000002"/>
    <d v="2015-07-15T00:00:00"/>
    <m/>
    <m/>
    <m/>
    <m/>
    <n v="51.862953186035156"/>
    <d v="2015-07-15T00:00:00"/>
    <n v="16.410018920898437"/>
    <d v="2015-07-15T00:00:00"/>
    <n v="18.521000000000001"/>
    <d v="2015-07-15T00:00:00"/>
    <m/>
    <m/>
    <m/>
    <m/>
    <n v="7"/>
    <d v="2015-07-06T00:00:00"/>
    <m/>
    <m/>
    <m/>
    <m/>
    <m/>
    <m/>
    <m/>
    <n v="7"/>
    <d v="2015-06-25T00:00:00"/>
    <s v="VALIDE"/>
  </r>
  <r>
    <s v="RAPSO_130"/>
    <s v="Akamar"/>
    <x v="1"/>
    <x v="3"/>
    <n v="40"/>
    <n v="19"/>
    <n v="16"/>
    <m/>
    <m/>
    <m/>
    <m/>
    <n v="9"/>
    <m/>
    <n v="4.3899999999999997"/>
    <d v="2015-07-06T00:00:00"/>
    <m/>
    <m/>
    <m/>
    <m/>
    <n v="11.8"/>
    <d v="2015-07-15T00:00:00"/>
    <n v="18.5"/>
    <d v="2015-07-06T00:00:00"/>
    <m/>
    <m/>
    <m/>
    <m/>
    <m/>
    <m/>
    <x v="494"/>
    <m/>
    <n v="24.51"/>
    <d v="2015-07-06T00:00:00"/>
    <m/>
    <m/>
    <n v="12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2.731999999999999"/>
    <d v="2015-07-15T00:00:00"/>
    <m/>
    <m/>
    <m/>
    <m/>
    <n v="48.157135009765625"/>
    <d v="2015-07-15T00:00:00"/>
    <n v="18.940578460693359"/>
    <d v="2015-07-15T00:00:00"/>
    <n v="26.37"/>
    <d v="2015-07-15T00:00:00"/>
    <m/>
    <m/>
    <m/>
    <m/>
    <n v="7.8"/>
    <d v="2015-07-06T00:00:00"/>
    <m/>
    <m/>
    <m/>
    <m/>
    <m/>
    <m/>
    <m/>
    <n v="3"/>
    <d v="2015-06-25T00:00:00"/>
    <s v="VALIDE"/>
  </r>
  <r>
    <s v="Montego"/>
    <s v="Montego"/>
    <x v="1"/>
    <x v="3"/>
    <n v="186"/>
    <n v="19"/>
    <n v="1"/>
    <m/>
    <m/>
    <m/>
    <m/>
    <n v="8"/>
    <m/>
    <n v="4.4400000000000004"/>
    <d v="2015-07-06T00:00:00"/>
    <m/>
    <m/>
    <m/>
    <m/>
    <n v="12.16"/>
    <d v="2015-07-15T00:00:00"/>
    <n v="18.5"/>
    <d v="2015-07-06T00:00:00"/>
    <m/>
    <m/>
    <m/>
    <m/>
    <m/>
    <m/>
    <x v="495"/>
    <m/>
    <n v="24.52"/>
    <d v="2015-07-06T00:00:00"/>
    <m/>
    <m/>
    <n v="10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868000000000002"/>
    <d v="2015-07-15T00:00:00"/>
    <m/>
    <m/>
    <m/>
    <m/>
    <n v="49.596176147460938"/>
    <d v="2015-07-15T00:00:00"/>
    <n v="18.743412017822266"/>
    <d v="2015-07-15T00:00:00"/>
    <n v="15.794"/>
    <d v="2015-07-15T00:00:00"/>
    <m/>
    <m/>
    <m/>
    <m/>
    <n v="8.8000000000000007"/>
    <d v="2015-07-06T00:00:00"/>
    <m/>
    <m/>
    <m/>
    <m/>
    <m/>
    <m/>
    <m/>
    <n v="1"/>
    <d v="2015-06-25T00:00:00"/>
    <s v="VALIDE"/>
  </r>
  <r>
    <s v="RAPSO_406"/>
    <s v="KORMOVOI SKRIVERSKYI "/>
    <x v="0"/>
    <x v="2"/>
    <n v="121"/>
    <n v="5"/>
    <n v="19"/>
    <m/>
    <m/>
    <m/>
    <m/>
    <n v="8"/>
    <m/>
    <n v="4.3499999999999996"/>
    <d v="2015-07-06T00:00:00"/>
    <m/>
    <m/>
    <m/>
    <m/>
    <n v="11.99"/>
    <d v="2015-07-15T00:00:00"/>
    <n v="18.5"/>
    <d v="2015-07-06T00:00:00"/>
    <m/>
    <m/>
    <m/>
    <m/>
    <m/>
    <m/>
    <x v="496"/>
    <m/>
    <n v="24.52"/>
    <d v="2015-07-06T00:00:00"/>
    <m/>
    <m/>
    <n v="16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4.867000000000004"/>
    <d v="2015-07-15T00:00:00"/>
    <m/>
    <m/>
    <m/>
    <m/>
    <n v="48.876365661621094"/>
    <d v="2015-07-15T00:00:00"/>
    <n v="20.120748519897461"/>
    <d v="2015-07-15T00:00:00"/>
    <n v="75.185000000000002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063"/>
    <s v="Tonus"/>
    <x v="0"/>
    <x v="2"/>
    <n v="21"/>
    <n v="4"/>
    <n v="15"/>
    <m/>
    <m/>
    <m/>
    <m/>
    <n v="9"/>
    <m/>
    <n v="4.38"/>
    <d v="2015-07-06T00:00:00"/>
    <m/>
    <m/>
    <m/>
    <m/>
    <n v="12.48"/>
    <d v="2015-07-15T00:00:00"/>
    <n v="18.5"/>
    <d v="2015-07-06T00:00:00"/>
    <m/>
    <m/>
    <m/>
    <m/>
    <m/>
    <m/>
    <x v="497"/>
    <m/>
    <n v="24.64"/>
    <d v="2015-07-06T00:00:00"/>
    <m/>
    <m/>
    <n v="16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44"/>
    <d v="2015-07-15T00:00:00"/>
    <m/>
    <m/>
    <m/>
    <m/>
    <n v="50.655158996582031"/>
    <d v="2015-07-15T00:00:00"/>
    <n v="17.744163513183594"/>
    <d v="2015-07-15T00:00:00"/>
    <n v="57.930999999999997"/>
    <d v="2015-07-15T00:00:00"/>
    <m/>
    <m/>
    <m/>
    <m/>
    <n v="7.1"/>
    <d v="2015-07-06T00:00:00"/>
    <m/>
    <m/>
    <m/>
    <m/>
    <m/>
    <m/>
    <m/>
    <n v="3"/>
    <d v="2015-06-25T00:00:00"/>
    <s v="VALIDE"/>
  </r>
  <r>
    <s v="BRA_009"/>
    <s v="Jupiter"/>
    <x v="1"/>
    <x v="3"/>
    <n v="127"/>
    <n v="23"/>
    <n v="21"/>
    <m/>
    <m/>
    <m/>
    <m/>
    <n v="5"/>
    <m/>
    <n v="4.4000000000000004"/>
    <d v="2015-07-06T00:00:00"/>
    <m/>
    <m/>
    <m/>
    <m/>
    <n v="12.12"/>
    <d v="2015-07-15T00:00:00"/>
    <n v="18.5"/>
    <d v="2015-07-06T00:00:00"/>
    <m/>
    <m/>
    <m/>
    <m/>
    <m/>
    <m/>
    <x v="498"/>
    <m/>
    <n v="24.65"/>
    <d v="2015-07-06T00:00:00"/>
    <m/>
    <m/>
    <n v="13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475999999999999"/>
    <d v="2015-07-15T00:00:00"/>
    <m/>
    <m/>
    <m/>
    <m/>
    <n v="49.163818359375"/>
    <d v="2015-07-15T00:00:00"/>
    <n v="19.082237243652344"/>
    <d v="2015-07-15T00:00:00"/>
    <n v="56.978999999999999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270"/>
    <s v="Shogun"/>
    <x v="1"/>
    <x v="1"/>
    <n v="105"/>
    <n v="14"/>
    <n v="9"/>
    <m/>
    <m/>
    <m/>
    <m/>
    <n v="9"/>
    <m/>
    <n v="4.4400000000000004"/>
    <d v="2015-07-06T00:00:00"/>
    <m/>
    <m/>
    <m/>
    <m/>
    <n v="12.18"/>
    <d v="2015-07-15T00:00:00"/>
    <n v="18.5"/>
    <d v="2015-07-06T00:00:00"/>
    <m/>
    <m/>
    <m/>
    <m/>
    <m/>
    <m/>
    <x v="499"/>
    <m/>
    <n v="24.66"/>
    <d v="2015-07-06T00:00:00"/>
    <m/>
    <m/>
    <n v="13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1.691000000000003"/>
    <d v="2015-07-15T00:00:00"/>
    <m/>
    <m/>
    <m/>
    <m/>
    <n v="49.381698608398437"/>
    <d v="2015-07-15T00:00:00"/>
    <n v="18.55103874206543"/>
    <d v="2015-07-15T00:00:00"/>
    <n v="19.466999999999999"/>
    <d v="2015-07-15T00:00:00"/>
    <m/>
    <m/>
    <m/>
    <m/>
    <n v="8.3000000000000007"/>
    <d v="2015-07-06T00:00:00"/>
    <m/>
    <m/>
    <m/>
    <m/>
    <m/>
    <m/>
    <m/>
    <n v="3"/>
    <d v="2015-06-25T00:00:00"/>
    <s v="VALIDE"/>
  </r>
  <r>
    <s v="RAPSO_128"/>
    <s v="Adriana"/>
    <x v="1"/>
    <x v="3"/>
    <n v="39"/>
    <n v="22"/>
    <n v="17"/>
    <m/>
    <m/>
    <m/>
    <m/>
    <n v="5"/>
    <m/>
    <n v="4.4400000000000004"/>
    <d v="2015-07-06T00:00:00"/>
    <m/>
    <m/>
    <m/>
    <m/>
    <n v="12.86"/>
    <d v="2015-07-15T00:00:00"/>
    <n v="18.5"/>
    <d v="2015-07-06T00:00:00"/>
    <m/>
    <m/>
    <m/>
    <m/>
    <m/>
    <m/>
    <x v="500"/>
    <m/>
    <n v="24.210989010989014"/>
    <d v="2015-07-06T00:00:00"/>
    <m/>
    <m/>
    <n v="13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6.992000000000004"/>
    <d v="2015-07-15T00:00:00"/>
    <m/>
    <m/>
    <m/>
    <m/>
    <n v="52.117404937744141"/>
    <d v="2015-07-15T00:00:00"/>
    <n v="16.795124053955078"/>
    <d v="2015-07-15T00:00:00"/>
    <n v="14.62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193"/>
    <s v="Express"/>
    <x v="0"/>
    <x v="2"/>
    <n v="68"/>
    <n v="6"/>
    <n v="28"/>
    <m/>
    <m/>
    <m/>
    <m/>
    <n v="8"/>
    <m/>
    <n v="4.3899999999999997"/>
    <d v="2015-07-06T00:00:00"/>
    <m/>
    <m/>
    <m/>
    <m/>
    <n v="12.68"/>
    <d v="2015-07-15T00:00:00"/>
    <n v="18.5"/>
    <d v="2015-07-06T00:00:00"/>
    <m/>
    <m/>
    <m/>
    <m/>
    <m/>
    <m/>
    <x v="501"/>
    <m/>
    <n v="24.7"/>
    <d v="2015-07-06T00:00:00"/>
    <m/>
    <m/>
    <n v="120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3.649000000000001"/>
    <d v="2015-07-15T00:00:00"/>
    <m/>
    <m/>
    <m/>
    <m/>
    <n v="51.320289611816406"/>
    <d v="2015-07-15T00:00:00"/>
    <n v="17.371223449707031"/>
    <d v="2015-07-15T00:00:00"/>
    <n v="18.491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050"/>
    <s v="QuedLinburger Platzfester"/>
    <x v="0"/>
    <x v="2"/>
    <n v="17"/>
    <n v="6"/>
    <n v="10"/>
    <m/>
    <m/>
    <m/>
    <m/>
    <n v="8"/>
    <m/>
    <n v="4.3899999999999997"/>
    <d v="2015-07-06T00:00:00"/>
    <m/>
    <m/>
    <m/>
    <m/>
    <n v="12.59"/>
    <d v="2015-07-15T00:00:00"/>
    <n v="18.5"/>
    <d v="2015-07-06T00:00:00"/>
    <m/>
    <m/>
    <m/>
    <m/>
    <m/>
    <m/>
    <x v="502"/>
    <m/>
    <n v="24.72"/>
    <d v="2015-07-06T00:00:00"/>
    <m/>
    <m/>
    <n v="16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302999999999997"/>
    <d v="2015-07-15T00:00:00"/>
    <m/>
    <m/>
    <m/>
    <m/>
    <n v="50.952285766601563"/>
    <d v="2015-07-15T00:00:00"/>
    <n v="17.066366195678711"/>
    <d v="2015-07-15T00:00:00"/>
    <n v="63.874000000000002"/>
    <d v="2015-07-15T00:00:00"/>
    <m/>
    <m/>
    <m/>
    <m/>
    <n v="7"/>
    <d v="2015-07-06T00:00:00"/>
    <m/>
    <m/>
    <m/>
    <m/>
    <m/>
    <m/>
    <m/>
    <n v="3"/>
    <d v="2015-06-25T00:00:00"/>
    <s v="VALIDE"/>
  </r>
  <r>
    <s v="Montego"/>
    <s v="Montego"/>
    <x v="1"/>
    <x v="1"/>
    <n v="186"/>
    <n v="14"/>
    <n v="27"/>
    <m/>
    <m/>
    <m/>
    <m/>
    <n v="6"/>
    <m/>
    <n v="4.4000000000000004"/>
    <d v="2015-07-06T00:00:00"/>
    <m/>
    <m/>
    <m/>
    <m/>
    <n v="12.79"/>
    <d v="2015-07-15T00:00:00"/>
    <n v="18.5"/>
    <d v="2015-07-06T00:00:00"/>
    <m/>
    <m/>
    <m/>
    <m/>
    <m/>
    <m/>
    <x v="503"/>
    <m/>
    <n v="24.75"/>
    <d v="2015-07-06T00:00:00"/>
    <m/>
    <m/>
    <n v="90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64.244"/>
    <d v="2015-07-15T00:00:00"/>
    <m/>
    <m/>
    <m/>
    <m/>
    <n v="51.682693481445313"/>
    <d v="2015-07-15T00:00:00"/>
    <n v="17.855846405029297"/>
    <d v="2015-07-15T00:00:00"/>
    <n v="12.847"/>
    <d v="2015-07-15T00:00:00"/>
    <m/>
    <m/>
    <m/>
    <m/>
    <n v="7.1"/>
    <d v="2015-07-06T00:00:00"/>
    <m/>
    <m/>
    <m/>
    <m/>
    <m/>
    <m/>
    <m/>
    <n v="7"/>
    <d v="2015-06-25T00:00:00"/>
    <s v="VALIDE"/>
  </r>
  <r>
    <s v="RAPSO_115"/>
    <s v="Rafal"/>
    <x v="0"/>
    <x v="2"/>
    <n v="36"/>
    <n v="1"/>
    <n v="22"/>
    <m/>
    <m/>
    <m/>
    <m/>
    <n v="9"/>
    <m/>
    <n v="4.3899999999999997"/>
    <d v="2015-07-06T00:00:00"/>
    <m/>
    <m/>
    <m/>
    <m/>
    <n v="12.1"/>
    <d v="2015-07-15T00:00:00"/>
    <n v="18.5"/>
    <d v="2015-07-06T00:00:00"/>
    <m/>
    <m/>
    <m/>
    <m/>
    <m/>
    <m/>
    <x v="120"/>
    <m/>
    <n v="24.303415503415508"/>
    <d v="2015-07-06T00:00:00"/>
    <m/>
    <m/>
    <n v="15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905000000000001"/>
    <d v="2015-07-15T00:00:00"/>
    <m/>
    <m/>
    <m/>
    <m/>
    <n v="48.817367553710937"/>
    <d v="2015-07-15T00:00:00"/>
    <n v="19.036947250366211"/>
    <d v="2015-07-15T00:00:00"/>
    <n v="61.808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213"/>
    <s v="Jetton"/>
    <x v="0"/>
    <x v="2"/>
    <n v="75"/>
    <n v="1"/>
    <n v="3"/>
    <m/>
    <m/>
    <m/>
    <m/>
    <n v="5"/>
    <m/>
    <n v="4.42"/>
    <d v="2015-07-06T00:00:00"/>
    <m/>
    <m/>
    <m/>
    <m/>
    <n v="12.38"/>
    <d v="2015-07-15T00:00:00"/>
    <n v="18.5"/>
    <d v="2015-07-06T00:00:00"/>
    <m/>
    <m/>
    <m/>
    <m/>
    <m/>
    <m/>
    <x v="504"/>
    <m/>
    <n v="24.338223938223937"/>
    <d v="2015-07-06T00:00:00"/>
    <m/>
    <m/>
    <n v="12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1.941000000000003"/>
    <d v="2015-07-15T00:00:00"/>
    <m/>
    <m/>
    <m/>
    <m/>
    <n v="49.878108978271484"/>
    <d v="2015-07-15T00:00:00"/>
    <n v="18.856454849243164"/>
    <d v="2015-07-15T00:00:00"/>
    <n v="16.395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222"/>
    <s v="Licorne"/>
    <x v="1"/>
    <x v="3"/>
    <n v="80"/>
    <n v="21"/>
    <n v="6"/>
    <m/>
    <m/>
    <m/>
    <m/>
    <n v="8"/>
    <m/>
    <n v="4.46"/>
    <d v="2015-07-06T00:00:00"/>
    <m/>
    <m/>
    <m/>
    <m/>
    <n v="12.81"/>
    <d v="2015-07-15T00:00:00"/>
    <n v="18.5"/>
    <d v="2015-07-06T00:00:00"/>
    <m/>
    <m/>
    <m/>
    <m/>
    <m/>
    <m/>
    <x v="505"/>
    <m/>
    <n v="24.82"/>
    <d v="2015-07-06T00:00:00"/>
    <m/>
    <m/>
    <n v="135"/>
    <m/>
    <m/>
    <m/>
    <n v="111"/>
    <m/>
    <m/>
    <m/>
    <m/>
    <m/>
    <m/>
    <m/>
    <m/>
    <m/>
    <m/>
    <m/>
    <m/>
    <m/>
    <n v="9"/>
    <m/>
    <m/>
    <m/>
    <m/>
    <m/>
    <m/>
    <m/>
    <m/>
    <m/>
    <m/>
    <m/>
    <n v="64.665000000000006"/>
    <d v="2015-07-15T00:00:00"/>
    <m/>
    <m/>
    <m/>
    <m/>
    <n v="51.628585815429688"/>
    <d v="2015-07-15T00:00:00"/>
    <n v="16.377836227416992"/>
    <d v="2015-07-15T00:00:00"/>
    <n v="15.788"/>
    <d v="2015-07-15T00:00:00"/>
    <m/>
    <m/>
    <m/>
    <m/>
    <n v="8.1"/>
    <d v="2015-07-06T00:00:00"/>
    <m/>
    <m/>
    <m/>
    <m/>
    <m/>
    <m/>
    <m/>
    <n v="5"/>
    <d v="2015-06-25T00:00:00"/>
    <s v="VALIDE"/>
  </r>
  <r>
    <s v="RAPSO_038"/>
    <s v="Oleski"/>
    <x v="0"/>
    <x v="2"/>
    <n v="12"/>
    <n v="4"/>
    <n v="26"/>
    <m/>
    <m/>
    <m/>
    <m/>
    <n v="8"/>
    <m/>
    <n v="4.4000000000000004"/>
    <d v="2015-07-06T00:00:00"/>
    <m/>
    <m/>
    <m/>
    <m/>
    <n v="12.27"/>
    <d v="2015-07-15T00:00:00"/>
    <n v="18.5"/>
    <d v="2015-07-06T00:00:00"/>
    <m/>
    <m/>
    <m/>
    <m/>
    <m/>
    <m/>
    <x v="506"/>
    <m/>
    <n v="24.411048411048416"/>
    <d v="2015-07-06T00:00:00"/>
    <m/>
    <m/>
    <n v="135"/>
    <m/>
    <m/>
    <m/>
    <n v="100"/>
    <m/>
    <m/>
    <m/>
    <m/>
    <m/>
    <m/>
    <m/>
    <m/>
    <m/>
    <m/>
    <m/>
    <m/>
    <m/>
    <n v="3"/>
    <m/>
    <m/>
    <m/>
    <m/>
    <m/>
    <m/>
    <m/>
    <m/>
    <m/>
    <m/>
    <m/>
    <n v="63.171999999999997"/>
    <d v="2015-07-15T00:00:00"/>
    <m/>
    <m/>
    <m/>
    <m/>
    <n v="49.314403533935547"/>
    <d v="2015-07-15T00:00:00"/>
    <n v="18.672979354858398"/>
    <d v="2015-07-15T00:00:00"/>
    <n v="63.124000000000002"/>
    <d v="2015-07-15T00:00:00"/>
    <m/>
    <m/>
    <m/>
    <m/>
    <n v="6.6"/>
    <d v="2015-07-06T00:00:00"/>
    <m/>
    <m/>
    <m/>
    <m/>
    <m/>
    <m/>
    <m/>
    <n v="1"/>
    <d v="2015-06-25T00:00:00"/>
    <s v="VALIDE"/>
  </r>
  <r>
    <s v="MP001"/>
    <s v="Astrid"/>
    <x v="1"/>
    <x v="1"/>
    <n v="129"/>
    <n v="13"/>
    <n v="26"/>
    <m/>
    <m/>
    <m/>
    <m/>
    <n v="7"/>
    <m/>
    <n v="4.43"/>
    <d v="2015-07-06T00:00:00"/>
    <m/>
    <m/>
    <m/>
    <m/>
    <n v="12.21"/>
    <d v="2015-07-15T00:00:00"/>
    <n v="18.5"/>
    <d v="2015-07-06T00:00:00"/>
    <m/>
    <m/>
    <m/>
    <m/>
    <m/>
    <m/>
    <x v="507"/>
    <m/>
    <n v="24.89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106999999999999"/>
    <d v="2015-07-15T00:00:00"/>
    <m/>
    <m/>
    <m/>
    <m/>
    <n v="49.055606842041016"/>
    <d v="2015-07-15T00:00:00"/>
    <n v="18.173017501831055"/>
    <d v="2015-07-15T00:00:00"/>
    <n v="25.736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99"/>
    <s v="ESC1132"/>
    <x v="0"/>
    <x v="2"/>
    <n v="136"/>
    <n v="3"/>
    <n v="23"/>
    <m/>
    <m/>
    <m/>
    <m/>
    <n v="6"/>
    <m/>
    <n v="4.4400000000000004"/>
    <d v="2015-07-06T00:00:00"/>
    <m/>
    <m/>
    <m/>
    <m/>
    <n v="12.07"/>
    <d v="2015-07-15T00:00:00"/>
    <n v="18.5"/>
    <d v="2015-07-06T00:00:00"/>
    <m/>
    <m/>
    <m/>
    <m/>
    <m/>
    <m/>
    <x v="508"/>
    <m/>
    <n v="24.421978021978024"/>
    <d v="2015-07-06T00:00:00"/>
    <m/>
    <m/>
    <n v="135"/>
    <m/>
    <m/>
    <m/>
    <n v="108"/>
    <m/>
    <m/>
    <m/>
    <m/>
    <m/>
    <m/>
    <m/>
    <m/>
    <m/>
    <m/>
    <m/>
    <m/>
    <m/>
    <n v="7"/>
    <m/>
    <m/>
    <m/>
    <m/>
    <m/>
    <m/>
    <m/>
    <m/>
    <m/>
    <m/>
    <m/>
    <n v="65.606999999999999"/>
    <d v="2015-07-15T00:00:00"/>
    <m/>
    <m/>
    <m/>
    <m/>
    <n v="48.482025146484375"/>
    <d v="2015-07-15T00:00:00"/>
    <n v="18.219980239868164"/>
    <d v="2015-07-15T00:00:00"/>
    <n v="21.821999999999999"/>
    <d v="2015-07-15T00:00:00"/>
    <m/>
    <m/>
    <m/>
    <m/>
    <n v="7.4"/>
    <d v="2015-07-06T00:00:00"/>
    <m/>
    <m/>
    <m/>
    <m/>
    <m/>
    <m/>
    <m/>
    <n v="1"/>
    <d v="2015-06-25T00:00:00"/>
    <s v="VALIDE"/>
  </r>
  <r>
    <s v="RAPSO_062"/>
    <s v="Titus"/>
    <x v="1"/>
    <x v="3"/>
    <n v="20"/>
    <n v="24"/>
    <n v="25"/>
    <m/>
    <m/>
    <m/>
    <m/>
    <n v="9"/>
    <m/>
    <n v="4.4400000000000004"/>
    <d v="2015-07-06T00:00:00"/>
    <m/>
    <m/>
    <m/>
    <m/>
    <n v="11.91"/>
    <d v="2015-07-15T00:00:00"/>
    <n v="18.5"/>
    <d v="2015-07-06T00:00:00"/>
    <m/>
    <m/>
    <m/>
    <m/>
    <m/>
    <m/>
    <x v="509"/>
    <m/>
    <n v="24.474725274725277"/>
    <d v="2015-07-06T00:00:00"/>
    <m/>
    <m/>
    <n v="15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850999999999999"/>
    <d v="2015-07-15T00:00:00"/>
    <m/>
    <m/>
    <m/>
    <m/>
    <n v="47.726947784423828"/>
    <d v="2015-07-15T00:00:00"/>
    <n v="20.841310501098633"/>
    <d v="2015-07-15T00:00:00"/>
    <n v="64.272000000000006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15"/>
    <s v="Kadore"/>
    <x v="1"/>
    <x v="1"/>
    <n v="76"/>
    <n v="15"/>
    <n v="26"/>
    <m/>
    <m/>
    <m/>
    <m/>
    <n v="3"/>
    <m/>
    <n v="4.4400000000000004"/>
    <d v="2015-07-06T00:00:00"/>
    <m/>
    <m/>
    <m/>
    <m/>
    <n v="12.11"/>
    <d v="2015-07-15T00:00:00"/>
    <n v="18.5"/>
    <d v="2015-07-06T00:00:00"/>
    <m/>
    <m/>
    <m/>
    <m/>
    <m/>
    <m/>
    <x v="509"/>
    <m/>
    <n v="24.95"/>
    <d v="2015-07-06T00:00:00"/>
    <m/>
    <m/>
    <n v="11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7.495000000000005"/>
    <d v="2015-07-15T00:00:00"/>
    <m/>
    <m/>
    <m/>
    <m/>
    <n v="48.533103942871094"/>
    <d v="2015-07-15T00:00:00"/>
    <n v="17.92169189453125"/>
    <d v="2015-07-15T00:00:00"/>
    <n v="23.887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53"/>
    <s v="Pacific"/>
    <x v="1"/>
    <x v="1"/>
    <n v="94"/>
    <n v="18"/>
    <n v="14"/>
    <m/>
    <m/>
    <m/>
    <m/>
    <n v="8"/>
    <m/>
    <n v="4.4800000000000004"/>
    <d v="2015-07-06T00:00:00"/>
    <m/>
    <m/>
    <m/>
    <m/>
    <n v="12.74"/>
    <d v="2015-07-15T00:00:00"/>
    <n v="18.5"/>
    <d v="2015-07-06T00:00:00"/>
    <m/>
    <m/>
    <m/>
    <m/>
    <m/>
    <m/>
    <x v="510"/>
    <m/>
    <n v="24.99"/>
    <d v="2015-07-06T00:00:00"/>
    <m/>
    <m/>
    <n v="10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378"/>
    <d v="2015-07-15T00:00:00"/>
    <m/>
    <m/>
    <m/>
    <m/>
    <n v="50.983955383300781"/>
    <d v="2015-07-15T00:00:00"/>
    <n v="18.058750152587891"/>
    <d v="2015-07-15T00:00:00"/>
    <n v="12.003"/>
    <d v="2015-07-15T00:00:00"/>
    <m/>
    <m/>
    <m/>
    <m/>
    <n v="7.9"/>
    <d v="2015-07-06T00:00:00"/>
    <m/>
    <m/>
    <m/>
    <m/>
    <m/>
    <m/>
    <m/>
    <n v="3"/>
    <d v="2015-06-25T00:00:00"/>
    <s v="VALIDE"/>
  </r>
  <r>
    <s v="RAPSO_234"/>
    <s v="Makila"/>
    <x v="1"/>
    <x v="1"/>
    <n v="86"/>
    <n v="16"/>
    <n v="13"/>
    <m/>
    <m/>
    <m/>
    <m/>
    <n v="3"/>
    <m/>
    <n v="4.4800000000000004"/>
    <d v="2015-07-06T00:00:00"/>
    <m/>
    <m/>
    <m/>
    <m/>
    <n v="12.45"/>
    <d v="2015-07-15T00:00:00"/>
    <n v="18.5"/>
    <d v="2015-07-06T00:00:00"/>
    <m/>
    <m/>
    <m/>
    <m/>
    <m/>
    <m/>
    <x v="511"/>
    <m/>
    <n v="25.04"/>
    <d v="2015-07-06T00:00:00"/>
    <m/>
    <m/>
    <n v="12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218000000000004"/>
    <d v="2015-07-15T00:00:00"/>
    <m/>
    <m/>
    <m/>
    <m/>
    <n v="49.733680725097656"/>
    <d v="2015-07-15T00:00:00"/>
    <n v="18.447381973266602"/>
    <d v="2015-07-15T00:00:00"/>
    <n v="21.741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139"/>
    <s v="Atlantic"/>
    <x v="1"/>
    <x v="1"/>
    <n v="45"/>
    <n v="14"/>
    <n v="1"/>
    <m/>
    <m/>
    <m/>
    <m/>
    <n v="7"/>
    <m/>
    <n v="4.5199999999999996"/>
    <d v="2015-07-06T00:00:00"/>
    <m/>
    <m/>
    <m/>
    <m/>
    <n v="12.83"/>
    <d v="2015-07-15T00:00:00"/>
    <n v="18.5"/>
    <d v="2015-07-06T00:00:00"/>
    <m/>
    <m/>
    <m/>
    <m/>
    <m/>
    <m/>
    <x v="512"/>
    <m/>
    <n v="25.07"/>
    <d v="2015-07-06T00:00:00"/>
    <m/>
    <m/>
    <n v="14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6.884"/>
    <d v="2015-07-15T00:00:00"/>
    <m/>
    <m/>
    <m/>
    <m/>
    <n v="51.182106018066406"/>
    <d v="2015-07-15T00:00:00"/>
    <n v="18.176731109619141"/>
    <d v="2015-07-15T00:00:00"/>
    <n v="20.352"/>
    <d v="2015-07-15T00:00:00"/>
    <m/>
    <m/>
    <m/>
    <m/>
    <n v="8.4"/>
    <d v="2015-07-06T00:00:00"/>
    <m/>
    <m/>
    <m/>
    <m/>
    <m/>
    <m/>
    <m/>
    <n v="3"/>
    <d v="2015-06-25T00:00:00"/>
    <s v="VALIDE"/>
  </r>
  <r>
    <s v="RAPSO_310"/>
    <s v="OKAPI "/>
    <x v="1"/>
    <x v="1"/>
    <n v="147"/>
    <n v="15"/>
    <n v="18"/>
    <m/>
    <m/>
    <m/>
    <m/>
    <n v="7"/>
    <m/>
    <n v="4.45"/>
    <d v="2015-07-06T00:00:00"/>
    <m/>
    <m/>
    <m/>
    <m/>
    <n v="12.79"/>
    <d v="2015-07-15T00:00:00"/>
    <n v="18.5"/>
    <d v="2015-07-06T00:00:00"/>
    <m/>
    <m/>
    <m/>
    <m/>
    <m/>
    <m/>
    <x v="513"/>
    <m/>
    <n v="25.09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423000000000002"/>
    <d v="2015-07-15T00:00:00"/>
    <m/>
    <m/>
    <m/>
    <m/>
    <n v="50.963027954101562"/>
    <d v="2015-07-15T00:00:00"/>
    <n v="16.779647827148437"/>
    <d v="2015-07-15T00:00:00"/>
    <n v="15.186"/>
    <d v="2015-07-15T00:00:00"/>
    <m/>
    <m/>
    <m/>
    <m/>
    <n v="6.9"/>
    <d v="2015-07-06T00:00:00"/>
    <m/>
    <m/>
    <m/>
    <m/>
    <m/>
    <m/>
    <m/>
    <n v="5"/>
    <d v="2015-06-25T00:00:00"/>
    <s v="VALIDE"/>
  </r>
  <r>
    <s v="RAPSO_152"/>
    <s v="Caddy"/>
    <x v="0"/>
    <x v="0"/>
    <n v="13"/>
    <m/>
    <m/>
    <n v="9"/>
    <n v="1"/>
    <m/>
    <m/>
    <n v="6"/>
    <m/>
    <n v="4.54"/>
    <d v="2015-07-06T00:00:00"/>
    <m/>
    <m/>
    <m/>
    <m/>
    <n v="11.52"/>
    <d v="2015-07-15T00:00:00"/>
    <n v="18.5"/>
    <d v="2015-07-06T00:00:00"/>
    <m/>
    <m/>
    <m/>
    <m/>
    <m/>
    <m/>
    <x v="514"/>
    <m/>
    <n v="25.1"/>
    <d v="2015-07-06T00:00:00"/>
    <m/>
    <m/>
    <n v="145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3.594999999999999"/>
    <d v="2015-07-15T00:00:00"/>
    <m/>
    <m/>
    <m/>
    <m/>
    <n v="45.9"/>
    <d v="2015-07-15T00:00:00"/>
    <n v="20.8216552734375"/>
    <d v="2015-07-15T00:00:00"/>
    <n v="31.584"/>
    <d v="2015-07-15T00:00:00"/>
    <m/>
    <m/>
    <m/>
    <m/>
    <n v="8.6999999999999993"/>
    <d v="2015-07-06T00:00:00"/>
    <m/>
    <m/>
    <m/>
    <m/>
    <m/>
    <m/>
    <m/>
    <n v="7"/>
    <d v="2015-06-25T00:00:00"/>
    <s v="VALIDE"/>
  </r>
  <r>
    <s v="RAPSO_148"/>
    <s v="Boston"/>
    <x v="1"/>
    <x v="1"/>
    <n v="49"/>
    <n v="15"/>
    <n v="8"/>
    <m/>
    <m/>
    <m/>
    <m/>
    <n v="9"/>
    <m/>
    <n v="4.5199999999999996"/>
    <d v="2015-07-06T00:00:00"/>
    <m/>
    <m/>
    <m/>
    <m/>
    <n v="12.82"/>
    <d v="2015-07-15T00:00:00"/>
    <n v="18.5"/>
    <d v="2015-07-06T00:00:00"/>
    <m/>
    <m/>
    <m/>
    <m/>
    <m/>
    <m/>
    <x v="515"/>
    <m/>
    <n v="25.15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6.563000000000002"/>
    <d v="2015-07-15T00:00:00"/>
    <m/>
    <m/>
    <m/>
    <m/>
    <n v="50.980171203613281"/>
    <d v="2015-07-15T00:00:00"/>
    <n v="18.304426193237305"/>
    <d v="2015-07-15T00:00:00"/>
    <n v="22.986999999999998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254"/>
    <s v="PAYROL"/>
    <x v="0"/>
    <x v="2"/>
    <n v="95"/>
    <n v="6"/>
    <n v="23"/>
    <m/>
    <m/>
    <m/>
    <m/>
    <n v="6"/>
    <m/>
    <n v="4.45"/>
    <d v="2015-07-06T00:00:00"/>
    <m/>
    <m/>
    <m/>
    <m/>
    <n v="12.51"/>
    <d v="2015-07-15T00:00:00"/>
    <n v="18.5"/>
    <d v="2015-07-06T00:00:00"/>
    <m/>
    <m/>
    <m/>
    <m/>
    <m/>
    <m/>
    <x v="516"/>
    <m/>
    <n v="25.17"/>
    <d v="2015-07-06T00:00:00"/>
    <m/>
    <m/>
    <n v="130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63.009"/>
    <d v="2015-07-15T00:00:00"/>
    <m/>
    <m/>
    <m/>
    <m/>
    <n v="49.715412139892578"/>
    <d v="2015-07-15T00:00:00"/>
    <n v="18.432712554931641"/>
    <d v="2015-07-15T00:00:00"/>
    <n v="23.727"/>
    <d v="2015-07-15T00:00:00"/>
    <m/>
    <m/>
    <m/>
    <m/>
    <n v="6.6"/>
    <d v="2015-07-06T00:00:00"/>
    <m/>
    <m/>
    <m/>
    <m/>
    <m/>
    <m/>
    <m/>
    <n v="5"/>
    <d v="2015-06-25T00:00:00"/>
    <s v="VALIDE"/>
  </r>
  <r>
    <s v="RAPSO_317"/>
    <s v="RAGT-03"/>
    <x v="1"/>
    <x v="3"/>
    <n v="154"/>
    <n v="20"/>
    <n v="18"/>
    <m/>
    <m/>
    <m/>
    <m/>
    <n v="8"/>
    <m/>
    <n v="4.51"/>
    <d v="2015-07-06T00:00:00"/>
    <m/>
    <m/>
    <m/>
    <m/>
    <n v="12.16"/>
    <d v="2015-07-15T00:00:00"/>
    <n v="18.5"/>
    <d v="2015-07-06T00:00:00"/>
    <m/>
    <m/>
    <m/>
    <m/>
    <m/>
    <m/>
    <x v="517"/>
    <m/>
    <n v="25.21"/>
    <d v="2015-07-06T00:00:00"/>
    <m/>
    <m/>
    <n v="11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1.420999999999999"/>
    <d v="2015-07-15T00:00:00"/>
    <m/>
    <m/>
    <m/>
    <m/>
    <n v="48.238822937011719"/>
    <d v="2015-07-15T00:00:00"/>
    <n v="18.003582000732422"/>
    <d v="2015-07-15T00:00:00"/>
    <n v="18.806000000000001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165"/>
    <s v="Ceres"/>
    <x v="1"/>
    <x v="1"/>
    <n v="56"/>
    <n v="18"/>
    <n v="8"/>
    <m/>
    <m/>
    <m/>
    <m/>
    <n v="9"/>
    <m/>
    <n v="4.54"/>
    <d v="2015-07-06T00:00:00"/>
    <m/>
    <m/>
    <m/>
    <m/>
    <n v="12.6"/>
    <d v="2015-07-15T00:00:00"/>
    <n v="18.5"/>
    <d v="2015-07-06T00:00:00"/>
    <m/>
    <m/>
    <m/>
    <m/>
    <m/>
    <m/>
    <x v="518"/>
    <m/>
    <n v="24.756281556281554"/>
    <d v="2015-07-06T00:00:00"/>
    <m/>
    <m/>
    <n v="105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1.600999999999999"/>
    <d v="2015-07-15T00:00:00"/>
    <m/>
    <m/>
    <m/>
    <m/>
    <n v="49.941581726074219"/>
    <d v="2015-07-15T00:00:00"/>
    <n v="17.856693267822266"/>
    <d v="2015-07-15T00:00:00"/>
    <n v="18.22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248"/>
    <s v="Oase"/>
    <x v="1"/>
    <x v="1"/>
    <n v="92"/>
    <n v="15"/>
    <n v="29"/>
    <m/>
    <m/>
    <m/>
    <m/>
    <n v="3"/>
    <m/>
    <n v="4.5"/>
    <d v="2015-07-06T00:00:00"/>
    <m/>
    <m/>
    <m/>
    <m/>
    <n v="12.98"/>
    <d v="2015-07-15T00:00:00"/>
    <n v="18.5"/>
    <d v="2015-07-06T00:00:00"/>
    <m/>
    <m/>
    <m/>
    <m/>
    <m/>
    <m/>
    <x v="519"/>
    <m/>
    <n v="25.34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926000000000002"/>
    <d v="2015-07-15T00:00:00"/>
    <m/>
    <m/>
    <m/>
    <m/>
    <n v="51.217964172363281"/>
    <d v="2015-07-15T00:00:00"/>
    <n v="17.662343978881836"/>
    <d v="2015-07-15T00:00:00"/>
    <n v="15.185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253"/>
    <s v="Pacific"/>
    <x v="0"/>
    <x v="2"/>
    <n v="94"/>
    <n v="4"/>
    <n v="23"/>
    <m/>
    <m/>
    <m/>
    <m/>
    <n v="7"/>
    <m/>
    <n v="4.5"/>
    <d v="2015-07-06T00:00:00"/>
    <m/>
    <m/>
    <m/>
    <m/>
    <n v="13.45"/>
    <d v="2015-07-15T00:00:00"/>
    <n v="18.5"/>
    <d v="2015-07-06T00:00:00"/>
    <m/>
    <m/>
    <m/>
    <m/>
    <m/>
    <m/>
    <x v="519"/>
    <m/>
    <n v="24.858924858924858"/>
    <d v="2015-07-06T00:00:00"/>
    <m/>
    <m/>
    <n v="150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4.397000000000006"/>
    <d v="2015-07-15T00:00:00"/>
    <m/>
    <m/>
    <m/>
    <m/>
    <n v="53.069953918457031"/>
    <d v="2015-07-15T00:00:00"/>
    <n v="15.89533805847168"/>
    <d v="2015-07-15T00:00:00"/>
    <n v="14.86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165"/>
    <s v="Ceres"/>
    <x v="1"/>
    <x v="3"/>
    <n v="56"/>
    <n v="21"/>
    <n v="22"/>
    <m/>
    <m/>
    <m/>
    <m/>
    <n v="9"/>
    <m/>
    <n v="4.5199999999999996"/>
    <d v="2015-07-06T00:00:00"/>
    <m/>
    <m/>
    <m/>
    <m/>
    <n v="12.67"/>
    <d v="2015-07-15T00:00:00"/>
    <n v="18.5"/>
    <d v="2015-07-06T00:00:00"/>
    <m/>
    <m/>
    <m/>
    <m/>
    <m/>
    <m/>
    <x v="520"/>
    <m/>
    <n v="25.43"/>
    <d v="2015-07-06T00:00:00"/>
    <m/>
    <m/>
    <n v="12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0.566000000000003"/>
    <d v="2015-07-15T00:00:00"/>
    <m/>
    <m/>
    <m/>
    <m/>
    <n v="49.833358764648438"/>
    <d v="2015-07-15T00:00:00"/>
    <n v="17.560146331787109"/>
    <d v="2015-07-15T00:00:00"/>
    <n v="15.427"/>
    <d v="2015-07-15T00:00:00"/>
    <m/>
    <m/>
    <m/>
    <m/>
    <n v="7.1"/>
    <d v="2015-07-06T00:00:00"/>
    <m/>
    <m/>
    <m/>
    <m/>
    <m/>
    <m/>
    <m/>
    <n v="3"/>
    <d v="2015-06-25T00:00:00"/>
    <s v="VALIDE"/>
  </r>
  <r>
    <s v="Alpaga"/>
    <s v="Alpaga"/>
    <x v="1"/>
    <x v="3"/>
    <n v="189"/>
    <n v="19"/>
    <n v="13"/>
    <m/>
    <m/>
    <m/>
    <m/>
    <n v="8"/>
    <m/>
    <n v="4.54"/>
    <d v="2015-07-06T00:00:00"/>
    <m/>
    <m/>
    <m/>
    <m/>
    <n v="12.98"/>
    <d v="2015-07-15T00:00:00"/>
    <n v="18.5"/>
    <d v="2015-07-06T00:00:00"/>
    <m/>
    <m/>
    <m/>
    <m/>
    <m/>
    <m/>
    <x v="521"/>
    <m/>
    <n v="25.43"/>
    <d v="2015-07-06T00:00:00"/>
    <m/>
    <m/>
    <n v="13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5.97"/>
    <d v="2015-07-15T00:00:00"/>
    <m/>
    <m/>
    <m/>
    <m/>
    <n v="51.050529479980469"/>
    <d v="2015-07-15T00:00:00"/>
    <n v="16.668926239013672"/>
    <d v="2015-07-15T00:00:00"/>
    <n v="19.510000000000002"/>
    <d v="2015-07-15T00:00:00"/>
    <m/>
    <m/>
    <m/>
    <m/>
    <n v="7.5"/>
    <d v="2015-07-06T00:00:00"/>
    <m/>
    <m/>
    <m/>
    <m/>
    <m/>
    <m/>
    <m/>
    <n v="3"/>
    <d v="2015-06-25T00:00:00"/>
    <s v="VALIDE"/>
  </r>
  <r>
    <s v="Montego"/>
    <s v="Montego"/>
    <x v="1"/>
    <x v="3"/>
    <n v="187"/>
    <n v="21"/>
    <n v="30"/>
    <m/>
    <m/>
    <m/>
    <m/>
    <n v="6"/>
    <m/>
    <n v="4.54"/>
    <d v="2015-07-06T00:00:00"/>
    <m/>
    <m/>
    <m/>
    <m/>
    <n v="12.76"/>
    <d v="2015-07-15T00:00:00"/>
    <n v="18.5"/>
    <d v="2015-07-06T00:00:00"/>
    <m/>
    <m/>
    <m/>
    <m/>
    <m/>
    <m/>
    <x v="521"/>
    <m/>
    <n v="25.43"/>
    <d v="2015-07-06T00:00:00"/>
    <m/>
    <m/>
    <n v="10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007999999999996"/>
    <d v="2015-07-15T00:00:00"/>
    <m/>
    <m/>
    <m/>
    <m/>
    <n v="50.159942626953125"/>
    <d v="2015-07-15T00:00:00"/>
    <n v="18.496559143066406"/>
    <d v="2015-07-15T00:00:00"/>
    <n v="15.004"/>
    <d v="2015-07-15T00:00:00"/>
    <m/>
    <m/>
    <m/>
    <m/>
    <n v="7.5"/>
    <d v="2015-07-06T00:00:00"/>
    <m/>
    <m/>
    <m/>
    <m/>
    <m/>
    <m/>
    <m/>
    <n v="1"/>
    <d v="2015-06-25T00:00:00"/>
    <s v="VALIDE"/>
  </r>
  <r>
    <s v="Alpaga"/>
    <s v="Alpaga"/>
    <x v="1"/>
    <x v="1"/>
    <n v="192"/>
    <n v="14"/>
    <n v="31"/>
    <m/>
    <m/>
    <m/>
    <m/>
    <n v="5"/>
    <m/>
    <n v="4.51"/>
    <d v="2015-07-06T00:00:00"/>
    <m/>
    <m/>
    <m/>
    <m/>
    <n v="13.39"/>
    <d v="2015-07-15T00:00:00"/>
    <n v="18.5"/>
    <d v="2015-07-06T00:00:00"/>
    <m/>
    <m/>
    <m/>
    <m/>
    <m/>
    <m/>
    <x v="522"/>
    <m/>
    <n v="25.51"/>
    <d v="2015-07-06T00:00:00"/>
    <m/>
    <m/>
    <n v="10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5.566999999999993"/>
    <d v="2015-07-15T00:00:00"/>
    <m/>
    <m/>
    <m/>
    <m/>
    <n v="52.494758605957031"/>
    <d v="2015-07-15T00:00:00"/>
    <n v="17.057153701782227"/>
    <d v="2015-07-15T00:00:00"/>
    <n v="23.202000000000002"/>
    <d v="2015-07-15T00:00:00"/>
    <m/>
    <m/>
    <m/>
    <m/>
    <n v="6.6"/>
    <d v="2015-07-06T00:00:00"/>
    <m/>
    <m/>
    <m/>
    <m/>
    <m/>
    <m/>
    <m/>
    <n v="5"/>
    <d v="2015-06-25T00:00:00"/>
    <s v="VALIDE"/>
  </r>
  <r>
    <s v="BRA_009"/>
    <s v="Jupiter"/>
    <x v="0"/>
    <x v="2"/>
    <n v="127"/>
    <n v="2"/>
    <n v="3"/>
    <m/>
    <m/>
    <m/>
    <m/>
    <n v="9"/>
    <m/>
    <n v="4.55"/>
    <d v="2015-07-06T00:00:00"/>
    <m/>
    <m/>
    <m/>
    <m/>
    <n v="12.93"/>
    <d v="2015-07-15T00:00:00"/>
    <n v="18.5"/>
    <d v="2015-07-06T00:00:00"/>
    <m/>
    <m/>
    <m/>
    <m/>
    <m/>
    <m/>
    <x v="523"/>
    <m/>
    <n v="25.51"/>
    <d v="2015-07-06T00:00:00"/>
    <m/>
    <m/>
    <n v="14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395000000000003"/>
    <d v="2015-07-15T00:00:00"/>
    <m/>
    <m/>
    <m/>
    <m/>
    <n v="50.665836334228516"/>
    <d v="2015-07-15T00:00:00"/>
    <n v="18.097658157348633"/>
    <d v="2015-07-15T00:00:00"/>
    <n v="55.198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324"/>
    <s v="RAGT-10"/>
    <x v="1"/>
    <x v="1"/>
    <n v="161"/>
    <n v="16"/>
    <n v="15"/>
    <m/>
    <m/>
    <m/>
    <m/>
    <n v="3"/>
    <m/>
    <n v="4.55"/>
    <d v="2015-07-06T00:00:00"/>
    <m/>
    <m/>
    <m/>
    <m/>
    <n v="12.51"/>
    <d v="2015-07-15T00:00:00"/>
    <n v="18.5"/>
    <d v="2015-07-06T00:00:00"/>
    <m/>
    <m/>
    <m/>
    <m/>
    <m/>
    <m/>
    <x v="523"/>
    <m/>
    <n v="25.51"/>
    <d v="2015-07-06T00:00:00"/>
    <m/>
    <m/>
    <n v="120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3.555"/>
    <d v="2015-07-15T00:00:00"/>
    <m/>
    <m/>
    <m/>
    <m/>
    <n v="49.016487121582031"/>
    <d v="2015-07-15T00:00:00"/>
    <n v="19.505233764648438"/>
    <d v="2015-07-15T00:00:00"/>
    <n v="28.359000000000002"/>
    <d v="2015-07-15T00:00:00"/>
    <m/>
    <m/>
    <m/>
    <m/>
    <n v="7.4"/>
    <d v="2015-07-06T00:00:00"/>
    <m/>
    <m/>
    <m/>
    <m/>
    <m/>
    <m/>
    <m/>
    <n v="5"/>
    <d v="2015-06-25T00:00:00"/>
    <s v="VALIDE"/>
  </r>
  <r>
    <s v="RAPSO_248"/>
    <s v="Oase"/>
    <x v="1"/>
    <x v="3"/>
    <n v="92"/>
    <n v="22"/>
    <n v="13"/>
    <m/>
    <m/>
    <m/>
    <m/>
    <n v="5"/>
    <m/>
    <n v="4.58"/>
    <d v="2015-07-06T00:00:00"/>
    <m/>
    <m/>
    <m/>
    <m/>
    <n v="13.14"/>
    <d v="2015-07-15T00:00:00"/>
    <n v="18.5"/>
    <d v="2015-07-06T00:00:00"/>
    <m/>
    <m/>
    <m/>
    <m/>
    <m/>
    <m/>
    <x v="524"/>
    <m/>
    <n v="25.57"/>
    <d v="2015-07-06T00:00:00"/>
    <m/>
    <m/>
    <n v="12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5.546000000000006"/>
    <d v="2015-07-15T00:00:00"/>
    <m/>
    <m/>
    <m/>
    <m/>
    <n v="51.375778198242187"/>
    <d v="2015-07-15T00:00:00"/>
    <n v="17.707807540893555"/>
    <d v="2015-07-15T00:00:00"/>
    <n v="19.009"/>
    <d v="2015-07-15T00:00:00"/>
    <m/>
    <m/>
    <m/>
    <m/>
    <n v="7.8"/>
    <d v="2015-07-06T00:00:00"/>
    <m/>
    <m/>
    <m/>
    <m/>
    <m/>
    <m/>
    <m/>
    <n v="3"/>
    <d v="2015-06-25T00:00:00"/>
    <s v="VALIDE"/>
  </r>
  <r>
    <s v="Aviso"/>
    <s v="Aviso"/>
    <x v="1"/>
    <x v="1"/>
    <n v="181"/>
    <n v="14"/>
    <n v="12"/>
    <m/>
    <m/>
    <m/>
    <m/>
    <n v="8"/>
    <m/>
    <n v="4.62"/>
    <d v="2015-07-06T00:00:00"/>
    <m/>
    <m/>
    <m/>
    <m/>
    <n v="12.72"/>
    <d v="2015-07-15T00:00:00"/>
    <n v="18.5"/>
    <d v="2015-07-06T00:00:00"/>
    <m/>
    <m/>
    <m/>
    <m/>
    <m/>
    <m/>
    <x v="525"/>
    <m/>
    <n v="25.6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59.942"/>
    <d v="2015-07-15T00:00:00"/>
    <m/>
    <m/>
    <m/>
    <m/>
    <n v="49.687656402587891"/>
    <d v="2015-07-15T00:00:00"/>
    <n v="18.217203140258789"/>
    <d v="2015-07-15T00:00:00"/>
    <n v="18.010999999999999"/>
    <d v="2015-07-15T00:00:00"/>
    <m/>
    <m/>
    <m/>
    <m/>
    <n v="8.5"/>
    <d v="2015-07-06T00:00:00"/>
    <m/>
    <m/>
    <m/>
    <m/>
    <m/>
    <m/>
    <m/>
    <n v="1"/>
    <d v="2015-06-25T00:00:00"/>
    <s v="VALIDE"/>
  </r>
  <r>
    <s v="Aviso"/>
    <s v="Aviso"/>
    <x v="0"/>
    <x v="0"/>
    <n v="24"/>
    <m/>
    <m/>
    <n v="8"/>
    <n v="2"/>
    <m/>
    <m/>
    <n v="8"/>
    <m/>
    <n v="4.63"/>
    <d v="2015-07-06T00:00:00"/>
    <m/>
    <m/>
    <m/>
    <m/>
    <n v="12.92"/>
    <d v="2015-07-15T00:00:00"/>
    <n v="18.5"/>
    <d v="2015-07-06T00:00:00"/>
    <m/>
    <m/>
    <m/>
    <m/>
    <m/>
    <m/>
    <x v="526"/>
    <m/>
    <n v="25.63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277000000000001"/>
    <d v="2015-07-15T00:00:00"/>
    <m/>
    <m/>
    <m/>
    <m/>
    <n v="50.42"/>
    <d v="2015-07-15T00:00:00"/>
    <n v="18.388216018676758"/>
    <d v="2015-07-15T00:00:00"/>
    <n v="15.148999999999999"/>
    <d v="2015-07-15T00:00:00"/>
    <m/>
    <m/>
    <m/>
    <m/>
    <n v="8.6"/>
    <d v="2015-07-06T00:00:00"/>
    <m/>
    <m/>
    <m/>
    <m/>
    <m/>
    <m/>
    <m/>
    <n v="7"/>
    <d v="2015-06-25T00:00:00"/>
    <s v="VALIDE"/>
  </r>
  <r>
    <s v="RAPSO_245"/>
    <s v="Navajo"/>
    <x v="1"/>
    <x v="1"/>
    <n v="90"/>
    <n v="18"/>
    <n v="9"/>
    <m/>
    <m/>
    <m/>
    <m/>
    <n v="7"/>
    <m/>
    <n v="4.62"/>
    <d v="2015-07-06T00:00:00"/>
    <m/>
    <m/>
    <m/>
    <m/>
    <n v="12.76"/>
    <d v="2015-07-15T00:00:00"/>
    <n v="18.5"/>
    <d v="2015-07-06T00:00:00"/>
    <m/>
    <m/>
    <m/>
    <m/>
    <m/>
    <m/>
    <x v="527"/>
    <m/>
    <n v="25.63"/>
    <d v="2015-07-06T00:00:00"/>
    <m/>
    <m/>
    <n v="10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3.561"/>
    <d v="2015-07-15T00:00:00"/>
    <m/>
    <m/>
    <m/>
    <m/>
    <n v="49.783298492431641"/>
    <d v="2015-07-15T00:00:00"/>
    <n v="17.421768188476563"/>
    <d v="2015-07-15T00:00:00"/>
    <n v="18.268999999999998"/>
    <d v="2015-07-15T00:00:00"/>
    <m/>
    <m/>
    <m/>
    <m/>
    <n v="8.4"/>
    <d v="2015-07-06T00:00:00"/>
    <m/>
    <m/>
    <m/>
    <m/>
    <m/>
    <m/>
    <m/>
    <n v="3"/>
    <d v="2015-06-25T00:00:00"/>
    <s v="VALIDE"/>
  </r>
  <r>
    <s v="RAPSO_230"/>
    <s v="Lirabon"/>
    <x v="1"/>
    <x v="1"/>
    <n v="83"/>
    <n v="18"/>
    <n v="19"/>
    <m/>
    <m/>
    <m/>
    <m/>
    <n v="7"/>
    <m/>
    <n v="4.57"/>
    <d v="2015-07-06T00:00:00"/>
    <m/>
    <m/>
    <m/>
    <m/>
    <n v="12.65"/>
    <d v="2015-07-15T00:00:00"/>
    <n v="18.5"/>
    <d v="2015-07-06T00:00:00"/>
    <m/>
    <m/>
    <m/>
    <m/>
    <m/>
    <m/>
    <x v="528"/>
    <m/>
    <n v="25.65"/>
    <d v="2015-07-06T00:00:00"/>
    <m/>
    <m/>
    <n v="11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156999999999996"/>
    <d v="2015-07-15T00:00:00"/>
    <m/>
    <m/>
    <m/>
    <m/>
    <n v="49.334770202636719"/>
    <d v="2015-07-15T00:00:00"/>
    <n v="18.318817138671875"/>
    <d v="2015-07-15T00:00:00"/>
    <n v="22.164999999999999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140"/>
    <s v="Aurum"/>
    <x v="1"/>
    <x v="3"/>
    <n v="46"/>
    <n v="19"/>
    <n v="7"/>
    <m/>
    <m/>
    <m/>
    <m/>
    <n v="8"/>
    <m/>
    <n v="4.6500000000000004"/>
    <d v="2015-07-06T00:00:00"/>
    <m/>
    <m/>
    <m/>
    <m/>
    <n v="13.15"/>
    <d v="2015-07-15T00:00:00"/>
    <n v="18.5"/>
    <d v="2015-07-06T00:00:00"/>
    <m/>
    <m/>
    <m/>
    <m/>
    <m/>
    <m/>
    <x v="529"/>
    <m/>
    <n v="25.68"/>
    <d v="2015-07-06T00:00:00"/>
    <m/>
    <m/>
    <n v="10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834999999999994"/>
    <d v="2015-07-15T00:00:00"/>
    <m/>
    <m/>
    <m/>
    <m/>
    <n v="51.195472717285156"/>
    <d v="2015-07-15T00:00:00"/>
    <n v="17.727249145507813"/>
    <d v="2015-07-15T00:00:00"/>
    <n v="18.405000000000001"/>
    <d v="2015-07-15T00:00:00"/>
    <m/>
    <m/>
    <m/>
    <m/>
    <n v="8.8000000000000007"/>
    <d v="2015-07-06T00:00:00"/>
    <m/>
    <m/>
    <m/>
    <m/>
    <m/>
    <m/>
    <m/>
    <n v="3"/>
    <d v="2015-06-25T00:00:00"/>
    <s v="VALIDE"/>
  </r>
  <r>
    <s v="RAPSO_068"/>
    <s v="Zeruca"/>
    <x v="1"/>
    <x v="3"/>
    <n v="22"/>
    <n v="22"/>
    <n v="7"/>
    <m/>
    <m/>
    <m/>
    <m/>
    <n v="8"/>
    <m/>
    <n v="4.59"/>
    <d v="2015-07-06T00:00:00"/>
    <m/>
    <m/>
    <m/>
    <m/>
    <n v="13.82"/>
    <d v="2015-07-15T00:00:00"/>
    <n v="18.5"/>
    <d v="2015-07-06T00:00:00"/>
    <m/>
    <m/>
    <m/>
    <m/>
    <m/>
    <m/>
    <x v="530"/>
    <m/>
    <n v="25.68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6.948999999999998"/>
    <d v="2015-07-15T00:00:00"/>
    <m/>
    <m/>
    <m/>
    <m/>
    <n v="53.795516967773438"/>
    <d v="2015-07-15T00:00:00"/>
    <n v="17.047401428222656"/>
    <d v="2015-07-15T00:00:00"/>
    <n v="19.184999999999999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326"/>
    <s v="SYN02"/>
    <x v="1"/>
    <x v="1"/>
    <n v="163"/>
    <n v="16"/>
    <n v="12"/>
    <m/>
    <m/>
    <m/>
    <m/>
    <n v="5"/>
    <m/>
    <n v="4.5999999999999996"/>
    <d v="2015-07-06T00:00:00"/>
    <m/>
    <m/>
    <m/>
    <m/>
    <n v="13.25"/>
    <d v="2015-07-15T00:00:00"/>
    <n v="18.5"/>
    <d v="2015-07-06T00:00:00"/>
    <m/>
    <m/>
    <m/>
    <m/>
    <m/>
    <m/>
    <x v="531"/>
    <m/>
    <n v="25.71"/>
    <d v="2015-07-06T00:00:00"/>
    <m/>
    <m/>
    <n v="12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2.970999999999997"/>
    <d v="2015-07-15T00:00:00"/>
    <m/>
    <m/>
    <m/>
    <m/>
    <n v="51.522899627685547"/>
    <d v="2015-07-15T00:00:00"/>
    <n v="16.590465545654297"/>
    <d v="2015-07-15T00:00:00"/>
    <n v="15.177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190"/>
    <s v="Evri"/>
    <x v="1"/>
    <x v="3"/>
    <n v="67"/>
    <n v="20"/>
    <n v="13"/>
    <m/>
    <m/>
    <m/>
    <m/>
    <n v="8"/>
    <m/>
    <n v="4.6100000000000003"/>
    <d v="2015-07-06T00:00:00"/>
    <m/>
    <m/>
    <m/>
    <m/>
    <n v="13"/>
    <d v="2015-07-15T00:00:00"/>
    <n v="18.5"/>
    <d v="2015-07-06T00:00:00"/>
    <m/>
    <m/>
    <m/>
    <m/>
    <m/>
    <m/>
    <x v="532"/>
    <m/>
    <n v="25.74"/>
    <d v="2015-07-06T00:00:00"/>
    <m/>
    <m/>
    <n v="11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213000000000001"/>
    <d v="2015-07-15T00:00:00"/>
    <m/>
    <m/>
    <m/>
    <m/>
    <n v="50.5179443359375"/>
    <d v="2015-07-15T00:00:00"/>
    <n v="19.085657119750977"/>
    <d v="2015-07-15T00:00:00"/>
    <n v="20.189"/>
    <d v="2015-07-15T00:00:00"/>
    <m/>
    <m/>
    <m/>
    <m/>
    <n v="7.8"/>
    <d v="2015-07-06T00:00:00"/>
    <m/>
    <m/>
    <m/>
    <m/>
    <m/>
    <m/>
    <m/>
    <n v="3"/>
    <d v="2015-06-25T00:00:00"/>
    <s v="VALIDE"/>
  </r>
  <r>
    <s v="Aviso"/>
    <s v="Aviso"/>
    <x v="1"/>
    <x v="1"/>
    <n v="184"/>
    <n v="17"/>
    <n v="26"/>
    <m/>
    <m/>
    <m/>
    <m/>
    <n v="3"/>
    <m/>
    <n v="4.6100000000000003"/>
    <d v="2015-07-06T00:00:00"/>
    <m/>
    <m/>
    <m/>
    <m/>
    <n v="12.32"/>
    <d v="2015-07-15T00:00:00"/>
    <n v="18.5"/>
    <d v="2015-07-06T00:00:00"/>
    <m/>
    <m/>
    <m/>
    <m/>
    <m/>
    <m/>
    <x v="533"/>
    <m/>
    <n v="25.79"/>
    <d v="2015-07-06T00:00:00"/>
    <m/>
    <m/>
    <n v="12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1.997999999999998"/>
    <d v="2015-07-15T00:00:00"/>
    <m/>
    <m/>
    <m/>
    <m/>
    <n v="47.784549713134766"/>
    <d v="2015-07-15T00:00:00"/>
    <n v="19.090530395507813"/>
    <d v="2015-07-15T00:00:00"/>
    <n v="17.010999999999999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270"/>
    <s v="Shogun"/>
    <x v="1"/>
    <x v="3"/>
    <n v="105"/>
    <n v="24"/>
    <n v="22"/>
    <m/>
    <m/>
    <m/>
    <m/>
    <n v="7"/>
    <m/>
    <n v="4.59"/>
    <d v="2015-07-06T00:00:00"/>
    <m/>
    <m/>
    <m/>
    <m/>
    <n v="12.77"/>
    <d v="2015-07-15T00:00:00"/>
    <n v="18.5"/>
    <d v="2015-07-06T00:00:00"/>
    <m/>
    <m/>
    <m/>
    <m/>
    <m/>
    <m/>
    <x v="534"/>
    <m/>
    <n v="25.82"/>
    <d v="2015-07-06T00:00:00"/>
    <m/>
    <m/>
    <n v="13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0.67"/>
    <d v="2015-07-15T00:00:00"/>
    <m/>
    <m/>
    <m/>
    <m/>
    <n v="49.447105407714844"/>
    <d v="2015-07-15T00:00:00"/>
    <n v="18.94774055480957"/>
    <d v="2015-07-15T00:00:00"/>
    <n v="18.120999999999999"/>
    <d v="2015-07-15T00:00:00"/>
    <m/>
    <m/>
    <m/>
    <m/>
    <n v="7.1"/>
    <d v="2015-07-06T00:00:00"/>
    <m/>
    <m/>
    <m/>
    <m/>
    <m/>
    <m/>
    <m/>
    <n v="5"/>
    <d v="2015-06-25T00:00:00"/>
    <s v="VALIDE"/>
  </r>
  <r>
    <s v="RAPSO_319"/>
    <s v="RAGT-05"/>
    <x v="1"/>
    <x v="3"/>
    <n v="156"/>
    <n v="21"/>
    <n v="15"/>
    <m/>
    <m/>
    <m/>
    <m/>
    <n v="8"/>
    <m/>
    <n v="4.62"/>
    <d v="2015-07-06T00:00:00"/>
    <m/>
    <m/>
    <m/>
    <m/>
    <n v="13.09"/>
    <d v="2015-07-15T00:00:00"/>
    <n v="18.5"/>
    <d v="2015-07-06T00:00:00"/>
    <m/>
    <m/>
    <m/>
    <m/>
    <m/>
    <m/>
    <x v="535"/>
    <m/>
    <n v="25.329729729729728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441000000000003"/>
    <d v="2015-07-15T00:00:00"/>
    <m/>
    <m/>
    <m/>
    <m/>
    <n v="50.693275451660156"/>
    <d v="2015-07-15T00:00:00"/>
    <n v="18.552536010742188"/>
    <d v="2015-07-15T00:00:00"/>
    <n v="16.841000000000001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317"/>
    <s v="RAGT-03"/>
    <x v="1"/>
    <x v="1"/>
    <n v="154"/>
    <n v="17"/>
    <n v="10"/>
    <m/>
    <m/>
    <m/>
    <m/>
    <n v="5"/>
    <m/>
    <n v="4.67"/>
    <d v="2015-07-06T00:00:00"/>
    <m/>
    <m/>
    <m/>
    <m/>
    <n v="13.06"/>
    <d v="2015-07-15T00:00:00"/>
    <n v="18.5"/>
    <d v="2015-07-06T00:00:00"/>
    <m/>
    <m/>
    <m/>
    <m/>
    <m/>
    <m/>
    <x v="536"/>
    <m/>
    <n v="25.85"/>
    <d v="2015-07-06T00:00:00"/>
    <m/>
    <m/>
    <n v="120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5.016999999999996"/>
    <d v="2015-07-15T00:00:00"/>
    <m/>
    <m/>
    <m/>
    <m/>
    <n v="50.53558349609375"/>
    <d v="2015-07-15T00:00:00"/>
    <n v="16.336643218994141"/>
    <d v="2015-07-15T00:00:00"/>
    <n v="27.2"/>
    <d v="2015-07-15T00:00:00"/>
    <m/>
    <m/>
    <m/>
    <m/>
    <n v="8.6"/>
    <d v="2015-07-06T00:00:00"/>
    <m/>
    <m/>
    <m/>
    <m/>
    <m/>
    <m/>
    <m/>
    <n v="5"/>
    <d v="2015-06-25T00:00:00"/>
    <s v="VALIDE"/>
  </r>
  <r>
    <s v="RAPSO_227"/>
    <s v="Liporta"/>
    <x v="1"/>
    <x v="1"/>
    <n v="82"/>
    <n v="13"/>
    <n v="22"/>
    <m/>
    <m/>
    <m/>
    <m/>
    <n v="9"/>
    <m/>
    <n v="4.59"/>
    <d v="2015-07-06T00:00:00"/>
    <m/>
    <m/>
    <m/>
    <m/>
    <n v="12.73"/>
    <d v="2015-07-15T00:00:00"/>
    <n v="18.5"/>
    <d v="2015-07-06T00:00:00"/>
    <m/>
    <m/>
    <m/>
    <m/>
    <m/>
    <m/>
    <x v="537"/>
    <m/>
    <n v="25.85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256"/>
    <d v="2015-07-15T00:00:00"/>
    <m/>
    <m/>
    <m/>
    <m/>
    <n v="49.257526397705078"/>
    <d v="2015-07-15T00:00:00"/>
    <n v="18.125057220458984"/>
    <d v="2015-07-15T00:00:00"/>
    <n v="19.88"/>
    <d v="2015-07-15T00:00:00"/>
    <m/>
    <m/>
    <m/>
    <m/>
    <n v="7"/>
    <d v="2015-07-06T00:00:00"/>
    <m/>
    <m/>
    <m/>
    <m/>
    <m/>
    <m/>
    <m/>
    <n v="5"/>
    <d v="2015-06-25T00:00:00"/>
    <s v="VALIDE"/>
  </r>
  <r>
    <s v="BRA_007"/>
    <s v="Tosca"/>
    <x v="1"/>
    <x v="3"/>
    <n v="125"/>
    <n v="24"/>
    <n v="15"/>
    <m/>
    <m/>
    <m/>
    <m/>
    <n v="9"/>
    <m/>
    <n v="4.5999999999999996"/>
    <d v="2015-07-06T00:00:00"/>
    <m/>
    <m/>
    <m/>
    <m/>
    <n v="12.78"/>
    <d v="2015-07-15T00:00:00"/>
    <n v="18.5"/>
    <d v="2015-07-06T00:00:00"/>
    <m/>
    <m/>
    <m/>
    <m/>
    <m/>
    <m/>
    <x v="538"/>
    <m/>
    <n v="25.85"/>
    <d v="2015-07-06T00:00:00"/>
    <m/>
    <m/>
    <n v="13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588999999999999"/>
    <d v="2015-07-15T00:00:00"/>
    <m/>
    <m/>
    <m/>
    <m/>
    <n v="49.427234649658203"/>
    <d v="2015-07-15T00:00:00"/>
    <n v="18.808422088623047"/>
    <d v="2015-07-15T00:00:00"/>
    <n v="15.028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48"/>
    <s v="Oase"/>
    <x v="0"/>
    <x v="2"/>
    <n v="92"/>
    <n v="6"/>
    <n v="19"/>
    <m/>
    <m/>
    <m/>
    <m/>
    <n v="7"/>
    <m/>
    <n v="4.59"/>
    <d v="2015-07-06T00:00:00"/>
    <m/>
    <m/>
    <m/>
    <m/>
    <n v="13.92"/>
    <d v="2015-07-15T00:00:00"/>
    <n v="18.5"/>
    <d v="2015-07-06T00:00:00"/>
    <m/>
    <m/>
    <m/>
    <m/>
    <m/>
    <m/>
    <x v="539"/>
    <m/>
    <n v="25.383367983367979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864999999999995"/>
    <d v="2015-07-15T00:00:00"/>
    <m/>
    <m/>
    <m/>
    <m/>
    <n v="53.777946472167969"/>
    <d v="2015-07-15T00:00:00"/>
    <n v="15.80610466003418"/>
    <d v="2015-07-15T00:00:00"/>
    <n v="23.399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26"/>
    <s v="Lioness"/>
    <x v="1"/>
    <x v="3"/>
    <n v="81"/>
    <n v="20"/>
    <n v="9"/>
    <m/>
    <m/>
    <m/>
    <m/>
    <n v="8"/>
    <m/>
    <n v="4.6399999999999997"/>
    <d v="2015-07-06T00:00:00"/>
    <m/>
    <m/>
    <m/>
    <m/>
    <n v="13.55"/>
    <d v="2015-07-15T00:00:00"/>
    <n v="18.5"/>
    <d v="2015-07-06T00:00:00"/>
    <m/>
    <m/>
    <m/>
    <m/>
    <m/>
    <m/>
    <x v="540"/>
    <m/>
    <n v="25.91"/>
    <d v="2015-07-06T00:00:00"/>
    <m/>
    <m/>
    <n v="11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83"/>
    <d v="2015-07-15T00:00:00"/>
    <m/>
    <m/>
    <m/>
    <m/>
    <n v="52.295303344726563"/>
    <d v="2015-07-15T00:00:00"/>
    <n v="17.906486511230469"/>
    <d v="2015-07-15T00:00:00"/>
    <n v="13.329000000000001"/>
    <d v="2015-07-15T00:00:00"/>
    <m/>
    <m/>
    <m/>
    <m/>
    <n v="7.8"/>
    <d v="2015-07-06T00:00:00"/>
    <m/>
    <m/>
    <m/>
    <m/>
    <m/>
    <m/>
    <m/>
    <n v="3"/>
    <d v="2015-06-25T00:00:00"/>
    <s v="VALIDE"/>
  </r>
  <r>
    <s v="RAPSO_298"/>
    <s v="ES-CUBIC"/>
    <x v="1"/>
    <x v="3"/>
    <n v="135"/>
    <n v="24"/>
    <n v="1"/>
    <m/>
    <m/>
    <m/>
    <m/>
    <n v="8"/>
    <m/>
    <n v="4.6900000000000004"/>
    <d v="2015-07-06T00:00:00"/>
    <m/>
    <m/>
    <m/>
    <m/>
    <n v="13.3"/>
    <d v="2015-07-15T00:00:00"/>
    <n v="18.5"/>
    <d v="2015-07-06T00:00:00"/>
    <m/>
    <m/>
    <m/>
    <m/>
    <m/>
    <m/>
    <x v="541"/>
    <m/>
    <n v="25.93"/>
    <d v="2015-07-06T00:00:00"/>
    <m/>
    <m/>
    <n v="11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389000000000003"/>
    <d v="2015-07-15T00:00:00"/>
    <m/>
    <m/>
    <m/>
    <m/>
    <n v="51.313201904296875"/>
    <d v="2015-07-15T00:00:00"/>
    <n v="17.399297714233398"/>
    <d v="2015-07-15T00:00:00"/>
    <n v="12.566000000000001"/>
    <d v="2015-07-15T00:00:00"/>
    <m/>
    <m/>
    <m/>
    <m/>
    <n v="8.6999999999999993"/>
    <d v="2015-07-06T00:00:00"/>
    <m/>
    <m/>
    <m/>
    <m/>
    <m/>
    <m/>
    <m/>
    <n v="3"/>
    <d v="2015-06-25T00:00:00"/>
    <s v="VALIDE"/>
  </r>
  <r>
    <s v="RAPSO_231"/>
    <s v="Lirajet"/>
    <x v="1"/>
    <x v="1"/>
    <n v="84"/>
    <n v="15"/>
    <n v="4"/>
    <m/>
    <m/>
    <m/>
    <m/>
    <n v="9"/>
    <m/>
    <n v="4.71"/>
    <d v="2015-07-06T00:00:00"/>
    <m/>
    <m/>
    <m/>
    <m/>
    <n v="12.48"/>
    <d v="2015-07-15T00:00:00"/>
    <n v="18.5"/>
    <d v="2015-07-06T00:00:00"/>
    <m/>
    <m/>
    <m/>
    <m/>
    <m/>
    <m/>
    <x v="542"/>
    <m/>
    <n v="25.98"/>
    <d v="2015-07-06T00:00:00"/>
    <m/>
    <m/>
    <n v="12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097999999999999"/>
    <d v="2015-07-15T00:00:00"/>
    <m/>
    <m/>
    <m/>
    <m/>
    <n v="48.047981262207031"/>
    <d v="2015-07-15T00:00:00"/>
    <n v="18.458236694335938"/>
    <d v="2015-07-15T00:00:00"/>
    <n v="20.974"/>
    <d v="2015-07-15T00:00:00"/>
    <m/>
    <m/>
    <m/>
    <m/>
    <n v="8.9"/>
    <d v="2015-07-06T00:00:00"/>
    <m/>
    <m/>
    <m/>
    <m/>
    <m/>
    <m/>
    <m/>
    <n v="3"/>
    <d v="2015-06-25T00:00:00"/>
    <s v="VALIDE"/>
  </r>
  <r>
    <s v="MP003"/>
    <s v="Mohican"/>
    <x v="1"/>
    <x v="1"/>
    <n v="130"/>
    <n v="15"/>
    <n v="22"/>
    <m/>
    <m/>
    <m/>
    <m/>
    <n v="7"/>
    <m/>
    <n v="4.63"/>
    <d v="2015-07-06T00:00:00"/>
    <m/>
    <m/>
    <m/>
    <m/>
    <n v="13.21"/>
    <d v="2015-07-15T00:00:00"/>
    <n v="18.5"/>
    <d v="2015-07-06T00:00:00"/>
    <m/>
    <m/>
    <m/>
    <m/>
    <m/>
    <m/>
    <x v="543"/>
    <m/>
    <n v="26.02"/>
    <d v="2015-07-06T00:00:00"/>
    <m/>
    <m/>
    <n v="11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3.85"/>
    <d v="2015-07-15T00:00:00"/>
    <m/>
    <m/>
    <m/>
    <m/>
    <n v="50.776954650878906"/>
    <d v="2015-07-15T00:00:00"/>
    <n v="17.622676849365234"/>
    <d v="2015-07-15T00:00:00"/>
    <n v="18.416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82"/>
    <s v="Twister"/>
    <x v="0"/>
    <x v="2"/>
    <n v="111"/>
    <n v="4"/>
    <n v="21"/>
    <m/>
    <m/>
    <m/>
    <m/>
    <n v="5"/>
    <m/>
    <n v="4.63"/>
    <d v="2015-07-06T00:00:00"/>
    <m/>
    <m/>
    <m/>
    <m/>
    <n v="13.68"/>
    <d v="2015-07-15T00:00:00"/>
    <n v="18.5"/>
    <d v="2015-07-06T00:00:00"/>
    <m/>
    <m/>
    <m/>
    <m/>
    <m/>
    <m/>
    <x v="544"/>
    <m/>
    <n v="25.6045738045738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545999999999999"/>
    <d v="2015-07-15T00:00:00"/>
    <m/>
    <m/>
    <m/>
    <m/>
    <n v="52.417461395263672"/>
    <d v="2015-07-15T00:00:00"/>
    <n v="16.848682403564453"/>
    <d v="2015-07-15T00:00:00"/>
    <n v="16.73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15"/>
    <s v="Kadore"/>
    <x v="1"/>
    <x v="3"/>
    <n v="76"/>
    <n v="22"/>
    <n v="10"/>
    <m/>
    <m/>
    <m/>
    <m/>
    <n v="3"/>
    <m/>
    <n v="4.7300000000000004"/>
    <d v="2015-07-06T00:00:00"/>
    <m/>
    <m/>
    <m/>
    <m/>
    <n v="12.37"/>
    <d v="2015-07-15T00:00:00"/>
    <n v="18.5"/>
    <d v="2015-07-06T00:00:00"/>
    <m/>
    <m/>
    <m/>
    <m/>
    <m/>
    <m/>
    <x v="545"/>
    <m/>
    <n v="25.651856251856252"/>
    <d v="2015-07-06T00:00:00"/>
    <m/>
    <m/>
    <n v="12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4.522999999999996"/>
    <d v="2015-07-15T00:00:00"/>
    <m/>
    <m/>
    <m/>
    <m/>
    <n v="47.320388793945313"/>
    <d v="2015-07-15T00:00:00"/>
    <n v="18.422262191772461"/>
    <d v="2015-07-15T00:00:00"/>
    <n v="17.888000000000002"/>
    <d v="2015-07-15T00:00:00"/>
    <m/>
    <m/>
    <m/>
    <m/>
    <n v="8.6999999999999993"/>
    <d v="2015-07-06T00:00:00"/>
    <m/>
    <m/>
    <m/>
    <m/>
    <m/>
    <m/>
    <m/>
    <n v="1"/>
    <d v="2015-06-25T00:00:00"/>
    <s v="VALIDE"/>
  </r>
  <r>
    <s v="RAPSO_175"/>
    <s v="Courage"/>
    <x v="1"/>
    <x v="1"/>
    <n v="61"/>
    <n v="15"/>
    <n v="11"/>
    <m/>
    <m/>
    <m/>
    <m/>
    <n v="8"/>
    <m/>
    <n v="4.68"/>
    <d v="2015-07-06T00:00:00"/>
    <m/>
    <m/>
    <m/>
    <m/>
    <n v="13.52"/>
    <d v="2015-07-15T00:00:00"/>
    <n v="18.5"/>
    <d v="2015-07-06T00:00:00"/>
    <m/>
    <m/>
    <m/>
    <m/>
    <m/>
    <m/>
    <x v="546"/>
    <m/>
    <n v="26.16"/>
    <d v="2015-07-06T00:00:00"/>
    <m/>
    <m/>
    <n v="10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362000000000002"/>
    <d v="2015-07-15T00:00:00"/>
    <m/>
    <m/>
    <m/>
    <m/>
    <n v="51.700927734375"/>
    <d v="2015-07-15T00:00:00"/>
    <n v="16.820858001708984"/>
    <d v="2015-07-15T00:00:00"/>
    <n v="16.454000000000001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356"/>
    <s v="Regal2-DS1"/>
    <x v="1"/>
    <x v="3"/>
    <n v="115"/>
    <n v="22"/>
    <n v="4"/>
    <m/>
    <m/>
    <m/>
    <m/>
    <n v="9"/>
    <m/>
    <n v="4.7"/>
    <d v="2015-07-06T00:00:00"/>
    <m/>
    <m/>
    <m/>
    <m/>
    <n v="12.97"/>
    <d v="2015-07-15T00:00:00"/>
    <n v="18.5"/>
    <d v="2015-07-06T00:00:00"/>
    <m/>
    <m/>
    <m/>
    <m/>
    <m/>
    <m/>
    <x v="547"/>
    <m/>
    <n v="26.18"/>
    <d v="2015-07-06T00:00:00"/>
    <m/>
    <m/>
    <n v="13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22"/>
    <d v="2015-07-15T00:00:00"/>
    <m/>
    <m/>
    <m/>
    <m/>
    <n v="49.552204132080078"/>
    <d v="2015-07-15T00:00:00"/>
    <n v="18.927518844604492"/>
    <d v="2015-07-15T00:00:00"/>
    <n v="60.28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419"/>
    <s v="NOVOCHARTORYISKYI "/>
    <x v="0"/>
    <x v="2"/>
    <n v="20"/>
    <m/>
    <m/>
    <n v="2"/>
    <n v="1"/>
    <m/>
    <m/>
    <n v="8"/>
    <m/>
    <n v="4.74"/>
    <d v="2015-07-06T00:00:00"/>
    <m/>
    <m/>
    <m/>
    <m/>
    <n v="13.28"/>
    <d v="2015-07-15T00:00:00"/>
    <n v="18.5"/>
    <d v="2015-07-06T00:00:00"/>
    <m/>
    <m/>
    <m/>
    <m/>
    <m/>
    <m/>
    <x v="548"/>
    <m/>
    <n v="26.21"/>
    <d v="2015-07-06T00:00:00"/>
    <m/>
    <m/>
    <n v="15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552000000000007"/>
    <d v="2015-07-15T00:00:00"/>
    <m/>
    <m/>
    <m/>
    <m/>
    <n v="50.67"/>
    <d v="2015-07-15T00:00:00"/>
    <n v="21.391794204711914"/>
    <d v="2015-07-15T00:00:00"/>
    <n v="66.685000000000002"/>
    <d v="2015-07-15T00:00:00"/>
    <m/>
    <m/>
    <m/>
    <m/>
    <n v="8.6999999999999993"/>
    <d v="2015-07-06T00:00:00"/>
    <m/>
    <m/>
    <m/>
    <m/>
    <m/>
    <m/>
    <m/>
    <n v="7"/>
    <d v="2015-06-25T00:00:00"/>
    <s v="VALIDE"/>
  </r>
  <r>
    <s v="RAPSO_027"/>
    <s v="Major"/>
    <x v="0"/>
    <x v="2"/>
    <n v="7"/>
    <n v="5"/>
    <n v="14"/>
    <m/>
    <m/>
    <m/>
    <m/>
    <n v="9"/>
    <m/>
    <n v="4.6500000000000004"/>
    <d v="2015-07-06T00:00:00"/>
    <m/>
    <m/>
    <m/>
    <m/>
    <n v="13.58"/>
    <d v="2015-07-15T00:00:00"/>
    <n v="18.5"/>
    <d v="2015-07-06T00:00:00"/>
    <m/>
    <m/>
    <m/>
    <m/>
    <m/>
    <m/>
    <x v="549"/>
    <m/>
    <n v="26.24"/>
    <d v="2015-07-06T00:00:00"/>
    <m/>
    <m/>
    <n v="15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674999999999997"/>
    <d v="2015-07-15T00:00:00"/>
    <m/>
    <m/>
    <m/>
    <m/>
    <n v="51.740447998046875"/>
    <d v="2015-07-15T00:00:00"/>
    <n v="18.110343933105469"/>
    <d v="2015-07-15T00:00:00"/>
    <n v="57.923000000000002"/>
    <d v="2015-07-15T00:00:00"/>
    <m/>
    <m/>
    <m/>
    <m/>
    <n v="6.8"/>
    <d v="2015-07-06T00:00:00"/>
    <m/>
    <m/>
    <m/>
    <m/>
    <m/>
    <m/>
    <m/>
    <n v="3"/>
    <d v="2015-06-25T00:00:00"/>
    <s v="VALIDE"/>
  </r>
  <r>
    <s v="Aviso"/>
    <s v="Aviso"/>
    <x v="1"/>
    <x v="3"/>
    <n v="184"/>
    <n v="21"/>
    <n v="16"/>
    <m/>
    <m/>
    <m/>
    <m/>
    <n v="8"/>
    <m/>
    <n v="4.71"/>
    <d v="2015-07-06T00:00:00"/>
    <m/>
    <m/>
    <m/>
    <m/>
    <n v="13.35"/>
    <d v="2015-07-15T00:00:00"/>
    <n v="18.5"/>
    <d v="2015-07-06T00:00:00"/>
    <m/>
    <m/>
    <m/>
    <m/>
    <m/>
    <m/>
    <x v="550"/>
    <m/>
    <n v="26.27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109000000000002"/>
    <d v="2015-07-15T00:00:00"/>
    <m/>
    <m/>
    <m/>
    <m/>
    <n v="50.834686279296875"/>
    <d v="2015-07-15T00:00:00"/>
    <n v="17.987720489501953"/>
    <d v="2015-07-15T00:00:00"/>
    <n v="15.224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015"/>
    <s v="Gorczanski"/>
    <x v="0"/>
    <x v="2"/>
    <n v="3"/>
    <m/>
    <m/>
    <n v="1"/>
    <n v="2"/>
    <m/>
    <m/>
    <n v="7"/>
    <m/>
    <n v="4.6900000000000004"/>
    <d v="2015-07-06T00:00:00"/>
    <m/>
    <m/>
    <m/>
    <m/>
    <m/>
    <d v="2015-07-15T00:00:00"/>
    <n v="18.5"/>
    <d v="2015-07-06T00:00:00"/>
    <m/>
    <m/>
    <m/>
    <m/>
    <m/>
    <m/>
    <x v="551"/>
    <m/>
    <n v="26.27"/>
    <d v="2015-07-06T00:00:00"/>
    <m/>
    <m/>
    <n v="150"/>
    <m/>
    <m/>
    <m/>
    <n v="95"/>
    <m/>
    <m/>
    <m/>
    <m/>
    <m/>
    <m/>
    <m/>
    <m/>
    <m/>
    <m/>
    <m/>
    <m/>
    <m/>
    <n v="1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n v="7.5"/>
    <d v="2015-07-06T00:00:00"/>
    <m/>
    <m/>
    <m/>
    <m/>
    <m/>
    <m/>
    <m/>
    <n v="7"/>
    <d v="2015-06-25T00:00:00"/>
    <s v="VALIDE"/>
  </r>
  <r>
    <s v="RAPSO_220"/>
    <s v="Liberator"/>
    <x v="0"/>
    <x v="2"/>
    <n v="79"/>
    <n v="4"/>
    <n v="12"/>
    <m/>
    <m/>
    <m/>
    <m/>
    <n v="9"/>
    <m/>
    <n v="4.6500000000000004"/>
    <d v="2015-07-06T00:00:00"/>
    <m/>
    <m/>
    <m/>
    <m/>
    <n v="13.08"/>
    <d v="2015-07-15T00:00:00"/>
    <n v="18.5"/>
    <d v="2015-07-06T00:00:00"/>
    <m/>
    <m/>
    <m/>
    <m/>
    <m/>
    <m/>
    <x v="552"/>
    <m/>
    <n v="26.27"/>
    <d v="2015-07-06T00:00:00"/>
    <m/>
    <m/>
    <n v="15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3.978000000000002"/>
    <d v="2015-07-15T00:00:00"/>
    <m/>
    <m/>
    <m/>
    <m/>
    <n v="49.803497314453125"/>
    <d v="2015-07-15T00:00:00"/>
    <n v="17.915151596069336"/>
    <d v="2015-07-15T00:00:00"/>
    <n v="20.437999999999999"/>
    <d v="2015-07-15T00:00:00"/>
    <m/>
    <m/>
    <m/>
    <m/>
    <n v="6.7"/>
    <d v="2015-07-06T00:00:00"/>
    <m/>
    <m/>
    <m/>
    <m/>
    <m/>
    <m/>
    <m/>
    <n v="3"/>
    <d v="2015-06-25T00:00:00"/>
    <s v="VALIDE"/>
  </r>
  <r>
    <s v="RAPSO_480"/>
    <s v="SYNG12"/>
    <x v="1"/>
    <x v="3"/>
    <n v="180"/>
    <n v="24"/>
    <n v="12"/>
    <m/>
    <m/>
    <m/>
    <m/>
    <n v="9"/>
    <m/>
    <n v="4.7300000000000004"/>
    <d v="2015-07-06T00:00:00"/>
    <m/>
    <m/>
    <m/>
    <m/>
    <n v="13.43"/>
    <d v="2015-07-15T00:00:00"/>
    <n v="18.5"/>
    <d v="2015-07-06T00:00:00"/>
    <m/>
    <m/>
    <m/>
    <m/>
    <m/>
    <m/>
    <x v="553"/>
    <m/>
    <n v="26.32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066000000000003"/>
    <d v="2015-07-15T00:00:00"/>
    <m/>
    <m/>
    <m/>
    <m/>
    <n v="51.038436889648438"/>
    <d v="2015-07-15T00:00:00"/>
    <n v="15.780513763427734"/>
    <d v="2015-07-15T00:00:00"/>
    <n v="17.309000000000001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216"/>
    <s v="Kosto"/>
    <x v="0"/>
    <x v="2"/>
    <n v="77"/>
    <n v="3"/>
    <n v="6"/>
    <m/>
    <m/>
    <m/>
    <m/>
    <n v="6"/>
    <m/>
    <n v="4.68"/>
    <d v="2015-07-06T00:00:00"/>
    <m/>
    <m/>
    <m/>
    <m/>
    <n v="13.87"/>
    <d v="2015-07-15T00:00:00"/>
    <n v="18.5"/>
    <d v="2015-07-06T00:00:00"/>
    <m/>
    <m/>
    <m/>
    <m/>
    <m/>
    <m/>
    <x v="554"/>
    <m/>
    <n v="25.825482625482625"/>
    <d v="2015-07-06T00:00:00"/>
    <m/>
    <m/>
    <n v="15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3.542000000000002"/>
    <d v="2015-07-15T00:00:00"/>
    <m/>
    <m/>
    <m/>
    <m/>
    <n v="52.690200805664063"/>
    <d v="2015-07-15T00:00:00"/>
    <n v="15.172122955322266"/>
    <d v="2015-07-15T00:00:00"/>
    <n v="11.73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033"/>
    <s v="Moldavia"/>
    <x v="0"/>
    <x v="2"/>
    <n v="10"/>
    <n v="3"/>
    <n v="13"/>
    <m/>
    <m/>
    <m/>
    <m/>
    <n v="8"/>
    <m/>
    <n v="4.67"/>
    <d v="2015-07-06T00:00:00"/>
    <m/>
    <m/>
    <m/>
    <m/>
    <n v="13.23"/>
    <d v="2015-07-15T00:00:00"/>
    <n v="18.5"/>
    <d v="2015-07-06T00:00:00"/>
    <m/>
    <m/>
    <m/>
    <m/>
    <m/>
    <m/>
    <x v="555"/>
    <m/>
    <n v="25.825779625779621"/>
    <d v="2015-07-06T00:00:00"/>
    <m/>
    <m/>
    <n v="140"/>
    <m/>
    <m/>
    <m/>
    <n v="96"/>
    <m/>
    <m/>
    <m/>
    <m/>
    <m/>
    <m/>
    <m/>
    <m/>
    <m/>
    <m/>
    <m/>
    <m/>
    <m/>
    <n v="5"/>
    <m/>
    <m/>
    <m/>
    <m/>
    <m/>
    <m/>
    <m/>
    <m/>
    <m/>
    <m/>
    <m/>
    <n v="62.606000000000002"/>
    <d v="2015-07-15T00:00:00"/>
    <m/>
    <m/>
    <m/>
    <m/>
    <n v="50.234375"/>
    <d v="2015-07-15T00:00:00"/>
    <n v="19.224058151245117"/>
    <d v="2015-07-15T00:00:00"/>
    <n v="60.798999999999999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99"/>
    <s v="ESC1132"/>
    <x v="1"/>
    <x v="3"/>
    <n v="136"/>
    <n v="20"/>
    <n v="1"/>
    <m/>
    <m/>
    <m/>
    <m/>
    <n v="8"/>
    <m/>
    <n v="4.79"/>
    <d v="2015-07-06T00:00:00"/>
    <m/>
    <m/>
    <m/>
    <m/>
    <n v="13.4"/>
    <d v="2015-07-15T00:00:00"/>
    <n v="18.5"/>
    <d v="2015-07-06T00:00:00"/>
    <m/>
    <m/>
    <m/>
    <m/>
    <m/>
    <m/>
    <x v="556"/>
    <m/>
    <n v="25.863439263439268"/>
    <d v="2015-07-06T00:00:00"/>
    <m/>
    <m/>
    <n v="10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6.284000000000006"/>
    <d v="2015-07-15T00:00:00"/>
    <m/>
    <m/>
    <m/>
    <m/>
    <n v="50.797523498535156"/>
    <d v="2015-07-15T00:00:00"/>
    <n v="16.509456634521484"/>
    <d v="2015-07-15T00:00:00"/>
    <n v="18.731999999999999"/>
    <d v="2015-07-15T00:00:00"/>
    <m/>
    <m/>
    <m/>
    <m/>
    <n v="9.1"/>
    <d v="2015-07-06T00:00:00"/>
    <m/>
    <m/>
    <m/>
    <m/>
    <m/>
    <m/>
    <m/>
    <n v="1"/>
    <d v="2015-06-25T00:00:00"/>
    <s v="VALIDE"/>
  </r>
  <r>
    <s v="RAPSO_256"/>
    <s v="Pollen"/>
    <x v="0"/>
    <x v="2"/>
    <n v="96"/>
    <n v="5"/>
    <n v="10"/>
    <m/>
    <m/>
    <m/>
    <m/>
    <n v="8"/>
    <m/>
    <n v="4.6900000000000004"/>
    <d v="2015-07-06T00:00:00"/>
    <m/>
    <m/>
    <m/>
    <m/>
    <n v="13.62"/>
    <d v="2015-07-15T00:00:00"/>
    <n v="18.5"/>
    <d v="2015-07-06T00:00:00"/>
    <m/>
    <m/>
    <m/>
    <m/>
    <m/>
    <m/>
    <x v="133"/>
    <m/>
    <n v="25.880665280665287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900999999999996"/>
    <d v="2015-07-15T00:00:00"/>
    <m/>
    <m/>
    <m/>
    <m/>
    <n v="51.615032196044922"/>
    <d v="2015-07-15T00:00:00"/>
    <n v="15.764096260070801"/>
    <d v="2015-07-15T00:00:00"/>
    <n v="18.419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29"/>
    <s v="SYN05"/>
    <x v="1"/>
    <x v="1"/>
    <n v="166"/>
    <n v="17"/>
    <n v="27"/>
    <m/>
    <m/>
    <m/>
    <m/>
    <n v="3"/>
    <m/>
    <n v="4.7"/>
    <d v="2015-07-06T00:00:00"/>
    <m/>
    <m/>
    <m/>
    <m/>
    <n v="13.17"/>
    <d v="2015-07-15T00:00:00"/>
    <n v="18.5"/>
    <d v="2015-07-06T00:00:00"/>
    <m/>
    <m/>
    <m/>
    <m/>
    <m/>
    <m/>
    <x v="557"/>
    <m/>
    <n v="26.41"/>
    <d v="2015-07-06T00:00:00"/>
    <m/>
    <m/>
    <n v="11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6.299000000000007"/>
    <d v="2015-07-15T00:00:00"/>
    <m/>
    <m/>
    <m/>
    <m/>
    <n v="49.875732421875"/>
    <d v="2015-07-15T00:00:00"/>
    <n v="17.853839874267578"/>
    <d v="2015-07-15T00:00:00"/>
    <n v="13.9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315"/>
    <s v="RAGT-01"/>
    <x v="1"/>
    <x v="1"/>
    <n v="152"/>
    <n v="15"/>
    <n v="16"/>
    <m/>
    <m/>
    <m/>
    <m/>
    <n v="7"/>
    <m/>
    <n v="4.7300000000000004"/>
    <d v="2015-07-06T00:00:00"/>
    <m/>
    <m/>
    <m/>
    <m/>
    <n v="13.13"/>
    <d v="2015-07-15T00:00:00"/>
    <n v="18.5"/>
    <d v="2015-07-06T00:00:00"/>
    <m/>
    <m/>
    <m/>
    <m/>
    <m/>
    <m/>
    <x v="558"/>
    <m/>
    <n v="26.44"/>
    <d v="2015-07-06T00:00:00"/>
    <m/>
    <m/>
    <n v="9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013999999999996"/>
    <d v="2015-07-15T00:00:00"/>
    <m/>
    <m/>
    <m/>
    <m/>
    <n v="49.648780822753906"/>
    <d v="2015-07-15T00:00:00"/>
    <n v="18.409696578979492"/>
    <d v="2015-07-15T00:00:00"/>
    <n v="18.361999999999998"/>
    <d v="2015-07-15T00:00:00"/>
    <m/>
    <m/>
    <m/>
    <m/>
    <n v="7.7"/>
    <d v="2015-07-06T00:00:00"/>
    <m/>
    <m/>
    <m/>
    <m/>
    <m/>
    <m/>
    <m/>
    <n v="5"/>
    <d v="2015-06-25T00:00:00"/>
    <s v="VALIDE"/>
  </r>
  <r>
    <s v="RAPSO_329"/>
    <s v="SYN05"/>
    <x v="1"/>
    <x v="3"/>
    <n v="166"/>
    <n v="24"/>
    <n v="14"/>
    <m/>
    <m/>
    <m/>
    <m/>
    <n v="9"/>
    <m/>
    <n v="4.72"/>
    <d v="2015-07-06T00:00:00"/>
    <m/>
    <m/>
    <m/>
    <m/>
    <n v="13.33"/>
    <d v="2015-07-15T00:00:00"/>
    <n v="18.5"/>
    <d v="2015-07-06T00:00:00"/>
    <m/>
    <m/>
    <m/>
    <m/>
    <m/>
    <m/>
    <x v="559"/>
    <m/>
    <n v="26.5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674999999999997"/>
    <d v="2015-07-15T00:00:00"/>
    <m/>
    <m/>
    <m/>
    <m/>
    <n v="50.286590576171875"/>
    <d v="2015-07-15T00:00:00"/>
    <n v="17.813728332519531"/>
    <d v="2015-07-15T00:00:00"/>
    <n v="12.442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20"/>
    <s v="RAGT-06"/>
    <x v="1"/>
    <x v="1"/>
    <n v="157"/>
    <n v="18"/>
    <n v="18"/>
    <m/>
    <m/>
    <m/>
    <m/>
    <n v="6"/>
    <m/>
    <n v="4.7300000000000004"/>
    <d v="2015-07-06T00:00:00"/>
    <m/>
    <m/>
    <m/>
    <m/>
    <n v="13.46"/>
    <d v="2015-07-15T00:00:00"/>
    <n v="18.5"/>
    <d v="2015-07-06T00:00:00"/>
    <m/>
    <m/>
    <m/>
    <m/>
    <m/>
    <m/>
    <x v="560"/>
    <m/>
    <n v="26.52"/>
    <d v="2015-07-06T00:00:00"/>
    <m/>
    <m/>
    <n v="12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76999999999998"/>
    <d v="2015-07-15T00:00:00"/>
    <m/>
    <m/>
    <m/>
    <m/>
    <n v="50.746131896972656"/>
    <d v="2015-07-15T00:00:00"/>
    <n v="18.557140350341797"/>
    <d v="2015-07-15T00:00:00"/>
    <n v="16.908999999999999"/>
    <d v="2015-07-15T00:00:00"/>
    <m/>
    <m/>
    <m/>
    <m/>
    <n v="7.4"/>
    <d v="2015-07-06T00:00:00"/>
    <m/>
    <m/>
    <m/>
    <m/>
    <m/>
    <m/>
    <m/>
    <n v="3"/>
    <d v="2015-06-25T00:00:00"/>
    <s v="VALIDE"/>
  </r>
  <r>
    <s v="RAPSO_308"/>
    <s v="LADOGA "/>
    <x v="1"/>
    <x v="3"/>
    <n v="145"/>
    <n v="22"/>
    <n v="8"/>
    <m/>
    <m/>
    <m/>
    <m/>
    <n v="8"/>
    <m/>
    <n v="4.8099999999999996"/>
    <d v="2015-07-06T00:00:00"/>
    <m/>
    <m/>
    <m/>
    <m/>
    <n v="13.81"/>
    <d v="2015-07-15T00:00:00"/>
    <n v="18.5"/>
    <d v="2015-07-06T00:00:00"/>
    <m/>
    <m/>
    <m/>
    <m/>
    <m/>
    <m/>
    <x v="561"/>
    <m/>
    <n v="26.057142857142853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552999999999997"/>
    <d v="2015-07-15T00:00:00"/>
    <m/>
    <m/>
    <m/>
    <m/>
    <n v="52.003501892089844"/>
    <d v="2015-07-15T00:00:00"/>
    <n v="15.583268165588379"/>
    <d v="2015-07-15T00:00:00"/>
    <n v="15.157999999999999"/>
    <d v="2015-07-15T00:00:00"/>
    <m/>
    <m/>
    <m/>
    <m/>
    <n v="8.8000000000000007"/>
    <d v="2015-07-06T00:00:00"/>
    <m/>
    <m/>
    <m/>
    <m/>
    <m/>
    <m/>
    <m/>
    <n v="1"/>
    <d v="2015-06-25T00:00:00"/>
    <s v="VALIDE"/>
  </r>
  <r>
    <s v="RAPSO_148"/>
    <s v="Boston"/>
    <x v="1"/>
    <x v="3"/>
    <n v="49"/>
    <n v="23"/>
    <n v="20"/>
    <m/>
    <m/>
    <m/>
    <m/>
    <n v="6"/>
    <m/>
    <n v="4.74"/>
    <d v="2015-07-06T00:00:00"/>
    <m/>
    <m/>
    <m/>
    <m/>
    <n v="13.19"/>
    <d v="2015-07-15T00:00:00"/>
    <n v="18.5"/>
    <d v="2015-07-06T00:00:00"/>
    <m/>
    <m/>
    <m/>
    <m/>
    <m/>
    <m/>
    <x v="562"/>
    <m/>
    <n v="26.58"/>
    <d v="2015-07-06T00:00:00"/>
    <m/>
    <m/>
    <n v="13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909000000000006"/>
    <d v="2015-07-15T00:00:00"/>
    <m/>
    <m/>
    <m/>
    <m/>
    <n v="49.613273620605469"/>
    <d v="2015-07-15T00:00:00"/>
    <n v="18.174800872802734"/>
    <d v="2015-07-15T00:00:00"/>
    <n v="16.831"/>
    <d v="2015-07-15T00:00:00"/>
    <m/>
    <m/>
    <m/>
    <m/>
    <n v="7.4"/>
    <d v="2015-07-06T00:00:00"/>
    <m/>
    <m/>
    <m/>
    <m/>
    <m/>
    <m/>
    <m/>
    <n v="5"/>
    <d v="2015-06-25T00:00:00"/>
    <s v="VALIDE"/>
  </r>
  <r>
    <s v="BRA_006"/>
    <s v="Bristol"/>
    <x v="1"/>
    <x v="1"/>
    <n v="124"/>
    <n v="18"/>
    <n v="11"/>
    <m/>
    <m/>
    <m/>
    <m/>
    <n v="9"/>
    <m/>
    <n v="4.78"/>
    <d v="2015-07-06T00:00:00"/>
    <m/>
    <m/>
    <m/>
    <m/>
    <n v="13.79"/>
    <d v="2015-07-15T00:00:00"/>
    <n v="18.5"/>
    <d v="2015-07-06T00:00:00"/>
    <m/>
    <m/>
    <m/>
    <m/>
    <m/>
    <m/>
    <x v="563"/>
    <m/>
    <n v="26.63"/>
    <d v="2015-07-06T00:00:00"/>
    <m/>
    <m/>
    <n v="100"/>
    <m/>
    <m/>
    <m/>
    <n v="101"/>
    <m/>
    <m/>
    <m/>
    <m/>
    <m/>
    <m/>
    <m/>
    <m/>
    <m/>
    <m/>
    <m/>
    <m/>
    <m/>
    <n v="3"/>
    <m/>
    <m/>
    <m/>
    <m/>
    <m/>
    <m/>
    <m/>
    <m/>
    <m/>
    <m/>
    <m/>
    <n v="64.790000000000006"/>
    <d v="2015-07-15T00:00:00"/>
    <m/>
    <m/>
    <m/>
    <m/>
    <n v="51.77423095703125"/>
    <d v="2015-07-15T00:00:00"/>
    <n v="17.170204162597656"/>
    <d v="2015-07-15T00:00:00"/>
    <n v="19.027000000000001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304"/>
    <s v="ADRIANA"/>
    <x v="1"/>
    <x v="1"/>
    <n v="141"/>
    <n v="13"/>
    <n v="31"/>
    <m/>
    <m/>
    <m/>
    <m/>
    <n v="3"/>
    <m/>
    <n v="4.76"/>
    <d v="2015-07-06T00:00:00"/>
    <m/>
    <m/>
    <m/>
    <m/>
    <n v="13.73"/>
    <d v="2015-07-15T00:00:00"/>
    <n v="18.5"/>
    <d v="2015-07-06T00:00:00"/>
    <m/>
    <m/>
    <m/>
    <m/>
    <m/>
    <m/>
    <x v="564"/>
    <m/>
    <n v="26.63"/>
    <d v="2015-07-06T00:00:00"/>
    <m/>
    <m/>
    <n v="120"/>
    <m/>
    <m/>
    <m/>
    <n v="104"/>
    <m/>
    <m/>
    <m/>
    <m/>
    <m/>
    <m/>
    <m/>
    <m/>
    <m/>
    <m/>
    <m/>
    <m/>
    <m/>
    <n v="5"/>
    <m/>
    <m/>
    <m/>
    <m/>
    <m/>
    <m/>
    <m/>
    <m/>
    <m/>
    <m/>
    <m/>
    <n v="68.906000000000006"/>
    <d v="2015-07-15T00:00:00"/>
    <m/>
    <m/>
    <m/>
    <m/>
    <n v="51.567134857177734"/>
    <d v="2015-07-15T00:00:00"/>
    <n v="16.178611755371094"/>
    <d v="2015-07-15T00:00:00"/>
    <n v="15.917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112"/>
    <s v="Primor"/>
    <x v="0"/>
    <x v="2"/>
    <n v="11"/>
    <m/>
    <m/>
    <n v="5"/>
    <n v="3"/>
    <m/>
    <m/>
    <n v="9"/>
    <m/>
    <n v="4.78"/>
    <d v="2015-07-06T00:00:00"/>
    <m/>
    <m/>
    <m/>
    <m/>
    <n v="13.18"/>
    <d v="2015-07-15T00:00:00"/>
    <n v="18.5"/>
    <d v="2015-07-06T00:00:00"/>
    <m/>
    <m/>
    <m/>
    <m/>
    <m/>
    <m/>
    <x v="565"/>
    <m/>
    <n v="26.66"/>
    <d v="2015-07-06T00:00:00"/>
    <m/>
    <m/>
    <n v="15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954999999999998"/>
    <d v="2015-07-15T00:00:00"/>
    <m/>
    <m/>
    <m/>
    <m/>
    <n v="49.44"/>
    <d v="2015-07-15T00:00:00"/>
    <n v="18.682279586791992"/>
    <d v="2015-07-15T00:00:00"/>
    <n v="61.27"/>
    <d v="2015-07-15T00:00:00"/>
    <m/>
    <m/>
    <m/>
    <m/>
    <n v="7.9"/>
    <d v="2015-07-06T00:00:00"/>
    <m/>
    <m/>
    <m/>
    <m/>
    <m/>
    <m/>
    <m/>
    <n v="7"/>
    <d v="2015-06-25T00:00:00"/>
    <s v="VALIDE"/>
  </r>
  <r>
    <s v="Alpaga"/>
    <s v="Alpaga"/>
    <x v="1"/>
    <x v="1"/>
    <n v="190"/>
    <n v="14"/>
    <n v="16"/>
    <m/>
    <m/>
    <m/>
    <m/>
    <n v="5"/>
    <m/>
    <n v="4.75"/>
    <d v="2015-07-06T00:00:00"/>
    <m/>
    <m/>
    <m/>
    <m/>
    <n v="13.68"/>
    <d v="2015-07-15T00:00:00"/>
    <n v="18.5"/>
    <d v="2015-07-06T00:00:00"/>
    <m/>
    <m/>
    <m/>
    <m/>
    <m/>
    <m/>
    <x v="566"/>
    <m/>
    <n v="26.69"/>
    <d v="2015-07-06T00:00:00"/>
    <m/>
    <m/>
    <n v="11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941000000000003"/>
    <d v="2015-07-15T00:00:00"/>
    <m/>
    <m/>
    <m/>
    <m/>
    <n v="51.245033264160156"/>
    <d v="2015-07-15T00:00:00"/>
    <n v="17.437644958496094"/>
    <d v="2015-07-15T00:00:00"/>
    <n v="22.585999999999999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158"/>
    <s v="Capitol"/>
    <x v="1"/>
    <x v="3"/>
    <n v="53"/>
    <n v="23"/>
    <n v="31"/>
    <m/>
    <m/>
    <m/>
    <m/>
    <n v="5"/>
    <m/>
    <n v="4.7699999999999996"/>
    <d v="2015-07-06T00:00:00"/>
    <m/>
    <m/>
    <m/>
    <m/>
    <n v="13.58"/>
    <d v="2015-07-15T00:00:00"/>
    <n v="18.5"/>
    <d v="2015-07-06T00:00:00"/>
    <m/>
    <m/>
    <m/>
    <m/>
    <m/>
    <m/>
    <x v="567"/>
    <m/>
    <n v="26.208791208791208"/>
    <d v="2015-07-06T00:00:00"/>
    <m/>
    <m/>
    <n v="11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182000000000002"/>
    <d v="2015-07-15T00:00:00"/>
    <m/>
    <m/>
    <m/>
    <m/>
    <n v="50.806228637695313"/>
    <d v="2015-07-15T00:00:00"/>
    <n v="16.857542037963867"/>
    <d v="2015-07-15T00:00:00"/>
    <n v="19.091999999999999"/>
    <d v="2015-07-15T00:00:00"/>
    <m/>
    <m/>
    <m/>
    <m/>
    <n v="7.5"/>
    <d v="2015-07-06T00:00:00"/>
    <m/>
    <m/>
    <m/>
    <m/>
    <m/>
    <m/>
    <m/>
    <n v="1"/>
    <d v="2015-06-25T00:00:00"/>
    <s v="VALIDE"/>
  </r>
  <r>
    <s v="Aviso"/>
    <s v="Aviso"/>
    <x v="1"/>
    <x v="3"/>
    <n v="24"/>
    <m/>
    <m/>
    <n v="24"/>
    <n v="3"/>
    <m/>
    <m/>
    <n v="8"/>
    <m/>
    <n v="4.8600000000000003"/>
    <d v="2015-07-06T00:00:00"/>
    <m/>
    <m/>
    <m/>
    <m/>
    <n v="13.57"/>
    <d v="2015-07-15T00:00:00"/>
    <n v="18.5"/>
    <d v="2015-07-06T00:00:00"/>
    <m/>
    <m/>
    <m/>
    <m/>
    <m/>
    <m/>
    <x v="568"/>
    <m/>
    <n v="26.81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183999999999997"/>
    <d v="2015-07-15T00:00:00"/>
    <m/>
    <m/>
    <m/>
    <m/>
    <n v="50.61"/>
    <d v="2015-07-15T00:00:00"/>
    <n v="18.23414421081543"/>
    <d v="2015-07-15T00:00:00"/>
    <n v="18.547999999999998"/>
    <d v="2015-07-15T00:00:00"/>
    <m/>
    <m/>
    <m/>
    <m/>
    <n v="8.9"/>
    <d v="2015-07-06T00:00:00"/>
    <m/>
    <m/>
    <m/>
    <m/>
    <m/>
    <m/>
    <m/>
    <n v="7"/>
    <d v="2015-06-25T00:00:00"/>
    <s v="VALIDE"/>
  </r>
  <r>
    <s v="Aviso"/>
    <s v="Aviso"/>
    <x v="1"/>
    <x v="1"/>
    <n v="183"/>
    <n v="18"/>
    <n v="6"/>
    <m/>
    <m/>
    <m/>
    <m/>
    <n v="9"/>
    <m/>
    <n v="4.84"/>
    <d v="2015-07-06T00:00:00"/>
    <m/>
    <m/>
    <m/>
    <m/>
    <n v="13.47"/>
    <d v="2015-07-15T00:00:00"/>
    <n v="18.5"/>
    <d v="2015-07-06T00:00:00"/>
    <m/>
    <m/>
    <m/>
    <m/>
    <m/>
    <m/>
    <x v="569"/>
    <m/>
    <n v="26.82"/>
    <d v="2015-07-06T00:00:00"/>
    <m/>
    <m/>
    <n v="11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2.27"/>
    <d v="2015-07-15T00:00:00"/>
    <m/>
    <m/>
    <m/>
    <m/>
    <n v="50.223419189453125"/>
    <d v="2015-07-15T00:00:00"/>
    <n v="18.178371429443359"/>
    <d v="2015-07-15T00:00:00"/>
    <n v="25.077999999999999"/>
    <d v="2015-07-15T00:00:00"/>
    <m/>
    <m/>
    <m/>
    <m/>
    <n v="8.5"/>
    <d v="2015-07-06T00:00:00"/>
    <m/>
    <m/>
    <m/>
    <m/>
    <m/>
    <m/>
    <m/>
    <n v="1"/>
    <d v="2015-06-25T00:00:00"/>
    <s v="VALIDE"/>
  </r>
  <r>
    <s v="RAPSO_356"/>
    <s v="Regal2-DS1"/>
    <x v="1"/>
    <x v="1"/>
    <n v="115"/>
    <n v="15"/>
    <n v="31"/>
    <m/>
    <m/>
    <m/>
    <m/>
    <n v="9"/>
    <m/>
    <n v="4.74"/>
    <d v="2015-07-06T00:00:00"/>
    <m/>
    <m/>
    <m/>
    <m/>
    <n v="13.64"/>
    <d v="2015-07-15T00:00:00"/>
    <n v="18.5"/>
    <d v="2015-07-06T00:00:00"/>
    <m/>
    <m/>
    <m/>
    <m/>
    <m/>
    <m/>
    <x v="570"/>
    <m/>
    <n v="26.84"/>
    <d v="2015-07-06T00:00:00"/>
    <m/>
    <m/>
    <n v="125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7.123999999999995"/>
    <d v="2015-07-15T00:00:00"/>
    <m/>
    <m/>
    <m/>
    <m/>
    <n v="50.826614379882813"/>
    <d v="2015-07-15T00:00:00"/>
    <n v="19.392024993896484"/>
    <d v="2015-07-15T00:00:00"/>
    <n v="56.999000000000002"/>
    <d v="2015-07-15T00:00:00"/>
    <m/>
    <m/>
    <m/>
    <m/>
    <n v="6.5"/>
    <d v="2015-07-06T00:00:00"/>
    <m/>
    <m/>
    <m/>
    <m/>
    <m/>
    <m/>
    <m/>
    <n v="5"/>
    <d v="2015-06-25T00:00:00"/>
    <s v="VALIDE"/>
  </r>
  <r>
    <s v="RAPSO_099"/>
    <s v="Kurander"/>
    <x v="0"/>
    <x v="2"/>
    <n v="33"/>
    <n v="4"/>
    <n v="30"/>
    <m/>
    <m/>
    <m/>
    <m/>
    <n v="9"/>
    <m/>
    <n v="4.76"/>
    <d v="2015-07-06T00:00:00"/>
    <m/>
    <m/>
    <m/>
    <m/>
    <n v="12.86"/>
    <d v="2015-07-15T00:00:00"/>
    <n v="18.5"/>
    <d v="2015-07-06T00:00:00"/>
    <m/>
    <m/>
    <m/>
    <m/>
    <m/>
    <m/>
    <x v="571"/>
    <m/>
    <n v="26.86"/>
    <d v="2015-07-06T00:00:00"/>
    <m/>
    <m/>
    <n v="17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3.475999999999999"/>
    <d v="2015-07-15T00:00:00"/>
    <m/>
    <m/>
    <m/>
    <m/>
    <n v="47.880771636962891"/>
    <d v="2015-07-15T00:00:00"/>
    <n v="18.432949066162109"/>
    <d v="2015-07-15T00:00:00"/>
    <n v="54.85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135"/>
    <s v="Amber"/>
    <x v="0"/>
    <x v="2"/>
    <n v="43"/>
    <n v="6"/>
    <n v="25"/>
    <m/>
    <m/>
    <m/>
    <m/>
    <n v="3"/>
    <m/>
    <n v="4.74"/>
    <d v="2015-07-06T00:00:00"/>
    <m/>
    <m/>
    <m/>
    <m/>
    <n v="13.37"/>
    <d v="2015-07-15T00:00:00"/>
    <n v="18.5"/>
    <d v="2015-07-06T00:00:00"/>
    <m/>
    <m/>
    <m/>
    <m/>
    <m/>
    <m/>
    <x v="572"/>
    <m/>
    <n v="26.87"/>
    <d v="2015-07-06T00:00:00"/>
    <m/>
    <m/>
    <n v="12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2.64"/>
    <d v="2015-07-15T00:00:00"/>
    <m/>
    <m/>
    <m/>
    <m/>
    <n v="49.764781951904297"/>
    <d v="2015-07-15T00:00:00"/>
    <n v="17.371408462524414"/>
    <d v="2015-07-15T00:00:00"/>
    <n v="17.716000000000001"/>
    <d v="2015-07-15T00:00:00"/>
    <m/>
    <m/>
    <m/>
    <m/>
    <n v="6.4"/>
    <d v="2015-07-06T00:00:00"/>
    <m/>
    <m/>
    <m/>
    <m/>
    <m/>
    <m/>
    <m/>
    <n v="3"/>
    <d v="2015-06-25T00:00:00"/>
    <s v="VALIDE"/>
  </r>
  <r>
    <s v="RAPSO_156"/>
    <s v="Cancan"/>
    <x v="1"/>
    <x v="3"/>
    <n v="52"/>
    <n v="24"/>
    <n v="4"/>
    <m/>
    <m/>
    <m/>
    <m/>
    <n v="8"/>
    <m/>
    <n v="4.84"/>
    <d v="2015-07-06T00:00:00"/>
    <m/>
    <m/>
    <m/>
    <m/>
    <n v="13.92"/>
    <d v="2015-07-15T00:00:00"/>
    <n v="18.5"/>
    <d v="2015-07-06T00:00:00"/>
    <m/>
    <m/>
    <m/>
    <m/>
    <m/>
    <m/>
    <x v="573"/>
    <m/>
    <n v="26.363409563409565"/>
    <d v="2015-07-06T00:00:00"/>
    <m/>
    <m/>
    <n v="12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2.478000000000002"/>
    <d v="2015-07-15T00:00:00"/>
    <m/>
    <m/>
    <m/>
    <m/>
    <n v="51.770130157470703"/>
    <d v="2015-07-15T00:00:00"/>
    <n v="16.224979400634766"/>
    <d v="2015-07-15T00:00:00"/>
    <n v="14.496"/>
    <d v="2015-07-15T00:00:00"/>
    <m/>
    <m/>
    <m/>
    <m/>
    <n v="8.3000000000000007"/>
    <d v="2015-07-06T00:00:00"/>
    <m/>
    <m/>
    <m/>
    <m/>
    <m/>
    <m/>
    <m/>
    <n v="1"/>
    <d v="2015-06-25T00:00:00"/>
    <s v="VALIDE"/>
  </r>
  <r>
    <s v="RAPSO_234"/>
    <s v="Makila"/>
    <x v="1"/>
    <x v="3"/>
    <n v="86"/>
    <n v="21"/>
    <n v="17"/>
    <m/>
    <m/>
    <m/>
    <m/>
    <n v="8"/>
    <m/>
    <n v="4.8"/>
    <d v="2015-07-06T00:00:00"/>
    <m/>
    <m/>
    <m/>
    <m/>
    <n v="13.64"/>
    <d v="2015-07-15T00:00:00"/>
    <n v="18.5"/>
    <d v="2015-07-06T00:00:00"/>
    <m/>
    <m/>
    <m/>
    <m/>
    <m/>
    <m/>
    <x v="574"/>
    <m/>
    <n v="26.373626373626376"/>
    <d v="2015-07-06T00:00:00"/>
    <m/>
    <m/>
    <n v="115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3.585999999999999"/>
    <d v="2015-07-15T00:00:00"/>
    <m/>
    <m/>
    <m/>
    <m/>
    <n v="50.723663330078125"/>
    <d v="2015-07-15T00:00:00"/>
    <n v="17.202957153320312"/>
    <d v="2015-07-15T00:00:00"/>
    <n v="18.984999999999999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023"/>
    <s v="Lembke"/>
    <x v="0"/>
    <x v="2"/>
    <n v="6"/>
    <n v="5"/>
    <n v="27"/>
    <m/>
    <m/>
    <m/>
    <m/>
    <n v="9"/>
    <m/>
    <n v="4.7699999999999996"/>
    <d v="2015-07-06T00:00:00"/>
    <m/>
    <m/>
    <m/>
    <m/>
    <n v="13.21"/>
    <d v="2015-07-15T00:00:00"/>
    <n v="18.5"/>
    <d v="2015-07-06T00:00:00"/>
    <m/>
    <m/>
    <m/>
    <m/>
    <m/>
    <m/>
    <x v="575"/>
    <m/>
    <n v="26.92"/>
    <d v="2015-07-06T00:00:00"/>
    <m/>
    <m/>
    <n v="16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5.793999999999997"/>
    <d v="2015-07-15T00:00:00"/>
    <m/>
    <m/>
    <m/>
    <m/>
    <n v="49.068984985351562"/>
    <d v="2015-07-15T00:00:00"/>
    <n v="19.460899353027344"/>
    <d v="2015-07-15T00:00:00"/>
    <n v="71.622"/>
    <d v="2015-07-15T00:00:00"/>
    <m/>
    <m/>
    <m/>
    <m/>
    <n v="6.8"/>
    <d v="2015-07-06T00:00:00"/>
    <m/>
    <m/>
    <m/>
    <m/>
    <m/>
    <m/>
    <m/>
    <n v="3"/>
    <d v="2015-06-25T00:00:00"/>
    <s v="VALIDE"/>
  </r>
  <r>
    <s v="RAPSO_302"/>
    <s v="ES-VENUS"/>
    <x v="1"/>
    <x v="1"/>
    <n v="139"/>
    <n v="17"/>
    <n v="13"/>
    <m/>
    <m/>
    <m/>
    <m/>
    <n v="7"/>
    <m/>
    <n v="4.8499999999999996"/>
    <d v="2015-07-06T00:00:00"/>
    <m/>
    <m/>
    <m/>
    <m/>
    <n v="13.54"/>
    <d v="2015-07-15T00:00:00"/>
    <n v="18.5"/>
    <d v="2015-07-06T00:00:00"/>
    <m/>
    <m/>
    <m/>
    <m/>
    <m/>
    <m/>
    <x v="576"/>
    <m/>
    <n v="26.96"/>
    <d v="2015-07-06T00:00:00"/>
    <m/>
    <m/>
    <n v="11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4.72"/>
    <d v="2015-07-15T00:00:00"/>
    <m/>
    <m/>
    <m/>
    <m/>
    <n v="50.220687866210937"/>
    <d v="2015-07-15T00:00:00"/>
    <n v="17.878185272216797"/>
    <d v="2015-07-15T00:00:00"/>
    <n v="18.45"/>
    <d v="2015-07-15T00:00:00"/>
    <m/>
    <m/>
    <m/>
    <m/>
    <n v="8.1999999999999993"/>
    <d v="2015-07-06T00:00:00"/>
    <m/>
    <m/>
    <m/>
    <m/>
    <m/>
    <m/>
    <m/>
    <n v="3"/>
    <d v="2015-06-25T00:00:00"/>
    <s v="VALIDE"/>
  </r>
  <r>
    <s v="RAPSO_068"/>
    <s v="Zeruca"/>
    <x v="1"/>
    <x v="1"/>
    <n v="22"/>
    <n v="17"/>
    <n v="18"/>
    <m/>
    <m/>
    <m/>
    <m/>
    <n v="5"/>
    <m/>
    <n v="4.82"/>
    <d v="2015-07-06T00:00:00"/>
    <m/>
    <m/>
    <m/>
    <m/>
    <n v="13.97"/>
    <d v="2015-07-15T00:00:00"/>
    <n v="18.5"/>
    <d v="2015-07-06T00:00:00"/>
    <m/>
    <m/>
    <m/>
    <m/>
    <m/>
    <m/>
    <x v="577"/>
    <m/>
    <n v="27"/>
    <d v="2015-07-06T00:00:00"/>
    <m/>
    <m/>
    <n v="10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9.054000000000002"/>
    <d v="2015-07-15T00:00:00"/>
    <m/>
    <m/>
    <m/>
    <m/>
    <n v="51.727394104003906"/>
    <d v="2015-07-15T00:00:00"/>
    <n v="18.779882431030273"/>
    <d v="2015-07-15T00:00:00"/>
    <n v="23.515000000000001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278"/>
    <s v="TOR"/>
    <x v="0"/>
    <x v="2"/>
    <n v="109"/>
    <n v="3"/>
    <n v="27"/>
    <m/>
    <m/>
    <m/>
    <m/>
    <n v="7"/>
    <m/>
    <n v="4.8099999999999996"/>
    <d v="2015-07-06T00:00:00"/>
    <m/>
    <m/>
    <m/>
    <m/>
    <n v="13.3"/>
    <d v="2015-07-15T00:00:00"/>
    <n v="18.5"/>
    <d v="2015-07-06T00:00:00"/>
    <m/>
    <m/>
    <m/>
    <m/>
    <m/>
    <m/>
    <x v="140"/>
    <m/>
    <n v="27.03"/>
    <d v="2015-07-06T00:00:00"/>
    <m/>
    <m/>
    <n v="170"/>
    <m/>
    <m/>
    <m/>
    <n v="107"/>
    <m/>
    <m/>
    <m/>
    <m/>
    <m/>
    <m/>
    <m/>
    <m/>
    <m/>
    <m/>
    <m/>
    <m/>
    <m/>
    <n v="5"/>
    <m/>
    <m/>
    <m/>
    <m/>
    <m/>
    <m/>
    <m/>
    <m/>
    <m/>
    <m/>
    <m/>
    <n v="63.218000000000004"/>
    <d v="2015-07-15T00:00:00"/>
    <m/>
    <m/>
    <m/>
    <m/>
    <n v="49.204536437988281"/>
    <d v="2015-07-15T00:00:00"/>
    <n v="18.678434371948242"/>
    <d v="2015-07-15T00:00:00"/>
    <n v="14.252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46"/>
    <s v="NSL 96-25"/>
    <x v="1"/>
    <x v="3"/>
    <n v="91"/>
    <n v="22"/>
    <n v="18"/>
    <m/>
    <m/>
    <m/>
    <m/>
    <n v="5"/>
    <m/>
    <n v="4.83"/>
    <d v="2015-07-06T00:00:00"/>
    <m/>
    <m/>
    <m/>
    <m/>
    <n v="13.01"/>
    <d v="2015-07-15T00:00:00"/>
    <n v="18.5"/>
    <d v="2015-07-06T00:00:00"/>
    <m/>
    <m/>
    <m/>
    <m/>
    <m/>
    <m/>
    <x v="578"/>
    <m/>
    <n v="26.53846153846154"/>
    <d v="2015-07-06T00:00:00"/>
    <m/>
    <m/>
    <n v="13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59.704000000000001"/>
    <d v="2015-07-15T00:00:00"/>
    <m/>
    <m/>
    <m/>
    <m/>
    <n v="48.085456848144531"/>
    <d v="2015-07-15T00:00:00"/>
    <n v="16.020542144775391"/>
    <d v="2015-07-15T00:00:00"/>
    <n v="18.779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158"/>
    <s v="Capitol"/>
    <x v="1"/>
    <x v="1"/>
    <n v="53"/>
    <n v="13"/>
    <n v="11"/>
    <m/>
    <m/>
    <m/>
    <m/>
    <n v="9"/>
    <m/>
    <n v="4.87"/>
    <d v="2015-07-06T00:00:00"/>
    <m/>
    <m/>
    <m/>
    <m/>
    <n v="13.47"/>
    <d v="2015-07-15T00:00:00"/>
    <n v="18.5"/>
    <d v="2015-07-06T00:00:00"/>
    <m/>
    <m/>
    <m/>
    <m/>
    <m/>
    <m/>
    <x v="579"/>
    <m/>
    <n v="26.700386100386101"/>
    <d v="2015-07-06T00:00:00"/>
    <m/>
    <m/>
    <n v="13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1.933"/>
    <d v="2015-07-15T00:00:00"/>
    <m/>
    <m/>
    <m/>
    <m/>
    <n v="49.480583190917969"/>
    <d v="2015-07-15T00:00:00"/>
    <n v="18.062652587890625"/>
    <d v="2015-07-15T00:00:00"/>
    <n v="18.283000000000001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175"/>
    <s v="Courage"/>
    <x v="1"/>
    <x v="3"/>
    <n v="61"/>
    <n v="19"/>
    <n v="25"/>
    <m/>
    <m/>
    <m/>
    <m/>
    <n v="7"/>
    <m/>
    <n v="4.8899999999999997"/>
    <d v="2015-07-06T00:00:00"/>
    <m/>
    <m/>
    <m/>
    <m/>
    <n v="13.91"/>
    <d v="2015-07-15T00:00:00"/>
    <n v="18.5"/>
    <d v="2015-07-06T00:00:00"/>
    <m/>
    <m/>
    <m/>
    <m/>
    <m/>
    <m/>
    <x v="580"/>
    <m/>
    <n v="27.24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886000000000003"/>
    <d v="2015-07-15T00:00:00"/>
    <m/>
    <m/>
    <m/>
    <m/>
    <n v="51.083641052246094"/>
    <d v="2015-07-15T00:00:00"/>
    <n v="17.545494079589844"/>
    <d v="2015-07-15T00:00:00"/>
    <n v="18.295999999999999"/>
    <d v="2015-07-15T00:00:00"/>
    <m/>
    <m/>
    <m/>
    <m/>
    <n v="8"/>
    <d v="2015-07-06T00:00:00"/>
    <m/>
    <m/>
    <m/>
    <m/>
    <m/>
    <m/>
    <m/>
    <n v="5"/>
    <d v="2015-06-25T00:00:00"/>
    <s v="VALIDE"/>
  </r>
  <r>
    <s v="RAPSO_342"/>
    <s v="Madora2-DS3"/>
    <x v="1"/>
    <x v="1"/>
    <n v="113"/>
    <n v="15"/>
    <n v="23"/>
    <m/>
    <m/>
    <m/>
    <m/>
    <n v="8"/>
    <m/>
    <n v="4.8499999999999996"/>
    <d v="2015-07-06T00:00:00"/>
    <m/>
    <m/>
    <m/>
    <m/>
    <n v="13.39"/>
    <d v="2015-07-15T00:00:00"/>
    <n v="18.5"/>
    <d v="2015-07-06T00:00:00"/>
    <m/>
    <m/>
    <m/>
    <m/>
    <m/>
    <m/>
    <x v="581"/>
    <m/>
    <n v="27.28"/>
    <d v="2015-07-06T00:00:00"/>
    <m/>
    <m/>
    <n v="12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1.308"/>
    <d v="2015-07-15T00:00:00"/>
    <m/>
    <m/>
    <m/>
    <m/>
    <n v="49.066162109375"/>
    <d v="2015-07-15T00:00:00"/>
    <n v="18.019233703613281"/>
    <d v="2015-07-15T00:00:00"/>
    <n v="24.099"/>
    <d v="2015-07-15T00:00:00"/>
    <m/>
    <m/>
    <m/>
    <m/>
    <n v="7.1"/>
    <d v="2015-07-06T00:00:00"/>
    <m/>
    <m/>
    <m/>
    <m/>
    <m/>
    <m/>
    <m/>
    <n v="3"/>
    <d v="2015-06-25T00:00:00"/>
    <s v="VALIDE"/>
  </r>
  <r>
    <s v="BRA_009"/>
    <s v="Jupiter"/>
    <x v="1"/>
    <x v="1"/>
    <n v="127"/>
    <n v="15"/>
    <n v="3"/>
    <m/>
    <m/>
    <m/>
    <m/>
    <n v="9"/>
    <m/>
    <n v="4.92"/>
    <d v="2015-07-06T00:00:00"/>
    <m/>
    <m/>
    <m/>
    <m/>
    <n v="13.62"/>
    <d v="2015-07-15T00:00:00"/>
    <n v="18.5"/>
    <d v="2015-07-06T00:00:00"/>
    <m/>
    <m/>
    <m/>
    <m/>
    <m/>
    <m/>
    <x v="582"/>
    <m/>
    <n v="27.38"/>
    <d v="2015-07-06T00:00:00"/>
    <m/>
    <m/>
    <n v="12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4.906999999999996"/>
    <d v="2015-07-15T00:00:00"/>
    <m/>
    <m/>
    <m/>
    <m/>
    <n v="49.757961273193359"/>
    <d v="2015-07-15T00:00:00"/>
    <n v="18.399070739746094"/>
    <d v="2015-07-15T00:00:00"/>
    <n v="57.506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128"/>
    <s v="Adriana"/>
    <x v="1"/>
    <x v="1"/>
    <n v="39"/>
    <n v="14"/>
    <n v="7"/>
    <m/>
    <m/>
    <m/>
    <m/>
    <n v="8"/>
    <m/>
    <n v="4.92"/>
    <d v="2015-07-06T00:00:00"/>
    <m/>
    <m/>
    <m/>
    <m/>
    <n v="14.47"/>
    <d v="2015-07-15T00:00:00"/>
    <n v="18.5"/>
    <d v="2015-07-06T00:00:00"/>
    <m/>
    <m/>
    <m/>
    <m/>
    <m/>
    <m/>
    <x v="582"/>
    <m/>
    <n v="26.857618057618055"/>
    <d v="2015-07-06T00:00:00"/>
    <m/>
    <m/>
    <n v="140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8.667000000000002"/>
    <d v="2015-07-15T00:00:00"/>
    <m/>
    <m/>
    <m/>
    <m/>
    <n v="52.858467102050781"/>
    <d v="2015-07-15T00:00:00"/>
    <n v="16.351821899414062"/>
    <d v="2015-07-15T00:00:00"/>
    <n v="12.645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305"/>
    <s v="AMILLIA"/>
    <x v="1"/>
    <x v="1"/>
    <n v="142"/>
    <n v="14"/>
    <n v="22"/>
    <m/>
    <m/>
    <m/>
    <m/>
    <n v="5"/>
    <m/>
    <n v="4.8899999999999997"/>
    <d v="2015-07-06T00:00:00"/>
    <m/>
    <m/>
    <m/>
    <m/>
    <n v="14.65"/>
    <d v="2015-07-15T00:00:00"/>
    <n v="18.5"/>
    <d v="2015-07-06T00:00:00"/>
    <m/>
    <m/>
    <m/>
    <m/>
    <m/>
    <m/>
    <x v="583"/>
    <m/>
    <n v="27.45"/>
    <d v="2015-07-06T00:00:00"/>
    <m/>
    <m/>
    <n v="10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662000000000006"/>
    <d v="2015-07-15T00:00:00"/>
    <m/>
    <m/>
    <m/>
    <m/>
    <n v="53.374412536621094"/>
    <d v="2015-07-15T00:00:00"/>
    <n v="15.696304321289063"/>
    <d v="2015-07-15T00:00:00"/>
    <n v="15.423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270"/>
    <s v="Shogun"/>
    <x v="0"/>
    <x v="2"/>
    <n v="105"/>
    <n v="1"/>
    <n v="29"/>
    <m/>
    <m/>
    <m/>
    <m/>
    <n v="8"/>
    <m/>
    <n v="4.88"/>
    <d v="2015-07-06T00:00:00"/>
    <m/>
    <m/>
    <m/>
    <m/>
    <n v="13.9"/>
    <d v="2015-07-15T00:00:00"/>
    <n v="18.5"/>
    <d v="2015-07-06T00:00:00"/>
    <m/>
    <m/>
    <m/>
    <m/>
    <m/>
    <m/>
    <x v="584"/>
    <m/>
    <n v="26.958122958122953"/>
    <d v="2015-07-06T00:00:00"/>
    <m/>
    <m/>
    <n v="14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1.133000000000003"/>
    <d v="2015-07-15T00:00:00"/>
    <m/>
    <m/>
    <m/>
    <m/>
    <n v="50.596958160400391"/>
    <d v="2015-07-15T00:00:00"/>
    <n v="17.986637115478516"/>
    <d v="2015-07-15T00:00:00"/>
    <n v="21.401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478"/>
    <s v="RAGT-15"/>
    <x v="1"/>
    <x v="3"/>
    <n v="178"/>
    <n v="20"/>
    <n v="7"/>
    <m/>
    <m/>
    <m/>
    <m/>
    <n v="8"/>
    <m/>
    <n v="4.96"/>
    <d v="2015-07-06T00:00:00"/>
    <m/>
    <m/>
    <m/>
    <m/>
    <n v="13.33"/>
    <d v="2015-07-15T00:00:00"/>
    <n v="18.5"/>
    <d v="2015-07-06T00:00:00"/>
    <m/>
    <m/>
    <m/>
    <m/>
    <m/>
    <m/>
    <x v="585"/>
    <m/>
    <n v="27.48"/>
    <d v="2015-07-06T00:00:00"/>
    <m/>
    <m/>
    <n v="11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2.216000000000001"/>
    <d v="2015-07-15T00:00:00"/>
    <m/>
    <m/>
    <m/>
    <m/>
    <n v="48.505111694335938"/>
    <d v="2015-07-15T00:00:00"/>
    <n v="18.079584121704102"/>
    <d v="2015-07-15T00:00:00"/>
    <n v="16.411999999999999"/>
    <d v="2015-07-15T00:00:00"/>
    <m/>
    <m/>
    <m/>
    <m/>
    <n v="8.5"/>
    <d v="2015-07-06T00:00:00"/>
    <m/>
    <m/>
    <m/>
    <m/>
    <m/>
    <m/>
    <m/>
    <n v="3"/>
    <d v="2015-06-25T00:00:00"/>
    <s v="VALIDE"/>
  </r>
  <r>
    <s v="RAPSO_072"/>
    <s v="Aztec"/>
    <x v="0"/>
    <x v="2"/>
    <n v="24"/>
    <n v="6"/>
    <n v="16"/>
    <m/>
    <m/>
    <m/>
    <m/>
    <n v="9"/>
    <m/>
    <n v="4.88"/>
    <d v="2015-07-06T00:00:00"/>
    <m/>
    <m/>
    <m/>
    <m/>
    <n v="13.38"/>
    <d v="2015-07-15T00:00:00"/>
    <n v="18.5"/>
    <d v="2015-07-06T00:00:00"/>
    <m/>
    <m/>
    <m/>
    <m/>
    <m/>
    <m/>
    <x v="586"/>
    <m/>
    <n v="26.987110187110179"/>
    <d v="2015-07-06T00:00:00"/>
    <m/>
    <m/>
    <n v="15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5.963999999999999"/>
    <d v="2015-07-15T00:00:00"/>
    <m/>
    <m/>
    <m/>
    <m/>
    <n v="48.650920867919922"/>
    <d v="2015-07-15T00:00:00"/>
    <n v="20.359197616577148"/>
    <d v="2015-07-15T00:00:00"/>
    <n v="60.25699999999999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084"/>
    <s v="Emil"/>
    <x v="0"/>
    <x v="2"/>
    <n v="31"/>
    <n v="4"/>
    <n v="22"/>
    <m/>
    <m/>
    <m/>
    <m/>
    <n v="7"/>
    <m/>
    <n v="4.8600000000000003"/>
    <d v="2015-07-06T00:00:00"/>
    <m/>
    <m/>
    <m/>
    <m/>
    <n v="14.09"/>
    <d v="2015-07-15T00:00:00"/>
    <n v="18.5"/>
    <d v="2015-07-06T00:00:00"/>
    <m/>
    <m/>
    <m/>
    <m/>
    <m/>
    <m/>
    <x v="587"/>
    <m/>
    <n v="26.991980991980991"/>
    <d v="2015-07-06T00:00:00"/>
    <m/>
    <m/>
    <n v="12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420999999999999"/>
    <d v="2015-07-15T00:00:00"/>
    <m/>
    <m/>
    <m/>
    <m/>
    <n v="51.197914123535156"/>
    <d v="2015-07-15T00:00:00"/>
    <n v="17.157529830932617"/>
    <d v="2015-07-15T00:00:00"/>
    <n v="51.57"/>
    <d v="2015-07-15T00:00:00"/>
    <m/>
    <m/>
    <m/>
    <m/>
    <n v="6.5"/>
    <d v="2015-07-06T00:00:00"/>
    <m/>
    <m/>
    <m/>
    <m/>
    <m/>
    <m/>
    <m/>
    <n v="1"/>
    <d v="2015-06-25T00:00:00"/>
    <s v="VALIDE"/>
  </r>
  <r>
    <s v="RAPSO_295"/>
    <s v="ES-ALEGRIA"/>
    <x v="1"/>
    <x v="3"/>
    <n v="132"/>
    <n v="23"/>
    <n v="2"/>
    <m/>
    <m/>
    <m/>
    <m/>
    <n v="8"/>
    <m/>
    <n v="5"/>
    <d v="2015-07-06T00:00:00"/>
    <m/>
    <m/>
    <m/>
    <m/>
    <n v="14.34"/>
    <d v="2015-07-15T00:00:00"/>
    <n v="18.5"/>
    <d v="2015-07-06T00:00:00"/>
    <m/>
    <m/>
    <m/>
    <m/>
    <m/>
    <m/>
    <x v="588"/>
    <m/>
    <n v="26.997326997327001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552999999999997"/>
    <d v="2015-07-15T00:00:00"/>
    <m/>
    <m/>
    <m/>
    <m/>
    <n v="52.090732574462891"/>
    <d v="2015-07-15T00:00:00"/>
    <n v="16.649028778076172"/>
    <d v="2015-07-15T00:00:00"/>
    <n v="10.551"/>
    <d v="2015-07-15T00:00:00"/>
    <m/>
    <m/>
    <m/>
    <m/>
    <n v="9.1"/>
    <d v="2015-07-06T00:00:00"/>
    <m/>
    <m/>
    <m/>
    <m/>
    <m/>
    <m/>
    <m/>
    <n v="1"/>
    <d v="2015-06-25T00:00:00"/>
    <s v="VALIDE"/>
  </r>
  <r>
    <s v="RAPSO_232"/>
    <s v="Madrigal"/>
    <x v="1"/>
    <x v="1"/>
    <n v="85"/>
    <n v="17"/>
    <n v="1"/>
    <m/>
    <m/>
    <m/>
    <m/>
    <n v="7"/>
    <m/>
    <n v="5"/>
    <d v="2015-07-06T00:00:00"/>
    <m/>
    <m/>
    <m/>
    <m/>
    <n v="13.88"/>
    <d v="2015-07-15T00:00:00"/>
    <n v="18.5"/>
    <d v="2015-07-06T00:00:00"/>
    <m/>
    <m/>
    <m/>
    <m/>
    <m/>
    <m/>
    <x v="589"/>
    <m/>
    <n v="27.58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17"/>
    <d v="2015-07-15T00:00:00"/>
    <m/>
    <m/>
    <m/>
    <m/>
    <n v="50.328693389892578"/>
    <d v="2015-07-15T00:00:00"/>
    <n v="18.403404235839844"/>
    <d v="2015-07-15T00:00:00"/>
    <n v="18.411000000000001"/>
    <d v="2015-07-15T00:00:00"/>
    <m/>
    <m/>
    <m/>
    <m/>
    <n v="8.9"/>
    <d v="2015-07-06T00:00:00"/>
    <m/>
    <m/>
    <m/>
    <m/>
    <m/>
    <m/>
    <m/>
    <n v="5"/>
    <d v="2015-06-25T00:00:00"/>
    <s v="VALIDE"/>
  </r>
  <r>
    <s v="RAPSO_478"/>
    <s v="RAGT-15"/>
    <x v="1"/>
    <x v="1"/>
    <n v="178"/>
    <n v="14"/>
    <n v="17"/>
    <m/>
    <m/>
    <m/>
    <m/>
    <n v="3"/>
    <m/>
    <n v="4.93"/>
    <d v="2015-07-06T00:00:00"/>
    <m/>
    <m/>
    <m/>
    <m/>
    <n v="13.77"/>
    <d v="2015-07-15T00:00:00"/>
    <n v="18.5"/>
    <d v="2015-07-06T00:00:00"/>
    <m/>
    <m/>
    <m/>
    <m/>
    <m/>
    <m/>
    <x v="590"/>
    <m/>
    <n v="27.58"/>
    <d v="2015-07-06T00:00:00"/>
    <m/>
    <m/>
    <n v="12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1.875999999999998"/>
    <d v="2015-07-15T00:00:00"/>
    <m/>
    <m/>
    <m/>
    <m/>
    <n v="49.918106079101563"/>
    <d v="2015-07-15T00:00:00"/>
    <n v="16.411811828613281"/>
    <d v="2015-07-15T00:00:00"/>
    <n v="14.54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238"/>
    <s v="Milena"/>
    <x v="0"/>
    <x v="2"/>
    <n v="88"/>
    <n v="5"/>
    <n v="17"/>
    <m/>
    <m/>
    <m/>
    <m/>
    <n v="7"/>
    <m/>
    <n v="4.91"/>
    <d v="2015-07-06T00:00:00"/>
    <m/>
    <m/>
    <m/>
    <m/>
    <n v="14"/>
    <d v="2015-07-15T00:00:00"/>
    <n v="18.5"/>
    <d v="2015-07-06T00:00:00"/>
    <m/>
    <m/>
    <m/>
    <m/>
    <m/>
    <m/>
    <x v="591"/>
    <m/>
    <n v="27.59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988999999999997"/>
    <d v="2015-07-15T00:00:00"/>
    <m/>
    <m/>
    <m/>
    <m/>
    <n v="50.747215270996094"/>
    <d v="2015-07-15T00:00:00"/>
    <n v="17.188486099243164"/>
    <d v="2015-07-15T00:00:00"/>
    <n v="17.997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168"/>
    <s v="Cheops"/>
    <x v="0"/>
    <x v="2"/>
    <n v="58"/>
    <n v="1"/>
    <n v="1"/>
    <m/>
    <m/>
    <m/>
    <m/>
    <n v="8"/>
    <m/>
    <n v="4.8899999999999997"/>
    <d v="2015-07-06T00:00:00"/>
    <m/>
    <m/>
    <m/>
    <m/>
    <m/>
    <d v="2015-07-15T00:00:00"/>
    <n v="18.5"/>
    <d v="2015-07-06T00:00:00"/>
    <m/>
    <m/>
    <m/>
    <m/>
    <m/>
    <m/>
    <x v="592"/>
    <m/>
    <n v="27.071458271458273"/>
    <d v="2015-07-06T00:00:00"/>
    <m/>
    <m/>
    <n v="14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304"/>
    <s v="ADRIANA"/>
    <x v="1"/>
    <x v="3"/>
    <n v="141"/>
    <n v="20"/>
    <n v="2"/>
    <m/>
    <m/>
    <m/>
    <m/>
    <n v="7"/>
    <m/>
    <n v="5"/>
    <d v="2015-07-06T00:00:00"/>
    <m/>
    <m/>
    <m/>
    <m/>
    <n v="14.57"/>
    <d v="2015-07-15T00:00:00"/>
    <n v="18.5"/>
    <d v="2015-07-06T00:00:00"/>
    <m/>
    <m/>
    <m/>
    <m/>
    <m/>
    <m/>
    <x v="593"/>
    <m/>
    <n v="27.145827145827148"/>
    <d v="2015-07-06T00:00:00"/>
    <m/>
    <m/>
    <n v="11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6.013999999999996"/>
    <d v="2015-07-15T00:00:00"/>
    <m/>
    <m/>
    <m/>
    <m/>
    <n v="52.635841369628906"/>
    <d v="2015-07-15T00:00:00"/>
    <n v="16.412820816040039"/>
    <d v="2015-07-15T00:00:00"/>
    <n v="18.366"/>
    <d v="2015-07-15T00:00:00"/>
    <m/>
    <m/>
    <m/>
    <m/>
    <n v="8.6"/>
    <d v="2015-07-06T00:00:00"/>
    <m/>
    <m/>
    <m/>
    <m/>
    <m/>
    <m/>
    <m/>
    <n v="1"/>
    <d v="2015-06-25T00:00:00"/>
    <s v="VALIDE"/>
  </r>
  <r>
    <s v="RAPSO_171"/>
    <s v="Colvert"/>
    <x v="0"/>
    <x v="2"/>
    <n v="59"/>
    <n v="4"/>
    <n v="18"/>
    <m/>
    <m/>
    <m/>
    <m/>
    <n v="9"/>
    <m/>
    <n v="4.91"/>
    <d v="2015-07-06T00:00:00"/>
    <m/>
    <m/>
    <m/>
    <m/>
    <n v="14.24"/>
    <d v="2015-07-15T00:00:00"/>
    <n v="18.5"/>
    <d v="2015-07-06T00:00:00"/>
    <m/>
    <m/>
    <m/>
    <m/>
    <m/>
    <m/>
    <x v="594"/>
    <m/>
    <n v="27.15301455301455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868000000000002"/>
    <d v="2015-07-15T00:00:00"/>
    <m/>
    <m/>
    <m/>
    <m/>
    <n v="51.455596923828125"/>
    <d v="2015-07-15T00:00:00"/>
    <n v="17.351512908935547"/>
    <d v="2015-07-15T00:00:00"/>
    <n v="21.108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10"/>
    <s v="OKAPI "/>
    <x v="1"/>
    <x v="3"/>
    <n v="147"/>
    <n v="21"/>
    <n v="5"/>
    <m/>
    <m/>
    <m/>
    <m/>
    <n v="9"/>
    <m/>
    <n v="5"/>
    <d v="2015-07-06T00:00:00"/>
    <m/>
    <m/>
    <m/>
    <m/>
    <n v="13.54"/>
    <d v="2015-07-15T00:00:00"/>
    <n v="18.5"/>
    <d v="2015-07-06T00:00:00"/>
    <m/>
    <m/>
    <m/>
    <m/>
    <m/>
    <m/>
    <x v="595"/>
    <m/>
    <n v="27.7"/>
    <d v="2015-07-06T00:00:00"/>
    <m/>
    <m/>
    <n v="13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2.9"/>
    <d v="2015-07-15T00:00:00"/>
    <m/>
    <m/>
    <m/>
    <m/>
    <n v="48.868793487548828"/>
    <d v="2015-07-15T00:00:00"/>
    <n v="17.903966903686523"/>
    <d v="2015-07-15T00:00:00"/>
    <n v="20.582999999999998"/>
    <d v="2015-07-15T00:00:00"/>
    <m/>
    <m/>
    <m/>
    <m/>
    <n v="8.5"/>
    <d v="2015-07-06T00:00:00"/>
    <m/>
    <m/>
    <m/>
    <m/>
    <m/>
    <m/>
    <m/>
    <n v="3"/>
    <d v="2015-06-25T00:00:00"/>
    <s v="VALIDE"/>
  </r>
  <r>
    <s v="Montego"/>
    <s v="Montego"/>
    <x v="0"/>
    <x v="2"/>
    <n v="188"/>
    <n v="3"/>
    <n v="2"/>
    <m/>
    <m/>
    <m/>
    <m/>
    <n v="5"/>
    <m/>
    <n v="4.93"/>
    <d v="2015-07-06T00:00:00"/>
    <m/>
    <m/>
    <m/>
    <m/>
    <n v="13.9"/>
    <d v="2015-07-15T00:00:00"/>
    <n v="18.5"/>
    <d v="2015-07-06T00:00:00"/>
    <m/>
    <m/>
    <m/>
    <m/>
    <m/>
    <m/>
    <x v="596"/>
    <m/>
    <n v="27.7"/>
    <d v="2015-07-06T00:00:00"/>
    <m/>
    <m/>
    <n v="13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3.670999999999999"/>
    <d v="2015-07-15T00:00:00"/>
    <m/>
    <m/>
    <m/>
    <m/>
    <n v="50.190826416015625"/>
    <d v="2015-07-15T00:00:00"/>
    <n v="18.248779296875"/>
    <d v="2015-07-15T00:00:00"/>
    <n v="11.476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56"/>
    <s v="Pollen"/>
    <x v="1"/>
    <x v="1"/>
    <n v="96"/>
    <n v="16"/>
    <n v="32"/>
    <m/>
    <m/>
    <m/>
    <m/>
    <n v="5"/>
    <m/>
    <n v="4.92"/>
    <d v="2015-07-06T00:00:00"/>
    <m/>
    <m/>
    <m/>
    <m/>
    <n v="13.2"/>
    <d v="2015-07-15T00:00:00"/>
    <n v="18.5"/>
    <d v="2015-07-06T00:00:00"/>
    <m/>
    <m/>
    <m/>
    <m/>
    <m/>
    <m/>
    <x v="597"/>
    <m/>
    <n v="27.71"/>
    <d v="2015-07-06T00:00:00"/>
    <m/>
    <m/>
    <n v="13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5.031000000000006"/>
    <d v="2015-07-15T00:00:00"/>
    <m/>
    <m/>
    <m/>
    <m/>
    <n v="47.615814208984375"/>
    <d v="2015-07-15T00:00:00"/>
    <n v="19.379751205444336"/>
    <d v="2015-07-15T00:00:00"/>
    <n v="19.710999999999999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342"/>
    <s v="Madora2-DS3"/>
    <x v="1"/>
    <x v="3"/>
    <n v="113"/>
    <n v="19"/>
    <n v="12"/>
    <m/>
    <m/>
    <m/>
    <m/>
    <n v="9"/>
    <m/>
    <n v="4.99"/>
    <d v="2015-07-06T00:00:00"/>
    <m/>
    <m/>
    <m/>
    <m/>
    <n v="13.67"/>
    <d v="2015-07-15T00:00:00"/>
    <n v="18.5"/>
    <d v="2015-07-06T00:00:00"/>
    <m/>
    <m/>
    <m/>
    <m/>
    <m/>
    <m/>
    <x v="598"/>
    <m/>
    <n v="27.210098010098012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847000000000001"/>
    <d v="2015-07-15T00:00:00"/>
    <m/>
    <m/>
    <m/>
    <m/>
    <n v="49.29180908203125"/>
    <d v="2015-07-15T00:00:00"/>
    <n v="18.601289749145508"/>
    <d v="2015-07-15T00:00:00"/>
    <n v="18.454999999999998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046"/>
    <s v="Prerouska"/>
    <x v="0"/>
    <x v="2"/>
    <n v="16"/>
    <n v="3"/>
    <n v="3"/>
    <m/>
    <m/>
    <m/>
    <m/>
    <n v="9"/>
    <m/>
    <n v="4.9400000000000004"/>
    <d v="2015-07-06T00:00:00"/>
    <m/>
    <m/>
    <m/>
    <m/>
    <n v="13.66"/>
    <d v="2015-07-15T00:00:00"/>
    <n v="18.5"/>
    <d v="2015-07-06T00:00:00"/>
    <m/>
    <m/>
    <m/>
    <m/>
    <m/>
    <m/>
    <x v="599"/>
    <m/>
    <n v="27.76"/>
    <d v="2015-07-06T00:00:00"/>
    <m/>
    <m/>
    <n v="16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566999999999993"/>
    <d v="2015-07-15T00:00:00"/>
    <m/>
    <m/>
    <m/>
    <m/>
    <n v="49.199111938476562"/>
    <d v="2015-07-15T00:00:00"/>
    <n v="18.873586654663086"/>
    <d v="2015-07-15T00:00:00"/>
    <n v="61.040999999999997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312"/>
    <s v="PAMELA"/>
    <x v="1"/>
    <x v="1"/>
    <n v="149"/>
    <n v="13"/>
    <n v="29"/>
    <m/>
    <m/>
    <m/>
    <m/>
    <n v="5"/>
    <m/>
    <n v="4.9000000000000004"/>
    <d v="2015-07-06T00:00:00"/>
    <m/>
    <m/>
    <m/>
    <m/>
    <n v="13.91"/>
    <d v="2015-07-15T00:00:00"/>
    <n v="18.5"/>
    <d v="2015-07-06T00:00:00"/>
    <m/>
    <m/>
    <m/>
    <m/>
    <m/>
    <m/>
    <x v="600"/>
    <m/>
    <n v="27.77"/>
    <d v="2015-07-06T00:00:00"/>
    <m/>
    <m/>
    <n v="13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224999999999994"/>
    <d v="2015-07-15T00:00:00"/>
    <m/>
    <m/>
    <m/>
    <m/>
    <n v="50.09356689453125"/>
    <d v="2015-07-15T00:00:00"/>
    <n v="17.683866500854492"/>
    <d v="2015-07-15T00:00:00"/>
    <n v="18.309000000000001"/>
    <d v="2015-07-15T00:00:00"/>
    <m/>
    <m/>
    <m/>
    <m/>
    <n v="6.4"/>
    <d v="2015-07-06T00:00:00"/>
    <m/>
    <m/>
    <m/>
    <m/>
    <m/>
    <m/>
    <m/>
    <n v="3"/>
    <d v="2015-06-25T00:00:00"/>
    <s v="VALIDE"/>
  </r>
  <r>
    <s v="RAPSO_307"/>
    <s v="COOPER "/>
    <x v="0"/>
    <x v="2"/>
    <n v="144"/>
    <n v="5"/>
    <n v="1"/>
    <m/>
    <m/>
    <m/>
    <m/>
    <n v="9"/>
    <m/>
    <n v="4.96"/>
    <d v="2015-07-06T00:00:00"/>
    <m/>
    <m/>
    <m/>
    <m/>
    <n v="13.84"/>
    <d v="2015-07-15T00:00:00"/>
    <n v="18.5"/>
    <d v="2015-07-06T00:00:00"/>
    <m/>
    <m/>
    <m/>
    <m/>
    <m/>
    <m/>
    <x v="601"/>
    <m/>
    <n v="27.84"/>
    <d v="2015-07-06T00:00:00"/>
    <m/>
    <m/>
    <n v="155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3.231999999999999"/>
    <d v="2015-07-15T00:00:00"/>
    <m/>
    <m/>
    <m/>
    <m/>
    <n v="49.728485107421875"/>
    <d v="2015-07-15T00:00:00"/>
    <n v="17.875741958618164"/>
    <d v="2015-07-15T00:00:00"/>
    <n v="21.975000000000001"/>
    <d v="2015-07-15T00:00:00"/>
    <m/>
    <m/>
    <m/>
    <m/>
    <n v="7.3"/>
    <d v="2015-07-06T00:00:00"/>
    <m/>
    <m/>
    <m/>
    <m/>
    <m/>
    <m/>
    <m/>
    <n v="3"/>
    <d v="2015-06-25T00:00:00"/>
    <s v="VALIDE"/>
  </r>
  <r>
    <s v="MP003"/>
    <s v="Mohican"/>
    <x v="1"/>
    <x v="3"/>
    <n v="130"/>
    <n v="20"/>
    <n v="15"/>
    <m/>
    <m/>
    <m/>
    <m/>
    <n v="8"/>
    <m/>
    <n v="4.9800000000000004"/>
    <d v="2015-07-06T00:00:00"/>
    <m/>
    <m/>
    <m/>
    <m/>
    <n v="14.51"/>
    <d v="2015-07-15T00:00:00"/>
    <n v="18.5"/>
    <d v="2015-07-06T00:00:00"/>
    <m/>
    <m/>
    <m/>
    <m/>
    <m/>
    <m/>
    <x v="602"/>
    <m/>
    <n v="27.362637362637365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167000000000002"/>
    <d v="2015-07-15T00:00:00"/>
    <m/>
    <m/>
    <m/>
    <m/>
    <n v="52.015373229980469"/>
    <d v="2015-07-15T00:00:00"/>
    <n v="16.884218215942383"/>
    <d v="2015-07-15T00:00:00"/>
    <n v="22.018999999999998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160"/>
    <s v="Capricorn"/>
    <x v="0"/>
    <x v="2"/>
    <n v="54"/>
    <n v="6"/>
    <n v="9"/>
    <m/>
    <m/>
    <m/>
    <m/>
    <n v="8"/>
    <m/>
    <n v="4.97"/>
    <d v="2015-07-06T00:00:00"/>
    <m/>
    <m/>
    <m/>
    <m/>
    <n v="14.24"/>
    <d v="2015-07-15T00:00:00"/>
    <n v="18.5"/>
    <d v="2015-07-06T00:00:00"/>
    <m/>
    <m/>
    <m/>
    <m/>
    <m/>
    <m/>
    <x v="603"/>
    <m/>
    <n v="27.396257796257792"/>
    <d v="2015-07-06T00:00:00"/>
    <m/>
    <m/>
    <n v="160"/>
    <m/>
    <m/>
    <m/>
    <n v="104"/>
    <m/>
    <m/>
    <m/>
    <m/>
    <m/>
    <m/>
    <m/>
    <m/>
    <m/>
    <m/>
    <m/>
    <m/>
    <m/>
    <n v="5"/>
    <m/>
    <m/>
    <m/>
    <m/>
    <m/>
    <m/>
    <m/>
    <m/>
    <m/>
    <m/>
    <m/>
    <n v="59.777999999999999"/>
    <d v="2015-07-15T00:00:00"/>
    <m/>
    <m/>
    <m/>
    <m/>
    <n v="50.972347259521484"/>
    <d v="2015-07-15T00:00:00"/>
    <n v="16.549831390380859"/>
    <d v="2015-07-15T00:00:00"/>
    <n v="19.959"/>
    <d v="2015-07-15T00:00:00"/>
    <m/>
    <m/>
    <m/>
    <m/>
    <n v="7.2"/>
    <d v="2015-07-06T00:00:00"/>
    <m/>
    <m/>
    <m/>
    <m/>
    <m/>
    <m/>
    <m/>
    <n v="1"/>
    <d v="2015-06-25T00:00:00"/>
    <s v="VALIDE"/>
  </r>
  <r>
    <s v="BRA_007"/>
    <s v="Tosca"/>
    <x v="0"/>
    <x v="2"/>
    <n v="125"/>
    <n v="1"/>
    <n v="4"/>
    <m/>
    <m/>
    <m/>
    <m/>
    <n v="9"/>
    <m/>
    <n v="4.96"/>
    <d v="2015-07-06T00:00:00"/>
    <m/>
    <m/>
    <m/>
    <m/>
    <n v="13.67"/>
    <d v="2015-07-15T00:00:00"/>
    <n v="18.5"/>
    <d v="2015-07-06T00:00:00"/>
    <m/>
    <m/>
    <m/>
    <m/>
    <m/>
    <m/>
    <x v="604"/>
    <m/>
    <n v="27.400059400059398"/>
    <d v="2015-07-06T00:00:00"/>
    <m/>
    <m/>
    <n v="150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2.127000000000002"/>
    <d v="2015-07-15T00:00:00"/>
    <m/>
    <m/>
    <m/>
    <m/>
    <n v="48.938453674316406"/>
    <d v="2015-07-15T00:00:00"/>
    <n v="18.268501281738281"/>
    <d v="2015-07-15T00:00:00"/>
    <n v="13.565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209"/>
    <s v="Inca"/>
    <x v="0"/>
    <x v="2"/>
    <n v="74"/>
    <n v="5"/>
    <n v="21"/>
    <m/>
    <m/>
    <m/>
    <m/>
    <n v="6"/>
    <m/>
    <n v="4.96"/>
    <d v="2015-07-06T00:00:00"/>
    <m/>
    <m/>
    <m/>
    <m/>
    <n v="13.94"/>
    <d v="2015-07-15T00:00:00"/>
    <n v="18.5"/>
    <d v="2015-07-06T00:00:00"/>
    <m/>
    <m/>
    <m/>
    <m/>
    <m/>
    <m/>
    <x v="604"/>
    <m/>
    <n v="27.93"/>
    <d v="2015-07-06T00:00:00"/>
    <m/>
    <m/>
    <n v="14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3.499000000000002"/>
    <d v="2015-07-15T00:00:00"/>
    <m/>
    <m/>
    <m/>
    <m/>
    <n v="49.903659820556641"/>
    <d v="2015-07-15T00:00:00"/>
    <n v="17.867731094360352"/>
    <d v="2015-07-15T00:00:00"/>
    <n v="18.702000000000002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298"/>
    <s v="ES-CUBIC"/>
    <x v="1"/>
    <x v="1"/>
    <n v="135"/>
    <n v="18"/>
    <n v="17"/>
    <m/>
    <m/>
    <m/>
    <m/>
    <n v="7"/>
    <m/>
    <n v="5"/>
    <d v="2015-07-06T00:00:00"/>
    <m/>
    <m/>
    <m/>
    <m/>
    <n v="13.92"/>
    <d v="2015-07-15T00:00:00"/>
    <n v="18.5"/>
    <d v="2015-07-06T00:00:00"/>
    <m/>
    <m/>
    <m/>
    <m/>
    <m/>
    <m/>
    <x v="605"/>
    <m/>
    <n v="27.95"/>
    <d v="2015-07-06T00:00:00"/>
    <m/>
    <m/>
    <n v="10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034999999999997"/>
    <d v="2015-07-15T00:00:00"/>
    <m/>
    <m/>
    <m/>
    <m/>
    <n v="49.805953979492188"/>
    <d v="2015-07-15T00:00:00"/>
    <n v="19.37348747253418"/>
    <d v="2015-07-15T00:00:00"/>
    <n v="15.601000000000001"/>
    <d v="2015-07-15T00:00:00"/>
    <m/>
    <m/>
    <m/>
    <m/>
    <n v="7.7"/>
    <d v="2015-07-06T00:00:00"/>
    <m/>
    <m/>
    <m/>
    <m/>
    <m/>
    <m/>
    <m/>
    <n v="3"/>
    <d v="2015-06-25T00:00:00"/>
    <s v="VALIDE"/>
  </r>
  <r>
    <s v="Alpaga"/>
    <s v="Alpaga"/>
    <x v="1"/>
    <x v="3"/>
    <n v="192"/>
    <n v="21"/>
    <n v="12"/>
    <m/>
    <m/>
    <m/>
    <m/>
    <n v="9"/>
    <m/>
    <n v="5"/>
    <d v="2015-07-06T00:00:00"/>
    <m/>
    <m/>
    <m/>
    <m/>
    <n v="14.82"/>
    <d v="2015-07-15T00:00:00"/>
    <n v="18.5"/>
    <d v="2015-07-06T00:00:00"/>
    <m/>
    <m/>
    <m/>
    <m/>
    <m/>
    <m/>
    <x v="606"/>
    <m/>
    <n v="28.01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528000000000006"/>
    <d v="2015-07-15T00:00:00"/>
    <m/>
    <m/>
    <m/>
    <m/>
    <n v="52.904998779296875"/>
    <d v="2015-07-15T00:00:00"/>
    <n v="15.483119010925293"/>
    <d v="2015-07-15T00:00:00"/>
    <n v="17.175000000000001"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273"/>
    <s v="TAROX"/>
    <x v="1"/>
    <x v="3"/>
    <n v="107"/>
    <n v="22"/>
    <n v="20"/>
    <m/>
    <m/>
    <m/>
    <m/>
    <n v="6"/>
    <m/>
    <n v="5.05"/>
    <d v="2015-07-06T00:00:00"/>
    <m/>
    <m/>
    <m/>
    <m/>
    <n v="13.45"/>
    <d v="2015-07-15T00:00:00"/>
    <n v="18.5"/>
    <d v="2015-07-06T00:00:00"/>
    <m/>
    <m/>
    <m/>
    <m/>
    <m/>
    <m/>
    <x v="607"/>
    <m/>
    <n v="28.07"/>
    <d v="2015-07-06T00:00:00"/>
    <m/>
    <m/>
    <n v="140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4.661000000000001"/>
    <d v="2015-07-15T00:00:00"/>
    <m/>
    <m/>
    <m/>
    <m/>
    <n v="47.920257568359375"/>
    <d v="2015-07-15T00:00:00"/>
    <n v="17.892906188964844"/>
    <d v="2015-07-15T00:00:00"/>
    <n v="24.280999999999999"/>
    <d v="2015-07-15T00:00:00"/>
    <m/>
    <m/>
    <m/>
    <m/>
    <n v="8.1999999999999993"/>
    <d v="2015-07-06T00:00:00"/>
    <m/>
    <m/>
    <m/>
    <m/>
    <m/>
    <m/>
    <m/>
    <n v="5"/>
    <d v="2015-06-25T00:00:00"/>
    <s v="VALIDE"/>
  </r>
  <r>
    <s v="RAPSO_131"/>
    <s v="Alesi"/>
    <x v="1"/>
    <x v="3"/>
    <n v="41"/>
    <n v="20"/>
    <n v="32"/>
    <m/>
    <m/>
    <m/>
    <m/>
    <n v="9"/>
    <m/>
    <n v="5"/>
    <d v="2015-07-06T00:00:00"/>
    <m/>
    <m/>
    <m/>
    <m/>
    <n v="14.05"/>
    <d v="2015-07-15T00:00:00"/>
    <n v="18.5"/>
    <d v="2015-07-06T00:00:00"/>
    <m/>
    <m/>
    <m/>
    <m/>
    <m/>
    <m/>
    <x v="608"/>
    <m/>
    <n v="28.1"/>
    <d v="2015-07-06T00:00:00"/>
    <m/>
    <m/>
    <n v="11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4.88"/>
    <d v="2015-07-15T00:00:00"/>
    <m/>
    <m/>
    <m/>
    <m/>
    <n v="50.013011932373047"/>
    <d v="2015-07-15T00:00:00"/>
    <n v="16.577846527099609"/>
    <d v="2015-07-15T00:00:00"/>
    <n v="12.409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140"/>
    <s v="Aurum"/>
    <x v="1"/>
    <x v="1"/>
    <n v="46"/>
    <n v="18"/>
    <n v="22"/>
    <m/>
    <m/>
    <m/>
    <m/>
    <n v="7"/>
    <m/>
    <n v="5"/>
    <d v="2015-07-06T00:00:00"/>
    <m/>
    <m/>
    <m/>
    <m/>
    <n v="14.13"/>
    <d v="2015-07-15T00:00:00"/>
    <n v="18.5"/>
    <d v="2015-07-06T00:00:00"/>
    <m/>
    <m/>
    <m/>
    <m/>
    <m/>
    <m/>
    <x v="609"/>
    <m/>
    <n v="27.591327591327598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894999999999996"/>
    <d v="2015-07-15T00:00:00"/>
    <m/>
    <m/>
    <m/>
    <m/>
    <n v="50.239097595214844"/>
    <d v="2015-07-15T00:00:00"/>
    <n v="18.757080078125"/>
    <d v="2015-07-15T00:00:00"/>
    <n v="19.890999999999998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011"/>
    <s v="Gaspard"/>
    <x v="1"/>
    <x v="1"/>
    <n v="3"/>
    <n v="16"/>
    <n v="27"/>
    <m/>
    <m/>
    <m/>
    <m/>
    <n v="6"/>
    <m/>
    <n v="5"/>
    <d v="2015-07-06T00:00:00"/>
    <m/>
    <m/>
    <m/>
    <m/>
    <n v="13.44"/>
    <d v="2015-07-15T00:00:00"/>
    <n v="18.5"/>
    <d v="2015-07-06T00:00:00"/>
    <m/>
    <m/>
    <m/>
    <m/>
    <m/>
    <m/>
    <x v="610"/>
    <m/>
    <n v="28.16"/>
    <d v="2015-07-06T00:00:00"/>
    <m/>
    <m/>
    <n v="12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587000000000003"/>
    <d v="2015-07-15T00:00:00"/>
    <m/>
    <m/>
    <m/>
    <m/>
    <n v="47.735580444335938"/>
    <d v="2015-07-15T00:00:00"/>
    <n v="20.403091430664063"/>
    <d v="2015-07-15T00:00:00"/>
    <n v="72.436000000000007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155"/>
    <s v="Canberra"/>
    <x v="0"/>
    <x v="2"/>
    <n v="51"/>
    <n v="5"/>
    <n v="5"/>
    <m/>
    <m/>
    <m/>
    <m/>
    <n v="7"/>
    <m/>
    <n v="5"/>
    <d v="2015-07-06T00:00:00"/>
    <m/>
    <m/>
    <m/>
    <m/>
    <n v="14.47"/>
    <d v="2015-07-15T00:00:00"/>
    <n v="18.5"/>
    <d v="2015-07-06T00:00:00"/>
    <m/>
    <m/>
    <m/>
    <m/>
    <m/>
    <m/>
    <x v="610"/>
    <m/>
    <n v="27.621027621027622"/>
    <d v="2015-07-06T00:00:00"/>
    <m/>
    <m/>
    <n v="13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540999999999997"/>
    <d v="2015-07-15T00:00:00"/>
    <m/>
    <m/>
    <m/>
    <m/>
    <n v="51.376808166503906"/>
    <d v="2015-07-15T00:00:00"/>
    <n v="17.694183349609375"/>
    <d v="2015-07-15T00:00:00"/>
    <n v="12.882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199"/>
    <s v="Frederic"/>
    <x v="0"/>
    <x v="2"/>
    <n v="69"/>
    <n v="3"/>
    <n v="14"/>
    <m/>
    <m/>
    <m/>
    <m/>
    <n v="7"/>
    <m/>
    <n v="5"/>
    <d v="2015-07-06T00:00:00"/>
    <m/>
    <m/>
    <m/>
    <m/>
    <n v="14.3"/>
    <d v="2015-07-15T00:00:00"/>
    <n v="18.5"/>
    <d v="2015-07-06T00:00:00"/>
    <m/>
    <m/>
    <m/>
    <m/>
    <m/>
    <m/>
    <x v="610"/>
    <m/>
    <n v="27.621027621027622"/>
    <d v="2015-07-06T00:00:00"/>
    <m/>
    <m/>
    <n v="150"/>
    <m/>
    <m/>
    <m/>
    <n v="97"/>
    <m/>
    <m/>
    <m/>
    <m/>
    <m/>
    <m/>
    <m/>
    <m/>
    <m/>
    <m/>
    <m/>
    <m/>
    <m/>
    <n v="7"/>
    <m/>
    <m/>
    <m/>
    <m/>
    <m/>
    <m/>
    <m/>
    <m/>
    <m/>
    <m/>
    <m/>
    <n v="62.79"/>
    <d v="2015-07-15T00:00:00"/>
    <m/>
    <m/>
    <m/>
    <m/>
    <n v="50.777351379394531"/>
    <d v="2015-07-15T00:00:00"/>
    <n v="17.929615020751953"/>
    <d v="2015-07-15T00:00:00"/>
    <n v="18.821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Alpaga"/>
    <s v="Alpaga"/>
    <x v="1"/>
    <x v="3"/>
    <n v="190"/>
    <n v="22"/>
    <n v="32"/>
    <m/>
    <m/>
    <m/>
    <m/>
    <n v="5"/>
    <m/>
    <n v="5.05"/>
    <d v="2015-07-06T00:00:00"/>
    <m/>
    <m/>
    <m/>
    <m/>
    <n v="14.41"/>
    <d v="2015-07-15T00:00:00"/>
    <n v="18.5"/>
    <d v="2015-07-06T00:00:00"/>
    <m/>
    <m/>
    <m/>
    <m/>
    <m/>
    <m/>
    <x v="611"/>
    <m/>
    <n v="28.16"/>
    <d v="2015-07-06T00:00:00"/>
    <m/>
    <m/>
    <n v="13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5.647000000000006"/>
    <d v="2015-07-15T00:00:00"/>
    <m/>
    <m/>
    <m/>
    <m/>
    <n v="51.183769226074219"/>
    <d v="2015-07-15T00:00:00"/>
    <n v="16.299921035766602"/>
    <d v="2015-07-15T00:00:00"/>
    <n v="17.385000000000002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178"/>
    <s v="Doublol"/>
    <x v="0"/>
    <x v="2"/>
    <n v="63"/>
    <n v="5"/>
    <n v="13"/>
    <m/>
    <m/>
    <m/>
    <m/>
    <n v="9"/>
    <m/>
    <n v="5"/>
    <d v="2015-07-06T00:00:00"/>
    <m/>
    <m/>
    <m/>
    <m/>
    <n v="14.7"/>
    <d v="2015-07-15T00:00:00"/>
    <n v="18.5"/>
    <d v="2015-07-06T00:00:00"/>
    <m/>
    <m/>
    <m/>
    <m/>
    <m/>
    <m/>
    <x v="612"/>
    <m/>
    <n v="28.25"/>
    <d v="2015-07-06T00:00:00"/>
    <m/>
    <m/>
    <n v="16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3.546999999999997"/>
    <d v="2015-07-15T00:00:00"/>
    <m/>
    <m/>
    <m/>
    <m/>
    <n v="52.046089172363281"/>
    <d v="2015-07-15T00:00:00"/>
    <n v="17.706144332885742"/>
    <d v="2015-07-15T00:00:00"/>
    <n v="14.263"/>
    <d v="2015-07-15T00:00:00"/>
    <m/>
    <m/>
    <m/>
    <m/>
    <n v="6.7"/>
    <d v="2015-07-06T00:00:00"/>
    <m/>
    <m/>
    <m/>
    <m/>
    <m/>
    <m/>
    <m/>
    <n v="3"/>
    <d v="2015-06-25T00:00:00"/>
    <s v="VALIDE"/>
  </r>
  <r>
    <s v="RAPSO_207"/>
    <s v="Ibex"/>
    <x v="0"/>
    <x v="2"/>
    <n v="72"/>
    <n v="3"/>
    <n v="32"/>
    <m/>
    <m/>
    <m/>
    <m/>
    <n v="6"/>
    <m/>
    <n v="5"/>
    <d v="2015-07-06T00:00:00"/>
    <m/>
    <m/>
    <m/>
    <m/>
    <n v="14.57"/>
    <d v="2015-07-15T00:00:00"/>
    <n v="18.5"/>
    <d v="2015-07-06T00:00:00"/>
    <m/>
    <m/>
    <m/>
    <m/>
    <m/>
    <m/>
    <x v="612"/>
    <m/>
    <n v="27.710127710127711"/>
    <d v="2015-07-06T00:00:00"/>
    <m/>
    <m/>
    <n v="140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3.503"/>
    <d v="2015-07-15T00:00:00"/>
    <m/>
    <m/>
    <m/>
    <m/>
    <n v="51.586250305175781"/>
    <d v="2015-07-15T00:00:00"/>
    <n v="18.094127655029297"/>
    <d v="2015-07-15T00:00:00"/>
    <n v="15.14"/>
    <d v="2015-07-15T00:00:00"/>
    <m/>
    <m/>
    <m/>
    <m/>
    <n v="6.7"/>
    <d v="2015-07-06T00:00:00"/>
    <m/>
    <m/>
    <m/>
    <m/>
    <m/>
    <m/>
    <m/>
    <n v="1"/>
    <d v="2015-06-25T00:00:00"/>
    <s v="VALIDE"/>
  </r>
  <r>
    <s v="RAPSO_181"/>
    <s v="Eleonore"/>
    <x v="1"/>
    <x v="1"/>
    <n v="65"/>
    <n v="13"/>
    <n v="17"/>
    <m/>
    <m/>
    <m/>
    <m/>
    <n v="7"/>
    <m/>
    <n v="5.0599999999999996"/>
    <d v="2015-07-06T00:00:00"/>
    <m/>
    <m/>
    <m/>
    <m/>
    <n v="14.49"/>
    <d v="2015-07-15T00:00:00"/>
    <n v="18.5"/>
    <d v="2015-07-06T00:00:00"/>
    <m/>
    <m/>
    <m/>
    <m/>
    <m/>
    <m/>
    <x v="613"/>
    <m/>
    <n v="28.25"/>
    <d v="2015-07-06T00:00:00"/>
    <m/>
    <m/>
    <n v="140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4.456000000000003"/>
    <d v="2015-07-15T00:00:00"/>
    <m/>
    <m/>
    <m/>
    <m/>
    <n v="51.296184539794922"/>
    <d v="2015-07-15T00:00:00"/>
    <n v="17.535642623901367"/>
    <d v="2015-07-15T00:00:00"/>
    <n v="15.271000000000001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258"/>
    <s v="Potomac"/>
    <x v="1"/>
    <x v="1"/>
    <n v="97"/>
    <n v="13"/>
    <n v="15"/>
    <m/>
    <m/>
    <m/>
    <m/>
    <n v="8"/>
    <m/>
    <n v="5.07"/>
    <d v="2015-07-06T00:00:00"/>
    <m/>
    <m/>
    <m/>
    <m/>
    <n v="13.6"/>
    <d v="2015-07-15T00:00:00"/>
    <n v="18.5"/>
    <d v="2015-07-06T00:00:00"/>
    <m/>
    <m/>
    <m/>
    <m/>
    <m/>
    <m/>
    <x v="614"/>
    <m/>
    <n v="27.827027027027036"/>
    <d v="2015-07-06T00:00:00"/>
    <m/>
    <m/>
    <n v="15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58.561"/>
    <d v="2015-07-15T00:00:00"/>
    <m/>
    <m/>
    <m/>
    <m/>
    <n v="47.937370300292969"/>
    <d v="2015-07-15T00:00:00"/>
    <n v="18.495492935180664"/>
    <d v="2015-07-15T00:00:00"/>
    <n v="15.981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316"/>
    <s v="RAGT-02"/>
    <x v="1"/>
    <x v="1"/>
    <n v="153"/>
    <n v="17"/>
    <n v="25"/>
    <m/>
    <m/>
    <m/>
    <m/>
    <n v="3"/>
    <m/>
    <n v="5.07"/>
    <d v="2015-07-06T00:00:00"/>
    <m/>
    <m/>
    <m/>
    <m/>
    <n v="14.81"/>
    <d v="2015-07-15T00:00:00"/>
    <n v="18.5"/>
    <d v="2015-07-06T00:00:00"/>
    <m/>
    <m/>
    <m/>
    <m/>
    <m/>
    <m/>
    <x v="614"/>
    <m/>
    <n v="27.827027027027036"/>
    <d v="2015-07-06T00:00:00"/>
    <m/>
    <m/>
    <n v="125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4.53"/>
    <d v="2015-07-15T00:00:00"/>
    <m/>
    <m/>
    <m/>
    <m/>
    <n v="52.201320648193359"/>
    <d v="2015-07-15T00:00:00"/>
    <n v="16.333681106567383"/>
    <d v="2015-07-15T00:00:00"/>
    <n v="22.065999999999999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140"/>
    <s v="Aurum"/>
    <x v="0"/>
    <x v="2"/>
    <n v="46"/>
    <n v="4"/>
    <n v="16"/>
    <m/>
    <m/>
    <m/>
    <m/>
    <n v="9"/>
    <m/>
    <n v="5.04"/>
    <d v="2015-07-06T00:00:00"/>
    <m/>
    <m/>
    <m/>
    <m/>
    <n v="14.66"/>
    <d v="2015-07-15T00:00:00"/>
    <n v="18.5"/>
    <d v="2015-07-06T00:00:00"/>
    <m/>
    <m/>
    <m/>
    <m/>
    <m/>
    <m/>
    <x v="615"/>
    <m/>
    <n v="27.841995841995839"/>
    <d v="2015-07-06T00:00:00"/>
    <m/>
    <m/>
    <n v="14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376000000000005"/>
    <d v="2015-07-15T00:00:00"/>
    <m/>
    <m/>
    <m/>
    <m/>
    <n v="51.670089721679687"/>
    <d v="2015-07-15T00:00:00"/>
    <n v="16.966144561767578"/>
    <d v="2015-07-15T00:00:00"/>
    <n v="16.905000000000001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06"/>
    <s v="ANGELINA "/>
    <x v="1"/>
    <x v="3"/>
    <n v="143"/>
    <n v="19"/>
    <n v="18"/>
    <m/>
    <m/>
    <m/>
    <m/>
    <n v="8"/>
    <m/>
    <n v="5.07"/>
    <d v="2015-07-06T00:00:00"/>
    <m/>
    <m/>
    <m/>
    <m/>
    <n v="14.7"/>
    <d v="2015-07-15T00:00:00"/>
    <n v="18.5"/>
    <d v="2015-07-06T00:00:00"/>
    <m/>
    <m/>
    <m/>
    <m/>
    <m/>
    <m/>
    <x v="616"/>
    <m/>
    <n v="27.857142857142861"/>
    <d v="2015-07-06T00:00:00"/>
    <m/>
    <m/>
    <n v="12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3.896999999999998"/>
    <d v="2015-07-15T00:00:00"/>
    <m/>
    <m/>
    <m/>
    <m/>
    <n v="51.769004821777344"/>
    <d v="2015-07-15T00:00:00"/>
    <n v="16.604753494262695"/>
    <d v="2015-07-15T00:00:00"/>
    <n v="19.677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312"/>
    <s v="PAMELA"/>
    <x v="1"/>
    <x v="3"/>
    <n v="149"/>
    <n v="23"/>
    <n v="5"/>
    <m/>
    <m/>
    <m/>
    <m/>
    <n v="7"/>
    <m/>
    <n v="5.16"/>
    <d v="2015-07-06T00:00:00"/>
    <m/>
    <m/>
    <m/>
    <m/>
    <n v="14.5"/>
    <d v="2015-07-15T00:00:00"/>
    <n v="18.5"/>
    <d v="2015-07-06T00:00:00"/>
    <m/>
    <m/>
    <m/>
    <m/>
    <m/>
    <m/>
    <x v="617"/>
    <m/>
    <n v="28.4"/>
    <d v="2015-07-06T00:00:00"/>
    <m/>
    <m/>
    <n v="125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4.772000000000006"/>
    <d v="2015-07-15T00:00:00"/>
    <m/>
    <m/>
    <m/>
    <m/>
    <n v="51.05120849609375"/>
    <d v="2015-07-15T00:00:00"/>
    <n v="16.926868438720703"/>
    <d v="2015-07-15T00:00:00"/>
    <n v="19.385000000000002"/>
    <d v="2015-07-15T00:00:00"/>
    <m/>
    <m/>
    <m/>
    <m/>
    <n v="9.1"/>
    <d v="2015-07-06T00:00:00"/>
    <m/>
    <m/>
    <m/>
    <m/>
    <m/>
    <m/>
    <m/>
    <n v="5"/>
    <d v="2015-06-25T00:00:00"/>
    <s v="VALIDE"/>
  </r>
  <r>
    <s v="RAPSO_331"/>
    <s v="SYN07"/>
    <x v="1"/>
    <x v="3"/>
    <n v="168"/>
    <n v="22"/>
    <n v="31"/>
    <m/>
    <m/>
    <m/>
    <m/>
    <n v="7"/>
    <m/>
    <n v="5.0599999999999996"/>
    <d v="2015-07-06T00:00:00"/>
    <m/>
    <m/>
    <m/>
    <m/>
    <n v="14.66"/>
    <d v="2015-07-15T00:00:00"/>
    <n v="18.5"/>
    <d v="2015-07-06T00:00:00"/>
    <m/>
    <m/>
    <m/>
    <m/>
    <m/>
    <m/>
    <x v="146"/>
    <m/>
    <n v="28.43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055999999999997"/>
    <d v="2015-07-15T00:00:00"/>
    <m/>
    <m/>
    <m/>
    <m/>
    <n v="51.545295715332031"/>
    <d v="2015-07-15T00:00:00"/>
    <n v="16.893093109130859"/>
    <d v="2015-07-15T00:00:00"/>
    <n v="17.207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04"/>
    <s v="ADRIANA"/>
    <x v="0"/>
    <x v="2"/>
    <n v="141"/>
    <n v="5"/>
    <n v="16"/>
    <m/>
    <m/>
    <m/>
    <m/>
    <n v="8"/>
    <m/>
    <n v="5.05"/>
    <d v="2015-07-06T00:00:00"/>
    <m/>
    <m/>
    <m/>
    <m/>
    <n v="15.26"/>
    <d v="2015-07-15T00:00:00"/>
    <n v="18.5"/>
    <d v="2015-07-06T00:00:00"/>
    <m/>
    <m/>
    <m/>
    <m/>
    <m/>
    <m/>
    <x v="618"/>
    <m/>
    <n v="27.897237897237893"/>
    <d v="2015-07-06T00:00:00"/>
    <m/>
    <m/>
    <n v="15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7.213999999999999"/>
    <d v="2015-07-15T00:00:00"/>
    <m/>
    <m/>
    <m/>
    <m/>
    <n v="53.666194915771484"/>
    <d v="2015-07-15T00:00:00"/>
    <n v="14.827310562133789"/>
    <d v="2015-07-15T00:00:00"/>
    <n v="15.4"/>
    <d v="2015-07-15T00:00:00"/>
    <m/>
    <m/>
    <m/>
    <m/>
    <n v="7"/>
    <d v="2015-07-06T00:00:00"/>
    <m/>
    <m/>
    <m/>
    <m/>
    <m/>
    <m/>
    <m/>
    <n v="1"/>
    <d v="2015-06-25T00:00:00"/>
    <s v="VALIDE"/>
  </r>
  <r>
    <s v="MP001"/>
    <s v="Astrid"/>
    <x v="1"/>
    <x v="3"/>
    <n v="129"/>
    <n v="24"/>
    <n v="9"/>
    <m/>
    <m/>
    <m/>
    <m/>
    <n v="8"/>
    <m/>
    <n v="5.14"/>
    <d v="2015-07-06T00:00:00"/>
    <m/>
    <m/>
    <m/>
    <m/>
    <n v="13.99"/>
    <d v="2015-07-15T00:00:00"/>
    <n v="18.5"/>
    <d v="2015-07-06T00:00:00"/>
    <m/>
    <m/>
    <m/>
    <m/>
    <m/>
    <m/>
    <x v="619"/>
    <m/>
    <n v="27.966973566973564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962000000000003"/>
    <d v="2015-07-15T00:00:00"/>
    <m/>
    <m/>
    <m/>
    <m/>
    <n v="49.079879760742188"/>
    <d v="2015-07-15T00:00:00"/>
    <n v="17.856971740722656"/>
    <d v="2015-07-15T00:00:00"/>
    <n v="24.477"/>
    <d v="2015-07-15T00:00:00"/>
    <m/>
    <m/>
    <m/>
    <m/>
    <n v="8.4"/>
    <d v="2015-07-06T00:00:00"/>
    <m/>
    <m/>
    <m/>
    <m/>
    <m/>
    <m/>
    <m/>
    <n v="1"/>
    <d v="2015-06-25T00:00:00"/>
    <s v="VALIDE"/>
  </r>
  <r>
    <s v="RAPSO_165"/>
    <s v="Ceres"/>
    <x v="0"/>
    <x v="2"/>
    <n v="56"/>
    <n v="5"/>
    <n v="18"/>
    <m/>
    <m/>
    <m/>
    <m/>
    <n v="6"/>
    <m/>
    <n v="5.0599999999999996"/>
    <d v="2015-07-06T00:00:00"/>
    <m/>
    <m/>
    <m/>
    <m/>
    <n v="14.56"/>
    <d v="2015-07-15T00:00:00"/>
    <n v="18.5"/>
    <d v="2015-07-06T00:00:00"/>
    <m/>
    <m/>
    <m/>
    <m/>
    <m/>
    <m/>
    <x v="620"/>
    <m/>
    <n v="28.012592812592818"/>
    <d v="2015-07-06T00:00:00"/>
    <m/>
    <m/>
    <n v="135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2.036000000000001"/>
    <d v="2015-07-15T00:00:00"/>
    <m/>
    <m/>
    <m/>
    <m/>
    <n v="50.993865966796875"/>
    <d v="2015-07-15T00:00:00"/>
    <n v="16.578433990478516"/>
    <d v="2015-07-15T00:00:00"/>
    <n v="15.71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260"/>
    <s v="Recital"/>
    <x v="1"/>
    <x v="3"/>
    <n v="99"/>
    <n v="19"/>
    <n v="19"/>
    <m/>
    <m/>
    <m/>
    <m/>
    <n v="9"/>
    <m/>
    <n v="5.08"/>
    <d v="2015-07-06T00:00:00"/>
    <m/>
    <m/>
    <m/>
    <m/>
    <n v="14.02"/>
    <d v="2015-07-15T00:00:00"/>
    <n v="18.5"/>
    <d v="2015-07-06T00:00:00"/>
    <m/>
    <m/>
    <m/>
    <m/>
    <m/>
    <m/>
    <x v="148"/>
    <m/>
    <n v="28.032788832788839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722000000000001"/>
    <d v="2015-07-15T00:00:00"/>
    <m/>
    <m/>
    <m/>
    <m/>
    <n v="49.070281982421875"/>
    <d v="2015-07-15T00:00:00"/>
    <n v="19.918134689331055"/>
    <d v="2015-07-15T00:00:00"/>
    <n v="19.024999999999999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11"/>
    <s v="ONTARIO"/>
    <x v="1"/>
    <x v="3"/>
    <n v="148"/>
    <n v="24"/>
    <n v="29"/>
    <m/>
    <m/>
    <m/>
    <m/>
    <n v="8"/>
    <m/>
    <n v="5.07"/>
    <d v="2015-07-06T00:00:00"/>
    <m/>
    <m/>
    <m/>
    <m/>
    <n v="14.56"/>
    <d v="2015-07-15T00:00:00"/>
    <n v="18.5"/>
    <d v="2015-07-06T00:00:00"/>
    <m/>
    <m/>
    <m/>
    <m/>
    <m/>
    <m/>
    <x v="621"/>
    <m/>
    <n v="28.037837837837838"/>
    <d v="2015-07-06T00:00:00"/>
    <m/>
    <m/>
    <n v="14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6.001000000000005"/>
    <d v="2015-07-15T00:00:00"/>
    <m/>
    <m/>
    <m/>
    <m/>
    <n v="50.950775146484375"/>
    <d v="2015-07-15T00:00:00"/>
    <n v="16.964681625366211"/>
    <d v="2015-07-15T00:00:00"/>
    <n v="16.11499999999999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60"/>
    <s v="Recital"/>
    <x v="1"/>
    <x v="1"/>
    <n v="99"/>
    <n v="15"/>
    <n v="6"/>
    <m/>
    <m/>
    <m/>
    <m/>
    <n v="5"/>
    <m/>
    <n v="5.14"/>
    <d v="2015-07-06T00:00:00"/>
    <m/>
    <m/>
    <m/>
    <m/>
    <n v="14.41"/>
    <d v="2015-07-15T00:00:00"/>
    <n v="18.5"/>
    <d v="2015-07-06T00:00:00"/>
    <m/>
    <m/>
    <m/>
    <m/>
    <m/>
    <m/>
    <x v="622"/>
    <m/>
    <n v="28.6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417000000000002"/>
    <d v="2015-07-15T00:00:00"/>
    <m/>
    <m/>
    <m/>
    <m/>
    <n v="50.3758544921875"/>
    <d v="2015-07-15T00:00:00"/>
    <n v="18.228710174560547"/>
    <d v="2015-07-15T00:00:00"/>
    <n v="22.742999999999999"/>
    <d v="2015-07-15T00:00:00"/>
    <m/>
    <m/>
    <m/>
    <m/>
    <n v="8.1"/>
    <d v="2015-07-06T00:00:00"/>
    <m/>
    <m/>
    <m/>
    <m/>
    <m/>
    <m/>
    <m/>
    <n v="3"/>
    <d v="2015-06-25T00:00:00"/>
    <s v="VALIDE"/>
  </r>
  <r>
    <s v="RAPSO_332"/>
    <s v="SYN08"/>
    <x v="1"/>
    <x v="1"/>
    <n v="169"/>
    <n v="18"/>
    <n v="4"/>
    <m/>
    <m/>
    <m/>
    <m/>
    <n v="9"/>
    <m/>
    <n v="5.16"/>
    <d v="2015-07-06T00:00:00"/>
    <m/>
    <m/>
    <m/>
    <m/>
    <n v="14.46"/>
    <d v="2015-07-15T00:00:00"/>
    <n v="18.5"/>
    <d v="2015-07-06T00:00:00"/>
    <m/>
    <m/>
    <m/>
    <m/>
    <m/>
    <m/>
    <x v="623"/>
    <m/>
    <n v="28.62"/>
    <d v="2015-07-06T00:00:00"/>
    <m/>
    <m/>
    <n v="12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4.623999999999995"/>
    <d v="2015-07-15T00:00:00"/>
    <m/>
    <m/>
    <m/>
    <m/>
    <n v="50.544418334960938"/>
    <d v="2015-07-15T00:00:00"/>
    <n v="17.238922119140625"/>
    <d v="2015-07-15T00:00:00"/>
    <n v="22.141999999999999"/>
    <d v="2015-07-15T00:00:00"/>
    <m/>
    <m/>
    <m/>
    <m/>
    <n v="8.4"/>
    <d v="2015-07-06T00:00:00"/>
    <m/>
    <m/>
    <m/>
    <m/>
    <m/>
    <m/>
    <m/>
    <n v="3"/>
    <d v="2015-06-25T00:00:00"/>
    <s v="VALIDE"/>
  </r>
  <r>
    <s v="Alpaga"/>
    <s v="Alpaga"/>
    <x v="1"/>
    <x v="1"/>
    <n v="191"/>
    <n v="13"/>
    <n v="25"/>
    <m/>
    <m/>
    <m/>
    <m/>
    <n v="7"/>
    <m/>
    <n v="5.0999999999999996"/>
    <d v="2015-07-06T00:00:00"/>
    <m/>
    <m/>
    <m/>
    <m/>
    <n v="14.98"/>
    <d v="2015-07-15T00:00:00"/>
    <n v="18.5"/>
    <d v="2015-07-06T00:00:00"/>
    <m/>
    <m/>
    <m/>
    <m/>
    <m/>
    <m/>
    <x v="624"/>
    <m/>
    <n v="28.63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477000000000004"/>
    <d v="2015-07-15T00:00:00"/>
    <m/>
    <m/>
    <m/>
    <m/>
    <n v="52.336257934570313"/>
    <d v="2015-07-15T00:00:00"/>
    <n v="16.557577133178711"/>
    <d v="2015-07-15T00:00:00"/>
    <n v="19.75"/>
    <d v="2015-07-15T00:00:00"/>
    <m/>
    <m/>
    <m/>
    <m/>
    <n v="7.3"/>
    <d v="2015-07-06T00:00:00"/>
    <m/>
    <m/>
    <m/>
    <m/>
    <m/>
    <m/>
    <m/>
    <n v="3"/>
    <d v="2015-06-25T00:00:00"/>
    <s v="VALIDE"/>
  </r>
  <r>
    <s v="Alpaga"/>
    <s v="Alpaga"/>
    <x v="1"/>
    <x v="3"/>
    <n v="191"/>
    <n v="21"/>
    <n v="4"/>
    <m/>
    <m/>
    <m/>
    <m/>
    <n v="9"/>
    <m/>
    <n v="5.15"/>
    <d v="2015-07-06T00:00:00"/>
    <m/>
    <m/>
    <m/>
    <m/>
    <n v="15.28"/>
    <d v="2015-07-15T00:00:00"/>
    <n v="18.5"/>
    <d v="2015-07-06T00:00:00"/>
    <m/>
    <m/>
    <m/>
    <m/>
    <m/>
    <m/>
    <x v="625"/>
    <m/>
    <n v="28.72"/>
    <d v="2015-07-06T00:00:00"/>
    <m/>
    <m/>
    <n v="11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847999999999999"/>
    <d v="2015-07-15T00:00:00"/>
    <m/>
    <m/>
    <m/>
    <m/>
    <n v="53.206138610839844"/>
    <d v="2015-07-15T00:00:00"/>
    <n v="15.293764114379883"/>
    <d v="2015-07-15T00:00:00"/>
    <n v="19.100999999999999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156"/>
    <s v="Cancan"/>
    <x v="1"/>
    <x v="1"/>
    <n v="52"/>
    <n v="16"/>
    <n v="22"/>
    <m/>
    <m/>
    <m/>
    <m/>
    <n v="3"/>
    <m/>
    <n v="5.1100000000000003"/>
    <d v="2015-07-06T00:00:00"/>
    <m/>
    <m/>
    <m/>
    <m/>
    <n v="14.32"/>
    <d v="2015-07-15T00:00:00"/>
    <n v="18.5"/>
    <d v="2015-07-06T00:00:00"/>
    <m/>
    <m/>
    <m/>
    <m/>
    <m/>
    <m/>
    <x v="626"/>
    <m/>
    <n v="28.78"/>
    <d v="2015-07-06T00:00:00"/>
    <m/>
    <m/>
    <n v="115"/>
    <m/>
    <m/>
    <m/>
    <n v="107"/>
    <m/>
    <m/>
    <m/>
    <m/>
    <m/>
    <m/>
    <m/>
    <m/>
    <m/>
    <m/>
    <m/>
    <m/>
    <m/>
    <n v="7"/>
    <m/>
    <m/>
    <m/>
    <m/>
    <m/>
    <m/>
    <m/>
    <m/>
    <m/>
    <m/>
    <m/>
    <n v="62.296999999999997"/>
    <d v="2015-07-15T00:00:00"/>
    <m/>
    <m/>
    <m/>
    <m/>
    <n v="49.74560546875"/>
    <d v="2015-07-15T00:00:00"/>
    <n v="18.226062774658203"/>
    <d v="2015-07-15T00:00:00"/>
    <n v="17.911000000000001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062"/>
    <s v="Titus"/>
    <x v="0"/>
    <x v="2"/>
    <n v="20"/>
    <n v="3"/>
    <n v="16"/>
    <m/>
    <m/>
    <m/>
    <m/>
    <n v="9"/>
    <m/>
    <n v="5.12"/>
    <d v="2015-07-06T00:00:00"/>
    <m/>
    <m/>
    <m/>
    <m/>
    <n v="13.73"/>
    <d v="2015-07-15T00:00:00"/>
    <n v="18.5"/>
    <d v="2015-07-06T00:00:00"/>
    <m/>
    <m/>
    <m/>
    <m/>
    <m/>
    <m/>
    <x v="627"/>
    <m/>
    <n v="28.253519453519459"/>
    <d v="2015-07-06T00:00:00"/>
    <m/>
    <m/>
    <n v="16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654000000000003"/>
    <d v="2015-07-15T00:00:00"/>
    <m/>
    <m/>
    <m/>
    <m/>
    <n v="47.683795928955078"/>
    <d v="2015-07-15T00:00:00"/>
    <n v="19.956924438476562"/>
    <d v="2015-07-15T00:00:00"/>
    <n v="61.396999999999998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58"/>
    <s v="Potomac"/>
    <x v="1"/>
    <x v="3"/>
    <n v="97"/>
    <n v="23"/>
    <n v="32"/>
    <m/>
    <m/>
    <m/>
    <m/>
    <n v="5"/>
    <m/>
    <n v="5.13"/>
    <d v="2015-07-06T00:00:00"/>
    <m/>
    <m/>
    <m/>
    <m/>
    <n v="14.26"/>
    <d v="2015-07-15T00:00:00"/>
    <n v="18.5"/>
    <d v="2015-07-06T00:00:00"/>
    <m/>
    <m/>
    <m/>
    <m/>
    <m/>
    <m/>
    <x v="628"/>
    <m/>
    <n v="28.83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831000000000003"/>
    <d v="2015-07-15T00:00:00"/>
    <m/>
    <m/>
    <m/>
    <m/>
    <n v="49.45196533203125"/>
    <d v="2015-07-15T00:00:00"/>
    <n v="17.120738983154297"/>
    <d v="2015-07-15T00:00:00"/>
    <n v="15.218999999999999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92"/>
    <s v="Zorro"/>
    <x v="0"/>
    <x v="2"/>
    <n v="112"/>
    <n v="1"/>
    <n v="26"/>
    <m/>
    <m/>
    <m/>
    <m/>
    <n v="8"/>
    <m/>
    <n v="5.12"/>
    <d v="2015-07-06T00:00:00"/>
    <m/>
    <m/>
    <m/>
    <m/>
    <n v="14.39"/>
    <d v="2015-07-15T00:00:00"/>
    <n v="18.5"/>
    <d v="2015-07-06T00:00:00"/>
    <m/>
    <m/>
    <m/>
    <m/>
    <m/>
    <m/>
    <x v="629"/>
    <m/>
    <n v="28.283932283932284"/>
    <d v="2015-07-06T00:00:00"/>
    <m/>
    <m/>
    <n v="14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2.853000000000002"/>
    <d v="2015-07-15T00:00:00"/>
    <m/>
    <m/>
    <m/>
    <m/>
    <n v="49.902412414550781"/>
    <d v="2015-07-15T00:00:00"/>
    <n v="17.101583480834961"/>
    <d v="2015-07-15T00:00:00"/>
    <n v="18.597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124"/>
    <s v="Valdor"/>
    <x v="0"/>
    <x v="2"/>
    <n v="38"/>
    <n v="5"/>
    <n v="4"/>
    <m/>
    <m/>
    <m/>
    <m/>
    <n v="9"/>
    <m/>
    <n v="5.14"/>
    <d v="2015-07-06T00:00:00"/>
    <m/>
    <m/>
    <m/>
    <m/>
    <n v="14.81"/>
    <d v="2015-07-15T00:00:00"/>
    <n v="18.5"/>
    <d v="2015-07-06T00:00:00"/>
    <m/>
    <m/>
    <m/>
    <m/>
    <m/>
    <m/>
    <x v="630"/>
    <m/>
    <n v="28.333353133353132"/>
    <d v="2015-07-06T00:00:00"/>
    <m/>
    <m/>
    <n v="155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1.795999999999999"/>
    <d v="2015-07-15T00:00:00"/>
    <m/>
    <m/>
    <m/>
    <m/>
    <n v="51.276996612548828"/>
    <d v="2015-07-15T00:00:00"/>
    <n v="17.270330429077148"/>
    <d v="2015-07-15T00:00:00"/>
    <n v="50.786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154"/>
    <s v="Campala"/>
    <x v="0"/>
    <x v="2"/>
    <n v="50"/>
    <n v="3"/>
    <n v="4"/>
    <m/>
    <m/>
    <m/>
    <m/>
    <n v="8"/>
    <m/>
    <n v="5.15"/>
    <d v="2015-07-06T00:00:00"/>
    <m/>
    <m/>
    <m/>
    <m/>
    <n v="14.8"/>
    <d v="2015-07-15T00:00:00"/>
    <n v="18.5"/>
    <d v="2015-07-06T00:00:00"/>
    <m/>
    <m/>
    <m/>
    <m/>
    <m/>
    <m/>
    <x v="631"/>
    <m/>
    <n v="28.91"/>
    <d v="2015-07-06T00:00:00"/>
    <m/>
    <m/>
    <n v="16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2.616999999999997"/>
    <d v="2015-07-15T00:00:00"/>
    <m/>
    <m/>
    <m/>
    <m/>
    <n v="51.20941162109375"/>
    <d v="2015-07-15T00:00:00"/>
    <n v="17.138492584228516"/>
    <d v="2015-07-15T00:00:00"/>
    <n v="17.962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343"/>
    <s v="Madora3-DS1"/>
    <x v="0"/>
    <x v="2"/>
    <n v="114"/>
    <n v="3"/>
    <n v="21"/>
    <m/>
    <m/>
    <m/>
    <m/>
    <n v="7"/>
    <m/>
    <n v="5.13"/>
    <d v="2015-07-06T00:00:00"/>
    <m/>
    <m/>
    <m/>
    <m/>
    <n v="14.71"/>
    <d v="2015-07-15T00:00:00"/>
    <n v="18.5"/>
    <d v="2015-07-06T00:00:00"/>
    <m/>
    <m/>
    <m/>
    <m/>
    <m/>
    <m/>
    <x v="632"/>
    <m/>
    <n v="28.92"/>
    <d v="2015-07-06T00:00:00"/>
    <m/>
    <m/>
    <n v="16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100999999999999"/>
    <d v="2015-07-15T00:00:00"/>
    <m/>
    <m/>
    <m/>
    <m/>
    <n v="50.868408203125"/>
    <d v="2015-07-15T00:00:00"/>
    <n v="16.435922622680664"/>
    <d v="2015-07-15T00:00:00"/>
    <n v="18.902000000000001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356"/>
    <s v="Regal2-DS1"/>
    <x v="0"/>
    <x v="2"/>
    <n v="115"/>
    <n v="2"/>
    <n v="7"/>
    <m/>
    <m/>
    <m/>
    <m/>
    <n v="8"/>
    <m/>
    <n v="5.14"/>
    <d v="2015-07-06T00:00:00"/>
    <m/>
    <m/>
    <m/>
    <m/>
    <n v="14.31"/>
    <d v="2015-07-15T00:00:00"/>
    <n v="18.5"/>
    <d v="2015-07-06T00:00:00"/>
    <m/>
    <m/>
    <m/>
    <m/>
    <m/>
    <m/>
    <x v="633"/>
    <m/>
    <n v="28.98"/>
    <d v="2015-07-06T00:00:00"/>
    <m/>
    <m/>
    <n v="16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6.085999999999999"/>
    <d v="2015-07-15T00:00:00"/>
    <m/>
    <m/>
    <m/>
    <m/>
    <n v="49.371852874755859"/>
    <d v="2015-07-15T00:00:00"/>
    <n v="19.133607864379883"/>
    <d v="2015-07-15T00:00:00"/>
    <n v="62.143000000000001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102"/>
    <s v="Lesira"/>
    <x v="0"/>
    <x v="2"/>
    <n v="34"/>
    <n v="1"/>
    <n v="6"/>
    <m/>
    <m/>
    <m/>
    <m/>
    <n v="9"/>
    <m/>
    <n v="5.15"/>
    <d v="2015-07-06T00:00:00"/>
    <m/>
    <m/>
    <m/>
    <m/>
    <n v="13.85"/>
    <d v="2015-07-15T00:00:00"/>
    <n v="18.5"/>
    <d v="2015-07-06T00:00:00"/>
    <m/>
    <m/>
    <m/>
    <m/>
    <m/>
    <m/>
    <x v="634"/>
    <m/>
    <n v="29"/>
    <d v="2015-07-06T00:00:00"/>
    <m/>
    <m/>
    <n v="16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59.661999999999999"/>
    <d v="2015-07-15T00:00:00"/>
    <m/>
    <m/>
    <m/>
    <m/>
    <n v="47.771705627441406"/>
    <d v="2015-07-15T00:00:00"/>
    <n v="19.471437454223633"/>
    <d v="2015-07-15T00:00:00"/>
    <n v="63.688000000000002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132"/>
    <s v="Aligator"/>
    <x v="0"/>
    <x v="2"/>
    <n v="42"/>
    <n v="4"/>
    <n v="25"/>
    <m/>
    <m/>
    <m/>
    <m/>
    <n v="7"/>
    <m/>
    <n v="5.16"/>
    <d v="2015-07-06T00:00:00"/>
    <m/>
    <m/>
    <m/>
    <m/>
    <n v="15.17"/>
    <d v="2015-07-15T00:00:00"/>
    <n v="18.5"/>
    <d v="2015-07-06T00:00:00"/>
    <m/>
    <m/>
    <m/>
    <m/>
    <m/>
    <m/>
    <x v="150"/>
    <m/>
    <n v="28.474250074250076"/>
    <d v="2015-07-06T00:00:00"/>
    <m/>
    <m/>
    <n v="155"/>
    <m/>
    <m/>
    <m/>
    <n v="106"/>
    <m/>
    <m/>
    <m/>
    <m/>
    <m/>
    <m/>
    <m/>
    <m/>
    <m/>
    <m/>
    <m/>
    <m/>
    <m/>
    <n v="5"/>
    <m/>
    <m/>
    <m/>
    <m/>
    <m/>
    <m/>
    <m/>
    <m/>
    <m/>
    <m/>
    <m/>
    <n v="62.884999999999998"/>
    <d v="2015-07-15T00:00:00"/>
    <m/>
    <m/>
    <m/>
    <m/>
    <n v="52.268379211425781"/>
    <d v="2015-07-15T00:00:00"/>
    <n v="16.163103103637695"/>
    <d v="2015-07-15T00:00:00"/>
    <n v="16.3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46"/>
    <s v="NSL 96-25"/>
    <x v="1"/>
    <x v="1"/>
    <n v="91"/>
    <n v="18"/>
    <n v="3"/>
    <m/>
    <m/>
    <m/>
    <m/>
    <n v="9"/>
    <m/>
    <n v="5.22"/>
    <d v="2015-07-06T00:00:00"/>
    <m/>
    <m/>
    <m/>
    <m/>
    <n v="13.78"/>
    <d v="2015-07-15T00:00:00"/>
    <n v="18.5"/>
    <d v="2015-07-06T00:00:00"/>
    <m/>
    <m/>
    <m/>
    <m/>
    <m/>
    <m/>
    <x v="635"/>
    <m/>
    <n v="28.495277695277693"/>
    <d v="2015-07-06T00:00:00"/>
    <m/>
    <m/>
    <n v="120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59.756"/>
    <d v="2015-07-15T00:00:00"/>
    <m/>
    <m/>
    <m/>
    <m/>
    <n v="47.434673309326172"/>
    <d v="2015-07-15T00:00:00"/>
    <n v="18.040187835693359"/>
    <d v="2015-07-15T00:00:00"/>
    <n v="21.405999999999999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267"/>
    <s v="Salomont"/>
    <x v="1"/>
    <x v="3"/>
    <n v="104"/>
    <n v="22"/>
    <n v="25"/>
    <m/>
    <m/>
    <m/>
    <m/>
    <n v="3"/>
    <m/>
    <n v="5.43"/>
    <d v="2015-07-06T00:00:00"/>
    <m/>
    <m/>
    <m/>
    <m/>
    <n v="14.64"/>
    <d v="2015-07-15T00:00:00"/>
    <n v="18.5"/>
    <d v="2015-07-06T00:00:00"/>
    <m/>
    <m/>
    <m/>
    <m/>
    <m/>
    <m/>
    <x v="636"/>
    <m/>
    <n v="28.512741312741316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170999999999999"/>
    <d v="2015-07-15T00:00:00"/>
    <m/>
    <m/>
    <m/>
    <m/>
    <n v="50.368003845214844"/>
    <d v="2015-07-15T00:00:00"/>
    <n v="17.11328125"/>
    <d v="2015-07-15T00:00:00"/>
    <n v="19.648"/>
    <d v="2015-07-15T00:00:00"/>
    <m/>
    <m/>
    <m/>
    <m/>
    <n v="11.6"/>
    <d v="2015-07-06T00:00:00"/>
    <m/>
    <m/>
    <m/>
    <m/>
    <m/>
    <m/>
    <m/>
    <n v="1"/>
    <d v="2015-06-25T00:00:00"/>
    <s v="VALIDE"/>
  </r>
  <r>
    <s v="RAPSO_230"/>
    <s v="Lirabon"/>
    <x v="0"/>
    <x v="2"/>
    <n v="83"/>
    <n v="6"/>
    <n v="24"/>
    <m/>
    <m/>
    <m/>
    <m/>
    <n v="6"/>
    <m/>
    <n v="5.16"/>
    <d v="2015-07-06T00:00:00"/>
    <m/>
    <m/>
    <m/>
    <m/>
    <n v="14.17"/>
    <d v="2015-07-15T00:00:00"/>
    <n v="18.5"/>
    <d v="2015-07-06T00:00:00"/>
    <m/>
    <m/>
    <m/>
    <m/>
    <m/>
    <m/>
    <x v="637"/>
    <m/>
    <n v="29.09"/>
    <d v="2015-07-06T00:00:00"/>
    <m/>
    <m/>
    <n v="135"/>
    <m/>
    <m/>
    <m/>
    <n v="107"/>
    <m/>
    <m/>
    <m/>
    <m/>
    <m/>
    <m/>
    <m/>
    <m/>
    <m/>
    <m/>
    <m/>
    <m/>
    <m/>
    <n v="3"/>
    <m/>
    <m/>
    <m/>
    <m/>
    <m/>
    <m/>
    <m/>
    <m/>
    <m/>
    <m/>
    <m/>
    <n v="64.212000000000003"/>
    <d v="2015-07-15T00:00:00"/>
    <m/>
    <m/>
    <m/>
    <m/>
    <n v="48.699844360351563"/>
    <d v="2015-07-15T00:00:00"/>
    <n v="18.544239044189453"/>
    <d v="2015-07-15T00:00:00"/>
    <n v="24.148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331"/>
    <s v="SYN07"/>
    <x v="1"/>
    <x v="1"/>
    <n v="168"/>
    <n v="18"/>
    <n v="12"/>
    <m/>
    <m/>
    <m/>
    <m/>
    <n v="8"/>
    <m/>
    <n v="5.26"/>
    <d v="2015-07-06T00:00:00"/>
    <m/>
    <m/>
    <m/>
    <m/>
    <n v="15.09"/>
    <d v="2015-07-15T00:00:00"/>
    <n v="18.5"/>
    <d v="2015-07-06T00:00:00"/>
    <m/>
    <m/>
    <m/>
    <m/>
    <m/>
    <m/>
    <x v="638"/>
    <m/>
    <n v="29.18"/>
    <d v="2015-07-06T00:00:00"/>
    <m/>
    <m/>
    <n v="10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683999999999997"/>
    <d v="2015-07-15T00:00:00"/>
    <m/>
    <m/>
    <m/>
    <m/>
    <n v="51.698986053466797"/>
    <d v="2015-07-15T00:00:00"/>
    <n v="16.787160873413086"/>
    <d v="2015-07-15T00:00:00"/>
    <n v="17.010999999999999"/>
    <d v="2015-07-15T00:00:00"/>
    <m/>
    <m/>
    <m/>
    <m/>
    <n v="8.4"/>
    <d v="2015-07-06T00:00:00"/>
    <m/>
    <m/>
    <m/>
    <m/>
    <m/>
    <m/>
    <m/>
    <n v="3"/>
    <d v="2015-06-25T00:00:00"/>
    <s v="VALIDE"/>
  </r>
  <r>
    <s v="RAPSO_305"/>
    <s v="AMILLIA"/>
    <x v="1"/>
    <x v="3"/>
    <n v="142"/>
    <n v="22"/>
    <n v="16"/>
    <m/>
    <m/>
    <m/>
    <m/>
    <n v="3"/>
    <m/>
    <n v="5.24"/>
    <d v="2015-07-06T00:00:00"/>
    <m/>
    <m/>
    <m/>
    <m/>
    <n v="15.19"/>
    <d v="2015-07-15T00:00:00"/>
    <n v="18.5"/>
    <d v="2015-07-06T00:00:00"/>
    <m/>
    <m/>
    <m/>
    <m/>
    <m/>
    <m/>
    <x v="639"/>
    <m/>
    <n v="28.635580635580634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369"/>
    <d v="2015-07-15T00:00:00"/>
    <m/>
    <m/>
    <m/>
    <m/>
    <n v="52.03680419921875"/>
    <d v="2015-07-15T00:00:00"/>
    <n v="16.300901412963867"/>
    <d v="2015-07-15T00:00:00"/>
    <n v="13.231999999999999"/>
    <d v="2015-07-15T00:00:00"/>
    <m/>
    <m/>
    <m/>
    <m/>
    <n v="8"/>
    <d v="2015-07-06T00:00:00"/>
    <m/>
    <m/>
    <m/>
    <m/>
    <m/>
    <m/>
    <m/>
    <n v="1"/>
    <d v="2015-06-25T00:00:00"/>
    <s v="VALIDE"/>
  </r>
  <r>
    <s v="Montego"/>
    <s v="Montego"/>
    <x v="1"/>
    <x v="1"/>
    <n v="187"/>
    <n v="13"/>
    <n v="16"/>
    <m/>
    <m/>
    <m/>
    <m/>
    <n v="7"/>
    <m/>
    <n v="5.23"/>
    <d v="2015-07-06T00:00:00"/>
    <m/>
    <m/>
    <m/>
    <m/>
    <n v="14.53"/>
    <d v="2015-07-15T00:00:00"/>
    <n v="18.5"/>
    <d v="2015-07-06T00:00:00"/>
    <m/>
    <m/>
    <m/>
    <m/>
    <m/>
    <m/>
    <x v="640"/>
    <m/>
    <n v="29.23"/>
    <d v="2015-07-06T00:00:00"/>
    <m/>
    <m/>
    <n v="12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134999999999998"/>
    <d v="2015-07-15T00:00:00"/>
    <m/>
    <m/>
    <m/>
    <m/>
    <n v="49.711219787597656"/>
    <d v="2015-07-15T00:00:00"/>
    <n v="18.685144424438477"/>
    <d v="2015-07-15T00:00:00"/>
    <n v="15.255000000000001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273"/>
    <s v="TAROX"/>
    <x v="1"/>
    <x v="1"/>
    <n v="107"/>
    <n v="13"/>
    <n v="13"/>
    <m/>
    <m/>
    <m/>
    <m/>
    <n v="8"/>
    <m/>
    <n v="5.25"/>
    <d v="2015-07-06T00:00:00"/>
    <m/>
    <m/>
    <m/>
    <m/>
    <n v="14.55"/>
    <d v="2015-07-15T00:00:00"/>
    <n v="18.5"/>
    <d v="2015-07-06T00:00:00"/>
    <m/>
    <m/>
    <m/>
    <m/>
    <m/>
    <m/>
    <x v="641"/>
    <m/>
    <n v="29.25"/>
    <d v="2015-07-06T00:00:00"/>
    <m/>
    <m/>
    <n v="14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1.595999999999997"/>
    <d v="2015-07-15T00:00:00"/>
    <m/>
    <m/>
    <m/>
    <m/>
    <n v="49.731117248535156"/>
    <d v="2015-07-15T00:00:00"/>
    <n v="18.264566421508789"/>
    <d v="2015-07-15T00:00:00"/>
    <n v="15.866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144"/>
    <s v="Bellini"/>
    <x v="0"/>
    <x v="2"/>
    <n v="47"/>
    <n v="2"/>
    <n v="14"/>
    <m/>
    <m/>
    <m/>
    <m/>
    <n v="6"/>
    <m/>
    <n v="5.2"/>
    <d v="2015-07-06T00:00:00"/>
    <m/>
    <m/>
    <m/>
    <m/>
    <n v="14.96"/>
    <d v="2015-07-15T00:00:00"/>
    <n v="18.5"/>
    <d v="2015-07-06T00:00:00"/>
    <m/>
    <m/>
    <m/>
    <m/>
    <m/>
    <m/>
    <x v="642"/>
    <m/>
    <n v="28.6949806949807"/>
    <d v="2015-07-06T00:00:00"/>
    <m/>
    <m/>
    <n v="140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63.636000000000003"/>
    <d v="2015-07-15T00:00:00"/>
    <m/>
    <m/>
    <m/>
    <m/>
    <n v="51.163414001464844"/>
    <d v="2015-07-15T00:00:00"/>
    <n v="17.484050750732422"/>
    <d v="2015-07-15T00:00:00"/>
    <n v="18.048999999999999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33"/>
    <s v="SYN09"/>
    <x v="1"/>
    <x v="1"/>
    <n v="170"/>
    <n v="13"/>
    <n v="7"/>
    <m/>
    <m/>
    <m/>
    <m/>
    <n v="9"/>
    <m/>
    <n v="5.26"/>
    <d v="2015-07-06T00:00:00"/>
    <m/>
    <m/>
    <m/>
    <m/>
    <n v="14.8"/>
    <d v="2015-07-15T00:00:00"/>
    <n v="18.5"/>
    <d v="2015-07-06T00:00:00"/>
    <m/>
    <m/>
    <m/>
    <m/>
    <m/>
    <m/>
    <x v="643"/>
    <m/>
    <n v="29.27"/>
    <d v="2015-07-06T00:00:00"/>
    <m/>
    <m/>
    <n v="140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5.596999999999994"/>
    <d v="2015-07-15T00:00:00"/>
    <m/>
    <m/>
    <m/>
    <m/>
    <n v="50.54705810546875"/>
    <d v="2015-07-15T00:00:00"/>
    <n v="18.100305557250977"/>
    <d v="2015-07-15T00:00:00"/>
    <n v="12.484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329"/>
    <s v="SYN05"/>
    <x v="0"/>
    <x v="2"/>
    <n v="166"/>
    <n v="5"/>
    <n v="30"/>
    <m/>
    <m/>
    <m/>
    <m/>
    <n v="6"/>
    <m/>
    <n v="5.2"/>
    <d v="2015-07-06T00:00:00"/>
    <m/>
    <m/>
    <m/>
    <m/>
    <n v="14.82"/>
    <d v="2015-07-15T00:00:00"/>
    <n v="18.5"/>
    <d v="2015-07-06T00:00:00"/>
    <m/>
    <m/>
    <m/>
    <m/>
    <m/>
    <m/>
    <x v="644"/>
    <m/>
    <n v="29.28"/>
    <d v="2015-07-06T00:00:00"/>
    <m/>
    <m/>
    <n v="13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4.835999999999999"/>
    <d v="2015-07-15T00:00:00"/>
    <m/>
    <m/>
    <m/>
    <m/>
    <n v="50.632392883300781"/>
    <d v="2015-07-15T00:00:00"/>
    <n v="17.250900268554687"/>
    <d v="2015-07-15T00:00:00"/>
    <n v="14.394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176"/>
    <s v="Darmor"/>
    <x v="0"/>
    <x v="2"/>
    <n v="62"/>
    <n v="3"/>
    <n v="1"/>
    <m/>
    <m/>
    <m/>
    <m/>
    <n v="7"/>
    <m/>
    <n v="5.23"/>
    <d v="2015-07-06T00:00:00"/>
    <m/>
    <m/>
    <m/>
    <m/>
    <n v="14.57"/>
    <d v="2015-07-15T00:00:00"/>
    <n v="18.5"/>
    <d v="2015-07-06T00:00:00"/>
    <m/>
    <m/>
    <m/>
    <m/>
    <m/>
    <m/>
    <x v="645"/>
    <m/>
    <n v="28.736263736263737"/>
    <d v="2015-07-06T00:00:00"/>
    <m/>
    <m/>
    <n v="15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1.890999999999998"/>
    <d v="2015-07-15T00:00:00"/>
    <m/>
    <m/>
    <m/>
    <m/>
    <n v="49.70849609375"/>
    <d v="2015-07-15T00:00:00"/>
    <n v="17.566825866699219"/>
    <d v="2015-07-15T00:00:00"/>
    <n v="27.26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208"/>
    <s v="Idol"/>
    <x v="1"/>
    <x v="3"/>
    <n v="73"/>
    <n v="21"/>
    <n v="9"/>
    <m/>
    <m/>
    <m/>
    <m/>
    <n v="8"/>
    <m/>
    <n v="5.3"/>
    <d v="2015-07-06T00:00:00"/>
    <m/>
    <m/>
    <m/>
    <m/>
    <n v="15.05"/>
    <d v="2015-07-15T00:00:00"/>
    <n v="18.5"/>
    <d v="2015-07-06T00:00:00"/>
    <m/>
    <m/>
    <m/>
    <m/>
    <m/>
    <m/>
    <x v="646"/>
    <m/>
    <n v="29.3"/>
    <d v="2015-07-06T00:00:00"/>
    <m/>
    <m/>
    <n v="13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7.171999999999997"/>
    <d v="2015-07-15T00:00:00"/>
    <m/>
    <m/>
    <m/>
    <m/>
    <n v="51.373497009277344"/>
    <d v="2015-07-15T00:00:00"/>
    <n v="17.818454742431641"/>
    <d v="2015-07-15T00:00:00"/>
    <n v="15.347"/>
    <d v="2015-07-15T00:00:00"/>
    <m/>
    <m/>
    <m/>
    <m/>
    <n v="8.6999999999999993"/>
    <d v="2015-07-06T00:00:00"/>
    <m/>
    <m/>
    <m/>
    <m/>
    <m/>
    <m/>
    <m/>
    <n v="3"/>
    <d v="2015-06-25T00:00:00"/>
    <s v="VALIDE"/>
  </r>
  <r>
    <s v="RAPSO_306"/>
    <s v="ANGELINA "/>
    <x v="1"/>
    <x v="1"/>
    <n v="143"/>
    <n v="15"/>
    <n v="2"/>
    <m/>
    <m/>
    <m/>
    <m/>
    <n v="7"/>
    <m/>
    <n v="5.26"/>
    <d v="2015-07-06T00:00:00"/>
    <m/>
    <m/>
    <m/>
    <m/>
    <n v="15.05"/>
    <d v="2015-07-15T00:00:00"/>
    <n v="18.5"/>
    <d v="2015-07-06T00:00:00"/>
    <m/>
    <m/>
    <m/>
    <m/>
    <m/>
    <m/>
    <x v="647"/>
    <m/>
    <n v="28.744876744876741"/>
    <d v="2015-07-06T00:00:00"/>
    <m/>
    <m/>
    <n v="13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2.476999999999997"/>
    <d v="2015-07-15T00:00:00"/>
    <m/>
    <m/>
    <m/>
    <m/>
    <n v="51.353317260742188"/>
    <d v="2015-07-15T00:00:00"/>
    <n v="16.564437866210938"/>
    <d v="2015-07-15T00:00:00"/>
    <n v="16.317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181"/>
    <s v="Eleonore"/>
    <x v="1"/>
    <x v="3"/>
    <n v="65"/>
    <n v="19"/>
    <n v="6"/>
    <m/>
    <m/>
    <m/>
    <m/>
    <n v="8"/>
    <m/>
    <n v="5.26"/>
    <d v="2015-07-06T00:00:00"/>
    <m/>
    <m/>
    <m/>
    <m/>
    <n v="15.05"/>
    <d v="2015-07-15T00:00:00"/>
    <n v="18.5"/>
    <d v="2015-07-06T00:00:00"/>
    <m/>
    <m/>
    <m/>
    <m/>
    <m/>
    <m/>
    <x v="648"/>
    <m/>
    <n v="29.34"/>
    <d v="2015-07-06T00:00:00"/>
    <m/>
    <m/>
    <n v="12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5.353999999999999"/>
    <d v="2015-07-15T00:00:00"/>
    <m/>
    <m/>
    <m/>
    <m/>
    <n v="51.283710479736328"/>
    <d v="2015-07-15T00:00:00"/>
    <n v="17.763015747070313"/>
    <d v="2015-07-15T00:00:00"/>
    <n v="16.866"/>
    <d v="2015-07-15T00:00:00"/>
    <m/>
    <m/>
    <m/>
    <m/>
    <n v="7.9"/>
    <d v="2015-07-06T00:00:00"/>
    <m/>
    <m/>
    <m/>
    <m/>
    <m/>
    <m/>
    <m/>
    <n v="5"/>
    <d v="2015-06-25T00:00:00"/>
    <s v="VALIDE"/>
  </r>
  <r>
    <s v="RAPSO_190"/>
    <s v="Evri"/>
    <x v="0"/>
    <x v="2"/>
    <n v="67"/>
    <n v="6"/>
    <n v="15"/>
    <m/>
    <m/>
    <m/>
    <m/>
    <n v="9"/>
    <m/>
    <n v="5.21"/>
    <d v="2015-07-06T00:00:00"/>
    <m/>
    <m/>
    <m/>
    <m/>
    <n v="14.8"/>
    <d v="2015-07-15T00:00:00"/>
    <n v="18.5"/>
    <d v="2015-07-06T00:00:00"/>
    <m/>
    <m/>
    <m/>
    <m/>
    <m/>
    <m/>
    <x v="649"/>
    <m/>
    <n v="28.78111078111078"/>
    <d v="2015-07-06T00:00:00"/>
    <m/>
    <m/>
    <n v="14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203000000000003"/>
    <d v="2015-07-15T00:00:00"/>
    <m/>
    <m/>
    <m/>
    <m/>
    <n v="50.454994201660156"/>
    <d v="2015-07-15T00:00:00"/>
    <n v="17.376129150390625"/>
    <d v="2015-07-15T00:00:00"/>
    <n v="21.77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296"/>
    <s v="ES-ALIENOR"/>
    <x v="1"/>
    <x v="3"/>
    <n v="133"/>
    <n v="23"/>
    <n v="6"/>
    <m/>
    <m/>
    <m/>
    <m/>
    <n v="8"/>
    <m/>
    <n v="5.34"/>
    <d v="2015-07-06T00:00:00"/>
    <m/>
    <m/>
    <m/>
    <m/>
    <n v="14.99"/>
    <d v="2015-07-15T00:00:00"/>
    <n v="18.5"/>
    <d v="2015-07-06T00:00:00"/>
    <m/>
    <m/>
    <m/>
    <m/>
    <m/>
    <m/>
    <x v="650"/>
    <m/>
    <n v="28.833145233145235"/>
    <d v="2015-07-06T00:00:00"/>
    <m/>
    <m/>
    <n v="11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4.396000000000001"/>
    <d v="2015-07-15T00:00:00"/>
    <m/>
    <m/>
    <m/>
    <m/>
    <n v="50.988597869873047"/>
    <d v="2015-07-15T00:00:00"/>
    <n v="17.075983047485352"/>
    <d v="2015-07-15T00:00:00"/>
    <n v="16.38"/>
    <d v="2015-07-15T00:00:00"/>
    <m/>
    <m/>
    <m/>
    <m/>
    <n v="9.1"/>
    <d v="2015-07-06T00:00:00"/>
    <m/>
    <m/>
    <m/>
    <m/>
    <m/>
    <m/>
    <m/>
    <n v="1"/>
    <d v="2015-06-25T00:00:00"/>
    <s v="VALIDE"/>
  </r>
  <r>
    <s v="RAPSO_321"/>
    <s v="RAGT-07"/>
    <x v="0"/>
    <x v="2"/>
    <n v="158"/>
    <n v="2"/>
    <n v="2"/>
    <m/>
    <m/>
    <m/>
    <m/>
    <n v="7"/>
    <m/>
    <n v="4.8600000000000003"/>
    <d v="2015-07-06T00:00:00"/>
    <m/>
    <m/>
    <m/>
    <m/>
    <m/>
    <d v="2015-07-15T00:00:00"/>
    <n v="18.5"/>
    <d v="2015-07-06T00:00:00"/>
    <m/>
    <m/>
    <m/>
    <m/>
    <m/>
    <m/>
    <x v="651"/>
    <m/>
    <m/>
    <d v="2015-07-06T00:00:00"/>
    <m/>
    <m/>
    <n v="15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m/>
    <d v="2015-07-06T00:00:00"/>
    <m/>
    <m/>
    <m/>
    <m/>
    <m/>
    <m/>
    <m/>
    <n v="1"/>
    <d v="2015-06-25T00:00:00"/>
    <s v="VALIDE"/>
  </r>
  <r>
    <s v="Alpaga"/>
    <s v="Alpaga"/>
    <x v="0"/>
    <x v="2"/>
    <n v="191"/>
    <n v="6"/>
    <n v="26"/>
    <m/>
    <m/>
    <m/>
    <m/>
    <n v="5"/>
    <m/>
    <n v="5.23"/>
    <d v="2015-07-06T00:00:00"/>
    <m/>
    <m/>
    <m/>
    <m/>
    <n v="14.94"/>
    <d v="2015-07-15T00:00:00"/>
    <n v="18.5"/>
    <d v="2015-07-06T00:00:00"/>
    <m/>
    <m/>
    <m/>
    <m/>
    <m/>
    <m/>
    <x v="652"/>
    <m/>
    <n v="29.45"/>
    <d v="2015-07-06T00:00:00"/>
    <m/>
    <m/>
    <n v="145"/>
    <m/>
    <m/>
    <m/>
    <n v="102"/>
    <m/>
    <m/>
    <m/>
    <m/>
    <m/>
    <m/>
    <m/>
    <m/>
    <m/>
    <m/>
    <m/>
    <m/>
    <m/>
    <n v="3"/>
    <m/>
    <m/>
    <m/>
    <m/>
    <m/>
    <m/>
    <m/>
    <m/>
    <m/>
    <m/>
    <m/>
    <n v="63.011000000000003"/>
    <d v="2015-07-15T00:00:00"/>
    <m/>
    <m/>
    <m/>
    <m/>
    <n v="50.740665435791016"/>
    <d v="2015-07-15T00:00:00"/>
    <n v="17.579290390014648"/>
    <d v="2015-07-15T00:00:00"/>
    <n v="29.667000000000002"/>
    <d v="2015-07-15T00:00:00"/>
    <m/>
    <m/>
    <m/>
    <m/>
    <n v="7"/>
    <d v="2015-07-06T00:00:00"/>
    <m/>
    <m/>
    <m/>
    <m/>
    <m/>
    <m/>
    <m/>
    <n v="5"/>
    <d v="2015-06-25T00:00:00"/>
    <s v="VALIDE"/>
  </r>
  <r>
    <s v="RAPSO_073"/>
    <s v="Belinda"/>
    <x v="0"/>
    <x v="2"/>
    <n v="25"/>
    <n v="5"/>
    <n v="11"/>
    <m/>
    <m/>
    <m/>
    <m/>
    <n v="7"/>
    <m/>
    <n v="5.24"/>
    <d v="2015-07-06T00:00:00"/>
    <m/>
    <m/>
    <m/>
    <m/>
    <n v="14.32"/>
    <d v="2015-07-15T00:00:00"/>
    <n v="18.5"/>
    <d v="2015-07-06T00:00:00"/>
    <m/>
    <m/>
    <m/>
    <m/>
    <m/>
    <m/>
    <x v="653"/>
    <m/>
    <n v="28.91571131571132"/>
    <d v="2015-07-06T00:00:00"/>
    <m/>
    <m/>
    <n v="14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1.588000000000001"/>
    <d v="2015-07-15T00:00:00"/>
    <m/>
    <m/>
    <m/>
    <m/>
    <n v="48.561630249023438"/>
    <d v="2015-07-15T00:00:00"/>
    <n v="19.248640060424805"/>
    <d v="2015-07-15T00:00:00"/>
    <n v="65.488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03"/>
    <s v="Grizzly"/>
    <x v="0"/>
    <x v="2"/>
    <n v="71"/>
    <n v="2"/>
    <n v="6"/>
    <m/>
    <m/>
    <m/>
    <m/>
    <n v="7"/>
    <m/>
    <n v="5.27"/>
    <d v="2015-07-06T00:00:00"/>
    <m/>
    <m/>
    <m/>
    <m/>
    <n v="14.67"/>
    <d v="2015-07-15T00:00:00"/>
    <n v="18.5"/>
    <d v="2015-07-06T00:00:00"/>
    <m/>
    <m/>
    <m/>
    <m/>
    <m/>
    <m/>
    <x v="654"/>
    <m/>
    <n v="28.956043956043953"/>
    <d v="2015-07-06T00:00:00"/>
    <m/>
    <m/>
    <n v="14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030999999999999"/>
    <d v="2015-07-15T00:00:00"/>
    <m/>
    <m/>
    <m/>
    <m/>
    <n v="49.676795959472656"/>
    <d v="2015-07-15T00:00:00"/>
    <n v="17.624485015869141"/>
    <d v="2015-07-15T00:00:00"/>
    <n v="24.484999999999999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328"/>
    <s v="SYN04"/>
    <x v="1"/>
    <x v="1"/>
    <n v="165"/>
    <n v="18"/>
    <n v="21"/>
    <m/>
    <m/>
    <m/>
    <m/>
    <n v="8"/>
    <m/>
    <n v="5.27"/>
    <d v="2015-07-06T00:00:00"/>
    <m/>
    <m/>
    <m/>
    <m/>
    <n v="15.03"/>
    <d v="2015-07-15T00:00:00"/>
    <n v="18.5"/>
    <d v="2015-07-06T00:00:00"/>
    <m/>
    <m/>
    <m/>
    <m/>
    <m/>
    <m/>
    <x v="654"/>
    <m/>
    <n v="29.52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195999999999998"/>
    <d v="2015-07-15T00:00:00"/>
    <m/>
    <m/>
    <m/>
    <m/>
    <n v="50.909576416015625"/>
    <d v="2015-07-15T00:00:00"/>
    <n v="18.420925140380859"/>
    <d v="2015-07-15T00:00:00"/>
    <n v="17.591999999999999"/>
    <d v="2015-07-15T00:00:00"/>
    <m/>
    <m/>
    <m/>
    <m/>
    <n v="7.5"/>
    <d v="2015-07-06T00:00:00"/>
    <m/>
    <m/>
    <m/>
    <m/>
    <m/>
    <m/>
    <m/>
    <n v="1"/>
    <d v="2015-06-25T00:00:00"/>
    <s v="VALIDE"/>
  </r>
  <r>
    <s v="Montego"/>
    <s v="Montego"/>
    <x v="0"/>
    <x v="2"/>
    <n v="185"/>
    <n v="5"/>
    <n v="28"/>
    <m/>
    <m/>
    <m/>
    <m/>
    <n v="7"/>
    <m/>
    <n v="5.26"/>
    <d v="2015-07-06T00:00:00"/>
    <m/>
    <m/>
    <m/>
    <m/>
    <n v="14.87"/>
    <d v="2015-07-15T00:00:00"/>
    <n v="18.5"/>
    <d v="2015-07-06T00:00:00"/>
    <m/>
    <m/>
    <m/>
    <m/>
    <m/>
    <m/>
    <x v="655"/>
    <m/>
    <n v="29.59"/>
    <d v="2015-07-06T00:00:00"/>
    <m/>
    <m/>
    <n v="130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5.117999999999995"/>
    <d v="2015-07-15T00:00:00"/>
    <m/>
    <m/>
    <m/>
    <m/>
    <n v="50.261257171630859"/>
    <d v="2015-07-15T00:00:00"/>
    <n v="18.438804626464844"/>
    <d v="2015-07-15T00:00:00"/>
    <n v="10.461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34"/>
    <s v="SYN10"/>
    <x v="1"/>
    <x v="1"/>
    <n v="171"/>
    <n v="16"/>
    <n v="6"/>
    <m/>
    <m/>
    <m/>
    <m/>
    <n v="5"/>
    <m/>
    <n v="5.32"/>
    <d v="2015-07-06T00:00:00"/>
    <m/>
    <m/>
    <m/>
    <m/>
    <n v="15.52"/>
    <d v="2015-07-15T00:00:00"/>
    <n v="18.5"/>
    <d v="2015-07-06T00:00:00"/>
    <m/>
    <m/>
    <m/>
    <m/>
    <m/>
    <m/>
    <x v="656"/>
    <m/>
    <n v="29.7"/>
    <d v="2015-07-06T00:00:00"/>
    <m/>
    <m/>
    <n v="12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254000000000005"/>
    <d v="2015-07-15T00:00:00"/>
    <m/>
    <m/>
    <m/>
    <m/>
    <n v="52.245590209960938"/>
    <d v="2015-07-15T00:00:00"/>
    <n v="17.337547302246094"/>
    <d v="2015-07-15T00:00:00"/>
    <n v="16.292999999999999"/>
    <d v="2015-07-15T00:00:00"/>
    <m/>
    <m/>
    <m/>
    <m/>
    <n v="7.8"/>
    <d v="2015-07-06T00:00:00"/>
    <m/>
    <m/>
    <m/>
    <m/>
    <m/>
    <m/>
    <m/>
    <n v="5"/>
    <d v="2015-06-25T00:00:00"/>
    <s v="VALIDE"/>
  </r>
  <r>
    <s v="RAPSO_076"/>
    <s v="Bienvenu - R33"/>
    <x v="0"/>
    <x v="2"/>
    <n v="27"/>
    <n v="2"/>
    <n v="27"/>
    <m/>
    <m/>
    <m/>
    <m/>
    <n v="6"/>
    <m/>
    <n v="5.27"/>
    <d v="2015-07-06T00:00:00"/>
    <m/>
    <m/>
    <m/>
    <m/>
    <n v="15.28"/>
    <d v="2015-07-15T00:00:00"/>
    <n v="18.5"/>
    <d v="2015-07-06T00:00:00"/>
    <m/>
    <m/>
    <m/>
    <m/>
    <m/>
    <m/>
    <x v="156"/>
    <m/>
    <n v="29.143866943866936"/>
    <d v="2015-07-06T00:00:00"/>
    <m/>
    <m/>
    <n v="15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3.332000000000001"/>
    <d v="2015-07-15T00:00:00"/>
    <m/>
    <m/>
    <m/>
    <m/>
    <n v="51.438499450683594"/>
    <d v="2015-07-15T00:00:00"/>
    <n v="17.167125701904297"/>
    <d v="2015-07-15T00:00:00"/>
    <n v="53.664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63"/>
    <s v="Rocket"/>
    <x v="0"/>
    <x v="2"/>
    <n v="101"/>
    <n v="3"/>
    <n v="12"/>
    <m/>
    <m/>
    <m/>
    <m/>
    <n v="8"/>
    <m/>
    <n v="5.27"/>
    <d v="2015-07-06T00:00:00"/>
    <m/>
    <m/>
    <m/>
    <m/>
    <n v="14.99"/>
    <d v="2015-07-15T00:00:00"/>
    <n v="18.5"/>
    <d v="2015-07-06T00:00:00"/>
    <m/>
    <m/>
    <m/>
    <m/>
    <m/>
    <m/>
    <x v="156"/>
    <m/>
    <n v="29.143866943866936"/>
    <d v="2015-07-06T00:00:00"/>
    <m/>
    <m/>
    <n v="145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5.459999999999994"/>
    <d v="2015-07-15T00:00:00"/>
    <m/>
    <m/>
    <m/>
    <m/>
    <n v="50.439903259277344"/>
    <d v="2015-07-15T00:00:00"/>
    <n v="17.319635391235352"/>
    <d v="2015-07-15T00:00:00"/>
    <n v="17.021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14"/>
    <s v="Maccarena"/>
    <x v="1"/>
    <x v="3"/>
    <n v="151"/>
    <n v="19"/>
    <n v="31"/>
    <m/>
    <m/>
    <m/>
    <m/>
    <n v="9"/>
    <m/>
    <n v="5.27"/>
    <d v="2015-07-06T00:00:00"/>
    <m/>
    <m/>
    <m/>
    <m/>
    <n v="15.14"/>
    <d v="2015-07-15T00:00:00"/>
    <n v="18.5"/>
    <d v="2015-07-06T00:00:00"/>
    <m/>
    <m/>
    <m/>
    <m/>
    <m/>
    <m/>
    <x v="657"/>
    <m/>
    <n v="29.206474606474604"/>
    <d v="2015-07-06T00:00:00"/>
    <m/>
    <m/>
    <n v="12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7.150000000000006"/>
    <d v="2015-07-15T00:00:00"/>
    <m/>
    <m/>
    <m/>
    <m/>
    <n v="50.874099731445313"/>
    <d v="2015-07-15T00:00:00"/>
    <n v="18.020233154296875"/>
    <d v="2015-07-15T00:00:00"/>
    <n v="14.558"/>
    <d v="2015-07-15T00:00:00"/>
    <m/>
    <m/>
    <m/>
    <m/>
    <n v="6.7"/>
    <d v="2015-07-06T00:00:00"/>
    <m/>
    <m/>
    <m/>
    <m/>
    <m/>
    <m/>
    <m/>
    <n v="1"/>
    <d v="2015-06-25T00:00:00"/>
    <s v="VALIDE"/>
  </r>
  <r>
    <s v="RAPSO_139"/>
    <s v="Atlantic"/>
    <x v="1"/>
    <x v="3"/>
    <n v="45"/>
    <n v="24"/>
    <n v="27"/>
    <m/>
    <m/>
    <m/>
    <m/>
    <n v="6"/>
    <m/>
    <n v="5.3"/>
    <d v="2015-07-06T00:00:00"/>
    <m/>
    <m/>
    <m/>
    <m/>
    <n v="15.3"/>
    <d v="2015-07-15T00:00:00"/>
    <n v="18.5"/>
    <d v="2015-07-06T00:00:00"/>
    <m/>
    <m/>
    <m/>
    <m/>
    <m/>
    <m/>
    <x v="658"/>
    <m/>
    <n v="29.215325215325215"/>
    <d v="2015-07-06T00:00:00"/>
    <m/>
    <m/>
    <n v="14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7.650999999999996"/>
    <d v="2015-07-15T00:00:00"/>
    <m/>
    <m/>
    <m/>
    <m/>
    <n v="51.383255004882813"/>
    <d v="2015-07-15T00:00:00"/>
    <n v="17.503582000732422"/>
    <d v="2015-07-15T00:00:00"/>
    <n v="17.698"/>
    <d v="2015-07-15T00:00:00"/>
    <m/>
    <m/>
    <m/>
    <m/>
    <n v="7.2"/>
    <d v="2015-07-06T00:00:00"/>
    <m/>
    <m/>
    <m/>
    <m/>
    <m/>
    <m/>
    <m/>
    <n v="1"/>
    <d v="2015-06-25T00:00:00"/>
    <s v="VALIDE"/>
  </r>
  <r>
    <s v="Montego"/>
    <s v="Montego"/>
    <x v="0"/>
    <x v="2"/>
    <n v="186"/>
    <n v="4"/>
    <n v="13"/>
    <m/>
    <m/>
    <m/>
    <m/>
    <n v="7"/>
    <m/>
    <n v="5.31"/>
    <d v="2015-07-06T00:00:00"/>
    <m/>
    <m/>
    <m/>
    <m/>
    <n v="15.1"/>
    <d v="2015-07-15T00:00:00"/>
    <n v="18.5"/>
    <d v="2015-07-06T00:00:00"/>
    <m/>
    <m/>
    <m/>
    <m/>
    <m/>
    <m/>
    <x v="659"/>
    <m/>
    <n v="29.81"/>
    <d v="2015-07-06T00:00:00"/>
    <m/>
    <m/>
    <n v="140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5.248000000000005"/>
    <d v="2015-07-15T00:00:00"/>
    <m/>
    <m/>
    <m/>
    <m/>
    <n v="50.642543792724609"/>
    <d v="2015-07-15T00:00:00"/>
    <n v="18.236011505126953"/>
    <d v="2015-07-15T00:00:00"/>
    <n v="14.64600000000000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479"/>
    <s v="SYNG11"/>
    <x v="1"/>
    <x v="3"/>
    <n v="179"/>
    <n v="19"/>
    <n v="8"/>
    <m/>
    <m/>
    <m/>
    <m/>
    <n v="9"/>
    <m/>
    <n v="5.43"/>
    <d v="2015-07-06T00:00:00"/>
    <m/>
    <m/>
    <m/>
    <m/>
    <n v="15.73"/>
    <d v="2015-07-15T00:00:00"/>
    <n v="18.5"/>
    <d v="2015-07-06T00:00:00"/>
    <m/>
    <m/>
    <m/>
    <m/>
    <m/>
    <m/>
    <x v="660"/>
    <m/>
    <n v="29.82"/>
    <d v="2015-07-06T00:00:00"/>
    <m/>
    <m/>
    <n v="11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3.064999999999998"/>
    <d v="2015-07-15T00:00:00"/>
    <m/>
    <m/>
    <m/>
    <m/>
    <n v="52.753780364990234"/>
    <d v="2015-07-15T00:00:00"/>
    <n v="15.731432914733887"/>
    <d v="2015-07-15T00:00:00"/>
    <n v="15.548999999999999"/>
    <d v="2015-07-15T00:00:00"/>
    <m/>
    <m/>
    <m/>
    <m/>
    <n v="9.3000000000000007"/>
    <d v="2015-07-06T00:00:00"/>
    <m/>
    <m/>
    <m/>
    <m/>
    <m/>
    <m/>
    <m/>
    <n v="1"/>
    <d v="2015-06-25T00:00:00"/>
    <s v="VALIDE"/>
  </r>
  <r>
    <s v="RAPSO_311"/>
    <s v="ONTARIO"/>
    <x v="1"/>
    <x v="1"/>
    <n v="148"/>
    <n v="13"/>
    <n v="14"/>
    <m/>
    <m/>
    <m/>
    <m/>
    <n v="8"/>
    <m/>
    <n v="5.34"/>
    <d v="2015-07-06T00:00:00"/>
    <m/>
    <m/>
    <m/>
    <m/>
    <n v="14.6"/>
    <d v="2015-07-15T00:00:00"/>
    <n v="18.5"/>
    <d v="2015-07-06T00:00:00"/>
    <m/>
    <m/>
    <m/>
    <m/>
    <m/>
    <m/>
    <x v="661"/>
    <m/>
    <n v="29.308939708939715"/>
    <d v="2015-07-06T00:00:00"/>
    <m/>
    <m/>
    <n v="14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734000000000002"/>
    <d v="2015-07-15T00:00:00"/>
    <m/>
    <m/>
    <m/>
    <m/>
    <n v="48.849849700927734"/>
    <d v="2015-07-15T00:00:00"/>
    <n v="18.582065582275391"/>
    <d v="2015-07-15T00:00:00"/>
    <n v="16.457000000000001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029"/>
    <s v="Markus"/>
    <x v="0"/>
    <x v="2"/>
    <n v="8"/>
    <n v="3"/>
    <n v="25"/>
    <m/>
    <m/>
    <m/>
    <m/>
    <n v="8"/>
    <m/>
    <n v="5.3"/>
    <d v="2015-07-06T00:00:00"/>
    <m/>
    <m/>
    <m/>
    <m/>
    <n v="15.66"/>
    <d v="2015-07-15T00:00:00"/>
    <n v="18.5"/>
    <d v="2015-07-06T00:00:00"/>
    <m/>
    <m/>
    <m/>
    <m/>
    <m/>
    <m/>
    <x v="662"/>
    <m/>
    <n v="29.88"/>
    <d v="2015-07-06T00:00:00"/>
    <m/>
    <m/>
    <n v="17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5.004000000000005"/>
    <d v="2015-07-15T00:00:00"/>
    <m/>
    <m/>
    <m/>
    <m/>
    <n v="52.413963317871094"/>
    <d v="2015-07-15T00:00:00"/>
    <n v="18.308956146240234"/>
    <d v="2015-07-15T00:00:00"/>
    <n v="59.366999999999997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317"/>
    <s v="RAGT-03"/>
    <x v="0"/>
    <x v="2"/>
    <n v="154"/>
    <n v="5"/>
    <n v="25"/>
    <m/>
    <m/>
    <m/>
    <m/>
    <n v="7"/>
    <m/>
    <n v="5.32"/>
    <d v="2015-07-06T00:00:00"/>
    <m/>
    <m/>
    <m/>
    <m/>
    <n v="15.26"/>
    <d v="2015-07-15T00:00:00"/>
    <n v="18.5"/>
    <d v="2015-07-06T00:00:00"/>
    <m/>
    <m/>
    <m/>
    <m/>
    <m/>
    <m/>
    <x v="663"/>
    <m/>
    <n v="29.9"/>
    <d v="2015-07-06T00:00:00"/>
    <m/>
    <m/>
    <n v="16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2.869"/>
    <d v="2015-07-15T00:00:00"/>
    <m/>
    <m/>
    <m/>
    <m/>
    <n v="51.047653198242188"/>
    <d v="2015-07-15T00:00:00"/>
    <n v="15.906769752502441"/>
    <d v="2015-07-15T00:00:00"/>
    <n v="16.931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108"/>
    <s v="Mikado"/>
    <x v="0"/>
    <x v="2"/>
    <n v="35"/>
    <n v="6"/>
    <n v="3"/>
    <m/>
    <m/>
    <m/>
    <m/>
    <n v="7"/>
    <m/>
    <n v="5.31"/>
    <d v="2015-07-06T00:00:00"/>
    <m/>
    <m/>
    <m/>
    <m/>
    <n v="15.93"/>
    <d v="2015-07-15T00:00:00"/>
    <n v="18.5"/>
    <d v="2015-07-06T00:00:00"/>
    <m/>
    <m/>
    <m/>
    <m/>
    <m/>
    <m/>
    <x v="664"/>
    <m/>
    <n v="29.365072765072757"/>
    <d v="2015-07-06T00:00:00"/>
    <m/>
    <m/>
    <n v="13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1.709000000000003"/>
    <d v="2015-07-15T00:00:00"/>
    <m/>
    <m/>
    <m/>
    <m/>
    <n v="53.206794738769531"/>
    <d v="2015-07-15T00:00:00"/>
    <n v="17.790998458862305"/>
    <d v="2015-07-15T00:00:00"/>
    <n v="53.33299999999999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19"/>
    <s v="Lewis"/>
    <x v="1"/>
    <x v="1"/>
    <n v="78"/>
    <n v="14"/>
    <n v="4"/>
    <m/>
    <m/>
    <m/>
    <m/>
    <n v="8"/>
    <m/>
    <n v="5.41"/>
    <d v="2015-07-06T00:00:00"/>
    <m/>
    <m/>
    <m/>
    <m/>
    <n v="14.86"/>
    <d v="2015-07-15T00:00:00"/>
    <n v="18.5"/>
    <d v="2015-07-06T00:00:00"/>
    <m/>
    <m/>
    <m/>
    <m/>
    <m/>
    <m/>
    <x v="665"/>
    <m/>
    <n v="29.371784971784972"/>
    <d v="2015-07-06T00:00:00"/>
    <m/>
    <m/>
    <n v="12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0.744"/>
    <d v="2015-07-15T00:00:00"/>
    <m/>
    <m/>
    <m/>
    <m/>
    <n v="49.622379302978516"/>
    <d v="2015-07-15T00:00:00"/>
    <n v="16.588657379150391"/>
    <d v="2015-07-15T00:00:00"/>
    <n v="19.404"/>
    <d v="2015-07-15T00:00:00"/>
    <m/>
    <m/>
    <m/>
    <m/>
    <n v="8.6"/>
    <d v="2015-07-06T00:00:00"/>
    <m/>
    <m/>
    <m/>
    <m/>
    <m/>
    <m/>
    <m/>
    <n v="1"/>
    <d v="2015-06-25T00:00:00"/>
    <s v="VALIDE"/>
  </r>
  <r>
    <s v="RAPSO_311"/>
    <s v="ONTARIO"/>
    <x v="0"/>
    <x v="2"/>
    <n v="148"/>
    <n v="1"/>
    <n v="20"/>
    <m/>
    <m/>
    <m/>
    <m/>
    <n v="9"/>
    <m/>
    <n v="5.32"/>
    <d v="2015-07-06T00:00:00"/>
    <m/>
    <m/>
    <m/>
    <m/>
    <n v="15.08"/>
    <d v="2015-07-15T00:00:00"/>
    <n v="18.5"/>
    <d v="2015-07-06T00:00:00"/>
    <m/>
    <m/>
    <m/>
    <m/>
    <m/>
    <m/>
    <x v="666"/>
    <m/>
    <n v="29.388773388773387"/>
    <d v="2015-07-06T00:00:00"/>
    <m/>
    <m/>
    <n v="16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4.466999999999999"/>
    <d v="2015-07-15T00:00:00"/>
    <m/>
    <m/>
    <m/>
    <m/>
    <n v="50.335990905761719"/>
    <d v="2015-07-15T00:00:00"/>
    <n v="17.271625518798828"/>
    <d v="2015-07-15T00:00:00"/>
    <n v="19.292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473"/>
    <s v="Anastasia"/>
    <x v="1"/>
    <x v="3"/>
    <n v="175"/>
    <n v="20"/>
    <n v="10"/>
    <m/>
    <m/>
    <m/>
    <m/>
    <n v="8"/>
    <m/>
    <n v="5.4"/>
    <d v="2015-07-06T00:00:00"/>
    <m/>
    <m/>
    <m/>
    <m/>
    <n v="15.5"/>
    <d v="2015-07-15T00:00:00"/>
    <n v="18.5"/>
    <d v="2015-07-06T00:00:00"/>
    <m/>
    <m/>
    <m/>
    <m/>
    <m/>
    <m/>
    <x v="667"/>
    <m/>
    <n v="30.08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505000000000003"/>
    <d v="2015-07-15T00:00:00"/>
    <m/>
    <m/>
    <m/>
    <m/>
    <n v="51.528022766113281"/>
    <d v="2015-07-15T00:00:00"/>
    <n v="16.5216064453125"/>
    <d v="2015-07-15T00:00:00"/>
    <n v="17.5"/>
    <d v="2015-07-15T00:00:00"/>
    <m/>
    <m/>
    <m/>
    <m/>
    <n v="8"/>
    <d v="2015-07-06T00:00:00"/>
    <m/>
    <m/>
    <m/>
    <m/>
    <m/>
    <m/>
    <m/>
    <n v="3"/>
    <d v="2015-06-25T00:00:00"/>
    <s v="VALIDE"/>
  </r>
  <r>
    <s v="RAPSO_480"/>
    <s v="SYNG12"/>
    <x v="1"/>
    <x v="1"/>
    <n v="180"/>
    <n v="13"/>
    <n v="20"/>
    <m/>
    <m/>
    <m/>
    <m/>
    <n v="9"/>
    <m/>
    <n v="5.38"/>
    <d v="2015-07-06T00:00:00"/>
    <m/>
    <m/>
    <m/>
    <m/>
    <n v="15.03"/>
    <d v="2015-07-15T00:00:00"/>
    <n v="18.5"/>
    <d v="2015-07-06T00:00:00"/>
    <m/>
    <m/>
    <m/>
    <m/>
    <m/>
    <m/>
    <x v="668"/>
    <m/>
    <n v="30.1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835000000000001"/>
    <d v="2015-07-15T00:00:00"/>
    <m/>
    <m/>
    <m/>
    <m/>
    <n v="49.938804626464844"/>
    <d v="2015-07-15T00:00:00"/>
    <n v="16.883522033691406"/>
    <d v="2015-07-15T00:00:00"/>
    <n v="18.978000000000002"/>
    <d v="2015-07-15T00:00:00"/>
    <m/>
    <m/>
    <m/>
    <m/>
    <n v="7.6"/>
    <d v="2015-07-06T00:00:00"/>
    <m/>
    <m/>
    <m/>
    <m/>
    <m/>
    <m/>
    <m/>
    <n v="1"/>
    <d v="2015-06-25T00:00:00"/>
    <s v="VALIDE"/>
  </r>
  <r>
    <s v="Aviso"/>
    <s v="Aviso"/>
    <x v="1"/>
    <x v="1"/>
    <n v="182"/>
    <n v="18"/>
    <n v="15"/>
    <m/>
    <m/>
    <m/>
    <m/>
    <n v="8"/>
    <m/>
    <n v="5.4"/>
    <d v="2015-07-06T00:00:00"/>
    <m/>
    <m/>
    <m/>
    <m/>
    <n v="14.95"/>
    <d v="2015-07-15T00:00:00"/>
    <n v="18.5"/>
    <d v="2015-07-06T00:00:00"/>
    <m/>
    <m/>
    <m/>
    <m/>
    <m/>
    <m/>
    <x v="669"/>
    <m/>
    <n v="30.12"/>
    <d v="2015-07-06T00:00:00"/>
    <m/>
    <m/>
    <n v="11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42"/>
    <d v="2015-07-15T00:00:00"/>
    <m/>
    <m/>
    <m/>
    <m/>
    <n v="49.638557434082031"/>
    <d v="2015-07-15T00:00:00"/>
    <n v="18.739999771118164"/>
    <d v="2015-07-15T00:00:00"/>
    <n v="15.489000000000001"/>
    <d v="2015-07-15T00:00:00"/>
    <m/>
    <m/>
    <m/>
    <m/>
    <n v="7.9"/>
    <d v="2015-07-06T00:00:00"/>
    <m/>
    <m/>
    <m/>
    <m/>
    <m/>
    <m/>
    <m/>
    <n v="3"/>
    <d v="2015-06-25T00:00:00"/>
    <s v="VALIDE"/>
  </r>
  <r>
    <s v="RAPSO_323"/>
    <s v="RAGT-09"/>
    <x v="0"/>
    <x v="2"/>
    <n v="160"/>
    <n v="1"/>
    <n v="15"/>
    <m/>
    <m/>
    <m/>
    <m/>
    <n v="9"/>
    <m/>
    <n v="5.37"/>
    <d v="2015-07-06T00:00:00"/>
    <m/>
    <m/>
    <m/>
    <m/>
    <n v="15.39"/>
    <d v="2015-07-15T00:00:00"/>
    <n v="18.5"/>
    <d v="2015-07-06T00:00:00"/>
    <m/>
    <m/>
    <m/>
    <m/>
    <m/>
    <m/>
    <x v="670"/>
    <m/>
    <n v="30.18"/>
    <d v="2015-07-06T00:00:00"/>
    <m/>
    <m/>
    <n v="170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3.55"/>
    <d v="2015-07-15T00:00:00"/>
    <m/>
    <m/>
    <m/>
    <m/>
    <n v="51.001785278320313"/>
    <d v="2015-07-15T00:00:00"/>
    <n v="17.348735809326172"/>
    <d v="2015-07-15T00:00:00"/>
    <n v="12.923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34"/>
    <s v="Makila"/>
    <x v="0"/>
    <x v="2"/>
    <n v="86"/>
    <n v="1"/>
    <n v="28"/>
    <m/>
    <m/>
    <m/>
    <m/>
    <n v="8"/>
    <m/>
    <n v="5.37"/>
    <d v="2015-07-06T00:00:00"/>
    <m/>
    <m/>
    <m/>
    <m/>
    <n v="15.76"/>
    <d v="2015-07-15T00:00:00"/>
    <n v="18.5"/>
    <d v="2015-07-06T00:00:00"/>
    <m/>
    <m/>
    <m/>
    <m/>
    <m/>
    <m/>
    <x v="671"/>
    <m/>
    <n v="29.63308583308584"/>
    <d v="2015-07-06T00:00:00"/>
    <m/>
    <m/>
    <n v="14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811999999999998"/>
    <d v="2015-07-15T00:00:00"/>
    <m/>
    <m/>
    <m/>
    <m/>
    <n v="52.169868469238281"/>
    <d v="2015-07-15T00:00:00"/>
    <n v="16.776174545288086"/>
    <d v="2015-07-15T00:00:00"/>
    <n v="21.422999999999998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27"/>
    <s v="SYN03"/>
    <x v="1"/>
    <x v="1"/>
    <n v="164"/>
    <n v="17"/>
    <n v="23"/>
    <m/>
    <m/>
    <m/>
    <m/>
    <n v="7"/>
    <m/>
    <n v="5.4"/>
    <d v="2015-07-06T00:00:00"/>
    <m/>
    <m/>
    <m/>
    <m/>
    <n v="14.72"/>
    <d v="2015-07-15T00:00:00"/>
    <n v="18.5"/>
    <d v="2015-07-06T00:00:00"/>
    <m/>
    <m/>
    <m/>
    <m/>
    <m/>
    <m/>
    <x v="672"/>
    <m/>
    <n v="30.21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198999999999998"/>
    <d v="2015-07-15T00:00:00"/>
    <m/>
    <m/>
    <m/>
    <m/>
    <n v="48.7099609375"/>
    <d v="2015-07-15T00:00:00"/>
    <n v="18.014139175415039"/>
    <d v="2015-07-15T00:00:00"/>
    <n v="14.958"/>
    <d v="2015-07-15T00:00:00"/>
    <m/>
    <m/>
    <m/>
    <m/>
    <n v="7.6"/>
    <d v="2015-07-06T00:00:00"/>
    <m/>
    <m/>
    <m/>
    <m/>
    <m/>
    <m/>
    <m/>
    <n v="5"/>
    <d v="2015-06-25T00:00:00"/>
    <s v="VALIDE"/>
  </r>
  <r>
    <s v="RAPSO_327"/>
    <s v="SYN03"/>
    <x v="1"/>
    <x v="3"/>
    <n v="164"/>
    <n v="21"/>
    <n v="10"/>
    <m/>
    <m/>
    <m/>
    <m/>
    <n v="9"/>
    <m/>
    <n v="5.44"/>
    <d v="2015-07-06T00:00:00"/>
    <m/>
    <m/>
    <m/>
    <m/>
    <n v="15.62"/>
    <d v="2015-07-15T00:00:00"/>
    <n v="18.5"/>
    <d v="2015-07-06T00:00:00"/>
    <m/>
    <m/>
    <m/>
    <m/>
    <m/>
    <m/>
    <x v="673"/>
    <m/>
    <n v="30.27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341000000000001"/>
    <d v="2015-07-15T00:00:00"/>
    <m/>
    <m/>
    <m/>
    <m/>
    <n v="51.608749389648438"/>
    <d v="2015-07-15T00:00:00"/>
    <n v="16.391689300537109"/>
    <d v="2015-07-15T00:00:00"/>
    <n v="16.87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319"/>
    <s v="RAGT-05"/>
    <x v="1"/>
    <x v="1"/>
    <n v="156"/>
    <n v="14"/>
    <n v="21"/>
    <m/>
    <m/>
    <m/>
    <m/>
    <n v="5"/>
    <m/>
    <n v="5.39"/>
    <d v="2015-07-06T00:00:00"/>
    <m/>
    <m/>
    <m/>
    <m/>
    <n v="14.88"/>
    <d v="2015-07-15T00:00:00"/>
    <n v="18.5"/>
    <d v="2015-07-06T00:00:00"/>
    <m/>
    <m/>
    <m/>
    <m/>
    <m/>
    <m/>
    <x v="674"/>
    <m/>
    <n v="30.29"/>
    <d v="2015-07-06T00:00:00"/>
    <m/>
    <m/>
    <n v="10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704999999999998"/>
    <d v="2015-07-15T00:00:00"/>
    <m/>
    <m/>
    <m/>
    <m/>
    <n v="49.133499145507812"/>
    <d v="2015-07-15T00:00:00"/>
    <n v="18.532466888427734"/>
    <d v="2015-07-15T00:00:00"/>
    <n v="18.309999999999999"/>
    <d v="2015-07-15T00:00:00"/>
    <m/>
    <m/>
    <m/>
    <m/>
    <n v="7.2"/>
    <d v="2015-07-06T00:00:00"/>
    <m/>
    <m/>
    <m/>
    <m/>
    <m/>
    <m/>
    <m/>
    <n v="5"/>
    <d v="2015-06-25T00:00:00"/>
    <s v="VALIDE"/>
  </r>
  <r>
    <s v="RAPSO_326"/>
    <s v="SYN02"/>
    <x v="1"/>
    <x v="3"/>
    <n v="163"/>
    <n v="24"/>
    <n v="20"/>
    <m/>
    <m/>
    <m/>
    <m/>
    <n v="9"/>
    <m/>
    <n v="5.38"/>
    <d v="2015-07-06T00:00:00"/>
    <m/>
    <m/>
    <m/>
    <m/>
    <n v="15.53"/>
    <d v="2015-07-15T00:00:00"/>
    <n v="18.5"/>
    <d v="2015-07-06T00:00:00"/>
    <m/>
    <m/>
    <m/>
    <m/>
    <m/>
    <m/>
    <x v="675"/>
    <m/>
    <n v="30.3"/>
    <d v="2015-07-06T00:00:00"/>
    <m/>
    <m/>
    <n v="15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734000000000002"/>
    <d v="2015-07-15T00:00:00"/>
    <m/>
    <m/>
    <m/>
    <m/>
    <n v="51.261566162109375"/>
    <d v="2015-07-15T00:00:00"/>
    <n v="16.747081756591797"/>
    <d v="2015-07-15T00:00:00"/>
    <n v="16.61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260"/>
    <s v="Recital"/>
    <x v="0"/>
    <x v="2"/>
    <n v="99"/>
    <n v="5"/>
    <n v="15"/>
    <m/>
    <m/>
    <m/>
    <m/>
    <n v="8"/>
    <m/>
    <n v="5.4"/>
    <d v="2015-07-06T00:00:00"/>
    <m/>
    <m/>
    <m/>
    <m/>
    <n v="15.45"/>
    <d v="2015-07-15T00:00:00"/>
    <n v="18.5"/>
    <d v="2015-07-06T00:00:00"/>
    <m/>
    <m/>
    <m/>
    <m/>
    <m/>
    <m/>
    <x v="676"/>
    <m/>
    <n v="29.734481734481733"/>
    <d v="2015-07-06T00:00:00"/>
    <m/>
    <m/>
    <n v="14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3.956000000000003"/>
    <d v="2015-07-15T00:00:00"/>
    <m/>
    <m/>
    <m/>
    <m/>
    <n v="50.975086212158203"/>
    <d v="2015-07-15T00:00:00"/>
    <n v="17.486894607543945"/>
    <d v="2015-07-15T00:00:00"/>
    <n v="21.065999999999999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15"/>
    <s v="RAGT-01"/>
    <x v="1"/>
    <x v="3"/>
    <n v="152"/>
    <n v="20"/>
    <n v="22"/>
    <m/>
    <m/>
    <m/>
    <m/>
    <n v="7"/>
    <m/>
    <n v="5.42"/>
    <d v="2015-07-06T00:00:00"/>
    <m/>
    <m/>
    <m/>
    <m/>
    <n v="14.94"/>
    <d v="2015-07-15T00:00:00"/>
    <n v="18.5"/>
    <d v="2015-07-06T00:00:00"/>
    <m/>
    <m/>
    <m/>
    <m/>
    <m/>
    <m/>
    <x v="677"/>
    <m/>
    <n v="30.36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783000000000001"/>
    <d v="2015-07-15T00:00:00"/>
    <m/>
    <m/>
    <m/>
    <m/>
    <n v="49.222698211669922"/>
    <d v="2015-07-15T00:00:00"/>
    <n v="19.24810791015625"/>
    <d v="2015-07-15T00:00:00"/>
    <n v="15.912000000000001"/>
    <d v="2015-07-15T00:00:00"/>
    <m/>
    <m/>
    <m/>
    <m/>
    <n v="7.5"/>
    <d v="2015-07-06T00:00:00"/>
    <m/>
    <m/>
    <m/>
    <m/>
    <m/>
    <m/>
    <m/>
    <n v="3"/>
    <d v="2015-06-25T00:00:00"/>
    <s v="VALIDE"/>
  </r>
  <r>
    <s v="Aviso"/>
    <s v="Aviso"/>
    <x v="1"/>
    <x v="3"/>
    <n v="182"/>
    <n v="20"/>
    <n v="17"/>
    <m/>
    <m/>
    <m/>
    <m/>
    <n v="7"/>
    <m/>
    <n v="5.45"/>
    <d v="2015-07-06T00:00:00"/>
    <m/>
    <m/>
    <m/>
    <m/>
    <n v="15"/>
    <d v="2015-07-15T00:00:00"/>
    <n v="18.5"/>
    <d v="2015-07-06T00:00:00"/>
    <m/>
    <m/>
    <m/>
    <m/>
    <m/>
    <m/>
    <x v="678"/>
    <m/>
    <n v="30.36"/>
    <d v="2015-07-06T00:00:00"/>
    <m/>
    <m/>
    <n v="12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936"/>
    <d v="2015-07-15T00:00:00"/>
    <m/>
    <m/>
    <m/>
    <m/>
    <n v="49.404117584228516"/>
    <d v="2015-07-15T00:00:00"/>
    <n v="18.434833526611328"/>
    <d v="2015-07-15T00:00:00"/>
    <n v="21.65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476"/>
    <s v="RAGT-13"/>
    <x v="1"/>
    <x v="3"/>
    <n v="176"/>
    <n v="23"/>
    <n v="16"/>
    <m/>
    <m/>
    <m/>
    <m/>
    <n v="8"/>
    <m/>
    <n v="5.46"/>
    <d v="2015-07-06T00:00:00"/>
    <m/>
    <m/>
    <m/>
    <m/>
    <n v="15.54"/>
    <d v="2015-07-15T00:00:00"/>
    <n v="18.5"/>
    <d v="2015-07-06T00:00:00"/>
    <m/>
    <m/>
    <m/>
    <m/>
    <m/>
    <m/>
    <x v="679"/>
    <m/>
    <n v="30.45"/>
    <d v="2015-07-06T00:00:00"/>
    <m/>
    <m/>
    <n v="13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4.106999999999999"/>
    <d v="2015-07-15T00:00:00"/>
    <m/>
    <m/>
    <m/>
    <m/>
    <n v="51.019943237304688"/>
    <d v="2015-07-15T00:00:00"/>
    <n v="16.788986206054687"/>
    <d v="2015-07-15T00:00:00"/>
    <n v="16.803999999999998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162"/>
    <s v="CAPVERT"/>
    <x v="1"/>
    <x v="1"/>
    <n v="55"/>
    <n v="18"/>
    <n v="7"/>
    <m/>
    <m/>
    <m/>
    <m/>
    <n v="9"/>
    <m/>
    <n v="5.49"/>
    <d v="2015-07-06T00:00:00"/>
    <m/>
    <m/>
    <m/>
    <m/>
    <n v="15.71"/>
    <d v="2015-07-15T00:00:00"/>
    <n v="18.5"/>
    <d v="2015-07-06T00:00:00"/>
    <m/>
    <m/>
    <m/>
    <m/>
    <m/>
    <m/>
    <x v="680"/>
    <m/>
    <n v="29.871339471339471"/>
    <d v="2015-07-06T00:00:00"/>
    <m/>
    <m/>
    <n v="11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725999999999999"/>
    <d v="2015-07-15T00:00:00"/>
    <m/>
    <m/>
    <m/>
    <m/>
    <n v="51.597129821777344"/>
    <d v="2015-07-15T00:00:00"/>
    <n v="17.141046524047852"/>
    <d v="2015-07-15T00:00:00"/>
    <n v="16.236999999999998"/>
    <d v="2015-07-15T00:00:00"/>
    <m/>
    <m/>
    <m/>
    <m/>
    <n v="8.4"/>
    <d v="2015-07-06T00:00:00"/>
    <m/>
    <m/>
    <m/>
    <m/>
    <m/>
    <m/>
    <m/>
    <n v="1"/>
    <d v="2015-06-25T00:00:00"/>
    <s v="VALIDE"/>
  </r>
  <r>
    <s v="RAPSO_246"/>
    <s v="NSL 96-25"/>
    <x v="0"/>
    <x v="2"/>
    <n v="91"/>
    <n v="2"/>
    <n v="9"/>
    <m/>
    <m/>
    <m/>
    <m/>
    <n v="5"/>
    <m/>
    <n v="5.42"/>
    <d v="2015-07-06T00:00:00"/>
    <m/>
    <m/>
    <m/>
    <m/>
    <n v="14.13"/>
    <d v="2015-07-15T00:00:00"/>
    <n v="18.5"/>
    <d v="2015-07-06T00:00:00"/>
    <m/>
    <m/>
    <m/>
    <m/>
    <m/>
    <m/>
    <x v="681"/>
    <m/>
    <n v="29.876804276804275"/>
    <d v="2015-07-06T00:00:00"/>
    <m/>
    <m/>
    <n v="15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0.064"/>
    <d v="2015-07-15T00:00:00"/>
    <m/>
    <m/>
    <m/>
    <m/>
    <n v="46.398880004882812"/>
    <d v="2015-07-15T00:00:00"/>
    <n v="18.576961517333984"/>
    <d v="2015-07-15T00:00:00"/>
    <n v="21.629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96"/>
    <s v="ES-ALIENOR"/>
    <x v="1"/>
    <x v="1"/>
    <n v="133"/>
    <n v="18"/>
    <n v="23"/>
    <m/>
    <m/>
    <m/>
    <m/>
    <n v="9"/>
    <m/>
    <n v="5.43"/>
    <d v="2015-07-06T00:00:00"/>
    <m/>
    <m/>
    <m/>
    <m/>
    <n v="14.82"/>
    <d v="2015-07-15T00:00:00"/>
    <n v="18.5"/>
    <d v="2015-07-06T00:00:00"/>
    <m/>
    <m/>
    <m/>
    <m/>
    <m/>
    <m/>
    <x v="682"/>
    <m/>
    <n v="29.899673299673296"/>
    <d v="2015-07-06T00:00:00"/>
    <m/>
    <m/>
    <n v="11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869"/>
    <d v="2015-07-15T00:00:00"/>
    <m/>
    <m/>
    <m/>
    <m/>
    <n v="48.60986328125"/>
    <d v="2015-07-15T00:00:00"/>
    <n v="18.991735458374023"/>
    <d v="2015-07-15T00:00:00"/>
    <n v="17.422999999999998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208"/>
    <s v="Idol"/>
    <x v="1"/>
    <x v="1"/>
    <n v="73"/>
    <n v="15"/>
    <n v="32"/>
    <m/>
    <m/>
    <m/>
    <m/>
    <n v="9"/>
    <m/>
    <n v="5.42"/>
    <d v="2015-07-06T00:00:00"/>
    <m/>
    <m/>
    <m/>
    <m/>
    <n v="15.99"/>
    <d v="2015-07-15T00:00:00"/>
    <n v="18.5"/>
    <d v="2015-07-06T00:00:00"/>
    <m/>
    <m/>
    <m/>
    <m/>
    <m/>
    <m/>
    <x v="683"/>
    <m/>
    <n v="30.005583605583613"/>
    <d v="2015-07-06T00:00:00"/>
    <m/>
    <m/>
    <n v="14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8.465999999999994"/>
    <d v="2015-07-15T00:00:00"/>
    <m/>
    <m/>
    <m/>
    <m/>
    <n v="52.255821228027344"/>
    <d v="2015-07-15T00:00:00"/>
    <n v="17.66265869140625"/>
    <d v="2015-07-15T00:00:00"/>
    <n v="13.984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167"/>
    <s v="Chelsi"/>
    <x v="0"/>
    <x v="2"/>
    <n v="57"/>
    <n v="4"/>
    <n v="14"/>
    <m/>
    <m/>
    <m/>
    <m/>
    <n v="7"/>
    <m/>
    <n v="5.44"/>
    <d v="2015-07-06T00:00:00"/>
    <m/>
    <m/>
    <m/>
    <m/>
    <n v="15.96"/>
    <d v="2015-07-15T00:00:00"/>
    <n v="18.5"/>
    <d v="2015-07-06T00:00:00"/>
    <m/>
    <m/>
    <m/>
    <m/>
    <m/>
    <m/>
    <x v="684"/>
    <m/>
    <n v="30.6"/>
    <d v="2015-07-06T00:00:00"/>
    <m/>
    <m/>
    <n v="15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5.584000000000003"/>
    <d v="2015-07-15T00:00:00"/>
    <m/>
    <m/>
    <m/>
    <m/>
    <n v="52.161537170410156"/>
    <d v="2015-07-15T00:00:00"/>
    <n v="16.901344299316406"/>
    <d v="2015-07-15T00:00:00"/>
    <n v="18.585999999999999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473"/>
    <s v="Anastasia"/>
    <x v="1"/>
    <x v="1"/>
    <n v="175"/>
    <n v="16"/>
    <n v="21"/>
    <m/>
    <m/>
    <m/>
    <m/>
    <n v="3"/>
    <m/>
    <n v="5.48"/>
    <d v="2015-07-06T00:00:00"/>
    <m/>
    <m/>
    <m/>
    <m/>
    <n v="15.19"/>
    <d v="2015-07-15T00:00:00"/>
    <n v="18.5"/>
    <d v="2015-07-06T00:00:00"/>
    <m/>
    <m/>
    <m/>
    <m/>
    <m/>
    <m/>
    <x v="685"/>
    <m/>
    <n v="30.63"/>
    <d v="2015-07-06T00:00:00"/>
    <m/>
    <m/>
    <n v="11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2.97"/>
    <d v="2015-07-15T00:00:00"/>
    <m/>
    <m/>
    <m/>
    <m/>
    <n v="49.591415405273438"/>
    <d v="2015-07-15T00:00:00"/>
    <n v="17.470394134521484"/>
    <d v="2015-07-15T00:00:00"/>
    <n v="22.154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302"/>
    <s v="ES-VENUS"/>
    <x v="1"/>
    <x v="3"/>
    <n v="139"/>
    <n v="23"/>
    <n v="22"/>
    <m/>
    <m/>
    <m/>
    <m/>
    <n v="5"/>
    <m/>
    <n v="5.5"/>
    <d v="2015-07-06T00:00:00"/>
    <m/>
    <m/>
    <m/>
    <m/>
    <n v="15.47"/>
    <d v="2015-07-15T00:00:00"/>
    <n v="18.5"/>
    <d v="2015-07-06T00:00:00"/>
    <m/>
    <m/>
    <m/>
    <m/>
    <m/>
    <m/>
    <x v="686"/>
    <m/>
    <n v="30.089100089100093"/>
    <d v="2015-07-06T00:00:00"/>
    <m/>
    <m/>
    <n v="12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4.963999999999999"/>
    <d v="2015-07-15T00:00:00"/>
    <m/>
    <m/>
    <m/>
    <m/>
    <n v="50.454433441162109"/>
    <d v="2015-07-15T00:00:00"/>
    <n v="17.155826568603516"/>
    <d v="2015-07-15T00:00:00"/>
    <n v="20.215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222"/>
    <s v="Licorne"/>
    <x v="0"/>
    <x v="2"/>
    <n v="80"/>
    <n v="5"/>
    <n v="7"/>
    <m/>
    <m/>
    <m/>
    <m/>
    <n v="9"/>
    <m/>
    <n v="5.47"/>
    <d v="2015-07-06T00:00:00"/>
    <m/>
    <m/>
    <m/>
    <m/>
    <n v="14.78"/>
    <d v="2015-07-15T00:00:00"/>
    <n v="18.5"/>
    <d v="2015-07-06T00:00:00"/>
    <m/>
    <m/>
    <m/>
    <m/>
    <m/>
    <m/>
    <x v="687"/>
    <m/>
    <n v="30.152420552420548"/>
    <d v="2015-07-06T00:00:00"/>
    <m/>
    <m/>
    <n v="155"/>
    <m/>
    <m/>
    <m/>
    <n v="108"/>
    <m/>
    <m/>
    <m/>
    <m/>
    <m/>
    <m/>
    <m/>
    <m/>
    <m/>
    <m/>
    <m/>
    <m/>
    <m/>
    <n v="9"/>
    <m/>
    <m/>
    <m/>
    <m/>
    <m/>
    <m/>
    <m/>
    <m/>
    <m/>
    <m/>
    <m/>
    <n v="62.042000000000002"/>
    <d v="2015-07-15T00:00:00"/>
    <m/>
    <m/>
    <m/>
    <m/>
    <n v="48.093399047851563"/>
    <d v="2015-07-15T00:00:00"/>
    <n v="17.809738159179688"/>
    <d v="2015-07-15T00:00:00"/>
    <n v="20.204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08"/>
    <s v="Idol"/>
    <x v="0"/>
    <x v="2"/>
    <n v="73"/>
    <n v="3"/>
    <n v="15"/>
    <m/>
    <m/>
    <m/>
    <m/>
    <n v="8"/>
    <m/>
    <n v="5.5"/>
    <d v="2015-07-06T00:00:00"/>
    <m/>
    <m/>
    <m/>
    <m/>
    <n v="16.02"/>
    <d v="2015-07-15T00:00:00"/>
    <n v="18.5"/>
    <d v="2015-07-06T00:00:00"/>
    <m/>
    <m/>
    <m/>
    <m/>
    <m/>
    <m/>
    <x v="688"/>
    <m/>
    <n v="30.317790317790319"/>
    <d v="2015-07-06T00:00:00"/>
    <m/>
    <m/>
    <n v="16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7.704999999999998"/>
    <d v="2015-07-15T00:00:00"/>
    <m/>
    <m/>
    <m/>
    <m/>
    <n v="51.828224182128906"/>
    <d v="2015-07-15T00:00:00"/>
    <n v="16.720754623413086"/>
    <d v="2015-07-15T00:00:00"/>
    <n v="14.625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81"/>
    <s v="Tradition"/>
    <x v="1"/>
    <x v="3"/>
    <n v="110"/>
    <n v="20"/>
    <n v="23"/>
    <m/>
    <m/>
    <m/>
    <m/>
    <n v="8"/>
    <m/>
    <n v="5.53"/>
    <d v="2015-07-06T00:00:00"/>
    <m/>
    <m/>
    <m/>
    <m/>
    <n v="15.48"/>
    <d v="2015-07-15T00:00:00"/>
    <n v="18.5"/>
    <d v="2015-07-06T00:00:00"/>
    <m/>
    <m/>
    <m/>
    <m/>
    <m/>
    <m/>
    <x v="689"/>
    <m/>
    <n v="30.94"/>
    <d v="2015-07-06T00:00:00"/>
    <m/>
    <m/>
    <n v="11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006999999999998"/>
    <d v="2015-07-15T00:00:00"/>
    <m/>
    <m/>
    <m/>
    <m/>
    <n v="50.018386840820313"/>
    <d v="2015-07-15T00:00:00"/>
    <n v="17.461223602294922"/>
    <d v="2015-07-15T00:00:00"/>
    <n v="20.015999999999998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333"/>
    <s v="SYN09"/>
    <x v="1"/>
    <x v="3"/>
    <n v="170"/>
    <n v="19"/>
    <n v="24"/>
    <m/>
    <m/>
    <m/>
    <m/>
    <n v="9"/>
    <m/>
    <n v="5.53"/>
    <d v="2015-07-06T00:00:00"/>
    <m/>
    <m/>
    <m/>
    <m/>
    <n v="15.69"/>
    <d v="2015-07-15T00:00:00"/>
    <n v="18.5"/>
    <d v="2015-07-06T00:00:00"/>
    <m/>
    <m/>
    <m/>
    <m/>
    <m/>
    <m/>
    <x v="689"/>
    <m/>
    <n v="30.94"/>
    <d v="2015-07-06T00:00:00"/>
    <m/>
    <m/>
    <n v="12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064999999999998"/>
    <d v="2015-07-15T00:00:00"/>
    <m/>
    <m/>
    <m/>
    <m/>
    <n v="50.711929321289062"/>
    <d v="2015-07-15T00:00:00"/>
    <n v="17.924381256103516"/>
    <d v="2015-07-15T00:00:00"/>
    <n v="12.637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306"/>
    <s v="ANGELINA "/>
    <x v="0"/>
    <x v="2"/>
    <n v="143"/>
    <n v="1"/>
    <n v="31"/>
    <m/>
    <m/>
    <m/>
    <m/>
    <n v="9"/>
    <m/>
    <n v="5.52"/>
    <d v="2015-07-06T00:00:00"/>
    <m/>
    <m/>
    <m/>
    <m/>
    <n v="16.53"/>
    <d v="2015-07-15T00:00:00"/>
    <n v="18.5"/>
    <d v="2015-07-06T00:00:00"/>
    <m/>
    <m/>
    <m/>
    <m/>
    <m/>
    <m/>
    <x v="690"/>
    <m/>
    <n v="30.42803682803682"/>
    <d v="2015-07-06T00:00:00"/>
    <m/>
    <m/>
    <n v="16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843000000000004"/>
    <d v="2015-07-15T00:00:00"/>
    <m/>
    <m/>
    <m/>
    <m/>
    <n v="53.292877197265625"/>
    <d v="2015-07-15T00:00:00"/>
    <n v="16.009906768798828"/>
    <d v="2015-07-15T00:00:00"/>
    <n v="17.867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71"/>
    <s v="SW Gospel"/>
    <x v="1"/>
    <x v="3"/>
    <n v="106"/>
    <n v="23"/>
    <n v="1"/>
    <m/>
    <m/>
    <m/>
    <m/>
    <n v="7"/>
    <m/>
    <n v="5.62"/>
    <d v="2015-07-06T00:00:00"/>
    <m/>
    <m/>
    <m/>
    <m/>
    <n v="16.39"/>
    <d v="2015-07-15T00:00:00"/>
    <n v="18.5"/>
    <d v="2015-07-06T00:00:00"/>
    <m/>
    <m/>
    <m/>
    <m/>
    <m/>
    <m/>
    <x v="691"/>
    <m/>
    <n v="30.445144045144044"/>
    <d v="2015-07-06T00:00:00"/>
    <m/>
    <m/>
    <n v="12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4.912000000000006"/>
    <d v="2015-07-15T00:00:00"/>
    <m/>
    <m/>
    <m/>
    <m/>
    <n v="52.800785064697266"/>
    <d v="2015-07-15T00:00:00"/>
    <n v="15.485631942749023"/>
    <d v="2015-07-15T00:00:00"/>
    <n v="17.454000000000001"/>
    <d v="2015-07-15T00:00:00"/>
    <m/>
    <m/>
    <m/>
    <m/>
    <n v="8.8000000000000007"/>
    <d v="2015-07-06T00:00:00"/>
    <m/>
    <m/>
    <m/>
    <m/>
    <m/>
    <m/>
    <m/>
    <n v="1"/>
    <d v="2015-06-25T00:00:00"/>
    <s v="VALIDE"/>
  </r>
  <r>
    <s v="RAPSO_342"/>
    <s v="Madora2-DS3"/>
    <x v="0"/>
    <x v="2"/>
    <n v="113"/>
    <n v="6"/>
    <n v="17"/>
    <m/>
    <m/>
    <m/>
    <m/>
    <n v="7"/>
    <m/>
    <n v="5.52"/>
    <d v="2015-07-06T00:00:00"/>
    <m/>
    <m/>
    <m/>
    <m/>
    <n v="15.77"/>
    <d v="2015-07-15T00:00:00"/>
    <n v="18.5"/>
    <d v="2015-07-06T00:00:00"/>
    <m/>
    <m/>
    <m/>
    <m/>
    <m/>
    <m/>
    <x v="692"/>
    <m/>
    <n v="30.460825660825659"/>
    <d v="2015-07-06T00:00:00"/>
    <m/>
    <m/>
    <n v="160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2.268999999999998"/>
    <d v="2015-07-15T00:00:00"/>
    <m/>
    <m/>
    <m/>
    <m/>
    <n v="50.794147491455078"/>
    <d v="2015-07-15T00:00:00"/>
    <n v="16.379072189331055"/>
    <d v="2015-07-15T00:00:00"/>
    <n v="16.023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71"/>
    <s v="SW Gospel"/>
    <x v="1"/>
    <x v="1"/>
    <n v="106"/>
    <n v="17"/>
    <n v="21"/>
    <m/>
    <m/>
    <m/>
    <m/>
    <n v="5"/>
    <m/>
    <n v="5.56"/>
    <d v="2015-07-06T00:00:00"/>
    <m/>
    <m/>
    <m/>
    <m/>
    <n v="15.44"/>
    <d v="2015-07-15T00:00:00"/>
    <n v="18.5"/>
    <d v="2015-07-06T00:00:00"/>
    <m/>
    <m/>
    <m/>
    <m/>
    <m/>
    <m/>
    <x v="693"/>
    <m/>
    <n v="31.08"/>
    <d v="2015-07-06T00:00:00"/>
    <m/>
    <m/>
    <n v="11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4.417000000000002"/>
    <d v="2015-07-15T00:00:00"/>
    <m/>
    <m/>
    <m/>
    <m/>
    <n v="49.667850494384766"/>
    <d v="2015-07-15T00:00:00"/>
    <n v="16.670866012573242"/>
    <d v="2015-07-15T00:00:00"/>
    <n v="18.757000000000001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243"/>
    <s v="Montego"/>
    <x v="0"/>
    <x v="2"/>
    <n v="89"/>
    <n v="3"/>
    <n v="30"/>
    <m/>
    <m/>
    <m/>
    <m/>
    <n v="6"/>
    <m/>
    <n v="5.52"/>
    <d v="2015-07-06T00:00:00"/>
    <m/>
    <m/>
    <m/>
    <m/>
    <n v="15.85"/>
    <d v="2015-07-15T00:00:00"/>
    <n v="18.5"/>
    <d v="2015-07-06T00:00:00"/>
    <m/>
    <m/>
    <m/>
    <m/>
    <m/>
    <m/>
    <x v="694"/>
    <m/>
    <n v="30.493614493614487"/>
    <d v="2015-07-06T00:00:00"/>
    <m/>
    <m/>
    <n v="13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6.078000000000003"/>
    <d v="2015-07-15T00:00:00"/>
    <m/>
    <m/>
    <m/>
    <m/>
    <n v="50.993492126464844"/>
    <d v="2015-07-15T00:00:00"/>
    <n v="18.846731185913086"/>
    <d v="2015-07-15T00:00:00"/>
    <n v="17.295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25"/>
    <s v="SYN01"/>
    <x v="1"/>
    <x v="1"/>
    <n v="162"/>
    <n v="16"/>
    <n v="20"/>
    <m/>
    <m/>
    <m/>
    <m/>
    <n v="3"/>
    <m/>
    <n v="5.56"/>
    <d v="2015-07-06T00:00:00"/>
    <m/>
    <m/>
    <m/>
    <m/>
    <n v="15.13"/>
    <d v="2015-07-15T00:00:00"/>
    <n v="18.5"/>
    <d v="2015-07-06T00:00:00"/>
    <m/>
    <m/>
    <m/>
    <m/>
    <m/>
    <m/>
    <x v="695"/>
    <m/>
    <n v="31.11"/>
    <d v="2015-07-06T00:00:00"/>
    <m/>
    <m/>
    <n v="130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194000000000003"/>
    <d v="2015-07-15T00:00:00"/>
    <m/>
    <m/>
    <m/>
    <m/>
    <n v="48.644119262695312"/>
    <d v="2015-07-15T00:00:00"/>
    <n v="17.8255615234375"/>
    <d v="2015-07-15T00:00:00"/>
    <n v="18.594999999999999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303"/>
    <s v="ES-VIPER"/>
    <x v="0"/>
    <x v="2"/>
    <n v="140"/>
    <n v="1"/>
    <n v="25"/>
    <m/>
    <m/>
    <m/>
    <m/>
    <n v="8"/>
    <m/>
    <n v="5.55"/>
    <d v="2015-07-06T00:00:00"/>
    <m/>
    <m/>
    <m/>
    <m/>
    <n v="15.8"/>
    <d v="2015-07-15T00:00:00"/>
    <n v="18.5"/>
    <d v="2015-07-06T00:00:00"/>
    <m/>
    <m/>
    <m/>
    <m/>
    <m/>
    <m/>
    <x v="696"/>
    <m/>
    <n v="30.560439560439555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0.118000000000002"/>
    <d v="2015-07-15T00:00:00"/>
    <m/>
    <m/>
    <m/>
    <m/>
    <n v="50.714736938476563"/>
    <d v="2015-07-15T00:00:00"/>
    <n v="17.131322860717773"/>
    <d v="2015-07-15T00:00:00"/>
    <n v="15.234999999999999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03"/>
    <s v="ES-VIPER"/>
    <x v="1"/>
    <x v="3"/>
    <n v="140"/>
    <n v="22"/>
    <n v="12"/>
    <m/>
    <m/>
    <m/>
    <m/>
    <n v="9"/>
    <m/>
    <n v="5.6"/>
    <d v="2015-07-06T00:00:00"/>
    <m/>
    <m/>
    <m/>
    <m/>
    <n v="15.64"/>
    <d v="2015-07-15T00:00:00"/>
    <n v="18.5"/>
    <d v="2015-07-06T00:00:00"/>
    <m/>
    <m/>
    <m/>
    <m/>
    <m/>
    <m/>
    <x v="697"/>
    <m/>
    <n v="30.602910602910598"/>
    <d v="2015-07-06T00:00:00"/>
    <m/>
    <m/>
    <n v="125"/>
    <m/>
    <m/>
    <m/>
    <n v="104"/>
    <m/>
    <m/>
    <m/>
    <m/>
    <m/>
    <m/>
    <m/>
    <m/>
    <m/>
    <m/>
    <m/>
    <m/>
    <m/>
    <n v="7"/>
    <m/>
    <m/>
    <m/>
    <m/>
    <m/>
    <m/>
    <m/>
    <m/>
    <m/>
    <m/>
    <m/>
    <n v="59.454000000000001"/>
    <d v="2015-07-15T00:00:00"/>
    <m/>
    <m/>
    <m/>
    <m/>
    <n v="50.119693756103516"/>
    <d v="2015-07-15T00:00:00"/>
    <n v="17.537307739257813"/>
    <d v="2015-07-15T00:00:00"/>
    <n v="18.920999999999999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139"/>
    <s v="Atlantic"/>
    <x v="0"/>
    <x v="2"/>
    <n v="45"/>
    <n v="6"/>
    <n v="18"/>
    <m/>
    <m/>
    <m/>
    <m/>
    <n v="6"/>
    <m/>
    <n v="5.53"/>
    <d v="2015-07-06T00:00:00"/>
    <m/>
    <m/>
    <m/>
    <m/>
    <n v="16.23"/>
    <d v="2015-07-15T00:00:00"/>
    <n v="18.5"/>
    <d v="2015-07-06T00:00:00"/>
    <m/>
    <m/>
    <m/>
    <m/>
    <m/>
    <m/>
    <x v="698"/>
    <m/>
    <n v="30.614553014553021"/>
    <d v="2015-07-06T00:00:00"/>
    <m/>
    <m/>
    <n v="15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5.198999999999998"/>
    <d v="2015-07-15T00:00:00"/>
    <m/>
    <m/>
    <m/>
    <m/>
    <n v="52.001579284667969"/>
    <d v="2015-07-15T00:00:00"/>
    <n v="16.993661880493164"/>
    <d v="2015-07-15T00:00:00"/>
    <n v="17.196999999999999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479"/>
    <s v="SYNG11"/>
    <x v="1"/>
    <x v="1"/>
    <n v="179"/>
    <n v="18"/>
    <n v="32"/>
    <m/>
    <m/>
    <m/>
    <m/>
    <n v="9"/>
    <m/>
    <n v="5.55"/>
    <d v="2015-07-06T00:00:00"/>
    <m/>
    <m/>
    <m/>
    <m/>
    <n v="16.489999999999998"/>
    <d v="2015-07-15T00:00:00"/>
    <n v="18.5"/>
    <d v="2015-07-06T00:00:00"/>
    <m/>
    <m/>
    <m/>
    <m/>
    <m/>
    <m/>
    <x v="699"/>
    <m/>
    <n v="31.22"/>
    <d v="2015-07-06T00:00:00"/>
    <m/>
    <m/>
    <n v="11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5.093999999999994"/>
    <d v="2015-07-15T00:00:00"/>
    <m/>
    <m/>
    <m/>
    <m/>
    <n v="52.824836730957031"/>
    <d v="2015-07-15T00:00:00"/>
    <n v="16.132143020629883"/>
    <d v="2015-07-15T00:00:00"/>
    <n v="21.556000000000001"/>
    <d v="2015-07-15T00:00:00"/>
    <m/>
    <m/>
    <m/>
    <m/>
    <n v="7.1"/>
    <d v="2015-07-06T00:00:00"/>
    <m/>
    <m/>
    <m/>
    <m/>
    <m/>
    <m/>
    <m/>
    <n v="3"/>
    <d v="2015-06-25T00:00:00"/>
    <s v="VALIDE"/>
  </r>
  <r>
    <s v="BRA_006"/>
    <s v="Bristol"/>
    <x v="1"/>
    <x v="3"/>
    <n v="124"/>
    <n v="20"/>
    <n v="20"/>
    <m/>
    <m/>
    <m/>
    <m/>
    <n v="9"/>
    <m/>
    <n v="5.58"/>
    <d v="2015-07-06T00:00:00"/>
    <m/>
    <m/>
    <m/>
    <m/>
    <m/>
    <d v="2015-07-15T00:00:00"/>
    <n v="18.5"/>
    <d v="2015-07-06T00:00:00"/>
    <m/>
    <m/>
    <m/>
    <m/>
    <m/>
    <m/>
    <x v="700"/>
    <m/>
    <n v="31.26"/>
    <d v="2015-07-06T00:00:00"/>
    <m/>
    <m/>
    <n v="11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m/>
    <d v="2015-07-15T00:00:00"/>
    <m/>
    <m/>
    <m/>
    <m/>
    <m/>
    <d v="2015-07-15T00:00:00"/>
    <m/>
    <d v="2015-07-15T00:00:00"/>
    <m/>
    <d v="2015-07-15T00:00:00"/>
    <m/>
    <m/>
    <m/>
    <m/>
    <n v="7.5"/>
    <d v="2015-07-06T00:00:00"/>
    <m/>
    <m/>
    <m/>
    <m/>
    <m/>
    <m/>
    <m/>
    <n v="3"/>
    <d v="2015-06-25T00:00:00"/>
    <s v="VALIDE"/>
  </r>
  <r>
    <s v="RAPSO_261"/>
    <s v="Remy"/>
    <x v="0"/>
    <x v="2"/>
    <n v="100"/>
    <n v="3"/>
    <n v="7"/>
    <m/>
    <m/>
    <m/>
    <m/>
    <n v="8"/>
    <m/>
    <n v="5.62"/>
    <d v="2015-07-06T00:00:00"/>
    <m/>
    <m/>
    <m/>
    <m/>
    <n v="15.45"/>
    <d v="2015-07-15T00:00:00"/>
    <n v="18.5"/>
    <d v="2015-07-06T00:00:00"/>
    <m/>
    <m/>
    <m/>
    <m/>
    <m/>
    <m/>
    <x v="701"/>
    <m/>
    <n v="30.712206712206712"/>
    <d v="2015-07-06T00:00:00"/>
    <m/>
    <m/>
    <n v="16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5.563999999999993"/>
    <d v="2015-07-15T00:00:00"/>
    <m/>
    <m/>
    <m/>
    <m/>
    <n v="49.363410949707031"/>
    <d v="2015-07-15T00:00:00"/>
    <n v="17.595418930053711"/>
    <d v="2015-07-15T00:00:00"/>
    <n v="17.378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266"/>
    <s v="Sahara"/>
    <x v="0"/>
    <x v="2"/>
    <n v="103"/>
    <n v="3"/>
    <n v="28"/>
    <m/>
    <m/>
    <m/>
    <m/>
    <n v="5"/>
    <m/>
    <n v="5.58"/>
    <d v="2015-07-06T00:00:00"/>
    <m/>
    <m/>
    <m/>
    <m/>
    <n v="15.94"/>
    <d v="2015-07-15T00:00:00"/>
    <n v="18.5"/>
    <d v="2015-07-06T00:00:00"/>
    <m/>
    <m/>
    <m/>
    <m/>
    <m/>
    <m/>
    <x v="702"/>
    <m/>
    <n v="30.758776358776359"/>
    <d v="2015-07-06T00:00:00"/>
    <m/>
    <m/>
    <n v="16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253"/>
    <d v="2015-07-15T00:00:00"/>
    <m/>
    <m/>
    <m/>
    <m/>
    <n v="50.816375732421875"/>
    <d v="2015-07-15T00:00:00"/>
    <n v="18.80804443359375"/>
    <d v="2015-07-15T00:00:00"/>
    <n v="12.124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470"/>
    <s v="RAPSO_Compl_01 (euralis)"/>
    <x v="1"/>
    <x v="1"/>
    <n v="172"/>
    <n v="16"/>
    <n v="3"/>
    <m/>
    <m/>
    <m/>
    <m/>
    <n v="8"/>
    <m/>
    <n v="5.69"/>
    <d v="2015-07-06T00:00:00"/>
    <m/>
    <m/>
    <m/>
    <m/>
    <n v="15.91"/>
    <d v="2015-07-15T00:00:00"/>
    <n v="18.5"/>
    <d v="2015-07-06T00:00:00"/>
    <m/>
    <m/>
    <m/>
    <m/>
    <m/>
    <m/>
    <x v="703"/>
    <m/>
    <n v="31.39"/>
    <d v="2015-07-06T00:00:00"/>
    <m/>
    <m/>
    <n v="11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3.283999999999999"/>
    <d v="2015-07-15T00:00:00"/>
    <m/>
    <m/>
    <m/>
    <m/>
    <n v="50.672210693359375"/>
    <d v="2015-07-15T00:00:00"/>
    <n v="17.794151306152344"/>
    <d v="2015-07-15T00:00:00"/>
    <n v="15.721"/>
    <d v="2015-07-15T00:00:00"/>
    <m/>
    <m/>
    <m/>
    <m/>
    <n v="8.9"/>
    <d v="2015-07-06T00:00:00"/>
    <m/>
    <m/>
    <m/>
    <m/>
    <m/>
    <m/>
    <m/>
    <n v="3"/>
    <d v="2015-06-25T00:00:00"/>
    <s v="VALIDE"/>
  </r>
  <r>
    <s v="RAPSO_333"/>
    <s v="SYN09"/>
    <x v="0"/>
    <x v="2"/>
    <n v="170"/>
    <n v="3"/>
    <n v="9"/>
    <m/>
    <m/>
    <m/>
    <m/>
    <n v="8"/>
    <m/>
    <n v="5.59"/>
    <d v="2015-07-06T00:00:00"/>
    <m/>
    <m/>
    <m/>
    <m/>
    <n v="15.8"/>
    <d v="2015-07-15T00:00:00"/>
    <n v="18.5"/>
    <d v="2015-07-06T00:00:00"/>
    <m/>
    <m/>
    <m/>
    <m/>
    <m/>
    <m/>
    <x v="704"/>
    <m/>
    <n v="31.41"/>
    <d v="2015-07-06T00:00:00"/>
    <m/>
    <m/>
    <n v="155"/>
    <m/>
    <m/>
    <m/>
    <n v="96"/>
    <m/>
    <m/>
    <m/>
    <m/>
    <m/>
    <m/>
    <m/>
    <m/>
    <m/>
    <m/>
    <m/>
    <m/>
    <m/>
    <n v="5"/>
    <m/>
    <m/>
    <m/>
    <m/>
    <m/>
    <m/>
    <m/>
    <m/>
    <m/>
    <m/>
    <m/>
    <n v="63.04"/>
    <d v="2015-07-15T00:00:00"/>
    <m/>
    <m/>
    <m/>
    <m/>
    <n v="50.287178039550781"/>
    <d v="2015-07-15T00:00:00"/>
    <n v="17.945217132568359"/>
    <d v="2015-07-15T00:00:00"/>
    <n v="12.837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32"/>
    <s v="SYN08"/>
    <x v="1"/>
    <x v="3"/>
    <n v="169"/>
    <n v="20"/>
    <n v="30"/>
    <m/>
    <m/>
    <m/>
    <m/>
    <n v="6"/>
    <m/>
    <n v="5.6"/>
    <d v="2015-07-06T00:00:00"/>
    <m/>
    <m/>
    <m/>
    <m/>
    <n v="15.62"/>
    <d v="2015-07-15T00:00:00"/>
    <n v="18.5"/>
    <d v="2015-07-06T00:00:00"/>
    <m/>
    <m/>
    <m/>
    <m/>
    <m/>
    <m/>
    <x v="705"/>
    <m/>
    <n v="31.44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069000000000003"/>
    <d v="2015-07-15T00:00:00"/>
    <m/>
    <m/>
    <m/>
    <m/>
    <n v="49.666603088378906"/>
    <d v="2015-07-15T00:00:00"/>
    <n v="18.127157211303711"/>
    <d v="2015-07-15T00:00:00"/>
    <n v="19.582999999999998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226"/>
    <s v="Lioness"/>
    <x v="0"/>
    <x v="2"/>
    <n v="81"/>
    <n v="2"/>
    <n v="29"/>
    <m/>
    <m/>
    <m/>
    <m/>
    <n v="5"/>
    <m/>
    <n v="5.59"/>
    <d v="2015-07-06T00:00:00"/>
    <m/>
    <m/>
    <m/>
    <m/>
    <n v="15.97"/>
    <d v="2015-07-15T00:00:00"/>
    <n v="18.5"/>
    <d v="2015-07-06T00:00:00"/>
    <m/>
    <m/>
    <m/>
    <m/>
    <m/>
    <m/>
    <x v="706"/>
    <m/>
    <n v="30.880308880308874"/>
    <d v="2015-07-06T00:00:00"/>
    <m/>
    <m/>
    <n v="15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6.831000000000003"/>
    <d v="2015-07-15T00:00:00"/>
    <m/>
    <m/>
    <m/>
    <m/>
    <n v="50.734718322753906"/>
    <d v="2015-07-15T00:00:00"/>
    <n v="18.788579940795898"/>
    <d v="2015-07-15T00:00:00"/>
    <n v="17.238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181"/>
    <s v="Eleonore"/>
    <x v="0"/>
    <x v="2"/>
    <n v="65"/>
    <n v="1"/>
    <n v="19"/>
    <m/>
    <m/>
    <m/>
    <m/>
    <n v="8"/>
    <m/>
    <n v="5.61"/>
    <d v="2015-07-06T00:00:00"/>
    <m/>
    <m/>
    <m/>
    <m/>
    <n v="16.23"/>
    <d v="2015-07-15T00:00:00"/>
    <n v="18.5"/>
    <d v="2015-07-06T00:00:00"/>
    <m/>
    <m/>
    <m/>
    <m/>
    <m/>
    <m/>
    <x v="707"/>
    <m/>
    <n v="31.49"/>
    <d v="2015-07-06T00:00:00"/>
    <m/>
    <m/>
    <n v="16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509"/>
    <d v="2015-07-15T00:00:00"/>
    <m/>
    <m/>
    <m/>
    <m/>
    <n v="51.543735504150391"/>
    <d v="2015-07-15T00:00:00"/>
    <n v="17.393108367919922"/>
    <d v="2015-07-15T00:00:00"/>
    <n v="19"/>
    <d v="2015-07-15T00:00:00"/>
    <m/>
    <m/>
    <m/>
    <m/>
    <n v="7.3"/>
    <d v="2015-07-06T00:00:00"/>
    <m/>
    <m/>
    <m/>
    <m/>
    <m/>
    <m/>
    <m/>
    <n v="5"/>
    <d v="2015-06-25T00:00:00"/>
    <s v="VALIDE"/>
  </r>
  <r>
    <s v="RAPSO_267"/>
    <s v="Salomont"/>
    <x v="1"/>
    <x v="1"/>
    <n v="104"/>
    <n v="13"/>
    <n v="6"/>
    <m/>
    <m/>
    <m/>
    <m/>
    <n v="5"/>
    <m/>
    <n v="5.7"/>
    <d v="2015-07-06T00:00:00"/>
    <m/>
    <m/>
    <m/>
    <m/>
    <n v="15.79"/>
    <d v="2015-07-15T00:00:00"/>
    <n v="18.5"/>
    <d v="2015-07-06T00:00:00"/>
    <m/>
    <m/>
    <m/>
    <m/>
    <m/>
    <m/>
    <x v="708"/>
    <m/>
    <n v="31.081675081675083"/>
    <d v="2015-07-06T00:00:00"/>
    <m/>
    <m/>
    <n v="14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0.744999999999997"/>
    <d v="2015-07-15T00:00:00"/>
    <m/>
    <m/>
    <m/>
    <m/>
    <n v="49.839080810546875"/>
    <d v="2015-07-15T00:00:00"/>
    <n v="18.354475021362305"/>
    <d v="2015-07-15T00:00:00"/>
    <n v="20.370999999999999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162"/>
    <s v="CAPVERT"/>
    <x v="1"/>
    <x v="3"/>
    <n v="55"/>
    <n v="24"/>
    <n v="32"/>
    <m/>
    <m/>
    <m/>
    <m/>
    <n v="7"/>
    <m/>
    <n v="5.63"/>
    <d v="2015-07-06T00:00:00"/>
    <m/>
    <m/>
    <m/>
    <m/>
    <n v="16.12"/>
    <d v="2015-07-15T00:00:00"/>
    <n v="18.5"/>
    <d v="2015-07-06T00:00:00"/>
    <m/>
    <m/>
    <m/>
    <m/>
    <m/>
    <m/>
    <x v="709"/>
    <m/>
    <n v="31.134719334719332"/>
    <d v="2015-07-06T00:00:00"/>
    <m/>
    <m/>
    <n v="135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2.625999999999998"/>
    <d v="2015-07-15T00:00:00"/>
    <m/>
    <m/>
    <m/>
    <m/>
    <n v="50.786949157714844"/>
    <d v="2015-07-15T00:00:00"/>
    <n v="17.125738143920898"/>
    <d v="2015-07-15T00:00:00"/>
    <n v="19.404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14"/>
    <s v="Maccarena"/>
    <x v="1"/>
    <x v="1"/>
    <n v="151"/>
    <n v="15"/>
    <n v="1"/>
    <m/>
    <m/>
    <m/>
    <m/>
    <n v="8"/>
    <m/>
    <n v="5.8"/>
    <d v="2015-07-06T00:00:00"/>
    <m/>
    <m/>
    <m/>
    <m/>
    <n v="15.45"/>
    <d v="2015-07-15T00:00:00"/>
    <n v="18.5"/>
    <d v="2015-07-06T00:00:00"/>
    <m/>
    <m/>
    <m/>
    <m/>
    <m/>
    <m/>
    <x v="710"/>
    <m/>
    <n v="31.247995247995249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159000000000006"/>
    <d v="2015-07-15T00:00:00"/>
    <m/>
    <m/>
    <m/>
    <m/>
    <n v="48.486598968505859"/>
    <d v="2015-07-15T00:00:00"/>
    <n v="19.156055450439453"/>
    <d v="2015-07-15T00:00:00"/>
    <n v="16.920000000000002"/>
    <d v="2015-07-15T00:00:00"/>
    <m/>
    <m/>
    <m/>
    <m/>
    <n v="9.3000000000000007"/>
    <d v="2015-07-06T00:00:00"/>
    <m/>
    <m/>
    <m/>
    <m/>
    <m/>
    <m/>
    <m/>
    <n v="1"/>
    <d v="2015-06-25T00:00:00"/>
    <s v="VALIDE"/>
  </r>
  <r>
    <s v="RAPSO_219"/>
    <s v="Lewis"/>
    <x v="1"/>
    <x v="3"/>
    <n v="78"/>
    <n v="21"/>
    <n v="18"/>
    <m/>
    <m/>
    <m/>
    <m/>
    <n v="7"/>
    <m/>
    <n v="5.72"/>
    <d v="2015-07-06T00:00:00"/>
    <m/>
    <m/>
    <m/>
    <m/>
    <n v="16.059999999999999"/>
    <d v="2015-07-15T00:00:00"/>
    <n v="18.5"/>
    <d v="2015-07-06T00:00:00"/>
    <m/>
    <m/>
    <m/>
    <m/>
    <m/>
    <m/>
    <x v="711"/>
    <m/>
    <n v="31.360617760617757"/>
    <d v="2015-07-06T00:00:00"/>
    <m/>
    <m/>
    <n v="11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0.374000000000002"/>
    <d v="2015-07-15T00:00:00"/>
    <m/>
    <m/>
    <m/>
    <m/>
    <n v="50.230949401855469"/>
    <d v="2015-07-15T00:00:00"/>
    <n v="15.566997528076172"/>
    <d v="2015-07-15T00:00:00"/>
    <n v="17.212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219"/>
    <s v="Lewis"/>
    <x v="0"/>
    <x v="2"/>
    <n v="78"/>
    <n v="1"/>
    <n v="7"/>
    <m/>
    <m/>
    <m/>
    <m/>
    <n v="7"/>
    <m/>
    <n v="5.72"/>
    <d v="2015-07-06T00:00:00"/>
    <m/>
    <m/>
    <m/>
    <m/>
    <n v="15.85"/>
    <d v="2015-07-15T00:00:00"/>
    <n v="18.5"/>
    <d v="2015-07-06T00:00:00"/>
    <m/>
    <m/>
    <m/>
    <m/>
    <m/>
    <m/>
    <x v="712"/>
    <m/>
    <n v="31.46254826254826"/>
    <d v="2015-07-06T00:00:00"/>
    <m/>
    <m/>
    <n v="155"/>
    <m/>
    <m/>
    <m/>
    <n v="96"/>
    <m/>
    <m/>
    <m/>
    <m/>
    <m/>
    <m/>
    <m/>
    <m/>
    <m/>
    <m/>
    <m/>
    <m/>
    <m/>
    <n v="5"/>
    <m/>
    <m/>
    <m/>
    <m/>
    <m/>
    <m/>
    <m/>
    <m/>
    <m/>
    <m/>
    <m/>
    <n v="59.899000000000001"/>
    <d v="2015-07-15T00:00:00"/>
    <m/>
    <m/>
    <m/>
    <m/>
    <n v="49.421966552734375"/>
    <d v="2015-07-15T00:00:00"/>
    <n v="16.981796264648437"/>
    <d v="2015-07-15T00:00:00"/>
    <n v="19.132000000000001"/>
    <d v="2015-07-15T00:00:00"/>
    <m/>
    <m/>
    <m/>
    <m/>
    <n v="7.4"/>
    <d v="2015-07-06T00:00:00"/>
    <m/>
    <m/>
    <m/>
    <m/>
    <m/>
    <m/>
    <m/>
    <n v="1"/>
    <d v="2015-06-25T00:00:00"/>
    <s v="VALIDE"/>
  </r>
  <r>
    <s v="RAPSO_472"/>
    <s v="Pendulum"/>
    <x v="1"/>
    <x v="1"/>
    <n v="174"/>
    <n v="13"/>
    <n v="19"/>
    <m/>
    <m/>
    <m/>
    <m/>
    <n v="7"/>
    <m/>
    <n v="5.72"/>
    <d v="2015-07-06T00:00:00"/>
    <m/>
    <m/>
    <m/>
    <m/>
    <n v="16.489999999999998"/>
    <d v="2015-07-15T00:00:00"/>
    <n v="18.5"/>
    <d v="2015-07-06T00:00:00"/>
    <m/>
    <m/>
    <m/>
    <m/>
    <m/>
    <m/>
    <x v="712"/>
    <m/>
    <n v="32.07"/>
    <d v="2015-07-06T00:00:00"/>
    <m/>
    <m/>
    <n v="14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947000000000003"/>
    <d v="2015-07-15T00:00:00"/>
    <m/>
    <m/>
    <m/>
    <m/>
    <n v="51.411239624023438"/>
    <d v="2015-07-15T00:00:00"/>
    <n v="16.504276275634766"/>
    <d v="2015-07-15T00:00:00"/>
    <n v="18.492000000000001"/>
    <d v="2015-07-15T00:00:00"/>
    <m/>
    <m/>
    <m/>
    <m/>
    <n v="7.4"/>
    <d v="2015-07-06T00:00:00"/>
    <m/>
    <m/>
    <m/>
    <m/>
    <m/>
    <m/>
    <m/>
    <n v="1"/>
    <d v="2015-06-25T00:00:00"/>
    <s v="VALIDE"/>
  </r>
  <r>
    <s v="RAPSO_326"/>
    <s v="SYN02"/>
    <x v="0"/>
    <x v="2"/>
    <n v="163"/>
    <n v="4"/>
    <n v="20"/>
    <m/>
    <m/>
    <m/>
    <m/>
    <n v="9"/>
    <m/>
    <n v="5.69"/>
    <d v="2015-07-06T00:00:00"/>
    <m/>
    <m/>
    <m/>
    <m/>
    <n v="17.399999999999999"/>
    <d v="2015-07-15T00:00:00"/>
    <n v="18.5"/>
    <d v="2015-07-06T00:00:00"/>
    <m/>
    <m/>
    <m/>
    <m/>
    <m/>
    <m/>
    <x v="713"/>
    <m/>
    <n v="32.11"/>
    <d v="2015-07-06T00:00:00"/>
    <m/>
    <m/>
    <n v="16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594999999999999"/>
    <d v="2015-07-15T00:00:00"/>
    <m/>
    <m/>
    <m/>
    <m/>
    <n v="54.190086364746094"/>
    <d v="2015-07-15T00:00:00"/>
    <n v="13.38310718536377"/>
    <d v="2015-07-15T00:00:00"/>
    <n v="15.273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303"/>
    <s v="ES-VIPER"/>
    <x v="1"/>
    <x v="1"/>
    <n v="140"/>
    <n v="18"/>
    <n v="30"/>
    <m/>
    <m/>
    <m/>
    <m/>
    <n v="9"/>
    <m/>
    <n v="5.7"/>
    <d v="2015-07-06T00:00:00"/>
    <m/>
    <m/>
    <m/>
    <m/>
    <n v="16.37"/>
    <d v="2015-07-15T00:00:00"/>
    <n v="18.5"/>
    <d v="2015-07-06T00:00:00"/>
    <m/>
    <m/>
    <m/>
    <m/>
    <m/>
    <m/>
    <x v="714"/>
    <m/>
    <n v="32.17"/>
    <d v="2015-07-06T00:00:00"/>
    <m/>
    <m/>
    <n v="11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845999999999997"/>
    <d v="2015-07-15T00:00:00"/>
    <m/>
    <m/>
    <m/>
    <m/>
    <n v="50.891826629638672"/>
    <d v="2015-07-15T00:00:00"/>
    <n v="18.066864013671875"/>
    <d v="2015-07-15T00:00:00"/>
    <n v="18.512"/>
    <d v="2015-07-15T00:00:00"/>
    <m/>
    <m/>
    <m/>
    <m/>
    <n v="6.8"/>
    <d v="2015-07-06T00:00:00"/>
    <m/>
    <m/>
    <m/>
    <m/>
    <m/>
    <m/>
    <m/>
    <n v="3"/>
    <d v="2015-06-25T00:00:00"/>
    <s v="VALIDE"/>
  </r>
  <r>
    <s v="Aviso"/>
    <s v="Aviso"/>
    <x v="1"/>
    <x v="3"/>
    <n v="183"/>
    <n v="20"/>
    <n v="21"/>
    <m/>
    <m/>
    <m/>
    <m/>
    <n v="9"/>
    <m/>
    <n v="5.77"/>
    <d v="2015-07-06T00:00:00"/>
    <m/>
    <m/>
    <m/>
    <m/>
    <n v="16.059999999999999"/>
    <d v="2015-07-15T00:00:00"/>
    <n v="18.5"/>
    <d v="2015-07-06T00:00:00"/>
    <m/>
    <m/>
    <m/>
    <m/>
    <m/>
    <m/>
    <x v="715"/>
    <m/>
    <n v="32.18"/>
    <d v="2015-07-06T00:00:00"/>
    <m/>
    <m/>
    <n v="11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444000000000003"/>
    <d v="2015-07-15T00:00:00"/>
    <m/>
    <m/>
    <m/>
    <m/>
    <n v="49.919937133789063"/>
    <d v="2015-07-15T00:00:00"/>
    <n v="18.130115509033203"/>
    <d v="2015-07-15T00:00:00"/>
    <n v="17.623999999999999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215"/>
    <s v="Kadore"/>
    <x v="0"/>
    <x v="2"/>
    <n v="76"/>
    <n v="6"/>
    <n v="13"/>
    <m/>
    <m/>
    <m/>
    <m/>
    <n v="6"/>
    <m/>
    <n v="5.76"/>
    <d v="2015-07-06T00:00:00"/>
    <m/>
    <m/>
    <m/>
    <m/>
    <n v="16.18"/>
    <d v="2015-07-15T00:00:00"/>
    <n v="18.5"/>
    <d v="2015-07-06T00:00:00"/>
    <m/>
    <m/>
    <m/>
    <m/>
    <m/>
    <m/>
    <x v="716"/>
    <m/>
    <n v="31.648351648351646"/>
    <d v="2015-07-06T00:00:00"/>
    <m/>
    <m/>
    <n v="14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6.180000000000007"/>
    <d v="2015-07-15T00:00:00"/>
    <m/>
    <m/>
    <m/>
    <m/>
    <n v="50.141616821289063"/>
    <d v="2015-07-15T00:00:00"/>
    <n v="16.232019424438477"/>
    <d v="2015-07-15T00:00:00"/>
    <n v="20.167000000000002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130"/>
    <s v="Akamar"/>
    <x v="0"/>
    <x v="2"/>
    <n v="40"/>
    <n v="6"/>
    <n v="14"/>
    <m/>
    <m/>
    <m/>
    <m/>
    <n v="6"/>
    <m/>
    <n v="5.74"/>
    <d v="2015-07-06T00:00:00"/>
    <m/>
    <m/>
    <m/>
    <m/>
    <n v="16.579999999999998"/>
    <d v="2015-07-15T00:00:00"/>
    <n v="18.5"/>
    <d v="2015-07-06T00:00:00"/>
    <m/>
    <m/>
    <m/>
    <m/>
    <m/>
    <m/>
    <x v="717"/>
    <m/>
    <n v="31.674844074844078"/>
    <d v="2015-07-06T00:00:00"/>
    <m/>
    <m/>
    <n v="14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2.197000000000003"/>
    <d v="2015-07-15T00:00:00"/>
    <m/>
    <m/>
    <m/>
    <m/>
    <n v="51.350917816162109"/>
    <d v="2015-07-15T00:00:00"/>
    <n v="15.982601165771484"/>
    <d v="2015-07-15T00:00:00"/>
    <n v="18.995999999999999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81"/>
    <s v="Tradition"/>
    <x v="1"/>
    <x v="1"/>
    <n v="110"/>
    <n v="13"/>
    <n v="8"/>
    <m/>
    <m/>
    <m/>
    <m/>
    <n v="9"/>
    <m/>
    <n v="5.79"/>
    <d v="2015-07-06T00:00:00"/>
    <m/>
    <m/>
    <m/>
    <m/>
    <n v="16.48"/>
    <d v="2015-07-15T00:00:00"/>
    <n v="18.5"/>
    <d v="2015-07-06T00:00:00"/>
    <m/>
    <m/>
    <m/>
    <m/>
    <m/>
    <m/>
    <x v="718"/>
    <m/>
    <n v="31.675616275616278"/>
    <d v="2015-07-06T00:00:00"/>
    <m/>
    <m/>
    <n v="15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661999999999999"/>
    <d v="2015-07-15T00:00:00"/>
    <m/>
    <m/>
    <m/>
    <m/>
    <n v="51.037498474121094"/>
    <d v="2015-07-15T00:00:00"/>
    <n v="16.648857116699219"/>
    <d v="2015-07-15T00:00:00"/>
    <n v="20.332999999999998"/>
    <d v="2015-07-15T00:00:00"/>
    <m/>
    <m/>
    <m/>
    <m/>
    <n v="7.9"/>
    <d v="2015-07-06T00:00:00"/>
    <m/>
    <m/>
    <m/>
    <m/>
    <m/>
    <m/>
    <m/>
    <n v="1"/>
    <d v="2015-06-25T00:00:00"/>
    <s v="VALIDE"/>
  </r>
  <r>
    <s v="RAPSO_271"/>
    <s v="SW Gospel"/>
    <x v="0"/>
    <x v="2"/>
    <n v="106"/>
    <n v="1"/>
    <n v="10"/>
    <m/>
    <m/>
    <m/>
    <m/>
    <n v="6"/>
    <m/>
    <n v="5.76"/>
    <d v="2015-07-06T00:00:00"/>
    <m/>
    <m/>
    <m/>
    <m/>
    <n v="17.03"/>
    <d v="2015-07-15T00:00:00"/>
    <n v="18.5"/>
    <d v="2015-07-06T00:00:00"/>
    <m/>
    <m/>
    <m/>
    <m/>
    <m/>
    <m/>
    <x v="719"/>
    <m/>
    <n v="31.750994950994947"/>
    <d v="2015-07-06T00:00:00"/>
    <m/>
    <m/>
    <n v="150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5.932000000000002"/>
    <d v="2015-07-15T00:00:00"/>
    <m/>
    <m/>
    <m/>
    <m/>
    <n v="52.621696472167969"/>
    <d v="2015-07-15T00:00:00"/>
    <n v="16.418054580688477"/>
    <d v="2015-07-15T00:00:00"/>
    <n v="18.568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18"/>
    <s v="RAGT-04"/>
    <x v="1"/>
    <x v="1"/>
    <n v="155"/>
    <n v="15"/>
    <n v="27"/>
    <m/>
    <m/>
    <m/>
    <m/>
    <n v="9"/>
    <m/>
    <n v="5.76"/>
    <d v="2015-07-06T00:00:00"/>
    <m/>
    <m/>
    <m/>
    <m/>
    <n v="16.809999999999999"/>
    <d v="2015-07-15T00:00:00"/>
    <n v="18.5"/>
    <d v="2015-07-06T00:00:00"/>
    <m/>
    <m/>
    <m/>
    <m/>
    <m/>
    <m/>
    <x v="720"/>
    <m/>
    <n v="32.4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087999999999994"/>
    <d v="2015-07-15T00:00:00"/>
    <m/>
    <m/>
    <m/>
    <m/>
    <n v="51.888694763183594"/>
    <d v="2015-07-15T00:00:00"/>
    <n v="16.66050910949707"/>
    <d v="2015-07-15T00:00:00"/>
    <n v="17.195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309"/>
    <s v="MANITOBA"/>
    <x v="1"/>
    <x v="3"/>
    <n v="146"/>
    <n v="24"/>
    <n v="13"/>
    <m/>
    <m/>
    <m/>
    <m/>
    <n v="9"/>
    <m/>
    <n v="5.83"/>
    <d v="2015-07-06T00:00:00"/>
    <m/>
    <m/>
    <m/>
    <m/>
    <n v="16.489999999999998"/>
    <d v="2015-07-15T00:00:00"/>
    <n v="18.5"/>
    <d v="2015-07-06T00:00:00"/>
    <m/>
    <m/>
    <m/>
    <m/>
    <m/>
    <m/>
    <x v="721"/>
    <m/>
    <n v="31.825185625185622"/>
    <d v="2015-07-06T00:00:00"/>
    <m/>
    <m/>
    <n v="15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786000000000001"/>
    <d v="2015-07-15T00:00:00"/>
    <m/>
    <m/>
    <m/>
    <m/>
    <n v="50.818386077880859"/>
    <d v="2015-07-15T00:00:00"/>
    <n v="16.442380905151367"/>
    <d v="2015-07-15T00:00:00"/>
    <n v="11.603999999999999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187"/>
    <s v="Escort"/>
    <x v="1"/>
    <x v="1"/>
    <n v="66"/>
    <n v="18"/>
    <n v="28"/>
    <m/>
    <m/>
    <m/>
    <m/>
    <n v="9"/>
    <m/>
    <n v="5.76"/>
    <d v="2015-07-06T00:00:00"/>
    <m/>
    <m/>
    <m/>
    <m/>
    <n v="16.010000000000002"/>
    <d v="2015-07-15T00:00:00"/>
    <n v="18.5"/>
    <d v="2015-07-06T00:00:00"/>
    <m/>
    <m/>
    <m/>
    <m/>
    <m/>
    <m/>
    <x v="722"/>
    <m/>
    <n v="31.853638253638248"/>
    <d v="2015-07-06T00:00:00"/>
    <m/>
    <m/>
    <n v="11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817"/>
    <d v="2015-07-15T00:00:00"/>
    <m/>
    <m/>
    <m/>
    <m/>
    <n v="49.297843933105469"/>
    <d v="2015-07-15T00:00:00"/>
    <n v="19.1422119140625"/>
    <d v="2015-07-15T00:00:00"/>
    <n v="22.989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67"/>
    <s v="Salomont"/>
    <x v="0"/>
    <x v="2"/>
    <n v="104"/>
    <n v="5"/>
    <n v="22"/>
    <m/>
    <m/>
    <m/>
    <m/>
    <n v="5"/>
    <m/>
    <n v="5.78"/>
    <d v="2015-07-06T00:00:00"/>
    <m/>
    <m/>
    <m/>
    <m/>
    <n v="16.579999999999998"/>
    <d v="2015-07-15T00:00:00"/>
    <n v="18.5"/>
    <d v="2015-07-06T00:00:00"/>
    <m/>
    <m/>
    <m/>
    <m/>
    <m/>
    <m/>
    <x v="723"/>
    <m/>
    <n v="32.590000000000003"/>
    <d v="2015-07-06T00:00:00"/>
    <m/>
    <m/>
    <n v="13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3.219000000000001"/>
    <d v="2015-07-15T00:00:00"/>
    <m/>
    <m/>
    <m/>
    <m/>
    <n v="50.865268707275391"/>
    <d v="2015-07-15T00:00:00"/>
    <n v="17.355142593383789"/>
    <d v="2015-07-15T00:00:00"/>
    <n v="22.395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309"/>
    <s v="MANITOBA"/>
    <x v="1"/>
    <x v="1"/>
    <n v="146"/>
    <n v="18"/>
    <n v="25"/>
    <m/>
    <m/>
    <m/>
    <m/>
    <n v="8"/>
    <m/>
    <n v="5.82"/>
    <d v="2015-07-06T00:00:00"/>
    <m/>
    <m/>
    <m/>
    <m/>
    <n v="16.420000000000002"/>
    <d v="2015-07-15T00:00:00"/>
    <n v="18.5"/>
    <d v="2015-07-06T00:00:00"/>
    <m/>
    <m/>
    <m/>
    <m/>
    <m/>
    <m/>
    <x v="724"/>
    <m/>
    <n v="31.978021978021978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213999999999999"/>
    <d v="2015-07-15T00:00:00"/>
    <m/>
    <m/>
    <m/>
    <m/>
    <n v="50.360519409179688"/>
    <d v="2015-07-15T00:00:00"/>
    <n v="18.174880981445313"/>
    <d v="2015-07-15T00:00:00"/>
    <n v="16.835000000000001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131"/>
    <s v="Alesi"/>
    <x v="1"/>
    <x v="1"/>
    <n v="41"/>
    <n v="15"/>
    <n v="9"/>
    <m/>
    <m/>
    <m/>
    <m/>
    <n v="8"/>
    <m/>
    <n v="5.89"/>
    <d v="2015-07-06T00:00:00"/>
    <m/>
    <m/>
    <m/>
    <m/>
    <n v="16.25"/>
    <d v="2015-07-15T00:00:00"/>
    <n v="18.5"/>
    <d v="2015-07-06T00:00:00"/>
    <m/>
    <m/>
    <m/>
    <m/>
    <m/>
    <m/>
    <x v="725"/>
    <m/>
    <n v="32.117730917730917"/>
    <d v="2015-07-06T00:00:00"/>
    <m/>
    <m/>
    <n v="120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3.811"/>
    <d v="2015-07-15T00:00:00"/>
    <m/>
    <m/>
    <m/>
    <m/>
    <n v="49.621742248535156"/>
    <d v="2015-07-15T00:00:00"/>
    <n v="17.337251663208008"/>
    <d v="2015-07-15T00:00:00"/>
    <n v="15.897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RAPSO_232"/>
    <s v="Madrigal"/>
    <x v="0"/>
    <x v="2"/>
    <n v="85"/>
    <n v="2"/>
    <n v="17"/>
    <m/>
    <m/>
    <m/>
    <m/>
    <n v="9"/>
    <m/>
    <n v="5.83"/>
    <d v="2015-07-06T00:00:00"/>
    <m/>
    <m/>
    <m/>
    <m/>
    <n v="16.41"/>
    <d v="2015-07-15T00:00:00"/>
    <n v="18.5"/>
    <d v="2015-07-06T00:00:00"/>
    <m/>
    <m/>
    <m/>
    <m/>
    <m/>
    <m/>
    <x v="726"/>
    <m/>
    <n v="32.83"/>
    <d v="2015-07-06T00:00:00"/>
    <m/>
    <m/>
    <n v="15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731999999999999"/>
    <d v="2015-07-15T00:00:00"/>
    <m/>
    <m/>
    <m/>
    <m/>
    <n v="49.988655090332031"/>
    <d v="2015-07-15T00:00:00"/>
    <n v="19.0682373046875"/>
    <d v="2015-07-15T00:00:00"/>
    <n v="17.21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310"/>
    <s v="OKAPI "/>
    <x v="0"/>
    <x v="2"/>
    <n v="147"/>
    <n v="6"/>
    <n v="11"/>
    <m/>
    <m/>
    <m/>
    <m/>
    <n v="8"/>
    <m/>
    <n v="5.83"/>
    <d v="2015-07-06T00:00:00"/>
    <m/>
    <m/>
    <m/>
    <m/>
    <n v="17.13"/>
    <d v="2015-07-15T00:00:00"/>
    <n v="18.5"/>
    <d v="2015-07-06T00:00:00"/>
    <m/>
    <m/>
    <m/>
    <m/>
    <m/>
    <m/>
    <x v="726"/>
    <m/>
    <n v="32.206118206118205"/>
    <d v="2015-07-06T00:00:00"/>
    <m/>
    <m/>
    <n v="15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86"/>
    <d v="2015-07-15T00:00:00"/>
    <m/>
    <m/>
    <m/>
    <m/>
    <n v="52.176349639892578"/>
    <d v="2015-07-15T00:00:00"/>
    <n v="15.256753921508789"/>
    <d v="2015-07-15T00:00:00"/>
    <n v="20.109000000000002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296"/>
    <s v="ES-ALIENOR"/>
    <x v="0"/>
    <x v="2"/>
    <n v="133"/>
    <n v="3"/>
    <n v="8"/>
    <m/>
    <m/>
    <m/>
    <m/>
    <n v="8"/>
    <m/>
    <n v="5.85"/>
    <d v="2015-07-06T00:00:00"/>
    <m/>
    <m/>
    <m/>
    <m/>
    <n v="15.87"/>
    <d v="2015-07-15T00:00:00"/>
    <n v="18.5"/>
    <d v="2015-07-06T00:00:00"/>
    <m/>
    <m/>
    <m/>
    <m/>
    <m/>
    <m/>
    <x v="727"/>
    <m/>
    <n v="32.212355212355206"/>
    <d v="2015-07-06T00:00:00"/>
    <m/>
    <m/>
    <n v="150"/>
    <m/>
    <m/>
    <m/>
    <n v="96"/>
    <m/>
    <m/>
    <m/>
    <m/>
    <m/>
    <m/>
    <m/>
    <m/>
    <m/>
    <m/>
    <m/>
    <m/>
    <m/>
    <n v="5"/>
    <m/>
    <m/>
    <m/>
    <m/>
    <m/>
    <m/>
    <m/>
    <m/>
    <m/>
    <m/>
    <m/>
    <n v="62.744999999999997"/>
    <d v="2015-07-15T00:00:00"/>
    <m/>
    <m/>
    <m/>
    <m/>
    <n v="48.332603454589844"/>
    <d v="2015-07-15T00:00:00"/>
    <n v="18.808582305908203"/>
    <d v="2015-07-15T00:00:00"/>
    <n v="14.86100000000000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476"/>
    <s v="RAGT-13"/>
    <x v="1"/>
    <x v="1"/>
    <n v="176"/>
    <n v="15"/>
    <n v="17"/>
    <m/>
    <m/>
    <m/>
    <m/>
    <n v="7"/>
    <m/>
    <n v="5.89"/>
    <d v="2015-07-06T00:00:00"/>
    <m/>
    <m/>
    <m/>
    <m/>
    <n v="16.62"/>
    <d v="2015-07-15T00:00:00"/>
    <n v="18.5"/>
    <d v="2015-07-06T00:00:00"/>
    <m/>
    <m/>
    <m/>
    <m/>
    <m/>
    <m/>
    <x v="728"/>
    <m/>
    <n v="32.85"/>
    <d v="2015-07-06T00:00:00"/>
    <m/>
    <m/>
    <n v="10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1.981999999999999"/>
    <d v="2015-07-15T00:00:00"/>
    <m/>
    <m/>
    <m/>
    <m/>
    <n v="50.5772705078125"/>
    <d v="2015-07-15T00:00:00"/>
    <n v="16.976171493530273"/>
    <d v="2015-07-15T00:00:00"/>
    <n v="18.175000000000001"/>
    <d v="2015-07-15T00:00:00"/>
    <m/>
    <m/>
    <m/>
    <m/>
    <n v="7.9"/>
    <d v="2015-07-06T00:00:00"/>
    <m/>
    <m/>
    <m/>
    <m/>
    <m/>
    <m/>
    <m/>
    <n v="5"/>
    <d v="2015-06-25T00:00:00"/>
    <s v="VALIDE"/>
  </r>
  <r>
    <s v="Aviso"/>
    <s v="Aviso"/>
    <x v="1"/>
    <x v="3"/>
    <n v="181"/>
    <n v="23"/>
    <n v="24"/>
    <m/>
    <m/>
    <m/>
    <m/>
    <n v="8"/>
    <m/>
    <n v="5.86"/>
    <d v="2015-07-06T00:00:00"/>
    <m/>
    <m/>
    <m/>
    <m/>
    <n v="16.510000000000002"/>
    <d v="2015-07-15T00:00:00"/>
    <n v="18.5"/>
    <d v="2015-07-06T00:00:00"/>
    <m/>
    <m/>
    <m/>
    <m/>
    <m/>
    <m/>
    <x v="729"/>
    <m/>
    <n v="32.86"/>
    <d v="2015-07-06T00:00:00"/>
    <m/>
    <m/>
    <n v="13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1.371000000000002"/>
    <d v="2015-07-15T00:00:00"/>
    <m/>
    <m/>
    <m/>
    <m/>
    <n v="50.242546081542969"/>
    <d v="2015-07-15T00:00:00"/>
    <n v="17.129362106323242"/>
    <d v="2015-07-15T00:00:00"/>
    <n v="16.579999999999998"/>
    <d v="2015-07-15T00:00:00"/>
    <m/>
    <m/>
    <m/>
    <m/>
    <n v="7.4"/>
    <d v="2015-07-06T00:00:00"/>
    <m/>
    <m/>
    <m/>
    <m/>
    <m/>
    <m/>
    <m/>
    <n v="1"/>
    <d v="2015-06-25T00:00:00"/>
    <s v="VALIDE"/>
  </r>
  <r>
    <s v="BRA_008"/>
    <s v="Aviso"/>
    <x v="1"/>
    <x v="3"/>
    <n v="126"/>
    <n v="19"/>
    <n v="22"/>
    <m/>
    <m/>
    <m/>
    <m/>
    <n v="8"/>
    <m/>
    <n v="5.86"/>
    <d v="2015-07-06T00:00:00"/>
    <m/>
    <m/>
    <m/>
    <m/>
    <n v="16.59"/>
    <d v="2015-07-15T00:00:00"/>
    <n v="18.5"/>
    <d v="2015-07-06T00:00:00"/>
    <m/>
    <m/>
    <m/>
    <m/>
    <m/>
    <m/>
    <x v="729"/>
    <m/>
    <n v="32.86"/>
    <d v="2015-07-06T00:00:00"/>
    <m/>
    <m/>
    <n v="12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1.604999999999997"/>
    <d v="2015-07-15T00:00:00"/>
    <m/>
    <m/>
    <m/>
    <m/>
    <n v="50.488716125488281"/>
    <d v="2015-07-15T00:00:00"/>
    <n v="17.66554069519043"/>
    <d v="2015-07-15T00:00:00"/>
    <n v="16.585000000000001"/>
    <d v="2015-07-15T00:00:00"/>
    <m/>
    <m/>
    <m/>
    <m/>
    <n v="7.4"/>
    <d v="2015-07-06T00:00:00"/>
    <m/>
    <m/>
    <m/>
    <m/>
    <m/>
    <m/>
    <m/>
    <n v="3"/>
    <d v="2015-06-25T00:00:00"/>
    <s v="VALIDE"/>
  </r>
  <r>
    <s v="BRA_008"/>
    <s v="Aviso"/>
    <x v="1"/>
    <x v="1"/>
    <n v="126"/>
    <n v="13"/>
    <n v="5"/>
    <m/>
    <m/>
    <m/>
    <m/>
    <n v="8"/>
    <m/>
    <n v="6"/>
    <d v="2015-07-06T00:00:00"/>
    <m/>
    <m/>
    <m/>
    <m/>
    <n v="16.32"/>
    <d v="2015-07-15T00:00:00"/>
    <n v="18.5"/>
    <d v="2015-07-06T00:00:00"/>
    <m/>
    <m/>
    <m/>
    <m/>
    <m/>
    <m/>
    <x v="730"/>
    <m/>
    <n v="32.254232254232257"/>
    <d v="2015-07-06T00:00:00"/>
    <m/>
    <m/>
    <n v="13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478000000000002"/>
    <d v="2015-07-15T00:00:00"/>
    <m/>
    <m/>
    <m/>
    <m/>
    <n v="49.64495849609375"/>
    <d v="2015-07-15T00:00:00"/>
    <n v="17.853935241699219"/>
    <d v="2015-07-15T00:00:00"/>
    <n v="20.474"/>
    <d v="2015-07-15T00:00:00"/>
    <m/>
    <m/>
    <m/>
    <m/>
    <n v="9.5"/>
    <d v="2015-07-06T00:00:00"/>
    <m/>
    <m/>
    <m/>
    <m/>
    <m/>
    <m/>
    <m/>
    <n v="1"/>
    <d v="2015-06-25T00:00:00"/>
    <s v="VALIDE"/>
  </r>
  <r>
    <s v="RAPSO_227"/>
    <s v="Liporta"/>
    <x v="0"/>
    <x v="2"/>
    <n v="82"/>
    <n v="2"/>
    <n v="11"/>
    <m/>
    <m/>
    <m/>
    <m/>
    <n v="8"/>
    <m/>
    <n v="5.86"/>
    <d v="2015-07-06T00:00:00"/>
    <m/>
    <m/>
    <m/>
    <m/>
    <n v="16.670000000000002"/>
    <d v="2015-07-15T00:00:00"/>
    <n v="18.5"/>
    <d v="2015-07-06T00:00:00"/>
    <m/>
    <m/>
    <m/>
    <m/>
    <m/>
    <m/>
    <x v="731"/>
    <m/>
    <n v="32.9"/>
    <d v="2015-07-06T00:00:00"/>
    <m/>
    <m/>
    <n v="155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3.529000000000003"/>
    <d v="2015-07-15T00:00:00"/>
    <m/>
    <m/>
    <m/>
    <m/>
    <n v="50.6561279296875"/>
    <d v="2015-07-15T00:00:00"/>
    <n v="17.124645233154297"/>
    <d v="2015-07-15T00:00:00"/>
    <n v="17.661000000000001"/>
    <d v="2015-07-15T00:00:00"/>
    <m/>
    <m/>
    <m/>
    <m/>
    <n v="7.3"/>
    <d v="2015-07-06T00:00:00"/>
    <m/>
    <m/>
    <m/>
    <m/>
    <m/>
    <m/>
    <m/>
    <n v="3"/>
    <d v="2015-06-25T00:00:00"/>
    <s v="VALIDE"/>
  </r>
  <r>
    <s v="RAPSO_314"/>
    <s v="Maccarena"/>
    <x v="0"/>
    <x v="2"/>
    <n v="151"/>
    <n v="2"/>
    <n v="32"/>
    <m/>
    <m/>
    <m/>
    <m/>
    <n v="9"/>
    <m/>
    <n v="5.83"/>
    <d v="2015-07-06T00:00:00"/>
    <m/>
    <m/>
    <m/>
    <m/>
    <n v="16.47"/>
    <d v="2015-07-15T00:00:00"/>
    <n v="18.5"/>
    <d v="2015-07-06T00:00:00"/>
    <m/>
    <m/>
    <m/>
    <m/>
    <m/>
    <m/>
    <x v="168"/>
    <m/>
    <n v="32.275378675378683"/>
    <d v="2015-07-06T00:00:00"/>
    <m/>
    <m/>
    <n v="150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6.122"/>
    <d v="2015-07-15T00:00:00"/>
    <m/>
    <m/>
    <m/>
    <m/>
    <n v="50.074798583984375"/>
    <d v="2015-07-15T00:00:00"/>
    <n v="18.302402496337891"/>
    <d v="2015-07-15T00:00:00"/>
    <n v="15.429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316"/>
    <s v="RAGT-02"/>
    <x v="1"/>
    <x v="3"/>
    <n v="153"/>
    <n v="19"/>
    <n v="3"/>
    <m/>
    <m/>
    <m/>
    <m/>
    <n v="9"/>
    <m/>
    <n v="5.89"/>
    <d v="2015-07-06T00:00:00"/>
    <m/>
    <m/>
    <m/>
    <m/>
    <n v="17.05"/>
    <d v="2015-07-15T00:00:00"/>
    <n v="18.5"/>
    <d v="2015-07-06T00:00:00"/>
    <m/>
    <m/>
    <m/>
    <m/>
    <m/>
    <m/>
    <x v="732"/>
    <m/>
    <n v="32.327650727650735"/>
    <d v="2015-07-06T00:00:00"/>
    <m/>
    <m/>
    <n v="13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4.108000000000004"/>
    <d v="2015-07-15T00:00:00"/>
    <m/>
    <m/>
    <m/>
    <m/>
    <n v="51.739997863769531"/>
    <d v="2015-07-15T00:00:00"/>
    <n v="16.253042221069336"/>
    <d v="2015-07-15T00:00:00"/>
    <n v="18.972999999999999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011"/>
    <s v="Gaspard"/>
    <x v="0"/>
    <x v="2"/>
    <n v="3"/>
    <n v="1"/>
    <n v="24"/>
    <m/>
    <m/>
    <m/>
    <m/>
    <n v="9"/>
    <m/>
    <n v="5.85"/>
    <d v="2015-07-06T00:00:00"/>
    <m/>
    <m/>
    <m/>
    <m/>
    <n v="16.670000000000002"/>
    <d v="2015-07-15T00:00:00"/>
    <n v="18.5"/>
    <d v="2015-07-06T00:00:00"/>
    <m/>
    <m/>
    <m/>
    <m/>
    <m/>
    <m/>
    <x v="733"/>
    <m/>
    <n v="32.351351351351347"/>
    <d v="2015-07-06T00:00:00"/>
    <m/>
    <m/>
    <n v="16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5.754000000000005"/>
    <d v="2015-07-15T00:00:00"/>
    <m/>
    <m/>
    <m/>
    <m/>
    <n v="50.539501190185547"/>
    <d v="2015-07-15T00:00:00"/>
    <n v="18.425613403320312"/>
    <d v="2015-07-15T00:00:00"/>
    <n v="73.744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34"/>
    <s v="SYN10"/>
    <x v="1"/>
    <x v="3"/>
    <n v="171"/>
    <n v="24"/>
    <n v="18"/>
    <m/>
    <m/>
    <m/>
    <m/>
    <n v="7"/>
    <m/>
    <n v="5.86"/>
    <d v="2015-07-06T00:00:00"/>
    <m/>
    <m/>
    <m/>
    <m/>
    <n v="17.03"/>
    <d v="2015-07-15T00:00:00"/>
    <n v="18.5"/>
    <d v="2015-07-06T00:00:00"/>
    <m/>
    <m/>
    <m/>
    <m/>
    <m/>
    <m/>
    <x v="734"/>
    <m/>
    <n v="33.04"/>
    <d v="2015-07-06T00:00:00"/>
    <m/>
    <m/>
    <n v="15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757999999999996"/>
    <d v="2015-07-15T00:00:00"/>
    <m/>
    <m/>
    <m/>
    <m/>
    <n v="51.539085388183594"/>
    <d v="2015-07-15T00:00:00"/>
    <n v="17.224308013916016"/>
    <d v="2015-07-15T00:00:00"/>
    <n v="13.164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18"/>
    <s v="RAGT-04"/>
    <x v="1"/>
    <x v="3"/>
    <n v="155"/>
    <n v="22"/>
    <n v="2"/>
    <m/>
    <m/>
    <m/>
    <m/>
    <n v="6"/>
    <m/>
    <n v="6"/>
    <d v="2015-07-06T00:00:00"/>
    <m/>
    <m/>
    <m/>
    <m/>
    <n v="16.97"/>
    <d v="2015-07-15T00:00:00"/>
    <n v="18.5"/>
    <d v="2015-07-06T00:00:00"/>
    <m/>
    <m/>
    <m/>
    <m/>
    <m/>
    <m/>
    <x v="735"/>
    <m/>
    <n v="32.574992574992578"/>
    <d v="2015-07-06T00:00:00"/>
    <m/>
    <m/>
    <n v="13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3.857999999999997"/>
    <d v="2015-07-15T00:00:00"/>
    <m/>
    <m/>
    <m/>
    <m/>
    <n v="51.113197326660156"/>
    <d v="2015-07-15T00:00:00"/>
    <n v="16.548845291137695"/>
    <d v="2015-07-15T00:00:00"/>
    <n v="12.456"/>
    <d v="2015-07-15T00:00:00"/>
    <m/>
    <m/>
    <m/>
    <m/>
    <n v="8.6"/>
    <d v="2015-07-06T00:00:00"/>
    <m/>
    <m/>
    <m/>
    <m/>
    <m/>
    <m/>
    <m/>
    <n v="1"/>
    <d v="2015-06-25T00:00:00"/>
    <s v="VALIDE"/>
  </r>
  <r>
    <s v="RAPSO_331"/>
    <s v="SYN07"/>
    <x v="0"/>
    <x v="2"/>
    <n v="168"/>
    <n v="5"/>
    <n v="3"/>
    <m/>
    <m/>
    <m/>
    <m/>
    <n v="9"/>
    <m/>
    <n v="5.91"/>
    <d v="2015-07-06T00:00:00"/>
    <m/>
    <m/>
    <m/>
    <m/>
    <n v="17.399999999999999"/>
    <d v="2015-07-15T00:00:00"/>
    <n v="18.5"/>
    <d v="2015-07-06T00:00:00"/>
    <m/>
    <m/>
    <m/>
    <m/>
    <m/>
    <m/>
    <x v="736"/>
    <m/>
    <n v="33.21"/>
    <d v="2015-07-06T00:00:00"/>
    <m/>
    <m/>
    <n v="16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5.147999999999996"/>
    <d v="2015-07-15T00:00:00"/>
    <m/>
    <m/>
    <m/>
    <m/>
    <n v="52.398632049560547"/>
    <d v="2015-07-15T00:00:00"/>
    <n v="16.063774108886719"/>
    <d v="2015-07-15T00:00:00"/>
    <n v="14.506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187"/>
    <s v="Escort"/>
    <x v="1"/>
    <x v="3"/>
    <n v="66"/>
    <n v="20"/>
    <n v="4"/>
    <m/>
    <m/>
    <m/>
    <m/>
    <n v="9"/>
    <m/>
    <n v="6"/>
    <d v="2015-07-06T00:00:00"/>
    <m/>
    <m/>
    <m/>
    <m/>
    <n v="16.440000000000001"/>
    <d v="2015-07-15T00:00:00"/>
    <n v="18.5"/>
    <d v="2015-07-06T00:00:00"/>
    <m/>
    <m/>
    <m/>
    <m/>
    <m/>
    <m/>
    <x v="737"/>
    <m/>
    <n v="32.610632610632607"/>
    <d v="2015-07-06T00:00:00"/>
    <m/>
    <m/>
    <n v="12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3.48"/>
    <d v="2015-07-15T00:00:00"/>
    <m/>
    <m/>
    <m/>
    <m/>
    <n v="49.446895599365234"/>
    <d v="2015-07-15T00:00:00"/>
    <n v="18.468748092651367"/>
    <d v="2015-07-15T00:00:00"/>
    <n v="18.131"/>
    <d v="2015-07-15T00:00:00"/>
    <m/>
    <m/>
    <m/>
    <m/>
    <n v="8.5"/>
    <d v="2015-07-06T00:00:00"/>
    <m/>
    <m/>
    <m/>
    <m/>
    <m/>
    <m/>
    <m/>
    <n v="1"/>
    <d v="2015-06-25T00:00:00"/>
    <s v="VALIDE"/>
  </r>
  <r>
    <s v="RAPSO_156"/>
    <s v="Cancan"/>
    <x v="0"/>
    <x v="2"/>
    <n v="52"/>
    <n v="5"/>
    <n v="6"/>
    <m/>
    <m/>
    <m/>
    <m/>
    <n v="5"/>
    <m/>
    <n v="5.91"/>
    <d v="2015-07-06T00:00:00"/>
    <m/>
    <m/>
    <m/>
    <m/>
    <n v="16.53"/>
    <d v="2015-07-15T00:00:00"/>
    <n v="18.5"/>
    <d v="2015-07-06T00:00:00"/>
    <m/>
    <m/>
    <m/>
    <m/>
    <m/>
    <m/>
    <x v="738"/>
    <m/>
    <n v="32.612949212949218"/>
    <d v="2015-07-06T00:00:00"/>
    <m/>
    <m/>
    <n v="14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3.545999999999999"/>
    <d v="2015-07-15T00:00:00"/>
    <m/>
    <m/>
    <m/>
    <m/>
    <n v="49.721214294433594"/>
    <d v="2015-07-15T00:00:00"/>
    <n v="17.271064758300781"/>
    <d v="2015-07-15T00:00:00"/>
    <n v="15.821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162"/>
    <s v="CAPVERT"/>
    <x v="0"/>
    <x v="2"/>
    <n v="55"/>
    <n v="5"/>
    <n v="31"/>
    <m/>
    <m/>
    <m/>
    <m/>
    <n v="5"/>
    <m/>
    <n v="5.92"/>
    <d v="2015-07-06T00:00:00"/>
    <m/>
    <m/>
    <m/>
    <m/>
    <n v="17.37"/>
    <d v="2015-07-15T00:00:00"/>
    <n v="18.5"/>
    <d v="2015-07-06T00:00:00"/>
    <m/>
    <m/>
    <m/>
    <m/>
    <m/>
    <m/>
    <x v="739"/>
    <m/>
    <n v="32.632967032967031"/>
    <d v="2015-07-06T00:00:00"/>
    <m/>
    <m/>
    <n v="15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009"/>
    <d v="2015-07-15T00:00:00"/>
    <m/>
    <m/>
    <m/>
    <m/>
    <n v="52.208724975585937"/>
    <d v="2015-07-15T00:00:00"/>
    <n v="16.69805908203125"/>
    <d v="2015-07-15T00:00:00"/>
    <n v="17.664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Montego"/>
    <s v="Montego"/>
    <x v="0"/>
    <x v="2"/>
    <n v="187"/>
    <n v="2"/>
    <n v="22"/>
    <m/>
    <m/>
    <m/>
    <m/>
    <n v="7"/>
    <m/>
    <n v="5.91"/>
    <d v="2015-07-06T00:00:00"/>
    <m/>
    <m/>
    <m/>
    <m/>
    <n v="16.940000000000001"/>
    <d v="2015-07-15T00:00:00"/>
    <n v="18.5"/>
    <d v="2015-07-06T00:00:00"/>
    <m/>
    <m/>
    <m/>
    <m/>
    <m/>
    <m/>
    <x v="740"/>
    <m/>
    <n v="33.32"/>
    <d v="2015-07-06T00:00:00"/>
    <m/>
    <m/>
    <n v="13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5.177999999999997"/>
    <d v="2015-07-15T00:00:00"/>
    <m/>
    <m/>
    <m/>
    <m/>
    <n v="50.828285217285156"/>
    <d v="2015-07-15T00:00:00"/>
    <n v="19.383359909057617"/>
    <d v="2015-07-15T00:00:00"/>
    <n v="13.875"/>
    <d v="2015-07-15T00:00:00"/>
    <m/>
    <m/>
    <m/>
    <m/>
    <n v="6.9"/>
    <d v="2015-07-06T00:00:00"/>
    <m/>
    <m/>
    <m/>
    <m/>
    <m/>
    <m/>
    <m/>
    <n v="1"/>
    <d v="2015-06-25T00:00:00"/>
    <s v="VALIDE"/>
  </r>
  <r>
    <s v="Alpaga"/>
    <s v="Alpaga"/>
    <x v="0"/>
    <x v="2"/>
    <n v="190"/>
    <n v="5"/>
    <n v="2"/>
    <m/>
    <m/>
    <m/>
    <m/>
    <n v="9"/>
    <m/>
    <n v="5.92"/>
    <d v="2015-07-06T00:00:00"/>
    <m/>
    <m/>
    <m/>
    <m/>
    <n v="17.45"/>
    <d v="2015-07-15T00:00:00"/>
    <n v="18.5"/>
    <d v="2015-07-06T00:00:00"/>
    <m/>
    <m/>
    <m/>
    <m/>
    <m/>
    <m/>
    <x v="741"/>
    <m/>
    <n v="33.340000000000003"/>
    <d v="2015-07-06T00:00:00"/>
    <m/>
    <m/>
    <n v="16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396999999999998"/>
    <d v="2015-07-15T00:00:00"/>
    <m/>
    <m/>
    <m/>
    <m/>
    <n v="52.343269348144531"/>
    <d v="2015-07-15T00:00:00"/>
    <n v="15.992883682250977"/>
    <d v="2015-07-15T00:00:00"/>
    <n v="18.204999999999998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273"/>
    <s v="TAROX"/>
    <x v="0"/>
    <x v="2"/>
    <n v="107"/>
    <n v="4"/>
    <n v="8"/>
    <m/>
    <m/>
    <m/>
    <m/>
    <n v="9"/>
    <m/>
    <n v="5.96"/>
    <d v="2015-07-06T00:00:00"/>
    <m/>
    <m/>
    <m/>
    <m/>
    <n v="17.3"/>
    <d v="2015-07-15T00:00:00"/>
    <n v="18.5"/>
    <d v="2015-07-06T00:00:00"/>
    <m/>
    <m/>
    <m/>
    <m/>
    <m/>
    <m/>
    <x v="742"/>
    <m/>
    <n v="32.818057618057615"/>
    <d v="2015-07-06T00:00:00"/>
    <m/>
    <m/>
    <n v="165"/>
    <m/>
    <m/>
    <m/>
    <n v="105"/>
    <m/>
    <m/>
    <m/>
    <m/>
    <m/>
    <m/>
    <m/>
    <m/>
    <m/>
    <m/>
    <m/>
    <m/>
    <m/>
    <n v="5"/>
    <m/>
    <m/>
    <m/>
    <m/>
    <m/>
    <m/>
    <m/>
    <m/>
    <m/>
    <m/>
    <m/>
    <n v="63.423999999999999"/>
    <d v="2015-07-15T00:00:00"/>
    <m/>
    <m/>
    <m/>
    <m/>
    <n v="51.697715759277344"/>
    <d v="2015-07-15T00:00:00"/>
    <n v="15.922998428344727"/>
    <d v="2015-07-15T00:00:00"/>
    <n v="15.586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28"/>
    <s v="SYN04"/>
    <x v="1"/>
    <x v="3"/>
    <n v="165"/>
    <n v="19"/>
    <n v="5"/>
    <m/>
    <m/>
    <m/>
    <m/>
    <n v="9"/>
    <m/>
    <n v="6.07"/>
    <d v="2015-07-06T00:00:00"/>
    <m/>
    <m/>
    <m/>
    <m/>
    <n v="17.2"/>
    <d v="2015-07-15T00:00:00"/>
    <n v="18.5"/>
    <d v="2015-07-06T00:00:00"/>
    <m/>
    <m/>
    <m/>
    <m/>
    <m/>
    <m/>
    <x v="743"/>
    <m/>
    <n v="33.520000000000003"/>
    <d v="2015-07-06T00:00:00"/>
    <m/>
    <m/>
    <n v="12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5.564999999999998"/>
    <d v="2015-07-15T00:00:00"/>
    <m/>
    <m/>
    <m/>
    <m/>
    <n v="51.306182861328125"/>
    <d v="2015-07-15T00:00:00"/>
    <n v="18.228645324707031"/>
    <d v="2015-07-15T00:00:00"/>
    <n v="17.914999999999999"/>
    <d v="2015-07-15T00:00:00"/>
    <m/>
    <m/>
    <m/>
    <m/>
    <n v="8.8000000000000007"/>
    <d v="2015-07-06T00:00:00"/>
    <m/>
    <m/>
    <m/>
    <m/>
    <m/>
    <m/>
    <m/>
    <n v="1"/>
    <d v="2015-06-25T00:00:00"/>
    <s v="VALIDE"/>
  </r>
  <r>
    <s v="RAPSO_313"/>
    <s v="TASMAN"/>
    <x v="1"/>
    <x v="3"/>
    <n v="150"/>
    <n v="24"/>
    <n v="17"/>
    <m/>
    <m/>
    <m/>
    <m/>
    <n v="8"/>
    <m/>
    <n v="6"/>
    <d v="2015-07-06T00:00:00"/>
    <m/>
    <m/>
    <m/>
    <m/>
    <n v="17.36"/>
    <d v="2015-07-15T00:00:00"/>
    <n v="18.5"/>
    <d v="2015-07-06T00:00:00"/>
    <m/>
    <m/>
    <m/>
    <m/>
    <m/>
    <m/>
    <x v="744"/>
    <m/>
    <n v="32.895752895752892"/>
    <d v="2015-07-06T00:00:00"/>
    <m/>
    <m/>
    <n v="14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316000000000003"/>
    <d v="2015-07-15T00:00:00"/>
    <m/>
    <m/>
    <m/>
    <m/>
    <n v="51.764739990234375"/>
    <d v="2015-07-15T00:00:00"/>
    <n v="16.919933319091797"/>
    <d v="2015-07-15T00:00:00"/>
    <n v="12.151999999999999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330"/>
    <s v="SYN06"/>
    <x v="1"/>
    <x v="3"/>
    <n v="167"/>
    <n v="19"/>
    <n v="9"/>
    <m/>
    <m/>
    <m/>
    <m/>
    <n v="9"/>
    <m/>
    <n v="6.06"/>
    <d v="2015-07-06T00:00:00"/>
    <m/>
    <m/>
    <m/>
    <m/>
    <n v="17.399999999999999"/>
    <d v="2015-07-15T00:00:00"/>
    <n v="18.5"/>
    <d v="2015-07-06T00:00:00"/>
    <m/>
    <m/>
    <m/>
    <m/>
    <m/>
    <m/>
    <x v="745"/>
    <m/>
    <n v="33.58"/>
    <d v="2015-07-06T00:00:00"/>
    <m/>
    <m/>
    <n v="120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2.311"/>
    <d v="2015-07-15T00:00:00"/>
    <m/>
    <m/>
    <m/>
    <m/>
    <n v="51.832992553710937"/>
    <d v="2015-07-15T00:00:00"/>
    <n v="17.635799407958984"/>
    <d v="2015-07-15T00:00:00"/>
    <n v="20.49"/>
    <d v="2015-07-15T00:00:00"/>
    <m/>
    <m/>
    <m/>
    <m/>
    <n v="8.5"/>
    <d v="2015-07-06T00:00:00"/>
    <m/>
    <m/>
    <m/>
    <m/>
    <m/>
    <m/>
    <m/>
    <n v="3"/>
    <d v="2015-06-25T00:00:00"/>
    <s v="VALIDE"/>
  </r>
  <r>
    <s v="RAPSO_480"/>
    <s v="SYNG12"/>
    <x v="0"/>
    <x v="2"/>
    <n v="180"/>
    <n v="1"/>
    <n v="14"/>
    <m/>
    <m/>
    <m/>
    <m/>
    <n v="8"/>
    <m/>
    <n v="5.99"/>
    <d v="2015-07-06T00:00:00"/>
    <m/>
    <m/>
    <m/>
    <m/>
    <n v="17.100000000000001"/>
    <d v="2015-07-15T00:00:00"/>
    <n v="18.5"/>
    <d v="2015-07-06T00:00:00"/>
    <m/>
    <m/>
    <m/>
    <m/>
    <m/>
    <m/>
    <x v="746"/>
    <m/>
    <n v="33.619999999999997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186999999999998"/>
    <d v="2015-07-15T00:00:00"/>
    <m/>
    <m/>
    <m/>
    <m/>
    <n v="50.862518310546875"/>
    <d v="2015-07-15T00:00:00"/>
    <n v="16.380550384521484"/>
    <d v="2015-07-15T00:00:00"/>
    <n v="17.105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245"/>
    <s v="Navajo"/>
    <x v="0"/>
    <x v="2"/>
    <n v="90"/>
    <n v="3"/>
    <n v="29"/>
    <m/>
    <m/>
    <m/>
    <m/>
    <n v="6"/>
    <m/>
    <n v="6"/>
    <d v="2015-07-06T00:00:00"/>
    <m/>
    <m/>
    <m/>
    <m/>
    <n v="16.52"/>
    <d v="2015-07-15T00:00:00"/>
    <n v="18.5"/>
    <d v="2015-07-06T00:00:00"/>
    <m/>
    <m/>
    <m/>
    <m/>
    <m/>
    <m/>
    <x v="747"/>
    <m/>
    <n v="33.073953073953071"/>
    <d v="2015-07-06T00:00:00"/>
    <m/>
    <m/>
    <n v="16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84"/>
    <d v="2015-07-15T00:00:00"/>
    <m/>
    <m/>
    <m/>
    <m/>
    <n v="48.9805908203125"/>
    <d v="2015-07-15T00:00:00"/>
    <n v="17.793439865112305"/>
    <d v="2015-07-15T00:00:00"/>
    <n v="15.074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20"/>
    <s v="RAGT-06"/>
    <x v="0"/>
    <x v="2"/>
    <n v="157"/>
    <n v="4"/>
    <n v="10"/>
    <m/>
    <m/>
    <m/>
    <m/>
    <n v="5"/>
    <m/>
    <n v="6"/>
    <d v="2015-07-06T00:00:00"/>
    <m/>
    <m/>
    <m/>
    <m/>
    <n v="17.559999999999999"/>
    <d v="2015-07-15T00:00:00"/>
    <n v="18.5"/>
    <d v="2015-07-06T00:00:00"/>
    <m/>
    <m/>
    <m/>
    <m/>
    <m/>
    <m/>
    <x v="748"/>
    <m/>
    <n v="33.109593109593114"/>
    <d v="2015-07-06T00:00:00"/>
    <m/>
    <m/>
    <n v="160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2.554000000000002"/>
    <d v="2015-07-15T00:00:00"/>
    <m/>
    <m/>
    <m/>
    <m/>
    <n v="52.035850524902344"/>
    <d v="2015-07-15T00:00:00"/>
    <n v="16.671014785766602"/>
    <d v="2015-07-15T00:00:00"/>
    <n v="14.553000000000001"/>
    <d v="2015-07-15T00:00:00"/>
    <m/>
    <m/>
    <m/>
    <m/>
    <n v="7.1"/>
    <d v="2015-07-06T00:00:00"/>
    <m/>
    <m/>
    <m/>
    <m/>
    <m/>
    <m/>
    <m/>
    <n v="1"/>
    <d v="2015-06-25T00:00:00"/>
    <s v="VALIDE"/>
  </r>
  <r>
    <s v="Aviso"/>
    <s v="Aviso"/>
    <x v="0"/>
    <x v="2"/>
    <n v="182"/>
    <n v="1"/>
    <n v="23"/>
    <m/>
    <m/>
    <m/>
    <m/>
    <n v="8"/>
    <m/>
    <n v="6.01"/>
    <d v="2015-07-06T00:00:00"/>
    <m/>
    <m/>
    <m/>
    <m/>
    <n v="16.54"/>
    <d v="2015-07-15T00:00:00"/>
    <n v="18.5"/>
    <d v="2015-07-06T00:00:00"/>
    <m/>
    <m/>
    <m/>
    <m/>
    <m/>
    <m/>
    <x v="749"/>
    <m/>
    <n v="33.770000000000003"/>
    <d v="2015-07-06T00:00:00"/>
    <m/>
    <m/>
    <n v="15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185000000000002"/>
    <d v="2015-07-15T00:00:00"/>
    <m/>
    <m/>
    <m/>
    <m/>
    <n v="48.979293823242187"/>
    <d v="2015-07-15T00:00:00"/>
    <n v="18.730007171630859"/>
    <d v="2015-07-15T00:00:00"/>
    <n v="20.646999999999998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158"/>
    <s v="Capitol"/>
    <x v="0"/>
    <x v="2"/>
    <n v="53"/>
    <n v="5"/>
    <n v="23"/>
    <m/>
    <m/>
    <m/>
    <m/>
    <n v="5"/>
    <m/>
    <n v="6"/>
    <d v="2015-07-06T00:00:00"/>
    <m/>
    <m/>
    <m/>
    <m/>
    <n v="17.510000000000002"/>
    <d v="2015-07-15T00:00:00"/>
    <n v="18.5"/>
    <d v="2015-07-06T00:00:00"/>
    <m/>
    <m/>
    <m/>
    <m/>
    <m/>
    <m/>
    <x v="750"/>
    <m/>
    <n v="33.83"/>
    <d v="2015-07-06T00:00:00"/>
    <m/>
    <m/>
    <n v="130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3.811"/>
    <d v="2015-07-15T00:00:00"/>
    <m/>
    <m/>
    <m/>
    <m/>
    <n v="51.763591766357422"/>
    <d v="2015-07-15T00:00:00"/>
    <n v="15.614977836608887"/>
    <d v="2015-07-15T00:00:00"/>
    <n v="16.335999999999999"/>
    <d v="2015-07-15T00:00:00"/>
    <m/>
    <m/>
    <m/>
    <m/>
    <n v="6.9"/>
    <d v="2015-07-06T00:00:00"/>
    <m/>
    <m/>
    <m/>
    <m/>
    <m/>
    <m/>
    <m/>
    <n v="3"/>
    <d v="2015-06-25T00:00:00"/>
    <s v="VALIDE"/>
  </r>
  <r>
    <s v="BRA_006"/>
    <s v="Bristol"/>
    <x v="0"/>
    <x v="2"/>
    <n v="124"/>
    <n v="6"/>
    <n v="7"/>
    <m/>
    <m/>
    <m/>
    <m/>
    <n v="9"/>
    <m/>
    <n v="6.02"/>
    <d v="2015-07-06T00:00:00"/>
    <m/>
    <m/>
    <m/>
    <m/>
    <n v="17.420000000000002"/>
    <d v="2015-07-15T00:00:00"/>
    <n v="18.5"/>
    <d v="2015-07-06T00:00:00"/>
    <m/>
    <m/>
    <m/>
    <m/>
    <m/>
    <m/>
    <x v="751"/>
    <m/>
    <n v="33.184199584199575"/>
    <d v="2015-07-06T00:00:00"/>
    <m/>
    <m/>
    <n v="155"/>
    <m/>
    <m/>
    <m/>
    <n v="99"/>
    <m/>
    <m/>
    <m/>
    <m/>
    <m/>
    <m/>
    <m/>
    <m/>
    <m/>
    <m/>
    <m/>
    <m/>
    <m/>
    <n v="3"/>
    <m/>
    <m/>
    <m/>
    <m/>
    <m/>
    <m/>
    <m/>
    <m/>
    <m/>
    <m/>
    <m/>
    <n v="62.881999999999998"/>
    <d v="2015-07-15T00:00:00"/>
    <m/>
    <m/>
    <m/>
    <m/>
    <n v="51.504684448242188"/>
    <d v="2015-07-15T00:00:00"/>
    <n v="16.230863571166992"/>
    <d v="2015-07-15T00:00:00"/>
    <n v="15.997999999999999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08"/>
    <s v="LADOGA "/>
    <x v="0"/>
    <x v="2"/>
    <n v="145"/>
    <n v="4"/>
    <n v="29"/>
    <m/>
    <m/>
    <m/>
    <m/>
    <n v="5"/>
    <m/>
    <n v="6.01"/>
    <d v="2015-07-06T00:00:00"/>
    <m/>
    <m/>
    <m/>
    <m/>
    <n v="17.38"/>
    <d v="2015-07-15T00:00:00"/>
    <n v="18.5"/>
    <d v="2015-07-06T00:00:00"/>
    <m/>
    <m/>
    <m/>
    <m/>
    <m/>
    <m/>
    <x v="752"/>
    <m/>
    <n v="33.200475200475196"/>
    <d v="2015-07-06T00:00:00"/>
    <m/>
    <m/>
    <n v="15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148000000000003"/>
    <d v="2015-07-15T00:00:00"/>
    <m/>
    <m/>
    <m/>
    <m/>
    <n v="51.353858947753906"/>
    <d v="2015-07-15T00:00:00"/>
    <n v="15.761531829833984"/>
    <d v="2015-07-15T00:00:00"/>
    <n v="14.79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34"/>
    <s v="SYN10"/>
    <x v="0"/>
    <x v="2"/>
    <n v="171"/>
    <n v="4"/>
    <n v="32"/>
    <m/>
    <m/>
    <m/>
    <m/>
    <n v="8"/>
    <m/>
    <n v="6"/>
    <d v="2015-07-06T00:00:00"/>
    <m/>
    <m/>
    <m/>
    <m/>
    <n v="17.86"/>
    <d v="2015-07-15T00:00:00"/>
    <n v="18.5"/>
    <d v="2015-07-06T00:00:00"/>
    <m/>
    <m/>
    <m/>
    <m/>
    <m/>
    <m/>
    <x v="753"/>
    <m/>
    <n v="33.86"/>
    <d v="2015-07-06T00:00:00"/>
    <m/>
    <m/>
    <n v="15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448999999999998"/>
    <d v="2015-07-15T00:00:00"/>
    <m/>
    <m/>
    <m/>
    <m/>
    <n v="52.756103515625"/>
    <d v="2015-07-15T00:00:00"/>
    <n v="16.099418640136719"/>
    <d v="2015-07-15T00:00:00"/>
    <n v="14.407999999999999"/>
    <d v="2015-07-15T00:00:00"/>
    <m/>
    <m/>
    <m/>
    <m/>
    <n v="6.8"/>
    <d v="2015-07-06T00:00:00"/>
    <m/>
    <m/>
    <m/>
    <m/>
    <m/>
    <m/>
    <m/>
    <n v="1"/>
    <d v="2015-06-25T00:00:00"/>
    <s v="VALIDE"/>
  </r>
  <r>
    <s v="Aviso"/>
    <s v="Aviso"/>
    <x v="0"/>
    <x v="2"/>
    <n v="184"/>
    <n v="3"/>
    <n v="20"/>
    <m/>
    <m/>
    <m/>
    <m/>
    <n v="9"/>
    <m/>
    <n v="6.02"/>
    <d v="2015-07-06T00:00:00"/>
    <m/>
    <m/>
    <m/>
    <m/>
    <n v="16.829999999999998"/>
    <d v="2015-07-15T00:00:00"/>
    <n v="18.5"/>
    <d v="2015-07-06T00:00:00"/>
    <m/>
    <m/>
    <m/>
    <m/>
    <m/>
    <m/>
    <x v="754"/>
    <m/>
    <n v="33.869999999999997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1.939"/>
    <d v="2015-07-15T00:00:00"/>
    <m/>
    <m/>
    <m/>
    <m/>
    <n v="49.691932678222656"/>
    <d v="2015-07-15T00:00:00"/>
    <n v="18.113447189331055"/>
    <d v="2015-07-15T00:00:00"/>
    <n v="19.116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98"/>
    <s v="ES-CUBIC"/>
    <x v="0"/>
    <x v="2"/>
    <n v="135"/>
    <n v="1"/>
    <n v="11"/>
    <m/>
    <m/>
    <m/>
    <m/>
    <n v="9"/>
    <m/>
    <n v="6.03"/>
    <d v="2015-07-06T00:00:00"/>
    <m/>
    <m/>
    <m/>
    <m/>
    <n v="17.2"/>
    <d v="2015-07-15T00:00:00"/>
    <n v="18.5"/>
    <d v="2015-07-06T00:00:00"/>
    <m/>
    <m/>
    <m/>
    <m/>
    <m/>
    <m/>
    <x v="755"/>
    <m/>
    <n v="33.239322839322838"/>
    <d v="2015-07-06T00:00:00"/>
    <m/>
    <m/>
    <n v="14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0.712000000000003"/>
    <d v="2015-07-15T00:00:00"/>
    <m/>
    <m/>
    <m/>
    <m/>
    <n v="50.764274597167969"/>
    <d v="2015-07-15T00:00:00"/>
    <n v="18.556751251220703"/>
    <d v="2015-07-15T00:00:00"/>
    <n v="13.093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01"/>
    <s v="ES-BRAVA"/>
    <x v="1"/>
    <x v="3"/>
    <n v="138"/>
    <n v="19"/>
    <n v="14"/>
    <m/>
    <m/>
    <m/>
    <m/>
    <n v="9"/>
    <m/>
    <n v="6.05"/>
    <d v="2015-07-06T00:00:00"/>
    <m/>
    <m/>
    <m/>
    <m/>
    <n v="16.61"/>
    <d v="2015-07-15T00:00:00"/>
    <n v="18.5"/>
    <d v="2015-07-06T00:00:00"/>
    <m/>
    <m/>
    <m/>
    <m/>
    <m/>
    <m/>
    <x v="756"/>
    <m/>
    <n v="33.313632313632311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775000000000006"/>
    <d v="2015-07-15T00:00:00"/>
    <m/>
    <m/>
    <m/>
    <m/>
    <n v="48.920860290527344"/>
    <d v="2015-07-15T00:00:00"/>
    <n v="17.806703567504883"/>
    <d v="2015-07-15T00:00:00"/>
    <n v="13.519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180"/>
    <s v="Ecrin"/>
    <x v="1"/>
    <x v="3"/>
    <n v="64"/>
    <n v="22"/>
    <n v="11"/>
    <m/>
    <m/>
    <m/>
    <m/>
    <n v="7"/>
    <m/>
    <n v="6.11"/>
    <d v="2015-07-06T00:00:00"/>
    <m/>
    <m/>
    <m/>
    <m/>
    <n v="17.91"/>
    <d v="2015-07-15T00:00:00"/>
    <n v="18.5"/>
    <d v="2015-07-06T00:00:00"/>
    <m/>
    <m/>
    <m/>
    <m/>
    <m/>
    <m/>
    <x v="757"/>
    <m/>
    <n v="33.535135135135143"/>
    <d v="2015-07-06T00:00:00"/>
    <m/>
    <m/>
    <n v="130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43"/>
    <d v="2015-07-15T00:00:00"/>
    <m/>
    <m/>
    <m/>
    <m/>
    <n v="52.378005981445312"/>
    <d v="2015-07-15T00:00:00"/>
    <n v="16.671806335449219"/>
    <d v="2015-07-15T00:00:00"/>
    <n v="16.73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068"/>
    <s v="Zeruca"/>
    <x v="0"/>
    <x v="2"/>
    <n v="22"/>
    <n v="2"/>
    <n v="13"/>
    <m/>
    <m/>
    <m/>
    <m/>
    <n v="6"/>
    <m/>
    <n v="6.09"/>
    <d v="2015-07-06T00:00:00"/>
    <m/>
    <m/>
    <m/>
    <m/>
    <n v="18.39"/>
    <d v="2015-07-15T00:00:00"/>
    <n v="18.5"/>
    <d v="2015-07-06T00:00:00"/>
    <m/>
    <m/>
    <m/>
    <m/>
    <m/>
    <m/>
    <x v="758"/>
    <m/>
    <n v="33.678586278586273"/>
    <d v="2015-07-06T00:00:00"/>
    <m/>
    <m/>
    <n v="15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8.921999999999997"/>
    <d v="2015-07-15T00:00:00"/>
    <m/>
    <m/>
    <m/>
    <m/>
    <n v="53.569389343261719"/>
    <d v="2015-07-15T00:00:00"/>
    <n v="17.701452255249023"/>
    <d v="2015-07-15T00:00:00"/>
    <n v="14.673999999999999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470"/>
    <s v="RAPSO_Compl_01 (euralis)"/>
    <x v="1"/>
    <x v="3"/>
    <n v="172"/>
    <n v="19"/>
    <n v="30"/>
    <m/>
    <m/>
    <m/>
    <m/>
    <n v="8"/>
    <m/>
    <n v="6.1"/>
    <d v="2015-07-06T00:00:00"/>
    <m/>
    <m/>
    <m/>
    <m/>
    <n v="17.57"/>
    <d v="2015-07-15T00:00:00"/>
    <n v="18.5"/>
    <d v="2015-07-06T00:00:00"/>
    <m/>
    <m/>
    <m/>
    <m/>
    <m/>
    <m/>
    <x v="759"/>
    <m/>
    <n v="34.35"/>
    <d v="2015-07-06T00:00:00"/>
    <m/>
    <m/>
    <n v="130"/>
    <m/>
    <m/>
    <m/>
    <n v="104"/>
    <m/>
    <m/>
    <m/>
    <m/>
    <m/>
    <m/>
    <m/>
    <m/>
    <m/>
    <m/>
    <m/>
    <m/>
    <m/>
    <n v="9"/>
    <m/>
    <m/>
    <m/>
    <m/>
    <m/>
    <m/>
    <m/>
    <m/>
    <m/>
    <m/>
    <m/>
    <n v="62.713000000000001"/>
    <d v="2015-07-15T00:00:00"/>
    <m/>
    <m/>
    <m/>
    <m/>
    <n v="51.162330627441406"/>
    <d v="2015-07-15T00:00:00"/>
    <n v="18.451894760131836"/>
    <d v="2015-07-15T00:00:00"/>
    <n v="17.306000000000001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325"/>
    <s v="SYN01"/>
    <x v="1"/>
    <x v="3"/>
    <n v="162"/>
    <n v="22"/>
    <n v="1"/>
    <m/>
    <m/>
    <m/>
    <m/>
    <n v="9"/>
    <m/>
    <n v="6.24"/>
    <d v="2015-07-06T00:00:00"/>
    <m/>
    <m/>
    <m/>
    <m/>
    <n v="17.989999999999998"/>
    <d v="2015-07-15T00:00:00"/>
    <n v="18.5"/>
    <d v="2015-07-06T00:00:00"/>
    <m/>
    <m/>
    <m/>
    <m/>
    <m/>
    <m/>
    <x v="760"/>
    <m/>
    <n v="34.39"/>
    <d v="2015-07-06T00:00:00"/>
    <m/>
    <m/>
    <n v="14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334000000000003"/>
    <d v="2015-07-15T00:00:00"/>
    <m/>
    <m/>
    <m/>
    <m/>
    <n v="52.317192077636719"/>
    <d v="2015-07-15T00:00:00"/>
    <n v="15.371169090270996"/>
    <d v="2015-07-15T00:00:00"/>
    <n v="13.986000000000001"/>
    <d v="2015-07-15T00:00:00"/>
    <m/>
    <m/>
    <m/>
    <m/>
    <n v="9"/>
    <d v="2015-07-06T00:00:00"/>
    <m/>
    <m/>
    <m/>
    <m/>
    <m/>
    <m/>
    <m/>
    <n v="1"/>
    <d v="2015-06-25T00:00:00"/>
    <s v="VALIDE"/>
  </r>
  <r>
    <s v="RAPSO_301"/>
    <s v="ES-BRAVA"/>
    <x v="1"/>
    <x v="1"/>
    <n v="138"/>
    <n v="16"/>
    <n v="29"/>
    <m/>
    <m/>
    <m/>
    <m/>
    <n v="3"/>
    <m/>
    <n v="6.11"/>
    <d v="2015-07-06T00:00:00"/>
    <m/>
    <m/>
    <m/>
    <m/>
    <n v="16.88"/>
    <d v="2015-07-15T00:00:00"/>
    <n v="18.5"/>
    <d v="2015-07-06T00:00:00"/>
    <m/>
    <m/>
    <m/>
    <m/>
    <m/>
    <m/>
    <x v="761"/>
    <m/>
    <n v="33.752895752895753"/>
    <d v="2015-07-06T00:00:00"/>
    <m/>
    <m/>
    <n v="125"/>
    <m/>
    <m/>
    <m/>
    <n v="101"/>
    <m/>
    <m/>
    <m/>
    <m/>
    <m/>
    <m/>
    <m/>
    <m/>
    <m/>
    <m/>
    <m/>
    <m/>
    <m/>
    <n v="5"/>
    <m/>
    <m/>
    <m/>
    <m/>
    <m/>
    <m/>
    <m/>
    <m/>
    <m/>
    <m/>
    <m/>
    <n v="65.825999999999993"/>
    <d v="2015-07-15T00:00:00"/>
    <m/>
    <m/>
    <m/>
    <m/>
    <n v="49.067146301269531"/>
    <d v="2015-07-15T00:00:00"/>
    <n v="17.786705017089844"/>
    <d v="2015-07-15T00:00:00"/>
    <n v="16.236000000000001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148"/>
    <s v="Boston"/>
    <x v="0"/>
    <x v="2"/>
    <n v="49"/>
    <n v="2"/>
    <n v="4"/>
    <m/>
    <m/>
    <m/>
    <m/>
    <n v="9"/>
    <m/>
    <n v="6.12"/>
    <d v="2015-07-06T00:00:00"/>
    <m/>
    <m/>
    <m/>
    <m/>
    <n v="17.71"/>
    <d v="2015-07-15T00:00:00"/>
    <n v="18.5"/>
    <d v="2015-07-06T00:00:00"/>
    <m/>
    <m/>
    <m/>
    <m/>
    <m/>
    <m/>
    <x v="762"/>
    <m/>
    <n v="33.771784971784975"/>
    <d v="2015-07-06T00:00:00"/>
    <m/>
    <m/>
    <n v="15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385999999999996"/>
    <d v="2015-07-15T00:00:00"/>
    <m/>
    <m/>
    <m/>
    <m/>
    <n v="51.438961029052734"/>
    <d v="2015-07-15T00:00:00"/>
    <n v="17.461757659912109"/>
    <d v="2015-07-15T00:00:00"/>
    <n v="18.527000000000001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187"/>
    <s v="Escort"/>
    <x v="0"/>
    <x v="2"/>
    <n v="66"/>
    <n v="4"/>
    <n v="2"/>
    <m/>
    <m/>
    <m/>
    <m/>
    <n v="8"/>
    <m/>
    <n v="6.13"/>
    <d v="2015-07-06T00:00:00"/>
    <m/>
    <m/>
    <m/>
    <m/>
    <n v="16.84"/>
    <d v="2015-07-15T00:00:00"/>
    <n v="18.5"/>
    <d v="2015-07-06T00:00:00"/>
    <m/>
    <m/>
    <m/>
    <m/>
    <m/>
    <m/>
    <x v="763"/>
    <m/>
    <n v="33.79055539055539"/>
    <d v="2015-07-06T00:00:00"/>
    <m/>
    <m/>
    <n v="15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4.55"/>
    <d v="2015-07-15T00:00:00"/>
    <m/>
    <m/>
    <m/>
    <m/>
    <n v="48.885261535644531"/>
    <d v="2015-07-15T00:00:00"/>
    <n v="18.613826751708984"/>
    <d v="2015-07-15T00:00:00"/>
    <n v="19.437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070"/>
    <s v="Askari"/>
    <x v="0"/>
    <x v="2"/>
    <n v="23"/>
    <n v="2"/>
    <n v="28"/>
    <m/>
    <m/>
    <m/>
    <m/>
    <n v="9"/>
    <m/>
    <n v="6.12"/>
    <d v="2015-07-06T00:00:00"/>
    <m/>
    <m/>
    <m/>
    <m/>
    <n v="18.079999999999998"/>
    <d v="2015-07-15T00:00:00"/>
    <n v="18.5"/>
    <d v="2015-07-06T00:00:00"/>
    <m/>
    <m/>
    <m/>
    <m/>
    <m/>
    <m/>
    <x v="764"/>
    <m/>
    <n v="34.5"/>
    <d v="2015-07-06T00:00:00"/>
    <m/>
    <m/>
    <n v="160"/>
    <m/>
    <m/>
    <m/>
    <n v="106"/>
    <m/>
    <m/>
    <m/>
    <m/>
    <m/>
    <m/>
    <m/>
    <m/>
    <m/>
    <m/>
    <m/>
    <m/>
    <m/>
    <n v="7"/>
    <m/>
    <m/>
    <m/>
    <m/>
    <m/>
    <m/>
    <m/>
    <m/>
    <m/>
    <m/>
    <m/>
    <n v="64.021000000000001"/>
    <d v="2015-07-15T00:00:00"/>
    <m/>
    <m/>
    <m/>
    <m/>
    <n v="52.4249267578125"/>
    <d v="2015-07-15T00:00:00"/>
    <n v="17.633310317993164"/>
    <d v="2015-07-15T00:00:00"/>
    <n v="53.481000000000002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128"/>
    <s v="Adriana"/>
    <x v="0"/>
    <x v="2"/>
    <n v="39"/>
    <n v="6"/>
    <n v="5"/>
    <m/>
    <m/>
    <m/>
    <m/>
    <n v="8"/>
    <m/>
    <n v="6.16"/>
    <d v="2015-07-06T00:00:00"/>
    <m/>
    <m/>
    <m/>
    <m/>
    <n v="18"/>
    <d v="2015-07-15T00:00:00"/>
    <n v="18.5"/>
    <d v="2015-07-06T00:00:00"/>
    <m/>
    <m/>
    <m/>
    <m/>
    <m/>
    <m/>
    <x v="765"/>
    <m/>
    <n v="33.919334719334714"/>
    <d v="2015-07-06T00:00:00"/>
    <m/>
    <m/>
    <n v="15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7.498999999999995"/>
    <d v="2015-07-15T00:00:00"/>
    <m/>
    <m/>
    <m/>
    <m/>
    <n v="52.059181213378906"/>
    <d v="2015-07-15T00:00:00"/>
    <n v="15.312286376953125"/>
    <d v="2015-07-15T00:00:00"/>
    <n v="13.92200000000000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00"/>
    <s v="ES-ANTONIA"/>
    <x v="1"/>
    <x v="3"/>
    <n v="137"/>
    <n v="21"/>
    <n v="19"/>
    <m/>
    <m/>
    <m/>
    <m/>
    <n v="9"/>
    <m/>
    <n v="6.16"/>
    <d v="2015-07-06T00:00:00"/>
    <m/>
    <m/>
    <m/>
    <m/>
    <n v="17.47"/>
    <d v="2015-07-15T00:00:00"/>
    <n v="18.5"/>
    <d v="2015-07-06T00:00:00"/>
    <m/>
    <m/>
    <m/>
    <m/>
    <m/>
    <m/>
    <x v="765"/>
    <m/>
    <n v="34.58"/>
    <d v="2015-07-06T00:00:00"/>
    <m/>
    <m/>
    <n v="12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896999999999998"/>
    <d v="2015-07-15T00:00:00"/>
    <m/>
    <m/>
    <m/>
    <m/>
    <n v="50.534801483154297"/>
    <d v="2015-07-15T00:00:00"/>
    <n v="17.319828033447266"/>
    <d v="2015-07-15T00:00:00"/>
    <n v="15.446"/>
    <d v="2015-07-15T00:00:00"/>
    <m/>
    <m/>
    <m/>
    <m/>
    <n v="7.3"/>
    <d v="2015-07-06T00:00:00"/>
    <m/>
    <m/>
    <m/>
    <m/>
    <m/>
    <m/>
    <m/>
    <n v="7"/>
    <d v="2015-06-25T00:00:00"/>
    <s v="VALIDE"/>
  </r>
  <r>
    <s v="MP003"/>
    <s v="Mohican"/>
    <x v="0"/>
    <x v="2"/>
    <n v="130"/>
    <n v="6"/>
    <n v="8"/>
    <m/>
    <m/>
    <m/>
    <m/>
    <n v="8"/>
    <m/>
    <n v="6.17"/>
    <d v="2015-07-06T00:00:00"/>
    <m/>
    <m/>
    <m/>
    <m/>
    <n v="17.62"/>
    <d v="2015-07-15T00:00:00"/>
    <n v="18.5"/>
    <d v="2015-07-06T00:00:00"/>
    <m/>
    <m/>
    <m/>
    <m/>
    <m/>
    <m/>
    <x v="766"/>
    <m/>
    <n v="34.011048411048407"/>
    <d v="2015-07-06T00:00:00"/>
    <m/>
    <m/>
    <n v="14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64.494"/>
    <d v="2015-07-15T00:00:00"/>
    <m/>
    <m/>
    <m/>
    <m/>
    <n v="50.817047119140625"/>
    <d v="2015-07-15T00:00:00"/>
    <n v="16.962509155273437"/>
    <d v="2015-07-15T00:00:00"/>
    <n v="19.449000000000002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180"/>
    <s v="Ecrin"/>
    <x v="1"/>
    <x v="1"/>
    <n v="64"/>
    <n v="13"/>
    <n v="21"/>
    <m/>
    <m/>
    <m/>
    <m/>
    <n v="8"/>
    <m/>
    <n v="6.19"/>
    <d v="2015-07-06T00:00:00"/>
    <m/>
    <m/>
    <m/>
    <m/>
    <n v="17.989999999999998"/>
    <d v="2015-07-15T00:00:00"/>
    <n v="18.5"/>
    <d v="2015-07-06T00:00:00"/>
    <m/>
    <m/>
    <m/>
    <m/>
    <m/>
    <m/>
    <x v="767"/>
    <m/>
    <n v="34.121294921294918"/>
    <d v="2015-07-06T00:00:00"/>
    <m/>
    <m/>
    <n v="130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4.554000000000002"/>
    <d v="2015-07-15T00:00:00"/>
    <m/>
    <m/>
    <m/>
    <m/>
    <n v="51.717544555664063"/>
    <d v="2015-07-15T00:00:00"/>
    <n v="16.794065475463867"/>
    <d v="2015-07-15T00:00:00"/>
    <n v="18.571000000000002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19"/>
    <s v="RAGT-05"/>
    <x v="0"/>
    <x v="2"/>
    <n v="156"/>
    <n v="6"/>
    <n v="30"/>
    <m/>
    <m/>
    <m/>
    <m/>
    <n v="6"/>
    <m/>
    <n v="6.19"/>
    <d v="2015-07-06T00:00:00"/>
    <m/>
    <m/>
    <m/>
    <m/>
    <n v="16.829999999999998"/>
    <d v="2015-07-15T00:00:00"/>
    <n v="18.5"/>
    <d v="2015-07-06T00:00:00"/>
    <m/>
    <m/>
    <m/>
    <m/>
    <m/>
    <m/>
    <x v="767"/>
    <m/>
    <n v="34.79"/>
    <d v="2015-07-06T00:00:00"/>
    <m/>
    <m/>
    <n v="14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957000000000001"/>
    <d v="2015-07-15T00:00:00"/>
    <m/>
    <m/>
    <m/>
    <m/>
    <n v="48.371593475341797"/>
    <d v="2015-07-15T00:00:00"/>
    <n v="19.810531616210938"/>
    <d v="2015-07-15T00:00:00"/>
    <n v="19.148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258"/>
    <s v="Potomac"/>
    <x v="0"/>
    <x v="2"/>
    <n v="97"/>
    <n v="2"/>
    <n v="25"/>
    <m/>
    <m/>
    <m/>
    <m/>
    <n v="7"/>
    <m/>
    <n v="6.2"/>
    <d v="2015-07-06T00:00:00"/>
    <m/>
    <m/>
    <m/>
    <m/>
    <n v="17.55"/>
    <d v="2015-07-15T00:00:00"/>
    <n v="18.5"/>
    <d v="2015-07-06T00:00:00"/>
    <m/>
    <m/>
    <m/>
    <m/>
    <m/>
    <m/>
    <x v="768"/>
    <m/>
    <n v="34.213246213246222"/>
    <d v="2015-07-06T00:00:00"/>
    <m/>
    <m/>
    <n v="160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0.265999999999998"/>
    <d v="2015-07-15T00:00:00"/>
    <m/>
    <m/>
    <m/>
    <m/>
    <n v="50.309600830078125"/>
    <d v="2015-07-15T00:00:00"/>
    <n v="16.888357162475586"/>
    <d v="2015-07-15T00:00:00"/>
    <n v="13.907"/>
    <d v="2015-07-15T00:00:00"/>
    <m/>
    <m/>
    <m/>
    <m/>
    <n v="7.1"/>
    <d v="2015-07-06T00:00:00"/>
    <m/>
    <m/>
    <m/>
    <m/>
    <m/>
    <m/>
    <m/>
    <n v="1"/>
    <d v="2015-06-25T00:00:00"/>
    <s v="VALIDE"/>
  </r>
  <r>
    <s v="MP001"/>
    <s v="Astrid"/>
    <x v="0"/>
    <x v="2"/>
    <n v="129"/>
    <n v="6"/>
    <n v="12"/>
    <m/>
    <m/>
    <m/>
    <m/>
    <n v="9"/>
    <m/>
    <n v="6.21"/>
    <d v="2015-07-06T00:00:00"/>
    <m/>
    <m/>
    <m/>
    <m/>
    <n v="17.86"/>
    <d v="2015-07-15T00:00:00"/>
    <n v="18.5"/>
    <d v="2015-07-06T00:00:00"/>
    <m/>
    <m/>
    <m/>
    <m/>
    <m/>
    <m/>
    <x v="769"/>
    <m/>
    <n v="34.23154143154143"/>
    <d v="2015-07-06T00:00:00"/>
    <m/>
    <m/>
    <n v="150"/>
    <m/>
    <m/>
    <m/>
    <n v="102"/>
    <m/>
    <m/>
    <m/>
    <m/>
    <m/>
    <m/>
    <m/>
    <m/>
    <m/>
    <m/>
    <m/>
    <m/>
    <m/>
    <n v="5"/>
    <m/>
    <m/>
    <m/>
    <m/>
    <m/>
    <m/>
    <m/>
    <m/>
    <m/>
    <m/>
    <m/>
    <n v="60.521000000000001"/>
    <d v="2015-07-15T00:00:00"/>
    <m/>
    <m/>
    <m/>
    <m/>
    <n v="51.181976318359375"/>
    <d v="2015-07-15T00:00:00"/>
    <n v="17.051109313964844"/>
    <d v="2015-07-15T00:00:00"/>
    <n v="21.756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471"/>
    <s v="RAPSO_Compl_02 (euralis)"/>
    <x v="1"/>
    <x v="3"/>
    <n v="173"/>
    <n v="23"/>
    <n v="18"/>
    <m/>
    <m/>
    <m/>
    <m/>
    <n v="5"/>
    <m/>
    <n v="6.25"/>
    <d v="2015-07-06T00:00:00"/>
    <m/>
    <m/>
    <m/>
    <m/>
    <n v="17.87"/>
    <d v="2015-07-15T00:00:00"/>
    <n v="18.5"/>
    <d v="2015-07-06T00:00:00"/>
    <m/>
    <m/>
    <m/>
    <m/>
    <m/>
    <m/>
    <x v="770"/>
    <m/>
    <n v="34.97"/>
    <d v="2015-07-06T00:00:00"/>
    <m/>
    <m/>
    <n v="120"/>
    <m/>
    <m/>
    <m/>
    <n v="106"/>
    <m/>
    <m/>
    <m/>
    <m/>
    <m/>
    <m/>
    <m/>
    <m/>
    <m/>
    <m/>
    <m/>
    <m/>
    <m/>
    <n v="9"/>
    <m/>
    <m/>
    <m/>
    <m/>
    <m/>
    <m/>
    <m/>
    <m/>
    <m/>
    <m/>
    <m/>
    <n v="65.222999999999999"/>
    <d v="2015-07-15T00:00:00"/>
    <m/>
    <m/>
    <m/>
    <m/>
    <n v="51.114856719970703"/>
    <d v="2015-07-15T00:00:00"/>
    <n v="17.061357498168945"/>
    <d v="2015-07-15T00:00:00"/>
    <n v="20.808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297"/>
    <s v="ES-CENTAURE"/>
    <x v="1"/>
    <x v="3"/>
    <n v="134"/>
    <n v="19"/>
    <n v="11"/>
    <m/>
    <m/>
    <m/>
    <m/>
    <n v="9"/>
    <m/>
    <n v="6.26"/>
    <d v="2015-07-06T00:00:00"/>
    <m/>
    <m/>
    <m/>
    <m/>
    <n v="17.78"/>
    <d v="2015-07-15T00:00:00"/>
    <n v="18.5"/>
    <d v="2015-07-06T00:00:00"/>
    <m/>
    <m/>
    <m/>
    <m/>
    <m/>
    <m/>
    <x v="771"/>
    <m/>
    <n v="34.321235521235515"/>
    <d v="2015-07-06T00:00:00"/>
    <m/>
    <m/>
    <n v="115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5.435000000000002"/>
    <d v="2015-07-15T00:00:00"/>
    <m/>
    <m/>
    <m/>
    <m/>
    <n v="50.82098388671875"/>
    <d v="2015-07-15T00:00:00"/>
    <n v="17.484485626220703"/>
    <d v="2015-07-15T00:00:00"/>
    <n v="18.559999999999999"/>
    <d v="2015-07-15T00:00:00"/>
    <m/>
    <m/>
    <m/>
    <m/>
    <n v="7.7"/>
    <d v="2015-07-06T00:00:00"/>
    <m/>
    <m/>
    <m/>
    <m/>
    <m/>
    <m/>
    <m/>
    <n v="1"/>
    <d v="2015-06-25T00:00:00"/>
    <s v="VALIDE"/>
  </r>
  <r>
    <s v="Alpaga"/>
    <s v="Alpaga"/>
    <x v="0"/>
    <x v="2"/>
    <n v="192"/>
    <n v="3"/>
    <n v="26"/>
    <m/>
    <m/>
    <m/>
    <m/>
    <n v="7"/>
    <m/>
    <n v="6.21"/>
    <d v="2015-07-06T00:00:00"/>
    <m/>
    <m/>
    <m/>
    <m/>
    <n v="18.48"/>
    <d v="2015-07-15T00:00:00"/>
    <n v="18.5"/>
    <d v="2015-07-06T00:00:00"/>
    <m/>
    <m/>
    <m/>
    <m/>
    <m/>
    <m/>
    <x v="772"/>
    <m/>
    <n v="35.01"/>
    <d v="2015-07-06T00:00:00"/>
    <m/>
    <m/>
    <n v="170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4.936000000000007"/>
    <d v="2015-07-15T00:00:00"/>
    <m/>
    <m/>
    <m/>
    <m/>
    <n v="52.783355712890625"/>
    <d v="2015-07-15T00:00:00"/>
    <n v="16.115467071533203"/>
    <d v="2015-07-15T00:00:00"/>
    <n v="20.172000000000001"/>
    <d v="2015-07-15T00:00:00"/>
    <m/>
    <m/>
    <m/>
    <m/>
    <n v="6.9"/>
    <d v="2015-07-06T00:00:00"/>
    <m/>
    <m/>
    <m/>
    <m/>
    <m/>
    <m/>
    <m/>
    <n v="1"/>
    <d v="2015-06-25T00:00:00"/>
    <s v="VALIDE"/>
  </r>
  <r>
    <s v="Aviso"/>
    <s v="Aviso"/>
    <x v="0"/>
    <x v="2"/>
    <n v="183"/>
    <n v="6"/>
    <n v="22"/>
    <m/>
    <m/>
    <m/>
    <m/>
    <n v="8"/>
    <m/>
    <n v="6.22"/>
    <d v="2015-07-06T00:00:00"/>
    <m/>
    <m/>
    <m/>
    <m/>
    <n v="16.510000000000002"/>
    <d v="2015-07-15T00:00:00"/>
    <n v="18.5"/>
    <d v="2015-07-06T00:00:00"/>
    <m/>
    <m/>
    <m/>
    <m/>
    <m/>
    <m/>
    <x v="773"/>
    <m/>
    <n v="35.07"/>
    <d v="2015-07-06T00:00:00"/>
    <m/>
    <m/>
    <n v="125"/>
    <m/>
    <m/>
    <m/>
    <n v="103"/>
    <m/>
    <m/>
    <m/>
    <m/>
    <m/>
    <m/>
    <m/>
    <m/>
    <m/>
    <m/>
    <m/>
    <m/>
    <m/>
    <n v="5"/>
    <m/>
    <m/>
    <m/>
    <m/>
    <m/>
    <m/>
    <m/>
    <m/>
    <m/>
    <m/>
    <m/>
    <n v="57.734999999999999"/>
    <d v="2015-07-15T00:00:00"/>
    <m/>
    <m/>
    <m/>
    <m/>
    <n v="47.073005676269531"/>
    <d v="2015-07-15T00:00:00"/>
    <n v="20.227695465087891"/>
    <d v="2015-07-15T00:00:00"/>
    <n v="21.434000000000001"/>
    <d v="2015-07-15T00:00:00"/>
    <m/>
    <m/>
    <m/>
    <m/>
    <n v="6.9"/>
    <d v="2015-07-06T00:00:00"/>
    <m/>
    <m/>
    <m/>
    <m/>
    <m/>
    <m/>
    <m/>
    <n v="3"/>
    <d v="2015-06-25T00:00:00"/>
    <s v="VALIDE"/>
  </r>
  <r>
    <s v="RAPSO_301"/>
    <s v="ES-BRAVA"/>
    <x v="0"/>
    <x v="2"/>
    <n v="138"/>
    <n v="3"/>
    <n v="10"/>
    <m/>
    <m/>
    <m/>
    <m/>
    <n v="7"/>
    <m/>
    <n v="6.22"/>
    <d v="2015-07-06T00:00:00"/>
    <m/>
    <m/>
    <m/>
    <m/>
    <n v="17.440000000000001"/>
    <d v="2015-07-15T00:00:00"/>
    <n v="18.5"/>
    <d v="2015-07-06T00:00:00"/>
    <m/>
    <m/>
    <m/>
    <m/>
    <m/>
    <m/>
    <x v="773"/>
    <m/>
    <n v="34.39750519750519"/>
    <d v="2015-07-06T00:00:00"/>
    <m/>
    <m/>
    <n v="155"/>
    <m/>
    <m/>
    <m/>
    <n v="97"/>
    <m/>
    <m/>
    <m/>
    <m/>
    <m/>
    <m/>
    <m/>
    <m/>
    <m/>
    <m/>
    <m/>
    <m/>
    <m/>
    <n v="7"/>
    <m/>
    <m/>
    <m/>
    <m/>
    <m/>
    <m/>
    <m/>
    <m/>
    <m/>
    <m/>
    <m/>
    <n v="65.054000000000002"/>
    <d v="2015-07-15T00:00:00"/>
    <m/>
    <m/>
    <m/>
    <m/>
    <n v="49.742229461669922"/>
    <d v="2015-07-15T00:00:00"/>
    <n v="17.123235702514648"/>
    <d v="2015-07-15T00:00:00"/>
    <n v="14.20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231"/>
    <s v="Lirajet"/>
    <x v="0"/>
    <x v="2"/>
    <n v="84"/>
    <n v="2"/>
    <n v="1"/>
    <m/>
    <m/>
    <m/>
    <m/>
    <n v="9"/>
    <m/>
    <n v="6.27"/>
    <d v="2015-07-06T00:00:00"/>
    <m/>
    <m/>
    <m/>
    <m/>
    <n v="17.84"/>
    <d v="2015-07-15T00:00:00"/>
    <n v="18.5"/>
    <d v="2015-07-06T00:00:00"/>
    <m/>
    <m/>
    <m/>
    <m/>
    <m/>
    <m/>
    <x v="774"/>
    <m/>
    <n v="35.08"/>
    <d v="2015-07-06T00:00:00"/>
    <m/>
    <m/>
    <n v="145"/>
    <m/>
    <m/>
    <m/>
    <n v="107"/>
    <m/>
    <m/>
    <m/>
    <m/>
    <m/>
    <m/>
    <m/>
    <m/>
    <m/>
    <m/>
    <m/>
    <m/>
    <m/>
    <n v="9"/>
    <m/>
    <m/>
    <m/>
    <m/>
    <m/>
    <m/>
    <m/>
    <m/>
    <m/>
    <m/>
    <m/>
    <n v="63.512999999999998"/>
    <d v="2015-07-15T00:00:00"/>
    <m/>
    <m/>
    <m/>
    <m/>
    <n v="50.861865997314453"/>
    <d v="2015-07-15T00:00:00"/>
    <n v="17.413581848144531"/>
    <d v="2015-07-15T00:00:00"/>
    <n v="19.763999999999999"/>
    <d v="2015-07-15T00:00:00"/>
    <m/>
    <m/>
    <m/>
    <m/>
    <n v="7.6"/>
    <d v="2015-07-06T00:00:00"/>
    <m/>
    <m/>
    <m/>
    <m/>
    <m/>
    <m/>
    <m/>
    <n v="3"/>
    <d v="2015-06-25T00:00:00"/>
    <s v="VALIDE"/>
  </r>
  <r>
    <s v="RAPSO_300"/>
    <s v="ES-ANTONIA"/>
    <x v="1"/>
    <x v="1"/>
    <n v="137"/>
    <n v="13"/>
    <n v="12"/>
    <m/>
    <m/>
    <m/>
    <m/>
    <n v="9"/>
    <m/>
    <n v="6.28"/>
    <d v="2015-07-06T00:00:00"/>
    <m/>
    <m/>
    <m/>
    <m/>
    <n v="17.86"/>
    <d v="2015-07-15T00:00:00"/>
    <n v="18.5"/>
    <d v="2015-07-06T00:00:00"/>
    <m/>
    <m/>
    <m/>
    <m/>
    <m/>
    <m/>
    <x v="775"/>
    <m/>
    <n v="35.1"/>
    <d v="2015-07-06T00:00:00"/>
    <m/>
    <m/>
    <n v="14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213000000000001"/>
    <d v="2015-07-15T00:00:00"/>
    <m/>
    <m/>
    <m/>
    <m/>
    <n v="50.886024475097656"/>
    <d v="2015-07-15T00:00:00"/>
    <n v="18.127662658691406"/>
    <d v="2015-07-15T00:00:00"/>
    <n v="12.734"/>
    <d v="2015-07-15T00:00:00"/>
    <m/>
    <m/>
    <m/>
    <m/>
    <n v="7.7"/>
    <d v="2015-07-06T00:00:00"/>
    <m/>
    <m/>
    <m/>
    <m/>
    <m/>
    <m/>
    <m/>
    <n v="3"/>
    <d v="2015-06-25T00:00:00"/>
    <s v="VALIDE"/>
  </r>
  <r>
    <s v="RAPSO_330"/>
    <s v="SYN06"/>
    <x v="1"/>
    <x v="1"/>
    <n v="167"/>
    <n v="16"/>
    <n v="31"/>
    <m/>
    <m/>
    <m/>
    <m/>
    <n v="6"/>
    <m/>
    <n v="6.24"/>
    <d v="2015-07-06T00:00:00"/>
    <m/>
    <m/>
    <m/>
    <m/>
    <n v="17.97"/>
    <d v="2015-07-15T00:00:00"/>
    <n v="18.5"/>
    <d v="2015-07-06T00:00:00"/>
    <m/>
    <m/>
    <m/>
    <m/>
    <m/>
    <m/>
    <x v="776"/>
    <m/>
    <n v="35.1"/>
    <d v="2015-07-06T00:00:00"/>
    <m/>
    <m/>
    <n v="13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2.814"/>
    <d v="2015-07-15T00:00:00"/>
    <m/>
    <m/>
    <m/>
    <m/>
    <n v="51.212818145751953"/>
    <d v="2015-07-15T00:00:00"/>
    <n v="18.92254638671875"/>
    <d v="2015-07-15T00:00:00"/>
    <n v="19.222000000000001"/>
    <d v="2015-07-15T00:00:00"/>
    <m/>
    <m/>
    <m/>
    <m/>
    <n v="7.1"/>
    <d v="2015-07-06T00:00:00"/>
    <m/>
    <m/>
    <m/>
    <m/>
    <m/>
    <m/>
    <m/>
    <n v="3"/>
    <d v="2015-06-25T00:00:00"/>
    <s v="VALIDE"/>
  </r>
  <r>
    <s v="RAPSO_175"/>
    <s v="Courage"/>
    <x v="0"/>
    <x v="2"/>
    <n v="61"/>
    <n v="2"/>
    <n v="21"/>
    <m/>
    <m/>
    <m/>
    <m/>
    <n v="8"/>
    <m/>
    <n v="6.29"/>
    <d v="2015-07-06T00:00:00"/>
    <m/>
    <m/>
    <m/>
    <m/>
    <n v="18.47"/>
    <d v="2015-07-15T00:00:00"/>
    <n v="18.5"/>
    <d v="2015-07-06T00:00:00"/>
    <m/>
    <m/>
    <m/>
    <m/>
    <m/>
    <m/>
    <x v="777"/>
    <m/>
    <n v="34.67252747252747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801000000000002"/>
    <d v="2015-07-15T00:00:00"/>
    <m/>
    <m/>
    <m/>
    <m/>
    <n v="52.252449035644531"/>
    <d v="2015-07-15T00:00:00"/>
    <n v="16.908866882324219"/>
    <d v="2015-07-15T00:00:00"/>
    <n v="16.297000000000001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09"/>
    <s v="MANITOBA"/>
    <x v="0"/>
    <x v="2"/>
    <n v="146"/>
    <n v="3"/>
    <n v="17"/>
    <m/>
    <m/>
    <m/>
    <m/>
    <n v="7"/>
    <m/>
    <n v="6.29"/>
    <d v="2015-07-06T00:00:00"/>
    <m/>
    <m/>
    <m/>
    <m/>
    <n v="17.78"/>
    <d v="2015-07-15T00:00:00"/>
    <n v="18.5"/>
    <d v="2015-07-06T00:00:00"/>
    <m/>
    <m/>
    <m/>
    <m/>
    <m/>
    <m/>
    <x v="777"/>
    <m/>
    <n v="34.67252747252747"/>
    <d v="2015-07-06T00:00:00"/>
    <m/>
    <m/>
    <n v="16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47"/>
    <d v="2015-07-15T00:00:00"/>
    <m/>
    <m/>
    <m/>
    <m/>
    <n v="50.29315185546875"/>
    <d v="2015-07-15T00:00:00"/>
    <n v="18.054573059082031"/>
    <d v="2015-07-15T00:00:00"/>
    <n v="17.303999999999998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471"/>
    <s v="RAPSO_Compl_02 (euralis)"/>
    <x v="1"/>
    <x v="1"/>
    <n v="173"/>
    <n v="13"/>
    <n v="9"/>
    <m/>
    <m/>
    <m/>
    <m/>
    <n v="7"/>
    <m/>
    <n v="6.4"/>
    <d v="2015-07-06T00:00:00"/>
    <m/>
    <m/>
    <m/>
    <m/>
    <n v="17.760000000000002"/>
    <d v="2015-07-15T00:00:00"/>
    <n v="18.5"/>
    <d v="2015-07-06T00:00:00"/>
    <m/>
    <m/>
    <m/>
    <m/>
    <m/>
    <m/>
    <x v="778"/>
    <m/>
    <n v="35.619999999999997"/>
    <d v="2015-07-06T00:00:00"/>
    <m/>
    <m/>
    <n v="135"/>
    <m/>
    <m/>
    <m/>
    <n v="105"/>
    <m/>
    <m/>
    <m/>
    <m/>
    <m/>
    <m/>
    <m/>
    <m/>
    <m/>
    <m/>
    <m/>
    <m/>
    <m/>
    <n v="9"/>
    <m/>
    <m/>
    <m/>
    <m/>
    <m/>
    <m/>
    <m/>
    <m/>
    <m/>
    <m/>
    <m/>
    <n v="63.106999999999999"/>
    <d v="2015-07-15T00:00:00"/>
    <m/>
    <m/>
    <m/>
    <m/>
    <n v="49.851753234863281"/>
    <d v="2015-07-15T00:00:00"/>
    <n v="17.845169067382813"/>
    <d v="2015-07-15T00:00:00"/>
    <n v="22.776"/>
    <d v="2015-07-15T00:00:00"/>
    <m/>
    <m/>
    <m/>
    <m/>
    <n v="8.1"/>
    <d v="2015-07-06T00:00:00"/>
    <m/>
    <m/>
    <m/>
    <m/>
    <m/>
    <m/>
    <m/>
    <n v="1"/>
    <d v="2015-06-25T00:00:00"/>
    <s v="VALIDE"/>
  </r>
  <r>
    <s v="RAPSO_472"/>
    <s v="Pendulum"/>
    <x v="1"/>
    <x v="3"/>
    <n v="174"/>
    <n v="20"/>
    <n v="8"/>
    <m/>
    <m/>
    <m/>
    <m/>
    <n v="9"/>
    <m/>
    <n v="6.41"/>
    <d v="2015-07-06T00:00:00"/>
    <m/>
    <m/>
    <m/>
    <m/>
    <n v="18.73"/>
    <d v="2015-07-15T00:00:00"/>
    <n v="18.5"/>
    <d v="2015-07-06T00:00:00"/>
    <m/>
    <m/>
    <m/>
    <m/>
    <m/>
    <m/>
    <x v="779"/>
    <m/>
    <n v="35.630000000000003"/>
    <d v="2015-07-06T00:00:00"/>
    <m/>
    <m/>
    <n v="120"/>
    <m/>
    <m/>
    <m/>
    <n v="101"/>
    <m/>
    <m/>
    <m/>
    <m/>
    <m/>
    <m/>
    <m/>
    <m/>
    <m/>
    <m/>
    <m/>
    <m/>
    <m/>
    <n v="9"/>
    <m/>
    <m/>
    <m/>
    <m/>
    <m/>
    <m/>
    <m/>
    <m/>
    <m/>
    <m/>
    <m/>
    <n v="62.662999999999997"/>
    <d v="2015-07-15T00:00:00"/>
    <m/>
    <m/>
    <m/>
    <m/>
    <n v="52.584426879882813"/>
    <d v="2015-07-15T00:00:00"/>
    <n v="15.786391258239746"/>
    <d v="2015-07-15T00:00:00"/>
    <n v="16.951000000000001"/>
    <d v="2015-07-15T00:00:00"/>
    <m/>
    <m/>
    <m/>
    <m/>
    <n v="8.1999999999999993"/>
    <d v="2015-07-06T00:00:00"/>
    <m/>
    <m/>
    <m/>
    <m/>
    <m/>
    <m/>
    <m/>
    <n v="1"/>
    <d v="2015-06-25T00:00:00"/>
    <s v="VALIDE"/>
  </r>
  <r>
    <s v="Alpaga"/>
    <s v="Alpaga"/>
    <x v="0"/>
    <x v="2"/>
    <n v="189"/>
    <n v="4"/>
    <n v="4"/>
    <m/>
    <m/>
    <m/>
    <m/>
    <n v="8"/>
    <m/>
    <n v="6.33"/>
    <d v="2015-07-06T00:00:00"/>
    <m/>
    <m/>
    <m/>
    <m/>
    <n v="19.22"/>
    <d v="2015-07-15T00:00:00"/>
    <n v="18.5"/>
    <d v="2015-07-06T00:00:00"/>
    <m/>
    <m/>
    <m/>
    <m/>
    <m/>
    <m/>
    <x v="780"/>
    <m/>
    <n v="35.65"/>
    <d v="2015-07-06T00:00:00"/>
    <m/>
    <m/>
    <n v="160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5.001999999999995"/>
    <d v="2015-07-15T00:00:00"/>
    <m/>
    <m/>
    <m/>
    <m/>
    <n v="53.89788818359375"/>
    <d v="2015-07-15T00:00:00"/>
    <n v="14.615718841552734"/>
    <d v="2015-07-15T00:00:00"/>
    <n v="16.335000000000001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13"/>
    <s v="TASMAN"/>
    <x v="1"/>
    <x v="1"/>
    <n v="150"/>
    <n v="13"/>
    <n v="3"/>
    <m/>
    <m/>
    <m/>
    <m/>
    <n v="9"/>
    <m/>
    <n v="6.45"/>
    <d v="2015-07-06T00:00:00"/>
    <m/>
    <m/>
    <m/>
    <m/>
    <n v="18.37"/>
    <d v="2015-07-15T00:00:00"/>
    <n v="18.5"/>
    <d v="2015-07-06T00:00:00"/>
    <m/>
    <m/>
    <m/>
    <m/>
    <m/>
    <m/>
    <x v="781"/>
    <m/>
    <n v="35.82"/>
    <d v="2015-07-06T00:00:00"/>
    <m/>
    <m/>
    <n v="13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790999999999997"/>
    <d v="2015-07-15T00:00:00"/>
    <m/>
    <m/>
    <m/>
    <m/>
    <n v="51.276573181152344"/>
    <d v="2015-07-15T00:00:00"/>
    <n v="17.87458610534668"/>
    <d v="2015-07-15T00:00:00"/>
    <n v="13.638"/>
    <d v="2015-07-15T00:00:00"/>
    <m/>
    <m/>
    <m/>
    <m/>
    <n v="8.3000000000000007"/>
    <d v="2015-07-06T00:00:00"/>
    <m/>
    <m/>
    <m/>
    <m/>
    <m/>
    <m/>
    <m/>
    <n v="3"/>
    <d v="2015-06-25T00:00:00"/>
    <s v="VALIDE"/>
  </r>
  <r>
    <s v="RAPSO_180"/>
    <s v="Ecrin"/>
    <x v="0"/>
    <x v="2"/>
    <n v="64"/>
    <n v="4"/>
    <n v="6"/>
    <m/>
    <m/>
    <m/>
    <m/>
    <n v="7"/>
    <m/>
    <n v="6.36"/>
    <d v="2015-07-06T00:00:00"/>
    <m/>
    <m/>
    <m/>
    <m/>
    <n v="19.170000000000002"/>
    <d v="2015-07-15T00:00:00"/>
    <n v="18.5"/>
    <d v="2015-07-06T00:00:00"/>
    <m/>
    <m/>
    <m/>
    <m/>
    <m/>
    <m/>
    <x v="782"/>
    <m/>
    <n v="35.171725571725574"/>
    <d v="2015-07-06T00:00:00"/>
    <m/>
    <m/>
    <n v="140"/>
    <m/>
    <m/>
    <m/>
    <n v="96"/>
    <m/>
    <m/>
    <m/>
    <m/>
    <m/>
    <m/>
    <m/>
    <m/>
    <m/>
    <m/>
    <m/>
    <m/>
    <m/>
    <n v="7"/>
    <m/>
    <m/>
    <m/>
    <m/>
    <m/>
    <m/>
    <m/>
    <m/>
    <m/>
    <m/>
    <m/>
    <n v="64.382000000000005"/>
    <d v="2015-07-15T00:00:00"/>
    <m/>
    <m/>
    <m/>
    <m/>
    <n v="53.455032348632813"/>
    <d v="2015-07-15T00:00:00"/>
    <n v="16.245525360107422"/>
    <d v="2015-07-15T00:00:00"/>
    <n v="14.298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05"/>
    <s v="AMILLIA"/>
    <x v="0"/>
    <x v="2"/>
    <n v="142"/>
    <n v="4"/>
    <n v="19"/>
    <m/>
    <m/>
    <m/>
    <m/>
    <n v="7"/>
    <m/>
    <n v="6.38"/>
    <d v="2015-07-06T00:00:00"/>
    <m/>
    <m/>
    <m/>
    <m/>
    <n v="19.62"/>
    <d v="2015-07-15T00:00:00"/>
    <n v="18.5"/>
    <d v="2015-07-06T00:00:00"/>
    <m/>
    <m/>
    <m/>
    <m/>
    <m/>
    <m/>
    <x v="783"/>
    <m/>
    <n v="35.24443124443124"/>
    <d v="2015-07-06T00:00:00"/>
    <m/>
    <m/>
    <n v="15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3.503999999999998"/>
    <d v="2015-07-15T00:00:00"/>
    <m/>
    <m/>
    <m/>
    <m/>
    <n v="54.621902465820312"/>
    <d v="2015-07-15T00:00:00"/>
    <n v="14.783102035522461"/>
    <d v="2015-07-15T00:00:00"/>
    <n v="15.545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BRA_008"/>
    <s v="Aviso"/>
    <x v="0"/>
    <x v="2"/>
    <n v="126"/>
    <n v="2"/>
    <n v="19"/>
    <m/>
    <m/>
    <m/>
    <m/>
    <n v="9"/>
    <m/>
    <n v="6.47"/>
    <d v="2015-07-06T00:00:00"/>
    <m/>
    <m/>
    <m/>
    <m/>
    <n v="18.149999999999999"/>
    <d v="2015-07-15T00:00:00"/>
    <n v="18.5"/>
    <d v="2015-07-06T00:00:00"/>
    <m/>
    <m/>
    <m/>
    <m/>
    <m/>
    <m/>
    <x v="784"/>
    <m/>
    <n v="35.587882387882381"/>
    <d v="2015-07-06T00:00:00"/>
    <m/>
    <m/>
    <n v="145"/>
    <m/>
    <m/>
    <m/>
    <n v="100"/>
    <m/>
    <m/>
    <m/>
    <m/>
    <m/>
    <m/>
    <m/>
    <m/>
    <m/>
    <m/>
    <m/>
    <m/>
    <m/>
    <n v="5"/>
    <m/>
    <m/>
    <m/>
    <m/>
    <m/>
    <m/>
    <m/>
    <m/>
    <m/>
    <m/>
    <m/>
    <n v="61.279000000000003"/>
    <d v="2015-07-15T00:00:00"/>
    <m/>
    <m/>
    <m/>
    <m/>
    <n v="50.026229858398437"/>
    <d v="2015-07-15T00:00:00"/>
    <n v="18.106857299804688"/>
    <d v="2015-07-15T00:00:00"/>
    <n v="16.547000000000001"/>
    <d v="2015-07-15T00:00:00"/>
    <m/>
    <m/>
    <m/>
    <m/>
    <n v="7.4"/>
    <d v="2015-07-06T00:00:00"/>
    <m/>
    <m/>
    <m/>
    <m/>
    <m/>
    <m/>
    <m/>
    <n v="1"/>
    <d v="2015-06-25T00:00:00"/>
    <s v="VALIDE"/>
  </r>
  <r>
    <s v="RAPSO_313"/>
    <s v="TASMAN"/>
    <x v="0"/>
    <x v="2"/>
    <n v="150"/>
    <n v="1"/>
    <n v="5"/>
    <m/>
    <m/>
    <m/>
    <m/>
    <n v="9"/>
    <m/>
    <n v="6.5"/>
    <d v="2015-07-06T00:00:00"/>
    <m/>
    <m/>
    <m/>
    <m/>
    <n v="19.079999999999998"/>
    <d v="2015-07-15T00:00:00"/>
    <n v="18.5"/>
    <d v="2015-07-06T00:00:00"/>
    <m/>
    <m/>
    <m/>
    <m/>
    <m/>
    <m/>
    <x v="785"/>
    <m/>
    <n v="35.714285714285715"/>
    <d v="2015-07-06T00:00:00"/>
    <m/>
    <m/>
    <n v="155"/>
    <m/>
    <m/>
    <m/>
    <n v="98"/>
    <m/>
    <m/>
    <m/>
    <m/>
    <m/>
    <m/>
    <m/>
    <m/>
    <m/>
    <m/>
    <m/>
    <m/>
    <m/>
    <n v="5"/>
    <m/>
    <m/>
    <m/>
    <m/>
    <m/>
    <m/>
    <m/>
    <m/>
    <m/>
    <m/>
    <m/>
    <n v="61.9"/>
    <d v="2015-07-15T00:00:00"/>
    <m/>
    <m/>
    <m/>
    <m/>
    <n v="52.385154724121094"/>
    <d v="2015-07-15T00:00:00"/>
    <n v="17.282672882080078"/>
    <d v="2015-07-15T00:00:00"/>
    <n v="14.909000000000001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295"/>
    <s v="ES-ALEGRIA"/>
    <x v="0"/>
    <x v="2"/>
    <n v="132"/>
    <n v="3"/>
    <n v="19"/>
    <m/>
    <m/>
    <m/>
    <m/>
    <n v="9"/>
    <m/>
    <n v="6.48"/>
    <d v="2015-07-06T00:00:00"/>
    <m/>
    <m/>
    <m/>
    <m/>
    <n v="18.84"/>
    <d v="2015-07-15T00:00:00"/>
    <n v="18.5"/>
    <d v="2015-07-06T00:00:00"/>
    <m/>
    <m/>
    <m/>
    <m/>
    <m/>
    <m/>
    <x v="786"/>
    <m/>
    <n v="36.409999999999997"/>
    <d v="2015-07-06T00:00:00"/>
    <m/>
    <m/>
    <n v="160"/>
    <m/>
    <m/>
    <m/>
    <n v="97"/>
    <m/>
    <m/>
    <m/>
    <m/>
    <m/>
    <m/>
    <m/>
    <m/>
    <m/>
    <m/>
    <m/>
    <m/>
    <m/>
    <n v="5"/>
    <m/>
    <m/>
    <m/>
    <m/>
    <m/>
    <m/>
    <m/>
    <m/>
    <m/>
    <m/>
    <m/>
    <n v="64.909000000000006"/>
    <d v="2015-07-15T00:00:00"/>
    <m/>
    <m/>
    <m/>
    <m/>
    <n v="51.741275787353516"/>
    <d v="2015-07-15T00:00:00"/>
    <n v="16.757057189941406"/>
    <d v="2015-07-15T00:00:00"/>
    <n v="12.925000000000001"/>
    <d v="2015-07-15T00:00:00"/>
    <m/>
    <m/>
    <m/>
    <m/>
    <n v="7.2"/>
    <d v="2015-07-06T00:00:00"/>
    <m/>
    <m/>
    <m/>
    <m/>
    <m/>
    <m/>
    <m/>
    <n v="3"/>
    <d v="2015-06-25T00:00:00"/>
    <s v="VALIDE"/>
  </r>
  <r>
    <s v="RAPSO_327"/>
    <s v="SYN03"/>
    <x v="0"/>
    <x v="2"/>
    <n v="164"/>
    <n v="3"/>
    <n v="5"/>
    <m/>
    <m/>
    <m/>
    <m/>
    <n v="8"/>
    <m/>
    <n v="6.49"/>
    <d v="2015-07-06T00:00:00"/>
    <m/>
    <m/>
    <m/>
    <m/>
    <n v="18.68"/>
    <d v="2015-07-15T00:00:00"/>
    <n v="18.5"/>
    <d v="2015-07-06T00:00:00"/>
    <m/>
    <m/>
    <m/>
    <m/>
    <m/>
    <m/>
    <x v="787"/>
    <m/>
    <n v="36.43"/>
    <d v="2015-07-06T00:00:00"/>
    <m/>
    <m/>
    <n v="145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2.877000000000002"/>
    <d v="2015-07-15T00:00:00"/>
    <m/>
    <m/>
    <m/>
    <m/>
    <n v="51.290691375732422"/>
    <d v="2015-07-15T00:00:00"/>
    <n v="17.154678344726562"/>
    <d v="2015-07-15T00:00:00"/>
    <n v="14.09200000000000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477"/>
    <s v="RAGT-14"/>
    <x v="1"/>
    <x v="3"/>
    <n v="177"/>
    <n v="20"/>
    <n v="3"/>
    <m/>
    <m/>
    <m/>
    <m/>
    <n v="8"/>
    <m/>
    <n v="6.56"/>
    <d v="2015-07-06T00:00:00"/>
    <m/>
    <m/>
    <m/>
    <m/>
    <n v="19.149999999999999"/>
    <d v="2015-07-15T00:00:00"/>
    <n v="18.5"/>
    <d v="2015-07-06T00:00:00"/>
    <m/>
    <m/>
    <m/>
    <m/>
    <m/>
    <m/>
    <x v="788"/>
    <m/>
    <n v="36.549999999999997"/>
    <d v="2015-07-06T00:00:00"/>
    <m/>
    <m/>
    <n v="125"/>
    <m/>
    <m/>
    <m/>
    <n v="101"/>
    <m/>
    <m/>
    <m/>
    <m/>
    <m/>
    <m/>
    <m/>
    <m/>
    <m/>
    <m/>
    <m/>
    <m/>
    <m/>
    <n v="7"/>
    <m/>
    <m/>
    <m/>
    <m/>
    <m/>
    <m/>
    <m/>
    <m/>
    <m/>
    <m/>
    <m/>
    <n v="63.716999999999999"/>
    <d v="2015-07-15T00:00:00"/>
    <m/>
    <m/>
    <m/>
    <m/>
    <n v="52.389480590820313"/>
    <d v="2015-07-15T00:00:00"/>
    <n v="17.269645690917969"/>
    <d v="2015-07-15T00:00:00"/>
    <n v="18.956"/>
    <d v="2015-07-15T00:00:00"/>
    <m/>
    <m/>
    <m/>
    <m/>
    <n v="8"/>
    <d v="2015-07-06T00:00:00"/>
    <m/>
    <m/>
    <m/>
    <m/>
    <m/>
    <m/>
    <m/>
    <n v="1"/>
    <d v="2015-06-25T00:00:00"/>
    <s v="VALIDE"/>
  </r>
  <r>
    <s v="RAPSO_281"/>
    <s v="Tradition"/>
    <x v="0"/>
    <x v="2"/>
    <n v="110"/>
    <n v="2"/>
    <n v="8"/>
    <m/>
    <m/>
    <m/>
    <m/>
    <n v="9"/>
    <m/>
    <n v="6.5"/>
    <d v="2015-07-06T00:00:00"/>
    <m/>
    <m/>
    <m/>
    <m/>
    <n v="18.600000000000001"/>
    <d v="2015-07-15T00:00:00"/>
    <n v="18.5"/>
    <d v="2015-07-06T00:00:00"/>
    <m/>
    <m/>
    <m/>
    <m/>
    <m/>
    <m/>
    <x v="789"/>
    <m/>
    <n v="35.868725868725875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3"/>
    <d v="2015-07-15T00:00:00"/>
    <m/>
    <m/>
    <m/>
    <m/>
    <n v="50.874824523925781"/>
    <d v="2015-07-15T00:00:00"/>
    <n v="16.253757476806641"/>
    <d v="2015-07-15T00:00:00"/>
    <n v="18.315000000000001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16"/>
    <s v="RAGT-02"/>
    <x v="0"/>
    <x v="2"/>
    <n v="153"/>
    <n v="6"/>
    <n v="4"/>
    <m/>
    <m/>
    <m/>
    <m/>
    <n v="9"/>
    <m/>
    <n v="6.51"/>
    <d v="2015-07-06T00:00:00"/>
    <m/>
    <m/>
    <m/>
    <m/>
    <n v="19.62"/>
    <d v="2015-07-15T00:00:00"/>
    <n v="18.5"/>
    <d v="2015-07-06T00:00:00"/>
    <m/>
    <m/>
    <m/>
    <m/>
    <m/>
    <m/>
    <x v="790"/>
    <m/>
    <n v="36.659999999999997"/>
    <d v="2015-07-06T00:00:00"/>
    <m/>
    <m/>
    <n v="165"/>
    <m/>
    <m/>
    <m/>
    <n v="98"/>
    <m/>
    <m/>
    <m/>
    <m/>
    <m/>
    <m/>
    <m/>
    <m/>
    <m/>
    <m/>
    <m/>
    <m/>
    <m/>
    <n v="7"/>
    <m/>
    <m/>
    <m/>
    <m/>
    <m/>
    <m/>
    <m/>
    <m/>
    <m/>
    <m/>
    <m/>
    <n v="64.385000000000005"/>
    <d v="2015-07-15T00:00:00"/>
    <m/>
    <m/>
    <m/>
    <m/>
    <n v="53.506149291992188"/>
    <d v="2015-07-15T00:00:00"/>
    <n v="15.361072540283203"/>
    <d v="2015-07-15T00:00:00"/>
    <n v="20.917999999999999"/>
    <d v="2015-07-15T00:00:00"/>
    <m/>
    <m/>
    <m/>
    <m/>
    <n v="7"/>
    <d v="2015-07-06T00:00:00"/>
    <m/>
    <m/>
    <m/>
    <m/>
    <m/>
    <m/>
    <m/>
    <n v="3"/>
    <d v="2015-06-25T00:00:00"/>
    <s v="VALIDE"/>
  </r>
  <r>
    <s v="RAPSO_131"/>
    <s v="Alesi"/>
    <x v="0"/>
    <x v="2"/>
    <n v="41"/>
    <n v="2"/>
    <n v="15"/>
    <m/>
    <m/>
    <m/>
    <m/>
    <n v="9"/>
    <m/>
    <n v="6.57"/>
    <d v="2015-07-06T00:00:00"/>
    <m/>
    <m/>
    <m/>
    <m/>
    <n v="18.11"/>
    <d v="2015-07-15T00:00:00"/>
    <n v="18.5"/>
    <d v="2015-07-06T00:00:00"/>
    <m/>
    <m/>
    <m/>
    <m/>
    <m/>
    <m/>
    <x v="791"/>
    <m/>
    <n v="36.020849420849423"/>
    <d v="2015-07-06T00:00:00"/>
    <m/>
    <m/>
    <n v="14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4.426000000000002"/>
    <d v="2015-07-15T00:00:00"/>
    <m/>
    <m/>
    <m/>
    <m/>
    <n v="49.323574066162109"/>
    <d v="2015-07-15T00:00:00"/>
    <n v="16.957622528076172"/>
    <d v="2015-07-15T00:00:00"/>
    <n v="13.782"/>
    <d v="2015-07-15T00:00:00"/>
    <m/>
    <m/>
    <m/>
    <m/>
    <n v="7.7"/>
    <d v="2015-07-06T00:00:00"/>
    <m/>
    <m/>
    <m/>
    <m/>
    <m/>
    <m/>
    <m/>
    <n v="1"/>
    <d v="2015-06-25T00:00:00"/>
    <s v="VALIDE"/>
  </r>
  <r>
    <s v="RAPSO_479"/>
    <s v="SYNG11"/>
    <x v="0"/>
    <x v="2"/>
    <n v="179"/>
    <n v="3"/>
    <n v="24"/>
    <m/>
    <m/>
    <m/>
    <m/>
    <n v="8"/>
    <m/>
    <n v="6.55"/>
    <d v="2015-07-06T00:00:00"/>
    <m/>
    <m/>
    <m/>
    <m/>
    <n v="19.010000000000002"/>
    <d v="2015-07-15T00:00:00"/>
    <n v="18.5"/>
    <d v="2015-07-06T00:00:00"/>
    <m/>
    <m/>
    <m/>
    <m/>
    <m/>
    <m/>
    <x v="792"/>
    <m/>
    <n v="36.85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4.41"/>
    <d v="2015-07-15T00:00:00"/>
    <m/>
    <m/>
    <m/>
    <m/>
    <n v="51.597908020019531"/>
    <d v="2015-07-15T00:00:00"/>
    <n v="16.696495056152344"/>
    <d v="2015-07-15T00:00:00"/>
    <n v="15.311"/>
    <d v="2015-07-15T00:00:00"/>
    <m/>
    <m/>
    <m/>
    <m/>
    <n v="7.1"/>
    <d v="2015-07-06T00:00:00"/>
    <m/>
    <m/>
    <m/>
    <m/>
    <m/>
    <m/>
    <m/>
    <n v="1"/>
    <d v="2015-06-25T00:00:00"/>
    <s v="VALIDE"/>
  </r>
  <r>
    <s v="Aviso"/>
    <s v="Aviso"/>
    <x v="0"/>
    <x v="2"/>
    <n v="181"/>
    <n v="5"/>
    <n v="20"/>
    <m/>
    <m/>
    <m/>
    <m/>
    <n v="8"/>
    <m/>
    <n v="6.55"/>
    <d v="2015-07-06T00:00:00"/>
    <m/>
    <m/>
    <m/>
    <m/>
    <n v="18.73"/>
    <d v="2015-07-15T00:00:00"/>
    <n v="18.5"/>
    <d v="2015-07-06T00:00:00"/>
    <m/>
    <m/>
    <m/>
    <m/>
    <m/>
    <m/>
    <x v="793"/>
    <m/>
    <n v="36.93"/>
    <d v="2015-07-06T00:00:00"/>
    <m/>
    <m/>
    <n v="140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1.7"/>
    <d v="2015-07-15T00:00:00"/>
    <m/>
    <m/>
    <m/>
    <m/>
    <n v="50.709953308105469"/>
    <d v="2015-07-15T00:00:00"/>
    <n v="16.962783813476563"/>
    <d v="2015-07-15T00:00:00"/>
    <n v="19.161999999999999"/>
    <d v="2015-07-15T00:00:00"/>
    <m/>
    <m/>
    <m/>
    <m/>
    <n v="6.9"/>
    <d v="2015-07-06T00:00:00"/>
    <m/>
    <m/>
    <m/>
    <m/>
    <m/>
    <m/>
    <m/>
    <n v="1"/>
    <d v="2015-06-25T00:00:00"/>
    <s v="VALIDE"/>
  </r>
  <r>
    <s v="RAPSO_324"/>
    <s v="RAGT-10"/>
    <x v="0"/>
    <x v="2"/>
    <n v="161"/>
    <n v="3"/>
    <n v="31"/>
    <m/>
    <m/>
    <m/>
    <m/>
    <n v="7"/>
    <m/>
    <n v="6.59"/>
    <d v="2015-07-06T00:00:00"/>
    <m/>
    <m/>
    <m/>
    <m/>
    <n v="18.2"/>
    <d v="2015-07-15T00:00:00"/>
    <n v="18.5"/>
    <d v="2015-07-06T00:00:00"/>
    <m/>
    <m/>
    <m/>
    <m/>
    <m/>
    <m/>
    <x v="794"/>
    <m/>
    <n v="36.99"/>
    <d v="2015-07-06T00:00:00"/>
    <m/>
    <m/>
    <n v="16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882999999999996"/>
    <d v="2015-07-15T00:00:00"/>
    <m/>
    <m/>
    <m/>
    <m/>
    <n v="49.211196899414063"/>
    <d v="2015-07-15T00:00:00"/>
    <n v="19.475814819335938"/>
    <d v="2015-07-15T00:00:00"/>
    <n v="19.95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473"/>
    <s v="Anastasia"/>
    <x v="0"/>
    <x v="2"/>
    <n v="175"/>
    <n v="4"/>
    <n v="24"/>
    <m/>
    <m/>
    <m/>
    <m/>
    <n v="9"/>
    <m/>
    <n v="6.63"/>
    <d v="2015-07-06T00:00:00"/>
    <m/>
    <m/>
    <m/>
    <m/>
    <n v="19.34"/>
    <d v="2015-07-15T00:00:00"/>
    <n v="18.5"/>
    <d v="2015-07-06T00:00:00"/>
    <m/>
    <m/>
    <m/>
    <m/>
    <m/>
    <m/>
    <x v="795"/>
    <m/>
    <n v="37.22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58"/>
    <d v="2015-07-15T00:00:00"/>
    <m/>
    <m/>
    <m/>
    <m/>
    <n v="51.97442626953125"/>
    <d v="2015-07-15T00:00:00"/>
    <n v="16.283374786376953"/>
    <d v="2015-07-15T00:00:00"/>
    <n v="16.878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477"/>
    <s v="RAGT-14"/>
    <x v="1"/>
    <x v="1"/>
    <n v="177"/>
    <n v="13"/>
    <n v="18"/>
    <m/>
    <m/>
    <m/>
    <m/>
    <n v="7"/>
    <m/>
    <n v="6.63"/>
    <d v="2015-07-06T00:00:00"/>
    <m/>
    <m/>
    <m/>
    <m/>
    <n v="19.47"/>
    <d v="2015-07-15T00:00:00"/>
    <n v="18.5"/>
    <d v="2015-07-06T00:00:00"/>
    <m/>
    <m/>
    <m/>
    <m/>
    <m/>
    <m/>
    <x v="796"/>
    <m/>
    <n v="37.299999999999997"/>
    <d v="2015-07-06T00:00:00"/>
    <m/>
    <m/>
    <n v="13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262"/>
    <d v="2015-07-15T00:00:00"/>
    <m/>
    <m/>
    <m/>
    <m/>
    <n v="52.192230224609375"/>
    <d v="2015-07-15T00:00:00"/>
    <n v="17.322771072387695"/>
    <d v="2015-07-15T00:00:00"/>
    <n v="18.664000000000001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328"/>
    <s v="SYN04"/>
    <x v="0"/>
    <x v="2"/>
    <n v="165"/>
    <n v="1"/>
    <n v="30"/>
    <m/>
    <m/>
    <m/>
    <m/>
    <n v="7"/>
    <m/>
    <n v="6.73"/>
    <d v="2015-07-06T00:00:00"/>
    <m/>
    <m/>
    <m/>
    <m/>
    <n v="19.73"/>
    <d v="2015-07-15T00:00:00"/>
    <n v="18.5"/>
    <d v="2015-07-06T00:00:00"/>
    <m/>
    <m/>
    <m/>
    <m/>
    <m/>
    <m/>
    <x v="797"/>
    <m/>
    <n v="37.86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423000000000002"/>
    <d v="2015-07-15T00:00:00"/>
    <m/>
    <m/>
    <m/>
    <m/>
    <n v="52.118125915527344"/>
    <d v="2015-07-15T00:00:00"/>
    <n v="17.269155502319336"/>
    <d v="2015-07-15T00:00:00"/>
    <n v="14.766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97"/>
    <s v="ES-CENTAURE"/>
    <x v="1"/>
    <x v="1"/>
    <n v="134"/>
    <n v="18"/>
    <n v="20"/>
    <m/>
    <m/>
    <m/>
    <m/>
    <n v="9"/>
    <m/>
    <n v="6.75"/>
    <d v="2015-07-06T00:00:00"/>
    <m/>
    <m/>
    <m/>
    <m/>
    <n v="19.510000000000002"/>
    <d v="2015-07-15T00:00:00"/>
    <n v="18.5"/>
    <d v="2015-07-06T00:00:00"/>
    <m/>
    <m/>
    <m/>
    <m/>
    <m/>
    <m/>
    <x v="798"/>
    <m/>
    <n v="37.208197208197205"/>
    <d v="2015-07-06T00:00:00"/>
    <m/>
    <m/>
    <n v="11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6.372"/>
    <d v="2015-07-15T00:00:00"/>
    <m/>
    <m/>
    <m/>
    <m/>
    <n v="51.450222015380859"/>
    <d v="2015-07-15T00:00:00"/>
    <n v="17.484777450561523"/>
    <d v="2015-07-15T00:00:00"/>
    <n v="19.398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477"/>
    <s v="RAGT-14"/>
    <x v="0"/>
    <x v="2"/>
    <n v="177"/>
    <n v="3"/>
    <n v="11"/>
    <m/>
    <m/>
    <m/>
    <m/>
    <n v="8"/>
    <m/>
    <n v="6.74"/>
    <d v="2015-07-06T00:00:00"/>
    <m/>
    <m/>
    <m/>
    <m/>
    <n v="20.41"/>
    <d v="2015-07-15T00:00:00"/>
    <n v="18.5"/>
    <d v="2015-07-06T00:00:00"/>
    <m/>
    <m/>
    <m/>
    <m/>
    <m/>
    <m/>
    <x v="799"/>
    <m/>
    <n v="37.96"/>
    <d v="2015-07-06T00:00:00"/>
    <m/>
    <m/>
    <n v="165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5.227999999999994"/>
    <d v="2015-07-15T00:00:00"/>
    <m/>
    <m/>
    <m/>
    <m/>
    <n v="53.773773193359375"/>
    <d v="2015-07-15T00:00:00"/>
    <n v="15.409635543823242"/>
    <d v="2015-07-15T00:00:00"/>
    <n v="16.965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02"/>
    <s v="ES-VENUS"/>
    <x v="0"/>
    <x v="2"/>
    <n v="139"/>
    <n v="2"/>
    <n v="10"/>
    <m/>
    <m/>
    <m/>
    <m/>
    <n v="8"/>
    <m/>
    <n v="6.76"/>
    <d v="2015-07-06T00:00:00"/>
    <m/>
    <m/>
    <m/>
    <m/>
    <n v="18.95"/>
    <d v="2015-07-15T00:00:00"/>
    <n v="18.5"/>
    <d v="2015-07-06T00:00:00"/>
    <m/>
    <m/>
    <m/>
    <m/>
    <m/>
    <m/>
    <x v="800"/>
    <m/>
    <n v="37.263320463320461"/>
    <d v="2015-07-06T00:00:00"/>
    <m/>
    <m/>
    <n v="150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2.628"/>
    <d v="2015-07-15T00:00:00"/>
    <m/>
    <m/>
    <m/>
    <m/>
    <n v="49.875797271728516"/>
    <d v="2015-07-15T00:00:00"/>
    <n v="18.362613677978516"/>
    <d v="2015-07-15T00:00:00"/>
    <n v="19.042000000000002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297"/>
    <s v="ES-CENTAURE"/>
    <x v="0"/>
    <x v="2"/>
    <n v="134"/>
    <n v="4"/>
    <n v="5"/>
    <m/>
    <m/>
    <m/>
    <m/>
    <n v="9"/>
    <m/>
    <n v="6.82"/>
    <d v="2015-07-06T00:00:00"/>
    <m/>
    <m/>
    <m/>
    <m/>
    <n v="20.28"/>
    <d v="2015-07-15T00:00:00"/>
    <n v="18.5"/>
    <d v="2015-07-06T00:00:00"/>
    <m/>
    <m/>
    <m/>
    <m/>
    <m/>
    <m/>
    <x v="801"/>
    <m/>
    <n v="37.472527472527474"/>
    <d v="2015-07-06T00:00:00"/>
    <m/>
    <m/>
    <n v="145"/>
    <m/>
    <m/>
    <m/>
    <n v="97"/>
    <m/>
    <m/>
    <m/>
    <m/>
    <m/>
    <m/>
    <m/>
    <m/>
    <m/>
    <m/>
    <m/>
    <m/>
    <m/>
    <n v="7"/>
    <m/>
    <m/>
    <m/>
    <m/>
    <m/>
    <m/>
    <m/>
    <m/>
    <m/>
    <m/>
    <m/>
    <n v="67.013999999999996"/>
    <d v="2015-07-15T00:00:00"/>
    <m/>
    <m/>
    <m/>
    <m/>
    <n v="53.0780029296875"/>
    <d v="2015-07-15T00:00:00"/>
    <n v="16.943000793457031"/>
    <d v="2015-07-15T00:00:00"/>
    <n v="17.515000000000001"/>
    <d v="2015-07-15T00:00:00"/>
    <m/>
    <m/>
    <m/>
    <m/>
    <n v="7.5"/>
    <d v="2015-07-06T00:00:00"/>
    <m/>
    <m/>
    <m/>
    <m/>
    <m/>
    <m/>
    <m/>
    <n v="1"/>
    <d v="2015-06-25T00:00:00"/>
    <s v="VALIDE"/>
  </r>
  <r>
    <s v="RAPSO_315"/>
    <s v="RAGT-01"/>
    <x v="0"/>
    <x v="2"/>
    <n v="152"/>
    <n v="2"/>
    <n v="24"/>
    <m/>
    <m/>
    <m/>
    <m/>
    <n v="9"/>
    <m/>
    <n v="6.9"/>
    <d v="2015-07-06T00:00:00"/>
    <m/>
    <m/>
    <m/>
    <m/>
    <n v="19.7"/>
    <d v="2015-07-15T00:00:00"/>
    <n v="18.5"/>
    <d v="2015-07-06T00:00:00"/>
    <m/>
    <m/>
    <m/>
    <m/>
    <m/>
    <m/>
    <x v="802"/>
    <m/>
    <n v="37.994059994059988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4.186999999999998"/>
    <d v="2015-07-15T00:00:00"/>
    <m/>
    <m/>
    <m/>
    <m/>
    <n v="50.863136291503906"/>
    <d v="2015-07-15T00:00:00"/>
    <n v="18.067615509033203"/>
    <d v="2015-07-15T00:00:00"/>
    <n v="15.161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472"/>
    <s v="Pendulum"/>
    <x v="0"/>
    <x v="2"/>
    <n v="174"/>
    <n v="5"/>
    <n v="9"/>
    <m/>
    <m/>
    <m/>
    <m/>
    <n v="9"/>
    <m/>
    <n v="6.92"/>
    <d v="2015-07-06T00:00:00"/>
    <m/>
    <m/>
    <m/>
    <m/>
    <n v="20.73"/>
    <d v="2015-07-15T00:00:00"/>
    <n v="18.5"/>
    <d v="2015-07-06T00:00:00"/>
    <m/>
    <m/>
    <m/>
    <m/>
    <m/>
    <m/>
    <x v="803"/>
    <m/>
    <n v="38.89"/>
    <d v="2015-07-06T00:00:00"/>
    <m/>
    <m/>
    <n v="150"/>
    <m/>
    <m/>
    <m/>
    <n v="99"/>
    <m/>
    <m/>
    <m/>
    <m/>
    <m/>
    <m/>
    <m/>
    <m/>
    <m/>
    <m/>
    <m/>
    <m/>
    <m/>
    <n v="7"/>
    <m/>
    <m/>
    <m/>
    <m/>
    <m/>
    <m/>
    <m/>
    <m/>
    <m/>
    <m/>
    <m/>
    <n v="63.307000000000002"/>
    <d v="2015-07-15T00:00:00"/>
    <m/>
    <m/>
    <m/>
    <m/>
    <n v="53.313438415527344"/>
    <d v="2015-07-15T00:00:00"/>
    <n v="14.63319206237793"/>
    <d v="2015-07-15T00:00:00"/>
    <n v="17.266999999999999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30"/>
    <s v="SYN06"/>
    <x v="0"/>
    <x v="2"/>
    <n v="167"/>
    <n v="1"/>
    <n v="13"/>
    <m/>
    <m/>
    <m/>
    <m/>
    <n v="8"/>
    <m/>
    <n v="6.93"/>
    <d v="2015-07-06T00:00:00"/>
    <m/>
    <m/>
    <m/>
    <m/>
    <n v="20.11"/>
    <d v="2015-07-15T00:00:00"/>
    <n v="18.5"/>
    <d v="2015-07-06T00:00:00"/>
    <m/>
    <m/>
    <m/>
    <m/>
    <m/>
    <m/>
    <x v="804"/>
    <m/>
    <n v="38.9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3.34"/>
    <d v="2015-07-15T00:00:00"/>
    <m/>
    <m/>
    <m/>
    <m/>
    <n v="51.703441619873047"/>
    <d v="2015-07-15T00:00:00"/>
    <n v="18.152345657348633"/>
    <d v="2015-07-15T00:00:00"/>
    <n v="18.882999999999999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00"/>
    <s v="ES-ANTONIA"/>
    <x v="0"/>
    <x v="2"/>
    <n v="137"/>
    <n v="6"/>
    <n v="1"/>
    <m/>
    <m/>
    <m/>
    <m/>
    <n v="9"/>
    <m/>
    <n v="6.96"/>
    <d v="2015-07-06T00:00:00"/>
    <m/>
    <m/>
    <m/>
    <m/>
    <n v="20.59"/>
    <d v="2015-07-15T00:00:00"/>
    <n v="18.5"/>
    <d v="2015-07-06T00:00:00"/>
    <m/>
    <m/>
    <m/>
    <m/>
    <m/>
    <m/>
    <x v="805"/>
    <m/>
    <n v="38.324443124443121"/>
    <d v="2015-07-06T00:00:00"/>
    <m/>
    <m/>
    <n v="150"/>
    <m/>
    <m/>
    <m/>
    <n v="99"/>
    <m/>
    <m/>
    <m/>
    <m/>
    <m/>
    <m/>
    <m/>
    <m/>
    <m/>
    <m/>
    <m/>
    <m/>
    <m/>
    <n v="5"/>
    <m/>
    <m/>
    <m/>
    <m/>
    <m/>
    <m/>
    <m/>
    <m/>
    <m/>
    <m/>
    <m/>
    <n v="62.963000000000001"/>
    <d v="2015-07-15T00:00:00"/>
    <m/>
    <m/>
    <m/>
    <m/>
    <n v="52.712932586669922"/>
    <d v="2015-07-15T00:00:00"/>
    <n v="17.401185989379883"/>
    <d v="2015-07-15T00:00:00"/>
    <n v="18.207999999999998"/>
    <d v="2015-07-15T00:00:00"/>
    <m/>
    <m/>
    <m/>
    <m/>
    <n v="7.3"/>
    <d v="2015-07-06T00:00:00"/>
    <m/>
    <m/>
    <m/>
    <m/>
    <m/>
    <m/>
    <m/>
    <n v="1"/>
    <d v="2015-06-25T00:00:00"/>
    <s v="VALIDE"/>
  </r>
  <r>
    <s v="RAPSO_312"/>
    <s v="PAMELA"/>
    <x v="0"/>
    <x v="2"/>
    <n v="149"/>
    <n v="4"/>
    <n v="28"/>
    <m/>
    <m/>
    <m/>
    <m/>
    <n v="9"/>
    <m/>
    <n v="6.95"/>
    <d v="2015-07-06T00:00:00"/>
    <m/>
    <m/>
    <m/>
    <m/>
    <n v="20.440000000000001"/>
    <d v="2015-07-15T00:00:00"/>
    <n v="18.5"/>
    <d v="2015-07-06T00:00:00"/>
    <m/>
    <m/>
    <m/>
    <m/>
    <m/>
    <m/>
    <x v="806"/>
    <m/>
    <n v="38.393228393228391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5.703000000000003"/>
    <d v="2015-07-15T00:00:00"/>
    <m/>
    <m/>
    <m/>
    <m/>
    <n v="52.223922729492188"/>
    <d v="2015-07-15T00:00:00"/>
    <n v="15.526201248168945"/>
    <d v="2015-07-15T00:00:00"/>
    <n v="16.434999999999999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332"/>
    <s v="SYN08"/>
    <x v="0"/>
    <x v="2"/>
    <n v="169"/>
    <n v="1"/>
    <n v="8"/>
    <m/>
    <m/>
    <m/>
    <m/>
    <n v="8"/>
    <m/>
    <n v="7"/>
    <d v="2015-07-06T00:00:00"/>
    <m/>
    <m/>
    <m/>
    <m/>
    <n v="19.670000000000002"/>
    <d v="2015-07-15T00:00:00"/>
    <n v="18.5"/>
    <d v="2015-07-06T00:00:00"/>
    <m/>
    <m/>
    <m/>
    <m/>
    <m/>
    <m/>
    <x v="807"/>
    <m/>
    <n v="39.17"/>
    <d v="2015-07-06T00:00:00"/>
    <m/>
    <m/>
    <n v="165"/>
    <m/>
    <m/>
    <m/>
    <n v="103"/>
    <m/>
    <m/>
    <m/>
    <m/>
    <m/>
    <m/>
    <m/>
    <m/>
    <m/>
    <m/>
    <m/>
    <m/>
    <m/>
    <n v="7"/>
    <m/>
    <m/>
    <m/>
    <m/>
    <m/>
    <m/>
    <m/>
    <m/>
    <m/>
    <m/>
    <m/>
    <n v="64.204999999999998"/>
    <d v="2015-07-15T00:00:00"/>
    <m/>
    <m/>
    <m/>
    <m/>
    <n v="50.214637756347656"/>
    <d v="2015-07-15T00:00:00"/>
    <n v="17.337093353271484"/>
    <d v="2015-07-15T00:00:00"/>
    <n v="17.873999999999999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476"/>
    <s v="RAGT-13"/>
    <x v="0"/>
    <x v="2"/>
    <n v="176"/>
    <n v="4"/>
    <n v="7"/>
    <m/>
    <m/>
    <m/>
    <m/>
    <n v="8"/>
    <m/>
    <n v="7"/>
    <d v="2015-07-06T00:00:00"/>
    <m/>
    <m/>
    <m/>
    <m/>
    <n v="19.829999999999998"/>
    <d v="2015-07-15T00:00:00"/>
    <n v="18.5"/>
    <d v="2015-07-06T00:00:00"/>
    <m/>
    <m/>
    <m/>
    <m/>
    <m/>
    <m/>
    <x v="807"/>
    <m/>
    <n v="39.17"/>
    <d v="2015-07-06T00:00:00"/>
    <m/>
    <m/>
    <n v="140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2.386000000000003"/>
    <d v="2015-07-15T00:00:00"/>
    <m/>
    <m/>
    <m/>
    <m/>
    <n v="50.6263427734375"/>
    <d v="2015-07-15T00:00:00"/>
    <n v="16.758405685424805"/>
    <d v="2015-07-15T00:00:00"/>
    <n v="14.962999999999999"/>
    <d v="2015-07-15T00:00:00"/>
    <m/>
    <m/>
    <m/>
    <m/>
    <n v="7.6"/>
    <d v="2015-07-06T00:00:00"/>
    <m/>
    <m/>
    <m/>
    <m/>
    <m/>
    <m/>
    <m/>
    <n v="1"/>
    <d v="2015-06-25T00:00:00"/>
    <s v="VALIDE"/>
  </r>
  <r>
    <s v="RAPSO_294"/>
    <s v="ES-AGATHA"/>
    <x v="1"/>
    <x v="1"/>
    <n v="131"/>
    <n v="18"/>
    <n v="27"/>
    <m/>
    <m/>
    <m/>
    <m/>
    <n v="9"/>
    <m/>
    <n v="6.99"/>
    <d v="2015-07-06T00:00:00"/>
    <m/>
    <m/>
    <m/>
    <m/>
    <n v="19.920000000000002"/>
    <d v="2015-07-15T00:00:00"/>
    <n v="18.5"/>
    <d v="2015-07-06T00:00:00"/>
    <m/>
    <m/>
    <m/>
    <m/>
    <m/>
    <m/>
    <x v="808"/>
    <m/>
    <n v="38.697237897237905"/>
    <d v="2015-07-06T00:00:00"/>
    <m/>
    <m/>
    <n v="135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5.778000000000006"/>
    <d v="2015-07-15T00:00:00"/>
    <m/>
    <m/>
    <m/>
    <m/>
    <n v="50.501651763916016"/>
    <d v="2015-07-15T00:00:00"/>
    <n v="16.533580780029297"/>
    <d v="2015-07-15T00:00:00"/>
    <n v="17.786999999999999"/>
    <d v="2015-07-15T00:00:00"/>
    <m/>
    <m/>
    <m/>
    <m/>
    <n v="6.8"/>
    <d v="2015-07-06T00:00:00"/>
    <m/>
    <m/>
    <m/>
    <m/>
    <m/>
    <m/>
    <m/>
    <n v="1"/>
    <d v="2015-06-25T00:00:00"/>
    <s v="VALIDE"/>
  </r>
  <r>
    <s v="RAPSO_325"/>
    <s v="SYN01"/>
    <x v="0"/>
    <x v="2"/>
    <n v="162"/>
    <n v="1"/>
    <n v="21"/>
    <m/>
    <m/>
    <m/>
    <m/>
    <n v="9"/>
    <m/>
    <n v="7.07"/>
    <d v="2015-07-06T00:00:00"/>
    <m/>
    <m/>
    <m/>
    <m/>
    <n v="20.77"/>
    <d v="2015-07-15T00:00:00"/>
    <n v="18.5"/>
    <d v="2015-07-06T00:00:00"/>
    <m/>
    <m/>
    <m/>
    <m/>
    <m/>
    <m/>
    <x v="809"/>
    <m/>
    <n v="39.770000000000003"/>
    <d v="2015-07-06T00:00:00"/>
    <m/>
    <m/>
    <n v="165"/>
    <m/>
    <m/>
    <m/>
    <n v="97"/>
    <m/>
    <m/>
    <m/>
    <m/>
    <m/>
    <m/>
    <m/>
    <m/>
    <m/>
    <m/>
    <m/>
    <m/>
    <m/>
    <n v="7"/>
    <m/>
    <m/>
    <m/>
    <m/>
    <m/>
    <m/>
    <m/>
    <m/>
    <m/>
    <m/>
    <m/>
    <n v="65.236999999999995"/>
    <d v="2015-07-15T00:00:00"/>
    <m/>
    <m/>
    <m/>
    <m/>
    <n v="52.223960876464844"/>
    <d v="2015-07-15T00:00:00"/>
    <n v="16.134937286376953"/>
    <d v="2015-07-15T00:00:00"/>
    <n v="19.986000000000001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94"/>
    <s v="ES-AGATHA"/>
    <x v="1"/>
    <x v="3"/>
    <n v="131"/>
    <n v="23"/>
    <n v="10"/>
    <m/>
    <m/>
    <m/>
    <m/>
    <n v="7"/>
    <m/>
    <n v="7.18"/>
    <d v="2015-07-06T00:00:00"/>
    <m/>
    <m/>
    <m/>
    <m/>
    <n v="20.7"/>
    <d v="2015-07-15T00:00:00"/>
    <n v="18.5"/>
    <d v="2015-07-06T00:00:00"/>
    <m/>
    <m/>
    <m/>
    <m/>
    <m/>
    <m/>
    <x v="810"/>
    <m/>
    <n v="39.322601722601718"/>
    <d v="2015-07-06T00:00:00"/>
    <m/>
    <m/>
    <n v="140"/>
    <m/>
    <m/>
    <m/>
    <n v="103"/>
    <m/>
    <m/>
    <m/>
    <m/>
    <m/>
    <m/>
    <m/>
    <m/>
    <m/>
    <m/>
    <m/>
    <m/>
    <m/>
    <n v="9"/>
    <m/>
    <m/>
    <m/>
    <m/>
    <m/>
    <m/>
    <m/>
    <m/>
    <m/>
    <m/>
    <m/>
    <n v="66.265000000000001"/>
    <d v="2015-07-15T00:00:00"/>
    <m/>
    <m/>
    <m/>
    <m/>
    <n v="51.644004821777344"/>
    <d v="2015-07-15T00:00:00"/>
    <n v="15.929532051086426"/>
    <d v="2015-07-15T00:00:00"/>
    <n v="13.708"/>
    <d v="2015-07-15T00:00:00"/>
    <m/>
    <m/>
    <m/>
    <m/>
    <n v="7.8"/>
    <d v="2015-07-06T00:00:00"/>
    <m/>
    <m/>
    <m/>
    <m/>
    <m/>
    <m/>
    <m/>
    <n v="1"/>
    <d v="2015-06-25T00:00:00"/>
    <s v="VALIDE"/>
  </r>
  <r>
    <s v="RAPSO_478"/>
    <s v="RAGT-15"/>
    <x v="0"/>
    <x v="2"/>
    <n v="178"/>
    <n v="2"/>
    <n v="20"/>
    <m/>
    <m/>
    <m/>
    <m/>
    <n v="9"/>
    <m/>
    <n v="7.19"/>
    <d v="2015-07-06T00:00:00"/>
    <m/>
    <m/>
    <m/>
    <m/>
    <n v="20.309999999999999"/>
    <d v="2015-07-15T00:00:00"/>
    <n v="18.5"/>
    <d v="2015-07-06T00:00:00"/>
    <m/>
    <m/>
    <m/>
    <m/>
    <m/>
    <m/>
    <x v="811"/>
    <m/>
    <n v="40.32"/>
    <d v="2015-07-06T00:00:00"/>
    <m/>
    <m/>
    <n v="155"/>
    <m/>
    <m/>
    <m/>
    <n v="102"/>
    <m/>
    <m/>
    <m/>
    <m/>
    <m/>
    <m/>
    <m/>
    <m/>
    <m/>
    <m/>
    <m/>
    <m/>
    <m/>
    <n v="7"/>
    <m/>
    <m/>
    <m/>
    <m/>
    <m/>
    <m/>
    <m/>
    <m/>
    <m/>
    <m/>
    <m/>
    <n v="62.64"/>
    <d v="2015-07-15T00:00:00"/>
    <m/>
    <m/>
    <m/>
    <m/>
    <n v="50.382644653320312"/>
    <d v="2015-07-15T00:00:00"/>
    <n v="17.033737182617188"/>
    <d v="2015-07-15T00:00:00"/>
    <n v="15.510999999999999"/>
    <d v="2015-07-15T00:00:00"/>
    <m/>
    <m/>
    <m/>
    <m/>
    <n v="7.4"/>
    <d v="2015-07-06T00:00:00"/>
    <m/>
    <m/>
    <m/>
    <m/>
    <m/>
    <m/>
    <m/>
    <n v="1"/>
    <d v="2015-06-25T00:00:00"/>
    <s v="VALIDE"/>
  </r>
  <r>
    <s v="RAPSO_471"/>
    <s v="RAPSO_Compl_02 (euralis)"/>
    <x v="0"/>
    <x v="2"/>
    <n v="173"/>
    <n v="6"/>
    <n v="6"/>
    <m/>
    <m/>
    <m/>
    <m/>
    <n v="9"/>
    <m/>
    <n v="7.28"/>
    <d v="2015-07-06T00:00:00"/>
    <m/>
    <m/>
    <m/>
    <m/>
    <n v="20.71"/>
    <d v="2015-07-15T00:00:00"/>
    <n v="18.5"/>
    <d v="2015-07-06T00:00:00"/>
    <m/>
    <m/>
    <m/>
    <m/>
    <m/>
    <m/>
    <x v="812"/>
    <m/>
    <n v="40.950000000000003"/>
    <d v="2015-07-06T00:00:00"/>
    <m/>
    <m/>
    <n v="145"/>
    <m/>
    <m/>
    <m/>
    <n v="105"/>
    <m/>
    <m/>
    <m/>
    <m/>
    <m/>
    <m/>
    <m/>
    <m/>
    <m/>
    <m/>
    <m/>
    <m/>
    <m/>
    <n v="7"/>
    <m/>
    <m/>
    <m/>
    <m/>
    <m/>
    <m/>
    <m/>
    <m/>
    <m/>
    <m/>
    <m/>
    <n v="63.735999999999997"/>
    <d v="2015-07-15T00:00:00"/>
    <m/>
    <m/>
    <m/>
    <m/>
    <n v="50.568416595458984"/>
    <d v="2015-07-15T00:00:00"/>
    <n v="17.519355773925781"/>
    <d v="2015-07-15T00:00:00"/>
    <n v="17.792999999999999"/>
    <d v="2015-07-15T00:00:00"/>
    <m/>
    <m/>
    <m/>
    <m/>
    <n v="7.1"/>
    <d v="2015-07-06T00:00:00"/>
    <m/>
    <m/>
    <m/>
    <m/>
    <m/>
    <m/>
    <m/>
    <n v="1"/>
    <d v="2015-06-25T00:00:00"/>
    <s v="VALIDE"/>
  </r>
  <r>
    <s v="RAPSO_294"/>
    <s v="ES-AGATHA"/>
    <x v="0"/>
    <x v="2"/>
    <n v="131"/>
    <n v="4"/>
    <n v="17"/>
    <m/>
    <m/>
    <m/>
    <m/>
    <n v="8"/>
    <m/>
    <n v="7.36"/>
    <d v="2015-07-06T00:00:00"/>
    <m/>
    <m/>
    <m/>
    <m/>
    <n v="21.6"/>
    <d v="2015-07-15T00:00:00"/>
    <n v="18.5"/>
    <d v="2015-07-06T00:00:00"/>
    <m/>
    <m/>
    <m/>
    <m/>
    <m/>
    <m/>
    <x v="813"/>
    <m/>
    <n v="40.658152658152659"/>
    <d v="2015-07-06T00:00:00"/>
    <m/>
    <m/>
    <n v="155"/>
    <m/>
    <m/>
    <m/>
    <n v="100"/>
    <m/>
    <m/>
    <m/>
    <m/>
    <m/>
    <m/>
    <m/>
    <m/>
    <m/>
    <m/>
    <m/>
    <m/>
    <m/>
    <n v="7"/>
    <m/>
    <m/>
    <m/>
    <m/>
    <m/>
    <m/>
    <m/>
    <m/>
    <m/>
    <m/>
    <m/>
    <n v="66.486999999999995"/>
    <d v="2015-07-15T00:00:00"/>
    <m/>
    <m/>
    <m/>
    <m/>
    <n v="52.115337371826172"/>
    <d v="2015-07-15T00:00:00"/>
    <n v="15.502815246582031"/>
    <d v="2015-07-15T00:00:00"/>
    <n v="16.131"/>
    <d v="2015-07-15T00:00:00"/>
    <m/>
    <m/>
    <m/>
    <m/>
    <n v="7"/>
    <d v="2015-07-06T00:00:00"/>
    <m/>
    <m/>
    <m/>
    <m/>
    <m/>
    <m/>
    <m/>
    <n v="1"/>
    <d v="2015-06-25T00:00:00"/>
    <s v="VALIDE"/>
  </r>
  <r>
    <s v="RAPSO_470"/>
    <s v="RAPSO_Compl_01 (euralis)"/>
    <x v="0"/>
    <x v="2"/>
    <n v="172"/>
    <n v="1"/>
    <n v="16"/>
    <m/>
    <m/>
    <m/>
    <m/>
    <n v="8"/>
    <m/>
    <n v="7.44"/>
    <d v="2015-07-06T00:00:00"/>
    <m/>
    <m/>
    <m/>
    <m/>
    <n v="21.87"/>
    <d v="2015-07-15T00:00:00"/>
    <n v="18.5"/>
    <d v="2015-07-06T00:00:00"/>
    <m/>
    <m/>
    <m/>
    <m/>
    <m/>
    <m/>
    <x v="814"/>
    <m/>
    <n v="41.81"/>
    <d v="2015-07-06T00:00:00"/>
    <m/>
    <m/>
    <n v="170"/>
    <m/>
    <m/>
    <m/>
    <n v="104"/>
    <m/>
    <m/>
    <m/>
    <m/>
    <m/>
    <m/>
    <m/>
    <m/>
    <m/>
    <m/>
    <m/>
    <m/>
    <m/>
    <n v="5"/>
    <m/>
    <m/>
    <m/>
    <m/>
    <m/>
    <m/>
    <m/>
    <m/>
    <m/>
    <m/>
    <m/>
    <n v="62.4"/>
    <d v="2015-07-15T00:00:00"/>
    <m/>
    <m/>
    <m/>
    <m/>
    <n v="52.307361602783203"/>
    <d v="2015-07-15T00:00:00"/>
    <n v="16.443939208984375"/>
    <d v="2015-07-15T00:00:00"/>
    <n v="16.635000000000002"/>
    <d v="2015-07-15T00:00:00"/>
    <m/>
    <m/>
    <m/>
    <m/>
    <n v="7.2"/>
    <d v="2015-07-06T00:00:00"/>
    <m/>
    <m/>
    <m/>
    <m/>
    <m/>
    <m/>
    <m/>
    <n v="1"/>
    <d v="2015-06-25T00:00:00"/>
    <s v="VALIDE"/>
  </r>
  <r>
    <s v="RAPSO_318"/>
    <s v="RAGT-04"/>
    <x v="0"/>
    <x v="2"/>
    <n v="155"/>
    <n v="2"/>
    <n v="26"/>
    <m/>
    <m/>
    <m/>
    <m/>
    <n v="9"/>
    <m/>
    <n v="7.72"/>
    <d v="2015-07-06T00:00:00"/>
    <m/>
    <m/>
    <m/>
    <m/>
    <n v="22.26"/>
    <d v="2015-07-15T00:00:00"/>
    <n v="18.5"/>
    <d v="2015-07-06T00:00:00"/>
    <m/>
    <m/>
    <m/>
    <m/>
    <m/>
    <m/>
    <x v="815"/>
    <m/>
    <n v="42.601009801009809"/>
    <d v="2015-07-06T00:00:00"/>
    <m/>
    <m/>
    <n v="145"/>
    <m/>
    <m/>
    <m/>
    <n v="102"/>
    <m/>
    <m/>
    <m/>
    <m/>
    <m/>
    <m/>
    <m/>
    <m/>
    <m/>
    <m/>
    <m/>
    <m/>
    <m/>
    <n v="9"/>
    <m/>
    <m/>
    <m/>
    <m/>
    <m/>
    <m/>
    <m/>
    <m/>
    <m/>
    <m/>
    <m/>
    <n v="64.233000000000004"/>
    <d v="2015-07-15T00:00:00"/>
    <m/>
    <m/>
    <m/>
    <m/>
    <n v="51.246620178222656"/>
    <d v="2015-07-15T00:00:00"/>
    <n v="16.978347778320313"/>
    <d v="2015-07-15T00:00:00"/>
    <n v="16.963999999999999"/>
    <d v="2015-07-15T00:00:00"/>
    <m/>
    <m/>
    <m/>
    <m/>
    <n v="7.1"/>
    <d v="2015-07-06T00:00:00"/>
    <m/>
    <m/>
    <m/>
    <m/>
    <m/>
    <m/>
    <m/>
    <n v="1"/>
    <d v="2015-06-25T00:00:00"/>
    <s v="VALIDE"/>
  </r>
  <r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2"/>
    <x v="4"/>
    <m/>
    <m/>
    <m/>
    <m/>
    <m/>
    <m/>
    <m/>
    <m/>
    <m/>
    <m/>
    <m/>
    <m/>
    <m/>
    <m/>
    <m/>
    <m/>
    <m/>
    <m/>
    <m/>
    <m/>
    <m/>
    <m/>
    <m/>
    <m/>
    <m/>
    <x v="8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1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A3:E10" firstHeaderRow="1" firstDataRow="2" firstDataCol="1"/>
  <pivotFields count="93"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18">
        <item x="0"/>
        <item x="1"/>
        <item x="2"/>
        <item x="3"/>
        <item x="4"/>
        <item x="5"/>
        <item x="6"/>
        <item x="7"/>
        <item x="8"/>
        <item x="9"/>
        <item x="10"/>
        <item x="195"/>
        <item x="11"/>
        <item x="12"/>
        <item x="196"/>
        <item x="13"/>
        <item x="14"/>
        <item x="15"/>
        <item x="16"/>
        <item x="17"/>
        <item x="197"/>
        <item x="18"/>
        <item x="19"/>
        <item x="20"/>
        <item x="21"/>
        <item x="22"/>
        <item x="198"/>
        <item x="199"/>
        <item x="23"/>
        <item x="24"/>
        <item x="25"/>
        <item x="26"/>
        <item x="200"/>
        <item x="201"/>
        <item x="202"/>
        <item x="203"/>
        <item x="204"/>
        <item x="27"/>
        <item x="205"/>
        <item x="28"/>
        <item x="29"/>
        <item x="30"/>
        <item x="31"/>
        <item x="206"/>
        <item x="207"/>
        <item x="208"/>
        <item x="209"/>
        <item x="210"/>
        <item x="32"/>
        <item x="33"/>
        <item x="211"/>
        <item x="212"/>
        <item x="213"/>
        <item x="34"/>
        <item x="35"/>
        <item x="36"/>
        <item x="214"/>
        <item x="215"/>
        <item x="216"/>
        <item x="217"/>
        <item x="218"/>
        <item x="37"/>
        <item x="38"/>
        <item x="219"/>
        <item x="3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40"/>
        <item x="231"/>
        <item x="232"/>
        <item x="233"/>
        <item x="234"/>
        <item x="235"/>
        <item x="236"/>
        <item x="237"/>
        <item x="238"/>
        <item x="41"/>
        <item x="239"/>
        <item x="240"/>
        <item x="241"/>
        <item x="242"/>
        <item x="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43"/>
        <item x="254"/>
        <item x="255"/>
        <item x="44"/>
        <item x="256"/>
        <item x="257"/>
        <item x="258"/>
        <item x="259"/>
        <item x="260"/>
        <item x="45"/>
        <item x="46"/>
        <item x="261"/>
        <item x="262"/>
        <item x="263"/>
        <item x="264"/>
        <item x="47"/>
        <item x="265"/>
        <item x="266"/>
        <item x="267"/>
        <item x="268"/>
        <item x="48"/>
        <item x="269"/>
        <item x="270"/>
        <item x="49"/>
        <item x="271"/>
        <item x="272"/>
        <item x="50"/>
        <item x="273"/>
        <item x="274"/>
        <item x="51"/>
        <item x="275"/>
        <item x="52"/>
        <item x="276"/>
        <item x="277"/>
        <item x="278"/>
        <item x="279"/>
        <item x="280"/>
        <item x="281"/>
        <item x="53"/>
        <item x="282"/>
        <item x="283"/>
        <item x="284"/>
        <item x="285"/>
        <item x="286"/>
        <item x="287"/>
        <item x="288"/>
        <item x="289"/>
        <item x="290"/>
        <item x="291"/>
        <item x="54"/>
        <item x="292"/>
        <item x="55"/>
        <item x="293"/>
        <item x="294"/>
        <item x="295"/>
        <item x="296"/>
        <item x="297"/>
        <item x="298"/>
        <item x="56"/>
        <item x="299"/>
        <item x="300"/>
        <item x="301"/>
        <item x="302"/>
        <item x="303"/>
        <item x="57"/>
        <item x="304"/>
        <item x="305"/>
        <item x="306"/>
        <item x="307"/>
        <item x="308"/>
        <item x="58"/>
        <item x="59"/>
        <item x="309"/>
        <item x="310"/>
        <item x="311"/>
        <item x="312"/>
        <item x="313"/>
        <item x="314"/>
        <item x="60"/>
        <item x="315"/>
        <item x="61"/>
        <item x="316"/>
        <item x="317"/>
        <item x="318"/>
        <item x="62"/>
        <item x="319"/>
        <item x="320"/>
        <item x="321"/>
        <item x="322"/>
        <item x="323"/>
        <item x="63"/>
        <item x="324"/>
        <item x="325"/>
        <item x="326"/>
        <item x="327"/>
        <item x="328"/>
        <item x="64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65"/>
        <item x="340"/>
        <item x="66"/>
        <item x="67"/>
        <item x="341"/>
        <item x="68"/>
        <item x="69"/>
        <item x="342"/>
        <item x="343"/>
        <item x="344"/>
        <item x="345"/>
        <item x="346"/>
        <item x="347"/>
        <item x="348"/>
        <item x="349"/>
        <item x="350"/>
        <item x="70"/>
        <item x="71"/>
        <item x="72"/>
        <item x="351"/>
        <item x="352"/>
        <item x="353"/>
        <item x="73"/>
        <item x="354"/>
        <item x="74"/>
        <item x="355"/>
        <item x="356"/>
        <item x="357"/>
        <item x="75"/>
        <item x="358"/>
        <item x="76"/>
        <item x="359"/>
        <item x="360"/>
        <item x="361"/>
        <item x="77"/>
        <item x="362"/>
        <item x="363"/>
        <item x="364"/>
        <item x="78"/>
        <item x="365"/>
        <item x="366"/>
        <item x="367"/>
        <item x="79"/>
        <item x="368"/>
        <item x="369"/>
        <item x="370"/>
        <item x="371"/>
        <item x="372"/>
        <item x="80"/>
        <item x="373"/>
        <item x="374"/>
        <item x="375"/>
        <item x="376"/>
        <item x="81"/>
        <item x="82"/>
        <item x="377"/>
        <item x="83"/>
        <item x="378"/>
        <item x="379"/>
        <item x="84"/>
        <item x="380"/>
        <item x="85"/>
        <item x="381"/>
        <item x="382"/>
        <item x="383"/>
        <item x="384"/>
        <item x="385"/>
        <item x="86"/>
        <item x="386"/>
        <item x="387"/>
        <item x="388"/>
        <item x="389"/>
        <item x="87"/>
        <item x="390"/>
        <item x="88"/>
        <item x="391"/>
        <item x="392"/>
        <item x="89"/>
        <item x="393"/>
        <item x="90"/>
        <item x="394"/>
        <item x="91"/>
        <item x="395"/>
        <item x="396"/>
        <item x="397"/>
        <item x="92"/>
        <item x="93"/>
        <item x="398"/>
        <item x="399"/>
        <item x="400"/>
        <item x="401"/>
        <item x="402"/>
        <item x="403"/>
        <item x="404"/>
        <item x="405"/>
        <item x="406"/>
        <item x="407"/>
        <item x="94"/>
        <item x="408"/>
        <item x="409"/>
        <item x="410"/>
        <item x="95"/>
        <item x="411"/>
        <item x="412"/>
        <item x="413"/>
        <item x="414"/>
        <item x="415"/>
        <item x="416"/>
        <item x="417"/>
        <item x="418"/>
        <item x="419"/>
        <item x="420"/>
        <item x="96"/>
        <item x="421"/>
        <item x="422"/>
        <item x="97"/>
        <item x="423"/>
        <item x="424"/>
        <item x="425"/>
        <item x="426"/>
        <item x="98"/>
        <item x="99"/>
        <item x="427"/>
        <item x="100"/>
        <item x="428"/>
        <item x="429"/>
        <item x="430"/>
        <item x="431"/>
        <item x="432"/>
        <item x="433"/>
        <item x="434"/>
        <item x="435"/>
        <item x="436"/>
        <item x="101"/>
        <item x="102"/>
        <item x="437"/>
        <item x="103"/>
        <item x="438"/>
        <item x="104"/>
        <item x="105"/>
        <item x="439"/>
        <item x="440"/>
        <item x="441"/>
        <item x="442"/>
        <item x="443"/>
        <item x="444"/>
        <item x="445"/>
        <item x="446"/>
        <item x="447"/>
        <item x="448"/>
        <item x="106"/>
        <item x="449"/>
        <item x="450"/>
        <item x="451"/>
        <item x="107"/>
        <item x="452"/>
        <item x="453"/>
        <item x="108"/>
        <item x="454"/>
        <item x="455"/>
        <item x="456"/>
        <item x="109"/>
        <item x="110"/>
        <item x="457"/>
        <item x="458"/>
        <item x="111"/>
        <item x="459"/>
        <item x="112"/>
        <item x="460"/>
        <item x="461"/>
        <item x="462"/>
        <item x="463"/>
        <item x="464"/>
        <item x="113"/>
        <item x="11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15"/>
        <item x="479"/>
        <item x="116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117"/>
        <item x="495"/>
        <item x="496"/>
        <item x="118"/>
        <item x="497"/>
        <item x="498"/>
        <item x="499"/>
        <item x="500"/>
        <item x="501"/>
        <item x="502"/>
        <item x="119"/>
        <item x="503"/>
        <item x="120"/>
        <item x="121"/>
        <item x="504"/>
        <item x="505"/>
        <item x="122"/>
        <item x="123"/>
        <item x="506"/>
        <item x="507"/>
        <item x="508"/>
        <item x="509"/>
        <item x="510"/>
        <item x="511"/>
        <item x="512"/>
        <item x="124"/>
        <item x="513"/>
        <item x="514"/>
        <item x="515"/>
        <item x="516"/>
        <item x="517"/>
        <item x="518"/>
        <item x="125"/>
        <item x="519"/>
        <item x="520"/>
        <item x="521"/>
        <item x="522"/>
        <item x="126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127"/>
        <item x="534"/>
        <item x="535"/>
        <item x="536"/>
        <item x="537"/>
        <item x="538"/>
        <item x="539"/>
        <item x="540"/>
        <item x="541"/>
        <item x="128"/>
        <item x="542"/>
        <item x="129"/>
        <item x="543"/>
        <item x="544"/>
        <item x="545"/>
        <item x="546"/>
        <item x="130"/>
        <item x="547"/>
        <item x="548"/>
        <item x="131"/>
        <item x="132"/>
        <item x="549"/>
        <item x="550"/>
        <item x="551"/>
        <item x="552"/>
        <item x="553"/>
        <item x="554"/>
        <item x="555"/>
        <item x="556"/>
        <item x="133"/>
        <item x="557"/>
        <item x="134"/>
        <item x="558"/>
        <item x="559"/>
        <item x="135"/>
        <item x="560"/>
        <item x="136"/>
        <item x="561"/>
        <item x="562"/>
        <item x="137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38"/>
        <item x="576"/>
        <item x="139"/>
        <item x="577"/>
        <item x="140"/>
        <item x="578"/>
        <item x="141"/>
        <item x="142"/>
        <item x="579"/>
        <item x="580"/>
        <item x="581"/>
        <item x="582"/>
        <item x="143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144"/>
        <item x="606"/>
        <item x="607"/>
        <item x="608"/>
        <item x="609"/>
        <item x="610"/>
        <item x="611"/>
        <item x="612"/>
        <item x="613"/>
        <item x="145"/>
        <item x="614"/>
        <item x="615"/>
        <item x="616"/>
        <item x="617"/>
        <item x="146"/>
        <item x="618"/>
        <item x="147"/>
        <item x="619"/>
        <item x="620"/>
        <item x="148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149"/>
        <item x="633"/>
        <item x="634"/>
        <item x="150"/>
        <item x="635"/>
        <item x="151"/>
        <item x="636"/>
        <item x="152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153"/>
        <item x="651"/>
        <item x="652"/>
        <item x="154"/>
        <item x="653"/>
        <item x="654"/>
        <item x="155"/>
        <item x="655"/>
        <item x="656"/>
        <item x="156"/>
        <item x="657"/>
        <item x="658"/>
        <item x="659"/>
        <item x="660"/>
        <item x="661"/>
        <item x="662"/>
        <item x="663"/>
        <item x="664"/>
        <item x="665"/>
        <item x="157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158"/>
        <item x="677"/>
        <item x="678"/>
        <item x="159"/>
        <item x="160"/>
        <item x="679"/>
        <item x="680"/>
        <item x="161"/>
        <item x="681"/>
        <item x="682"/>
        <item x="683"/>
        <item x="684"/>
        <item x="685"/>
        <item x="686"/>
        <item x="687"/>
        <item x="162"/>
        <item x="688"/>
        <item x="689"/>
        <item x="163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164"/>
        <item x="165"/>
        <item x="708"/>
        <item x="709"/>
        <item x="710"/>
        <item x="711"/>
        <item x="712"/>
        <item x="713"/>
        <item x="166"/>
        <item x="714"/>
        <item x="715"/>
        <item x="167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168"/>
        <item x="169"/>
        <item x="732"/>
        <item x="733"/>
        <item x="734"/>
        <item x="170"/>
        <item x="735"/>
        <item x="736"/>
        <item x="737"/>
        <item x="738"/>
        <item x="739"/>
        <item x="740"/>
        <item x="741"/>
        <item x="742"/>
        <item x="743"/>
        <item x="171"/>
        <item x="744"/>
        <item x="745"/>
        <item x="172"/>
        <item x="746"/>
        <item x="747"/>
        <item x="173"/>
        <item x="748"/>
        <item x="749"/>
        <item x="750"/>
        <item x="751"/>
        <item x="752"/>
        <item x="753"/>
        <item x="754"/>
        <item x="755"/>
        <item x="756"/>
        <item x="757"/>
        <item x="174"/>
        <item x="758"/>
        <item x="759"/>
        <item x="175"/>
        <item x="760"/>
        <item x="761"/>
        <item x="176"/>
        <item x="762"/>
        <item x="763"/>
        <item x="764"/>
        <item x="765"/>
        <item x="766"/>
        <item x="767"/>
        <item x="768"/>
        <item x="769"/>
        <item x="177"/>
        <item x="770"/>
        <item x="771"/>
        <item x="772"/>
        <item x="773"/>
        <item x="774"/>
        <item x="775"/>
        <item x="776"/>
        <item x="777"/>
        <item x="178"/>
        <item x="778"/>
        <item x="779"/>
        <item x="780"/>
        <item x="179"/>
        <item x="781"/>
        <item x="782"/>
        <item x="783"/>
        <item x="784"/>
        <item x="180"/>
        <item x="785"/>
        <item x="786"/>
        <item x="787"/>
        <item x="181"/>
        <item x="788"/>
        <item x="789"/>
        <item x="790"/>
        <item x="791"/>
        <item x="792"/>
        <item x="182"/>
        <item x="793"/>
        <item x="794"/>
        <item x="795"/>
        <item x="796"/>
        <item x="183"/>
        <item x="797"/>
        <item x="798"/>
        <item x="799"/>
        <item x="800"/>
        <item x="801"/>
        <item x="184"/>
        <item x="185"/>
        <item x="802"/>
        <item x="803"/>
        <item x="804"/>
        <item x="186"/>
        <item x="805"/>
        <item x="806"/>
        <item x="807"/>
        <item x="808"/>
        <item x="809"/>
        <item x="187"/>
        <item x="188"/>
        <item x="810"/>
        <item x="811"/>
        <item x="189"/>
        <item x="190"/>
        <item x="812"/>
        <item x="813"/>
        <item x="814"/>
        <item x="815"/>
        <item x="191"/>
        <item x="192"/>
        <item x="193"/>
        <item x="194"/>
        <item x="8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oyenne de SY_value" fld="2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AES@MAISADOUR.com" TargetMode="External"/><Relationship Id="rId1" Type="http://schemas.openxmlformats.org/officeDocument/2006/relationships/hyperlink" Target="mailto:nathalie.nesi@rennes.inra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95"/>
  <sheetViews>
    <sheetView zoomScale="95" zoomScaleNormal="95" workbookViewId="0">
      <selection sqref="A1:Q80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288" t="s">
        <v>5</v>
      </c>
      <c r="B5" s="288"/>
      <c r="C5" s="288"/>
      <c r="D5" s="288"/>
      <c r="E5" s="288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289" t="s">
        <v>6</v>
      </c>
      <c r="B7" s="290" t="s">
        <v>7</v>
      </c>
      <c r="C7" s="290"/>
      <c r="D7" s="290"/>
      <c r="E7" s="290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289"/>
      <c r="B8" s="291" t="s">
        <v>8</v>
      </c>
      <c r="C8" s="291"/>
      <c r="D8" s="291"/>
      <c r="E8" s="291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289"/>
      <c r="B9" s="292" t="s">
        <v>9</v>
      </c>
      <c r="C9" s="292"/>
      <c r="D9" s="292"/>
      <c r="E9" s="292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293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293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294" t="s">
        <v>29</v>
      </c>
      <c r="B69" s="295" t="s">
        <v>196</v>
      </c>
      <c r="C69" s="87" t="s">
        <v>197</v>
      </c>
      <c r="D69" s="87" t="s">
        <v>198</v>
      </c>
      <c r="E69" s="287" t="s">
        <v>199</v>
      </c>
      <c r="F69" s="287" t="s">
        <v>200</v>
      </c>
      <c r="G69" s="287" t="s">
        <v>201</v>
      </c>
      <c r="H69" s="287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294"/>
      <c r="B70" s="295"/>
      <c r="C70" s="90" t="s">
        <v>204</v>
      </c>
      <c r="D70" s="90" t="s">
        <v>205</v>
      </c>
      <c r="E70" s="287"/>
      <c r="F70" s="287"/>
      <c r="G70" s="287"/>
      <c r="H70" s="287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" right="0" top="0.86614173228346458" bottom="0.86614173228346458" header="0.59055118110236227" footer="0.59055118110236227"/>
  <pageSetup paperSize="9" scale="31" firstPageNumber="0" orientation="landscape" horizontalDpi="300" verticalDpi="300" r:id="rId3"/>
  <headerFooter alignWithMargins="0">
    <oddHeader>&amp;C&amp;"Times New Roman,Normal"&amp;12&amp;A</oddHeader>
    <oddFooter>&amp;C&amp;"Times New Roman,Regular"&amp;12Page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P2"/>
  <sheetViews>
    <sheetView zoomScale="95" zoomScaleNormal="95" workbookViewId="0">
      <selection activeCell="C18" sqref="C18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A2" s="111" t="s">
        <v>7803</v>
      </c>
      <c r="B2" s="111" t="s">
        <v>7804</v>
      </c>
      <c r="C2" s="259">
        <v>41891</v>
      </c>
      <c r="D2" s="259">
        <v>42191</v>
      </c>
      <c r="G2" s="112" t="s">
        <v>8420</v>
      </c>
      <c r="N2" s="112" t="s">
        <v>243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A2" sqref="A2:XFD2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7795</v>
      </c>
      <c r="B2" s="118">
        <v>47.443240000000003</v>
      </c>
      <c r="C2" s="118">
        <v>1.14943</v>
      </c>
      <c r="G2" s="117" t="s">
        <v>7796</v>
      </c>
      <c r="H2" s="123"/>
      <c r="I2" s="123"/>
      <c r="J2" s="118" t="s">
        <v>7805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3"/>
  <sheetViews>
    <sheetView zoomScale="95" zoomScaleNormal="95" workbookViewId="0">
      <selection activeCell="A3" sqref="A3:XFD3"/>
    </sheetView>
  </sheetViews>
  <sheetFormatPr baseColWidth="10" defaultColWidth="10.7109375" defaultRowHeight="12.75"/>
  <cols>
    <col min="1" max="1" width="8.7109375" style="124" customWidth="1"/>
    <col min="2" max="2" width="10.85546875" style="124" customWidth="1"/>
    <col min="3" max="3" width="11.140625" style="124" customWidth="1"/>
    <col min="4" max="4" width="7.42578125" style="112" customWidth="1"/>
    <col min="5" max="5" width="4.5703125" style="118" customWidth="1"/>
    <col min="6" max="6" width="26" style="124" customWidth="1"/>
    <col min="7" max="7" width="23.7109375" style="124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5" t="s">
        <v>101</v>
      </c>
      <c r="F1" s="114" t="s">
        <v>102</v>
      </c>
      <c r="G1" s="114" t="s">
        <v>103</v>
      </c>
      <c r="H1" s="115" t="s">
        <v>104</v>
      </c>
    </row>
    <row r="2" spans="1:8">
      <c r="A2" s="126" t="s">
        <v>113</v>
      </c>
      <c r="B2" s="126" t="s">
        <v>244</v>
      </c>
      <c r="C2" s="126" t="s">
        <v>245</v>
      </c>
      <c r="F2" s="127" t="s">
        <v>246</v>
      </c>
      <c r="G2" s="126" t="s">
        <v>119</v>
      </c>
      <c r="H2" s="128" t="s">
        <v>247</v>
      </c>
    </row>
    <row r="3" spans="1:8">
      <c r="B3" s="124" t="s">
        <v>8416</v>
      </c>
      <c r="C3" s="124" t="s">
        <v>8417</v>
      </c>
      <c r="F3" s="258" t="s">
        <v>8418</v>
      </c>
      <c r="G3" s="124" t="s">
        <v>8419</v>
      </c>
    </row>
  </sheetData>
  <sheetProtection selectLockedCells="1" selectUnlockedCells="1"/>
  <dataValidations count="1">
    <dataValidation type="list" allowBlank="1" showErrorMessage="1" sqref="G2">
      <formula1>InstitutionName</formula1>
      <formula2>0</formula2>
    </dataValidation>
  </dataValidations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  <pageSetUpPr fitToPage="1"/>
  </sheetPr>
  <dimension ref="A1:H44"/>
  <sheetViews>
    <sheetView zoomScale="70" zoomScaleNormal="70" workbookViewId="0">
      <selection activeCell="D13" sqref="D13"/>
    </sheetView>
  </sheetViews>
  <sheetFormatPr baseColWidth="10" defaultColWidth="12.7109375" defaultRowHeight="12.75"/>
  <cols>
    <col min="1" max="1" width="41.42578125" style="124" customWidth="1"/>
    <col min="2" max="2" width="17.7109375" style="124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7.42578125" style="112" customWidth="1"/>
    <col min="7" max="7" width="15.42578125" style="112" customWidth="1"/>
    <col min="8" max="8" width="10.42578125" style="112" customWidth="1"/>
    <col min="9" max="16384" width="12.7109375" style="129"/>
  </cols>
  <sheetData>
    <row r="1" spans="1:8" s="130" customFormat="1">
      <c r="A1" s="163" t="s">
        <v>126</v>
      </c>
      <c r="B1" s="163" t="s">
        <v>127</v>
      </c>
      <c r="C1" s="164" t="s">
        <v>128</v>
      </c>
      <c r="D1" s="165" t="s">
        <v>29</v>
      </c>
      <c r="E1" s="165" t="s">
        <v>129</v>
      </c>
      <c r="F1" s="165" t="s">
        <v>130</v>
      </c>
      <c r="G1" s="166" t="s">
        <v>131</v>
      </c>
      <c r="H1" s="166" t="s">
        <v>74</v>
      </c>
    </row>
    <row r="2" spans="1:8" ht="89.25">
      <c r="A2" s="167" t="s">
        <v>248</v>
      </c>
      <c r="B2" s="167" t="s">
        <v>7806</v>
      </c>
      <c r="C2" s="168" t="s">
        <v>7807</v>
      </c>
      <c r="D2" s="169" t="s">
        <v>7808</v>
      </c>
      <c r="E2" s="169" t="s">
        <v>7809</v>
      </c>
      <c r="F2" s="170" t="s">
        <v>7810</v>
      </c>
      <c r="G2" s="171"/>
      <c r="H2" s="171"/>
    </row>
    <row r="3" spans="1:8" ht="38.25">
      <c r="A3" s="167" t="s">
        <v>248</v>
      </c>
      <c r="B3" s="167" t="s">
        <v>7811</v>
      </c>
      <c r="C3" s="168" t="s">
        <v>7812</v>
      </c>
      <c r="D3" s="169" t="s">
        <v>7813</v>
      </c>
      <c r="E3" s="169" t="s">
        <v>7814</v>
      </c>
      <c r="F3" s="170" t="s">
        <v>7815</v>
      </c>
      <c r="G3" s="171"/>
      <c r="H3" s="171"/>
    </row>
    <row r="4" spans="1:8" ht="38.25">
      <c r="A4" s="167" t="s">
        <v>248</v>
      </c>
      <c r="B4" s="167" t="s">
        <v>7816</v>
      </c>
      <c r="C4" s="168" t="s">
        <v>7817</v>
      </c>
      <c r="D4" s="169" t="s">
        <v>7818</v>
      </c>
      <c r="E4" s="169" t="s">
        <v>250</v>
      </c>
      <c r="F4" s="170" t="s">
        <v>7819</v>
      </c>
      <c r="G4" s="171"/>
      <c r="H4" s="171"/>
    </row>
    <row r="5" spans="1:8" ht="76.5">
      <c r="A5" s="167" t="s">
        <v>248</v>
      </c>
      <c r="B5" s="167" t="s">
        <v>7820</v>
      </c>
      <c r="C5" s="168" t="s">
        <v>7821</v>
      </c>
      <c r="D5" s="169" t="s">
        <v>7822</v>
      </c>
      <c r="E5" s="169" t="s">
        <v>251</v>
      </c>
      <c r="F5" s="170" t="s">
        <v>7823</v>
      </c>
      <c r="G5" s="171"/>
      <c r="H5" s="171"/>
    </row>
    <row r="6" spans="1:8" ht="38.25">
      <c r="A6" s="167" t="s">
        <v>248</v>
      </c>
      <c r="B6" s="167" t="s">
        <v>7824</v>
      </c>
      <c r="C6" s="168" t="s">
        <v>7825</v>
      </c>
      <c r="D6" s="169" t="s">
        <v>7826</v>
      </c>
      <c r="E6" s="169" t="s">
        <v>251</v>
      </c>
      <c r="F6" s="170" t="s">
        <v>7827</v>
      </c>
      <c r="G6" s="171"/>
      <c r="H6" s="171"/>
    </row>
    <row r="7" spans="1:8">
      <c r="A7" s="167" t="s">
        <v>248</v>
      </c>
      <c r="B7" s="167" t="s">
        <v>258</v>
      </c>
      <c r="C7" s="168" t="s">
        <v>7798</v>
      </c>
      <c r="D7" s="169" t="s">
        <v>7828</v>
      </c>
      <c r="E7" s="169" t="s">
        <v>7829</v>
      </c>
      <c r="F7" s="170" t="s">
        <v>7830</v>
      </c>
      <c r="G7" s="171"/>
      <c r="H7" s="171"/>
    </row>
    <row r="8" spans="1:8" ht="38.25">
      <c r="A8" s="167" t="s">
        <v>248</v>
      </c>
      <c r="B8" s="167" t="s">
        <v>7831</v>
      </c>
      <c r="C8" s="168" t="s">
        <v>7832</v>
      </c>
      <c r="D8" s="169" t="s">
        <v>7833</v>
      </c>
      <c r="E8" s="169" t="s">
        <v>249</v>
      </c>
      <c r="F8" s="170" t="s">
        <v>7834</v>
      </c>
      <c r="G8" s="171"/>
      <c r="H8" s="171"/>
    </row>
    <row r="9" spans="1:8" ht="25.5">
      <c r="A9" s="167" t="s">
        <v>248</v>
      </c>
      <c r="B9" s="167" t="s">
        <v>7835</v>
      </c>
      <c r="C9" s="168" t="s">
        <v>7836</v>
      </c>
      <c r="D9" s="169" t="s">
        <v>7837</v>
      </c>
      <c r="E9" s="169" t="s">
        <v>7814</v>
      </c>
      <c r="F9" s="170" t="s">
        <v>7838</v>
      </c>
      <c r="G9" s="171"/>
      <c r="H9" s="171"/>
    </row>
    <row r="10" spans="1:8">
      <c r="A10" s="167" t="s">
        <v>248</v>
      </c>
      <c r="B10" s="167" t="s">
        <v>257</v>
      </c>
      <c r="C10" s="168" t="s">
        <v>7797</v>
      </c>
      <c r="D10" s="169" t="s">
        <v>7839</v>
      </c>
      <c r="E10" s="169" t="s">
        <v>7829</v>
      </c>
      <c r="F10" s="170" t="s">
        <v>7840</v>
      </c>
      <c r="G10" s="171"/>
      <c r="H10" s="171"/>
    </row>
    <row r="11" spans="1:8">
      <c r="A11" s="167" t="s">
        <v>248</v>
      </c>
      <c r="B11" s="167" t="s">
        <v>255</v>
      </c>
      <c r="C11" s="168" t="s">
        <v>7841</v>
      </c>
      <c r="D11" s="169" t="s">
        <v>7842</v>
      </c>
      <c r="E11" s="169" t="s">
        <v>7843</v>
      </c>
      <c r="F11" s="170" t="s">
        <v>7844</v>
      </c>
      <c r="G11" s="171"/>
      <c r="H11" s="171"/>
    </row>
    <row r="12" spans="1:8" ht="25.5">
      <c r="A12" s="167" t="s">
        <v>248</v>
      </c>
      <c r="B12" s="167" t="s">
        <v>252</v>
      </c>
      <c r="C12" s="168" t="s">
        <v>7845</v>
      </c>
      <c r="D12" s="169" t="s">
        <v>7846</v>
      </c>
      <c r="E12" s="169" t="s">
        <v>7829</v>
      </c>
      <c r="F12" s="170" t="s">
        <v>7847</v>
      </c>
      <c r="G12" s="171"/>
      <c r="H12" s="171"/>
    </row>
    <row r="13" spans="1:8" ht="38.25">
      <c r="A13" s="167" t="s">
        <v>248</v>
      </c>
      <c r="B13" s="167" t="s">
        <v>7848</v>
      </c>
      <c r="C13" s="168" t="s">
        <v>7849</v>
      </c>
      <c r="D13" s="169" t="s">
        <v>7850</v>
      </c>
      <c r="E13" s="169" t="s">
        <v>7829</v>
      </c>
      <c r="F13" s="170" t="s">
        <v>7851</v>
      </c>
      <c r="G13" s="171"/>
      <c r="H13" s="171"/>
    </row>
    <row r="14" spans="1:8" ht="51">
      <c r="A14" s="167" t="s">
        <v>248</v>
      </c>
      <c r="B14" s="167" t="s">
        <v>253</v>
      </c>
      <c r="C14" s="168" t="s">
        <v>7852</v>
      </c>
      <c r="D14" s="169" t="s">
        <v>7853</v>
      </c>
      <c r="E14" s="169" t="s">
        <v>254</v>
      </c>
      <c r="F14" s="170" t="s">
        <v>7854</v>
      </c>
      <c r="G14" s="171"/>
      <c r="H14" s="171"/>
    </row>
    <row r="15" spans="1:8" ht="25.5">
      <c r="A15" s="167" t="s">
        <v>248</v>
      </c>
      <c r="B15" s="167" t="s">
        <v>7959</v>
      </c>
      <c r="C15" s="168" t="s">
        <v>7855</v>
      </c>
      <c r="D15" s="169" t="s">
        <v>7856</v>
      </c>
      <c r="E15" s="169" t="s">
        <v>143</v>
      </c>
      <c r="F15" s="170" t="s">
        <v>7857</v>
      </c>
      <c r="G15" s="171"/>
      <c r="H15" s="172"/>
    </row>
    <row r="16" spans="1:8" ht="60">
      <c r="A16" s="167" t="s">
        <v>248</v>
      </c>
      <c r="B16" s="167" t="s">
        <v>7858</v>
      </c>
      <c r="C16" s="168" t="s">
        <v>7859</v>
      </c>
      <c r="D16" s="169" t="s">
        <v>7860</v>
      </c>
      <c r="E16" s="169" t="s">
        <v>7861</v>
      </c>
      <c r="F16" s="170" t="s">
        <v>7862</v>
      </c>
      <c r="G16" s="171"/>
      <c r="H16" s="171"/>
    </row>
    <row r="17" spans="1:8" ht="36">
      <c r="A17" s="167" t="s">
        <v>248</v>
      </c>
      <c r="B17" s="167" t="s">
        <v>7863</v>
      </c>
      <c r="C17" s="168" t="s">
        <v>7864</v>
      </c>
      <c r="D17" s="169" t="s">
        <v>7865</v>
      </c>
      <c r="E17" s="169" t="s">
        <v>7866</v>
      </c>
      <c r="F17" s="170" t="s">
        <v>7862</v>
      </c>
      <c r="G17" s="171"/>
      <c r="H17" s="171"/>
    </row>
    <row r="18" spans="1:8" ht="36">
      <c r="A18" s="174" t="s">
        <v>248</v>
      </c>
      <c r="B18" s="174" t="s">
        <v>7867</v>
      </c>
      <c r="C18" s="175" t="s">
        <v>7868</v>
      </c>
      <c r="D18" s="176" t="s">
        <v>7869</v>
      </c>
      <c r="E18" s="176" t="s">
        <v>7866</v>
      </c>
      <c r="F18" s="177" t="s">
        <v>7862</v>
      </c>
      <c r="G18" s="178"/>
      <c r="H18" s="178"/>
    </row>
    <row r="19" spans="1:8" ht="114.75">
      <c r="A19" s="167" t="s">
        <v>248</v>
      </c>
      <c r="B19" s="167" t="s">
        <v>7870</v>
      </c>
      <c r="C19" s="168" t="s">
        <v>7871</v>
      </c>
      <c r="D19" s="173" t="s">
        <v>7872</v>
      </c>
      <c r="E19" s="169" t="s">
        <v>7866</v>
      </c>
      <c r="F19" s="170" t="s">
        <v>7873</v>
      </c>
      <c r="G19" s="171"/>
      <c r="H19" s="171"/>
    </row>
    <row r="20" spans="1:8" ht="36">
      <c r="A20" s="167" t="s">
        <v>248</v>
      </c>
      <c r="B20" s="167" t="s">
        <v>7874</v>
      </c>
      <c r="C20" s="168" t="s">
        <v>7875</v>
      </c>
      <c r="D20" s="169" t="s">
        <v>7876</v>
      </c>
      <c r="E20" s="169" t="s">
        <v>7866</v>
      </c>
      <c r="F20" s="170" t="s">
        <v>7862</v>
      </c>
      <c r="G20" s="171"/>
      <c r="H20" s="171"/>
    </row>
    <row r="21" spans="1:8" ht="36">
      <c r="A21" s="167" t="s">
        <v>248</v>
      </c>
      <c r="B21" s="167" t="s">
        <v>7877</v>
      </c>
      <c r="C21" s="168" t="s">
        <v>7878</v>
      </c>
      <c r="D21" s="169" t="s">
        <v>7879</v>
      </c>
      <c r="E21" s="169" t="s">
        <v>7866</v>
      </c>
      <c r="F21" s="170" t="s">
        <v>7862</v>
      </c>
      <c r="G21" s="171"/>
      <c r="H21" s="171"/>
    </row>
    <row r="22" spans="1:8" ht="36">
      <c r="A22" s="167" t="s">
        <v>248</v>
      </c>
      <c r="B22" s="167" t="s">
        <v>7880</v>
      </c>
      <c r="C22" s="168" t="s">
        <v>7881</v>
      </c>
      <c r="D22" s="169" t="s">
        <v>7882</v>
      </c>
      <c r="E22" s="169" t="s">
        <v>7866</v>
      </c>
      <c r="F22" s="170" t="s">
        <v>7862</v>
      </c>
      <c r="G22" s="171"/>
      <c r="H22" s="171"/>
    </row>
    <row r="23" spans="1:8" ht="89.25">
      <c r="A23" s="167" t="s">
        <v>248</v>
      </c>
      <c r="B23" s="167" t="s">
        <v>7883</v>
      </c>
      <c r="C23" s="168" t="s">
        <v>7884</v>
      </c>
      <c r="D23" s="169" t="s">
        <v>7885</v>
      </c>
      <c r="E23" s="169" t="s">
        <v>7866</v>
      </c>
      <c r="F23" s="170" t="s">
        <v>7886</v>
      </c>
      <c r="G23" s="171"/>
      <c r="H23" s="172"/>
    </row>
    <row r="24" spans="1:8" ht="36">
      <c r="A24" s="167" t="s">
        <v>248</v>
      </c>
      <c r="B24" s="167" t="s">
        <v>7887</v>
      </c>
      <c r="C24" s="168" t="s">
        <v>7888</v>
      </c>
      <c r="D24" s="169" t="s">
        <v>7889</v>
      </c>
      <c r="E24" s="169" t="s">
        <v>7866</v>
      </c>
      <c r="F24" s="170" t="s">
        <v>7862</v>
      </c>
      <c r="G24" s="171"/>
      <c r="H24" s="172"/>
    </row>
    <row r="25" spans="1:8" ht="89.25">
      <c r="A25" s="167" t="s">
        <v>248</v>
      </c>
      <c r="B25" s="167" t="s">
        <v>7890</v>
      </c>
      <c r="C25" s="168" t="s">
        <v>7891</v>
      </c>
      <c r="D25" s="169" t="s">
        <v>7892</v>
      </c>
      <c r="E25" s="169" t="s">
        <v>7866</v>
      </c>
      <c r="F25" s="170" t="s">
        <v>7893</v>
      </c>
      <c r="G25" s="171"/>
      <c r="H25" s="172"/>
    </row>
    <row r="26" spans="1:8" ht="38.25">
      <c r="A26" s="167" t="s">
        <v>248</v>
      </c>
      <c r="B26" s="167" t="s">
        <v>7894</v>
      </c>
      <c r="C26" s="168" t="s">
        <v>7895</v>
      </c>
      <c r="D26" s="169" t="s">
        <v>7896</v>
      </c>
      <c r="E26" s="169" t="s">
        <v>251</v>
      </c>
      <c r="F26" s="170" t="s">
        <v>7897</v>
      </c>
      <c r="G26" s="171"/>
      <c r="H26" s="172"/>
    </row>
    <row r="27" spans="1:8">
      <c r="A27" s="167" t="s">
        <v>248</v>
      </c>
      <c r="B27" s="167" t="s">
        <v>7898</v>
      </c>
      <c r="C27" s="168" t="s">
        <v>7899</v>
      </c>
      <c r="D27" s="169" t="s">
        <v>7900</v>
      </c>
      <c r="E27" s="169" t="s">
        <v>7901</v>
      </c>
      <c r="F27" s="170" t="s">
        <v>7902</v>
      </c>
      <c r="G27" s="171"/>
      <c r="H27" s="172"/>
    </row>
    <row r="28" spans="1:8">
      <c r="A28" s="167" t="s">
        <v>248</v>
      </c>
      <c r="B28" s="167" t="s">
        <v>7903</v>
      </c>
      <c r="C28" s="168" t="s">
        <v>7904</v>
      </c>
      <c r="D28" s="169" t="s">
        <v>7905</v>
      </c>
      <c r="E28" s="169" t="s">
        <v>7901</v>
      </c>
      <c r="F28" s="170" t="s">
        <v>7902</v>
      </c>
      <c r="G28" s="171"/>
      <c r="H28" s="172"/>
    </row>
    <row r="29" spans="1:8">
      <c r="A29" s="167" t="s">
        <v>248</v>
      </c>
      <c r="B29" s="167" t="s">
        <v>7906</v>
      </c>
      <c r="C29" s="168" t="s">
        <v>7907</v>
      </c>
      <c r="D29" s="169" t="s">
        <v>7908</v>
      </c>
      <c r="E29" s="169" t="s">
        <v>7901</v>
      </c>
      <c r="F29" s="170" t="s">
        <v>7902</v>
      </c>
      <c r="G29" s="171"/>
      <c r="H29" s="172"/>
    </row>
    <row r="30" spans="1:8">
      <c r="A30" s="167" t="s">
        <v>248</v>
      </c>
      <c r="B30" s="167" t="s">
        <v>7909</v>
      </c>
      <c r="C30" s="168" t="s">
        <v>7910</v>
      </c>
      <c r="D30" s="169" t="s">
        <v>7911</v>
      </c>
      <c r="E30" s="169" t="s">
        <v>7901</v>
      </c>
      <c r="F30" s="170" t="s">
        <v>7902</v>
      </c>
      <c r="G30" s="171"/>
      <c r="H30" s="172"/>
    </row>
    <row r="31" spans="1:8">
      <c r="A31" s="167" t="s">
        <v>248</v>
      </c>
      <c r="B31" s="167" t="s">
        <v>7912</v>
      </c>
      <c r="C31" s="168" t="s">
        <v>7913</v>
      </c>
      <c r="D31" s="169" t="s">
        <v>7914</v>
      </c>
      <c r="E31" s="169" t="s">
        <v>7901</v>
      </c>
      <c r="F31" s="170" t="s">
        <v>7902</v>
      </c>
      <c r="G31" s="171"/>
      <c r="H31" s="172"/>
    </row>
    <row r="32" spans="1:8">
      <c r="A32" s="167" t="s">
        <v>248</v>
      </c>
      <c r="B32" s="167" t="s">
        <v>7915</v>
      </c>
      <c r="C32" s="168" t="s">
        <v>7916</v>
      </c>
      <c r="D32" s="169" t="s">
        <v>7917</v>
      </c>
      <c r="E32" s="169" t="s">
        <v>7901</v>
      </c>
      <c r="F32" s="170" t="s">
        <v>7902</v>
      </c>
      <c r="G32" s="171"/>
      <c r="H32" s="172"/>
    </row>
    <row r="33" spans="1:8" ht="24">
      <c r="A33" s="167" t="s">
        <v>248</v>
      </c>
      <c r="B33" s="167" t="s">
        <v>256</v>
      </c>
      <c r="C33" s="168" t="s">
        <v>7918</v>
      </c>
      <c r="D33" s="169" t="s">
        <v>7919</v>
      </c>
      <c r="E33" s="169" t="s">
        <v>7920</v>
      </c>
      <c r="F33" s="170" t="s">
        <v>7902</v>
      </c>
      <c r="G33" s="171"/>
      <c r="H33" s="172"/>
    </row>
    <row r="34" spans="1:8" ht="24">
      <c r="A34" s="167" t="s">
        <v>248</v>
      </c>
      <c r="B34" s="167" t="s">
        <v>7921</v>
      </c>
      <c r="C34" s="168" t="s">
        <v>7922</v>
      </c>
      <c r="D34" s="169" t="s">
        <v>7923</v>
      </c>
      <c r="E34" s="169" t="s">
        <v>7920</v>
      </c>
      <c r="F34" s="170" t="s">
        <v>7902</v>
      </c>
      <c r="G34" s="171"/>
      <c r="H34" s="172"/>
    </row>
    <row r="35" spans="1:8">
      <c r="A35" s="167" t="s">
        <v>248</v>
      </c>
      <c r="B35" s="167" t="s">
        <v>7924</v>
      </c>
      <c r="C35" s="168" t="s">
        <v>7802</v>
      </c>
      <c r="D35" s="169" t="s">
        <v>7925</v>
      </c>
      <c r="E35" s="169" t="s">
        <v>7926</v>
      </c>
      <c r="F35" s="170" t="s">
        <v>7902</v>
      </c>
      <c r="G35" s="171"/>
      <c r="H35" s="171"/>
    </row>
    <row r="36" spans="1:8">
      <c r="A36" s="167" t="s">
        <v>248</v>
      </c>
      <c r="B36" s="167" t="s">
        <v>7927</v>
      </c>
      <c r="C36" s="168" t="s">
        <v>7928</v>
      </c>
      <c r="D36" s="169" t="s">
        <v>7929</v>
      </c>
      <c r="E36" s="169" t="s">
        <v>251</v>
      </c>
      <c r="F36" s="170" t="s">
        <v>7902</v>
      </c>
      <c r="G36" s="171"/>
      <c r="H36" s="171"/>
    </row>
    <row r="37" spans="1:8" ht="24">
      <c r="A37" s="167" t="s">
        <v>248</v>
      </c>
      <c r="B37" s="167" t="s">
        <v>7930</v>
      </c>
      <c r="C37" s="168" t="s">
        <v>7931</v>
      </c>
      <c r="D37" s="169" t="s">
        <v>7932</v>
      </c>
      <c r="E37" s="169" t="s">
        <v>7920</v>
      </c>
      <c r="F37" s="170" t="s">
        <v>7902</v>
      </c>
      <c r="G37" s="171"/>
      <c r="H37" s="171"/>
    </row>
    <row r="38" spans="1:8">
      <c r="A38" s="167" t="s">
        <v>248</v>
      </c>
      <c r="B38" s="167" t="s">
        <v>7933</v>
      </c>
      <c r="C38" s="168" t="s">
        <v>7934</v>
      </c>
      <c r="D38" s="169" t="s">
        <v>7935</v>
      </c>
      <c r="E38" s="169" t="s">
        <v>251</v>
      </c>
      <c r="F38" s="170" t="s">
        <v>7936</v>
      </c>
      <c r="G38" s="171"/>
      <c r="H38" s="171"/>
    </row>
    <row r="39" spans="1:8" ht="63.75">
      <c r="A39" s="167" t="s">
        <v>248</v>
      </c>
      <c r="B39" s="167" t="s">
        <v>7937</v>
      </c>
      <c r="C39" s="168" t="s">
        <v>7938</v>
      </c>
      <c r="D39" s="169" t="s">
        <v>7939</v>
      </c>
      <c r="E39" s="169" t="s">
        <v>251</v>
      </c>
      <c r="F39" s="170" t="s">
        <v>7940</v>
      </c>
      <c r="G39" s="171"/>
      <c r="H39" s="171"/>
    </row>
    <row r="40" spans="1:8" ht="63.75">
      <c r="A40" s="167" t="s">
        <v>248</v>
      </c>
      <c r="B40" s="167" t="s">
        <v>7941</v>
      </c>
      <c r="C40" s="168" t="s">
        <v>7801</v>
      </c>
      <c r="D40" s="169" t="s">
        <v>7942</v>
      </c>
      <c r="E40" s="169" t="s">
        <v>251</v>
      </c>
      <c r="F40" s="170" t="s">
        <v>7943</v>
      </c>
      <c r="G40" s="171"/>
      <c r="H40" s="171"/>
    </row>
    <row r="41" spans="1:8" ht="36">
      <c r="A41" s="167" t="s">
        <v>248</v>
      </c>
      <c r="B41" s="167" t="s">
        <v>7944</v>
      </c>
      <c r="C41" s="168" t="s">
        <v>7945</v>
      </c>
      <c r="D41" s="169" t="s">
        <v>7946</v>
      </c>
      <c r="E41" s="169" t="s">
        <v>7947</v>
      </c>
      <c r="F41" s="170" t="s">
        <v>7948</v>
      </c>
      <c r="G41" s="171"/>
      <c r="H41" s="171"/>
    </row>
    <row r="42" spans="1:8" ht="36">
      <c r="A42" s="167" t="s">
        <v>248</v>
      </c>
      <c r="B42" s="167" t="s">
        <v>7799</v>
      </c>
      <c r="C42" s="168" t="s">
        <v>7800</v>
      </c>
      <c r="D42" s="169" t="s">
        <v>7949</v>
      </c>
      <c r="E42" s="169" t="s">
        <v>7950</v>
      </c>
      <c r="F42" s="170" t="s">
        <v>7948</v>
      </c>
      <c r="G42" s="171"/>
      <c r="H42" s="171"/>
    </row>
    <row r="43" spans="1:8" ht="36">
      <c r="A43" s="167" t="s">
        <v>248</v>
      </c>
      <c r="B43" s="167" t="s">
        <v>7951</v>
      </c>
      <c r="C43" s="168" t="s">
        <v>7952</v>
      </c>
      <c r="D43" s="169" t="s">
        <v>7953</v>
      </c>
      <c r="E43" s="169" t="s">
        <v>7954</v>
      </c>
      <c r="F43" s="170" t="s">
        <v>7948</v>
      </c>
      <c r="G43" s="171"/>
      <c r="H43" s="171"/>
    </row>
    <row r="44" spans="1:8" ht="114.75">
      <c r="A44" s="174" t="s">
        <v>248</v>
      </c>
      <c r="B44" s="174" t="s">
        <v>7955</v>
      </c>
      <c r="C44" s="175" t="s">
        <v>7956</v>
      </c>
      <c r="D44" s="176" t="s">
        <v>7957</v>
      </c>
      <c r="E44" s="176" t="s">
        <v>7814</v>
      </c>
      <c r="F44" s="177" t="s">
        <v>7958</v>
      </c>
      <c r="G44" s="178"/>
      <c r="H44" s="178"/>
    </row>
  </sheetData>
  <sheetProtection selectLockedCells="1" selectUnlockedCells="1"/>
  <printOptions gridLines="1"/>
  <pageMargins left="0.78740157480314965" right="0.78740157480314965" top="1.0629921259842521" bottom="1.0629921259842521" header="0.78740157480314965" footer="0.78740157480314965"/>
  <pageSetup paperSize="9" scale="40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  <pageSetUpPr fitToPage="1"/>
  </sheetPr>
  <dimension ref="A1:L209"/>
  <sheetViews>
    <sheetView zoomScale="95" zoomScaleNormal="95" workbookViewId="0">
      <selection activeCell="B1" sqref="B1"/>
    </sheetView>
  </sheetViews>
  <sheetFormatPr baseColWidth="10" defaultColWidth="12.7109375" defaultRowHeight="12.75"/>
  <cols>
    <col min="1" max="1" width="21.85546875" style="124" customWidth="1"/>
    <col min="2" max="3" width="26" style="124" customWidth="1"/>
    <col min="4" max="4" width="18.5703125" style="131" customWidth="1"/>
    <col min="5" max="5" width="26" style="124" customWidth="1"/>
    <col min="6" max="8" width="12.7109375" style="132"/>
    <col min="9" max="9" width="12.28515625" style="132" bestFit="1" customWidth="1"/>
    <col min="10" max="16384" width="12.7109375" style="132"/>
  </cols>
  <sheetData>
    <row r="1" spans="1:12" s="134" customFormat="1" ht="39" thickBot="1">
      <c r="A1" s="114" t="s">
        <v>146</v>
      </c>
      <c r="B1" s="114" t="s">
        <v>147</v>
      </c>
      <c r="C1" s="114" t="s">
        <v>148</v>
      </c>
      <c r="D1" s="133" t="s">
        <v>149</v>
      </c>
      <c r="E1" s="114" t="s">
        <v>150</v>
      </c>
      <c r="H1" s="198" t="s">
        <v>8331</v>
      </c>
      <c r="I1" s="198" t="s">
        <v>8332</v>
      </c>
      <c r="J1" s="199" t="s">
        <v>8333</v>
      </c>
      <c r="K1" s="199" t="s">
        <v>8334</v>
      </c>
    </row>
    <row r="2" spans="1:12" ht="15">
      <c r="A2" s="135" t="s">
        <v>259</v>
      </c>
      <c r="B2" s="126" t="s">
        <v>7767</v>
      </c>
      <c r="C2" s="126" t="s">
        <v>7767</v>
      </c>
      <c r="D2" s="136"/>
      <c r="E2" s="126" t="s">
        <v>7587</v>
      </c>
      <c r="H2" s="179">
        <v>1</v>
      </c>
      <c r="J2" s="180" t="s">
        <v>7960</v>
      </c>
      <c r="K2" s="181" t="s">
        <v>7767</v>
      </c>
      <c r="L2" s="182" t="s">
        <v>7961</v>
      </c>
    </row>
    <row r="3" spans="1:12" ht="15">
      <c r="A3" s="135" t="s">
        <v>259</v>
      </c>
      <c r="B3" s="124" t="s">
        <v>7768</v>
      </c>
      <c r="C3" s="124" t="s">
        <v>7768</v>
      </c>
      <c r="E3" s="124" t="s">
        <v>7588</v>
      </c>
      <c r="H3" s="183">
        <v>2</v>
      </c>
      <c r="J3" s="184" t="s">
        <v>7962</v>
      </c>
      <c r="K3" s="185" t="s">
        <v>7768</v>
      </c>
      <c r="L3" s="182" t="s">
        <v>7963</v>
      </c>
    </row>
    <row r="4" spans="1:12" ht="15">
      <c r="A4" s="135" t="s">
        <v>259</v>
      </c>
      <c r="B4" s="124" t="s">
        <v>7449</v>
      </c>
      <c r="C4" s="124" t="s">
        <v>7449</v>
      </c>
      <c r="E4" s="124" t="s">
        <v>7589</v>
      </c>
      <c r="H4" s="183">
        <v>3</v>
      </c>
      <c r="J4" s="184" t="s">
        <v>7964</v>
      </c>
      <c r="K4" s="185" t="s">
        <v>7449</v>
      </c>
      <c r="L4" s="182" t="s">
        <v>7965</v>
      </c>
    </row>
    <row r="5" spans="1:12" ht="15">
      <c r="A5" s="135" t="s">
        <v>259</v>
      </c>
      <c r="B5" s="124" t="s">
        <v>7450</v>
      </c>
      <c r="C5" s="124" t="s">
        <v>7450</v>
      </c>
      <c r="E5" s="124" t="s">
        <v>7590</v>
      </c>
      <c r="H5" s="183">
        <v>4</v>
      </c>
      <c r="J5" s="184" t="s">
        <v>7966</v>
      </c>
      <c r="K5" s="185" t="s">
        <v>7450</v>
      </c>
      <c r="L5" s="182" t="s">
        <v>7967</v>
      </c>
    </row>
    <row r="6" spans="1:12" ht="15">
      <c r="A6" s="135" t="s">
        <v>259</v>
      </c>
      <c r="B6" s="124" t="s">
        <v>7769</v>
      </c>
      <c r="C6" s="124" t="s">
        <v>7769</v>
      </c>
      <c r="E6" s="124" t="s">
        <v>7591</v>
      </c>
      <c r="H6" s="183">
        <v>5</v>
      </c>
      <c r="J6" s="184" t="s">
        <v>7968</v>
      </c>
      <c r="K6" s="186" t="s">
        <v>7769</v>
      </c>
      <c r="L6" s="182" t="s">
        <v>7969</v>
      </c>
    </row>
    <row r="7" spans="1:12" ht="15">
      <c r="A7" s="135" t="s">
        <v>259</v>
      </c>
      <c r="B7" s="124" t="s">
        <v>7770</v>
      </c>
      <c r="C7" s="124" t="s">
        <v>7770</v>
      </c>
      <c r="E7" s="124" t="s">
        <v>7592</v>
      </c>
      <c r="H7" s="183">
        <v>6</v>
      </c>
      <c r="J7" s="184" t="s">
        <v>7970</v>
      </c>
      <c r="K7" s="185" t="s">
        <v>7770</v>
      </c>
      <c r="L7" s="182" t="s">
        <v>7971</v>
      </c>
    </row>
    <row r="8" spans="1:12" ht="15">
      <c r="A8" s="135" t="s">
        <v>259</v>
      </c>
      <c r="B8" s="124" t="s">
        <v>7451</v>
      </c>
      <c r="C8" s="124" t="s">
        <v>7451</v>
      </c>
      <c r="E8" s="124" t="s">
        <v>7593</v>
      </c>
      <c r="H8" s="183">
        <v>7</v>
      </c>
      <c r="J8" s="184" t="s">
        <v>7972</v>
      </c>
      <c r="K8" s="185" t="s">
        <v>7451</v>
      </c>
      <c r="L8" s="182" t="s">
        <v>7973</v>
      </c>
    </row>
    <row r="9" spans="1:12" ht="15">
      <c r="A9" s="135" t="s">
        <v>259</v>
      </c>
      <c r="B9" s="124" t="s">
        <v>7452</v>
      </c>
      <c r="C9" s="124" t="s">
        <v>7452</v>
      </c>
      <c r="E9" s="124" t="s">
        <v>7594</v>
      </c>
      <c r="H9" s="183">
        <v>8</v>
      </c>
      <c r="J9" s="184" t="s">
        <v>7974</v>
      </c>
      <c r="K9" s="185" t="s">
        <v>7452</v>
      </c>
      <c r="L9" s="182" t="s">
        <v>7975</v>
      </c>
    </row>
    <row r="10" spans="1:12" ht="15">
      <c r="A10" s="135" t="s">
        <v>259</v>
      </c>
      <c r="B10" s="124" t="s">
        <v>7453</v>
      </c>
      <c r="C10" s="124" t="s">
        <v>7453</v>
      </c>
      <c r="E10" s="124" t="s">
        <v>7595</v>
      </c>
      <c r="H10" s="183">
        <v>9</v>
      </c>
      <c r="J10" s="184" t="s">
        <v>7976</v>
      </c>
      <c r="K10" s="185" t="s">
        <v>7453</v>
      </c>
      <c r="L10" s="182" t="s">
        <v>7977</v>
      </c>
    </row>
    <row r="11" spans="1:12" ht="15">
      <c r="A11" s="135" t="s">
        <v>259</v>
      </c>
      <c r="B11" s="124" t="s">
        <v>7454</v>
      </c>
      <c r="C11" s="124" t="s">
        <v>7454</v>
      </c>
      <c r="E11" s="124" t="s">
        <v>7596</v>
      </c>
      <c r="H11" s="183">
        <v>10</v>
      </c>
      <c r="J11" s="184" t="s">
        <v>7978</v>
      </c>
      <c r="K11" s="185" t="s">
        <v>7454</v>
      </c>
      <c r="L11" s="182" t="s">
        <v>7979</v>
      </c>
    </row>
    <row r="12" spans="1:12" ht="15">
      <c r="A12" s="135" t="s">
        <v>259</v>
      </c>
      <c r="B12" s="124" t="s">
        <v>265</v>
      </c>
      <c r="C12" s="124" t="s">
        <v>265</v>
      </c>
      <c r="E12" s="124" t="s">
        <v>7597</v>
      </c>
      <c r="H12" s="183">
        <v>11</v>
      </c>
      <c r="J12" s="184" t="s">
        <v>7980</v>
      </c>
      <c r="K12" s="185" t="s">
        <v>265</v>
      </c>
      <c r="L12" s="182" t="s">
        <v>7981</v>
      </c>
    </row>
    <row r="13" spans="1:12" ht="15">
      <c r="A13" s="135" t="s">
        <v>259</v>
      </c>
      <c r="B13" s="124" t="s">
        <v>7455</v>
      </c>
      <c r="C13" s="124" t="s">
        <v>7455</v>
      </c>
      <c r="E13" s="124" t="s">
        <v>7598</v>
      </c>
      <c r="H13" s="183">
        <v>12</v>
      </c>
      <c r="J13" s="184" t="s">
        <v>7982</v>
      </c>
      <c r="K13" s="185" t="s">
        <v>7455</v>
      </c>
      <c r="L13" s="182" t="s">
        <v>7983</v>
      </c>
    </row>
    <row r="14" spans="1:12" ht="15">
      <c r="A14" s="135" t="s">
        <v>259</v>
      </c>
      <c r="B14" s="124" t="s">
        <v>7771</v>
      </c>
      <c r="C14" s="124" t="s">
        <v>7771</v>
      </c>
      <c r="E14" s="124" t="s">
        <v>7599</v>
      </c>
      <c r="H14" s="183">
        <v>13</v>
      </c>
      <c r="J14" s="184" t="s">
        <v>7984</v>
      </c>
      <c r="K14" s="185" t="s">
        <v>7771</v>
      </c>
      <c r="L14" s="182" t="s">
        <v>7985</v>
      </c>
    </row>
    <row r="15" spans="1:12" ht="15">
      <c r="A15" s="135" t="s">
        <v>259</v>
      </c>
      <c r="B15" s="124" t="s">
        <v>7456</v>
      </c>
      <c r="C15" s="124" t="s">
        <v>7456</v>
      </c>
      <c r="E15" s="124" t="s">
        <v>7600</v>
      </c>
      <c r="H15" s="183">
        <v>14</v>
      </c>
      <c r="J15" s="184" t="s">
        <v>7986</v>
      </c>
      <c r="K15" s="185" t="s">
        <v>7456</v>
      </c>
      <c r="L15" s="182" t="s">
        <v>7987</v>
      </c>
    </row>
    <row r="16" spans="1:12" ht="15">
      <c r="A16" s="135" t="s">
        <v>259</v>
      </c>
      <c r="B16" s="124" t="s">
        <v>7457</v>
      </c>
      <c r="C16" s="124" t="s">
        <v>7457</v>
      </c>
      <c r="E16" s="124" t="s">
        <v>7601</v>
      </c>
      <c r="H16" s="183">
        <v>15</v>
      </c>
      <c r="J16" s="184" t="s">
        <v>7988</v>
      </c>
      <c r="K16" s="185" t="s">
        <v>7457</v>
      </c>
      <c r="L16" s="182" t="s">
        <v>7989</v>
      </c>
    </row>
    <row r="17" spans="1:12" ht="15">
      <c r="A17" s="135" t="s">
        <v>259</v>
      </c>
      <c r="B17" s="124" t="s">
        <v>7458</v>
      </c>
      <c r="C17" s="124" t="s">
        <v>7458</v>
      </c>
      <c r="E17" s="124" t="s">
        <v>7602</v>
      </c>
      <c r="H17" s="183">
        <v>16</v>
      </c>
      <c r="J17" s="184" t="s">
        <v>7990</v>
      </c>
      <c r="K17" s="185" t="s">
        <v>7458</v>
      </c>
      <c r="L17" s="182" t="s">
        <v>7991</v>
      </c>
    </row>
    <row r="18" spans="1:12" ht="15">
      <c r="A18" s="135" t="s">
        <v>259</v>
      </c>
      <c r="B18" s="124" t="s">
        <v>7772</v>
      </c>
      <c r="C18" s="124" t="s">
        <v>7772</v>
      </c>
      <c r="E18" s="124" t="s">
        <v>7603</v>
      </c>
      <c r="H18" s="183">
        <v>17</v>
      </c>
      <c r="J18" s="184" t="s">
        <v>7992</v>
      </c>
      <c r="K18" s="185" t="s">
        <v>7772</v>
      </c>
      <c r="L18" s="182" t="s">
        <v>7993</v>
      </c>
    </row>
    <row r="19" spans="1:12" ht="15">
      <c r="A19" s="135" t="s">
        <v>259</v>
      </c>
      <c r="B19" s="124" t="s">
        <v>7459</v>
      </c>
      <c r="C19" s="124" t="s">
        <v>7459</v>
      </c>
      <c r="E19" s="124" t="s">
        <v>7604</v>
      </c>
      <c r="H19" s="183">
        <v>18</v>
      </c>
      <c r="J19" s="184" t="s">
        <v>7994</v>
      </c>
      <c r="K19" s="185" t="s">
        <v>7459</v>
      </c>
      <c r="L19" s="182" t="s">
        <v>7995</v>
      </c>
    </row>
    <row r="20" spans="1:12" ht="15">
      <c r="A20" s="135" t="s">
        <v>259</v>
      </c>
      <c r="B20" s="124" t="s">
        <v>7460</v>
      </c>
      <c r="C20" s="124" t="s">
        <v>7460</v>
      </c>
      <c r="E20" s="124" t="s">
        <v>7605</v>
      </c>
      <c r="H20" s="183">
        <v>19</v>
      </c>
      <c r="J20" s="184" t="s">
        <v>7996</v>
      </c>
      <c r="K20" s="185" t="s">
        <v>7460</v>
      </c>
      <c r="L20" s="182" t="s">
        <v>7997</v>
      </c>
    </row>
    <row r="21" spans="1:12" ht="15">
      <c r="A21" s="135" t="s">
        <v>259</v>
      </c>
      <c r="B21" s="124" t="s">
        <v>7461</v>
      </c>
      <c r="C21" s="124" t="s">
        <v>7461</v>
      </c>
      <c r="E21" s="124" t="s">
        <v>7606</v>
      </c>
      <c r="H21" s="183">
        <v>20</v>
      </c>
      <c r="J21" s="184" t="s">
        <v>7998</v>
      </c>
      <c r="K21" s="185" t="s">
        <v>7461</v>
      </c>
      <c r="L21" s="182" t="s">
        <v>7999</v>
      </c>
    </row>
    <row r="22" spans="1:12" ht="15">
      <c r="A22" s="135" t="s">
        <v>259</v>
      </c>
      <c r="B22" s="124" t="s">
        <v>7462</v>
      </c>
      <c r="C22" s="124" t="s">
        <v>7462</v>
      </c>
      <c r="E22" s="124" t="s">
        <v>7607</v>
      </c>
      <c r="H22" s="183">
        <v>21</v>
      </c>
      <c r="J22" s="184" t="s">
        <v>8000</v>
      </c>
      <c r="K22" s="185" t="s">
        <v>7462</v>
      </c>
      <c r="L22" s="182" t="s">
        <v>8001</v>
      </c>
    </row>
    <row r="23" spans="1:12" ht="15">
      <c r="A23" s="135" t="s">
        <v>259</v>
      </c>
      <c r="B23" s="124" t="s">
        <v>7463</v>
      </c>
      <c r="C23" s="124" t="s">
        <v>7463</v>
      </c>
      <c r="E23" s="124" t="s">
        <v>7608</v>
      </c>
      <c r="H23" s="183">
        <v>22</v>
      </c>
      <c r="J23" s="184" t="s">
        <v>8002</v>
      </c>
      <c r="K23" s="185" t="s">
        <v>7463</v>
      </c>
      <c r="L23" s="182" t="s">
        <v>8003</v>
      </c>
    </row>
    <row r="24" spans="1:12" ht="15">
      <c r="A24" s="135" t="s">
        <v>259</v>
      </c>
      <c r="B24" s="124" t="s">
        <v>7464</v>
      </c>
      <c r="C24" s="124" t="s">
        <v>7464</v>
      </c>
      <c r="E24" s="124" t="s">
        <v>7609</v>
      </c>
      <c r="H24" s="183">
        <v>23</v>
      </c>
      <c r="J24" s="184" t="s">
        <v>8004</v>
      </c>
      <c r="K24" s="185" t="s">
        <v>7464</v>
      </c>
      <c r="L24" s="182" t="s">
        <v>8005</v>
      </c>
    </row>
    <row r="25" spans="1:12" ht="15">
      <c r="A25" s="135" t="s">
        <v>259</v>
      </c>
      <c r="B25" s="124" t="s">
        <v>7465</v>
      </c>
      <c r="C25" s="124" t="s">
        <v>7465</v>
      </c>
      <c r="E25" s="124" t="s">
        <v>7610</v>
      </c>
      <c r="H25" s="183">
        <v>24</v>
      </c>
      <c r="J25" s="184" t="s">
        <v>8006</v>
      </c>
      <c r="K25" s="185" t="s">
        <v>7465</v>
      </c>
      <c r="L25" s="182" t="s">
        <v>8007</v>
      </c>
    </row>
    <row r="26" spans="1:12" ht="15">
      <c r="A26" s="135" t="s">
        <v>259</v>
      </c>
      <c r="B26" s="124" t="s">
        <v>7466</v>
      </c>
      <c r="C26" s="124" t="s">
        <v>7466</v>
      </c>
      <c r="E26" s="124" t="s">
        <v>7611</v>
      </c>
      <c r="H26" s="183">
        <v>25</v>
      </c>
      <c r="J26" s="184" t="s">
        <v>8008</v>
      </c>
      <c r="K26" s="185" t="s">
        <v>7466</v>
      </c>
      <c r="L26" s="182" t="s">
        <v>8009</v>
      </c>
    </row>
    <row r="27" spans="1:12" ht="15">
      <c r="A27" s="135" t="s">
        <v>259</v>
      </c>
      <c r="B27" s="124" t="s">
        <v>7467</v>
      </c>
      <c r="C27" s="124" t="s">
        <v>7467</v>
      </c>
      <c r="E27" s="124" t="s">
        <v>7612</v>
      </c>
      <c r="H27" s="183">
        <v>26</v>
      </c>
      <c r="J27" s="184" t="s">
        <v>8010</v>
      </c>
      <c r="K27" s="185" t="s">
        <v>7467</v>
      </c>
      <c r="L27" s="182" t="s">
        <v>8011</v>
      </c>
    </row>
    <row r="28" spans="1:12" ht="15">
      <c r="A28" s="135" t="s">
        <v>259</v>
      </c>
      <c r="B28" s="124" t="s">
        <v>7773</v>
      </c>
      <c r="C28" s="124" t="s">
        <v>7773</v>
      </c>
      <c r="E28" s="124" t="s">
        <v>7613</v>
      </c>
      <c r="H28" s="183">
        <v>27</v>
      </c>
      <c r="J28" s="184" t="s">
        <v>8012</v>
      </c>
      <c r="K28" s="185" t="s">
        <v>7773</v>
      </c>
      <c r="L28" s="182" t="s">
        <v>8013</v>
      </c>
    </row>
    <row r="29" spans="1:12" ht="15">
      <c r="A29" s="135" t="s">
        <v>259</v>
      </c>
      <c r="B29" s="124" t="s">
        <v>7468</v>
      </c>
      <c r="C29" s="124" t="s">
        <v>7468</v>
      </c>
      <c r="E29" s="124" t="s">
        <v>7614</v>
      </c>
      <c r="H29" s="183">
        <v>28</v>
      </c>
      <c r="J29" s="184" t="s">
        <v>8014</v>
      </c>
      <c r="K29" s="185" t="s">
        <v>7468</v>
      </c>
      <c r="L29" s="182" t="s">
        <v>8015</v>
      </c>
    </row>
    <row r="30" spans="1:12" ht="15">
      <c r="A30" s="135" t="s">
        <v>259</v>
      </c>
      <c r="B30" s="124" t="s">
        <v>7469</v>
      </c>
      <c r="C30" s="124" t="s">
        <v>7469</v>
      </c>
      <c r="E30" s="124" t="s">
        <v>7615</v>
      </c>
      <c r="H30" s="183">
        <v>29</v>
      </c>
      <c r="J30" s="184" t="s">
        <v>8016</v>
      </c>
      <c r="K30" s="185" t="s">
        <v>7469</v>
      </c>
      <c r="L30" s="182" t="s">
        <v>8017</v>
      </c>
    </row>
    <row r="31" spans="1:12" ht="15">
      <c r="A31" s="135" t="s">
        <v>259</v>
      </c>
      <c r="B31" s="124" t="s">
        <v>7470</v>
      </c>
      <c r="C31" s="124" t="s">
        <v>7470</v>
      </c>
      <c r="E31" s="124" t="s">
        <v>7616</v>
      </c>
      <c r="H31" s="183">
        <v>30</v>
      </c>
      <c r="J31" s="184" t="s">
        <v>8018</v>
      </c>
      <c r="K31" s="185" t="s">
        <v>7470</v>
      </c>
      <c r="L31" s="182" t="s">
        <v>8019</v>
      </c>
    </row>
    <row r="32" spans="1:12" ht="15">
      <c r="A32" s="135" t="s">
        <v>259</v>
      </c>
      <c r="B32" s="124" t="s">
        <v>7471</v>
      </c>
      <c r="C32" s="124" t="s">
        <v>7471</v>
      </c>
      <c r="E32" s="124" t="s">
        <v>7617</v>
      </c>
      <c r="H32" s="183">
        <v>31</v>
      </c>
      <c r="J32" s="184" t="s">
        <v>8020</v>
      </c>
      <c r="K32" s="185" t="s">
        <v>7471</v>
      </c>
      <c r="L32" s="182" t="s">
        <v>8021</v>
      </c>
    </row>
    <row r="33" spans="1:12" ht="15">
      <c r="A33" s="135" t="s">
        <v>259</v>
      </c>
      <c r="B33" s="124" t="s">
        <v>7472</v>
      </c>
      <c r="C33" s="124" t="s">
        <v>7472</v>
      </c>
      <c r="E33" s="124" t="s">
        <v>7618</v>
      </c>
      <c r="H33" s="183">
        <v>32</v>
      </c>
      <c r="J33" s="184" t="s">
        <v>8022</v>
      </c>
      <c r="K33" s="185" t="s">
        <v>7472</v>
      </c>
      <c r="L33" s="182" t="s">
        <v>8023</v>
      </c>
    </row>
    <row r="34" spans="1:12" ht="15">
      <c r="A34" s="135" t="s">
        <v>259</v>
      </c>
      <c r="B34" s="124" t="s">
        <v>7473</v>
      </c>
      <c r="C34" s="124" t="s">
        <v>7473</v>
      </c>
      <c r="E34" s="124" t="s">
        <v>7619</v>
      </c>
      <c r="H34" s="183">
        <v>33</v>
      </c>
      <c r="J34" s="184" t="s">
        <v>8024</v>
      </c>
      <c r="K34" s="185" t="s">
        <v>7473</v>
      </c>
      <c r="L34" s="182" t="s">
        <v>8025</v>
      </c>
    </row>
    <row r="35" spans="1:12" ht="15">
      <c r="A35" s="135" t="s">
        <v>259</v>
      </c>
      <c r="B35" s="124" t="s">
        <v>7474</v>
      </c>
      <c r="C35" s="124" t="s">
        <v>7474</v>
      </c>
      <c r="E35" s="124" t="s">
        <v>7620</v>
      </c>
      <c r="H35" s="183">
        <v>34</v>
      </c>
      <c r="J35" s="184" t="s">
        <v>8026</v>
      </c>
      <c r="K35" s="185" t="s">
        <v>7474</v>
      </c>
      <c r="L35" s="182" t="s">
        <v>8027</v>
      </c>
    </row>
    <row r="36" spans="1:12" ht="15">
      <c r="A36" s="135" t="s">
        <v>259</v>
      </c>
      <c r="B36" s="124" t="s">
        <v>262</v>
      </c>
      <c r="C36" s="124" t="s">
        <v>262</v>
      </c>
      <c r="E36" s="124" t="s">
        <v>7621</v>
      </c>
      <c r="H36" s="183">
        <v>35</v>
      </c>
      <c r="J36" s="184" t="s">
        <v>8028</v>
      </c>
      <c r="K36" s="185" t="s">
        <v>262</v>
      </c>
      <c r="L36" s="182" t="s">
        <v>8029</v>
      </c>
    </row>
    <row r="37" spans="1:12" ht="15">
      <c r="A37" s="135" t="s">
        <v>259</v>
      </c>
      <c r="B37" s="124" t="s">
        <v>7475</v>
      </c>
      <c r="C37" s="124" t="s">
        <v>7475</v>
      </c>
      <c r="E37" s="124" t="s">
        <v>7622</v>
      </c>
      <c r="H37" s="183">
        <v>36</v>
      </c>
      <c r="J37" s="184" t="s">
        <v>8030</v>
      </c>
      <c r="K37" s="185" t="s">
        <v>7475</v>
      </c>
      <c r="L37" s="182" t="s">
        <v>8031</v>
      </c>
    </row>
    <row r="38" spans="1:12" ht="15">
      <c r="A38" s="135" t="s">
        <v>259</v>
      </c>
      <c r="B38" s="124" t="s">
        <v>7476</v>
      </c>
      <c r="C38" s="124" t="s">
        <v>7476</v>
      </c>
      <c r="E38" s="124" t="s">
        <v>7623</v>
      </c>
      <c r="H38" s="183">
        <v>37</v>
      </c>
      <c r="J38" s="184" t="s">
        <v>8032</v>
      </c>
      <c r="K38" s="185" t="s">
        <v>7476</v>
      </c>
      <c r="L38" s="182" t="s">
        <v>8033</v>
      </c>
    </row>
    <row r="39" spans="1:12" ht="15">
      <c r="A39" s="135" t="s">
        <v>259</v>
      </c>
      <c r="B39" s="124" t="s">
        <v>7477</v>
      </c>
      <c r="C39" s="124" t="s">
        <v>7477</v>
      </c>
      <c r="E39" s="124" t="s">
        <v>7624</v>
      </c>
      <c r="H39" s="183">
        <v>38</v>
      </c>
      <c r="J39" s="184" t="s">
        <v>8034</v>
      </c>
      <c r="K39" s="185" t="s">
        <v>7477</v>
      </c>
      <c r="L39" s="182" t="s">
        <v>8035</v>
      </c>
    </row>
    <row r="40" spans="1:12" ht="15">
      <c r="A40" s="135" t="s">
        <v>259</v>
      </c>
      <c r="B40" s="124" t="s">
        <v>7478</v>
      </c>
      <c r="C40" s="124" t="s">
        <v>7478</v>
      </c>
      <c r="E40" s="124" t="s">
        <v>7625</v>
      </c>
      <c r="H40" s="183">
        <v>39</v>
      </c>
      <c r="J40" s="184" t="s">
        <v>8036</v>
      </c>
      <c r="K40" s="186" t="s">
        <v>7478</v>
      </c>
      <c r="L40" s="182" t="s">
        <v>8037</v>
      </c>
    </row>
    <row r="41" spans="1:12" ht="15">
      <c r="A41" s="135" t="s">
        <v>259</v>
      </c>
      <c r="B41" s="124" t="s">
        <v>7479</v>
      </c>
      <c r="C41" s="124" t="s">
        <v>7479</v>
      </c>
      <c r="E41" s="124" t="s">
        <v>7626</v>
      </c>
      <c r="H41" s="183">
        <v>40</v>
      </c>
      <c r="J41" s="184" t="s">
        <v>8038</v>
      </c>
      <c r="K41" s="185" t="s">
        <v>7479</v>
      </c>
      <c r="L41" s="182" t="s">
        <v>8039</v>
      </c>
    </row>
    <row r="42" spans="1:12" ht="15">
      <c r="A42" s="135" t="s">
        <v>259</v>
      </c>
      <c r="B42" s="124" t="s">
        <v>7480</v>
      </c>
      <c r="C42" s="124" t="s">
        <v>7480</v>
      </c>
      <c r="E42" s="124" t="s">
        <v>7627</v>
      </c>
      <c r="H42" s="183">
        <v>41</v>
      </c>
      <c r="J42" s="184" t="s">
        <v>8040</v>
      </c>
      <c r="K42" s="185" t="s">
        <v>7480</v>
      </c>
      <c r="L42" s="182" t="s">
        <v>8041</v>
      </c>
    </row>
    <row r="43" spans="1:12" ht="15">
      <c r="A43" s="135" t="s">
        <v>259</v>
      </c>
      <c r="B43" s="124" t="s">
        <v>7481</v>
      </c>
      <c r="C43" s="124" t="s">
        <v>7481</v>
      </c>
      <c r="E43" s="124" t="s">
        <v>7628</v>
      </c>
      <c r="H43" s="183">
        <v>42</v>
      </c>
      <c r="J43" s="184" t="s">
        <v>8042</v>
      </c>
      <c r="K43" s="185" t="s">
        <v>7481</v>
      </c>
      <c r="L43" s="182" t="s">
        <v>8043</v>
      </c>
    </row>
    <row r="44" spans="1:12" ht="15">
      <c r="A44" s="135" t="s">
        <v>259</v>
      </c>
      <c r="B44" s="124" t="s">
        <v>7482</v>
      </c>
      <c r="C44" s="124" t="s">
        <v>7482</v>
      </c>
      <c r="E44" s="124" t="s">
        <v>7629</v>
      </c>
      <c r="H44" s="183">
        <v>43</v>
      </c>
      <c r="J44" s="184" t="s">
        <v>8044</v>
      </c>
      <c r="K44" s="185" t="s">
        <v>7482</v>
      </c>
      <c r="L44" s="182" t="s">
        <v>8045</v>
      </c>
    </row>
    <row r="45" spans="1:12" ht="15">
      <c r="A45" s="135" t="s">
        <v>259</v>
      </c>
      <c r="B45" s="124" t="s">
        <v>7483</v>
      </c>
      <c r="C45" s="124" t="s">
        <v>7483</v>
      </c>
      <c r="E45" s="124" t="s">
        <v>7630</v>
      </c>
      <c r="H45" s="183">
        <v>44</v>
      </c>
      <c r="J45" s="184" t="s">
        <v>8046</v>
      </c>
      <c r="K45" s="185" t="s">
        <v>7483</v>
      </c>
      <c r="L45" s="182" t="s">
        <v>8047</v>
      </c>
    </row>
    <row r="46" spans="1:12" ht="15">
      <c r="A46" s="135" t="s">
        <v>259</v>
      </c>
      <c r="B46" s="124" t="s">
        <v>7484</v>
      </c>
      <c r="C46" s="124" t="s">
        <v>7484</v>
      </c>
      <c r="E46" s="124" t="s">
        <v>7631</v>
      </c>
      <c r="H46" s="183">
        <v>45</v>
      </c>
      <c r="J46" s="184" t="s">
        <v>8048</v>
      </c>
      <c r="K46" s="185" t="s">
        <v>7484</v>
      </c>
      <c r="L46" s="182" t="s">
        <v>8049</v>
      </c>
    </row>
    <row r="47" spans="1:12" ht="15">
      <c r="A47" s="135" t="s">
        <v>259</v>
      </c>
      <c r="B47" s="124" t="s">
        <v>7485</v>
      </c>
      <c r="C47" s="124" t="s">
        <v>7485</v>
      </c>
      <c r="E47" s="124" t="s">
        <v>7632</v>
      </c>
      <c r="H47" s="183">
        <v>46</v>
      </c>
      <c r="J47" s="184" t="s">
        <v>8050</v>
      </c>
      <c r="K47" s="186" t="s">
        <v>7485</v>
      </c>
      <c r="L47" s="182" t="s">
        <v>8051</v>
      </c>
    </row>
    <row r="48" spans="1:12" ht="15">
      <c r="A48" s="135" t="s">
        <v>259</v>
      </c>
      <c r="B48" s="124" t="s">
        <v>7486</v>
      </c>
      <c r="C48" s="124" t="s">
        <v>7486</v>
      </c>
      <c r="E48" s="124" t="s">
        <v>7633</v>
      </c>
      <c r="H48" s="183">
        <v>47</v>
      </c>
      <c r="J48" s="184" t="s">
        <v>8052</v>
      </c>
      <c r="K48" s="185" t="s">
        <v>7486</v>
      </c>
      <c r="L48" s="182" t="s">
        <v>8053</v>
      </c>
    </row>
    <row r="49" spans="1:12" ht="15">
      <c r="A49" s="135" t="s">
        <v>259</v>
      </c>
      <c r="B49" s="124" t="s">
        <v>7774</v>
      </c>
      <c r="C49" s="124" t="s">
        <v>7774</v>
      </c>
      <c r="E49" s="124" t="s">
        <v>7634</v>
      </c>
      <c r="H49" s="183">
        <v>48</v>
      </c>
      <c r="J49" s="184" t="s">
        <v>8054</v>
      </c>
      <c r="K49" s="185" t="s">
        <v>7774</v>
      </c>
      <c r="L49" s="182" t="s">
        <v>8055</v>
      </c>
    </row>
    <row r="50" spans="1:12" ht="15">
      <c r="A50" s="135" t="s">
        <v>259</v>
      </c>
      <c r="B50" s="124" t="s">
        <v>7487</v>
      </c>
      <c r="C50" s="124" t="s">
        <v>7487</v>
      </c>
      <c r="E50" s="124" t="s">
        <v>7635</v>
      </c>
      <c r="H50" s="183">
        <v>49</v>
      </c>
      <c r="J50" s="184" t="s">
        <v>8056</v>
      </c>
      <c r="K50" s="185" t="s">
        <v>7487</v>
      </c>
      <c r="L50" s="182" t="s">
        <v>8057</v>
      </c>
    </row>
    <row r="51" spans="1:12" ht="15">
      <c r="A51" s="135" t="s">
        <v>259</v>
      </c>
      <c r="B51" s="124" t="s">
        <v>7488</v>
      </c>
      <c r="C51" s="124" t="s">
        <v>7488</v>
      </c>
      <c r="E51" s="124" t="s">
        <v>7636</v>
      </c>
      <c r="H51" s="183">
        <v>50</v>
      </c>
      <c r="J51" s="184" t="s">
        <v>8058</v>
      </c>
      <c r="K51" s="186" t="s">
        <v>7488</v>
      </c>
      <c r="L51" s="182" t="s">
        <v>8059</v>
      </c>
    </row>
    <row r="52" spans="1:12" ht="15">
      <c r="A52" s="135" t="s">
        <v>259</v>
      </c>
      <c r="B52" s="124" t="s">
        <v>7489</v>
      </c>
      <c r="C52" s="124" t="s">
        <v>7489</v>
      </c>
      <c r="E52" s="124" t="s">
        <v>7637</v>
      </c>
      <c r="H52" s="183">
        <v>51</v>
      </c>
      <c r="J52" s="184" t="s">
        <v>8060</v>
      </c>
      <c r="K52" s="186" t="s">
        <v>7489</v>
      </c>
      <c r="L52" s="182" t="s">
        <v>8061</v>
      </c>
    </row>
    <row r="53" spans="1:12" ht="15">
      <c r="A53" s="135" t="s">
        <v>259</v>
      </c>
      <c r="B53" s="124" t="s">
        <v>7490</v>
      </c>
      <c r="C53" s="124" t="s">
        <v>7490</v>
      </c>
      <c r="E53" s="124" t="s">
        <v>7638</v>
      </c>
      <c r="H53" s="183">
        <v>52</v>
      </c>
      <c r="J53" s="184" t="s">
        <v>8062</v>
      </c>
      <c r="K53" s="186" t="s">
        <v>7490</v>
      </c>
      <c r="L53" s="182" t="s">
        <v>8063</v>
      </c>
    </row>
    <row r="54" spans="1:12" ht="15">
      <c r="A54" s="135" t="s">
        <v>259</v>
      </c>
      <c r="B54" s="124" t="s">
        <v>7491</v>
      </c>
      <c r="C54" s="124" t="s">
        <v>7491</v>
      </c>
      <c r="E54" s="124" t="s">
        <v>7639</v>
      </c>
      <c r="H54" s="183">
        <v>53</v>
      </c>
      <c r="J54" s="184" t="s">
        <v>8064</v>
      </c>
      <c r="K54" s="185" t="s">
        <v>7491</v>
      </c>
      <c r="L54" s="182" t="s">
        <v>8065</v>
      </c>
    </row>
    <row r="55" spans="1:12" ht="15">
      <c r="A55" s="135" t="s">
        <v>259</v>
      </c>
      <c r="B55" s="124" t="s">
        <v>7492</v>
      </c>
      <c r="C55" s="124" t="s">
        <v>7492</v>
      </c>
      <c r="E55" s="124" t="s">
        <v>7640</v>
      </c>
      <c r="H55" s="183">
        <v>54</v>
      </c>
      <c r="J55" s="184" t="s">
        <v>8066</v>
      </c>
      <c r="K55" s="185" t="s">
        <v>7492</v>
      </c>
      <c r="L55" s="182" t="s">
        <v>8067</v>
      </c>
    </row>
    <row r="56" spans="1:12" ht="15">
      <c r="A56" s="135" t="s">
        <v>259</v>
      </c>
      <c r="B56" s="124" t="s">
        <v>7493</v>
      </c>
      <c r="C56" s="124" t="s">
        <v>7493</v>
      </c>
      <c r="E56" s="124" t="s">
        <v>7641</v>
      </c>
      <c r="H56" s="183">
        <v>55</v>
      </c>
      <c r="J56" s="184" t="s">
        <v>8068</v>
      </c>
      <c r="K56" s="185" t="s">
        <v>7493</v>
      </c>
      <c r="L56" s="182" t="s">
        <v>8069</v>
      </c>
    </row>
    <row r="57" spans="1:12" ht="15">
      <c r="A57" s="135" t="s">
        <v>259</v>
      </c>
      <c r="B57" s="124" t="s">
        <v>7494</v>
      </c>
      <c r="C57" s="124" t="s">
        <v>7494</v>
      </c>
      <c r="E57" s="124" t="s">
        <v>7642</v>
      </c>
      <c r="H57" s="183">
        <v>56</v>
      </c>
      <c r="J57" s="184" t="s">
        <v>8070</v>
      </c>
      <c r="K57" s="185" t="s">
        <v>7494</v>
      </c>
      <c r="L57" s="182" t="s">
        <v>8071</v>
      </c>
    </row>
    <row r="58" spans="1:12" ht="15">
      <c r="A58" s="135" t="s">
        <v>259</v>
      </c>
      <c r="B58" s="124" t="s">
        <v>7495</v>
      </c>
      <c r="C58" s="124" t="s">
        <v>7495</v>
      </c>
      <c r="E58" s="124" t="s">
        <v>7643</v>
      </c>
      <c r="H58" s="183">
        <v>57</v>
      </c>
      <c r="J58" s="184" t="s">
        <v>8072</v>
      </c>
      <c r="K58" s="185" t="s">
        <v>7495</v>
      </c>
      <c r="L58" s="182" t="s">
        <v>8073</v>
      </c>
    </row>
    <row r="59" spans="1:12" ht="15">
      <c r="A59" s="135" t="s">
        <v>259</v>
      </c>
      <c r="B59" s="124" t="s">
        <v>7496</v>
      </c>
      <c r="C59" s="124" t="s">
        <v>7496</v>
      </c>
      <c r="E59" s="124" t="s">
        <v>7644</v>
      </c>
      <c r="H59" s="183">
        <v>58</v>
      </c>
      <c r="J59" s="184" t="s">
        <v>8074</v>
      </c>
      <c r="K59" s="186" t="s">
        <v>7496</v>
      </c>
      <c r="L59" s="182" t="s">
        <v>8075</v>
      </c>
    </row>
    <row r="60" spans="1:12" ht="15">
      <c r="A60" s="135" t="s">
        <v>259</v>
      </c>
      <c r="B60" s="124" t="s">
        <v>260</v>
      </c>
      <c r="C60" s="124" t="s">
        <v>260</v>
      </c>
      <c r="E60" s="124" t="s">
        <v>7645</v>
      </c>
      <c r="H60" s="183">
        <v>59</v>
      </c>
      <c r="J60" s="184" t="s">
        <v>8076</v>
      </c>
      <c r="K60" s="185" t="s">
        <v>260</v>
      </c>
      <c r="L60" s="182" t="s">
        <v>8077</v>
      </c>
    </row>
    <row r="61" spans="1:12" ht="15">
      <c r="A61" s="135" t="s">
        <v>259</v>
      </c>
      <c r="B61" s="124" t="s">
        <v>263</v>
      </c>
      <c r="C61" s="124" t="s">
        <v>263</v>
      </c>
      <c r="E61" s="124" t="s">
        <v>7646</v>
      </c>
      <c r="H61" s="183">
        <v>60</v>
      </c>
      <c r="J61" s="184" t="s">
        <v>8078</v>
      </c>
      <c r="K61" s="185" t="s">
        <v>263</v>
      </c>
      <c r="L61" s="182" t="s">
        <v>8079</v>
      </c>
    </row>
    <row r="62" spans="1:12" ht="15">
      <c r="A62" s="135" t="s">
        <v>259</v>
      </c>
      <c r="B62" s="124" t="s">
        <v>7497</v>
      </c>
      <c r="C62" s="124" t="s">
        <v>7497</v>
      </c>
      <c r="E62" s="124" t="s">
        <v>7647</v>
      </c>
      <c r="H62" s="183">
        <v>61</v>
      </c>
      <c r="J62" s="184" t="s">
        <v>8080</v>
      </c>
      <c r="K62" s="186" t="s">
        <v>7497</v>
      </c>
      <c r="L62" s="182" t="s">
        <v>8081</v>
      </c>
    </row>
    <row r="63" spans="1:12" ht="15">
      <c r="A63" s="135" t="s">
        <v>259</v>
      </c>
      <c r="B63" s="124" t="s">
        <v>7498</v>
      </c>
      <c r="C63" s="124" t="s">
        <v>7498</v>
      </c>
      <c r="E63" s="124" t="s">
        <v>7648</v>
      </c>
      <c r="H63" s="183">
        <v>62</v>
      </c>
      <c r="J63" s="184" t="s">
        <v>8082</v>
      </c>
      <c r="K63" s="185" t="s">
        <v>7498</v>
      </c>
      <c r="L63" s="182" t="s">
        <v>8083</v>
      </c>
    </row>
    <row r="64" spans="1:12" ht="15">
      <c r="A64" s="135" t="s">
        <v>259</v>
      </c>
      <c r="B64" s="124" t="s">
        <v>7499</v>
      </c>
      <c r="C64" s="124" t="s">
        <v>7499</v>
      </c>
      <c r="E64" s="124" t="s">
        <v>7649</v>
      </c>
      <c r="H64" s="183">
        <v>63</v>
      </c>
      <c r="J64" s="184" t="s">
        <v>8084</v>
      </c>
      <c r="K64" s="185" t="s">
        <v>7499</v>
      </c>
      <c r="L64" s="182" t="s">
        <v>8085</v>
      </c>
    </row>
    <row r="65" spans="1:12" ht="15">
      <c r="A65" s="135" t="s">
        <v>259</v>
      </c>
      <c r="B65" s="124" t="s">
        <v>7500</v>
      </c>
      <c r="C65" s="124" t="s">
        <v>7500</v>
      </c>
      <c r="E65" s="124" t="s">
        <v>7650</v>
      </c>
      <c r="H65" s="183">
        <v>64</v>
      </c>
      <c r="J65" s="184" t="s">
        <v>8086</v>
      </c>
      <c r="K65" s="185" t="s">
        <v>7500</v>
      </c>
      <c r="L65" s="182" t="s">
        <v>8087</v>
      </c>
    </row>
    <row r="66" spans="1:12" ht="15">
      <c r="A66" s="135" t="s">
        <v>259</v>
      </c>
      <c r="B66" s="124" t="s">
        <v>7501</v>
      </c>
      <c r="C66" s="124" t="s">
        <v>7501</v>
      </c>
      <c r="E66" s="124" t="s">
        <v>7651</v>
      </c>
      <c r="H66" s="183">
        <v>65</v>
      </c>
      <c r="J66" s="184" t="s">
        <v>8088</v>
      </c>
      <c r="K66" s="185" t="s">
        <v>7501</v>
      </c>
      <c r="L66" s="182" t="s">
        <v>8089</v>
      </c>
    </row>
    <row r="67" spans="1:12" ht="15">
      <c r="A67" s="135" t="s">
        <v>259</v>
      </c>
      <c r="B67" s="124" t="s">
        <v>7502</v>
      </c>
      <c r="C67" s="124" t="s">
        <v>7502</v>
      </c>
      <c r="E67" s="124" t="s">
        <v>7652</v>
      </c>
      <c r="H67" s="183">
        <v>66</v>
      </c>
      <c r="J67" s="184" t="s">
        <v>8090</v>
      </c>
      <c r="K67" s="185" t="s">
        <v>7502</v>
      </c>
      <c r="L67" s="182" t="s">
        <v>8091</v>
      </c>
    </row>
    <row r="68" spans="1:12" ht="15">
      <c r="A68" s="135" t="s">
        <v>259</v>
      </c>
      <c r="B68" s="124" t="s">
        <v>7503</v>
      </c>
      <c r="C68" s="124" t="s">
        <v>7503</v>
      </c>
      <c r="E68" s="124" t="s">
        <v>7653</v>
      </c>
      <c r="H68" s="183">
        <v>67</v>
      </c>
      <c r="J68" s="184" t="s">
        <v>8092</v>
      </c>
      <c r="K68" s="186" t="s">
        <v>7503</v>
      </c>
      <c r="L68" s="182" t="s">
        <v>8093</v>
      </c>
    </row>
    <row r="69" spans="1:12" ht="15">
      <c r="A69" s="135" t="s">
        <v>259</v>
      </c>
      <c r="B69" s="124" t="s">
        <v>264</v>
      </c>
      <c r="C69" s="124" t="s">
        <v>264</v>
      </c>
      <c r="E69" s="124" t="s">
        <v>7654</v>
      </c>
      <c r="H69" s="183">
        <v>68</v>
      </c>
      <c r="J69" s="184" t="s">
        <v>8094</v>
      </c>
      <c r="K69" s="185" t="s">
        <v>264</v>
      </c>
      <c r="L69" s="182" t="s">
        <v>8095</v>
      </c>
    </row>
    <row r="70" spans="1:12" ht="15">
      <c r="A70" s="135" t="s">
        <v>259</v>
      </c>
      <c r="B70" s="124" t="s">
        <v>7504</v>
      </c>
      <c r="C70" s="124" t="s">
        <v>7504</v>
      </c>
      <c r="E70" s="124" t="s">
        <v>7655</v>
      </c>
      <c r="H70" s="183">
        <v>69</v>
      </c>
      <c r="J70" s="184" t="s">
        <v>8096</v>
      </c>
      <c r="K70" s="185" t="s">
        <v>7504</v>
      </c>
      <c r="L70" s="182" t="s">
        <v>8097</v>
      </c>
    </row>
    <row r="71" spans="1:12" ht="15">
      <c r="A71" s="135" t="s">
        <v>259</v>
      </c>
      <c r="B71" s="124" t="s">
        <v>7505</v>
      </c>
      <c r="C71" s="124" t="s">
        <v>7505</v>
      </c>
      <c r="E71" s="124" t="s">
        <v>7656</v>
      </c>
      <c r="H71" s="183">
        <v>70</v>
      </c>
      <c r="J71" s="184" t="s">
        <v>8098</v>
      </c>
      <c r="K71" s="185" t="s">
        <v>7505</v>
      </c>
      <c r="L71" s="182" t="s">
        <v>8099</v>
      </c>
    </row>
    <row r="72" spans="1:12" ht="15">
      <c r="A72" s="135" t="s">
        <v>259</v>
      </c>
      <c r="B72" s="124" t="s">
        <v>7506</v>
      </c>
      <c r="C72" s="124" t="s">
        <v>7506</v>
      </c>
      <c r="E72" s="124" t="s">
        <v>7657</v>
      </c>
      <c r="H72" s="183">
        <v>71</v>
      </c>
      <c r="J72" s="184" t="s">
        <v>8100</v>
      </c>
      <c r="K72" s="185" t="s">
        <v>7506</v>
      </c>
      <c r="L72" s="182" t="s">
        <v>8101</v>
      </c>
    </row>
    <row r="73" spans="1:12" ht="15">
      <c r="A73" s="135" t="s">
        <v>259</v>
      </c>
      <c r="B73" s="124" t="s">
        <v>7507</v>
      </c>
      <c r="C73" s="124" t="s">
        <v>7507</v>
      </c>
      <c r="E73" s="124" t="s">
        <v>7658</v>
      </c>
      <c r="H73" s="183">
        <v>72</v>
      </c>
      <c r="J73" s="184" t="s">
        <v>8102</v>
      </c>
      <c r="K73" s="185" t="s">
        <v>7507</v>
      </c>
      <c r="L73" s="182" t="s">
        <v>8103</v>
      </c>
    </row>
    <row r="74" spans="1:12" ht="15">
      <c r="A74" s="135" t="s">
        <v>259</v>
      </c>
      <c r="B74" s="124" t="s">
        <v>7508</v>
      </c>
      <c r="C74" s="124" t="s">
        <v>7508</v>
      </c>
      <c r="E74" s="124" t="s">
        <v>7659</v>
      </c>
      <c r="H74" s="183">
        <v>73</v>
      </c>
      <c r="J74" s="184" t="s">
        <v>8104</v>
      </c>
      <c r="K74" s="185" t="s">
        <v>7508</v>
      </c>
      <c r="L74" s="182" t="s">
        <v>8105</v>
      </c>
    </row>
    <row r="75" spans="1:12" ht="15">
      <c r="A75" s="135" t="s">
        <v>259</v>
      </c>
      <c r="B75" s="124" t="s">
        <v>7509</v>
      </c>
      <c r="C75" s="124" t="s">
        <v>7509</v>
      </c>
      <c r="E75" s="124" t="s">
        <v>7660</v>
      </c>
      <c r="H75" s="183">
        <v>74</v>
      </c>
      <c r="J75" s="184" t="s">
        <v>8106</v>
      </c>
      <c r="K75" s="185" t="s">
        <v>7509</v>
      </c>
      <c r="L75" s="182" t="s">
        <v>8107</v>
      </c>
    </row>
    <row r="76" spans="1:12" ht="15">
      <c r="A76" s="135" t="s">
        <v>259</v>
      </c>
      <c r="B76" s="124" t="s">
        <v>7510</v>
      </c>
      <c r="C76" s="124" t="s">
        <v>7510</v>
      </c>
      <c r="E76" s="124" t="s">
        <v>7661</v>
      </c>
      <c r="H76" s="183">
        <v>75</v>
      </c>
      <c r="J76" s="184" t="s">
        <v>8108</v>
      </c>
      <c r="K76" s="185" t="s">
        <v>7510</v>
      </c>
      <c r="L76" s="182" t="s">
        <v>8109</v>
      </c>
    </row>
    <row r="77" spans="1:12" ht="15">
      <c r="A77" s="135" t="s">
        <v>259</v>
      </c>
      <c r="B77" s="124" t="s">
        <v>7511</v>
      </c>
      <c r="C77" s="124" t="s">
        <v>7511</v>
      </c>
      <c r="E77" s="124" t="s">
        <v>7662</v>
      </c>
      <c r="H77" s="183">
        <v>76</v>
      </c>
      <c r="J77" s="184" t="s">
        <v>8110</v>
      </c>
      <c r="K77" s="186" t="s">
        <v>7511</v>
      </c>
      <c r="L77" s="182" t="s">
        <v>8111</v>
      </c>
    </row>
    <row r="78" spans="1:12" ht="15">
      <c r="A78" s="135" t="s">
        <v>259</v>
      </c>
      <c r="B78" s="124" t="s">
        <v>7512</v>
      </c>
      <c r="C78" s="124" t="s">
        <v>7512</v>
      </c>
      <c r="E78" s="124" t="s">
        <v>7663</v>
      </c>
      <c r="H78" s="183">
        <v>77</v>
      </c>
      <c r="J78" s="184" t="s">
        <v>8112</v>
      </c>
      <c r="K78" s="185" t="s">
        <v>7512</v>
      </c>
      <c r="L78" s="182" t="s">
        <v>8113</v>
      </c>
    </row>
    <row r="79" spans="1:12" ht="15">
      <c r="A79" s="135" t="s">
        <v>259</v>
      </c>
      <c r="B79" s="124" t="s">
        <v>7513</v>
      </c>
      <c r="C79" s="124" t="s">
        <v>7513</v>
      </c>
      <c r="E79" s="124" t="s">
        <v>7664</v>
      </c>
      <c r="H79" s="183">
        <v>78</v>
      </c>
      <c r="J79" s="184" t="s">
        <v>8114</v>
      </c>
      <c r="K79" s="185" t="s">
        <v>7513</v>
      </c>
      <c r="L79" s="182" t="s">
        <v>8115</v>
      </c>
    </row>
    <row r="80" spans="1:12" ht="15">
      <c r="A80" s="135" t="s">
        <v>259</v>
      </c>
      <c r="B80" s="124" t="s">
        <v>7514</v>
      </c>
      <c r="C80" s="124" t="s">
        <v>7514</v>
      </c>
      <c r="E80" s="124" t="s">
        <v>7665</v>
      </c>
      <c r="H80" s="183">
        <v>79</v>
      </c>
      <c r="J80" s="184" t="s">
        <v>8116</v>
      </c>
      <c r="K80" s="185" t="s">
        <v>7514</v>
      </c>
      <c r="L80" s="182" t="s">
        <v>8117</v>
      </c>
    </row>
    <row r="81" spans="1:12" ht="15">
      <c r="A81" s="135" t="s">
        <v>259</v>
      </c>
      <c r="B81" s="124" t="s">
        <v>7515</v>
      </c>
      <c r="C81" s="124" t="s">
        <v>7515</v>
      </c>
      <c r="E81" s="124" t="s">
        <v>7666</v>
      </c>
      <c r="H81" s="183">
        <v>80</v>
      </c>
      <c r="J81" s="184" t="s">
        <v>8118</v>
      </c>
      <c r="K81" s="185" t="s">
        <v>7515</v>
      </c>
      <c r="L81" s="182" t="s">
        <v>8119</v>
      </c>
    </row>
    <row r="82" spans="1:12" ht="15">
      <c r="A82" s="135" t="s">
        <v>259</v>
      </c>
      <c r="B82" s="124" t="s">
        <v>7516</v>
      </c>
      <c r="C82" s="124" t="s">
        <v>7516</v>
      </c>
      <c r="E82" s="124" t="s">
        <v>7667</v>
      </c>
      <c r="H82" s="183">
        <v>81</v>
      </c>
      <c r="J82" s="184" t="s">
        <v>8120</v>
      </c>
      <c r="K82" s="185" t="s">
        <v>7516</v>
      </c>
      <c r="L82" s="182" t="s">
        <v>8121</v>
      </c>
    </row>
    <row r="83" spans="1:12" ht="15">
      <c r="A83" s="135" t="s">
        <v>259</v>
      </c>
      <c r="B83" s="124" t="s">
        <v>7517</v>
      </c>
      <c r="C83" s="124" t="s">
        <v>7517</v>
      </c>
      <c r="E83" s="124" t="s">
        <v>7668</v>
      </c>
      <c r="H83" s="183">
        <v>82</v>
      </c>
      <c r="J83" s="184" t="s">
        <v>8122</v>
      </c>
      <c r="K83" s="185" t="s">
        <v>7517</v>
      </c>
      <c r="L83" s="182" t="s">
        <v>8123</v>
      </c>
    </row>
    <row r="84" spans="1:12" ht="15">
      <c r="A84" s="135" t="s">
        <v>259</v>
      </c>
      <c r="B84" s="124" t="s">
        <v>7518</v>
      </c>
      <c r="C84" s="124" t="s">
        <v>7518</v>
      </c>
      <c r="E84" s="124" t="s">
        <v>7669</v>
      </c>
      <c r="H84" s="183">
        <v>83</v>
      </c>
      <c r="J84" s="184" t="s">
        <v>8124</v>
      </c>
      <c r="K84" s="185" t="s">
        <v>7518</v>
      </c>
      <c r="L84" s="182" t="s">
        <v>8125</v>
      </c>
    </row>
    <row r="85" spans="1:12" ht="15">
      <c r="A85" s="135" t="s">
        <v>259</v>
      </c>
      <c r="B85" s="124" t="s">
        <v>7519</v>
      </c>
      <c r="C85" s="124" t="s">
        <v>7519</v>
      </c>
      <c r="E85" s="124" t="s">
        <v>7670</v>
      </c>
      <c r="H85" s="183">
        <v>84</v>
      </c>
      <c r="J85" s="184" t="s">
        <v>8126</v>
      </c>
      <c r="K85" s="186" t="s">
        <v>7519</v>
      </c>
      <c r="L85" s="182" t="s">
        <v>8127</v>
      </c>
    </row>
    <row r="86" spans="1:12" ht="15">
      <c r="A86" s="135" t="s">
        <v>259</v>
      </c>
      <c r="B86" s="124" t="s">
        <v>7520</v>
      </c>
      <c r="C86" s="124" t="s">
        <v>7520</v>
      </c>
      <c r="E86" s="124" t="s">
        <v>7671</v>
      </c>
      <c r="H86" s="183">
        <v>85</v>
      </c>
      <c r="J86" s="184" t="s">
        <v>8128</v>
      </c>
      <c r="K86" s="185" t="s">
        <v>7520</v>
      </c>
      <c r="L86" s="182" t="s">
        <v>8129</v>
      </c>
    </row>
    <row r="87" spans="1:12" ht="15">
      <c r="A87" s="135" t="s">
        <v>259</v>
      </c>
      <c r="B87" s="124" t="s">
        <v>7521</v>
      </c>
      <c r="C87" s="124" t="s">
        <v>7521</v>
      </c>
      <c r="E87" s="124" t="s">
        <v>7672</v>
      </c>
      <c r="H87" s="183">
        <v>86</v>
      </c>
      <c r="J87" s="184" t="s">
        <v>8130</v>
      </c>
      <c r="K87" s="185" t="s">
        <v>7521</v>
      </c>
      <c r="L87" s="182" t="s">
        <v>8131</v>
      </c>
    </row>
    <row r="88" spans="1:12" ht="15">
      <c r="A88" s="135" t="s">
        <v>259</v>
      </c>
      <c r="B88" s="124" t="s">
        <v>7522</v>
      </c>
      <c r="C88" s="124" t="s">
        <v>7522</v>
      </c>
      <c r="E88" s="124" t="s">
        <v>7673</v>
      </c>
      <c r="H88" s="183">
        <v>87</v>
      </c>
      <c r="J88" s="184" t="s">
        <v>8132</v>
      </c>
      <c r="K88" s="185" t="s">
        <v>7522</v>
      </c>
      <c r="L88" s="182" t="s">
        <v>8133</v>
      </c>
    </row>
    <row r="89" spans="1:12" ht="15">
      <c r="A89" s="135" t="s">
        <v>259</v>
      </c>
      <c r="B89" s="124" t="s">
        <v>7523</v>
      </c>
      <c r="C89" s="124" t="s">
        <v>7523</v>
      </c>
      <c r="E89" s="124" t="s">
        <v>7674</v>
      </c>
      <c r="H89" s="183">
        <v>88</v>
      </c>
      <c r="J89" s="184" t="s">
        <v>8134</v>
      </c>
      <c r="K89" s="185" t="s">
        <v>7523</v>
      </c>
      <c r="L89" s="182" t="s">
        <v>8135</v>
      </c>
    </row>
    <row r="90" spans="1:12" ht="15">
      <c r="A90" s="135" t="s">
        <v>259</v>
      </c>
      <c r="B90" s="124" t="s">
        <v>7524</v>
      </c>
      <c r="C90" s="124" t="s">
        <v>7524</v>
      </c>
      <c r="E90" s="124" t="s">
        <v>7675</v>
      </c>
      <c r="H90" s="183">
        <v>89</v>
      </c>
      <c r="J90" s="184" t="s">
        <v>8136</v>
      </c>
      <c r="K90" s="185" t="s">
        <v>7524</v>
      </c>
      <c r="L90" s="182" t="s">
        <v>8137</v>
      </c>
    </row>
    <row r="91" spans="1:12" ht="15">
      <c r="A91" s="135" t="s">
        <v>259</v>
      </c>
      <c r="B91" s="124" t="s">
        <v>7525</v>
      </c>
      <c r="C91" s="124" t="s">
        <v>7525</v>
      </c>
      <c r="E91" s="124" t="s">
        <v>7676</v>
      </c>
      <c r="H91" s="183">
        <v>90</v>
      </c>
      <c r="J91" s="184" t="s">
        <v>8138</v>
      </c>
      <c r="K91" s="185" t="s">
        <v>7525</v>
      </c>
      <c r="L91" s="182" t="s">
        <v>8139</v>
      </c>
    </row>
    <row r="92" spans="1:12" ht="15">
      <c r="A92" s="135" t="s">
        <v>259</v>
      </c>
      <c r="B92" s="124" t="s">
        <v>7775</v>
      </c>
      <c r="C92" s="124" t="s">
        <v>7775</v>
      </c>
      <c r="E92" s="124" t="s">
        <v>7677</v>
      </c>
      <c r="H92" s="183">
        <v>91</v>
      </c>
      <c r="J92" s="184" t="s">
        <v>8140</v>
      </c>
      <c r="K92" s="186" t="s">
        <v>7775</v>
      </c>
      <c r="L92" s="182" t="s">
        <v>8141</v>
      </c>
    </row>
    <row r="93" spans="1:12" ht="15">
      <c r="A93" s="135" t="s">
        <v>259</v>
      </c>
      <c r="B93" s="124" t="s">
        <v>7526</v>
      </c>
      <c r="C93" s="124" t="s">
        <v>7526</v>
      </c>
      <c r="E93" s="124" t="s">
        <v>7678</v>
      </c>
      <c r="H93" s="183">
        <v>92</v>
      </c>
      <c r="J93" s="184" t="s">
        <v>8142</v>
      </c>
      <c r="K93" s="185" t="s">
        <v>7526</v>
      </c>
      <c r="L93" s="182" t="s">
        <v>8143</v>
      </c>
    </row>
    <row r="94" spans="1:12" ht="15">
      <c r="A94" s="135" t="s">
        <v>259</v>
      </c>
      <c r="B94" s="124" t="s">
        <v>7527</v>
      </c>
      <c r="C94" s="124" t="s">
        <v>7527</v>
      </c>
      <c r="E94" s="124" t="s">
        <v>7679</v>
      </c>
      <c r="H94" s="183">
        <v>93</v>
      </c>
      <c r="J94" s="184" t="s">
        <v>8144</v>
      </c>
      <c r="K94" s="185" t="s">
        <v>7527</v>
      </c>
      <c r="L94" s="182" t="s">
        <v>8145</v>
      </c>
    </row>
    <row r="95" spans="1:12" ht="15">
      <c r="A95" s="135" t="s">
        <v>259</v>
      </c>
      <c r="B95" s="124" t="s">
        <v>261</v>
      </c>
      <c r="C95" s="124" t="s">
        <v>261</v>
      </c>
      <c r="E95" s="124" t="s">
        <v>7680</v>
      </c>
      <c r="H95" s="183">
        <v>94</v>
      </c>
      <c r="J95" s="184" t="s">
        <v>8146</v>
      </c>
      <c r="K95" s="185" t="s">
        <v>261</v>
      </c>
      <c r="L95" s="182" t="s">
        <v>8147</v>
      </c>
    </row>
    <row r="96" spans="1:12" ht="15">
      <c r="A96" s="135" t="s">
        <v>259</v>
      </c>
      <c r="B96" s="124" t="s">
        <v>7528</v>
      </c>
      <c r="C96" s="124" t="s">
        <v>7528</v>
      </c>
      <c r="E96" s="124" t="s">
        <v>7681</v>
      </c>
      <c r="H96" s="183">
        <v>95</v>
      </c>
      <c r="J96" s="184" t="s">
        <v>8148</v>
      </c>
      <c r="K96" s="185" t="s">
        <v>7528</v>
      </c>
      <c r="L96" s="182" t="s">
        <v>8149</v>
      </c>
    </row>
    <row r="97" spans="1:12" ht="15">
      <c r="A97" s="135" t="s">
        <v>259</v>
      </c>
      <c r="B97" s="124" t="s">
        <v>7529</v>
      </c>
      <c r="C97" s="124" t="s">
        <v>7529</v>
      </c>
      <c r="E97" s="124" t="s">
        <v>7682</v>
      </c>
      <c r="H97" s="183">
        <v>96</v>
      </c>
      <c r="J97" s="184" t="s">
        <v>8150</v>
      </c>
      <c r="K97" s="185" t="s">
        <v>7529</v>
      </c>
      <c r="L97" s="182" t="s">
        <v>8151</v>
      </c>
    </row>
    <row r="98" spans="1:12" ht="15">
      <c r="A98" s="135" t="s">
        <v>259</v>
      </c>
      <c r="B98" s="124" t="s">
        <v>7530</v>
      </c>
      <c r="C98" s="124" t="s">
        <v>7530</v>
      </c>
      <c r="E98" s="124" t="s">
        <v>7683</v>
      </c>
      <c r="H98" s="183">
        <v>97</v>
      </c>
      <c r="J98" s="184" t="s">
        <v>8152</v>
      </c>
      <c r="K98" s="185" t="s">
        <v>7530</v>
      </c>
      <c r="L98" s="182" t="s">
        <v>8153</v>
      </c>
    </row>
    <row r="99" spans="1:12" ht="15">
      <c r="A99" s="135" t="s">
        <v>259</v>
      </c>
      <c r="B99" s="124" t="s">
        <v>7531</v>
      </c>
      <c r="C99" s="124" t="s">
        <v>7531</v>
      </c>
      <c r="E99" s="124" t="s">
        <v>7684</v>
      </c>
      <c r="H99" s="183">
        <v>98</v>
      </c>
      <c r="J99" s="184" t="s">
        <v>8154</v>
      </c>
      <c r="K99" s="186" t="s">
        <v>7531</v>
      </c>
      <c r="L99" s="182" t="s">
        <v>8155</v>
      </c>
    </row>
    <row r="100" spans="1:12" ht="15">
      <c r="A100" s="135" t="s">
        <v>259</v>
      </c>
      <c r="B100" s="124" t="s">
        <v>7532</v>
      </c>
      <c r="C100" s="124" t="s">
        <v>7532</v>
      </c>
      <c r="E100" s="124" t="s">
        <v>7685</v>
      </c>
      <c r="H100" s="183">
        <v>99</v>
      </c>
      <c r="J100" s="184" t="s">
        <v>8156</v>
      </c>
      <c r="K100" s="186" t="s">
        <v>7532</v>
      </c>
      <c r="L100" s="182" t="s">
        <v>8157</v>
      </c>
    </row>
    <row r="101" spans="1:12" ht="15">
      <c r="A101" s="135" t="s">
        <v>259</v>
      </c>
      <c r="B101" s="124" t="s">
        <v>7533</v>
      </c>
      <c r="C101" s="124" t="s">
        <v>7533</v>
      </c>
      <c r="E101" s="124" t="s">
        <v>7686</v>
      </c>
      <c r="H101" s="183">
        <v>100</v>
      </c>
      <c r="J101" s="184" t="s">
        <v>8158</v>
      </c>
      <c r="K101" s="185" t="s">
        <v>7533</v>
      </c>
      <c r="L101" s="182" t="s">
        <v>8159</v>
      </c>
    </row>
    <row r="102" spans="1:12" ht="15">
      <c r="A102" s="135" t="s">
        <v>259</v>
      </c>
      <c r="B102" s="124" t="s">
        <v>7534</v>
      </c>
      <c r="C102" s="124" t="s">
        <v>7534</v>
      </c>
      <c r="E102" s="124" t="s">
        <v>7687</v>
      </c>
      <c r="H102" s="183">
        <v>101</v>
      </c>
      <c r="J102" s="184" t="s">
        <v>8160</v>
      </c>
      <c r="K102" s="185" t="s">
        <v>7534</v>
      </c>
      <c r="L102" s="182" t="s">
        <v>8161</v>
      </c>
    </row>
    <row r="103" spans="1:12" ht="15">
      <c r="A103" s="135" t="s">
        <v>259</v>
      </c>
      <c r="B103" s="124" t="s">
        <v>7535</v>
      </c>
      <c r="C103" s="124" t="s">
        <v>7535</v>
      </c>
      <c r="E103" s="124" t="s">
        <v>7688</v>
      </c>
      <c r="H103" s="183">
        <v>102</v>
      </c>
      <c r="J103" s="184" t="s">
        <v>8162</v>
      </c>
      <c r="K103" s="186" t="s">
        <v>7535</v>
      </c>
      <c r="L103" s="182" t="s">
        <v>8163</v>
      </c>
    </row>
    <row r="104" spans="1:12" ht="15">
      <c r="A104" s="135" t="s">
        <v>259</v>
      </c>
      <c r="B104" s="124" t="s">
        <v>7536</v>
      </c>
      <c r="C104" s="124" t="s">
        <v>7536</v>
      </c>
      <c r="E104" s="124" t="s">
        <v>7689</v>
      </c>
      <c r="H104" s="183">
        <v>103</v>
      </c>
      <c r="J104" s="184" t="s">
        <v>8164</v>
      </c>
      <c r="K104" s="185" t="s">
        <v>7536</v>
      </c>
      <c r="L104" s="182" t="s">
        <v>8165</v>
      </c>
    </row>
    <row r="105" spans="1:12" ht="15">
      <c r="A105" s="135" t="s">
        <v>259</v>
      </c>
      <c r="B105" s="124" t="s">
        <v>7537</v>
      </c>
      <c r="C105" s="124" t="s">
        <v>7537</v>
      </c>
      <c r="E105" s="124" t="s">
        <v>7690</v>
      </c>
      <c r="H105" s="183">
        <v>104</v>
      </c>
      <c r="J105" s="184" t="s">
        <v>8166</v>
      </c>
      <c r="K105" s="185" t="s">
        <v>7537</v>
      </c>
      <c r="L105" s="182" t="s">
        <v>8167</v>
      </c>
    </row>
    <row r="106" spans="1:12" ht="15">
      <c r="A106" s="135" t="s">
        <v>259</v>
      </c>
      <c r="B106" s="124" t="s">
        <v>7538</v>
      </c>
      <c r="C106" s="124" t="s">
        <v>7538</v>
      </c>
      <c r="E106" s="124" t="s">
        <v>7691</v>
      </c>
      <c r="H106" s="183">
        <v>105</v>
      </c>
      <c r="J106" s="184" t="s">
        <v>8168</v>
      </c>
      <c r="K106" s="186" t="s">
        <v>7538</v>
      </c>
      <c r="L106" s="182" t="s">
        <v>8169</v>
      </c>
    </row>
    <row r="107" spans="1:12" ht="15">
      <c r="A107" s="135" t="s">
        <v>259</v>
      </c>
      <c r="B107" s="124" t="s">
        <v>7776</v>
      </c>
      <c r="C107" s="124" t="s">
        <v>7776</v>
      </c>
      <c r="E107" s="124" t="s">
        <v>7692</v>
      </c>
      <c r="H107" s="183">
        <v>106</v>
      </c>
      <c r="J107" s="184" t="s">
        <v>8170</v>
      </c>
      <c r="K107" s="186" t="s">
        <v>7776</v>
      </c>
      <c r="L107" s="182" t="s">
        <v>8171</v>
      </c>
    </row>
    <row r="108" spans="1:12" ht="15">
      <c r="A108" s="135" t="s">
        <v>259</v>
      </c>
      <c r="B108" s="124" t="s">
        <v>7539</v>
      </c>
      <c r="C108" s="124" t="s">
        <v>7539</v>
      </c>
      <c r="E108" s="124" t="s">
        <v>7693</v>
      </c>
      <c r="H108" s="183">
        <v>107</v>
      </c>
      <c r="J108" s="184" t="s">
        <v>8172</v>
      </c>
      <c r="K108" s="185" t="s">
        <v>7539</v>
      </c>
      <c r="L108" s="182" t="s">
        <v>8173</v>
      </c>
    </row>
    <row r="109" spans="1:12" ht="15">
      <c r="A109" s="135" t="s">
        <v>259</v>
      </c>
      <c r="B109" s="124" t="s">
        <v>7540</v>
      </c>
      <c r="C109" s="124" t="s">
        <v>7540</v>
      </c>
      <c r="E109" s="124" t="s">
        <v>7694</v>
      </c>
      <c r="H109" s="183">
        <v>108</v>
      </c>
      <c r="J109" s="184" t="s">
        <v>8174</v>
      </c>
      <c r="K109" s="185" t="s">
        <v>7540</v>
      </c>
      <c r="L109" s="182" t="s">
        <v>8175</v>
      </c>
    </row>
    <row r="110" spans="1:12" ht="15">
      <c r="A110" s="135" t="s">
        <v>259</v>
      </c>
      <c r="B110" s="124" t="s">
        <v>7541</v>
      </c>
      <c r="C110" s="124" t="s">
        <v>7541</v>
      </c>
      <c r="E110" s="124" t="s">
        <v>7695</v>
      </c>
      <c r="H110" s="183">
        <v>109</v>
      </c>
      <c r="J110" s="184" t="s">
        <v>8176</v>
      </c>
      <c r="K110" s="185" t="s">
        <v>7541</v>
      </c>
      <c r="L110" s="182" t="s">
        <v>8177</v>
      </c>
    </row>
    <row r="111" spans="1:12" ht="15">
      <c r="A111" s="135" t="s">
        <v>259</v>
      </c>
      <c r="B111" s="124" t="s">
        <v>7542</v>
      </c>
      <c r="C111" s="124" t="s">
        <v>7542</v>
      </c>
      <c r="E111" s="124" t="s">
        <v>7696</v>
      </c>
      <c r="H111" s="183">
        <v>110</v>
      </c>
      <c r="J111" s="184" t="s">
        <v>8178</v>
      </c>
      <c r="K111" s="185" t="s">
        <v>7542</v>
      </c>
      <c r="L111" s="182" t="s">
        <v>8179</v>
      </c>
    </row>
    <row r="112" spans="1:12" ht="15">
      <c r="A112" s="135" t="s">
        <v>259</v>
      </c>
      <c r="B112" s="124" t="s">
        <v>7543</v>
      </c>
      <c r="C112" s="124" t="s">
        <v>7543</v>
      </c>
      <c r="E112" s="124" t="s">
        <v>7697</v>
      </c>
      <c r="H112" s="183">
        <v>111</v>
      </c>
      <c r="J112" s="184" t="s">
        <v>8180</v>
      </c>
      <c r="K112" s="185" t="s">
        <v>7543</v>
      </c>
      <c r="L112" s="182" t="s">
        <v>8181</v>
      </c>
    </row>
    <row r="113" spans="1:12" ht="15">
      <c r="A113" s="135" t="s">
        <v>259</v>
      </c>
      <c r="B113" s="124" t="s">
        <v>7544</v>
      </c>
      <c r="C113" s="124" t="s">
        <v>7544</v>
      </c>
      <c r="E113" s="124" t="s">
        <v>7698</v>
      </c>
      <c r="H113" s="183">
        <v>112</v>
      </c>
      <c r="J113" s="184" t="s">
        <v>8182</v>
      </c>
      <c r="K113" s="185" t="s">
        <v>7544</v>
      </c>
      <c r="L113" s="182" t="s">
        <v>8183</v>
      </c>
    </row>
    <row r="114" spans="1:12" ht="15">
      <c r="A114" s="135" t="s">
        <v>259</v>
      </c>
      <c r="B114" s="124" t="s">
        <v>7545</v>
      </c>
      <c r="C114" s="124" t="s">
        <v>7545</v>
      </c>
      <c r="E114" s="124" t="s">
        <v>7699</v>
      </c>
      <c r="H114" s="183">
        <v>113</v>
      </c>
      <c r="J114" s="184" t="s">
        <v>8184</v>
      </c>
      <c r="K114" s="185" t="s">
        <v>7545</v>
      </c>
      <c r="L114" s="182" t="s">
        <v>8185</v>
      </c>
    </row>
    <row r="115" spans="1:12" ht="15">
      <c r="A115" s="135" t="s">
        <v>259</v>
      </c>
      <c r="B115" s="124" t="s">
        <v>7546</v>
      </c>
      <c r="C115" s="124" t="s">
        <v>7546</v>
      </c>
      <c r="E115" s="124" t="s">
        <v>7700</v>
      </c>
      <c r="H115" s="183">
        <v>114</v>
      </c>
      <c r="J115" s="184" t="s">
        <v>8186</v>
      </c>
      <c r="K115" s="185" t="s">
        <v>7546</v>
      </c>
      <c r="L115" s="182" t="s">
        <v>8187</v>
      </c>
    </row>
    <row r="116" spans="1:12" ht="15">
      <c r="A116" s="135" t="s">
        <v>259</v>
      </c>
      <c r="B116" s="124" t="s">
        <v>7547</v>
      </c>
      <c r="C116" s="124" t="s">
        <v>7547</v>
      </c>
      <c r="E116" s="124" t="s">
        <v>7701</v>
      </c>
      <c r="H116" s="183">
        <v>115</v>
      </c>
      <c r="J116" s="184" t="s">
        <v>8188</v>
      </c>
      <c r="K116" s="185" t="s">
        <v>7547</v>
      </c>
      <c r="L116" s="182" t="s">
        <v>8189</v>
      </c>
    </row>
    <row r="117" spans="1:12" ht="15">
      <c r="A117" s="135" t="s">
        <v>259</v>
      </c>
      <c r="B117" s="124" t="s">
        <v>7777</v>
      </c>
      <c r="C117" s="124" t="s">
        <v>7777</v>
      </c>
      <c r="E117" s="124" t="s">
        <v>7702</v>
      </c>
      <c r="H117" s="183">
        <v>116</v>
      </c>
      <c r="J117" s="184" t="s">
        <v>8190</v>
      </c>
      <c r="K117" s="186" t="s">
        <v>7777</v>
      </c>
      <c r="L117" s="182" t="s">
        <v>8191</v>
      </c>
    </row>
    <row r="118" spans="1:12" ht="15">
      <c r="A118" s="135" t="s">
        <v>259</v>
      </c>
      <c r="B118" s="124" t="s">
        <v>7778</v>
      </c>
      <c r="C118" s="124" t="s">
        <v>7778</v>
      </c>
      <c r="E118" s="124" t="s">
        <v>7703</v>
      </c>
      <c r="H118" s="183">
        <v>117</v>
      </c>
      <c r="J118" s="184" t="s">
        <v>8192</v>
      </c>
      <c r="K118" s="186" t="s">
        <v>7778</v>
      </c>
      <c r="L118" s="182" t="s">
        <v>8193</v>
      </c>
    </row>
    <row r="119" spans="1:12" ht="15">
      <c r="A119" s="135" t="s">
        <v>259</v>
      </c>
      <c r="B119" s="124" t="s">
        <v>7779</v>
      </c>
      <c r="C119" s="124" t="s">
        <v>7779</v>
      </c>
      <c r="E119" s="124" t="s">
        <v>7704</v>
      </c>
      <c r="H119" s="183">
        <v>118</v>
      </c>
      <c r="J119" s="184" t="s">
        <v>8194</v>
      </c>
      <c r="K119" s="186" t="s">
        <v>7779</v>
      </c>
      <c r="L119" s="182" t="s">
        <v>8195</v>
      </c>
    </row>
    <row r="120" spans="1:12" ht="15">
      <c r="A120" s="135" t="s">
        <v>259</v>
      </c>
      <c r="B120" s="124" t="s">
        <v>7780</v>
      </c>
      <c r="C120" s="124" t="s">
        <v>7780</v>
      </c>
      <c r="E120" s="124" t="s">
        <v>7705</v>
      </c>
      <c r="H120" s="183">
        <v>119</v>
      </c>
      <c r="J120" s="184" t="s">
        <v>8196</v>
      </c>
      <c r="K120" s="186" t="s">
        <v>7780</v>
      </c>
      <c r="L120" s="182" t="s">
        <v>8197</v>
      </c>
    </row>
    <row r="121" spans="1:12" ht="15">
      <c r="A121" s="135" t="s">
        <v>259</v>
      </c>
      <c r="B121" s="124" t="s">
        <v>7781</v>
      </c>
      <c r="C121" s="124" t="s">
        <v>7781</v>
      </c>
      <c r="E121" s="124" t="s">
        <v>7706</v>
      </c>
      <c r="H121" s="183">
        <v>120</v>
      </c>
      <c r="J121" s="184" t="s">
        <v>8198</v>
      </c>
      <c r="K121" s="186" t="s">
        <v>7781</v>
      </c>
      <c r="L121" s="182" t="s">
        <v>8199</v>
      </c>
    </row>
    <row r="122" spans="1:12" ht="15">
      <c r="A122" s="135" t="s">
        <v>259</v>
      </c>
      <c r="B122" s="124" t="s">
        <v>7782</v>
      </c>
      <c r="C122" s="124" t="s">
        <v>7782</v>
      </c>
      <c r="E122" s="124" t="s">
        <v>7707</v>
      </c>
      <c r="H122" s="183">
        <v>121</v>
      </c>
      <c r="J122" s="184" t="s">
        <v>8200</v>
      </c>
      <c r="K122" s="186" t="s">
        <v>7782</v>
      </c>
      <c r="L122" s="182" t="s">
        <v>8201</v>
      </c>
    </row>
    <row r="123" spans="1:12" ht="15">
      <c r="A123" s="135" t="s">
        <v>259</v>
      </c>
      <c r="B123" s="124" t="s">
        <v>7783</v>
      </c>
      <c r="C123" s="124" t="s">
        <v>7783</v>
      </c>
      <c r="E123" s="124" t="s">
        <v>7708</v>
      </c>
      <c r="H123" s="183">
        <v>122</v>
      </c>
      <c r="J123" s="184" t="s">
        <v>8202</v>
      </c>
      <c r="K123" s="186" t="s">
        <v>7783</v>
      </c>
      <c r="L123" s="182" t="s">
        <v>8203</v>
      </c>
    </row>
    <row r="124" spans="1:12" ht="15">
      <c r="A124" s="135" t="s">
        <v>259</v>
      </c>
      <c r="B124" s="124" t="s">
        <v>7548</v>
      </c>
      <c r="C124" s="124" t="s">
        <v>7548</v>
      </c>
      <c r="E124" s="124" t="s">
        <v>7709</v>
      </c>
      <c r="H124" s="183">
        <v>123</v>
      </c>
      <c r="J124" s="184" t="s">
        <v>8204</v>
      </c>
      <c r="K124" s="186" t="s">
        <v>7548</v>
      </c>
      <c r="L124" s="187" t="s">
        <v>8205</v>
      </c>
    </row>
    <row r="125" spans="1:12" ht="15">
      <c r="A125" s="135" t="s">
        <v>259</v>
      </c>
      <c r="B125" s="124" t="s">
        <v>7549</v>
      </c>
      <c r="C125" s="124" t="s">
        <v>7549</v>
      </c>
      <c r="E125" s="124" t="s">
        <v>7710</v>
      </c>
      <c r="H125" s="183">
        <v>124</v>
      </c>
      <c r="J125" s="184" t="s">
        <v>8206</v>
      </c>
      <c r="K125" s="186" t="s">
        <v>7549</v>
      </c>
      <c r="L125" s="188" t="s">
        <v>8207</v>
      </c>
    </row>
    <row r="126" spans="1:12" ht="15">
      <c r="A126" s="135" t="s">
        <v>259</v>
      </c>
      <c r="B126" s="124" t="s">
        <v>7550</v>
      </c>
      <c r="C126" s="124" t="s">
        <v>7550</v>
      </c>
      <c r="E126" s="124" t="s">
        <v>7711</v>
      </c>
      <c r="H126" s="183">
        <v>125</v>
      </c>
      <c r="J126" s="184" t="s">
        <v>8208</v>
      </c>
      <c r="K126" s="186" t="s">
        <v>7550</v>
      </c>
      <c r="L126" s="188" t="s">
        <v>8209</v>
      </c>
    </row>
    <row r="127" spans="1:12" ht="15">
      <c r="A127" s="135" t="s">
        <v>259</v>
      </c>
      <c r="B127" s="124" t="s">
        <v>7551</v>
      </c>
      <c r="C127" s="124" t="s">
        <v>7551</v>
      </c>
      <c r="E127" s="124" t="s">
        <v>7712</v>
      </c>
      <c r="H127" s="183">
        <v>126</v>
      </c>
      <c r="J127" s="184" t="s">
        <v>8210</v>
      </c>
      <c r="K127" s="186" t="s">
        <v>7551</v>
      </c>
      <c r="L127" s="188" t="s">
        <v>8211</v>
      </c>
    </row>
    <row r="128" spans="1:12" ht="15">
      <c r="A128" s="135" t="s">
        <v>259</v>
      </c>
      <c r="B128" s="124" t="s">
        <v>7552</v>
      </c>
      <c r="C128" s="124" t="s">
        <v>7552</v>
      </c>
      <c r="E128" s="124" t="s">
        <v>7713</v>
      </c>
      <c r="H128" s="183">
        <v>127</v>
      </c>
      <c r="J128" s="184" t="s">
        <v>8212</v>
      </c>
      <c r="K128" s="186" t="s">
        <v>7552</v>
      </c>
      <c r="L128" s="188" t="s">
        <v>8213</v>
      </c>
    </row>
    <row r="129" spans="1:12" ht="15">
      <c r="A129" s="135" t="s">
        <v>259</v>
      </c>
      <c r="B129" s="124" t="s">
        <v>7770</v>
      </c>
      <c r="C129" s="124" t="s">
        <v>7770</v>
      </c>
      <c r="E129" s="124" t="s">
        <v>7714</v>
      </c>
      <c r="H129" s="183">
        <v>128</v>
      </c>
      <c r="J129" s="184" t="s">
        <v>8214</v>
      </c>
      <c r="K129" s="186" t="s">
        <v>7770</v>
      </c>
      <c r="L129" s="188" t="s">
        <v>7971</v>
      </c>
    </row>
    <row r="130" spans="1:12" ht="15">
      <c r="A130" s="135" t="s">
        <v>259</v>
      </c>
      <c r="B130" s="124" t="s">
        <v>8216</v>
      </c>
      <c r="C130" s="124" t="s">
        <v>8216</v>
      </c>
      <c r="E130" s="124" t="s">
        <v>7715</v>
      </c>
      <c r="H130" s="183">
        <v>129</v>
      </c>
      <c r="J130" s="184" t="s">
        <v>8215</v>
      </c>
      <c r="K130" s="189" t="s">
        <v>8216</v>
      </c>
      <c r="L130" s="188" t="s">
        <v>8217</v>
      </c>
    </row>
    <row r="131" spans="1:12" ht="15">
      <c r="A131" s="135" t="s">
        <v>259</v>
      </c>
      <c r="B131" s="124" t="s">
        <v>7553</v>
      </c>
      <c r="C131" s="124" t="s">
        <v>7553</v>
      </c>
      <c r="E131" s="124" t="s">
        <v>7716</v>
      </c>
      <c r="H131" s="183">
        <v>130</v>
      </c>
      <c r="J131" s="184" t="s">
        <v>8218</v>
      </c>
      <c r="K131" s="189" t="s">
        <v>7553</v>
      </c>
      <c r="L131" s="188" t="s">
        <v>8219</v>
      </c>
    </row>
    <row r="132" spans="1:12" ht="15">
      <c r="A132" s="135" t="s">
        <v>259</v>
      </c>
      <c r="B132" s="124" t="s">
        <v>7784</v>
      </c>
      <c r="C132" s="124" t="s">
        <v>7784</v>
      </c>
      <c r="E132" s="124" t="s">
        <v>7717</v>
      </c>
      <c r="H132" s="183">
        <v>131</v>
      </c>
      <c r="J132" s="184" t="s">
        <v>8220</v>
      </c>
      <c r="K132" s="190" t="s">
        <v>7784</v>
      </c>
      <c r="L132" s="182" t="s">
        <v>8221</v>
      </c>
    </row>
    <row r="133" spans="1:12" ht="15">
      <c r="A133" s="135" t="s">
        <v>259</v>
      </c>
      <c r="B133" s="124" t="s">
        <v>7785</v>
      </c>
      <c r="C133" s="124" t="s">
        <v>7785</v>
      </c>
      <c r="E133" s="124" t="s">
        <v>7718</v>
      </c>
      <c r="H133" s="183">
        <v>132</v>
      </c>
      <c r="J133" s="184" t="s">
        <v>8222</v>
      </c>
      <c r="K133" s="190" t="s">
        <v>7785</v>
      </c>
      <c r="L133" s="182" t="s">
        <v>8223</v>
      </c>
    </row>
    <row r="134" spans="1:12" ht="15">
      <c r="A134" s="135" t="s">
        <v>259</v>
      </c>
      <c r="B134" s="124" t="s">
        <v>7786</v>
      </c>
      <c r="C134" s="124" t="s">
        <v>7786</v>
      </c>
      <c r="E134" s="124" t="s">
        <v>7719</v>
      </c>
      <c r="H134" s="183">
        <v>133</v>
      </c>
      <c r="J134" s="184" t="s">
        <v>8224</v>
      </c>
      <c r="K134" s="190" t="s">
        <v>7786</v>
      </c>
      <c r="L134" s="182" t="s">
        <v>8225</v>
      </c>
    </row>
    <row r="135" spans="1:12" ht="15">
      <c r="A135" s="135" t="s">
        <v>259</v>
      </c>
      <c r="B135" s="124" t="s">
        <v>7787</v>
      </c>
      <c r="C135" s="124" t="s">
        <v>7787</v>
      </c>
      <c r="E135" s="124" t="s">
        <v>7720</v>
      </c>
      <c r="H135" s="183">
        <v>134</v>
      </c>
      <c r="J135" s="184" t="s">
        <v>8226</v>
      </c>
      <c r="K135" s="190" t="s">
        <v>7787</v>
      </c>
      <c r="L135" s="182" t="s">
        <v>8227</v>
      </c>
    </row>
    <row r="136" spans="1:12" ht="15">
      <c r="A136" s="135" t="s">
        <v>259</v>
      </c>
      <c r="B136" s="124" t="s">
        <v>7788</v>
      </c>
      <c r="C136" s="124" t="s">
        <v>7788</v>
      </c>
      <c r="E136" s="124" t="s">
        <v>7721</v>
      </c>
      <c r="H136" s="183">
        <v>135</v>
      </c>
      <c r="J136" s="184" t="s">
        <v>8228</v>
      </c>
      <c r="K136" s="190" t="s">
        <v>7788</v>
      </c>
      <c r="L136" s="182" t="s">
        <v>8229</v>
      </c>
    </row>
    <row r="137" spans="1:12" ht="15">
      <c r="A137" s="135" t="s">
        <v>259</v>
      </c>
      <c r="B137" s="124" t="s">
        <v>7554</v>
      </c>
      <c r="C137" s="124" t="s">
        <v>7554</v>
      </c>
      <c r="E137" s="124" t="s">
        <v>7722</v>
      </c>
      <c r="H137" s="183">
        <v>136</v>
      </c>
      <c r="J137" s="184" t="s">
        <v>8230</v>
      </c>
      <c r="K137" s="190" t="s">
        <v>7554</v>
      </c>
      <c r="L137" s="182" t="s">
        <v>8231</v>
      </c>
    </row>
    <row r="138" spans="1:12" ht="15">
      <c r="A138" s="135" t="s">
        <v>259</v>
      </c>
      <c r="B138" s="124" t="s">
        <v>7789</v>
      </c>
      <c r="C138" s="124" t="s">
        <v>7789</v>
      </c>
      <c r="E138" s="124" t="s">
        <v>7723</v>
      </c>
      <c r="H138" s="183">
        <v>137</v>
      </c>
      <c r="J138" s="184" t="s">
        <v>8232</v>
      </c>
      <c r="K138" s="190" t="s">
        <v>7789</v>
      </c>
      <c r="L138" s="182" t="s">
        <v>8233</v>
      </c>
    </row>
    <row r="139" spans="1:12" ht="15">
      <c r="A139" s="135" t="s">
        <v>259</v>
      </c>
      <c r="B139" s="124" t="s">
        <v>7790</v>
      </c>
      <c r="C139" s="124" t="s">
        <v>7790</v>
      </c>
      <c r="E139" s="124" t="s">
        <v>7724</v>
      </c>
      <c r="H139" s="183">
        <v>138</v>
      </c>
      <c r="J139" s="184" t="s">
        <v>8234</v>
      </c>
      <c r="K139" s="190" t="s">
        <v>7790</v>
      </c>
      <c r="L139" s="182" t="s">
        <v>8235</v>
      </c>
    </row>
    <row r="140" spans="1:12" ht="15">
      <c r="A140" s="135" t="s">
        <v>259</v>
      </c>
      <c r="B140" s="124" t="s">
        <v>7791</v>
      </c>
      <c r="C140" s="124" t="s">
        <v>7791</v>
      </c>
      <c r="E140" s="124" t="s">
        <v>7725</v>
      </c>
      <c r="H140" s="183">
        <v>139</v>
      </c>
      <c r="J140" s="184" t="s">
        <v>8236</v>
      </c>
      <c r="K140" s="190" t="s">
        <v>7791</v>
      </c>
      <c r="L140" s="182" t="s">
        <v>8237</v>
      </c>
    </row>
    <row r="141" spans="1:12" ht="15">
      <c r="A141" s="135" t="s">
        <v>259</v>
      </c>
      <c r="B141" s="124" t="s">
        <v>7792</v>
      </c>
      <c r="C141" s="124" t="s">
        <v>7792</v>
      </c>
      <c r="E141" s="124" t="s">
        <v>7726</v>
      </c>
      <c r="H141" s="183">
        <v>140</v>
      </c>
      <c r="J141" s="184" t="s">
        <v>8238</v>
      </c>
      <c r="K141" s="190" t="s">
        <v>7792</v>
      </c>
      <c r="L141" s="182" t="s">
        <v>8239</v>
      </c>
    </row>
    <row r="142" spans="1:12" ht="15">
      <c r="A142" s="135" t="s">
        <v>259</v>
      </c>
      <c r="B142" s="124" t="s">
        <v>7555</v>
      </c>
      <c r="C142" s="124" t="s">
        <v>7555</v>
      </c>
      <c r="E142" s="124" t="s">
        <v>7727</v>
      </c>
      <c r="H142" s="183">
        <v>141</v>
      </c>
      <c r="J142" s="184" t="s">
        <v>8240</v>
      </c>
      <c r="K142" s="190" t="s">
        <v>7555</v>
      </c>
      <c r="L142" s="182" t="s">
        <v>8037</v>
      </c>
    </row>
    <row r="143" spans="1:12" ht="15">
      <c r="A143" s="135" t="s">
        <v>259</v>
      </c>
      <c r="B143" s="124" t="s">
        <v>7556</v>
      </c>
      <c r="C143" s="124" t="s">
        <v>7556</v>
      </c>
      <c r="E143" s="124" t="s">
        <v>7728</v>
      </c>
      <c r="H143" s="183">
        <v>142</v>
      </c>
      <c r="J143" s="184" t="s">
        <v>8241</v>
      </c>
      <c r="K143" s="190" t="s">
        <v>7556</v>
      </c>
      <c r="L143" s="182" t="s">
        <v>8242</v>
      </c>
    </row>
    <row r="144" spans="1:12" ht="15">
      <c r="A144" s="135" t="s">
        <v>259</v>
      </c>
      <c r="B144" s="124" t="s">
        <v>8244</v>
      </c>
      <c r="C144" s="124" t="s">
        <v>8244</v>
      </c>
      <c r="E144" s="124" t="s">
        <v>7729</v>
      </c>
      <c r="H144" s="183">
        <v>143</v>
      </c>
      <c r="J144" s="184" t="s">
        <v>8243</v>
      </c>
      <c r="K144" s="190" t="s">
        <v>8244</v>
      </c>
      <c r="L144" s="182" t="s">
        <v>8245</v>
      </c>
    </row>
    <row r="145" spans="1:12" ht="15">
      <c r="A145" s="135" t="s">
        <v>259</v>
      </c>
      <c r="B145" s="124" t="s">
        <v>8247</v>
      </c>
      <c r="C145" s="124" t="s">
        <v>8247</v>
      </c>
      <c r="E145" s="124" t="s">
        <v>7730</v>
      </c>
      <c r="H145" s="183">
        <v>144</v>
      </c>
      <c r="J145" s="184" t="s">
        <v>8246</v>
      </c>
      <c r="K145" s="190" t="s">
        <v>8247</v>
      </c>
      <c r="L145" s="182" t="s">
        <v>8248</v>
      </c>
    </row>
    <row r="146" spans="1:12" ht="15">
      <c r="A146" s="135" t="s">
        <v>259</v>
      </c>
      <c r="B146" s="124" t="s">
        <v>8250</v>
      </c>
      <c r="C146" s="124" t="s">
        <v>8250</v>
      </c>
      <c r="E146" s="124" t="s">
        <v>7731</v>
      </c>
      <c r="H146" s="183">
        <v>145</v>
      </c>
      <c r="J146" s="184" t="s">
        <v>8249</v>
      </c>
      <c r="K146" s="190" t="s">
        <v>8250</v>
      </c>
      <c r="L146" s="182" t="s">
        <v>8251</v>
      </c>
    </row>
    <row r="147" spans="1:12" ht="15">
      <c r="A147" s="135" t="s">
        <v>259</v>
      </c>
      <c r="B147" s="124" t="s">
        <v>7557</v>
      </c>
      <c r="C147" s="124" t="s">
        <v>7557</v>
      </c>
      <c r="E147" s="124" t="s">
        <v>7732</v>
      </c>
      <c r="H147" s="183">
        <v>146</v>
      </c>
      <c r="J147" s="184" t="s">
        <v>8252</v>
      </c>
      <c r="K147" s="190" t="s">
        <v>7557</v>
      </c>
      <c r="L147" s="182" t="s">
        <v>8253</v>
      </c>
    </row>
    <row r="148" spans="1:12" ht="15">
      <c r="A148" s="135" t="s">
        <v>259</v>
      </c>
      <c r="B148" s="124" t="s">
        <v>8255</v>
      </c>
      <c r="C148" s="124" t="s">
        <v>8255</v>
      </c>
      <c r="E148" s="124" t="s">
        <v>7733</v>
      </c>
      <c r="H148" s="183">
        <v>147</v>
      </c>
      <c r="J148" s="184" t="s">
        <v>8254</v>
      </c>
      <c r="K148" s="190" t="s">
        <v>8255</v>
      </c>
      <c r="L148" s="182" t="s">
        <v>8256</v>
      </c>
    </row>
    <row r="149" spans="1:12" ht="15">
      <c r="A149" s="135" t="s">
        <v>259</v>
      </c>
      <c r="B149" s="124" t="s">
        <v>7558</v>
      </c>
      <c r="C149" s="124" t="s">
        <v>7558</v>
      </c>
      <c r="E149" s="124" t="s">
        <v>7734</v>
      </c>
      <c r="H149" s="183">
        <v>148</v>
      </c>
      <c r="J149" s="184" t="s">
        <v>8257</v>
      </c>
      <c r="K149" s="190" t="s">
        <v>7558</v>
      </c>
      <c r="L149" s="182" t="s">
        <v>8258</v>
      </c>
    </row>
    <row r="150" spans="1:12" ht="15">
      <c r="A150" s="135" t="s">
        <v>259</v>
      </c>
      <c r="B150" s="124" t="s">
        <v>7559</v>
      </c>
      <c r="C150" s="124" t="s">
        <v>7559</v>
      </c>
      <c r="E150" s="124" t="s">
        <v>7735</v>
      </c>
      <c r="H150" s="183">
        <v>149</v>
      </c>
      <c r="J150" s="184" t="s">
        <v>8259</v>
      </c>
      <c r="K150" s="190" t="s">
        <v>7559</v>
      </c>
      <c r="L150" s="182" t="s">
        <v>8260</v>
      </c>
    </row>
    <row r="151" spans="1:12" ht="15">
      <c r="A151" s="135" t="s">
        <v>259</v>
      </c>
      <c r="B151" s="124" t="s">
        <v>7560</v>
      </c>
      <c r="C151" s="124" t="s">
        <v>7560</v>
      </c>
      <c r="E151" s="124" t="s">
        <v>7736</v>
      </c>
      <c r="H151" s="183">
        <v>150</v>
      </c>
      <c r="J151" s="184" t="s">
        <v>8261</v>
      </c>
      <c r="K151" s="190" t="s">
        <v>7560</v>
      </c>
      <c r="L151" s="182" t="s">
        <v>8262</v>
      </c>
    </row>
    <row r="152" spans="1:12" ht="15">
      <c r="A152" s="135" t="s">
        <v>259</v>
      </c>
      <c r="B152" s="124" t="s">
        <v>7561</v>
      </c>
      <c r="C152" s="124" t="s">
        <v>7561</v>
      </c>
      <c r="E152" s="124" t="s">
        <v>7737</v>
      </c>
      <c r="H152" s="183">
        <v>151</v>
      </c>
      <c r="J152" s="184" t="s">
        <v>8263</v>
      </c>
      <c r="K152" s="190" t="s">
        <v>7561</v>
      </c>
      <c r="L152" s="182" t="s">
        <v>8264</v>
      </c>
    </row>
    <row r="153" spans="1:12" ht="15">
      <c r="A153" s="135" t="s">
        <v>259</v>
      </c>
      <c r="B153" s="124" t="s">
        <v>7562</v>
      </c>
      <c r="C153" s="124" t="s">
        <v>7562</v>
      </c>
      <c r="E153" s="124" t="s">
        <v>7738</v>
      </c>
      <c r="H153" s="183">
        <v>152</v>
      </c>
      <c r="J153" s="184" t="s">
        <v>8265</v>
      </c>
      <c r="K153" s="190" t="s">
        <v>7562</v>
      </c>
      <c r="L153" s="182" t="s">
        <v>8266</v>
      </c>
    </row>
    <row r="154" spans="1:12" ht="15">
      <c r="A154" s="135" t="s">
        <v>259</v>
      </c>
      <c r="B154" s="124" t="s">
        <v>7563</v>
      </c>
      <c r="C154" s="124" t="s">
        <v>7563</v>
      </c>
      <c r="E154" s="124" t="s">
        <v>7739</v>
      </c>
      <c r="H154" s="183">
        <v>153</v>
      </c>
      <c r="J154" s="184" t="s">
        <v>8267</v>
      </c>
      <c r="K154" s="190" t="s">
        <v>7563</v>
      </c>
      <c r="L154" s="182" t="s">
        <v>8268</v>
      </c>
    </row>
    <row r="155" spans="1:12" ht="15">
      <c r="A155" s="135" t="s">
        <v>259</v>
      </c>
      <c r="B155" s="124" t="s">
        <v>7564</v>
      </c>
      <c r="C155" s="124" t="s">
        <v>7564</v>
      </c>
      <c r="E155" s="124" t="s">
        <v>7740</v>
      </c>
      <c r="H155" s="183">
        <v>154</v>
      </c>
      <c r="J155" s="184" t="s">
        <v>8269</v>
      </c>
      <c r="K155" s="190" t="s">
        <v>7564</v>
      </c>
      <c r="L155" s="182" t="s">
        <v>8270</v>
      </c>
    </row>
    <row r="156" spans="1:12" ht="15">
      <c r="A156" s="135" t="s">
        <v>259</v>
      </c>
      <c r="B156" s="124" t="s">
        <v>7565</v>
      </c>
      <c r="C156" s="124" t="s">
        <v>7565</v>
      </c>
      <c r="E156" s="124" t="s">
        <v>7741</v>
      </c>
      <c r="H156" s="183">
        <v>155</v>
      </c>
      <c r="J156" s="184" t="s">
        <v>8271</v>
      </c>
      <c r="K156" s="190" t="s">
        <v>7565</v>
      </c>
      <c r="L156" s="182" t="s">
        <v>8272</v>
      </c>
    </row>
    <row r="157" spans="1:12" ht="15">
      <c r="A157" s="135" t="s">
        <v>259</v>
      </c>
      <c r="B157" s="124" t="s">
        <v>7566</v>
      </c>
      <c r="C157" s="124" t="s">
        <v>7566</v>
      </c>
      <c r="E157" s="124" t="s">
        <v>7742</v>
      </c>
      <c r="H157" s="183">
        <v>156</v>
      </c>
      <c r="J157" s="184" t="s">
        <v>8273</v>
      </c>
      <c r="K157" s="190" t="s">
        <v>7566</v>
      </c>
      <c r="L157" s="182" t="s">
        <v>8274</v>
      </c>
    </row>
    <row r="158" spans="1:12" ht="15">
      <c r="A158" s="135" t="s">
        <v>259</v>
      </c>
      <c r="B158" s="124" t="s">
        <v>7567</v>
      </c>
      <c r="C158" s="124" t="s">
        <v>7567</v>
      </c>
      <c r="E158" s="124" t="s">
        <v>7743</v>
      </c>
      <c r="H158" s="183">
        <v>157</v>
      </c>
      <c r="J158" s="184" t="s">
        <v>8275</v>
      </c>
      <c r="K158" s="190" t="s">
        <v>7567</v>
      </c>
      <c r="L158" s="182" t="s">
        <v>8276</v>
      </c>
    </row>
    <row r="159" spans="1:12" ht="15">
      <c r="A159" s="135" t="s">
        <v>259</v>
      </c>
      <c r="B159" s="124" t="s">
        <v>7568</v>
      </c>
      <c r="C159" s="124" t="s">
        <v>7568</v>
      </c>
      <c r="E159" s="124" t="s">
        <v>7744</v>
      </c>
      <c r="H159" s="183">
        <v>158</v>
      </c>
      <c r="J159" s="184" t="s">
        <v>8277</v>
      </c>
      <c r="K159" s="190" t="s">
        <v>7568</v>
      </c>
      <c r="L159" s="182" t="s">
        <v>8278</v>
      </c>
    </row>
    <row r="160" spans="1:12" ht="15">
      <c r="A160" s="135" t="s">
        <v>259</v>
      </c>
      <c r="B160" s="124" t="s">
        <v>7569</v>
      </c>
      <c r="C160" s="124" t="s">
        <v>7569</v>
      </c>
      <c r="E160" s="124" t="s">
        <v>7745</v>
      </c>
      <c r="H160" s="183">
        <v>159</v>
      </c>
      <c r="J160" s="184" t="s">
        <v>8279</v>
      </c>
      <c r="K160" s="190" t="s">
        <v>7569</v>
      </c>
      <c r="L160" s="182" t="s">
        <v>8280</v>
      </c>
    </row>
    <row r="161" spans="1:12" ht="15">
      <c r="A161" s="135" t="s">
        <v>259</v>
      </c>
      <c r="B161" s="124" t="s">
        <v>7570</v>
      </c>
      <c r="C161" s="124" t="s">
        <v>7570</v>
      </c>
      <c r="E161" s="124" t="s">
        <v>7746</v>
      </c>
      <c r="H161" s="183">
        <v>160</v>
      </c>
      <c r="J161" s="184" t="s">
        <v>8281</v>
      </c>
      <c r="K161" s="190" t="s">
        <v>7570</v>
      </c>
      <c r="L161" s="182" t="s">
        <v>8282</v>
      </c>
    </row>
    <row r="162" spans="1:12" ht="15">
      <c r="A162" s="135" t="s">
        <v>259</v>
      </c>
      <c r="B162" s="124" t="s">
        <v>7571</v>
      </c>
      <c r="C162" s="124" t="s">
        <v>7571</v>
      </c>
      <c r="E162" s="124" t="s">
        <v>7747</v>
      </c>
      <c r="H162" s="183">
        <v>161</v>
      </c>
      <c r="J162" s="184" t="s">
        <v>8283</v>
      </c>
      <c r="K162" s="190" t="s">
        <v>7571</v>
      </c>
      <c r="L162" s="182" t="s">
        <v>8284</v>
      </c>
    </row>
    <row r="163" spans="1:12" ht="15">
      <c r="A163" s="135" t="s">
        <v>259</v>
      </c>
      <c r="B163" s="124" t="s">
        <v>7572</v>
      </c>
      <c r="C163" s="124" t="s">
        <v>7572</v>
      </c>
      <c r="E163" s="124" t="s">
        <v>7748</v>
      </c>
      <c r="H163" s="183">
        <v>162</v>
      </c>
      <c r="J163" s="184" t="s">
        <v>8285</v>
      </c>
      <c r="K163" s="190" t="s">
        <v>7572</v>
      </c>
      <c r="L163" s="182" t="s">
        <v>8286</v>
      </c>
    </row>
    <row r="164" spans="1:12" ht="15">
      <c r="A164" s="135" t="s">
        <v>259</v>
      </c>
      <c r="B164" s="124" t="s">
        <v>7573</v>
      </c>
      <c r="C164" s="124" t="s">
        <v>7573</v>
      </c>
      <c r="E164" s="124" t="s">
        <v>7749</v>
      </c>
      <c r="H164" s="183">
        <v>163</v>
      </c>
      <c r="J164" s="184" t="s">
        <v>8287</v>
      </c>
      <c r="K164" s="190" t="s">
        <v>7573</v>
      </c>
      <c r="L164" s="182" t="s">
        <v>8288</v>
      </c>
    </row>
    <row r="165" spans="1:12" ht="15">
      <c r="A165" s="135" t="s">
        <v>259</v>
      </c>
      <c r="B165" s="124" t="s">
        <v>7574</v>
      </c>
      <c r="C165" s="124" t="s">
        <v>7574</v>
      </c>
      <c r="E165" s="124" t="s">
        <v>7750</v>
      </c>
      <c r="H165" s="183">
        <v>164</v>
      </c>
      <c r="J165" s="184" t="s">
        <v>8289</v>
      </c>
      <c r="K165" s="190" t="s">
        <v>7574</v>
      </c>
      <c r="L165" s="182" t="s">
        <v>8290</v>
      </c>
    </row>
    <row r="166" spans="1:12" ht="15">
      <c r="A166" s="135" t="s">
        <v>259</v>
      </c>
      <c r="B166" s="124" t="s">
        <v>7575</v>
      </c>
      <c r="C166" s="124" t="s">
        <v>7575</v>
      </c>
      <c r="E166" s="124" t="s">
        <v>7751</v>
      </c>
      <c r="H166" s="183">
        <v>165</v>
      </c>
      <c r="J166" s="184" t="s">
        <v>8291</v>
      </c>
      <c r="K166" s="190" t="s">
        <v>7575</v>
      </c>
      <c r="L166" s="182" t="s">
        <v>8292</v>
      </c>
    </row>
    <row r="167" spans="1:12" ht="15">
      <c r="A167" s="135" t="s">
        <v>259</v>
      </c>
      <c r="B167" s="124" t="s">
        <v>7576</v>
      </c>
      <c r="C167" s="124" t="s">
        <v>7576</v>
      </c>
      <c r="E167" s="124" t="s">
        <v>7752</v>
      </c>
      <c r="H167" s="183">
        <v>166</v>
      </c>
      <c r="J167" s="184" t="s">
        <v>8293</v>
      </c>
      <c r="K167" s="190" t="s">
        <v>7576</v>
      </c>
      <c r="L167" s="182" t="s">
        <v>8294</v>
      </c>
    </row>
    <row r="168" spans="1:12" ht="15">
      <c r="A168" s="135" t="s">
        <v>259</v>
      </c>
      <c r="B168" s="124" t="s">
        <v>7577</v>
      </c>
      <c r="C168" s="124" t="s">
        <v>7577</v>
      </c>
      <c r="E168" s="124" t="s">
        <v>7753</v>
      </c>
      <c r="H168" s="183">
        <v>167</v>
      </c>
      <c r="J168" s="184" t="s">
        <v>8295</v>
      </c>
      <c r="K168" s="190" t="s">
        <v>7577</v>
      </c>
      <c r="L168" s="182" t="s">
        <v>8296</v>
      </c>
    </row>
    <row r="169" spans="1:12" ht="15">
      <c r="A169" s="135" t="s">
        <v>259</v>
      </c>
      <c r="B169" s="124" t="s">
        <v>7578</v>
      </c>
      <c r="C169" s="124" t="s">
        <v>7578</v>
      </c>
      <c r="E169" s="124" t="s">
        <v>7754</v>
      </c>
      <c r="H169" s="183">
        <v>168</v>
      </c>
      <c r="J169" s="184" t="s">
        <v>8297</v>
      </c>
      <c r="K169" s="190" t="s">
        <v>7578</v>
      </c>
      <c r="L169" s="182" t="s">
        <v>8298</v>
      </c>
    </row>
    <row r="170" spans="1:12" ht="15">
      <c r="A170" s="135" t="s">
        <v>259</v>
      </c>
      <c r="B170" s="124" t="s">
        <v>7579</v>
      </c>
      <c r="C170" s="124" t="s">
        <v>7579</v>
      </c>
      <c r="E170" s="124" t="s">
        <v>7755</v>
      </c>
      <c r="H170" s="183">
        <v>169</v>
      </c>
      <c r="J170" s="184" t="s">
        <v>8299</v>
      </c>
      <c r="K170" s="190" t="s">
        <v>7579</v>
      </c>
      <c r="L170" s="182" t="s">
        <v>8300</v>
      </c>
    </row>
    <row r="171" spans="1:12" ht="15">
      <c r="A171" s="135" t="s">
        <v>259</v>
      </c>
      <c r="B171" s="124" t="s">
        <v>7580</v>
      </c>
      <c r="C171" s="124" t="s">
        <v>7580</v>
      </c>
      <c r="E171" s="124" t="s">
        <v>7756</v>
      </c>
      <c r="H171" s="183">
        <v>170</v>
      </c>
      <c r="J171" s="184" t="s">
        <v>8301</v>
      </c>
      <c r="K171" s="190" t="s">
        <v>7580</v>
      </c>
      <c r="L171" s="182" t="s">
        <v>8302</v>
      </c>
    </row>
    <row r="172" spans="1:12" ht="15">
      <c r="A172" s="135" t="s">
        <v>259</v>
      </c>
      <c r="B172" s="124" t="s">
        <v>7581</v>
      </c>
      <c r="C172" s="124" t="s">
        <v>7581</v>
      </c>
      <c r="E172" s="124" t="s">
        <v>7757</v>
      </c>
      <c r="H172" s="183">
        <v>171</v>
      </c>
      <c r="J172" s="184" t="s">
        <v>8303</v>
      </c>
      <c r="K172" s="190" t="s">
        <v>7581</v>
      </c>
      <c r="L172" s="182" t="s">
        <v>8304</v>
      </c>
    </row>
    <row r="173" spans="1:12" ht="15">
      <c r="A173" s="135" t="s">
        <v>259</v>
      </c>
      <c r="B173" s="124" t="s">
        <v>7793</v>
      </c>
      <c r="C173" s="124" t="s">
        <v>7793</v>
      </c>
      <c r="E173" s="124" t="s">
        <v>7758</v>
      </c>
      <c r="H173" s="183">
        <v>172</v>
      </c>
      <c r="J173" s="184" t="s">
        <v>8305</v>
      </c>
      <c r="K173" s="190" t="s">
        <v>7793</v>
      </c>
      <c r="L173" s="182" t="s">
        <v>8306</v>
      </c>
    </row>
    <row r="174" spans="1:12" ht="15">
      <c r="A174" s="135" t="s">
        <v>259</v>
      </c>
      <c r="B174" s="124" t="s">
        <v>7794</v>
      </c>
      <c r="C174" s="124" t="s">
        <v>7794</v>
      </c>
      <c r="E174" s="124" t="s">
        <v>7759</v>
      </c>
      <c r="H174" s="183">
        <v>173</v>
      </c>
      <c r="J174" s="184" t="s">
        <v>8307</v>
      </c>
      <c r="K174" s="190" t="s">
        <v>7794</v>
      </c>
      <c r="L174" s="182" t="s">
        <v>8308</v>
      </c>
    </row>
    <row r="175" spans="1:12" ht="15">
      <c r="A175" s="135" t="s">
        <v>259</v>
      </c>
      <c r="B175" s="124" t="s">
        <v>8310</v>
      </c>
      <c r="C175" s="124" t="s">
        <v>8310</v>
      </c>
      <c r="E175" s="124" t="s">
        <v>7760</v>
      </c>
      <c r="H175" s="183">
        <v>174</v>
      </c>
      <c r="J175" s="184" t="s">
        <v>8309</v>
      </c>
      <c r="K175" s="190" t="s">
        <v>8310</v>
      </c>
      <c r="L175" s="182" t="s">
        <v>8311</v>
      </c>
    </row>
    <row r="176" spans="1:12" ht="15">
      <c r="A176" s="135" t="s">
        <v>259</v>
      </c>
      <c r="B176" s="124" t="s">
        <v>8313</v>
      </c>
      <c r="C176" s="124" t="s">
        <v>8313</v>
      </c>
      <c r="E176" s="124" t="s">
        <v>7761</v>
      </c>
      <c r="H176" s="183">
        <v>175</v>
      </c>
      <c r="J176" s="184" t="s">
        <v>8312</v>
      </c>
      <c r="K176" s="190" t="s">
        <v>8313</v>
      </c>
      <c r="L176" s="182" t="s">
        <v>8314</v>
      </c>
    </row>
    <row r="177" spans="1:12" ht="15">
      <c r="A177" s="135" t="s">
        <v>259</v>
      </c>
      <c r="B177" s="124" t="s">
        <v>7582</v>
      </c>
      <c r="C177" s="124" t="s">
        <v>7582</v>
      </c>
      <c r="E177" s="124" t="s">
        <v>7762</v>
      </c>
      <c r="H177" s="183">
        <v>176</v>
      </c>
      <c r="J177" s="184" t="s">
        <v>8315</v>
      </c>
      <c r="K177" s="190" t="s">
        <v>7582</v>
      </c>
      <c r="L177" s="182" t="s">
        <v>8316</v>
      </c>
    </row>
    <row r="178" spans="1:12" ht="15">
      <c r="A178" s="135" t="s">
        <v>259</v>
      </c>
      <c r="B178" s="124" t="s">
        <v>7583</v>
      </c>
      <c r="C178" s="124" t="s">
        <v>7583</v>
      </c>
      <c r="E178" s="124" t="s">
        <v>7763</v>
      </c>
      <c r="H178" s="183">
        <v>177</v>
      </c>
      <c r="J178" s="184" t="s">
        <v>8317</v>
      </c>
      <c r="K178" s="190" t="s">
        <v>7583</v>
      </c>
      <c r="L178" s="182" t="s">
        <v>8318</v>
      </c>
    </row>
    <row r="179" spans="1:12" ht="15">
      <c r="A179" s="135" t="s">
        <v>259</v>
      </c>
      <c r="B179" s="124" t="s">
        <v>7584</v>
      </c>
      <c r="C179" s="124" t="s">
        <v>7584</v>
      </c>
      <c r="E179" s="124" t="s">
        <v>7764</v>
      </c>
      <c r="H179" s="183">
        <v>178</v>
      </c>
      <c r="J179" s="184" t="s">
        <v>8319</v>
      </c>
      <c r="K179" s="190" t="s">
        <v>7584</v>
      </c>
      <c r="L179" s="182" t="s">
        <v>8320</v>
      </c>
    </row>
    <row r="180" spans="1:12" ht="15">
      <c r="A180" s="135" t="s">
        <v>259</v>
      </c>
      <c r="B180" s="124" t="s">
        <v>7585</v>
      </c>
      <c r="C180" s="124" t="s">
        <v>7585</v>
      </c>
      <c r="E180" s="124" t="s">
        <v>7765</v>
      </c>
      <c r="H180" s="183">
        <v>179</v>
      </c>
      <c r="J180" s="184" t="s">
        <v>8321</v>
      </c>
      <c r="K180" s="190" t="s">
        <v>7585</v>
      </c>
      <c r="L180" s="182" t="s">
        <v>8322</v>
      </c>
    </row>
    <row r="181" spans="1:12" ht="15">
      <c r="A181" s="135" t="s">
        <v>259</v>
      </c>
      <c r="B181" s="124" t="s">
        <v>7586</v>
      </c>
      <c r="C181" s="124" t="s">
        <v>7586</v>
      </c>
      <c r="E181" s="124" t="s">
        <v>7766</v>
      </c>
      <c r="H181" s="183">
        <v>180</v>
      </c>
      <c r="J181" s="184" t="s">
        <v>8323</v>
      </c>
      <c r="K181" s="190" t="s">
        <v>7586</v>
      </c>
      <c r="L181" s="182" t="s">
        <v>8324</v>
      </c>
    </row>
    <row r="182" spans="1:12" ht="15">
      <c r="A182" s="135" t="s">
        <v>259</v>
      </c>
      <c r="B182" s="124" t="s">
        <v>7551</v>
      </c>
      <c r="C182" s="124" t="s">
        <v>7551</v>
      </c>
      <c r="E182" s="124" t="s">
        <v>8325</v>
      </c>
      <c r="H182" s="191">
        <v>181</v>
      </c>
      <c r="J182" s="192" t="s">
        <v>8326</v>
      </c>
      <c r="K182" s="193" t="s">
        <v>7551</v>
      </c>
      <c r="L182" s="182" t="s">
        <v>8211</v>
      </c>
    </row>
    <row r="183" spans="1:12" ht="15">
      <c r="A183" s="135" t="s">
        <v>259</v>
      </c>
      <c r="B183" s="124" t="s">
        <v>7551</v>
      </c>
      <c r="C183" s="124" t="s">
        <v>7551</v>
      </c>
      <c r="E183" s="124" t="s">
        <v>8325</v>
      </c>
      <c r="H183" s="191">
        <v>182</v>
      </c>
      <c r="J183" s="192" t="s">
        <v>8326</v>
      </c>
      <c r="K183" s="193" t="s">
        <v>7551</v>
      </c>
      <c r="L183" s="182" t="s">
        <v>8211</v>
      </c>
    </row>
    <row r="184" spans="1:12" ht="15">
      <c r="A184" s="135" t="s">
        <v>259</v>
      </c>
      <c r="B184" s="124" t="s">
        <v>7551</v>
      </c>
      <c r="C184" s="124" t="s">
        <v>7551</v>
      </c>
      <c r="E184" s="124" t="s">
        <v>8325</v>
      </c>
      <c r="H184" s="191">
        <v>183</v>
      </c>
      <c r="J184" s="192" t="s">
        <v>8326</v>
      </c>
      <c r="K184" s="193" t="s">
        <v>7551</v>
      </c>
      <c r="L184" s="182" t="s">
        <v>8211</v>
      </c>
    </row>
    <row r="185" spans="1:12" ht="15">
      <c r="A185" s="135" t="s">
        <v>259</v>
      </c>
      <c r="B185" s="124" t="s">
        <v>7551</v>
      </c>
      <c r="C185" s="124" t="s">
        <v>7551</v>
      </c>
      <c r="E185" s="124" t="s">
        <v>8325</v>
      </c>
      <c r="H185" s="191">
        <v>184</v>
      </c>
      <c r="J185" s="192" t="s">
        <v>8326</v>
      </c>
      <c r="K185" s="193" t="s">
        <v>7551</v>
      </c>
      <c r="L185" s="182" t="s">
        <v>8211</v>
      </c>
    </row>
    <row r="186" spans="1:12" ht="15">
      <c r="A186" s="135" t="s">
        <v>259</v>
      </c>
      <c r="B186" s="124" t="s">
        <v>7524</v>
      </c>
      <c r="C186" s="124" t="s">
        <v>7524</v>
      </c>
      <c r="E186" s="124" t="s">
        <v>8325</v>
      </c>
      <c r="H186" s="191">
        <v>185</v>
      </c>
      <c r="J186" s="192" t="s">
        <v>8327</v>
      </c>
      <c r="K186" s="193" t="s">
        <v>7524</v>
      </c>
      <c r="L186" s="194" t="s">
        <v>8137</v>
      </c>
    </row>
    <row r="187" spans="1:12" ht="15">
      <c r="A187" s="135" t="s">
        <v>259</v>
      </c>
      <c r="B187" s="124" t="s">
        <v>7524</v>
      </c>
      <c r="C187" s="124" t="s">
        <v>7524</v>
      </c>
      <c r="E187" s="124" t="s">
        <v>8325</v>
      </c>
      <c r="H187" s="191">
        <v>186</v>
      </c>
      <c r="J187" s="192" t="s">
        <v>8327</v>
      </c>
      <c r="K187" s="193" t="s">
        <v>7524</v>
      </c>
      <c r="L187" s="194" t="s">
        <v>8137</v>
      </c>
    </row>
    <row r="188" spans="1:12" ht="15">
      <c r="A188" s="135" t="s">
        <v>259</v>
      </c>
      <c r="B188" s="124" t="s">
        <v>7524</v>
      </c>
      <c r="C188" s="124" t="s">
        <v>7524</v>
      </c>
      <c r="E188" s="124" t="s">
        <v>8325</v>
      </c>
      <c r="H188" s="191">
        <v>187</v>
      </c>
      <c r="J188" s="192" t="s">
        <v>8327</v>
      </c>
      <c r="K188" s="193" t="s">
        <v>7524</v>
      </c>
      <c r="L188" s="194" t="s">
        <v>8137</v>
      </c>
    </row>
    <row r="189" spans="1:12" ht="15">
      <c r="A189" s="135" t="s">
        <v>259</v>
      </c>
      <c r="B189" s="124" t="s">
        <v>7524</v>
      </c>
      <c r="C189" s="124" t="s">
        <v>7524</v>
      </c>
      <c r="E189" s="124" t="s">
        <v>8325</v>
      </c>
      <c r="H189" s="191">
        <v>188</v>
      </c>
      <c r="J189" s="192" t="s">
        <v>8327</v>
      </c>
      <c r="K189" s="193" t="s">
        <v>7524</v>
      </c>
      <c r="L189" s="194" t="s">
        <v>8137</v>
      </c>
    </row>
    <row r="190" spans="1:12" ht="15">
      <c r="A190" s="135" t="s">
        <v>259</v>
      </c>
      <c r="B190" s="124" t="s">
        <v>8329</v>
      </c>
      <c r="C190" s="124" t="s">
        <v>8329</v>
      </c>
      <c r="E190" s="124" t="s">
        <v>8325</v>
      </c>
      <c r="H190" s="191">
        <v>189</v>
      </c>
      <c r="J190" s="192" t="s">
        <v>8328</v>
      </c>
      <c r="K190" s="193" t="s">
        <v>8329</v>
      </c>
      <c r="L190" s="182" t="s">
        <v>8330</v>
      </c>
    </row>
    <row r="191" spans="1:12" ht="15">
      <c r="A191" s="135" t="s">
        <v>259</v>
      </c>
      <c r="B191" s="124" t="s">
        <v>8329</v>
      </c>
      <c r="C191" s="124" t="s">
        <v>8329</v>
      </c>
      <c r="E191" s="124" t="s">
        <v>8325</v>
      </c>
      <c r="H191" s="191">
        <v>190</v>
      </c>
      <c r="J191" s="192" t="s">
        <v>8328</v>
      </c>
      <c r="K191" s="193" t="s">
        <v>8329</v>
      </c>
      <c r="L191" s="182" t="s">
        <v>8330</v>
      </c>
    </row>
    <row r="192" spans="1:12" ht="15">
      <c r="A192" s="135" t="s">
        <v>259</v>
      </c>
      <c r="B192" s="124" t="s">
        <v>8329</v>
      </c>
      <c r="C192" s="124" t="s">
        <v>8329</v>
      </c>
      <c r="E192" s="124" t="s">
        <v>8325</v>
      </c>
      <c r="H192" s="191">
        <v>191</v>
      </c>
      <c r="J192" s="192" t="s">
        <v>8328</v>
      </c>
      <c r="K192" s="193" t="s">
        <v>8329</v>
      </c>
      <c r="L192" s="182" t="s">
        <v>8330</v>
      </c>
    </row>
    <row r="193" spans="1:12" ht="15">
      <c r="A193" s="135" t="s">
        <v>259</v>
      </c>
      <c r="B193" s="124" t="s">
        <v>8329</v>
      </c>
      <c r="C193" s="124" t="s">
        <v>8329</v>
      </c>
      <c r="E193" s="124" t="s">
        <v>8325</v>
      </c>
      <c r="H193" s="195">
        <v>192</v>
      </c>
      <c r="J193" s="196" t="s">
        <v>8328</v>
      </c>
      <c r="K193" s="197" t="s">
        <v>8329</v>
      </c>
      <c r="L193" s="182" t="s">
        <v>8330</v>
      </c>
    </row>
    <row r="194" spans="1:12">
      <c r="A194" s="135" t="s">
        <v>259</v>
      </c>
    </row>
    <row r="195" spans="1:12">
      <c r="A195" s="135" t="s">
        <v>259</v>
      </c>
    </row>
    <row r="196" spans="1:12">
      <c r="A196" s="135" t="s">
        <v>259</v>
      </c>
    </row>
    <row r="197" spans="1:12">
      <c r="A197" s="135" t="s">
        <v>259</v>
      </c>
    </row>
    <row r="198" spans="1:12">
      <c r="A198" s="135" t="s">
        <v>259</v>
      </c>
    </row>
    <row r="199" spans="1:12">
      <c r="A199" s="135" t="s">
        <v>259</v>
      </c>
    </row>
    <row r="200" spans="1:12">
      <c r="A200" s="135" t="s">
        <v>259</v>
      </c>
    </row>
    <row r="201" spans="1:12">
      <c r="A201" s="135" t="s">
        <v>259</v>
      </c>
    </row>
    <row r="202" spans="1:12">
      <c r="A202" s="135" t="s">
        <v>259</v>
      </c>
    </row>
    <row r="203" spans="1:12">
      <c r="A203" s="135" t="s">
        <v>259</v>
      </c>
    </row>
    <row r="204" spans="1:12">
      <c r="A204" s="135" t="s">
        <v>259</v>
      </c>
    </row>
    <row r="205" spans="1:12">
      <c r="A205" s="135" t="s">
        <v>259</v>
      </c>
    </row>
    <row r="206" spans="1:12">
      <c r="A206" s="135" t="s">
        <v>259</v>
      </c>
    </row>
    <row r="207" spans="1:12">
      <c r="A207" s="135" t="s">
        <v>259</v>
      </c>
    </row>
    <row r="208" spans="1:12">
      <c r="A208" s="135" t="s">
        <v>259</v>
      </c>
    </row>
    <row r="209" spans="1:1">
      <c r="A209" s="135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rintOptions gridLines="1"/>
  <pageMargins left="0.78740157480314965" right="0.78740157480314965" top="0.6692913385826772" bottom="0.6692913385826772" header="0.39370078740157483" footer="0.59055118110236227"/>
  <pageSetup paperSize="9" scale="90" firstPageNumber="0" fitToHeight="3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89" zoomScaleNormal="89" workbookViewId="0">
      <selection activeCell="D12" sqref="D12"/>
    </sheetView>
  </sheetViews>
  <sheetFormatPr baseColWidth="10" defaultColWidth="10.7109375" defaultRowHeight="12.75"/>
  <cols>
    <col min="1" max="1" width="7.42578125" style="124" customWidth="1"/>
    <col min="2" max="2" width="11.7109375" style="124" customWidth="1"/>
    <col min="3" max="3" width="17.42578125" style="124" customWidth="1"/>
    <col min="4" max="4" width="21.5703125" style="112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26" t="s">
        <v>266</v>
      </c>
      <c r="B2" s="126" t="s">
        <v>267</v>
      </c>
      <c r="C2" s="126" t="s">
        <v>268</v>
      </c>
      <c r="D2" s="112" t="s">
        <v>8415</v>
      </c>
    </row>
    <row r="3" spans="1:4">
      <c r="A3" s="124" t="s">
        <v>266</v>
      </c>
      <c r="B3" s="124" t="s">
        <v>269</v>
      </c>
      <c r="C3" s="124" t="s">
        <v>270</v>
      </c>
      <c r="D3" s="112" t="s">
        <v>8444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3"/>
  <sheetViews>
    <sheetView zoomScale="95" zoomScaleNormal="95" workbookViewId="0">
      <selection activeCellId="1" sqref="A2:B2 A1"/>
    </sheetView>
  </sheetViews>
  <sheetFormatPr baseColWidth="10" defaultColWidth="12.85546875" defaultRowHeight="12.75"/>
  <cols>
    <col min="1" max="1" width="13.28515625" style="124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6" t="s">
        <v>271</v>
      </c>
      <c r="B2" s="112" t="s">
        <v>271</v>
      </c>
    </row>
    <row r="3" spans="1:4">
      <c r="A3" s="137" t="s">
        <v>272</v>
      </c>
      <c r="B3" s="138" t="s">
        <v>273</v>
      </c>
      <c r="D3" s="112" t="s">
        <v>271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3:E10"/>
  <sheetViews>
    <sheetView workbookViewId="0">
      <selection activeCell="A3" sqref="A3"/>
    </sheetView>
  </sheetViews>
  <sheetFormatPr baseColWidth="10" defaultRowHeight="12"/>
  <cols>
    <col min="1" max="1" width="19.28515625" bestFit="1" customWidth="1"/>
    <col min="2" max="2" width="21.85546875" bestFit="1" customWidth="1"/>
    <col min="3" max="3" width="12" customWidth="1"/>
    <col min="4" max="4" width="6.5703125" customWidth="1"/>
    <col min="5" max="5" width="12" bestFit="1" customWidth="1"/>
  </cols>
  <sheetData>
    <row r="3" spans="1:5">
      <c r="A3" s="300" t="s">
        <v>8500</v>
      </c>
      <c r="B3" s="300" t="s">
        <v>8499</v>
      </c>
    </row>
    <row r="4" spans="1:5">
      <c r="A4" s="300" t="s">
        <v>8496</v>
      </c>
      <c r="B4" t="s">
        <v>267</v>
      </c>
      <c r="C4" t="s">
        <v>269</v>
      </c>
      <c r="D4" t="s">
        <v>8497</v>
      </c>
      <c r="E4" t="s">
        <v>8498</v>
      </c>
    </row>
    <row r="5" spans="1:5">
      <c r="A5" s="301">
        <v>1</v>
      </c>
      <c r="B5" s="302"/>
      <c r="C5" s="302" t="e">
        <v>#DIV/0!</v>
      </c>
      <c r="D5" s="302"/>
      <c r="E5" s="302" t="e">
        <v>#DIV/0!</v>
      </c>
    </row>
    <row r="6" spans="1:5">
      <c r="A6" s="301">
        <v>2</v>
      </c>
      <c r="B6" s="302"/>
      <c r="C6" s="302">
        <v>19.262376021021012</v>
      </c>
      <c r="D6" s="302"/>
      <c r="E6" s="302">
        <v>19.262376021021012</v>
      </c>
    </row>
    <row r="7" spans="1:5">
      <c r="A7" s="301">
        <v>3</v>
      </c>
      <c r="B7" s="302">
        <v>20.587286726726731</v>
      </c>
      <c r="C7" s="302"/>
      <c r="D7" s="302"/>
      <c r="E7" s="302">
        <v>20.587286726726731</v>
      </c>
    </row>
    <row r="8" spans="1:5">
      <c r="A8" s="301">
        <v>4</v>
      </c>
      <c r="B8" s="302">
        <v>20.909582877877877</v>
      </c>
      <c r="C8" s="302"/>
      <c r="D8" s="302"/>
      <c r="E8" s="302">
        <v>20.909582877877877</v>
      </c>
    </row>
    <row r="9" spans="1:5">
      <c r="A9" s="301" t="s">
        <v>8497</v>
      </c>
      <c r="B9" s="302"/>
      <c r="C9" s="302"/>
      <c r="D9" s="302" t="e">
        <v>#DIV/0!</v>
      </c>
      <c r="E9" s="302" t="e">
        <v>#DIV/0!</v>
      </c>
    </row>
    <row r="10" spans="1:5">
      <c r="A10" s="301" t="s">
        <v>8498</v>
      </c>
      <c r="B10" s="302">
        <v>20.748434802302306</v>
      </c>
      <c r="C10" s="302" t="e">
        <v>#DIV/0!</v>
      </c>
      <c r="D10" s="302" t="e">
        <v>#DIV/0!</v>
      </c>
      <c r="E10" s="302" t="e">
        <v>#DIV/0!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O866"/>
  <sheetViews>
    <sheetView tabSelected="1" zoomScale="95" zoomScaleNormal="95" workbookViewId="0">
      <pane xSplit="9" ySplit="1" topLeftCell="AA820" activePane="bottomRight" state="frozen"/>
      <selection pane="topRight" activeCell="I1" sqref="I1"/>
      <selection pane="bottomLeft" activeCell="A2" sqref="A2"/>
      <selection pane="bottomRight" activeCell="AD866" sqref="AD866"/>
    </sheetView>
  </sheetViews>
  <sheetFormatPr baseColWidth="10" defaultColWidth="11.28515625" defaultRowHeight="12.75"/>
  <cols>
    <col min="1" max="1" width="12.140625" style="161" customWidth="1"/>
    <col min="2" max="2" width="26.42578125" style="161" bestFit="1" customWidth="1"/>
    <col min="3" max="3" width="8.140625" style="112" bestFit="1" customWidth="1"/>
    <col min="4" max="4" width="5.28515625" style="112" bestFit="1" customWidth="1"/>
    <col min="5" max="5" width="9" style="112" bestFit="1" customWidth="1"/>
    <col min="6" max="7" width="3.140625" style="113" bestFit="1" customWidth="1"/>
    <col min="8" max="8" width="5.42578125" style="113" bestFit="1" customWidth="1"/>
    <col min="9" max="9" width="5.28515625" style="113" bestFit="1" customWidth="1"/>
    <col min="10" max="11" width="18.140625" style="112" bestFit="1" customWidth="1"/>
    <col min="12" max="12" width="17.28515625" style="139" bestFit="1" customWidth="1"/>
    <col min="13" max="13" width="16.7109375" style="159" bestFit="1" customWidth="1"/>
    <col min="14" max="14" width="20.85546875" style="159" bestFit="1" customWidth="1"/>
    <col min="15" max="15" width="20.28515625" style="159" bestFit="1" customWidth="1"/>
    <col min="16" max="16" width="8.28515625" style="139" bestFit="1" customWidth="1"/>
    <col min="17" max="17" width="7.7109375" style="159" bestFit="1" customWidth="1"/>
    <col min="18" max="18" width="9.5703125" style="139" bestFit="1" customWidth="1"/>
    <col min="19" max="19" width="9" style="159" bestFit="1" customWidth="1"/>
    <col min="20" max="20" width="9.28515625" style="139" bestFit="1" customWidth="1"/>
    <col min="21" max="21" width="11" style="159" bestFit="1" customWidth="1"/>
    <col min="22" max="22" width="19.140625" style="139" bestFit="1" customWidth="1"/>
    <col min="23" max="23" width="16.28515625" style="159" bestFit="1" customWidth="1"/>
    <col min="24" max="24" width="16" style="139" bestFit="1" customWidth="1"/>
    <col min="25" max="25" width="15.28515625" style="159" bestFit="1" customWidth="1"/>
    <col min="26" max="26" width="9.7109375" style="139" bestFit="1" customWidth="1"/>
    <col min="27" max="27" width="9.140625" style="159" bestFit="1" customWidth="1"/>
    <col min="28" max="28" width="9.140625" style="139" bestFit="1" customWidth="1"/>
    <col min="29" max="29" width="8.5703125" style="159" bestFit="1" customWidth="1"/>
    <col min="30" max="30" width="9.140625" style="139" bestFit="1" customWidth="1"/>
    <col min="31" max="31" width="8.140625" style="159" bestFit="1" customWidth="1"/>
    <col min="32" max="32" width="15.140625" style="139" bestFit="1" customWidth="1"/>
    <col min="33" max="33" width="14.42578125" style="159" bestFit="1" customWidth="1"/>
    <col min="34" max="34" width="10.85546875" style="159" bestFit="1" customWidth="1"/>
    <col min="35" max="35" width="10.28515625" style="159" bestFit="1" customWidth="1"/>
    <col min="36" max="36" width="17" style="159" bestFit="1" customWidth="1"/>
    <col min="37" max="37" width="16.42578125" style="159" bestFit="1" customWidth="1"/>
    <col min="38" max="38" width="18.85546875" style="139" bestFit="1" customWidth="1"/>
    <col min="39" max="39" width="18.140625" style="159" bestFit="1" customWidth="1"/>
    <col min="40" max="40" width="18.5703125" style="139" bestFit="1" customWidth="1"/>
    <col min="41" max="41" width="18" style="159" bestFit="1" customWidth="1"/>
    <col min="42" max="42" width="18.5703125" style="139" bestFit="1" customWidth="1"/>
    <col min="43" max="43" width="18" style="139" bestFit="1" customWidth="1"/>
    <col min="44" max="44" width="20.28515625" style="139" bestFit="1" customWidth="1"/>
    <col min="45" max="45" width="19.7109375" style="139" bestFit="1" customWidth="1"/>
    <col min="46" max="46" width="24.5703125" style="139" bestFit="1" customWidth="1"/>
    <col min="47" max="47" width="23.7109375" style="139" bestFit="1" customWidth="1"/>
    <col min="48" max="48" width="19" style="139" bestFit="1" customWidth="1"/>
    <col min="49" max="49" width="18.28515625" style="139" bestFit="1" customWidth="1"/>
    <col min="50" max="50" width="19" style="139" bestFit="1" customWidth="1"/>
    <col min="51" max="51" width="18.28515625" style="139" bestFit="1" customWidth="1"/>
    <col min="52" max="52" width="22.140625" style="139" bestFit="1" customWidth="1"/>
    <col min="53" max="53" width="21.42578125" style="139" bestFit="1" customWidth="1"/>
    <col min="54" max="54" width="17.140625" style="139" bestFit="1" customWidth="1"/>
    <col min="55" max="55" width="16.42578125" style="139" bestFit="1" customWidth="1"/>
    <col min="56" max="56" width="27.140625" style="139" bestFit="1" customWidth="1"/>
    <col min="57" max="57" width="26.42578125" style="139" bestFit="1" customWidth="1"/>
    <col min="58" max="58" width="12.28515625" style="140" bestFit="1" customWidth="1"/>
    <col min="59" max="59" width="11.5703125" style="140" bestFit="1" customWidth="1"/>
    <col min="60" max="60" width="12.85546875" style="140" bestFit="1" customWidth="1"/>
    <col min="61" max="61" width="12.140625" style="140" bestFit="1" customWidth="1"/>
    <col min="62" max="62" width="13.7109375" style="140" bestFit="1" customWidth="1"/>
    <col min="63" max="63" width="12.5703125" style="140" bestFit="1" customWidth="1"/>
    <col min="64" max="64" width="13.42578125" style="140" bestFit="1" customWidth="1"/>
    <col min="65" max="65" width="12.7109375" style="140" bestFit="1" customWidth="1"/>
    <col min="66" max="66" width="11.28515625" style="140"/>
    <col min="67" max="67" width="10.5703125" style="140" bestFit="1" customWidth="1"/>
    <col min="68" max="68" width="14" style="140" bestFit="1" customWidth="1"/>
    <col min="69" max="69" width="13.28515625" style="140" bestFit="1" customWidth="1"/>
    <col min="70" max="70" width="15.28515625" style="140" bestFit="1" customWidth="1"/>
    <col min="71" max="71" width="14.5703125" style="140" bestFit="1" customWidth="1"/>
    <col min="72" max="72" width="9.7109375" style="140" customWidth="1"/>
    <col min="73" max="73" width="9.85546875" style="140" bestFit="1" customWidth="1"/>
    <col min="74" max="74" width="7.85546875" style="140" bestFit="1" customWidth="1"/>
    <col min="75" max="75" width="9.85546875" style="140" bestFit="1" customWidth="1"/>
    <col min="76" max="76" width="9.5703125" style="140" bestFit="1" customWidth="1"/>
    <col min="77" max="77" width="11" style="140" bestFit="1" customWidth="1"/>
    <col min="78" max="78" width="19.7109375" style="140" bestFit="1" customWidth="1"/>
    <col min="79" max="79" width="19" style="140" bestFit="1" customWidth="1"/>
    <col min="80" max="80" width="13" style="140" bestFit="1" customWidth="1"/>
    <col min="81" max="81" width="12.28515625" style="140" bestFit="1" customWidth="1"/>
    <col min="82" max="82" width="20.140625" style="140" bestFit="1" customWidth="1"/>
    <col min="83" max="83" width="19.42578125" style="140" bestFit="1" customWidth="1"/>
    <col min="84" max="84" width="18.7109375" style="140" bestFit="1" customWidth="1"/>
    <col min="85" max="85" width="18" style="140" bestFit="1" customWidth="1"/>
    <col min="86" max="86" width="16.42578125" style="140" bestFit="1" customWidth="1"/>
    <col min="87" max="87" width="15.5703125" style="140" bestFit="1" customWidth="1"/>
    <col min="88" max="88" width="7" style="140" bestFit="1" customWidth="1"/>
    <col min="89" max="89" width="6" style="140" bestFit="1" customWidth="1"/>
    <col min="90" max="90" width="8.7109375" style="140" bestFit="1" customWidth="1"/>
    <col min="91" max="91" width="14" style="140" bestFit="1" customWidth="1"/>
    <col min="92" max="92" width="13.28515625" style="140" bestFit="1" customWidth="1"/>
    <col min="93" max="93" width="11.140625" style="140" bestFit="1" customWidth="1"/>
    <col min="94" max="16384" width="11.28515625" style="140"/>
  </cols>
  <sheetData>
    <row r="1" spans="1:93" s="143" customFormat="1" ht="13.5" thickBot="1">
      <c r="A1" s="162" t="s">
        <v>150</v>
      </c>
      <c r="B1" s="162" t="s">
        <v>147</v>
      </c>
      <c r="C1" s="115" t="s">
        <v>171</v>
      </c>
      <c r="D1" s="115" t="s">
        <v>187</v>
      </c>
      <c r="E1" s="115" t="s">
        <v>274</v>
      </c>
      <c r="F1" s="116" t="s">
        <v>21</v>
      </c>
      <c r="G1" s="116" t="s">
        <v>22</v>
      </c>
      <c r="H1" s="116" t="s">
        <v>192</v>
      </c>
      <c r="I1" s="116" t="s">
        <v>193</v>
      </c>
      <c r="J1" s="141" t="s">
        <v>8342</v>
      </c>
      <c r="K1" s="115" t="s">
        <v>8343</v>
      </c>
      <c r="L1" s="141" t="s">
        <v>8344</v>
      </c>
      <c r="M1" s="158" t="s">
        <v>8345</v>
      </c>
      <c r="N1" s="141" t="s">
        <v>8346</v>
      </c>
      <c r="O1" s="158" t="s">
        <v>8347</v>
      </c>
      <c r="P1" s="141" t="s">
        <v>8348</v>
      </c>
      <c r="Q1" s="158" t="s">
        <v>8349</v>
      </c>
      <c r="R1" s="141" t="s">
        <v>8350</v>
      </c>
      <c r="S1" s="158" t="s">
        <v>8351</v>
      </c>
      <c r="T1" s="141" t="s">
        <v>284</v>
      </c>
      <c r="U1" s="158" t="s">
        <v>285</v>
      </c>
      <c r="V1" s="141" t="s">
        <v>8352</v>
      </c>
      <c r="W1" s="158" t="s">
        <v>8353</v>
      </c>
      <c r="X1" s="141" t="s">
        <v>8354</v>
      </c>
      <c r="Y1" s="158" t="s">
        <v>8355</v>
      </c>
      <c r="Z1" s="141" t="s">
        <v>282</v>
      </c>
      <c r="AA1" s="158" t="s">
        <v>283</v>
      </c>
      <c r="AB1" s="141" t="s">
        <v>278</v>
      </c>
      <c r="AC1" s="158" t="s">
        <v>279</v>
      </c>
      <c r="AD1" s="141" t="s">
        <v>275</v>
      </c>
      <c r="AE1" s="158" t="s">
        <v>8356</v>
      </c>
      <c r="AF1" s="141" t="s">
        <v>8357</v>
      </c>
      <c r="AG1" s="158" t="s">
        <v>8358</v>
      </c>
      <c r="AH1" s="141" t="s">
        <v>276</v>
      </c>
      <c r="AI1" s="158" t="s">
        <v>277</v>
      </c>
      <c r="AJ1" s="141" t="s">
        <v>8359</v>
      </c>
      <c r="AK1" s="158" t="s">
        <v>8360</v>
      </c>
      <c r="AL1" s="141" t="s">
        <v>8361</v>
      </c>
      <c r="AM1" s="158" t="s">
        <v>8362</v>
      </c>
      <c r="AN1" s="141" t="s">
        <v>8363</v>
      </c>
      <c r="AO1" s="158" t="s">
        <v>8364</v>
      </c>
      <c r="AP1" s="158" t="s">
        <v>8365</v>
      </c>
      <c r="AQ1" s="158" t="s">
        <v>8366</v>
      </c>
      <c r="AR1" s="158" t="s">
        <v>8367</v>
      </c>
      <c r="AS1" s="158" t="s">
        <v>8368</v>
      </c>
      <c r="AT1" s="158" t="s">
        <v>8369</v>
      </c>
      <c r="AU1" s="158" t="s">
        <v>8370</v>
      </c>
      <c r="AV1" s="158" t="s">
        <v>8371</v>
      </c>
      <c r="AW1" s="158" t="s">
        <v>8372</v>
      </c>
      <c r="AX1" s="158" t="s">
        <v>8373</v>
      </c>
      <c r="AY1" s="158" t="s">
        <v>8374</v>
      </c>
      <c r="AZ1" s="160" t="s">
        <v>8375</v>
      </c>
      <c r="BA1" s="160" t="s">
        <v>8376</v>
      </c>
      <c r="BB1" s="160" t="s">
        <v>8377</v>
      </c>
      <c r="BC1" s="160" t="s">
        <v>8378</v>
      </c>
      <c r="BD1" s="160" t="s">
        <v>8379</v>
      </c>
      <c r="BE1" s="142" t="s">
        <v>8380</v>
      </c>
      <c r="BF1" s="143" t="s">
        <v>8381</v>
      </c>
      <c r="BG1" s="143" t="s">
        <v>8382</v>
      </c>
      <c r="BH1" s="143" t="s">
        <v>8383</v>
      </c>
      <c r="BI1" s="143" t="s">
        <v>8384</v>
      </c>
      <c r="BJ1" s="143" t="s">
        <v>8385</v>
      </c>
      <c r="BK1" s="143" t="s">
        <v>8386</v>
      </c>
      <c r="BL1" s="143" t="s">
        <v>8387</v>
      </c>
      <c r="BM1" s="143" t="s">
        <v>8388</v>
      </c>
      <c r="BN1" s="143" t="s">
        <v>8389</v>
      </c>
      <c r="BO1" s="143" t="s">
        <v>8390</v>
      </c>
      <c r="BP1" s="143" t="s">
        <v>8391</v>
      </c>
      <c r="BQ1" s="143" t="s">
        <v>8392</v>
      </c>
      <c r="BR1" s="143" t="s">
        <v>8393</v>
      </c>
      <c r="BS1" s="143" t="s">
        <v>8394</v>
      </c>
      <c r="BT1" s="143" t="s">
        <v>280</v>
      </c>
      <c r="BU1" s="143" t="s">
        <v>281</v>
      </c>
      <c r="BV1" s="143" t="s">
        <v>8395</v>
      </c>
      <c r="BW1" s="143" t="s">
        <v>8396</v>
      </c>
      <c r="BX1" s="143" t="s">
        <v>8397</v>
      </c>
      <c r="BY1" s="143" t="s">
        <v>8398</v>
      </c>
      <c r="BZ1" s="143" t="s">
        <v>8399</v>
      </c>
      <c r="CA1" s="143" t="s">
        <v>8400</v>
      </c>
      <c r="CB1" s="143" t="s">
        <v>8401</v>
      </c>
      <c r="CC1" s="143" t="s">
        <v>8402</v>
      </c>
      <c r="CD1" s="143" t="s">
        <v>8403</v>
      </c>
      <c r="CE1" s="143" t="s">
        <v>8404</v>
      </c>
      <c r="CF1" s="143" t="s">
        <v>8405</v>
      </c>
      <c r="CG1" s="143" t="s">
        <v>8406</v>
      </c>
      <c r="CH1" s="143" t="s">
        <v>8407</v>
      </c>
      <c r="CI1" s="143" t="s">
        <v>8408</v>
      </c>
      <c r="CJ1" s="143" t="s">
        <v>8409</v>
      </c>
      <c r="CK1" s="143" t="s">
        <v>7799</v>
      </c>
      <c r="CL1" s="143" t="s">
        <v>7951</v>
      </c>
      <c r="CM1" s="143" t="s">
        <v>8410</v>
      </c>
      <c r="CN1" s="143" t="s">
        <v>8411</v>
      </c>
      <c r="CO1" s="143" t="s">
        <v>8412</v>
      </c>
    </row>
    <row r="2" spans="1:93" ht="15" customHeight="1">
      <c r="A2" s="126" t="s">
        <v>7704</v>
      </c>
      <c r="B2" s="126" t="s">
        <v>7779</v>
      </c>
      <c r="C2" s="268" t="s">
        <v>269</v>
      </c>
      <c r="D2" s="257">
        <v>2</v>
      </c>
      <c r="E2" s="179">
        <v>118</v>
      </c>
      <c r="F2" s="257">
        <v>12</v>
      </c>
      <c r="G2" s="257">
        <v>32</v>
      </c>
      <c r="J2" s="265"/>
      <c r="L2" s="257">
        <v>8</v>
      </c>
      <c r="N2" s="257">
        <v>0.16</v>
      </c>
      <c r="O2" s="159">
        <v>42191</v>
      </c>
      <c r="T2" s="257">
        <v>0.45</v>
      </c>
      <c r="U2" s="256">
        <v>42200</v>
      </c>
      <c r="V2" s="145">
        <v>18.5</v>
      </c>
      <c r="W2" s="159">
        <v>42191</v>
      </c>
      <c r="AD2" s="145">
        <f>(N2/V2)*(((100-CD2)/100)*((100-2)/100))*100</f>
        <v>0.80942702702702707</v>
      </c>
      <c r="AF2" s="257">
        <v>0.93</v>
      </c>
      <c r="AG2" s="159">
        <v>42191</v>
      </c>
      <c r="AJ2" s="257">
        <v>120</v>
      </c>
      <c r="AN2" s="257">
        <v>107</v>
      </c>
      <c r="BB2" s="257">
        <v>1</v>
      </c>
      <c r="BN2" s="242">
        <v>63.406999999999996</v>
      </c>
      <c r="BO2" s="256">
        <v>42200</v>
      </c>
      <c r="BT2" s="242">
        <v>48.6947021484375</v>
      </c>
      <c r="BU2" s="256">
        <v>42200</v>
      </c>
      <c r="BV2" s="242">
        <v>18.151777267456055</v>
      </c>
      <c r="BW2" s="256">
        <v>42200</v>
      </c>
      <c r="BX2" s="242">
        <v>25.82</v>
      </c>
      <c r="BY2" s="256">
        <v>42200</v>
      </c>
      <c r="CD2" s="257">
        <v>4.5</v>
      </c>
      <c r="CE2" s="159">
        <v>42191</v>
      </c>
      <c r="CM2" s="255">
        <v>9</v>
      </c>
      <c r="CN2" s="256">
        <v>42180</v>
      </c>
      <c r="CO2" s="140" t="s">
        <v>8448</v>
      </c>
    </row>
    <row r="3" spans="1:93" ht="15" customHeight="1">
      <c r="A3" s="124" t="s">
        <v>7635</v>
      </c>
      <c r="B3" s="124" t="s">
        <v>7487</v>
      </c>
      <c r="C3" s="268" t="s">
        <v>269</v>
      </c>
      <c r="D3" s="257">
        <v>2</v>
      </c>
      <c r="E3" s="183">
        <v>49</v>
      </c>
      <c r="F3" s="257">
        <v>7</v>
      </c>
      <c r="G3" s="257">
        <v>23</v>
      </c>
      <c r="J3" s="265"/>
      <c r="K3" s="265"/>
      <c r="L3" s="257">
        <v>3</v>
      </c>
      <c r="N3" s="257">
        <v>0.36</v>
      </c>
      <c r="O3" s="159">
        <v>42191</v>
      </c>
      <c r="T3" s="257">
        <v>1.02</v>
      </c>
      <c r="U3" s="256">
        <v>42200</v>
      </c>
      <c r="V3" s="145">
        <v>18.5</v>
      </c>
      <c r="W3" s="159">
        <v>42191</v>
      </c>
      <c r="AD3" s="145">
        <f>(N3/V3)*(((100-CD3)/100)*((100-2)/100))*100</f>
        <v>1.8212108108108107</v>
      </c>
      <c r="AF3" s="257">
        <v>2.08</v>
      </c>
      <c r="AG3" s="159">
        <v>42191</v>
      </c>
      <c r="AJ3" s="257">
        <v>140</v>
      </c>
      <c r="AN3" s="257">
        <v>105</v>
      </c>
      <c r="BB3" s="257">
        <v>1</v>
      </c>
      <c r="BN3" s="242">
        <v>62.936999999999998</v>
      </c>
      <c r="BO3" s="256">
        <v>42200</v>
      </c>
      <c r="BT3" s="242">
        <v>48.999702453613281</v>
      </c>
      <c r="BU3" s="256">
        <v>42200</v>
      </c>
      <c r="BV3" s="242">
        <v>18.895929336547852</v>
      </c>
      <c r="BW3" s="256">
        <v>42200</v>
      </c>
      <c r="BX3" s="242">
        <v>21.620999999999999</v>
      </c>
      <c r="BY3" s="256">
        <v>42200</v>
      </c>
      <c r="CD3" s="257">
        <v>4.5</v>
      </c>
      <c r="CE3" s="159">
        <v>42191</v>
      </c>
      <c r="CM3" s="255">
        <v>5</v>
      </c>
      <c r="CN3" s="256">
        <v>42180</v>
      </c>
      <c r="CO3" s="140" t="s">
        <v>8448</v>
      </c>
    </row>
    <row r="4" spans="1:93" ht="15" customHeight="1">
      <c r="A4" s="124" t="s">
        <v>7607</v>
      </c>
      <c r="B4" s="124" t="s">
        <v>7462</v>
      </c>
      <c r="C4" s="268" t="s">
        <v>269</v>
      </c>
      <c r="D4" s="257">
        <v>2</v>
      </c>
      <c r="E4" s="183">
        <v>21</v>
      </c>
      <c r="F4" s="257">
        <v>7</v>
      </c>
      <c r="G4" s="257">
        <v>24</v>
      </c>
      <c r="J4" s="283"/>
      <c r="K4" s="265"/>
      <c r="L4" s="257">
        <v>6</v>
      </c>
      <c r="N4" s="257">
        <v>0.62</v>
      </c>
      <c r="O4" s="159">
        <v>42191</v>
      </c>
      <c r="P4" s="144"/>
      <c r="R4" s="145"/>
      <c r="T4" s="257">
        <v>1.73</v>
      </c>
      <c r="U4" s="256">
        <v>42200</v>
      </c>
      <c r="V4" s="145">
        <v>18.5</v>
      </c>
      <c r="W4" s="159">
        <v>42191</v>
      </c>
      <c r="X4" s="145"/>
      <c r="Z4" s="145"/>
      <c r="AB4" s="145"/>
      <c r="AD4" s="145">
        <f>(N4/V4)*(((100-CD4)/100)*((100-2)/100))*100</f>
        <v>3.1168237837837838</v>
      </c>
      <c r="AF4" s="257">
        <v>3.56</v>
      </c>
      <c r="AG4" s="159">
        <v>42191</v>
      </c>
      <c r="AJ4" s="257">
        <v>130</v>
      </c>
      <c r="AL4" s="145"/>
      <c r="AN4" s="257">
        <v>107</v>
      </c>
      <c r="BB4" s="257">
        <v>1</v>
      </c>
      <c r="BN4" s="251">
        <v>64.001999999999995</v>
      </c>
      <c r="BO4" s="256">
        <v>42200</v>
      </c>
      <c r="BT4" s="251">
        <v>48.724891662597656</v>
      </c>
      <c r="BU4" s="256">
        <v>42200</v>
      </c>
      <c r="BV4" s="251">
        <v>19.405145645141602</v>
      </c>
      <c r="BW4" s="256">
        <v>42200</v>
      </c>
      <c r="BX4" s="251">
        <v>42.058999999999997</v>
      </c>
      <c r="BY4" s="256">
        <v>42200</v>
      </c>
      <c r="CD4" s="257">
        <v>5.0999999999999996</v>
      </c>
      <c r="CE4" s="159">
        <v>42191</v>
      </c>
      <c r="CM4" s="255">
        <v>3</v>
      </c>
      <c r="CN4" s="256">
        <v>42180</v>
      </c>
      <c r="CO4" s="140" t="s">
        <v>8448</v>
      </c>
    </row>
    <row r="5" spans="1:93" ht="15" customHeight="1">
      <c r="A5" s="124" t="s">
        <v>7745</v>
      </c>
      <c r="B5" s="124" t="s">
        <v>7569</v>
      </c>
      <c r="C5" s="268" t="s">
        <v>269</v>
      </c>
      <c r="D5" s="257">
        <v>2</v>
      </c>
      <c r="E5" s="183">
        <v>159</v>
      </c>
      <c r="F5" s="257">
        <v>11</v>
      </c>
      <c r="G5" s="257">
        <v>32</v>
      </c>
      <c r="J5" s="265"/>
      <c r="L5" s="257">
        <v>1</v>
      </c>
      <c r="N5" s="257">
        <v>0.69</v>
      </c>
      <c r="O5" s="159">
        <v>42191</v>
      </c>
      <c r="T5" s="257">
        <v>2</v>
      </c>
      <c r="U5" s="256">
        <v>42200</v>
      </c>
      <c r="V5" s="145">
        <v>18.5</v>
      </c>
      <c r="W5" s="159">
        <v>42191</v>
      </c>
      <c r="AD5" s="145">
        <f>(N5/V5)*(((100-CD5)/100)*((100-2)/100))*100</f>
        <v>3.4614129729729721</v>
      </c>
      <c r="AF5" s="257">
        <v>3.96</v>
      </c>
      <c r="AG5" s="159">
        <v>42191</v>
      </c>
      <c r="AJ5" s="257">
        <v>120</v>
      </c>
      <c r="AN5" s="257">
        <v>106</v>
      </c>
      <c r="BB5" s="257">
        <v>7</v>
      </c>
      <c r="BN5" s="251">
        <v>62.588000000000001</v>
      </c>
      <c r="BO5" s="256">
        <v>42200</v>
      </c>
      <c r="BT5" s="251">
        <v>50.497501373291016</v>
      </c>
      <c r="BU5" s="256">
        <v>42200</v>
      </c>
      <c r="BV5" s="251">
        <v>16.850624084472656</v>
      </c>
      <c r="BW5" s="256">
        <v>42200</v>
      </c>
      <c r="BX5" s="251">
        <v>22.053000000000001</v>
      </c>
      <c r="BY5" s="256">
        <v>42200</v>
      </c>
      <c r="CD5" s="257">
        <v>5.3</v>
      </c>
      <c r="CE5" s="159">
        <v>42191</v>
      </c>
      <c r="CM5" s="255">
        <v>3</v>
      </c>
      <c r="CN5" s="256">
        <v>42180</v>
      </c>
      <c r="CO5" s="140" t="s">
        <v>8448</v>
      </c>
    </row>
    <row r="6" spans="1:93" ht="15" customHeight="1">
      <c r="A6" s="124" t="s">
        <v>7721</v>
      </c>
      <c r="B6" s="124" t="s">
        <v>7788</v>
      </c>
      <c r="C6" s="268" t="s">
        <v>269</v>
      </c>
      <c r="D6" s="257">
        <v>2</v>
      </c>
      <c r="E6" s="183">
        <v>135</v>
      </c>
      <c r="F6" s="257">
        <v>12</v>
      </c>
      <c r="G6" s="257">
        <v>31</v>
      </c>
      <c r="J6" s="265"/>
      <c r="L6" s="257">
        <v>5</v>
      </c>
      <c r="N6" s="257">
        <v>0.73</v>
      </c>
      <c r="O6" s="159">
        <v>42191</v>
      </c>
      <c r="T6" s="257">
        <v>2</v>
      </c>
      <c r="U6" s="256">
        <v>42200</v>
      </c>
      <c r="V6" s="145">
        <v>18.5</v>
      </c>
      <c r="W6" s="159">
        <v>42191</v>
      </c>
      <c r="AD6" s="145">
        <f>(N6/V6)*(((100-CD6)/100)*((100-2)/100))*100</f>
        <v>3.6891437837837842</v>
      </c>
      <c r="AF6" s="257">
        <v>4.22</v>
      </c>
      <c r="AG6" s="159">
        <v>42191</v>
      </c>
      <c r="AJ6" s="257">
        <v>105</v>
      </c>
      <c r="AN6" s="257">
        <v>102</v>
      </c>
      <c r="BB6" s="257">
        <v>1</v>
      </c>
      <c r="BN6" s="251">
        <v>60.683</v>
      </c>
      <c r="BO6" s="256">
        <v>42200</v>
      </c>
      <c r="BT6" s="251">
        <v>47.438308715820313</v>
      </c>
      <c r="BU6" s="256">
        <v>42200</v>
      </c>
      <c r="BV6" s="251">
        <v>19.173490524291992</v>
      </c>
      <c r="BW6" s="256">
        <v>42200</v>
      </c>
      <c r="BX6" s="251">
        <v>17.611999999999998</v>
      </c>
      <c r="BY6" s="256">
        <v>42200</v>
      </c>
      <c r="CD6" s="257">
        <v>4.5999999999999996</v>
      </c>
      <c r="CE6" s="159">
        <v>42191</v>
      </c>
      <c r="CM6" s="255">
        <v>7</v>
      </c>
      <c r="CN6" s="256">
        <v>42180</v>
      </c>
      <c r="CO6" s="140" t="s">
        <v>8448</v>
      </c>
    </row>
    <row r="7" spans="1:93" ht="15" customHeight="1">
      <c r="A7" s="124" t="s">
        <v>7610</v>
      </c>
      <c r="B7" s="124" t="s">
        <v>7465</v>
      </c>
      <c r="C7" s="268" t="s">
        <v>269</v>
      </c>
      <c r="D7" s="257">
        <v>2</v>
      </c>
      <c r="E7" s="183">
        <v>24</v>
      </c>
      <c r="F7" s="257">
        <v>8</v>
      </c>
      <c r="G7" s="257">
        <v>30</v>
      </c>
      <c r="J7" s="265"/>
      <c r="L7" s="257">
        <v>8</v>
      </c>
      <c r="N7" s="257">
        <v>0.87</v>
      </c>
      <c r="O7" s="159">
        <v>42191</v>
      </c>
      <c r="T7" s="257">
        <v>2.35</v>
      </c>
      <c r="U7" s="256">
        <v>42200</v>
      </c>
      <c r="V7" s="145">
        <v>18.5</v>
      </c>
      <c r="W7" s="159">
        <v>42191</v>
      </c>
      <c r="AD7" s="145">
        <f>(N7/V7)*(((100-CD7)/100)*((100-2)/100))*100</f>
        <v>4.3505643243243242</v>
      </c>
      <c r="AF7" s="257">
        <v>4.97</v>
      </c>
      <c r="AG7" s="159">
        <v>42191</v>
      </c>
      <c r="AJ7" s="257">
        <v>130</v>
      </c>
      <c r="AN7" s="257">
        <v>105</v>
      </c>
      <c r="BB7" s="257">
        <v>3</v>
      </c>
      <c r="BN7" s="251">
        <v>66.040000000000006</v>
      </c>
      <c r="BO7" s="256">
        <v>42200</v>
      </c>
      <c r="BT7" s="251">
        <v>47.323883056640625</v>
      </c>
      <c r="BU7" s="256">
        <v>42200</v>
      </c>
      <c r="BV7" s="251">
        <v>21.055002212524414</v>
      </c>
      <c r="BW7" s="256">
        <v>42200</v>
      </c>
      <c r="BX7" s="251">
        <v>50.198</v>
      </c>
      <c r="BY7" s="256">
        <v>42200</v>
      </c>
      <c r="CD7" s="257">
        <v>5.6</v>
      </c>
      <c r="CE7" s="159">
        <v>42191</v>
      </c>
      <c r="CM7" s="255">
        <v>7</v>
      </c>
      <c r="CN7" s="256">
        <v>42180</v>
      </c>
      <c r="CO7" s="140" t="s">
        <v>8448</v>
      </c>
    </row>
    <row r="8" spans="1:93" ht="15" customHeight="1">
      <c r="A8" s="124" t="s">
        <v>7727</v>
      </c>
      <c r="B8" s="124" t="s">
        <v>7555</v>
      </c>
      <c r="C8" s="268" t="s">
        <v>269</v>
      </c>
      <c r="D8" s="257">
        <v>2</v>
      </c>
      <c r="E8" s="183">
        <v>141</v>
      </c>
      <c r="F8" s="257">
        <v>7</v>
      </c>
      <c r="G8" s="257">
        <v>25</v>
      </c>
      <c r="J8" s="265"/>
      <c r="L8" s="257">
        <v>3</v>
      </c>
      <c r="N8" s="257">
        <v>1.08</v>
      </c>
      <c r="O8" s="159">
        <v>42191</v>
      </c>
      <c r="T8" s="257">
        <v>3.09</v>
      </c>
      <c r="U8" s="256">
        <v>42200</v>
      </c>
      <c r="V8" s="145">
        <v>18.5</v>
      </c>
      <c r="W8" s="159">
        <v>42191</v>
      </c>
      <c r="AD8" s="145">
        <f>(N8/V8)*(((100-CD8)/100)*((100-2)/100))*100</f>
        <v>5.4293059459459458</v>
      </c>
      <c r="AF8" s="257">
        <v>6.21</v>
      </c>
      <c r="AG8" s="159">
        <v>42191</v>
      </c>
      <c r="AJ8" s="257">
        <v>125</v>
      </c>
      <c r="AN8" s="257">
        <v>105</v>
      </c>
      <c r="BB8" s="257">
        <v>1</v>
      </c>
      <c r="BN8" s="251">
        <v>64.338999999999999</v>
      </c>
      <c r="BO8" s="256">
        <v>42200</v>
      </c>
      <c r="BT8" s="251">
        <v>49.751644134521484</v>
      </c>
      <c r="BU8" s="256">
        <v>42200</v>
      </c>
      <c r="BV8" s="251">
        <v>18.304424285888672</v>
      </c>
      <c r="BW8" s="256">
        <v>42200</v>
      </c>
      <c r="BX8" s="251">
        <v>16.442</v>
      </c>
      <c r="BY8" s="256">
        <v>42200</v>
      </c>
      <c r="CD8" s="257">
        <v>5.0999999999999996</v>
      </c>
      <c r="CE8" s="159">
        <v>42191</v>
      </c>
      <c r="CM8" s="255">
        <v>3</v>
      </c>
      <c r="CN8" s="256">
        <v>42180</v>
      </c>
      <c r="CO8" s="140" t="s">
        <v>8448</v>
      </c>
    </row>
    <row r="9" spans="1:93" ht="15" customHeight="1">
      <c r="A9" s="124" t="s">
        <v>7710</v>
      </c>
      <c r="B9" s="124" t="s">
        <v>7549</v>
      </c>
      <c r="C9" s="268" t="s">
        <v>269</v>
      </c>
      <c r="D9" s="257">
        <v>2</v>
      </c>
      <c r="E9" s="183">
        <v>124</v>
      </c>
      <c r="F9" s="257">
        <v>7</v>
      </c>
      <c r="G9" s="257">
        <v>21</v>
      </c>
      <c r="J9" s="265"/>
      <c r="L9" s="257">
        <v>3</v>
      </c>
      <c r="N9" s="257">
        <v>1.1000000000000001</v>
      </c>
      <c r="O9" s="159">
        <v>42191</v>
      </c>
      <c r="T9" s="257">
        <v>3.11</v>
      </c>
      <c r="U9" s="256">
        <v>42200</v>
      </c>
      <c r="V9" s="145">
        <v>18.5</v>
      </c>
      <c r="W9" s="159">
        <v>42191</v>
      </c>
      <c r="AD9" s="145">
        <f>(N9/V9)*(((100-CD9)/100)*((100-2)/100))*100</f>
        <v>5.5356756756756758</v>
      </c>
      <c r="AF9" s="257">
        <v>6.33</v>
      </c>
      <c r="AG9" s="159">
        <v>42191</v>
      </c>
      <c r="AJ9" s="257">
        <v>140</v>
      </c>
      <c r="AN9" s="257">
        <v>101</v>
      </c>
      <c r="BB9" s="257">
        <v>3</v>
      </c>
      <c r="BN9" s="251">
        <v>60.624000000000002</v>
      </c>
      <c r="BO9" s="256">
        <v>42200</v>
      </c>
      <c r="BT9" s="251">
        <v>49.061912536621094</v>
      </c>
      <c r="BU9" s="256">
        <v>42200</v>
      </c>
      <c r="BV9" s="251">
        <v>19.556791305541992</v>
      </c>
      <c r="BW9" s="256">
        <v>42200</v>
      </c>
      <c r="BX9" s="251">
        <v>24.997</v>
      </c>
      <c r="BY9" s="256">
        <v>42200</v>
      </c>
      <c r="CD9" s="257">
        <v>5</v>
      </c>
      <c r="CE9" s="159">
        <v>42191</v>
      </c>
      <c r="CM9" s="255">
        <v>5</v>
      </c>
      <c r="CN9" s="256">
        <v>42180</v>
      </c>
      <c r="CO9" s="140" t="s">
        <v>8448</v>
      </c>
    </row>
    <row r="10" spans="1:93" ht="15" customHeight="1">
      <c r="A10" s="124" t="s">
        <v>7663</v>
      </c>
      <c r="B10" s="124" t="s">
        <v>7512</v>
      </c>
      <c r="C10" s="268" t="s">
        <v>269</v>
      </c>
      <c r="D10" s="257">
        <v>2</v>
      </c>
      <c r="E10" s="183">
        <v>77</v>
      </c>
      <c r="F10" s="257">
        <v>7</v>
      </c>
      <c r="G10" s="257">
        <v>22</v>
      </c>
      <c r="J10" s="265"/>
      <c r="L10" s="257">
        <v>3</v>
      </c>
      <c r="N10" s="257">
        <v>1.1399999999999999</v>
      </c>
      <c r="O10" s="159">
        <v>42191</v>
      </c>
      <c r="T10" s="257">
        <v>3.34</v>
      </c>
      <c r="U10" s="256">
        <v>42200</v>
      </c>
      <c r="V10" s="145">
        <v>18.5</v>
      </c>
      <c r="W10" s="159">
        <v>42191</v>
      </c>
      <c r="AD10" s="145">
        <f>(N10/V10)*(((100-CD10)/100)*((100-2)/100))*100</f>
        <v>5.6765837837837827</v>
      </c>
      <c r="AF10" s="257">
        <v>6.49</v>
      </c>
      <c r="AG10" s="159">
        <v>42191</v>
      </c>
      <c r="AJ10" s="257">
        <v>130</v>
      </c>
      <c r="AN10" s="257">
        <v>106</v>
      </c>
      <c r="BB10" s="257">
        <v>3</v>
      </c>
      <c r="BN10" s="251">
        <v>63.131</v>
      </c>
      <c r="BO10" s="256">
        <v>42200</v>
      </c>
      <c r="BT10" s="251">
        <v>51.447956085205078</v>
      </c>
      <c r="BU10" s="256">
        <v>42200</v>
      </c>
      <c r="BV10" s="251">
        <v>16.520421981811523</v>
      </c>
      <c r="BW10" s="256">
        <v>42200</v>
      </c>
      <c r="BX10" s="251">
        <v>17.853999999999999</v>
      </c>
      <c r="BY10" s="256">
        <v>42200</v>
      </c>
      <c r="CD10" s="257">
        <v>6</v>
      </c>
      <c r="CE10" s="159">
        <v>42191</v>
      </c>
      <c r="CM10" s="255">
        <v>5</v>
      </c>
      <c r="CN10" s="256">
        <v>42180</v>
      </c>
      <c r="CO10" s="140" t="s">
        <v>8448</v>
      </c>
    </row>
    <row r="11" spans="1:93" ht="15" customHeight="1">
      <c r="A11" s="124" t="s">
        <v>7646</v>
      </c>
      <c r="B11" s="124" t="s">
        <v>263</v>
      </c>
      <c r="C11" s="268" t="s">
        <v>269</v>
      </c>
      <c r="D11" s="257">
        <v>2</v>
      </c>
      <c r="E11" s="183">
        <v>60</v>
      </c>
      <c r="F11" s="257">
        <v>7</v>
      </c>
      <c r="G11" s="257">
        <v>30</v>
      </c>
      <c r="J11" s="265"/>
      <c r="L11" s="257">
        <v>3</v>
      </c>
      <c r="N11" s="257">
        <v>1.18</v>
      </c>
      <c r="O11" s="159">
        <v>42191</v>
      </c>
      <c r="T11" s="257">
        <v>3.3</v>
      </c>
      <c r="U11" s="256">
        <v>42200</v>
      </c>
      <c r="V11" s="145">
        <v>18.5</v>
      </c>
      <c r="W11" s="159">
        <v>42191</v>
      </c>
      <c r="AD11" s="145">
        <f>(N11/V11)*(((100-CD11)/100)*((100-2)/100))*100</f>
        <v>5.8695113513513517</v>
      </c>
      <c r="AF11" s="257">
        <v>6.71</v>
      </c>
      <c r="AG11" s="159">
        <v>42191</v>
      </c>
      <c r="AJ11" s="257">
        <v>110</v>
      </c>
      <c r="AN11" s="257">
        <v>111</v>
      </c>
      <c r="BB11" s="257">
        <v>9</v>
      </c>
      <c r="BN11" s="251">
        <v>71.072999999999993</v>
      </c>
      <c r="BO11" s="256">
        <v>42200</v>
      </c>
      <c r="BT11" s="251">
        <v>49.226547241210938</v>
      </c>
      <c r="BU11" s="256">
        <v>42200</v>
      </c>
      <c r="BV11" s="251">
        <v>19.267776489257812</v>
      </c>
      <c r="BW11" s="256">
        <v>42200</v>
      </c>
      <c r="BX11" s="251">
        <v>24.576000000000001</v>
      </c>
      <c r="BY11" s="256">
        <v>42200</v>
      </c>
      <c r="CD11" s="257">
        <v>6.1</v>
      </c>
      <c r="CE11" s="159">
        <v>42191</v>
      </c>
      <c r="CM11" s="255">
        <v>5</v>
      </c>
      <c r="CN11" s="256">
        <v>42180</v>
      </c>
      <c r="CO11" s="140" t="s">
        <v>8448</v>
      </c>
    </row>
    <row r="12" spans="1:93" ht="15" customHeight="1">
      <c r="A12" s="124" t="s">
        <v>7620</v>
      </c>
      <c r="B12" s="124" t="s">
        <v>7474</v>
      </c>
      <c r="C12" s="268" t="s">
        <v>269</v>
      </c>
      <c r="D12" s="257">
        <v>2</v>
      </c>
      <c r="E12" s="183">
        <v>34</v>
      </c>
      <c r="F12" s="257">
        <v>8</v>
      </c>
      <c r="G12" s="257">
        <v>27</v>
      </c>
      <c r="J12" s="265"/>
      <c r="L12" s="257">
        <v>8</v>
      </c>
      <c r="N12" s="257">
        <v>1.33</v>
      </c>
      <c r="O12" s="159">
        <v>42191</v>
      </c>
      <c r="T12" s="257">
        <v>3.52</v>
      </c>
      <c r="U12" s="256">
        <v>42200</v>
      </c>
      <c r="V12" s="145">
        <v>18.5</v>
      </c>
      <c r="W12" s="159">
        <v>42191</v>
      </c>
      <c r="AD12" s="145">
        <f>(N12/V12)*(((100-CD12)/100)*((100-2)/100))*100</f>
        <v>6.6719989189189182</v>
      </c>
      <c r="AF12" s="257">
        <v>7.63</v>
      </c>
      <c r="AG12" s="159">
        <v>42191</v>
      </c>
      <c r="AJ12" s="257">
        <v>125</v>
      </c>
      <c r="AN12" s="257">
        <v>104</v>
      </c>
      <c r="BB12" s="257">
        <v>1</v>
      </c>
      <c r="BN12" s="251">
        <v>57.927999999999997</v>
      </c>
      <c r="BO12" s="256">
        <v>42200</v>
      </c>
      <c r="BT12" s="251">
        <v>46.12982177734375</v>
      </c>
      <c r="BU12" s="256">
        <v>42200</v>
      </c>
      <c r="BV12" s="251">
        <v>19.819393157958984</v>
      </c>
      <c r="BW12" s="256">
        <v>42200</v>
      </c>
      <c r="BX12" s="251">
        <v>52.826000000000001</v>
      </c>
      <c r="BY12" s="256">
        <v>42200</v>
      </c>
      <c r="CD12" s="257">
        <v>5.3</v>
      </c>
      <c r="CE12" s="159">
        <v>42191</v>
      </c>
      <c r="CM12" s="255">
        <v>3</v>
      </c>
      <c r="CN12" s="256">
        <v>42180</v>
      </c>
      <c r="CO12" s="140" t="s">
        <v>8448</v>
      </c>
    </row>
    <row r="13" spans="1:93" ht="15" customHeight="1">
      <c r="A13" s="124" t="s">
        <v>7634</v>
      </c>
      <c r="B13" s="124" t="s">
        <v>7774</v>
      </c>
      <c r="C13" s="268" t="s">
        <v>267</v>
      </c>
      <c r="D13" s="257">
        <v>3</v>
      </c>
      <c r="E13" s="183">
        <v>48</v>
      </c>
      <c r="F13" s="257">
        <v>17</v>
      </c>
      <c r="G13" s="257">
        <v>8</v>
      </c>
      <c r="J13" s="265"/>
      <c r="L13" s="257">
        <v>3</v>
      </c>
      <c r="N13" s="257">
        <v>1.43</v>
      </c>
      <c r="O13" s="159">
        <v>42191</v>
      </c>
      <c r="T13" s="257">
        <v>3.86</v>
      </c>
      <c r="U13" s="256">
        <v>42200</v>
      </c>
      <c r="V13" s="145">
        <v>18.5</v>
      </c>
      <c r="W13" s="159">
        <v>42191</v>
      </c>
      <c r="AD13" s="145">
        <f>(N13/V13)*(((100-CD13)/100)*((100-2)/100))*100</f>
        <v>7.0069999999999997</v>
      </c>
      <c r="AF13" s="257">
        <v>8.01</v>
      </c>
      <c r="AG13" s="159">
        <v>42191</v>
      </c>
      <c r="AJ13" s="257">
        <v>125</v>
      </c>
      <c r="AN13" s="257">
        <v>107</v>
      </c>
      <c r="BB13" s="257">
        <v>9</v>
      </c>
      <c r="BN13" s="251">
        <v>64.573999999999998</v>
      </c>
      <c r="BO13" s="256">
        <v>42200</v>
      </c>
      <c r="BT13" s="251">
        <v>48.171638488769531</v>
      </c>
      <c r="BU13" s="256">
        <v>42200</v>
      </c>
      <c r="BV13" s="251">
        <v>18.839864730834961</v>
      </c>
      <c r="BW13" s="256">
        <v>42200</v>
      </c>
      <c r="BX13" s="251">
        <v>23.713000000000001</v>
      </c>
      <c r="BY13" s="256">
        <v>42200</v>
      </c>
      <c r="CD13" s="257">
        <v>7.5</v>
      </c>
      <c r="CE13" s="159">
        <v>42191</v>
      </c>
      <c r="CM13" s="255">
        <v>7</v>
      </c>
      <c r="CN13" s="256">
        <v>42180</v>
      </c>
      <c r="CO13" s="140" t="s">
        <v>8447</v>
      </c>
    </row>
    <row r="14" spans="1:93" ht="15" customHeight="1">
      <c r="A14" s="124" t="s">
        <v>7730</v>
      </c>
      <c r="B14" s="124" t="s">
        <v>8247</v>
      </c>
      <c r="C14" s="268" t="s">
        <v>269</v>
      </c>
      <c r="D14" s="257">
        <v>2</v>
      </c>
      <c r="E14" s="183">
        <v>144</v>
      </c>
      <c r="F14" s="257">
        <v>7</v>
      </c>
      <c r="G14" s="257">
        <v>19</v>
      </c>
      <c r="J14" s="265"/>
      <c r="L14" s="257">
        <v>5</v>
      </c>
      <c r="N14" s="257">
        <v>1.48</v>
      </c>
      <c r="O14" s="159">
        <v>42191</v>
      </c>
      <c r="T14" s="257">
        <v>4.09</v>
      </c>
      <c r="U14" s="256">
        <v>42200</v>
      </c>
      <c r="V14" s="145">
        <v>18.5</v>
      </c>
      <c r="W14" s="159">
        <v>42191</v>
      </c>
      <c r="AD14" s="145">
        <f>(N14/V14)*(((100-CD14)/100)*((100-2)/100))*100</f>
        <v>7.4166399999999992</v>
      </c>
      <c r="AF14" s="257">
        <v>8.48</v>
      </c>
      <c r="AG14" s="159">
        <v>42191</v>
      </c>
      <c r="AJ14" s="257">
        <v>150</v>
      </c>
      <c r="AN14" s="257">
        <v>103</v>
      </c>
      <c r="BB14" s="257">
        <v>3</v>
      </c>
      <c r="BN14" s="251">
        <v>62.386000000000003</v>
      </c>
      <c r="BO14" s="256">
        <v>42200</v>
      </c>
      <c r="BT14" s="251">
        <v>48.221168518066406</v>
      </c>
      <c r="BU14" s="256">
        <v>42200</v>
      </c>
      <c r="BV14" s="251">
        <v>19.219898223876953</v>
      </c>
      <c r="BW14" s="256">
        <v>42200</v>
      </c>
      <c r="BX14" s="251">
        <v>16.309999999999999</v>
      </c>
      <c r="BY14" s="256">
        <v>42200</v>
      </c>
      <c r="CD14" s="257">
        <v>5.4</v>
      </c>
      <c r="CE14" s="159">
        <v>42191</v>
      </c>
      <c r="CM14" s="255">
        <v>3</v>
      </c>
      <c r="CN14" s="256">
        <v>42180</v>
      </c>
      <c r="CO14" s="140" t="s">
        <v>8448</v>
      </c>
    </row>
    <row r="15" spans="1:93" ht="15" customHeight="1">
      <c r="A15" s="124" t="s">
        <v>7662</v>
      </c>
      <c r="B15" s="124" t="s">
        <v>7511</v>
      </c>
      <c r="C15" s="268" t="s">
        <v>269</v>
      </c>
      <c r="D15" s="257">
        <v>2</v>
      </c>
      <c r="E15" s="183">
        <v>76</v>
      </c>
      <c r="F15" s="257">
        <v>8</v>
      </c>
      <c r="G15" s="257">
        <v>23</v>
      </c>
      <c r="J15" s="265"/>
      <c r="L15" s="257">
        <v>5</v>
      </c>
      <c r="N15" s="257">
        <v>1.51</v>
      </c>
      <c r="O15" s="159">
        <v>42191</v>
      </c>
      <c r="T15" s="257">
        <v>4.04</v>
      </c>
      <c r="U15" s="256">
        <v>42200</v>
      </c>
      <c r="V15" s="145">
        <v>18.5</v>
      </c>
      <c r="W15" s="159">
        <v>42191</v>
      </c>
      <c r="AD15" s="145">
        <f>(N15/V15)*(((100-CD15)/100)*((100-2)/100))*100</f>
        <v>7.5429805405405403</v>
      </c>
      <c r="AF15" s="257">
        <v>8.6199999999999992</v>
      </c>
      <c r="AG15" s="159">
        <v>42191</v>
      </c>
      <c r="AJ15" s="257">
        <v>120</v>
      </c>
      <c r="AN15" s="257">
        <v>106</v>
      </c>
      <c r="BB15" s="257">
        <v>3</v>
      </c>
      <c r="BN15" s="251">
        <v>64.534000000000006</v>
      </c>
      <c r="BO15" s="256">
        <v>42200</v>
      </c>
      <c r="BT15" s="251">
        <v>46.889968872070313</v>
      </c>
      <c r="BU15" s="256">
        <v>42200</v>
      </c>
      <c r="BV15" s="251">
        <v>19.38062858581543</v>
      </c>
      <c r="BW15" s="256">
        <v>42200</v>
      </c>
      <c r="BX15" s="251">
        <v>22.286999999999999</v>
      </c>
      <c r="BY15" s="256">
        <v>42200</v>
      </c>
      <c r="CD15" s="257">
        <v>5.7</v>
      </c>
      <c r="CE15" s="159">
        <v>42191</v>
      </c>
      <c r="CM15" s="255">
        <v>5</v>
      </c>
      <c r="CN15" s="256">
        <v>42180</v>
      </c>
      <c r="CO15" s="140" t="s">
        <v>8448</v>
      </c>
    </row>
    <row r="16" spans="1:93" ht="15" customHeight="1">
      <c r="A16" s="124" t="s">
        <v>7588</v>
      </c>
      <c r="B16" s="124" t="s">
        <v>7768</v>
      </c>
      <c r="C16" s="268" t="s">
        <v>267</v>
      </c>
      <c r="D16" s="257">
        <v>3</v>
      </c>
      <c r="E16" s="183">
        <v>2</v>
      </c>
      <c r="F16" s="257">
        <v>16</v>
      </c>
      <c r="G16" s="257">
        <v>14</v>
      </c>
      <c r="J16" s="283"/>
      <c r="L16" s="257">
        <v>5</v>
      </c>
      <c r="N16" s="257">
        <v>1.59</v>
      </c>
      <c r="O16" s="159">
        <v>42191</v>
      </c>
      <c r="P16" s="144"/>
      <c r="R16" s="145"/>
      <c r="T16" s="257">
        <v>4.1500000000000004</v>
      </c>
      <c r="U16" s="256">
        <v>42200</v>
      </c>
      <c r="V16" s="145">
        <v>18.5</v>
      </c>
      <c r="W16" s="159">
        <v>42191</v>
      </c>
      <c r="X16" s="145"/>
      <c r="Z16" s="145"/>
      <c r="AB16" s="145"/>
      <c r="AD16" s="145">
        <f>(N16/V16)*(((100-CD16)/100)*((100-2)/100))*100</f>
        <v>7.8246908108108126</v>
      </c>
      <c r="AF16" s="257">
        <v>8.94</v>
      </c>
      <c r="AG16" s="159">
        <v>42191</v>
      </c>
      <c r="AJ16" s="257">
        <v>135</v>
      </c>
      <c r="AL16" s="145"/>
      <c r="AN16" s="257">
        <v>106</v>
      </c>
      <c r="BB16" s="257">
        <v>7</v>
      </c>
      <c r="BN16" s="251">
        <v>64.314999999999998</v>
      </c>
      <c r="BO16" s="256">
        <v>42200</v>
      </c>
      <c r="BT16" s="251">
        <v>46.398551940917969</v>
      </c>
      <c r="BU16" s="256">
        <v>42200</v>
      </c>
      <c r="BV16" s="251">
        <v>21.184238433837891</v>
      </c>
      <c r="BW16" s="256">
        <v>42200</v>
      </c>
      <c r="BX16" s="251">
        <v>62.555999999999997</v>
      </c>
      <c r="BY16" s="256">
        <v>42200</v>
      </c>
      <c r="CD16" s="257">
        <v>7.1</v>
      </c>
      <c r="CE16" s="159">
        <v>42191</v>
      </c>
      <c r="CM16" s="255">
        <v>5</v>
      </c>
      <c r="CN16" s="256">
        <v>42180</v>
      </c>
      <c r="CO16" s="140" t="s">
        <v>8447</v>
      </c>
    </row>
    <row r="17" spans="1:93" ht="15" customHeight="1">
      <c r="A17" s="124" t="s">
        <v>7673</v>
      </c>
      <c r="B17" s="124" t="s">
        <v>7522</v>
      </c>
      <c r="C17" s="268" t="s">
        <v>269</v>
      </c>
      <c r="D17" s="257">
        <v>2</v>
      </c>
      <c r="E17" s="183">
        <v>87</v>
      </c>
      <c r="F17" s="257">
        <v>8</v>
      </c>
      <c r="G17" s="257">
        <v>29</v>
      </c>
      <c r="J17" s="265"/>
      <c r="L17" s="257">
        <v>6</v>
      </c>
      <c r="N17" s="257">
        <v>1.6</v>
      </c>
      <c r="O17" s="159">
        <v>42191</v>
      </c>
      <c r="T17" s="257">
        <v>4.55</v>
      </c>
      <c r="U17" s="256">
        <v>42200</v>
      </c>
      <c r="V17" s="145">
        <v>18.5</v>
      </c>
      <c r="W17" s="159">
        <v>42191</v>
      </c>
      <c r="AD17" s="145">
        <f>(N17/V17)*(((100-CD17)/100)*((100-2)/100))*100</f>
        <v>8.0010378378378384</v>
      </c>
      <c r="AF17" s="257">
        <v>9.15</v>
      </c>
      <c r="AG17" s="159">
        <v>42191</v>
      </c>
      <c r="AJ17" s="257">
        <v>110</v>
      </c>
      <c r="AN17" s="257">
        <v>106</v>
      </c>
      <c r="BB17" s="257">
        <v>7</v>
      </c>
      <c r="BN17" s="251">
        <v>65.203000000000003</v>
      </c>
      <c r="BO17" s="256">
        <v>42200</v>
      </c>
      <c r="BT17" s="251">
        <v>49.691612243652344</v>
      </c>
      <c r="BU17" s="256">
        <v>42200</v>
      </c>
      <c r="BV17" s="251">
        <v>19.041641235351563</v>
      </c>
      <c r="BW17" s="256">
        <v>42200</v>
      </c>
      <c r="BX17" s="251">
        <v>19.315000000000001</v>
      </c>
      <c r="BY17" s="256">
        <v>42200</v>
      </c>
      <c r="CD17" s="257">
        <v>5.6</v>
      </c>
      <c r="CE17" s="159">
        <v>42191</v>
      </c>
      <c r="CM17" s="255">
        <v>5</v>
      </c>
      <c r="CN17" s="256">
        <v>42180</v>
      </c>
      <c r="CO17" s="140" t="s">
        <v>8448</v>
      </c>
    </row>
    <row r="18" spans="1:93" ht="15" customHeight="1">
      <c r="A18" s="124" t="s">
        <v>7626</v>
      </c>
      <c r="B18" s="124" t="s">
        <v>7479</v>
      </c>
      <c r="C18" s="268" t="s">
        <v>269</v>
      </c>
      <c r="D18" s="257">
        <v>2</v>
      </c>
      <c r="E18" s="183">
        <v>40</v>
      </c>
      <c r="F18" s="257">
        <v>8</v>
      </c>
      <c r="G18" s="257">
        <v>32</v>
      </c>
      <c r="J18" s="265"/>
      <c r="L18" s="257">
        <v>5</v>
      </c>
      <c r="N18" s="257">
        <v>1.62</v>
      </c>
      <c r="O18" s="159">
        <v>42191</v>
      </c>
      <c r="T18" s="257">
        <v>4.55</v>
      </c>
      <c r="U18" s="256">
        <v>42200</v>
      </c>
      <c r="V18" s="145">
        <v>18.5</v>
      </c>
      <c r="W18" s="159">
        <v>42191</v>
      </c>
      <c r="AD18" s="145">
        <f>(N18/V18)*(((100-CD18)/100)*((100-2)/100))*100</f>
        <v>8.0238162162162183</v>
      </c>
      <c r="AF18" s="257">
        <v>9.17</v>
      </c>
      <c r="AG18" s="159">
        <v>42191</v>
      </c>
      <c r="AJ18" s="257">
        <v>125</v>
      </c>
      <c r="AN18" s="257">
        <v>106</v>
      </c>
      <c r="BB18" s="257">
        <v>9</v>
      </c>
      <c r="BN18" s="251">
        <v>61.783999999999999</v>
      </c>
      <c r="BO18" s="256">
        <v>42200</v>
      </c>
      <c r="BT18" s="251">
        <v>49.58795166015625</v>
      </c>
      <c r="BU18" s="256">
        <v>42200</v>
      </c>
      <c r="BV18" s="251">
        <v>18.067403793334961</v>
      </c>
      <c r="BW18" s="256">
        <v>42200</v>
      </c>
      <c r="BX18" s="251">
        <v>17.648</v>
      </c>
      <c r="BY18" s="256">
        <v>42200</v>
      </c>
      <c r="CD18" s="257">
        <v>6.5</v>
      </c>
      <c r="CE18" s="159">
        <v>42191</v>
      </c>
      <c r="CM18" s="255">
        <v>3</v>
      </c>
      <c r="CN18" s="256">
        <v>42180</v>
      </c>
      <c r="CO18" s="140" t="s">
        <v>8448</v>
      </c>
    </row>
    <row r="19" spans="1:93" ht="15" customHeight="1">
      <c r="A19" s="124" t="s">
        <v>7599</v>
      </c>
      <c r="B19" s="124" t="s">
        <v>7771</v>
      </c>
      <c r="C19" s="268" t="s">
        <v>269</v>
      </c>
      <c r="D19" s="257">
        <v>2</v>
      </c>
      <c r="E19" s="183">
        <v>13</v>
      </c>
      <c r="F19" s="257">
        <v>7</v>
      </c>
      <c r="G19" s="257">
        <v>17</v>
      </c>
      <c r="J19" s="283"/>
      <c r="L19" s="257">
        <v>8</v>
      </c>
      <c r="N19" s="257">
        <v>1.62</v>
      </c>
      <c r="O19" s="159">
        <v>42191</v>
      </c>
      <c r="P19" s="144"/>
      <c r="R19" s="145"/>
      <c r="T19" s="257">
        <v>4.53</v>
      </c>
      <c r="U19" s="256">
        <v>42200</v>
      </c>
      <c r="V19" s="145">
        <v>18.5</v>
      </c>
      <c r="W19" s="159">
        <v>42191</v>
      </c>
      <c r="X19" s="145"/>
      <c r="Z19" s="145"/>
      <c r="AB19" s="145"/>
      <c r="AD19" s="145">
        <f>(N19/V19)*(((100-CD19)/100)*((100-2)/100))*100</f>
        <v>8.1010508108108112</v>
      </c>
      <c r="AF19" s="257">
        <v>9.26</v>
      </c>
      <c r="AG19" s="159">
        <v>42191</v>
      </c>
      <c r="AJ19" s="257">
        <v>165</v>
      </c>
      <c r="AL19" s="145"/>
      <c r="AN19" s="257">
        <v>103</v>
      </c>
      <c r="BB19" s="257">
        <v>9</v>
      </c>
      <c r="BN19" s="251">
        <v>66.099999999999994</v>
      </c>
      <c r="BO19" s="256">
        <v>42200</v>
      </c>
      <c r="BT19" s="251">
        <v>48.938518524169922</v>
      </c>
      <c r="BU19" s="256">
        <v>42200</v>
      </c>
      <c r="BV19" s="251">
        <v>19.332275390625</v>
      </c>
      <c r="BW19" s="256">
        <v>42200</v>
      </c>
      <c r="BX19" s="251">
        <v>43.252000000000002</v>
      </c>
      <c r="BY19" s="256">
        <v>42200</v>
      </c>
      <c r="CD19" s="257">
        <v>5.6</v>
      </c>
      <c r="CE19" s="159">
        <v>42191</v>
      </c>
      <c r="CM19" s="255">
        <v>5</v>
      </c>
      <c r="CN19" s="256">
        <v>42180</v>
      </c>
      <c r="CO19" s="140" t="s">
        <v>8448</v>
      </c>
    </row>
    <row r="20" spans="1:93" ht="15" customHeight="1">
      <c r="A20" s="124" t="s">
        <v>7762</v>
      </c>
      <c r="B20" s="124" t="s">
        <v>7582</v>
      </c>
      <c r="C20" s="268" t="s">
        <v>269</v>
      </c>
      <c r="D20" s="257">
        <v>2</v>
      </c>
      <c r="E20" s="183">
        <v>176</v>
      </c>
      <c r="F20" s="257">
        <v>8</v>
      </c>
      <c r="G20" s="257">
        <v>31</v>
      </c>
      <c r="J20" s="265"/>
      <c r="L20" s="257">
        <v>5</v>
      </c>
      <c r="N20" s="257">
        <v>1.65</v>
      </c>
      <c r="O20" s="159">
        <v>42191</v>
      </c>
      <c r="T20" s="257">
        <v>4.55</v>
      </c>
      <c r="U20" s="256">
        <v>42200</v>
      </c>
      <c r="V20" s="145">
        <v>18.5</v>
      </c>
      <c r="W20" s="159">
        <v>42191</v>
      </c>
      <c r="AD20" s="145">
        <f>(N20/V20)*(((100-CD20)/100)*((100-2)/100))*100</f>
        <v>8.2248486486486474</v>
      </c>
      <c r="AF20" s="257">
        <v>9.4</v>
      </c>
      <c r="AG20" s="159">
        <v>42191</v>
      </c>
      <c r="AJ20" s="257">
        <v>115</v>
      </c>
      <c r="AN20" s="257">
        <v>101</v>
      </c>
      <c r="BB20" s="257">
        <v>3</v>
      </c>
      <c r="BN20" s="251">
        <v>62.177999999999997</v>
      </c>
      <c r="BO20" s="256">
        <v>42200</v>
      </c>
      <c r="BT20" s="251">
        <v>48.360214233398437</v>
      </c>
      <c r="BU20" s="256">
        <v>42200</v>
      </c>
      <c r="BV20" s="251">
        <v>18.399457931518555</v>
      </c>
      <c r="BW20" s="256">
        <v>42200</v>
      </c>
      <c r="BX20" s="251">
        <v>20.260999999999999</v>
      </c>
      <c r="BY20" s="256">
        <v>42200</v>
      </c>
      <c r="CD20" s="257">
        <v>5.9</v>
      </c>
      <c r="CE20" s="159">
        <v>42191</v>
      </c>
      <c r="CM20" s="255">
        <v>3</v>
      </c>
      <c r="CN20" s="256">
        <v>42180</v>
      </c>
      <c r="CO20" s="140" t="s">
        <v>8448</v>
      </c>
    </row>
    <row r="21" spans="1:93" ht="15" customHeight="1">
      <c r="A21" s="124" t="s">
        <v>7743</v>
      </c>
      <c r="B21" s="124" t="s">
        <v>7567</v>
      </c>
      <c r="C21" s="268" t="s">
        <v>269</v>
      </c>
      <c r="D21" s="257">
        <v>2</v>
      </c>
      <c r="E21" s="183">
        <v>157</v>
      </c>
      <c r="F21" s="257">
        <v>9</v>
      </c>
      <c r="G21" s="257">
        <v>32</v>
      </c>
      <c r="J21" s="265"/>
      <c r="L21" s="257">
        <v>3</v>
      </c>
      <c r="N21" s="257">
        <v>1.67</v>
      </c>
      <c r="O21" s="159">
        <v>42191</v>
      </c>
      <c r="T21" s="257">
        <v>4.6500000000000004</v>
      </c>
      <c r="U21" s="256">
        <v>42200</v>
      </c>
      <c r="V21" s="145">
        <v>18.5</v>
      </c>
      <c r="W21" s="159">
        <v>42191</v>
      </c>
      <c r="AD21" s="145">
        <f>(N21/V21)*(((100-CD21)/100)*((100-2)/100))*100</f>
        <v>8.2803113513513491</v>
      </c>
      <c r="AF21" s="257">
        <v>9.4700000000000006</v>
      </c>
      <c r="AG21" s="159">
        <v>42191</v>
      </c>
      <c r="AJ21" s="257">
        <v>105</v>
      </c>
      <c r="AN21" s="257">
        <v>107</v>
      </c>
      <c r="BB21" s="257">
        <v>7</v>
      </c>
      <c r="BN21" s="251">
        <v>63.027000000000001</v>
      </c>
      <c r="BO21" s="256">
        <v>42200</v>
      </c>
      <c r="BT21" s="251">
        <v>49.107963562011719</v>
      </c>
      <c r="BU21" s="256">
        <v>42200</v>
      </c>
      <c r="BV21" s="251">
        <v>19.487462997436523</v>
      </c>
      <c r="BW21" s="256">
        <v>42200</v>
      </c>
      <c r="BX21" s="251">
        <v>18.803999999999998</v>
      </c>
      <c r="BY21" s="256">
        <v>42200</v>
      </c>
      <c r="CD21" s="257">
        <v>6.4</v>
      </c>
      <c r="CE21" s="159">
        <v>42191</v>
      </c>
      <c r="CM21" s="255">
        <v>3</v>
      </c>
      <c r="CN21" s="256">
        <v>42180</v>
      </c>
      <c r="CO21" s="140" t="s">
        <v>8448</v>
      </c>
    </row>
    <row r="22" spans="1:93" ht="15" customHeight="1">
      <c r="A22" s="137" t="s">
        <v>8472</v>
      </c>
      <c r="B22" s="124" t="s">
        <v>8495</v>
      </c>
      <c r="C22" s="268" t="s">
        <v>267</v>
      </c>
      <c r="D22" s="269">
        <v>3</v>
      </c>
      <c r="E22" s="280">
        <v>23</v>
      </c>
      <c r="F22" s="269"/>
      <c r="G22" s="269"/>
      <c r="H22" s="271">
        <v>16</v>
      </c>
      <c r="I22" s="271">
        <v>3</v>
      </c>
      <c r="J22" s="285"/>
      <c r="K22" s="273"/>
      <c r="L22" s="269">
        <v>5</v>
      </c>
      <c r="M22" s="274"/>
      <c r="N22" s="269">
        <v>1.72</v>
      </c>
      <c r="O22" s="274">
        <v>42191</v>
      </c>
      <c r="P22" s="272"/>
      <c r="Q22" s="274"/>
      <c r="R22" s="275"/>
      <c r="S22" s="274"/>
      <c r="T22" s="269">
        <v>4.16</v>
      </c>
      <c r="U22" s="276">
        <v>42200</v>
      </c>
      <c r="V22" s="275">
        <v>18.5</v>
      </c>
      <c r="W22" s="274">
        <v>42191</v>
      </c>
      <c r="X22" s="275"/>
      <c r="Y22" s="274"/>
      <c r="Z22" s="275"/>
      <c r="AA22" s="274"/>
      <c r="AB22" s="275"/>
      <c r="AC22" s="274"/>
      <c r="AD22" s="145">
        <f>(N22/V22)*(((100-CD22)/100)*((100-2)/100))*100</f>
        <v>8.4371113513513514</v>
      </c>
      <c r="AE22" s="274"/>
      <c r="AF22" s="269">
        <v>9.64</v>
      </c>
      <c r="AG22" s="274">
        <v>42191</v>
      </c>
      <c r="AH22" s="274"/>
      <c r="AI22" s="274"/>
      <c r="AJ22" s="269">
        <v>150</v>
      </c>
      <c r="AK22" s="274"/>
      <c r="AL22" s="275"/>
      <c r="AM22" s="274"/>
      <c r="AN22" s="269">
        <v>107</v>
      </c>
      <c r="AO22" s="274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69">
        <v>5</v>
      </c>
      <c r="BC22" s="275"/>
      <c r="BD22" s="275"/>
      <c r="BE22" s="275"/>
      <c r="BF22" s="272"/>
      <c r="BG22" s="272"/>
      <c r="BH22" s="272"/>
      <c r="BI22" s="272"/>
      <c r="BJ22" s="272"/>
      <c r="BK22" s="272"/>
      <c r="BL22" s="272"/>
      <c r="BM22" s="272"/>
      <c r="BN22" s="284">
        <v>62.508000000000003</v>
      </c>
      <c r="BO22" s="276">
        <v>42200</v>
      </c>
      <c r="BP22" s="272"/>
      <c r="BQ22" s="272"/>
      <c r="BR22" s="272"/>
      <c r="BS22" s="272"/>
      <c r="BT22" s="284">
        <v>43.17</v>
      </c>
      <c r="BU22" s="276">
        <v>42200</v>
      </c>
      <c r="BV22" s="284">
        <v>20.501594543457031</v>
      </c>
      <c r="BW22" s="276">
        <v>42200</v>
      </c>
      <c r="BX22" s="284">
        <v>65.540999999999997</v>
      </c>
      <c r="BY22" s="276">
        <v>42200</v>
      </c>
      <c r="BZ22" s="272"/>
      <c r="CA22" s="272"/>
      <c r="CB22" s="272"/>
      <c r="CC22" s="272"/>
      <c r="CD22" s="269">
        <v>7.4</v>
      </c>
      <c r="CE22" s="274">
        <v>42191</v>
      </c>
      <c r="CF22" s="272"/>
      <c r="CG22" s="272"/>
      <c r="CH22" s="272"/>
      <c r="CI22" s="272"/>
      <c r="CJ22" s="272"/>
      <c r="CK22" s="272"/>
      <c r="CL22" s="272"/>
      <c r="CM22" s="278">
        <v>3</v>
      </c>
      <c r="CN22" s="276">
        <v>42180</v>
      </c>
      <c r="CO22" s="272" t="s">
        <v>8447</v>
      </c>
    </row>
    <row r="23" spans="1:93" ht="15" customHeight="1">
      <c r="A23" s="124" t="s">
        <v>7688</v>
      </c>
      <c r="B23" s="124" t="s">
        <v>7535</v>
      </c>
      <c r="C23" s="268" t="s">
        <v>269</v>
      </c>
      <c r="D23" s="257">
        <v>2</v>
      </c>
      <c r="E23" s="183">
        <v>102</v>
      </c>
      <c r="F23" s="257">
        <v>8</v>
      </c>
      <c r="G23" s="257">
        <v>19</v>
      </c>
      <c r="J23" s="265"/>
      <c r="L23" s="257">
        <v>8</v>
      </c>
      <c r="N23" s="257">
        <v>1.78</v>
      </c>
      <c r="O23" s="159">
        <v>42191</v>
      </c>
      <c r="T23" s="257">
        <v>5.22</v>
      </c>
      <c r="U23" s="256">
        <v>42200</v>
      </c>
      <c r="V23" s="145">
        <v>18.5</v>
      </c>
      <c r="W23" s="159">
        <v>42191</v>
      </c>
      <c r="AD23" s="145">
        <f>(N23/V23)*(((100-CD23)/100)*((100-2)/100))*100</f>
        <v>8.8822962162162185</v>
      </c>
      <c r="AF23" s="257">
        <v>10.15</v>
      </c>
      <c r="AG23" s="159">
        <v>42191</v>
      </c>
      <c r="AJ23" s="257">
        <v>140</v>
      </c>
      <c r="AN23" s="257">
        <v>105</v>
      </c>
      <c r="BB23" s="257">
        <v>3</v>
      </c>
      <c r="BN23" s="251">
        <v>62.713000000000001</v>
      </c>
      <c r="BO23" s="256">
        <v>42200</v>
      </c>
      <c r="BT23" s="251">
        <v>51.42584228515625</v>
      </c>
      <c r="BU23" s="256">
        <v>42200</v>
      </c>
      <c r="BV23" s="251">
        <v>17.7735595703125</v>
      </c>
      <c r="BW23" s="256">
        <v>42200</v>
      </c>
      <c r="BX23" s="251">
        <v>18.178999999999998</v>
      </c>
      <c r="BY23" s="256">
        <v>42200</v>
      </c>
      <c r="CD23" s="257">
        <v>5.8</v>
      </c>
      <c r="CE23" s="159">
        <v>42191</v>
      </c>
      <c r="CM23" s="255">
        <v>5</v>
      </c>
      <c r="CN23" s="256">
        <v>42180</v>
      </c>
      <c r="CO23" s="140" t="s">
        <v>8448</v>
      </c>
    </row>
    <row r="24" spans="1:93" ht="15" customHeight="1">
      <c r="A24" s="124" t="s">
        <v>7679</v>
      </c>
      <c r="B24" s="124" t="s">
        <v>7527</v>
      </c>
      <c r="C24" s="268" t="s">
        <v>269</v>
      </c>
      <c r="D24" s="257">
        <v>2</v>
      </c>
      <c r="E24" s="183">
        <v>93</v>
      </c>
      <c r="F24" s="257">
        <v>9</v>
      </c>
      <c r="G24" s="257">
        <v>24</v>
      </c>
      <c r="J24" s="265"/>
      <c r="L24" s="257">
        <v>3</v>
      </c>
      <c r="N24" s="257">
        <v>1.82</v>
      </c>
      <c r="O24" s="159">
        <v>42191</v>
      </c>
      <c r="T24" s="257">
        <v>4.8499999999999996</v>
      </c>
      <c r="U24" s="256">
        <v>42200</v>
      </c>
      <c r="V24" s="145">
        <v>18.5</v>
      </c>
      <c r="W24" s="159">
        <v>42191</v>
      </c>
      <c r="AD24" s="145">
        <f>(N24/V24)*(((100-CD24)/100)*((100-2)/100))*100</f>
        <v>8.9662054054054057</v>
      </c>
      <c r="AF24" s="257">
        <v>10.25</v>
      </c>
      <c r="AG24" s="159">
        <v>42191</v>
      </c>
      <c r="AJ24" s="257">
        <v>125</v>
      </c>
      <c r="AN24" s="257">
        <v>112</v>
      </c>
      <c r="BB24" s="257">
        <v>9</v>
      </c>
      <c r="BN24" s="251">
        <v>65.135999999999996</v>
      </c>
      <c r="BO24" s="256">
        <v>42200</v>
      </c>
      <c r="BT24" s="251">
        <v>47.304588317871094</v>
      </c>
      <c r="BU24" s="256">
        <v>42200</v>
      </c>
      <c r="BV24" s="251">
        <v>19.826404571533203</v>
      </c>
      <c r="BW24" s="256">
        <v>42200</v>
      </c>
      <c r="BX24" s="251">
        <v>17.157</v>
      </c>
      <c r="BY24" s="256">
        <v>42200</v>
      </c>
      <c r="CD24" s="257">
        <v>7</v>
      </c>
      <c r="CE24" s="159">
        <v>42191</v>
      </c>
      <c r="CM24" s="255">
        <v>3</v>
      </c>
      <c r="CN24" s="256">
        <v>42180</v>
      </c>
      <c r="CO24" s="140" t="s">
        <v>8448</v>
      </c>
    </row>
    <row r="25" spans="1:93" ht="15" customHeight="1">
      <c r="A25" s="124" t="s">
        <v>8329</v>
      </c>
      <c r="B25" s="124" t="s">
        <v>8329</v>
      </c>
      <c r="C25" s="268" t="s">
        <v>269</v>
      </c>
      <c r="D25" s="257">
        <v>2</v>
      </c>
      <c r="E25" s="191">
        <v>190</v>
      </c>
      <c r="F25" s="257">
        <v>8</v>
      </c>
      <c r="G25" s="257">
        <v>28</v>
      </c>
      <c r="J25" s="265"/>
      <c r="L25" s="257">
        <v>6</v>
      </c>
      <c r="N25" s="257">
        <v>1.82</v>
      </c>
      <c r="O25" s="159">
        <v>42191</v>
      </c>
      <c r="T25" s="257">
        <v>5.04</v>
      </c>
      <c r="U25" s="256">
        <v>42200</v>
      </c>
      <c r="V25" s="145">
        <v>18.5</v>
      </c>
      <c r="W25" s="159">
        <v>42191</v>
      </c>
      <c r="AD25" s="145">
        <f>(N25/V25)*(((100-CD25)/100)*((100-2)/100))*100</f>
        <v>9.0144108108108121</v>
      </c>
      <c r="AF25" s="257">
        <v>10.3</v>
      </c>
      <c r="AG25" s="159">
        <v>42191</v>
      </c>
      <c r="AJ25" s="257">
        <v>130</v>
      </c>
      <c r="AN25" s="257">
        <v>103</v>
      </c>
      <c r="BB25" s="257">
        <v>3</v>
      </c>
      <c r="BN25" s="251">
        <v>63.545000000000002</v>
      </c>
      <c r="BO25" s="256">
        <v>42200</v>
      </c>
      <c r="BT25" s="251">
        <v>48.983409881591797</v>
      </c>
      <c r="BU25" s="256">
        <v>42200</v>
      </c>
      <c r="BV25" s="251">
        <v>18.595962524414062</v>
      </c>
      <c r="BW25" s="256">
        <v>42200</v>
      </c>
      <c r="BX25" s="251">
        <v>30.776</v>
      </c>
      <c r="BY25" s="256">
        <v>42200</v>
      </c>
      <c r="CD25" s="257">
        <v>6.5</v>
      </c>
      <c r="CE25" s="159">
        <v>42191</v>
      </c>
      <c r="CM25" s="255">
        <v>5</v>
      </c>
      <c r="CN25" s="256">
        <v>42180</v>
      </c>
      <c r="CO25" s="140" t="s">
        <v>8448</v>
      </c>
    </row>
    <row r="26" spans="1:93" ht="15" customHeight="1">
      <c r="A26" s="124" t="s">
        <v>7693</v>
      </c>
      <c r="B26" s="124" t="s">
        <v>7539</v>
      </c>
      <c r="C26" s="268" t="s">
        <v>269</v>
      </c>
      <c r="D26" s="257">
        <v>2</v>
      </c>
      <c r="E26" s="183">
        <v>107</v>
      </c>
      <c r="F26" s="257">
        <v>8</v>
      </c>
      <c r="G26" s="257">
        <v>26</v>
      </c>
      <c r="J26" s="265"/>
      <c r="L26" s="257">
        <v>5</v>
      </c>
      <c r="N26" s="257">
        <v>1.85</v>
      </c>
      <c r="O26" s="159">
        <v>42191</v>
      </c>
      <c r="T26" s="257">
        <v>5.09</v>
      </c>
      <c r="U26" s="256">
        <v>42200</v>
      </c>
      <c r="V26" s="145">
        <v>18.5</v>
      </c>
      <c r="W26" s="159">
        <v>42191</v>
      </c>
      <c r="AD26" s="145">
        <f>(N26/V26)*(((100-CD26)/100)*((100-2)/100))*100</f>
        <v>9.1433999999999997</v>
      </c>
      <c r="AF26" s="257">
        <v>10.45</v>
      </c>
      <c r="AG26" s="159">
        <v>42191</v>
      </c>
      <c r="AJ26" s="257">
        <v>135</v>
      </c>
      <c r="AN26" s="257">
        <v>106</v>
      </c>
      <c r="BB26" s="257">
        <v>5</v>
      </c>
      <c r="BN26" s="251">
        <v>63.905000000000001</v>
      </c>
      <c r="BO26" s="256">
        <v>42200</v>
      </c>
      <c r="BT26" s="251">
        <v>48.699150085449219</v>
      </c>
      <c r="BU26" s="256">
        <v>42200</v>
      </c>
      <c r="BV26" s="251">
        <v>19.136011123657227</v>
      </c>
      <c r="BW26" s="256">
        <v>42200</v>
      </c>
      <c r="BX26" s="251">
        <v>16.486000000000001</v>
      </c>
      <c r="BY26" s="256">
        <v>42200</v>
      </c>
      <c r="CD26" s="257">
        <v>6.7</v>
      </c>
      <c r="CE26" s="159">
        <v>42191</v>
      </c>
      <c r="CM26" s="255">
        <v>3</v>
      </c>
      <c r="CN26" s="256">
        <v>42180</v>
      </c>
      <c r="CO26" s="140" t="s">
        <v>8448</v>
      </c>
    </row>
    <row r="27" spans="1:93" ht="15" customHeight="1">
      <c r="A27" s="124" t="s">
        <v>7636</v>
      </c>
      <c r="B27" s="124" t="s">
        <v>7488</v>
      </c>
      <c r="C27" s="268" t="s">
        <v>269</v>
      </c>
      <c r="D27" s="257">
        <v>2</v>
      </c>
      <c r="E27" s="183">
        <v>50</v>
      </c>
      <c r="F27" s="257">
        <v>11</v>
      </c>
      <c r="G27" s="257">
        <v>31</v>
      </c>
      <c r="J27" s="265"/>
      <c r="L27" s="257">
        <v>3</v>
      </c>
      <c r="N27" s="257">
        <v>1.89</v>
      </c>
      <c r="O27" s="159">
        <v>42191</v>
      </c>
      <c r="T27" s="257">
        <v>5.62</v>
      </c>
      <c r="U27" s="256">
        <v>42200</v>
      </c>
      <c r="V27" s="145">
        <v>18.5</v>
      </c>
      <c r="W27" s="159">
        <v>42191</v>
      </c>
      <c r="AD27" s="145">
        <f>(N27/V27)*(((100-CD27)/100)*((100-2)/100))*100</f>
        <v>9.4111783783783771</v>
      </c>
      <c r="AF27" s="257">
        <v>10.76</v>
      </c>
      <c r="AG27" s="159">
        <v>42191</v>
      </c>
      <c r="AJ27" s="257">
        <v>110</v>
      </c>
      <c r="AN27" s="257">
        <v>106</v>
      </c>
      <c r="BB27" s="257">
        <v>7</v>
      </c>
      <c r="BN27" s="251">
        <v>62.459000000000003</v>
      </c>
      <c r="BO27" s="256">
        <v>42200</v>
      </c>
      <c r="BT27" s="251">
        <v>52.238731384277344</v>
      </c>
      <c r="BU27" s="256">
        <v>42200</v>
      </c>
      <c r="BV27" s="251">
        <v>15.779422760009766</v>
      </c>
      <c r="BW27" s="256">
        <v>42200</v>
      </c>
      <c r="BX27" s="251">
        <v>16.062000000000001</v>
      </c>
      <c r="BY27" s="256">
        <v>42200</v>
      </c>
      <c r="CD27" s="257">
        <v>6</v>
      </c>
      <c r="CE27" s="159">
        <v>42191</v>
      </c>
      <c r="CM27" s="255">
        <v>3</v>
      </c>
      <c r="CN27" s="256">
        <v>42180</v>
      </c>
      <c r="CO27" s="140" t="s">
        <v>8448</v>
      </c>
    </row>
    <row r="28" spans="1:93" ht="15" customHeight="1">
      <c r="A28" s="137" t="s">
        <v>8451</v>
      </c>
      <c r="B28" s="124" t="s">
        <v>8474</v>
      </c>
      <c r="C28" s="268" t="s">
        <v>267</v>
      </c>
      <c r="D28" s="269">
        <v>4</v>
      </c>
      <c r="E28" s="280">
        <v>2</v>
      </c>
      <c r="F28" s="269"/>
      <c r="G28" s="269"/>
      <c r="H28" s="271">
        <v>22</v>
      </c>
      <c r="I28" s="271">
        <v>3</v>
      </c>
      <c r="J28" s="285"/>
      <c r="K28" s="273"/>
      <c r="L28" s="269">
        <v>8</v>
      </c>
      <c r="M28" s="274"/>
      <c r="N28" s="269">
        <v>1.95</v>
      </c>
      <c r="O28" s="274">
        <v>42191</v>
      </c>
      <c r="P28" s="272"/>
      <c r="Q28" s="274"/>
      <c r="R28" s="275"/>
      <c r="S28" s="274"/>
      <c r="T28" s="269">
        <v>5.0599999999999996</v>
      </c>
      <c r="U28" s="276">
        <v>42200</v>
      </c>
      <c r="V28" s="275">
        <v>18.5</v>
      </c>
      <c r="W28" s="274">
        <v>42191</v>
      </c>
      <c r="X28" s="275"/>
      <c r="Y28" s="274"/>
      <c r="Z28" s="275"/>
      <c r="AA28" s="274"/>
      <c r="AB28" s="275"/>
      <c r="AC28" s="274"/>
      <c r="AD28" s="145">
        <f>(N28/V28)*(((100-CD28)/100)*((100-2)/100))*100</f>
        <v>9.6169783783783771</v>
      </c>
      <c r="AE28" s="274"/>
      <c r="AF28" s="269">
        <v>10.99</v>
      </c>
      <c r="AG28" s="274">
        <v>42191</v>
      </c>
      <c r="AH28" s="274"/>
      <c r="AI28" s="274"/>
      <c r="AJ28" s="269">
        <v>120</v>
      </c>
      <c r="AK28" s="274"/>
      <c r="AL28" s="275"/>
      <c r="AM28" s="274"/>
      <c r="AN28" s="269">
        <v>100</v>
      </c>
      <c r="AO28" s="274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69">
        <v>5</v>
      </c>
      <c r="BC28" s="275"/>
      <c r="BD28" s="275"/>
      <c r="BE28" s="275"/>
      <c r="BF28" s="272"/>
      <c r="BG28" s="272"/>
      <c r="BH28" s="272"/>
      <c r="BI28" s="272"/>
      <c r="BJ28" s="272"/>
      <c r="BK28" s="272"/>
      <c r="BL28" s="272"/>
      <c r="BM28" s="272"/>
      <c r="BN28" s="284">
        <v>64.944000000000003</v>
      </c>
      <c r="BO28" s="276">
        <v>42200</v>
      </c>
      <c r="BP28" s="272"/>
      <c r="BQ28" s="272"/>
      <c r="BR28" s="272"/>
      <c r="BS28" s="272"/>
      <c r="BT28" s="284">
        <v>46.06</v>
      </c>
      <c r="BU28" s="276">
        <v>42200</v>
      </c>
      <c r="BV28" s="284">
        <v>21.924642562866211</v>
      </c>
      <c r="BW28" s="276">
        <v>42200</v>
      </c>
      <c r="BX28" s="284">
        <v>60.844000000000001</v>
      </c>
      <c r="BY28" s="276">
        <v>42200</v>
      </c>
      <c r="BZ28" s="272"/>
      <c r="CA28" s="272"/>
      <c r="CB28" s="272"/>
      <c r="CC28" s="272"/>
      <c r="CD28" s="269">
        <v>6.9</v>
      </c>
      <c r="CE28" s="274">
        <v>42191</v>
      </c>
      <c r="CF28" s="272"/>
      <c r="CG28" s="272"/>
      <c r="CH28" s="272"/>
      <c r="CI28" s="272"/>
      <c r="CJ28" s="272"/>
      <c r="CK28" s="272"/>
      <c r="CL28" s="272"/>
      <c r="CM28" s="278">
        <v>1</v>
      </c>
      <c r="CN28" s="276">
        <v>42180</v>
      </c>
      <c r="CO28" s="272" t="s">
        <v>8447</v>
      </c>
    </row>
    <row r="29" spans="1:93" ht="15" customHeight="1">
      <c r="A29" s="124" t="s">
        <v>7634</v>
      </c>
      <c r="B29" s="124" t="s">
        <v>7774</v>
      </c>
      <c r="C29" s="268" t="s">
        <v>267</v>
      </c>
      <c r="D29" s="257">
        <v>4</v>
      </c>
      <c r="E29" s="183">
        <v>48</v>
      </c>
      <c r="F29" s="257">
        <v>22</v>
      </c>
      <c r="G29" s="257">
        <v>24</v>
      </c>
      <c r="J29" s="265"/>
      <c r="L29" s="257">
        <v>3</v>
      </c>
      <c r="N29" s="257">
        <v>2.04</v>
      </c>
      <c r="O29" s="159">
        <v>42191</v>
      </c>
      <c r="T29" s="257">
        <v>5.16</v>
      </c>
      <c r="U29" s="256">
        <v>42200</v>
      </c>
      <c r="V29" s="145">
        <v>18.5</v>
      </c>
      <c r="W29" s="159">
        <v>42191</v>
      </c>
      <c r="AD29" s="145">
        <f>(N29/V29)*(((100-CD29)/100)*((100-2)/100))*100</f>
        <v>9.6501924324324317</v>
      </c>
      <c r="AF29" s="257">
        <v>11.03</v>
      </c>
      <c r="AG29" s="159">
        <v>42191</v>
      </c>
      <c r="AJ29" s="257">
        <v>110</v>
      </c>
      <c r="AN29" s="257">
        <v>106</v>
      </c>
      <c r="BB29" s="257">
        <v>9</v>
      </c>
      <c r="BN29" s="251">
        <v>67.069999999999993</v>
      </c>
      <c r="BO29" s="256">
        <v>42200</v>
      </c>
      <c r="BT29" s="251">
        <v>46.742450714111328</v>
      </c>
      <c r="BU29" s="256">
        <v>42200</v>
      </c>
      <c r="BV29" s="251">
        <v>18.906578063964844</v>
      </c>
      <c r="BW29" s="256">
        <v>42200</v>
      </c>
      <c r="BX29" s="251">
        <v>20.748999999999999</v>
      </c>
      <c r="BY29" s="256">
        <v>42200</v>
      </c>
      <c r="CD29" s="257">
        <v>10.7</v>
      </c>
      <c r="CE29" s="159">
        <v>42191</v>
      </c>
      <c r="CM29" s="255">
        <v>3</v>
      </c>
      <c r="CN29" s="256">
        <v>42180</v>
      </c>
      <c r="CO29" s="140" t="s">
        <v>8447</v>
      </c>
    </row>
    <row r="30" spans="1:93" ht="15" customHeight="1">
      <c r="A30" s="124" t="s">
        <v>7719</v>
      </c>
      <c r="B30" s="124" t="s">
        <v>7786</v>
      </c>
      <c r="C30" s="268" t="s">
        <v>269</v>
      </c>
      <c r="D30" s="257">
        <v>2</v>
      </c>
      <c r="E30" s="183">
        <v>133</v>
      </c>
      <c r="F30" s="257">
        <v>12</v>
      </c>
      <c r="G30" s="257">
        <v>30</v>
      </c>
      <c r="J30" s="265"/>
      <c r="L30" s="257">
        <v>5</v>
      </c>
      <c r="N30" s="257">
        <v>1.95</v>
      </c>
      <c r="O30" s="159">
        <v>42191</v>
      </c>
      <c r="T30" s="257">
        <v>5.52</v>
      </c>
      <c r="U30" s="256">
        <v>42200</v>
      </c>
      <c r="V30" s="145">
        <v>18.5</v>
      </c>
      <c r="W30" s="159">
        <v>42191</v>
      </c>
      <c r="AD30" s="145">
        <f>(N30/V30)*(((100-CD30)/100)*((100-2)/100))*100</f>
        <v>9.6582972972972971</v>
      </c>
      <c r="AF30" s="257">
        <v>11.04</v>
      </c>
      <c r="AG30" s="159">
        <v>42191</v>
      </c>
      <c r="AJ30" s="257">
        <v>105</v>
      </c>
      <c r="AN30" s="257">
        <v>100</v>
      </c>
      <c r="BB30" s="257">
        <v>5</v>
      </c>
      <c r="BN30" s="251">
        <v>63.73</v>
      </c>
      <c r="BO30" s="256">
        <v>42200</v>
      </c>
      <c r="BT30" s="251">
        <v>49.984779357910156</v>
      </c>
      <c r="BU30" s="256">
        <v>42200</v>
      </c>
      <c r="BV30" s="251">
        <v>17.500980377197266</v>
      </c>
      <c r="BW30" s="256">
        <v>42200</v>
      </c>
      <c r="BX30" s="251">
        <v>15.1</v>
      </c>
      <c r="BY30" s="256">
        <v>42200</v>
      </c>
      <c r="CD30" s="257">
        <v>6.5</v>
      </c>
      <c r="CE30" s="159">
        <v>42191</v>
      </c>
      <c r="CM30" s="255">
        <v>5</v>
      </c>
      <c r="CN30" s="256">
        <v>42180</v>
      </c>
      <c r="CO30" s="140" t="s">
        <v>8448</v>
      </c>
    </row>
    <row r="31" spans="1:93" ht="15" customHeight="1">
      <c r="A31" s="124" t="s">
        <v>7703</v>
      </c>
      <c r="B31" s="124" t="s">
        <v>7778</v>
      </c>
      <c r="C31" s="268" t="s">
        <v>269</v>
      </c>
      <c r="D31" s="257">
        <v>2</v>
      </c>
      <c r="E31" s="183">
        <v>117</v>
      </c>
      <c r="F31" s="257">
        <v>8</v>
      </c>
      <c r="G31" s="257">
        <v>17</v>
      </c>
      <c r="J31" s="265"/>
      <c r="L31" s="257">
        <v>8</v>
      </c>
      <c r="N31" s="257">
        <v>1.98</v>
      </c>
      <c r="O31" s="159">
        <v>42191</v>
      </c>
      <c r="T31" s="257">
        <v>5.61</v>
      </c>
      <c r="U31" s="256">
        <v>42200</v>
      </c>
      <c r="V31" s="145">
        <v>18.5</v>
      </c>
      <c r="W31" s="159">
        <v>42191</v>
      </c>
      <c r="AD31" s="145">
        <f>(N31/V31)*(((100-CD31)/100)*((100-2)/100))*100</f>
        <v>9.8803070270270279</v>
      </c>
      <c r="AF31" s="257">
        <v>11.29</v>
      </c>
      <c r="AG31" s="159">
        <v>42191</v>
      </c>
      <c r="AJ31" s="257">
        <v>140</v>
      </c>
      <c r="AN31" s="257">
        <v>110</v>
      </c>
      <c r="BB31" s="257">
        <v>7</v>
      </c>
      <c r="BN31" s="251">
        <v>65.921999999999997</v>
      </c>
      <c r="BO31" s="256">
        <v>42200</v>
      </c>
      <c r="BT31" s="251">
        <v>49.708114624023438</v>
      </c>
      <c r="BU31" s="256">
        <v>42200</v>
      </c>
      <c r="BV31" s="251">
        <v>20.615589141845703</v>
      </c>
      <c r="BW31" s="256">
        <v>42200</v>
      </c>
      <c r="BX31" s="251">
        <v>59.494999999999997</v>
      </c>
      <c r="BY31" s="256">
        <v>42200</v>
      </c>
      <c r="CD31" s="257">
        <v>5.8</v>
      </c>
      <c r="CE31" s="159">
        <v>42191</v>
      </c>
      <c r="CM31" s="255">
        <v>5</v>
      </c>
      <c r="CN31" s="256">
        <v>42180</v>
      </c>
      <c r="CO31" s="140" t="s">
        <v>8448</v>
      </c>
    </row>
    <row r="32" spans="1:93" ht="15" customHeight="1">
      <c r="A32" s="124" t="s">
        <v>7669</v>
      </c>
      <c r="B32" s="124" t="s">
        <v>7518</v>
      </c>
      <c r="C32" s="268" t="s">
        <v>269</v>
      </c>
      <c r="D32" s="257">
        <v>2</v>
      </c>
      <c r="E32" s="183">
        <v>83</v>
      </c>
      <c r="F32" s="257">
        <v>9</v>
      </c>
      <c r="G32" s="257">
        <v>11</v>
      </c>
      <c r="J32" s="265"/>
      <c r="L32" s="257">
        <v>8</v>
      </c>
      <c r="N32" s="257">
        <v>2.0099999999999998</v>
      </c>
      <c r="O32" s="159">
        <v>42191</v>
      </c>
      <c r="T32" s="257">
        <v>5.56</v>
      </c>
      <c r="U32" s="256">
        <v>42200</v>
      </c>
      <c r="V32" s="145">
        <v>18.5</v>
      </c>
      <c r="W32" s="159">
        <v>42191</v>
      </c>
      <c r="AD32" s="145">
        <f>(N32/V32)*(((100-CD32)/100)*((100-2)/100))*100</f>
        <v>9.9128854054054045</v>
      </c>
      <c r="AF32" s="257">
        <f>(N32/V32)*(((100-CD32)/(100-9))*100)</f>
        <v>11.115592515592512</v>
      </c>
      <c r="AG32" s="159">
        <v>42191</v>
      </c>
      <c r="AJ32" s="257">
        <v>140</v>
      </c>
      <c r="AN32" s="257">
        <v>107</v>
      </c>
      <c r="BB32" s="257">
        <v>7</v>
      </c>
      <c r="BN32" s="251">
        <v>65.391000000000005</v>
      </c>
      <c r="BO32" s="256">
        <v>42200</v>
      </c>
      <c r="BT32" s="251">
        <v>49.079540252685547</v>
      </c>
      <c r="BU32" s="256">
        <v>42200</v>
      </c>
      <c r="BV32" s="251">
        <v>18.205692291259766</v>
      </c>
      <c r="BW32" s="256">
        <v>42200</v>
      </c>
      <c r="BX32" s="251">
        <v>21.077000000000002</v>
      </c>
      <c r="BY32" s="256">
        <v>42200</v>
      </c>
      <c r="CD32" s="257">
        <v>6.9</v>
      </c>
      <c r="CE32" s="159">
        <v>42191</v>
      </c>
      <c r="CM32" s="255">
        <v>1</v>
      </c>
      <c r="CN32" s="256">
        <v>42180</v>
      </c>
      <c r="CO32" s="140" t="s">
        <v>8448</v>
      </c>
    </row>
    <row r="33" spans="1:93" ht="15" customHeight="1">
      <c r="A33" s="124" t="s">
        <v>7659</v>
      </c>
      <c r="B33" s="124" t="s">
        <v>7508</v>
      </c>
      <c r="C33" s="268" t="s">
        <v>269</v>
      </c>
      <c r="D33" s="257">
        <v>2</v>
      </c>
      <c r="E33" s="183">
        <v>73</v>
      </c>
      <c r="F33" s="257">
        <v>8</v>
      </c>
      <c r="G33" s="257">
        <v>25</v>
      </c>
      <c r="J33" s="265"/>
      <c r="L33" s="257">
        <v>6</v>
      </c>
      <c r="N33" s="257">
        <v>2</v>
      </c>
      <c r="O33" s="159">
        <v>42191</v>
      </c>
      <c r="T33" s="257">
        <v>5.45</v>
      </c>
      <c r="U33" s="256">
        <v>42200</v>
      </c>
      <c r="V33" s="145">
        <v>18.5</v>
      </c>
      <c r="W33" s="159">
        <v>42191</v>
      </c>
      <c r="AD33" s="145">
        <f>(N33/V33)*(((100-CD33)/100)*((100-2)/100))*100</f>
        <v>9.93772972972973</v>
      </c>
      <c r="AF33" s="257">
        <v>11.36</v>
      </c>
      <c r="AG33" s="159">
        <v>42191</v>
      </c>
      <c r="AJ33" s="257">
        <v>135</v>
      </c>
      <c r="AN33" s="257">
        <v>107</v>
      </c>
      <c r="BB33" s="257">
        <v>7</v>
      </c>
      <c r="BN33" s="251">
        <v>67.350999999999999</v>
      </c>
      <c r="BO33" s="256">
        <v>42200</v>
      </c>
      <c r="BT33" s="251">
        <v>47.97882080078125</v>
      </c>
      <c r="BU33" s="256">
        <v>42200</v>
      </c>
      <c r="BV33" s="251">
        <v>19.670940399169922</v>
      </c>
      <c r="BW33" s="256">
        <v>42200</v>
      </c>
      <c r="BX33" s="251">
        <v>13.567</v>
      </c>
      <c r="BY33" s="256">
        <v>42200</v>
      </c>
      <c r="CD33" s="257">
        <v>6.2</v>
      </c>
      <c r="CE33" s="159">
        <v>42191</v>
      </c>
      <c r="CM33" s="255">
        <v>3</v>
      </c>
      <c r="CN33" s="256">
        <v>42180</v>
      </c>
      <c r="CO33" s="140" t="s">
        <v>8448</v>
      </c>
    </row>
    <row r="34" spans="1:93" ht="15" customHeight="1">
      <c r="A34" s="137" t="s">
        <v>8463</v>
      </c>
      <c r="B34" s="124" t="s">
        <v>8486</v>
      </c>
      <c r="C34" s="268" t="s">
        <v>267</v>
      </c>
      <c r="D34" s="269">
        <v>3</v>
      </c>
      <c r="E34" s="280">
        <v>14</v>
      </c>
      <c r="F34" s="269"/>
      <c r="G34" s="269"/>
      <c r="H34" s="271">
        <v>17</v>
      </c>
      <c r="I34" s="271">
        <v>2</v>
      </c>
      <c r="J34" s="285"/>
      <c r="K34" s="273"/>
      <c r="L34" s="269">
        <v>6</v>
      </c>
      <c r="M34" s="274"/>
      <c r="N34" s="269">
        <v>2.0699999999999998</v>
      </c>
      <c r="O34" s="274">
        <v>42191</v>
      </c>
      <c r="P34" s="272"/>
      <c r="Q34" s="274"/>
      <c r="R34" s="275"/>
      <c r="S34" s="274"/>
      <c r="T34" s="269">
        <v>5.16</v>
      </c>
      <c r="U34" s="276">
        <v>42200</v>
      </c>
      <c r="V34" s="275">
        <v>18.5</v>
      </c>
      <c r="W34" s="274">
        <v>42191</v>
      </c>
      <c r="X34" s="275"/>
      <c r="Y34" s="274"/>
      <c r="Z34" s="275"/>
      <c r="AA34" s="274"/>
      <c r="AB34" s="275"/>
      <c r="AC34" s="274"/>
      <c r="AD34" s="145">
        <f>(N34/V34)*(((100-CD34)/100)*((100-2)/100))*100</f>
        <v>9.9675535135135132</v>
      </c>
      <c r="AE34" s="274"/>
      <c r="AF34" s="269">
        <v>11.39</v>
      </c>
      <c r="AG34" s="274">
        <v>42191</v>
      </c>
      <c r="AH34" s="274"/>
      <c r="AI34" s="274"/>
      <c r="AJ34" s="269">
        <v>125</v>
      </c>
      <c r="AK34" s="274"/>
      <c r="AL34" s="275"/>
      <c r="AM34" s="274"/>
      <c r="AN34" s="269">
        <v>100</v>
      </c>
      <c r="AO34" s="274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69">
        <v>5</v>
      </c>
      <c r="BC34" s="275"/>
      <c r="BD34" s="275"/>
      <c r="BE34" s="275"/>
      <c r="BF34" s="272"/>
      <c r="BG34" s="272"/>
      <c r="BH34" s="272"/>
      <c r="BI34" s="272"/>
      <c r="BJ34" s="272"/>
      <c r="BK34" s="272"/>
      <c r="BL34" s="272"/>
      <c r="BM34" s="272"/>
      <c r="BN34" s="284">
        <v>66.221000000000004</v>
      </c>
      <c r="BO34" s="276">
        <v>42200</v>
      </c>
      <c r="BP34" s="272"/>
      <c r="BQ34" s="272"/>
      <c r="BR34" s="272"/>
      <c r="BS34" s="272"/>
      <c r="BT34" s="284">
        <v>45.29</v>
      </c>
      <c r="BU34" s="276">
        <v>42200</v>
      </c>
      <c r="BV34" s="284">
        <v>21.497756958007813</v>
      </c>
      <c r="BW34" s="276">
        <v>42200</v>
      </c>
      <c r="BX34" s="284">
        <v>68.918999999999997</v>
      </c>
      <c r="BY34" s="276">
        <v>42200</v>
      </c>
      <c r="BZ34" s="272"/>
      <c r="CA34" s="272"/>
      <c r="CB34" s="272"/>
      <c r="CC34" s="272"/>
      <c r="CD34" s="269">
        <v>9.1</v>
      </c>
      <c r="CE34" s="274">
        <v>42191</v>
      </c>
      <c r="CF34" s="272"/>
      <c r="CG34" s="272"/>
      <c r="CH34" s="272"/>
      <c r="CI34" s="272"/>
      <c r="CJ34" s="272"/>
      <c r="CK34" s="272"/>
      <c r="CL34" s="272"/>
      <c r="CM34" s="278">
        <v>1</v>
      </c>
      <c r="CN34" s="276">
        <v>42180</v>
      </c>
      <c r="CO34" s="272" t="s">
        <v>8447</v>
      </c>
    </row>
    <row r="35" spans="1:93" ht="15" customHeight="1">
      <c r="A35" s="124" t="s">
        <v>7588</v>
      </c>
      <c r="B35" s="124" t="s">
        <v>7768</v>
      </c>
      <c r="C35" s="268" t="s">
        <v>267</v>
      </c>
      <c r="D35" s="257">
        <v>4</v>
      </c>
      <c r="E35" s="183">
        <v>2</v>
      </c>
      <c r="F35" s="257">
        <v>19</v>
      </c>
      <c r="G35" s="257">
        <v>21</v>
      </c>
      <c r="J35" s="283"/>
      <c r="L35" s="257">
        <v>7</v>
      </c>
      <c r="N35" s="257">
        <v>2.0699999999999998</v>
      </c>
      <c r="O35" s="159">
        <v>42191</v>
      </c>
      <c r="P35" s="144"/>
      <c r="R35" s="145"/>
      <c r="T35" s="257">
        <v>5.67</v>
      </c>
      <c r="U35" s="256">
        <v>42200</v>
      </c>
      <c r="V35" s="145">
        <v>18.5</v>
      </c>
      <c r="W35" s="159">
        <v>42191</v>
      </c>
      <c r="X35" s="145"/>
      <c r="Z35" s="145"/>
      <c r="AB35" s="145"/>
      <c r="AD35" s="145">
        <f>(N35/V35)*(((100-CD35)/100)*((100-2)/100))*100</f>
        <v>10.230723243243242</v>
      </c>
      <c r="AF35" s="257">
        <v>11.7</v>
      </c>
      <c r="AG35" s="159">
        <v>42191</v>
      </c>
      <c r="AJ35" s="257">
        <v>150</v>
      </c>
      <c r="AL35" s="145"/>
      <c r="AN35" s="257">
        <v>106</v>
      </c>
      <c r="BB35" s="257">
        <v>7</v>
      </c>
      <c r="BN35" s="251">
        <v>63.911999999999999</v>
      </c>
      <c r="BO35" s="256">
        <v>42200</v>
      </c>
      <c r="BT35" s="251">
        <v>48.470550537109375</v>
      </c>
      <c r="BU35" s="256">
        <v>42200</v>
      </c>
      <c r="BV35" s="251">
        <v>19.867570877075195</v>
      </c>
      <c r="BW35" s="256">
        <v>42200</v>
      </c>
      <c r="BX35" s="251">
        <v>52.503999999999998</v>
      </c>
      <c r="BY35" s="256">
        <v>42200</v>
      </c>
      <c r="CD35" s="257">
        <v>6.7</v>
      </c>
      <c r="CE35" s="159">
        <v>42191</v>
      </c>
      <c r="CM35" s="255">
        <v>7</v>
      </c>
      <c r="CN35" s="256">
        <v>42180</v>
      </c>
      <c r="CO35" s="140" t="s">
        <v>8447</v>
      </c>
    </row>
    <row r="36" spans="1:93" ht="15" customHeight="1">
      <c r="A36" s="124" t="s">
        <v>7656</v>
      </c>
      <c r="B36" s="124" t="s">
        <v>7505</v>
      </c>
      <c r="C36" s="268" t="s">
        <v>267</v>
      </c>
      <c r="D36" s="257">
        <v>3</v>
      </c>
      <c r="E36" s="183">
        <v>70</v>
      </c>
      <c r="F36" s="257">
        <v>16</v>
      </c>
      <c r="G36" s="257">
        <v>5</v>
      </c>
      <c r="J36" s="265"/>
      <c r="L36" s="257">
        <v>3</v>
      </c>
      <c r="N36" s="257">
        <v>2.08</v>
      </c>
      <c r="O36" s="159">
        <v>42191</v>
      </c>
      <c r="T36" s="257">
        <v>5.93</v>
      </c>
      <c r="U36" s="256">
        <v>42200</v>
      </c>
      <c r="V36" s="145">
        <v>18.5</v>
      </c>
      <c r="W36" s="159">
        <v>42191</v>
      </c>
      <c r="AD36" s="145">
        <f>(N36/V36)*(((100-CD36)/100)*((100-2)/100))*100</f>
        <v>10.291165405405406</v>
      </c>
      <c r="AF36" s="257">
        <v>11.76</v>
      </c>
      <c r="AG36" s="159">
        <v>42191</v>
      </c>
      <c r="AJ36" s="257">
        <v>95</v>
      </c>
      <c r="AN36" s="257">
        <v>108</v>
      </c>
      <c r="BB36" s="257">
        <v>9</v>
      </c>
      <c r="BN36" s="251">
        <v>64.287999999999997</v>
      </c>
      <c r="BO36" s="256">
        <v>42200</v>
      </c>
      <c r="BT36" s="251">
        <v>50.404335021972656</v>
      </c>
      <c r="BU36" s="256">
        <v>42200</v>
      </c>
      <c r="BV36" s="251">
        <v>17.642513275146484</v>
      </c>
      <c r="BW36" s="256">
        <v>42200</v>
      </c>
      <c r="BX36" s="251">
        <v>16.056000000000001</v>
      </c>
      <c r="BY36" s="256">
        <v>42200</v>
      </c>
      <c r="CD36" s="257">
        <v>6.6</v>
      </c>
      <c r="CE36" s="159">
        <v>42191</v>
      </c>
      <c r="CM36" s="255">
        <v>5</v>
      </c>
      <c r="CN36" s="256">
        <v>42180</v>
      </c>
      <c r="CO36" s="140" t="s">
        <v>8447</v>
      </c>
    </row>
    <row r="37" spans="1:93" ht="15" customHeight="1">
      <c r="A37" s="124" t="s">
        <v>7590</v>
      </c>
      <c r="B37" s="124" t="s">
        <v>7450</v>
      </c>
      <c r="C37" s="268" t="s">
        <v>267</v>
      </c>
      <c r="D37" s="257">
        <v>3</v>
      </c>
      <c r="E37" s="183">
        <v>4</v>
      </c>
      <c r="F37" s="257">
        <v>14</v>
      </c>
      <c r="G37" s="257">
        <v>18</v>
      </c>
      <c r="J37" s="283"/>
      <c r="L37" s="257">
        <v>6</v>
      </c>
      <c r="N37" s="257">
        <v>2.08</v>
      </c>
      <c r="O37" s="159">
        <v>42191</v>
      </c>
      <c r="P37" s="144"/>
      <c r="R37" s="145"/>
      <c r="T37" s="257">
        <v>5.72</v>
      </c>
      <c r="U37" s="256">
        <v>42200</v>
      </c>
      <c r="V37" s="145">
        <v>18.5</v>
      </c>
      <c r="W37" s="159">
        <v>42191</v>
      </c>
      <c r="X37" s="145"/>
      <c r="Z37" s="145"/>
      <c r="AB37" s="145"/>
      <c r="AD37" s="145">
        <f>(N37/V37)*(((100-CD37)/100)*((100-2)/100))*100</f>
        <v>10.302183783783784</v>
      </c>
      <c r="AF37" s="257">
        <v>11.78</v>
      </c>
      <c r="AG37" s="159">
        <v>42191</v>
      </c>
      <c r="AJ37" s="257">
        <v>125</v>
      </c>
      <c r="AL37" s="145"/>
      <c r="AN37" s="257">
        <v>107</v>
      </c>
      <c r="BB37" s="257">
        <v>9</v>
      </c>
      <c r="BN37" s="251">
        <v>64.572999999999993</v>
      </c>
      <c r="BO37" s="256">
        <v>42200</v>
      </c>
      <c r="BT37" s="251">
        <v>48.540298461914063</v>
      </c>
      <c r="BU37" s="256">
        <v>42200</v>
      </c>
      <c r="BV37" s="251">
        <v>21.059665679931641</v>
      </c>
      <c r="BW37" s="256">
        <v>42200</v>
      </c>
      <c r="BX37" s="251">
        <v>74.488</v>
      </c>
      <c r="BY37" s="256">
        <v>42200</v>
      </c>
      <c r="CD37" s="257">
        <v>6.5</v>
      </c>
      <c r="CE37" s="159">
        <v>42191</v>
      </c>
      <c r="CM37" s="255">
        <v>5</v>
      </c>
      <c r="CN37" s="256">
        <v>42180</v>
      </c>
      <c r="CO37" s="140" t="s">
        <v>8447</v>
      </c>
    </row>
    <row r="38" spans="1:93" ht="15" customHeight="1">
      <c r="A38" s="137" t="s">
        <v>8464</v>
      </c>
      <c r="B38" s="161" t="s">
        <v>8487</v>
      </c>
      <c r="C38" s="268" t="s">
        <v>267</v>
      </c>
      <c r="D38" s="269">
        <v>3</v>
      </c>
      <c r="E38" s="280">
        <v>15</v>
      </c>
      <c r="F38" s="269"/>
      <c r="G38" s="269"/>
      <c r="H38" s="271">
        <v>18</v>
      </c>
      <c r="I38" s="271">
        <v>1</v>
      </c>
      <c r="J38" s="285"/>
      <c r="K38" s="273"/>
      <c r="L38" s="269">
        <v>6</v>
      </c>
      <c r="M38" s="274"/>
      <c r="N38" s="269">
        <v>2.12</v>
      </c>
      <c r="O38" s="274">
        <v>42191</v>
      </c>
      <c r="P38" s="272"/>
      <c r="Q38" s="274"/>
      <c r="R38" s="275"/>
      <c r="S38" s="274"/>
      <c r="T38" s="269">
        <v>5.47</v>
      </c>
      <c r="U38" s="276">
        <v>42200</v>
      </c>
      <c r="V38" s="275">
        <v>18.5</v>
      </c>
      <c r="W38" s="274">
        <v>42191</v>
      </c>
      <c r="X38" s="275"/>
      <c r="Y38" s="274"/>
      <c r="Z38" s="275"/>
      <c r="AA38" s="274"/>
      <c r="AB38" s="275"/>
      <c r="AC38" s="274"/>
      <c r="AD38" s="145">
        <f>(N38/V38)*(((100-CD38)/100)*((100-2)/100))*100</f>
        <v>10.37676972972973</v>
      </c>
      <c r="AE38" s="274"/>
      <c r="AF38" s="269">
        <v>11.86</v>
      </c>
      <c r="AG38" s="274">
        <v>42191</v>
      </c>
      <c r="AH38" s="274"/>
      <c r="AI38" s="274"/>
      <c r="AJ38" s="269">
        <v>105</v>
      </c>
      <c r="AK38" s="274"/>
      <c r="AL38" s="275"/>
      <c r="AM38" s="274"/>
      <c r="AN38" s="269">
        <v>102</v>
      </c>
      <c r="AO38" s="274"/>
      <c r="AP38" s="275"/>
      <c r="AQ38" s="275"/>
      <c r="AR38" s="275"/>
      <c r="AS38" s="275"/>
      <c r="AT38" s="275"/>
      <c r="AU38" s="275"/>
      <c r="AV38" s="275"/>
      <c r="AW38" s="275"/>
      <c r="AX38" s="275"/>
      <c r="AY38" s="275"/>
      <c r="AZ38" s="275"/>
      <c r="BA38" s="275"/>
      <c r="BB38" s="269">
        <v>5</v>
      </c>
      <c r="BC38" s="275"/>
      <c r="BD38" s="275"/>
      <c r="BE38" s="275"/>
      <c r="BF38" s="272"/>
      <c r="BG38" s="272"/>
      <c r="BH38" s="272"/>
      <c r="BI38" s="272"/>
      <c r="BJ38" s="272"/>
      <c r="BK38" s="272"/>
      <c r="BL38" s="272"/>
      <c r="BM38" s="272"/>
      <c r="BN38" s="284">
        <v>63.54</v>
      </c>
      <c r="BO38" s="276">
        <v>42200</v>
      </c>
      <c r="BP38" s="272"/>
      <c r="BQ38" s="272"/>
      <c r="BR38" s="272"/>
      <c r="BS38" s="272"/>
      <c r="BT38" s="284">
        <v>46.13</v>
      </c>
      <c r="BU38" s="276">
        <v>42200</v>
      </c>
      <c r="BV38" s="284">
        <v>22.357063293457031</v>
      </c>
      <c r="BW38" s="276">
        <v>42200</v>
      </c>
      <c r="BX38" s="284">
        <v>76.974000000000004</v>
      </c>
      <c r="BY38" s="276">
        <v>42200</v>
      </c>
      <c r="BZ38" s="272"/>
      <c r="CA38" s="272"/>
      <c r="CB38" s="272"/>
      <c r="CC38" s="272"/>
      <c r="CD38" s="269">
        <v>7.6</v>
      </c>
      <c r="CE38" s="274">
        <v>42191</v>
      </c>
      <c r="CF38" s="272"/>
      <c r="CG38" s="272"/>
      <c r="CH38" s="272"/>
      <c r="CI38" s="272"/>
      <c r="CJ38" s="272"/>
      <c r="CK38" s="272"/>
      <c r="CL38" s="272"/>
      <c r="CM38" s="278">
        <v>5</v>
      </c>
      <c r="CN38" s="276">
        <v>42180</v>
      </c>
      <c r="CO38" s="272" t="s">
        <v>8447</v>
      </c>
    </row>
    <row r="39" spans="1:93" ht="15" customHeight="1">
      <c r="A39" s="124" t="s">
        <v>7739</v>
      </c>
      <c r="B39" s="161" t="s">
        <v>7563</v>
      </c>
      <c r="C39" s="268" t="s">
        <v>269</v>
      </c>
      <c r="D39" s="257">
        <v>2</v>
      </c>
      <c r="E39" s="183">
        <v>153</v>
      </c>
      <c r="F39" s="257">
        <v>8</v>
      </c>
      <c r="G39" s="257">
        <v>24</v>
      </c>
      <c r="J39" s="265"/>
      <c r="L39" s="257">
        <v>5</v>
      </c>
      <c r="N39" s="257">
        <v>2.11</v>
      </c>
      <c r="O39" s="159">
        <v>42191</v>
      </c>
      <c r="T39" s="257">
        <v>6.16</v>
      </c>
      <c r="U39" s="256">
        <v>42200</v>
      </c>
      <c r="V39" s="145">
        <v>18.5</v>
      </c>
      <c r="W39" s="159">
        <v>42191</v>
      </c>
      <c r="AD39" s="145">
        <f>(N39/V39)*(((100-CD39)/100)*((100-2)/100))*100</f>
        <v>10.428418378378376</v>
      </c>
      <c r="AF39" s="257">
        <v>11.92</v>
      </c>
      <c r="AG39" s="159">
        <v>42191</v>
      </c>
      <c r="AJ39" s="257">
        <v>135</v>
      </c>
      <c r="AN39" s="257">
        <v>101</v>
      </c>
      <c r="BB39" s="257">
        <v>3</v>
      </c>
      <c r="BN39" s="251">
        <v>63.781999999999996</v>
      </c>
      <c r="BO39" s="256">
        <v>42200</v>
      </c>
      <c r="BT39" s="251">
        <v>51.687381744384766</v>
      </c>
      <c r="BU39" s="256">
        <v>42200</v>
      </c>
      <c r="BV39" s="251">
        <v>17.063091278076172</v>
      </c>
      <c r="BW39" s="256">
        <v>42200</v>
      </c>
      <c r="BX39" s="251">
        <v>21.76</v>
      </c>
      <c r="BY39" s="256">
        <v>42200</v>
      </c>
      <c r="CD39" s="257">
        <v>6.7</v>
      </c>
      <c r="CE39" s="159">
        <v>42191</v>
      </c>
      <c r="CM39" s="255">
        <v>3</v>
      </c>
      <c r="CN39" s="256">
        <v>42180</v>
      </c>
      <c r="CO39" s="140" t="s">
        <v>8448</v>
      </c>
    </row>
    <row r="40" spans="1:93" ht="15" customHeight="1">
      <c r="A40" s="124" t="s">
        <v>7679</v>
      </c>
      <c r="B40" s="161" t="s">
        <v>7527</v>
      </c>
      <c r="C40" s="268" t="s">
        <v>267</v>
      </c>
      <c r="D40" s="257">
        <v>4</v>
      </c>
      <c r="E40" s="183">
        <v>93</v>
      </c>
      <c r="F40" s="257">
        <v>19</v>
      </c>
      <c r="G40" s="257">
        <v>26</v>
      </c>
      <c r="J40" s="265"/>
      <c r="L40" s="257">
        <v>3</v>
      </c>
      <c r="N40" s="257">
        <v>2.34</v>
      </c>
      <c r="O40" s="159">
        <v>42191</v>
      </c>
      <c r="T40" s="257">
        <v>6.01</v>
      </c>
      <c r="U40" s="256">
        <v>42200</v>
      </c>
      <c r="V40" s="145">
        <v>18.5</v>
      </c>
      <c r="W40" s="159">
        <v>42191</v>
      </c>
      <c r="AD40" s="145">
        <f>(N40/V40)*(((100-CD40)/100)*((100-2)/100))*100</f>
        <v>10.647885405405406</v>
      </c>
      <c r="AF40" s="257">
        <v>12.17</v>
      </c>
      <c r="AG40" s="159">
        <v>42191</v>
      </c>
      <c r="AJ40" s="257">
        <v>110</v>
      </c>
      <c r="AN40" s="257">
        <v>109</v>
      </c>
      <c r="BB40" s="257">
        <v>9</v>
      </c>
      <c r="BN40" s="251">
        <v>66.603999999999999</v>
      </c>
      <c r="BO40" s="256">
        <v>42200</v>
      </c>
      <c r="BT40" s="251">
        <v>49.384071350097656</v>
      </c>
      <c r="BU40" s="256">
        <v>42200</v>
      </c>
      <c r="BV40" s="251">
        <v>18.215435028076172</v>
      </c>
      <c r="BW40" s="256">
        <v>42200</v>
      </c>
      <c r="BX40" s="251">
        <v>22.722000000000001</v>
      </c>
      <c r="BY40" s="256">
        <v>42200</v>
      </c>
      <c r="CD40" s="257">
        <v>14.1</v>
      </c>
      <c r="CE40" s="159">
        <v>42191</v>
      </c>
      <c r="CM40" s="255">
        <v>5</v>
      </c>
      <c r="CN40" s="256">
        <v>42180</v>
      </c>
      <c r="CO40" s="140" t="s">
        <v>8447</v>
      </c>
    </row>
    <row r="41" spans="1:93" ht="15" customHeight="1">
      <c r="A41" s="124" t="s">
        <v>7668</v>
      </c>
      <c r="B41" s="161" t="s">
        <v>7517</v>
      </c>
      <c r="C41" s="268" t="s">
        <v>269</v>
      </c>
      <c r="D41" s="257">
        <v>2</v>
      </c>
      <c r="E41" s="183">
        <v>82</v>
      </c>
      <c r="F41" s="257">
        <v>8</v>
      </c>
      <c r="G41" s="257">
        <v>20</v>
      </c>
      <c r="J41" s="265"/>
      <c r="L41" s="257">
        <v>7</v>
      </c>
      <c r="N41" s="257">
        <v>2.17</v>
      </c>
      <c r="O41" s="159">
        <v>42191</v>
      </c>
      <c r="T41" s="257">
        <v>6.15</v>
      </c>
      <c r="U41" s="256">
        <v>42200</v>
      </c>
      <c r="V41" s="145">
        <v>18.5</v>
      </c>
      <c r="W41" s="159">
        <v>42191</v>
      </c>
      <c r="AD41" s="145">
        <f>(N41/V41)*(((100-CD41)/100)*((100-2)/100))*100</f>
        <v>10.736456216216215</v>
      </c>
      <c r="AF41" s="257">
        <v>12.27</v>
      </c>
      <c r="AG41" s="159">
        <v>42191</v>
      </c>
      <c r="AJ41" s="257">
        <v>115</v>
      </c>
      <c r="AN41" s="257">
        <v>106</v>
      </c>
      <c r="BB41" s="257">
        <v>5</v>
      </c>
      <c r="BN41" s="251">
        <v>64.361000000000004</v>
      </c>
      <c r="BO41" s="256">
        <v>42200</v>
      </c>
      <c r="BT41" s="251">
        <v>50.129043579101562</v>
      </c>
      <c r="BU41" s="256">
        <v>42200</v>
      </c>
      <c r="BV41" s="251">
        <v>18.146495819091797</v>
      </c>
      <c r="BW41" s="256">
        <v>42200</v>
      </c>
      <c r="BX41" s="251">
        <v>18.138000000000002</v>
      </c>
      <c r="BY41" s="256">
        <v>42200</v>
      </c>
      <c r="CD41" s="257">
        <v>6.6</v>
      </c>
      <c r="CE41" s="159">
        <v>42191</v>
      </c>
      <c r="CM41" s="255">
        <v>5</v>
      </c>
      <c r="CN41" s="256">
        <v>42180</v>
      </c>
      <c r="CO41" s="140" t="s">
        <v>8448</v>
      </c>
    </row>
    <row r="42" spans="1:93" ht="15" customHeight="1">
      <c r="A42" s="124" t="s">
        <v>7637</v>
      </c>
      <c r="B42" s="161" t="s">
        <v>7489</v>
      </c>
      <c r="C42" s="268" t="s">
        <v>269</v>
      </c>
      <c r="D42" s="257">
        <v>2</v>
      </c>
      <c r="E42" s="183">
        <v>51</v>
      </c>
      <c r="F42" s="257">
        <v>7</v>
      </c>
      <c r="G42" s="257">
        <v>20</v>
      </c>
      <c r="J42" s="265"/>
      <c r="L42" s="257">
        <v>5</v>
      </c>
      <c r="N42" s="257">
        <v>2.1800000000000002</v>
      </c>
      <c r="O42" s="159">
        <v>42191</v>
      </c>
      <c r="T42" s="257">
        <v>6.18</v>
      </c>
      <c r="U42" s="256">
        <v>42200</v>
      </c>
      <c r="V42" s="145">
        <v>18.5</v>
      </c>
      <c r="W42" s="159">
        <v>42191</v>
      </c>
      <c r="AD42" s="145">
        <f>(N42/V42)*(((100-CD42)/100)*((100-2)/100))*100</f>
        <v>10.762836756756759</v>
      </c>
      <c r="AF42" s="257">
        <v>12.3</v>
      </c>
      <c r="AG42" s="159">
        <v>42191</v>
      </c>
      <c r="AJ42" s="257">
        <v>125</v>
      </c>
      <c r="AN42" s="257">
        <v>102</v>
      </c>
      <c r="BB42" s="257">
        <v>5</v>
      </c>
      <c r="BN42" s="251">
        <v>64.912999999999997</v>
      </c>
      <c r="BO42" s="256">
        <v>42200</v>
      </c>
      <c r="BT42" s="251">
        <v>50.24517822265625</v>
      </c>
      <c r="BU42" s="256">
        <v>42200</v>
      </c>
      <c r="BV42" s="251">
        <v>17.867292404174805</v>
      </c>
      <c r="BW42" s="256">
        <v>42200</v>
      </c>
      <c r="BX42" s="251">
        <v>15.162000000000001</v>
      </c>
      <c r="BY42" s="256">
        <v>42200</v>
      </c>
      <c r="CD42" s="257">
        <v>6.8</v>
      </c>
      <c r="CE42" s="159">
        <v>42191</v>
      </c>
      <c r="CM42" s="255">
        <v>3</v>
      </c>
      <c r="CN42" s="256">
        <v>42180</v>
      </c>
      <c r="CO42" s="140" t="s">
        <v>8448</v>
      </c>
    </row>
    <row r="43" spans="1:93" ht="15" customHeight="1">
      <c r="A43" s="124" t="s">
        <v>7756</v>
      </c>
      <c r="B43" s="161" t="s">
        <v>7580</v>
      </c>
      <c r="C43" s="268" t="s">
        <v>269</v>
      </c>
      <c r="D43" s="257">
        <v>2</v>
      </c>
      <c r="E43" s="183">
        <v>170</v>
      </c>
      <c r="F43" s="257">
        <v>7</v>
      </c>
      <c r="G43" s="257">
        <v>32</v>
      </c>
      <c r="J43" s="265"/>
      <c r="L43" s="257">
        <v>6</v>
      </c>
      <c r="N43" s="257">
        <v>2.19</v>
      </c>
      <c r="O43" s="159">
        <v>42191</v>
      </c>
      <c r="T43" s="257">
        <v>6.08</v>
      </c>
      <c r="U43" s="256">
        <v>42200</v>
      </c>
      <c r="V43" s="145">
        <v>18.5</v>
      </c>
      <c r="W43" s="159">
        <v>42191</v>
      </c>
      <c r="AD43" s="145">
        <f>(N43/V43)*(((100-CD43)/100)*((100-2)/100))*100</f>
        <v>10.812207567567569</v>
      </c>
      <c r="AF43" s="257">
        <v>12.36</v>
      </c>
      <c r="AG43" s="159">
        <v>42191</v>
      </c>
      <c r="AJ43" s="257">
        <v>135</v>
      </c>
      <c r="AN43" s="257">
        <v>100</v>
      </c>
      <c r="BB43" s="257">
        <v>3</v>
      </c>
      <c r="BN43" s="251">
        <v>64.522000000000006</v>
      </c>
      <c r="BO43" s="256">
        <v>42200</v>
      </c>
      <c r="BT43" s="251">
        <v>49.213150024414063</v>
      </c>
      <c r="BU43" s="256">
        <v>42200</v>
      </c>
      <c r="BV43" s="251">
        <v>18.570480346679688</v>
      </c>
      <c r="BW43" s="256">
        <v>42200</v>
      </c>
      <c r="BX43" s="251">
        <v>14.129</v>
      </c>
      <c r="BY43" s="256">
        <v>42200</v>
      </c>
      <c r="CD43" s="257">
        <v>6.8</v>
      </c>
      <c r="CE43" s="159">
        <v>42191</v>
      </c>
      <c r="CM43" s="255">
        <v>3</v>
      </c>
      <c r="CN43" s="256">
        <v>42180</v>
      </c>
      <c r="CO43" s="140" t="s">
        <v>8448</v>
      </c>
    </row>
    <row r="44" spans="1:93" ht="15" customHeight="1">
      <c r="A44" s="124" t="s">
        <v>7614</v>
      </c>
      <c r="B44" s="161" t="s">
        <v>7468</v>
      </c>
      <c r="C44" s="268" t="s">
        <v>269</v>
      </c>
      <c r="D44" s="257">
        <v>2</v>
      </c>
      <c r="E44" s="183">
        <v>28</v>
      </c>
      <c r="F44" s="257">
        <v>8</v>
      </c>
      <c r="G44" s="257">
        <v>6</v>
      </c>
      <c r="J44" s="265"/>
      <c r="L44" s="257">
        <v>7</v>
      </c>
      <c r="N44" s="257">
        <v>2.2400000000000002</v>
      </c>
      <c r="O44" s="159">
        <v>42191</v>
      </c>
      <c r="T44" s="257">
        <v>6.36</v>
      </c>
      <c r="U44" s="256">
        <v>42200</v>
      </c>
      <c r="V44" s="145">
        <v>18.5</v>
      </c>
      <c r="W44" s="159">
        <v>42191</v>
      </c>
      <c r="AD44" s="145">
        <f>(N44/V44)*(((100-CD44)/100)*((100-2)/100))*100</f>
        <v>11.118391351351352</v>
      </c>
      <c r="AF44" s="257">
        <v>12.71</v>
      </c>
      <c r="AG44" s="159">
        <v>42191</v>
      </c>
      <c r="AJ44" s="257">
        <v>115</v>
      </c>
      <c r="AN44" s="257">
        <v>99</v>
      </c>
      <c r="BB44" s="257">
        <v>7</v>
      </c>
      <c r="BN44" s="251">
        <v>62.695</v>
      </c>
      <c r="BO44" s="256">
        <v>42200</v>
      </c>
      <c r="BT44" s="251">
        <v>50.022697448730469</v>
      </c>
      <c r="BU44" s="256">
        <v>42200</v>
      </c>
      <c r="BV44" s="251">
        <v>18.12237548828125</v>
      </c>
      <c r="BW44" s="256">
        <v>42200</v>
      </c>
      <c r="BX44" s="251">
        <v>62.265999999999998</v>
      </c>
      <c r="BY44" s="256">
        <v>42200</v>
      </c>
      <c r="CD44" s="257">
        <v>6.3</v>
      </c>
      <c r="CE44" s="159">
        <v>42191</v>
      </c>
      <c r="CM44" s="255">
        <v>5</v>
      </c>
      <c r="CN44" s="256">
        <v>42180</v>
      </c>
      <c r="CO44" s="140" t="s">
        <v>8448</v>
      </c>
    </row>
    <row r="45" spans="1:93" ht="15" customHeight="1">
      <c r="A45" s="124" t="s">
        <v>7689</v>
      </c>
      <c r="B45" s="161" t="s">
        <v>7536</v>
      </c>
      <c r="C45" s="268" t="s">
        <v>267</v>
      </c>
      <c r="D45" s="257">
        <v>3</v>
      </c>
      <c r="E45" s="183">
        <v>103</v>
      </c>
      <c r="F45" s="257">
        <v>17</v>
      </c>
      <c r="G45" s="257">
        <v>6</v>
      </c>
      <c r="J45" s="265"/>
      <c r="L45" s="257">
        <v>3</v>
      </c>
      <c r="N45" s="257">
        <v>2.33</v>
      </c>
      <c r="O45" s="159">
        <v>42191</v>
      </c>
      <c r="T45" s="257">
        <v>6.58</v>
      </c>
      <c r="U45" s="256">
        <v>42200</v>
      </c>
      <c r="V45" s="145">
        <v>18.5</v>
      </c>
      <c r="W45" s="159">
        <v>42191</v>
      </c>
      <c r="AD45" s="145">
        <f>(N45/V45)*(((100-CD45)/100)*((100-2)/100))*100</f>
        <v>11.244202162162161</v>
      </c>
      <c r="AF45" s="257">
        <v>12.85</v>
      </c>
      <c r="AG45" s="159">
        <v>42191</v>
      </c>
      <c r="AJ45" s="257">
        <v>110</v>
      </c>
      <c r="AN45" s="257">
        <v>105</v>
      </c>
      <c r="BB45" s="257">
        <v>9</v>
      </c>
      <c r="BN45" s="251">
        <v>64.048000000000002</v>
      </c>
      <c r="BO45" s="256">
        <v>42200</v>
      </c>
      <c r="BT45" s="251">
        <v>51.2017822265625</v>
      </c>
      <c r="BU45" s="256">
        <v>42200</v>
      </c>
      <c r="BV45" s="251">
        <v>18.343044281005859</v>
      </c>
      <c r="BW45" s="256">
        <v>42200</v>
      </c>
      <c r="BX45" s="251">
        <v>19.587</v>
      </c>
      <c r="BY45" s="256">
        <v>42200</v>
      </c>
      <c r="CD45" s="257">
        <v>8.9</v>
      </c>
      <c r="CE45" s="159">
        <v>42191</v>
      </c>
      <c r="CM45" s="255">
        <v>3</v>
      </c>
      <c r="CN45" s="256">
        <v>42180</v>
      </c>
      <c r="CO45" s="140" t="s">
        <v>8447</v>
      </c>
    </row>
    <row r="46" spans="1:93" ht="15" customHeight="1">
      <c r="A46" s="137" t="s">
        <v>8454</v>
      </c>
      <c r="B46" s="161" t="s">
        <v>8477</v>
      </c>
      <c r="C46" s="268" t="s">
        <v>267</v>
      </c>
      <c r="D46" s="269">
        <v>3</v>
      </c>
      <c r="E46" s="280">
        <v>5</v>
      </c>
      <c r="F46" s="269"/>
      <c r="G46" s="269"/>
      <c r="H46" s="271">
        <v>18</v>
      </c>
      <c r="I46" s="271">
        <v>4</v>
      </c>
      <c r="J46" s="285"/>
      <c r="K46" s="273"/>
      <c r="L46" s="269">
        <v>8</v>
      </c>
      <c r="M46" s="274"/>
      <c r="N46" s="269">
        <v>2.37</v>
      </c>
      <c r="O46" s="274">
        <v>42191</v>
      </c>
      <c r="P46" s="272"/>
      <c r="Q46" s="274"/>
      <c r="R46" s="275"/>
      <c r="S46" s="274"/>
      <c r="T46" s="269">
        <v>6.02</v>
      </c>
      <c r="U46" s="276">
        <v>42200</v>
      </c>
      <c r="V46" s="275">
        <v>18.5</v>
      </c>
      <c r="W46" s="274">
        <v>42191</v>
      </c>
      <c r="X46" s="275"/>
      <c r="Y46" s="274"/>
      <c r="Z46" s="275"/>
      <c r="AA46" s="274"/>
      <c r="AB46" s="275"/>
      <c r="AC46" s="274"/>
      <c r="AD46" s="145">
        <f>(N46/V46)*(((100-CD46)/100)*((100-2)/100))*100</f>
        <v>11.47489945945946</v>
      </c>
      <c r="AE46" s="274"/>
      <c r="AF46" s="269">
        <v>13.12</v>
      </c>
      <c r="AG46" s="274">
        <v>42191</v>
      </c>
      <c r="AH46" s="274"/>
      <c r="AI46" s="274"/>
      <c r="AJ46" s="269">
        <v>100</v>
      </c>
      <c r="AK46" s="274"/>
      <c r="AL46" s="275"/>
      <c r="AM46" s="274"/>
      <c r="AN46" s="269">
        <v>100</v>
      </c>
      <c r="AO46" s="274"/>
      <c r="AP46" s="275"/>
      <c r="AQ46" s="275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69">
        <v>5</v>
      </c>
      <c r="BC46" s="275"/>
      <c r="BD46" s="275"/>
      <c r="BE46" s="275"/>
      <c r="BF46" s="272"/>
      <c r="BG46" s="272"/>
      <c r="BH46" s="272"/>
      <c r="BI46" s="272"/>
      <c r="BJ46" s="272"/>
      <c r="BK46" s="272"/>
      <c r="BL46" s="272"/>
      <c r="BM46" s="272"/>
      <c r="BN46" s="284">
        <v>63.347999999999999</v>
      </c>
      <c r="BO46" s="276">
        <v>42200</v>
      </c>
      <c r="BP46" s="272"/>
      <c r="BQ46" s="272"/>
      <c r="BR46" s="272"/>
      <c r="BS46" s="272"/>
      <c r="BT46" s="284">
        <v>45.86</v>
      </c>
      <c r="BU46" s="276">
        <v>42200</v>
      </c>
      <c r="BV46" s="284">
        <v>22.73682975769043</v>
      </c>
      <c r="BW46" s="276">
        <v>42200</v>
      </c>
      <c r="BX46" s="284">
        <v>75.334999999999994</v>
      </c>
      <c r="BY46" s="276">
        <v>42200</v>
      </c>
      <c r="BZ46" s="272"/>
      <c r="CA46" s="272"/>
      <c r="CB46" s="272"/>
      <c r="CC46" s="272"/>
      <c r="CD46" s="269">
        <v>8.6</v>
      </c>
      <c r="CE46" s="274">
        <v>42191</v>
      </c>
      <c r="CF46" s="272"/>
      <c r="CG46" s="272"/>
      <c r="CH46" s="272"/>
      <c r="CI46" s="272"/>
      <c r="CJ46" s="272"/>
      <c r="CK46" s="272"/>
      <c r="CL46" s="272"/>
      <c r="CM46" s="278">
        <v>3</v>
      </c>
      <c r="CN46" s="276">
        <v>42180</v>
      </c>
      <c r="CO46" s="272" t="s">
        <v>8447</v>
      </c>
    </row>
    <row r="47" spans="1:93" ht="15" customHeight="1">
      <c r="A47" s="137" t="s">
        <v>8463</v>
      </c>
      <c r="B47" s="161" t="s">
        <v>8486</v>
      </c>
      <c r="C47" s="268" t="s">
        <v>269</v>
      </c>
      <c r="D47" s="269">
        <v>1</v>
      </c>
      <c r="E47" s="280">
        <v>14</v>
      </c>
      <c r="F47" s="269"/>
      <c r="G47" s="269"/>
      <c r="H47" s="271">
        <v>5</v>
      </c>
      <c r="I47" s="271">
        <v>4</v>
      </c>
      <c r="J47" s="285"/>
      <c r="K47" s="273"/>
      <c r="L47" s="269">
        <v>8</v>
      </c>
      <c r="M47" s="274"/>
      <c r="N47" s="269">
        <v>2.33</v>
      </c>
      <c r="O47" s="274">
        <v>42191</v>
      </c>
      <c r="P47" s="272"/>
      <c r="Q47" s="274"/>
      <c r="R47" s="275"/>
      <c r="S47" s="274"/>
      <c r="T47" s="269">
        <v>6.19</v>
      </c>
      <c r="U47" s="276">
        <v>42200</v>
      </c>
      <c r="V47" s="275">
        <v>18.5</v>
      </c>
      <c r="W47" s="274">
        <v>42191</v>
      </c>
      <c r="X47" s="275"/>
      <c r="Y47" s="274"/>
      <c r="Z47" s="275"/>
      <c r="AA47" s="274"/>
      <c r="AB47" s="275"/>
      <c r="AC47" s="274"/>
      <c r="AD47" s="145">
        <f>(N47/V47)*(((100-CD47)/100)*((100-2)/100))*100</f>
        <v>11.478713513513512</v>
      </c>
      <c r="AE47" s="274"/>
      <c r="AF47" s="269">
        <v>13.12</v>
      </c>
      <c r="AG47" s="274">
        <v>42191</v>
      </c>
      <c r="AH47" s="274"/>
      <c r="AI47" s="274"/>
      <c r="AJ47" s="269">
        <v>130</v>
      </c>
      <c r="AK47" s="274"/>
      <c r="AL47" s="275"/>
      <c r="AM47" s="274"/>
      <c r="AN47" s="269">
        <v>95</v>
      </c>
      <c r="AO47" s="274"/>
      <c r="AP47" s="275"/>
      <c r="AQ47" s="275"/>
      <c r="AR47" s="275"/>
      <c r="AS47" s="275"/>
      <c r="AT47" s="275"/>
      <c r="AU47" s="275"/>
      <c r="AV47" s="275"/>
      <c r="AW47" s="275"/>
      <c r="AX47" s="275"/>
      <c r="AY47" s="275"/>
      <c r="AZ47" s="275"/>
      <c r="BA47" s="275"/>
      <c r="BB47" s="269">
        <v>5</v>
      </c>
      <c r="BC47" s="275"/>
      <c r="BD47" s="275"/>
      <c r="BE47" s="275"/>
      <c r="BF47" s="272"/>
      <c r="BG47" s="272"/>
      <c r="BH47" s="272"/>
      <c r="BI47" s="272"/>
      <c r="BJ47" s="272"/>
      <c r="BK47" s="272"/>
      <c r="BL47" s="272"/>
      <c r="BM47" s="272"/>
      <c r="BN47" s="284">
        <v>64.320999999999998</v>
      </c>
      <c r="BO47" s="276">
        <v>42200</v>
      </c>
      <c r="BP47" s="272"/>
      <c r="BQ47" s="272"/>
      <c r="BR47" s="272"/>
      <c r="BS47" s="272"/>
      <c r="BT47" s="284">
        <v>47.19</v>
      </c>
      <c r="BU47" s="276">
        <v>42200</v>
      </c>
      <c r="BV47" s="284">
        <v>20.561540603637695</v>
      </c>
      <c r="BW47" s="276">
        <v>42200</v>
      </c>
      <c r="BX47" s="284">
        <v>63.054000000000002</v>
      </c>
      <c r="BY47" s="276">
        <v>42200</v>
      </c>
      <c r="BZ47" s="272"/>
      <c r="CA47" s="272"/>
      <c r="CB47" s="272"/>
      <c r="CC47" s="272"/>
      <c r="CD47" s="269">
        <v>7</v>
      </c>
      <c r="CE47" s="274">
        <v>42191</v>
      </c>
      <c r="CF47" s="272"/>
      <c r="CG47" s="272"/>
      <c r="CH47" s="272"/>
      <c r="CI47" s="272"/>
      <c r="CJ47" s="272"/>
      <c r="CK47" s="272"/>
      <c r="CL47" s="272"/>
      <c r="CM47" s="278">
        <v>3</v>
      </c>
      <c r="CN47" s="276">
        <v>42180</v>
      </c>
      <c r="CO47" s="272" t="s">
        <v>8447</v>
      </c>
    </row>
    <row r="48" spans="1:93" ht="15" customHeight="1">
      <c r="A48" s="124" t="s">
        <v>7634</v>
      </c>
      <c r="B48" s="161" t="s">
        <v>7774</v>
      </c>
      <c r="C48" s="268" t="s">
        <v>269</v>
      </c>
      <c r="D48" s="257">
        <v>1</v>
      </c>
      <c r="E48" s="183">
        <v>48</v>
      </c>
      <c r="F48" s="257">
        <v>6</v>
      </c>
      <c r="G48" s="257">
        <v>29</v>
      </c>
      <c r="J48" s="265"/>
      <c r="L48" s="257">
        <v>3</v>
      </c>
      <c r="N48" s="257">
        <v>2.3199999999999998</v>
      </c>
      <c r="O48" s="159">
        <v>42191</v>
      </c>
      <c r="T48" s="257">
        <v>6.43</v>
      </c>
      <c r="U48" s="256">
        <v>42200</v>
      </c>
      <c r="V48" s="145">
        <v>18.5</v>
      </c>
      <c r="W48" s="159">
        <v>42191</v>
      </c>
      <c r="AD48" s="145">
        <f>(N48/V48)*(((100-CD48)/100)*((100-2)/100))*100</f>
        <v>11.503187027027025</v>
      </c>
      <c r="AF48" s="257">
        <v>13.15</v>
      </c>
      <c r="AG48" s="159">
        <v>42191</v>
      </c>
      <c r="AJ48" s="257">
        <v>140</v>
      </c>
      <c r="AN48" s="257">
        <v>106</v>
      </c>
      <c r="BB48" s="257">
        <v>7</v>
      </c>
      <c r="BN48" s="251">
        <v>63.561999999999998</v>
      </c>
      <c r="BO48" s="256">
        <v>42200</v>
      </c>
      <c r="BT48" s="251">
        <v>48.882003784179688</v>
      </c>
      <c r="BU48" s="256">
        <v>42200</v>
      </c>
      <c r="BV48" s="251">
        <v>18.450870513916016</v>
      </c>
      <c r="BW48" s="256">
        <v>42200</v>
      </c>
      <c r="BX48" s="251">
        <v>26.609000000000002</v>
      </c>
      <c r="BY48" s="256">
        <v>42200</v>
      </c>
      <c r="CD48" s="257">
        <v>6.4</v>
      </c>
      <c r="CE48" s="159">
        <v>42191</v>
      </c>
      <c r="CM48" s="255">
        <v>5</v>
      </c>
      <c r="CN48" s="256">
        <v>42180</v>
      </c>
      <c r="CO48" s="140" t="s">
        <v>8447</v>
      </c>
    </row>
    <row r="49" spans="1:93" ht="15" customHeight="1">
      <c r="A49" s="124" t="s">
        <v>7599</v>
      </c>
      <c r="B49" s="161" t="s">
        <v>7771</v>
      </c>
      <c r="C49" s="268" t="s">
        <v>267</v>
      </c>
      <c r="D49" s="257">
        <v>3</v>
      </c>
      <c r="E49" s="183">
        <v>13</v>
      </c>
      <c r="F49" s="257">
        <v>16</v>
      </c>
      <c r="G49" s="257">
        <v>19</v>
      </c>
      <c r="J49" s="283"/>
      <c r="L49" s="257">
        <v>3</v>
      </c>
      <c r="N49" s="257">
        <v>2.34</v>
      </c>
      <c r="O49" s="159">
        <v>42191</v>
      </c>
      <c r="P49" s="144"/>
      <c r="R49" s="145"/>
      <c r="T49" s="257">
        <v>5.89</v>
      </c>
      <c r="U49" s="256">
        <v>42200</v>
      </c>
      <c r="V49" s="145">
        <v>18.5</v>
      </c>
      <c r="W49" s="159">
        <v>42191</v>
      </c>
      <c r="X49" s="145"/>
      <c r="Z49" s="145"/>
      <c r="AB49" s="145"/>
      <c r="AD49" s="145">
        <f>(N49/V49)*(((100-CD49)/100)*((100-2)/100))*100</f>
        <v>11.515582702702702</v>
      </c>
      <c r="AF49" s="257">
        <v>13.16</v>
      </c>
      <c r="AG49" s="159">
        <v>42191</v>
      </c>
      <c r="AJ49" s="257">
        <v>120</v>
      </c>
      <c r="AL49" s="145"/>
      <c r="AN49" s="257">
        <v>102</v>
      </c>
      <c r="BB49" s="257">
        <v>9</v>
      </c>
      <c r="BN49" s="251">
        <v>66.820999999999998</v>
      </c>
      <c r="BO49" s="256">
        <v>42200</v>
      </c>
      <c r="BT49" s="251">
        <v>44.718879699707031</v>
      </c>
      <c r="BU49" s="256">
        <v>42200</v>
      </c>
      <c r="BV49" s="251">
        <v>20.720685958862305</v>
      </c>
      <c r="BW49" s="256">
        <v>42200</v>
      </c>
      <c r="BX49" s="251">
        <v>44.448</v>
      </c>
      <c r="BY49" s="256">
        <v>42200</v>
      </c>
      <c r="CD49" s="257">
        <v>7.1</v>
      </c>
      <c r="CE49" s="159">
        <v>42191</v>
      </c>
      <c r="CM49" s="255">
        <v>5</v>
      </c>
      <c r="CN49" s="256">
        <v>42180</v>
      </c>
      <c r="CO49" s="140" t="s">
        <v>8447</v>
      </c>
    </row>
    <row r="50" spans="1:93" ht="15" customHeight="1">
      <c r="A50" s="124" t="s">
        <v>7665</v>
      </c>
      <c r="B50" s="161" t="s">
        <v>7514</v>
      </c>
      <c r="C50" s="268" t="s">
        <v>269</v>
      </c>
      <c r="D50" s="257">
        <v>2</v>
      </c>
      <c r="E50" s="183">
        <v>79</v>
      </c>
      <c r="F50" s="257">
        <v>7</v>
      </c>
      <c r="G50" s="257">
        <v>27</v>
      </c>
      <c r="J50" s="265"/>
      <c r="L50" s="257">
        <v>6</v>
      </c>
      <c r="N50" s="257">
        <v>2.3199999999999998</v>
      </c>
      <c r="O50" s="159">
        <v>42191</v>
      </c>
      <c r="T50" s="257">
        <v>6.56</v>
      </c>
      <c r="U50" s="256">
        <v>42200</v>
      </c>
      <c r="V50" s="145">
        <v>18.5</v>
      </c>
      <c r="W50" s="159">
        <v>42191</v>
      </c>
      <c r="AD50" s="145">
        <f>(N50/V50)*(((100-CD50)/100)*((100-2)/100))*100</f>
        <v>11.527766486486485</v>
      </c>
      <c r="AF50" s="257">
        <v>13.18</v>
      </c>
      <c r="AG50" s="159">
        <v>42191</v>
      </c>
      <c r="AJ50" s="257">
        <v>140</v>
      </c>
      <c r="AN50" s="257">
        <v>104</v>
      </c>
      <c r="BB50" s="257">
        <v>5</v>
      </c>
      <c r="BN50" s="251">
        <v>63.283000000000001</v>
      </c>
      <c r="BO50" s="256">
        <v>42200</v>
      </c>
      <c r="BT50" s="251">
        <v>49.788856506347656</v>
      </c>
      <c r="BU50" s="256">
        <v>42200</v>
      </c>
      <c r="BV50" s="251">
        <v>18.962179183959961</v>
      </c>
      <c r="BW50" s="256">
        <v>42200</v>
      </c>
      <c r="BX50" s="251">
        <v>25.783000000000001</v>
      </c>
      <c r="BY50" s="256">
        <v>42200</v>
      </c>
      <c r="CD50" s="257">
        <v>6.2</v>
      </c>
      <c r="CE50" s="159">
        <v>42191</v>
      </c>
      <c r="CM50" s="255">
        <v>5</v>
      </c>
      <c r="CN50" s="256">
        <v>42180</v>
      </c>
      <c r="CO50" s="140" t="s">
        <v>8448</v>
      </c>
    </row>
    <row r="51" spans="1:93" ht="15" customHeight="1">
      <c r="A51" s="124" t="s">
        <v>7753</v>
      </c>
      <c r="B51" s="161" t="s">
        <v>7577</v>
      </c>
      <c r="C51" s="268" t="s">
        <v>269</v>
      </c>
      <c r="D51" s="257">
        <v>2</v>
      </c>
      <c r="E51" s="183">
        <v>167</v>
      </c>
      <c r="F51" s="257">
        <v>7</v>
      </c>
      <c r="G51" s="257">
        <v>18</v>
      </c>
      <c r="J51" s="265"/>
      <c r="L51" s="257">
        <v>8</v>
      </c>
      <c r="N51" s="257">
        <v>2.36</v>
      </c>
      <c r="O51" s="159">
        <v>42191</v>
      </c>
      <c r="T51" s="257">
        <v>6.77</v>
      </c>
      <c r="U51" s="256">
        <v>42200</v>
      </c>
      <c r="V51" s="145">
        <v>18.5</v>
      </c>
      <c r="W51" s="159">
        <v>42191</v>
      </c>
      <c r="AD51" s="145">
        <f>(N51/V51)*(((100-CD51)/100)*((100-2)/100))*100</f>
        <v>11.676514594594595</v>
      </c>
      <c r="AF51" s="257">
        <v>13.35</v>
      </c>
      <c r="AG51" s="159">
        <v>42191</v>
      </c>
      <c r="AJ51" s="257">
        <v>130</v>
      </c>
      <c r="AN51" s="257">
        <v>102</v>
      </c>
      <c r="BB51" s="257">
        <v>3</v>
      </c>
      <c r="BN51" s="251">
        <v>62.904000000000003</v>
      </c>
      <c r="BO51" s="256">
        <v>42200</v>
      </c>
      <c r="BT51" s="251">
        <v>50.735904693603516</v>
      </c>
      <c r="BU51" s="256">
        <v>42200</v>
      </c>
      <c r="BV51" s="251">
        <v>18.079690933227539</v>
      </c>
      <c r="BW51" s="256">
        <v>42200</v>
      </c>
      <c r="BX51" s="251">
        <v>18.015999999999998</v>
      </c>
      <c r="BY51" s="256">
        <v>42200</v>
      </c>
      <c r="CD51" s="257">
        <v>6.6</v>
      </c>
      <c r="CE51" s="159">
        <v>42191</v>
      </c>
      <c r="CM51" s="255">
        <v>5</v>
      </c>
      <c r="CN51" s="256">
        <v>42180</v>
      </c>
      <c r="CO51" s="140" t="s">
        <v>8448</v>
      </c>
    </row>
    <row r="52" spans="1:93" ht="15" customHeight="1">
      <c r="A52" s="137" t="s">
        <v>8457</v>
      </c>
      <c r="B52" s="161" t="s">
        <v>8480</v>
      </c>
      <c r="C52" s="268" t="s">
        <v>267</v>
      </c>
      <c r="D52" s="269">
        <v>3</v>
      </c>
      <c r="E52" s="280">
        <v>8</v>
      </c>
      <c r="F52" s="269"/>
      <c r="G52" s="269"/>
      <c r="H52" s="271">
        <v>16</v>
      </c>
      <c r="I52" s="271">
        <v>4</v>
      </c>
      <c r="J52" s="285"/>
      <c r="K52" s="273"/>
      <c r="L52" s="269">
        <v>6</v>
      </c>
      <c r="M52" s="274"/>
      <c r="N52" s="269">
        <v>2.39</v>
      </c>
      <c r="O52" s="274">
        <v>42191</v>
      </c>
      <c r="P52" s="272"/>
      <c r="Q52" s="274"/>
      <c r="R52" s="275"/>
      <c r="S52" s="274"/>
      <c r="T52" s="269">
        <v>6.34</v>
      </c>
      <c r="U52" s="276">
        <v>42200</v>
      </c>
      <c r="V52" s="275">
        <v>18.5</v>
      </c>
      <c r="W52" s="274">
        <v>42191</v>
      </c>
      <c r="X52" s="275"/>
      <c r="Y52" s="274"/>
      <c r="Z52" s="275"/>
      <c r="AA52" s="274"/>
      <c r="AB52" s="275"/>
      <c r="AC52" s="274"/>
      <c r="AD52" s="145">
        <f>(N52/V52)*(((100-CD52)/100)*((100-2)/100))*100</f>
        <v>11.723660540540541</v>
      </c>
      <c r="AE52" s="274"/>
      <c r="AF52" s="269">
        <v>13.4</v>
      </c>
      <c r="AG52" s="274">
        <v>42191</v>
      </c>
      <c r="AH52" s="274"/>
      <c r="AI52" s="274"/>
      <c r="AJ52" s="269">
        <v>130</v>
      </c>
      <c r="AK52" s="274"/>
      <c r="AL52" s="275"/>
      <c r="AM52" s="274"/>
      <c r="AN52" s="269">
        <v>106</v>
      </c>
      <c r="AO52" s="274"/>
      <c r="AP52" s="275"/>
      <c r="AQ52" s="275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69">
        <v>5</v>
      </c>
      <c r="BC52" s="275"/>
      <c r="BD52" s="275"/>
      <c r="BE52" s="275"/>
      <c r="BF52" s="272"/>
      <c r="BG52" s="272"/>
      <c r="BH52" s="272"/>
      <c r="BI52" s="272"/>
      <c r="BJ52" s="272"/>
      <c r="BK52" s="272"/>
      <c r="BL52" s="272"/>
      <c r="BM52" s="272"/>
      <c r="BN52" s="284">
        <v>62.011000000000003</v>
      </c>
      <c r="BO52" s="276">
        <v>42200</v>
      </c>
      <c r="BP52" s="272"/>
      <c r="BQ52" s="272"/>
      <c r="BR52" s="272"/>
      <c r="BS52" s="272"/>
      <c r="BT52" s="284">
        <v>47.28</v>
      </c>
      <c r="BU52" s="276">
        <v>42200</v>
      </c>
      <c r="BV52" s="284">
        <v>21.294694900512695</v>
      </c>
      <c r="BW52" s="276">
        <v>42200</v>
      </c>
      <c r="BX52" s="284">
        <v>65.126999999999995</v>
      </c>
      <c r="BY52" s="276">
        <v>42200</v>
      </c>
      <c r="BZ52" s="272"/>
      <c r="CA52" s="272"/>
      <c r="CB52" s="272"/>
      <c r="CC52" s="272"/>
      <c r="CD52" s="269">
        <v>7.4</v>
      </c>
      <c r="CE52" s="274">
        <v>42191</v>
      </c>
      <c r="CF52" s="272"/>
      <c r="CG52" s="272"/>
      <c r="CH52" s="272"/>
      <c r="CI52" s="272"/>
      <c r="CJ52" s="272"/>
      <c r="CK52" s="272"/>
      <c r="CL52" s="272"/>
      <c r="CM52" s="278">
        <v>5</v>
      </c>
      <c r="CN52" s="276">
        <v>42180</v>
      </c>
      <c r="CO52" s="272" t="s">
        <v>8447</v>
      </c>
    </row>
    <row r="53" spans="1:93" ht="15" customHeight="1">
      <c r="A53" s="137" t="s">
        <v>8454</v>
      </c>
      <c r="B53" s="161" t="s">
        <v>8477</v>
      </c>
      <c r="C53" s="268" t="s">
        <v>267</v>
      </c>
      <c r="D53" s="269">
        <v>4</v>
      </c>
      <c r="E53" s="280">
        <v>5</v>
      </c>
      <c r="F53" s="269"/>
      <c r="G53" s="269"/>
      <c r="H53" s="271">
        <v>21</v>
      </c>
      <c r="I53" s="271">
        <v>4</v>
      </c>
      <c r="J53" s="285"/>
      <c r="K53" s="273"/>
      <c r="L53" s="269">
        <v>7</v>
      </c>
      <c r="M53" s="274"/>
      <c r="N53" s="269">
        <v>2.41</v>
      </c>
      <c r="O53" s="274">
        <v>42191</v>
      </c>
      <c r="P53" s="272"/>
      <c r="Q53" s="274"/>
      <c r="R53" s="275"/>
      <c r="S53" s="274"/>
      <c r="T53" s="269">
        <v>6.1</v>
      </c>
      <c r="U53" s="276">
        <v>42200</v>
      </c>
      <c r="V53" s="275">
        <v>18.5</v>
      </c>
      <c r="W53" s="274">
        <v>42191</v>
      </c>
      <c r="X53" s="275"/>
      <c r="Y53" s="274"/>
      <c r="Z53" s="275"/>
      <c r="AA53" s="274"/>
      <c r="AB53" s="275"/>
      <c r="AC53" s="274"/>
      <c r="AD53" s="145">
        <f>(N53/V53)*(((100-CD53)/100)*((100-2)/100))*100</f>
        <v>11.732401081081081</v>
      </c>
      <c r="AE53" s="274"/>
      <c r="AF53" s="269">
        <v>13.41</v>
      </c>
      <c r="AG53" s="274">
        <v>42191</v>
      </c>
      <c r="AH53" s="274"/>
      <c r="AI53" s="274"/>
      <c r="AJ53" s="269">
        <v>120</v>
      </c>
      <c r="AK53" s="274"/>
      <c r="AL53" s="275"/>
      <c r="AM53" s="274"/>
      <c r="AN53" s="269">
        <v>101</v>
      </c>
      <c r="AO53" s="274"/>
      <c r="AP53" s="275"/>
      <c r="AQ53" s="275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69">
        <v>7</v>
      </c>
      <c r="BC53" s="275"/>
      <c r="BD53" s="275"/>
      <c r="BE53" s="275"/>
      <c r="BF53" s="272"/>
      <c r="BG53" s="272"/>
      <c r="BH53" s="272"/>
      <c r="BI53" s="272"/>
      <c r="BJ53" s="272"/>
      <c r="BK53" s="272"/>
      <c r="BL53" s="272"/>
      <c r="BM53" s="272"/>
      <c r="BN53" s="284">
        <v>62.616</v>
      </c>
      <c r="BO53" s="276">
        <v>42200</v>
      </c>
      <c r="BP53" s="272"/>
      <c r="BQ53" s="272"/>
      <c r="BR53" s="272"/>
      <c r="BS53" s="272"/>
      <c r="BT53" s="284">
        <v>45.52</v>
      </c>
      <c r="BU53" s="276">
        <v>42200</v>
      </c>
      <c r="BV53" s="284">
        <v>23.222249984741211</v>
      </c>
      <c r="BW53" s="276">
        <v>42200</v>
      </c>
      <c r="BX53" s="284">
        <v>74.164000000000001</v>
      </c>
      <c r="BY53" s="276">
        <v>42200</v>
      </c>
      <c r="BZ53" s="272"/>
      <c r="CA53" s="272"/>
      <c r="CB53" s="272"/>
      <c r="CC53" s="272"/>
      <c r="CD53" s="269">
        <v>8.1</v>
      </c>
      <c r="CE53" s="274">
        <v>42191</v>
      </c>
      <c r="CF53" s="272"/>
      <c r="CG53" s="272"/>
      <c r="CH53" s="272"/>
      <c r="CI53" s="272"/>
      <c r="CJ53" s="272"/>
      <c r="CK53" s="272"/>
      <c r="CL53" s="272"/>
      <c r="CM53" s="278">
        <v>3</v>
      </c>
      <c r="CN53" s="276">
        <v>42180</v>
      </c>
      <c r="CO53" s="272" t="s">
        <v>8447</v>
      </c>
    </row>
    <row r="54" spans="1:93" ht="15" customHeight="1">
      <c r="A54" s="137" t="s">
        <v>8466</v>
      </c>
      <c r="B54" s="161" t="s">
        <v>8489</v>
      </c>
      <c r="C54" s="268" t="s">
        <v>267</v>
      </c>
      <c r="D54" s="269">
        <v>3</v>
      </c>
      <c r="E54" s="280">
        <v>17</v>
      </c>
      <c r="F54" s="269"/>
      <c r="G54" s="269"/>
      <c r="H54" s="271">
        <v>17</v>
      </c>
      <c r="I54" s="271">
        <v>3</v>
      </c>
      <c r="J54" s="285"/>
      <c r="K54" s="273"/>
      <c r="L54" s="269">
        <v>8</v>
      </c>
      <c r="M54" s="274"/>
      <c r="N54" s="269">
        <v>2.4</v>
      </c>
      <c r="O54" s="274">
        <v>42191</v>
      </c>
      <c r="P54" s="272"/>
      <c r="Q54" s="274"/>
      <c r="R54" s="275"/>
      <c r="S54" s="274"/>
      <c r="T54" s="269">
        <v>6.24</v>
      </c>
      <c r="U54" s="276">
        <v>42200</v>
      </c>
      <c r="V54" s="275">
        <v>18.5</v>
      </c>
      <c r="W54" s="274">
        <v>42191</v>
      </c>
      <c r="X54" s="275"/>
      <c r="Y54" s="274"/>
      <c r="Z54" s="275"/>
      <c r="AA54" s="274"/>
      <c r="AB54" s="275"/>
      <c r="AC54" s="274"/>
      <c r="AD54" s="145">
        <f>(N54/V54)*(((100-CD54)/100)*((100-2)/100))*100</f>
        <v>11.734572972972972</v>
      </c>
      <c r="AE54" s="274"/>
      <c r="AF54" s="269">
        <v>13.41</v>
      </c>
      <c r="AG54" s="274">
        <v>42191</v>
      </c>
      <c r="AH54" s="274"/>
      <c r="AI54" s="274"/>
      <c r="AJ54" s="269">
        <v>125</v>
      </c>
      <c r="AK54" s="274"/>
      <c r="AL54" s="275"/>
      <c r="AM54" s="274"/>
      <c r="AN54" s="269">
        <v>105</v>
      </c>
      <c r="AO54" s="274"/>
      <c r="AP54" s="275"/>
      <c r="AQ54" s="275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69">
        <v>7</v>
      </c>
      <c r="BC54" s="275"/>
      <c r="BD54" s="275"/>
      <c r="BE54" s="275"/>
      <c r="BF54" s="272"/>
      <c r="BG54" s="272"/>
      <c r="BH54" s="272"/>
      <c r="BI54" s="272"/>
      <c r="BJ54" s="272"/>
      <c r="BK54" s="272"/>
      <c r="BL54" s="272"/>
      <c r="BM54" s="272"/>
      <c r="BN54" s="284">
        <v>65.745000000000005</v>
      </c>
      <c r="BO54" s="276">
        <v>42200</v>
      </c>
      <c r="BP54" s="272"/>
      <c r="BQ54" s="272"/>
      <c r="BR54" s="272"/>
      <c r="BS54" s="272"/>
      <c r="BT54" s="284">
        <v>46.55</v>
      </c>
      <c r="BU54" s="276">
        <v>42200</v>
      </c>
      <c r="BV54" s="284">
        <v>20.668020248413086</v>
      </c>
      <c r="BW54" s="276">
        <v>42200</v>
      </c>
      <c r="BX54" s="284">
        <v>69.733999999999995</v>
      </c>
      <c r="BY54" s="276">
        <v>42200</v>
      </c>
      <c r="BZ54" s="272"/>
      <c r="CA54" s="272"/>
      <c r="CB54" s="272"/>
      <c r="CC54" s="272"/>
      <c r="CD54" s="269">
        <v>7.7</v>
      </c>
      <c r="CE54" s="274">
        <v>42191</v>
      </c>
      <c r="CF54" s="272"/>
      <c r="CG54" s="272"/>
      <c r="CH54" s="272"/>
      <c r="CI54" s="272"/>
      <c r="CJ54" s="272"/>
      <c r="CK54" s="272"/>
      <c r="CL54" s="272"/>
      <c r="CM54" s="278">
        <v>3</v>
      </c>
      <c r="CN54" s="276">
        <v>42180</v>
      </c>
      <c r="CO54" s="272" t="s">
        <v>8447</v>
      </c>
    </row>
    <row r="55" spans="1:93" ht="15" customHeight="1">
      <c r="A55" s="124" t="s">
        <v>7593</v>
      </c>
      <c r="B55" s="161" t="s">
        <v>7451</v>
      </c>
      <c r="C55" s="268" t="s">
        <v>269</v>
      </c>
      <c r="D55" s="257">
        <v>2</v>
      </c>
      <c r="E55" s="183">
        <v>7</v>
      </c>
      <c r="F55" s="257">
        <v>7</v>
      </c>
      <c r="G55" s="257">
        <v>29</v>
      </c>
      <c r="J55" s="283"/>
      <c r="L55" s="257">
        <v>8</v>
      </c>
      <c r="N55" s="257">
        <v>2.37</v>
      </c>
      <c r="O55" s="159">
        <v>42191</v>
      </c>
      <c r="P55" s="144"/>
      <c r="R55" s="145"/>
      <c r="T55" s="257">
        <v>6.77</v>
      </c>
      <c r="U55" s="256">
        <v>42200</v>
      </c>
      <c r="V55" s="145">
        <v>18.5</v>
      </c>
      <c r="W55" s="159">
        <v>42191</v>
      </c>
      <c r="X55" s="145"/>
      <c r="Z55" s="145"/>
      <c r="AB55" s="145"/>
      <c r="AD55" s="145">
        <f>(N55/V55)*(((100-CD55)/100)*((100-2)/100))*100</f>
        <v>11.75110054054054</v>
      </c>
      <c r="AF55" s="257">
        <v>13.43</v>
      </c>
      <c r="AG55" s="159">
        <v>42191</v>
      </c>
      <c r="AJ55" s="257">
        <v>145</v>
      </c>
      <c r="AL55" s="145"/>
      <c r="AN55" s="257">
        <v>103</v>
      </c>
      <c r="BB55" s="257">
        <v>5</v>
      </c>
      <c r="BN55" s="251">
        <v>67.063000000000002</v>
      </c>
      <c r="BO55" s="256">
        <v>42200</v>
      </c>
      <c r="BT55" s="251">
        <v>50.418796539306641</v>
      </c>
      <c r="BU55" s="256">
        <v>42200</v>
      </c>
      <c r="BV55" s="251">
        <v>18.684059143066406</v>
      </c>
      <c r="BW55" s="256">
        <v>42200</v>
      </c>
      <c r="BX55" s="251">
        <v>60.131999999999998</v>
      </c>
      <c r="BY55" s="256">
        <v>42200</v>
      </c>
      <c r="CD55" s="257">
        <v>6.4</v>
      </c>
      <c r="CE55" s="159">
        <v>42191</v>
      </c>
      <c r="CM55" s="255">
        <v>3</v>
      </c>
      <c r="CN55" s="256">
        <v>42180</v>
      </c>
      <c r="CO55" s="140" t="s">
        <v>8448</v>
      </c>
    </row>
    <row r="56" spans="1:93" ht="15" customHeight="1">
      <c r="A56" s="124" t="s">
        <v>7696</v>
      </c>
      <c r="B56" s="161" t="s">
        <v>7542</v>
      </c>
      <c r="C56" s="268" t="s">
        <v>269</v>
      </c>
      <c r="D56" s="257">
        <v>2</v>
      </c>
      <c r="E56" s="183">
        <v>110</v>
      </c>
      <c r="F56" s="257">
        <v>7</v>
      </c>
      <c r="G56" s="257">
        <v>31</v>
      </c>
      <c r="J56" s="265"/>
      <c r="L56" s="257">
        <v>5</v>
      </c>
      <c r="N56" s="257">
        <v>2.37</v>
      </c>
      <c r="O56" s="159">
        <v>42191</v>
      </c>
      <c r="T56" s="257">
        <v>6.88</v>
      </c>
      <c r="U56" s="256">
        <v>42200</v>
      </c>
      <c r="V56" s="145">
        <v>18.5</v>
      </c>
      <c r="W56" s="159">
        <v>42191</v>
      </c>
      <c r="AD56" s="145">
        <f>(N56/V56)*(((100-CD56)/100)*((100-2)/100))*100</f>
        <v>11.776209729729729</v>
      </c>
      <c r="AF56" s="257">
        <v>13.46</v>
      </c>
      <c r="AG56" s="159">
        <v>42191</v>
      </c>
      <c r="AJ56" s="257">
        <v>130</v>
      </c>
      <c r="AN56" s="257">
        <v>103</v>
      </c>
      <c r="BB56" s="257">
        <v>3</v>
      </c>
      <c r="BN56" s="251">
        <v>64.498999999999995</v>
      </c>
      <c r="BO56" s="256">
        <v>42200</v>
      </c>
      <c r="BT56" s="251">
        <v>51.14251708984375</v>
      </c>
      <c r="BU56" s="256">
        <v>42200</v>
      </c>
      <c r="BV56" s="251">
        <v>16.871515274047852</v>
      </c>
      <c r="BW56" s="256">
        <v>42200</v>
      </c>
      <c r="BX56" s="251">
        <v>16.774999999999999</v>
      </c>
      <c r="BY56" s="256">
        <v>42200</v>
      </c>
      <c r="CD56" s="257">
        <v>6.2</v>
      </c>
      <c r="CE56" s="159">
        <v>42191</v>
      </c>
      <c r="CM56" s="255">
        <v>5</v>
      </c>
      <c r="CN56" s="256">
        <v>42180</v>
      </c>
      <c r="CO56" s="140" t="s">
        <v>8448</v>
      </c>
    </row>
    <row r="57" spans="1:93" ht="15" customHeight="1">
      <c r="A57" s="124" t="s">
        <v>7691</v>
      </c>
      <c r="B57" s="161" t="s">
        <v>7538</v>
      </c>
      <c r="C57" s="268" t="s">
        <v>269</v>
      </c>
      <c r="D57" s="257">
        <v>2</v>
      </c>
      <c r="E57" s="183">
        <v>105</v>
      </c>
      <c r="F57" s="257">
        <v>7</v>
      </c>
      <c r="G57" s="257">
        <v>16</v>
      </c>
      <c r="J57" s="265"/>
      <c r="L57" s="257">
        <v>7</v>
      </c>
      <c r="N57" s="257">
        <v>2.38</v>
      </c>
      <c r="O57" s="159">
        <v>42191</v>
      </c>
      <c r="T57" s="257">
        <v>6.76</v>
      </c>
      <c r="U57" s="256">
        <v>42200</v>
      </c>
      <c r="V57" s="145">
        <v>18.5</v>
      </c>
      <c r="W57" s="159">
        <v>42191</v>
      </c>
      <c r="AD57" s="145">
        <f>(N57/V57)*(((100-CD57)/100)*((100-2)/100))*100</f>
        <v>11.788075675675675</v>
      </c>
      <c r="AF57" s="257">
        <v>13.48</v>
      </c>
      <c r="AG57" s="159">
        <v>42191</v>
      </c>
      <c r="AJ57" s="257">
        <v>130</v>
      </c>
      <c r="AN57" s="257">
        <v>105</v>
      </c>
      <c r="BB57" s="257">
        <v>5</v>
      </c>
      <c r="BN57" s="251">
        <v>61.42</v>
      </c>
      <c r="BO57" s="256">
        <v>42200</v>
      </c>
      <c r="BT57" s="251">
        <v>50.12213134765625</v>
      </c>
      <c r="BU57" s="256">
        <v>42200</v>
      </c>
      <c r="BV57" s="251">
        <v>17.251811981201172</v>
      </c>
      <c r="BW57" s="256">
        <v>42200</v>
      </c>
      <c r="BX57" s="251">
        <v>18.254999999999999</v>
      </c>
      <c r="BY57" s="256">
        <v>42200</v>
      </c>
      <c r="CD57" s="257">
        <v>6.5</v>
      </c>
      <c r="CE57" s="159">
        <v>42191</v>
      </c>
      <c r="CM57" s="255">
        <v>5</v>
      </c>
      <c r="CN57" s="256">
        <v>42180</v>
      </c>
      <c r="CO57" s="140" t="s">
        <v>8448</v>
      </c>
    </row>
    <row r="58" spans="1:93" ht="15" customHeight="1">
      <c r="A58" s="124" t="s">
        <v>7703</v>
      </c>
      <c r="B58" s="161" t="s">
        <v>7778</v>
      </c>
      <c r="C58" s="268" t="s">
        <v>267</v>
      </c>
      <c r="D58" s="257">
        <v>3</v>
      </c>
      <c r="E58" s="183">
        <v>117</v>
      </c>
      <c r="F58" s="257">
        <v>14</v>
      </c>
      <c r="G58" s="257">
        <v>15</v>
      </c>
      <c r="J58" s="265"/>
      <c r="L58" s="257">
        <v>8</v>
      </c>
      <c r="N58" s="257">
        <v>2.42</v>
      </c>
      <c r="O58" s="159">
        <v>42191</v>
      </c>
      <c r="T58" s="257">
        <v>6.66</v>
      </c>
      <c r="U58" s="256">
        <v>42200</v>
      </c>
      <c r="V58" s="145">
        <v>18.5</v>
      </c>
      <c r="W58" s="159">
        <v>42191</v>
      </c>
      <c r="AD58" s="145">
        <f>(N58/V58)*(((100-CD58)/100)*((100-2)/100))*100</f>
        <v>11.870819459459458</v>
      </c>
      <c r="AF58" s="257">
        <v>13.57</v>
      </c>
      <c r="AG58" s="159">
        <v>42191</v>
      </c>
      <c r="AJ58" s="257">
        <v>135</v>
      </c>
      <c r="AN58" s="257">
        <v>110</v>
      </c>
      <c r="BB58" s="257">
        <v>9</v>
      </c>
      <c r="BN58" s="251">
        <v>64.980999999999995</v>
      </c>
      <c r="BO58" s="256">
        <v>42200</v>
      </c>
      <c r="BT58" s="251">
        <v>49.084316253662109</v>
      </c>
      <c r="BU58" s="256">
        <v>42200</v>
      </c>
      <c r="BV58" s="251">
        <v>20.23719596862793</v>
      </c>
      <c r="BW58" s="256">
        <v>42200</v>
      </c>
      <c r="BX58" s="251">
        <v>58.545999999999999</v>
      </c>
      <c r="BY58" s="256">
        <v>42200</v>
      </c>
      <c r="CD58" s="257">
        <v>7.4</v>
      </c>
      <c r="CE58" s="159">
        <v>42191</v>
      </c>
      <c r="CM58" s="255">
        <v>5</v>
      </c>
      <c r="CN58" s="256">
        <v>42180</v>
      </c>
      <c r="CO58" s="140" t="s">
        <v>8447</v>
      </c>
    </row>
    <row r="59" spans="1:93" ht="15" customHeight="1">
      <c r="A59" s="137" t="s">
        <v>8463</v>
      </c>
      <c r="B59" s="161" t="s">
        <v>8486</v>
      </c>
      <c r="C59" s="268" t="s">
        <v>267</v>
      </c>
      <c r="D59" s="269">
        <v>4</v>
      </c>
      <c r="E59" s="280">
        <v>14</v>
      </c>
      <c r="F59" s="269"/>
      <c r="G59" s="269"/>
      <c r="H59" s="271">
        <v>20</v>
      </c>
      <c r="I59" s="271">
        <v>2</v>
      </c>
      <c r="J59" s="285"/>
      <c r="K59" s="273"/>
      <c r="L59" s="269">
        <v>9</v>
      </c>
      <c r="M59" s="274"/>
      <c r="N59" s="269">
        <v>2.4300000000000002</v>
      </c>
      <c r="O59" s="274">
        <v>42191</v>
      </c>
      <c r="P59" s="272"/>
      <c r="Q59" s="274"/>
      <c r="R59" s="275"/>
      <c r="S59" s="274"/>
      <c r="T59" s="269">
        <v>6.2</v>
      </c>
      <c r="U59" s="276">
        <v>42200</v>
      </c>
      <c r="V59" s="275">
        <v>18.5</v>
      </c>
      <c r="W59" s="274">
        <v>42191</v>
      </c>
      <c r="X59" s="275"/>
      <c r="Y59" s="274"/>
      <c r="Z59" s="275"/>
      <c r="AA59" s="274"/>
      <c r="AB59" s="275"/>
      <c r="AC59" s="274"/>
      <c r="AD59" s="145">
        <f>(N59/V59)*(((100-CD59)/100)*((100-2)/100))*100</f>
        <v>11.894127567567569</v>
      </c>
      <c r="AE59" s="274"/>
      <c r="AF59" s="269">
        <v>13.6</v>
      </c>
      <c r="AG59" s="274">
        <v>42191</v>
      </c>
      <c r="AH59" s="274"/>
      <c r="AI59" s="274"/>
      <c r="AJ59" s="269">
        <v>105</v>
      </c>
      <c r="AK59" s="274"/>
      <c r="AL59" s="275"/>
      <c r="AM59" s="274"/>
      <c r="AN59" s="269">
        <v>96</v>
      </c>
      <c r="AO59" s="274"/>
      <c r="AP59" s="275"/>
      <c r="AQ59" s="275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69">
        <v>5</v>
      </c>
      <c r="BC59" s="275"/>
      <c r="BD59" s="275"/>
      <c r="BE59" s="275"/>
      <c r="BF59" s="272"/>
      <c r="BG59" s="272"/>
      <c r="BH59" s="272"/>
      <c r="BI59" s="272"/>
      <c r="BJ59" s="272"/>
      <c r="BK59" s="272"/>
      <c r="BL59" s="272"/>
      <c r="BM59" s="272"/>
      <c r="BN59" s="284">
        <v>64.650000000000006</v>
      </c>
      <c r="BO59" s="276">
        <v>42200</v>
      </c>
      <c r="BP59" s="272"/>
      <c r="BQ59" s="272"/>
      <c r="BR59" s="272"/>
      <c r="BS59" s="272"/>
      <c r="BT59" s="284">
        <v>45.57</v>
      </c>
      <c r="BU59" s="276">
        <v>42200</v>
      </c>
      <c r="BV59" s="284">
        <v>21.864143371582031</v>
      </c>
      <c r="BW59" s="276">
        <v>42200</v>
      </c>
      <c r="BX59" s="284">
        <v>69.665000000000006</v>
      </c>
      <c r="BY59" s="276">
        <v>42200</v>
      </c>
      <c r="BZ59" s="272"/>
      <c r="CA59" s="272"/>
      <c r="CB59" s="272"/>
      <c r="CC59" s="272"/>
      <c r="CD59" s="269">
        <v>7.6</v>
      </c>
      <c r="CE59" s="274">
        <v>42191</v>
      </c>
      <c r="CF59" s="272"/>
      <c r="CG59" s="272"/>
      <c r="CH59" s="272"/>
      <c r="CI59" s="272"/>
      <c r="CJ59" s="272"/>
      <c r="CK59" s="272"/>
      <c r="CL59" s="272"/>
      <c r="CM59" s="278">
        <v>3</v>
      </c>
      <c r="CN59" s="276">
        <v>42180</v>
      </c>
      <c r="CO59" s="272" t="s">
        <v>8447</v>
      </c>
    </row>
    <row r="60" spans="1:93" ht="15" customHeight="1">
      <c r="A60" s="124" t="s">
        <v>7706</v>
      </c>
      <c r="B60" s="161" t="s">
        <v>7781</v>
      </c>
      <c r="C60" s="268" t="s">
        <v>267</v>
      </c>
      <c r="D60" s="257">
        <v>3</v>
      </c>
      <c r="E60" s="183">
        <v>120</v>
      </c>
      <c r="F60" s="257">
        <v>16</v>
      </c>
      <c r="G60" s="257">
        <v>8</v>
      </c>
      <c r="J60" s="265"/>
      <c r="L60" s="257">
        <v>9</v>
      </c>
      <c r="N60" s="257">
        <v>2.39</v>
      </c>
      <c r="O60" s="159">
        <v>42191</v>
      </c>
      <c r="T60" s="257">
        <v>6.65</v>
      </c>
      <c r="U60" s="256">
        <v>42200</v>
      </c>
      <c r="V60" s="145">
        <v>18.5</v>
      </c>
      <c r="W60" s="159">
        <v>42191</v>
      </c>
      <c r="AD60" s="145">
        <f>(N60/V60)*(((100-CD60)/100)*((100-2)/100))*100</f>
        <v>11.926229189189192</v>
      </c>
      <c r="AF60" s="257">
        <v>13.63</v>
      </c>
      <c r="AG60" s="159">
        <v>42191</v>
      </c>
      <c r="AJ60" s="257">
        <v>110</v>
      </c>
      <c r="AN60" s="257">
        <v>100</v>
      </c>
      <c r="BB60" s="257">
        <v>7</v>
      </c>
      <c r="BN60" s="251">
        <v>65.12</v>
      </c>
      <c r="BO60" s="256">
        <v>42200</v>
      </c>
      <c r="BT60" s="251">
        <v>48.812454223632812</v>
      </c>
      <c r="BU60" s="256">
        <v>42200</v>
      </c>
      <c r="BV60" s="251">
        <v>19.898090362548828</v>
      </c>
      <c r="BW60" s="256">
        <v>42200</v>
      </c>
      <c r="BX60" s="251">
        <v>67.165000000000006</v>
      </c>
      <c r="BY60" s="256">
        <v>42200</v>
      </c>
      <c r="CD60" s="257">
        <v>5.8</v>
      </c>
      <c r="CE60" s="159">
        <v>42191</v>
      </c>
      <c r="CM60" s="255">
        <v>5</v>
      </c>
      <c r="CN60" s="256">
        <v>42180</v>
      </c>
      <c r="CO60" s="140" t="s">
        <v>8447</v>
      </c>
    </row>
    <row r="61" spans="1:93" ht="15" customHeight="1">
      <c r="A61" s="137" t="s">
        <v>8455</v>
      </c>
      <c r="B61" s="161" t="s">
        <v>8478</v>
      </c>
      <c r="C61" s="268" t="s">
        <v>267</v>
      </c>
      <c r="D61" s="269">
        <v>4</v>
      </c>
      <c r="E61" s="280">
        <v>6</v>
      </c>
      <c r="F61" s="269"/>
      <c r="G61" s="269"/>
      <c r="H61" s="271">
        <v>24</v>
      </c>
      <c r="I61" s="271">
        <v>2</v>
      </c>
      <c r="J61" s="285"/>
      <c r="K61" s="273"/>
      <c r="L61" s="269">
        <v>8</v>
      </c>
      <c r="M61" s="274"/>
      <c r="N61" s="269">
        <v>2.48</v>
      </c>
      <c r="O61" s="274">
        <v>42191</v>
      </c>
      <c r="P61" s="272"/>
      <c r="Q61" s="274"/>
      <c r="R61" s="275"/>
      <c r="S61" s="274"/>
      <c r="T61" s="269">
        <v>6.79</v>
      </c>
      <c r="U61" s="276">
        <v>42200</v>
      </c>
      <c r="V61" s="275">
        <v>18.5</v>
      </c>
      <c r="W61" s="274">
        <v>42191</v>
      </c>
      <c r="X61" s="275"/>
      <c r="Y61" s="274"/>
      <c r="Z61" s="275"/>
      <c r="AA61" s="274"/>
      <c r="AB61" s="275"/>
      <c r="AC61" s="274"/>
      <c r="AD61" s="145">
        <f>(N61/V61)*(((100-CD61)/100)*((100-2)/100))*100</f>
        <v>11.968077837837836</v>
      </c>
      <c r="AE61" s="274"/>
      <c r="AF61" s="269">
        <v>13.68</v>
      </c>
      <c r="AG61" s="274">
        <v>42191</v>
      </c>
      <c r="AH61" s="274"/>
      <c r="AI61" s="274"/>
      <c r="AJ61" s="269">
        <v>120</v>
      </c>
      <c r="AK61" s="274"/>
      <c r="AL61" s="275"/>
      <c r="AM61" s="274"/>
      <c r="AN61" s="269">
        <v>102</v>
      </c>
      <c r="AO61" s="274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275"/>
      <c r="BB61" s="269">
        <v>5</v>
      </c>
      <c r="BC61" s="275"/>
      <c r="BD61" s="275"/>
      <c r="BE61" s="275"/>
      <c r="BF61" s="272"/>
      <c r="BG61" s="272"/>
      <c r="BH61" s="272"/>
      <c r="BI61" s="272"/>
      <c r="BJ61" s="272"/>
      <c r="BK61" s="272"/>
      <c r="BL61" s="272"/>
      <c r="BM61" s="272"/>
      <c r="BN61" s="284">
        <v>65.602000000000004</v>
      </c>
      <c r="BO61" s="276">
        <v>42200</v>
      </c>
      <c r="BP61" s="272"/>
      <c r="BQ61" s="272"/>
      <c r="BR61" s="272"/>
      <c r="BS61" s="272"/>
      <c r="BT61" s="284">
        <v>49.64</v>
      </c>
      <c r="BU61" s="276">
        <v>42200</v>
      </c>
      <c r="BV61" s="284">
        <v>19.829999923706055</v>
      </c>
      <c r="BW61" s="276">
        <v>42200</v>
      </c>
      <c r="BX61" s="284">
        <v>76.893000000000001</v>
      </c>
      <c r="BY61" s="276">
        <v>42200</v>
      </c>
      <c r="BZ61" s="272"/>
      <c r="CA61" s="272"/>
      <c r="CB61" s="272"/>
      <c r="CC61" s="272"/>
      <c r="CD61" s="269">
        <v>8.9</v>
      </c>
      <c r="CE61" s="274">
        <v>42191</v>
      </c>
      <c r="CF61" s="272"/>
      <c r="CG61" s="272"/>
      <c r="CH61" s="272"/>
      <c r="CI61" s="272"/>
      <c r="CJ61" s="272"/>
      <c r="CK61" s="272"/>
      <c r="CL61" s="272"/>
      <c r="CM61" s="278">
        <v>3</v>
      </c>
      <c r="CN61" s="276">
        <v>42180</v>
      </c>
      <c r="CO61" s="272" t="s">
        <v>8447</v>
      </c>
    </row>
    <row r="62" spans="1:93" ht="15" customHeight="1">
      <c r="A62" s="137" t="s">
        <v>8450</v>
      </c>
      <c r="B62" s="161" t="s">
        <v>8473</v>
      </c>
      <c r="C62" s="268" t="s">
        <v>267</v>
      </c>
      <c r="D62" s="269">
        <v>4</v>
      </c>
      <c r="E62" s="280">
        <v>1</v>
      </c>
      <c r="F62" s="269"/>
      <c r="G62" s="269"/>
      <c r="H62" s="271">
        <v>23</v>
      </c>
      <c r="I62" s="271">
        <v>1</v>
      </c>
      <c r="J62" s="285"/>
      <c r="K62" s="273"/>
      <c r="L62" s="269">
        <v>8</v>
      </c>
      <c r="M62" s="274"/>
      <c r="N62" s="269">
        <v>2.5</v>
      </c>
      <c r="O62" s="274">
        <v>42191</v>
      </c>
      <c r="P62" s="272"/>
      <c r="Q62" s="274"/>
      <c r="R62" s="275"/>
      <c r="S62" s="274"/>
      <c r="T62" s="269">
        <v>6.75</v>
      </c>
      <c r="U62" s="276">
        <v>42200</v>
      </c>
      <c r="V62" s="275">
        <v>18.5</v>
      </c>
      <c r="W62" s="274">
        <v>42191</v>
      </c>
      <c r="X62" s="275"/>
      <c r="Y62" s="274"/>
      <c r="Z62" s="275"/>
      <c r="AA62" s="274"/>
      <c r="AB62" s="275"/>
      <c r="AC62" s="274"/>
      <c r="AD62" s="145">
        <f>(N62/V62)*(((100-CD62)/100)*((100-2)/100))*100</f>
        <v>12.144054054054054</v>
      </c>
      <c r="AE62" s="274"/>
      <c r="AF62" s="269">
        <v>13.88</v>
      </c>
      <c r="AG62" s="274">
        <v>42191</v>
      </c>
      <c r="AH62" s="274"/>
      <c r="AI62" s="274"/>
      <c r="AJ62" s="269">
        <v>125</v>
      </c>
      <c r="AK62" s="274"/>
      <c r="AL62" s="275"/>
      <c r="AM62" s="274"/>
      <c r="AN62" s="269">
        <v>104</v>
      </c>
      <c r="AO62" s="274"/>
      <c r="AP62" s="275"/>
      <c r="AQ62" s="275"/>
      <c r="AR62" s="275"/>
      <c r="AS62" s="275"/>
      <c r="AT62" s="275"/>
      <c r="AU62" s="275"/>
      <c r="AV62" s="275"/>
      <c r="AW62" s="275"/>
      <c r="AX62" s="275"/>
      <c r="AY62" s="275"/>
      <c r="AZ62" s="275"/>
      <c r="BA62" s="275"/>
      <c r="BB62" s="269">
        <v>9</v>
      </c>
      <c r="BC62" s="275"/>
      <c r="BD62" s="275"/>
      <c r="BE62" s="275"/>
      <c r="BF62" s="272"/>
      <c r="BG62" s="272"/>
      <c r="BH62" s="272"/>
      <c r="BI62" s="272"/>
      <c r="BJ62" s="272"/>
      <c r="BK62" s="272"/>
      <c r="BL62" s="272"/>
      <c r="BM62" s="272"/>
      <c r="BN62" s="284">
        <v>67.245999999999995</v>
      </c>
      <c r="BO62" s="276">
        <v>42200</v>
      </c>
      <c r="BP62" s="272"/>
      <c r="BQ62" s="272"/>
      <c r="BR62" s="272"/>
      <c r="BS62" s="272"/>
      <c r="BT62" s="284">
        <v>48.66</v>
      </c>
      <c r="BU62" s="276">
        <v>42200</v>
      </c>
      <c r="BV62" s="284">
        <v>19.991331100463867</v>
      </c>
      <c r="BW62" s="276">
        <v>42200</v>
      </c>
      <c r="BX62" s="284">
        <v>70.572000000000003</v>
      </c>
      <c r="BY62" s="276">
        <v>42200</v>
      </c>
      <c r="BZ62" s="272"/>
      <c r="CA62" s="272"/>
      <c r="CB62" s="272"/>
      <c r="CC62" s="272"/>
      <c r="CD62" s="269">
        <v>8.3000000000000007</v>
      </c>
      <c r="CE62" s="274">
        <v>42191</v>
      </c>
      <c r="CF62" s="272"/>
      <c r="CG62" s="272"/>
      <c r="CH62" s="272"/>
      <c r="CI62" s="272"/>
      <c r="CJ62" s="272"/>
      <c r="CK62" s="272"/>
      <c r="CL62" s="272"/>
      <c r="CM62" s="278">
        <v>7</v>
      </c>
      <c r="CN62" s="276">
        <v>42180</v>
      </c>
      <c r="CO62" s="272" t="s">
        <v>8447</v>
      </c>
    </row>
    <row r="63" spans="1:93" ht="15" customHeight="1">
      <c r="A63" s="124" t="s">
        <v>7630</v>
      </c>
      <c r="B63" s="161" t="s">
        <v>7483</v>
      </c>
      <c r="C63" s="268" t="s">
        <v>269</v>
      </c>
      <c r="D63" s="257">
        <v>2</v>
      </c>
      <c r="E63" s="183">
        <v>44</v>
      </c>
      <c r="F63" s="257">
        <v>8</v>
      </c>
      <c r="G63" s="257">
        <v>21</v>
      </c>
      <c r="J63" s="265"/>
      <c r="L63" s="257">
        <v>8</v>
      </c>
      <c r="N63" s="257">
        <v>2.46</v>
      </c>
      <c r="O63" s="159">
        <v>42191</v>
      </c>
      <c r="T63" s="257">
        <v>6.7</v>
      </c>
      <c r="U63" s="256">
        <v>42200</v>
      </c>
      <c r="V63" s="145">
        <v>18.5</v>
      </c>
      <c r="W63" s="159">
        <v>42191</v>
      </c>
      <c r="AD63" s="145">
        <f>(N63/V63)*(((100-CD63)/100)*((100-2)/100))*100</f>
        <v>12.197344864864863</v>
      </c>
      <c r="AF63" s="257">
        <v>13.94</v>
      </c>
      <c r="AG63" s="159">
        <v>42191</v>
      </c>
      <c r="AJ63" s="257">
        <v>120</v>
      </c>
      <c r="AN63" s="257">
        <v>110</v>
      </c>
      <c r="BB63" s="257">
        <v>7</v>
      </c>
      <c r="BN63" s="251">
        <v>61.067</v>
      </c>
      <c r="BO63" s="256">
        <v>42200</v>
      </c>
      <c r="BT63" s="251">
        <v>48.064002990722656</v>
      </c>
      <c r="BU63" s="256">
        <v>42200</v>
      </c>
      <c r="BV63" s="251">
        <v>18.844562530517578</v>
      </c>
      <c r="BW63" s="256">
        <v>42200</v>
      </c>
      <c r="BX63" s="251">
        <v>20.253</v>
      </c>
      <c r="BY63" s="256">
        <v>42200</v>
      </c>
      <c r="CD63" s="257">
        <v>6.4</v>
      </c>
      <c r="CE63" s="159">
        <v>42191</v>
      </c>
      <c r="CM63" s="255">
        <v>5</v>
      </c>
      <c r="CN63" s="256">
        <v>42180</v>
      </c>
      <c r="CO63" s="140" t="s">
        <v>8448</v>
      </c>
    </row>
    <row r="64" spans="1:93" ht="15" customHeight="1">
      <c r="A64" s="124" t="s">
        <v>7590</v>
      </c>
      <c r="B64" s="161" t="s">
        <v>7450</v>
      </c>
      <c r="C64" s="268" t="s">
        <v>269</v>
      </c>
      <c r="D64" s="257">
        <v>2</v>
      </c>
      <c r="E64" s="183">
        <v>4</v>
      </c>
      <c r="F64" s="257">
        <v>7</v>
      </c>
      <c r="G64" s="257">
        <v>14</v>
      </c>
      <c r="J64" s="283"/>
      <c r="L64" s="257">
        <v>8</v>
      </c>
      <c r="N64" s="257">
        <v>2.46</v>
      </c>
      <c r="O64" s="159">
        <v>42191</v>
      </c>
      <c r="P64" s="144"/>
      <c r="R64" s="145"/>
      <c r="T64" s="257">
        <v>6.89</v>
      </c>
      <c r="U64" s="256">
        <v>42200</v>
      </c>
      <c r="V64" s="145">
        <v>18.5</v>
      </c>
      <c r="W64" s="159">
        <v>42191</v>
      </c>
      <c r="X64" s="145"/>
      <c r="Z64" s="145"/>
      <c r="AB64" s="145"/>
      <c r="AD64" s="145">
        <f>(N64/V64)*(((100-CD64)/100)*((100-2)/100))*100</f>
        <v>12.210376216216218</v>
      </c>
      <c r="AF64" s="257">
        <v>13.96</v>
      </c>
      <c r="AG64" s="159">
        <v>42191</v>
      </c>
      <c r="AJ64" s="257">
        <v>160</v>
      </c>
      <c r="AL64" s="145"/>
      <c r="AN64" s="257">
        <v>103</v>
      </c>
      <c r="BB64" s="257">
        <v>7</v>
      </c>
      <c r="BN64" s="242">
        <v>64.932000000000002</v>
      </c>
      <c r="BO64" s="256">
        <v>42200</v>
      </c>
      <c r="BT64" s="242">
        <v>49.377376556396484</v>
      </c>
      <c r="BU64" s="256">
        <v>42200</v>
      </c>
      <c r="BV64" s="242">
        <v>19.992191314697266</v>
      </c>
      <c r="BW64" s="256">
        <v>42200</v>
      </c>
      <c r="BX64" s="242">
        <v>76.61</v>
      </c>
      <c r="BY64" s="256">
        <v>42200</v>
      </c>
      <c r="CD64" s="257">
        <v>6.3</v>
      </c>
      <c r="CE64" s="159">
        <v>42191</v>
      </c>
      <c r="CM64" s="255">
        <v>3</v>
      </c>
      <c r="CN64" s="256">
        <v>42180</v>
      </c>
      <c r="CO64" s="140" t="s">
        <v>8448</v>
      </c>
    </row>
    <row r="65" spans="1:93" ht="15" customHeight="1">
      <c r="A65" s="137" t="s">
        <v>8454</v>
      </c>
      <c r="B65" s="161" t="s">
        <v>8477</v>
      </c>
      <c r="C65" s="268" t="s">
        <v>269</v>
      </c>
      <c r="D65" s="269">
        <v>1</v>
      </c>
      <c r="E65" s="280">
        <v>5</v>
      </c>
      <c r="F65" s="269"/>
      <c r="G65" s="269"/>
      <c r="H65" s="271">
        <v>2</v>
      </c>
      <c r="I65" s="271">
        <v>4</v>
      </c>
      <c r="J65" s="285"/>
      <c r="K65" s="273"/>
      <c r="L65" s="269">
        <v>9</v>
      </c>
      <c r="M65" s="274"/>
      <c r="N65" s="269">
        <v>2.5099999999999998</v>
      </c>
      <c r="O65" s="274">
        <v>42191</v>
      </c>
      <c r="P65" s="272"/>
      <c r="Q65" s="274"/>
      <c r="R65" s="275"/>
      <c r="S65" s="274"/>
      <c r="T65" s="269">
        <v>6.41</v>
      </c>
      <c r="U65" s="276">
        <v>42200</v>
      </c>
      <c r="V65" s="275">
        <v>18.5</v>
      </c>
      <c r="W65" s="274">
        <v>42191</v>
      </c>
      <c r="X65" s="275"/>
      <c r="Y65" s="274"/>
      <c r="Z65" s="275"/>
      <c r="AA65" s="274"/>
      <c r="AB65" s="275"/>
      <c r="AC65" s="274"/>
      <c r="AD65" s="145">
        <f>(N65/V65)*(((100-CD65)/100)*((100-2)/100))*100</f>
        <v>12.23251891891892</v>
      </c>
      <c r="AE65" s="274"/>
      <c r="AF65" s="269">
        <v>13.98</v>
      </c>
      <c r="AG65" s="274">
        <v>42191</v>
      </c>
      <c r="AH65" s="274"/>
      <c r="AI65" s="274"/>
      <c r="AJ65" s="269">
        <v>150</v>
      </c>
      <c r="AK65" s="274"/>
      <c r="AL65" s="275"/>
      <c r="AM65" s="274"/>
      <c r="AN65" s="269">
        <v>101</v>
      </c>
      <c r="AO65" s="274"/>
      <c r="AP65" s="275"/>
      <c r="AQ65" s="275"/>
      <c r="AR65" s="275"/>
      <c r="AS65" s="275"/>
      <c r="AT65" s="275"/>
      <c r="AU65" s="275"/>
      <c r="AV65" s="275"/>
      <c r="AW65" s="275"/>
      <c r="AX65" s="275"/>
      <c r="AY65" s="275"/>
      <c r="AZ65" s="275"/>
      <c r="BA65" s="275"/>
      <c r="BB65" s="269">
        <v>5</v>
      </c>
      <c r="BC65" s="275"/>
      <c r="BD65" s="275"/>
      <c r="BE65" s="275"/>
      <c r="BF65" s="272"/>
      <c r="BG65" s="272"/>
      <c r="BH65" s="272"/>
      <c r="BI65" s="272"/>
      <c r="BJ65" s="272"/>
      <c r="BK65" s="272"/>
      <c r="BL65" s="272"/>
      <c r="BM65" s="272"/>
      <c r="BN65" s="284">
        <v>62.484999999999999</v>
      </c>
      <c r="BO65" s="276">
        <v>42200</v>
      </c>
      <c r="BP65" s="272"/>
      <c r="BQ65" s="272"/>
      <c r="BR65" s="272"/>
      <c r="BS65" s="272"/>
      <c r="BT65" s="284">
        <v>45.85</v>
      </c>
      <c r="BU65" s="276">
        <v>42200</v>
      </c>
      <c r="BV65" s="284">
        <v>22.262828826904297</v>
      </c>
      <c r="BW65" s="276">
        <v>42200</v>
      </c>
      <c r="BX65" s="284">
        <v>72.415000000000006</v>
      </c>
      <c r="BY65" s="276">
        <v>42200</v>
      </c>
      <c r="BZ65" s="272"/>
      <c r="CA65" s="272"/>
      <c r="CB65" s="272"/>
      <c r="CC65" s="272"/>
      <c r="CD65" s="269">
        <v>8</v>
      </c>
      <c r="CE65" s="274">
        <v>42191</v>
      </c>
      <c r="CF65" s="272"/>
      <c r="CG65" s="272"/>
      <c r="CH65" s="272"/>
      <c r="CI65" s="272"/>
      <c r="CJ65" s="272"/>
      <c r="CK65" s="272"/>
      <c r="CL65" s="272"/>
      <c r="CM65" s="278">
        <v>5</v>
      </c>
      <c r="CN65" s="276">
        <v>42180</v>
      </c>
      <c r="CO65" s="272" t="s">
        <v>8447</v>
      </c>
    </row>
    <row r="66" spans="1:93" ht="15" customHeight="1">
      <c r="A66" s="124" t="s">
        <v>7602</v>
      </c>
      <c r="B66" s="124" t="s">
        <v>7458</v>
      </c>
      <c r="C66" s="268" t="s">
        <v>269</v>
      </c>
      <c r="D66" s="257">
        <v>2</v>
      </c>
      <c r="E66" s="183">
        <v>16</v>
      </c>
      <c r="F66" s="257">
        <v>7</v>
      </c>
      <c r="G66" s="257">
        <v>28</v>
      </c>
      <c r="J66" s="283"/>
      <c r="L66" s="257">
        <v>7</v>
      </c>
      <c r="N66" s="257">
        <v>2.4900000000000002</v>
      </c>
      <c r="O66" s="159">
        <v>42191</v>
      </c>
      <c r="P66" s="144"/>
      <c r="R66" s="145"/>
      <c r="T66" s="257">
        <v>6.69</v>
      </c>
      <c r="U66" s="256">
        <v>42200</v>
      </c>
      <c r="V66" s="145">
        <v>18.5</v>
      </c>
      <c r="W66" s="159">
        <v>42191</v>
      </c>
      <c r="X66" s="145"/>
      <c r="Z66" s="145"/>
      <c r="AB66" s="145"/>
      <c r="AD66" s="145">
        <f>(N66/V66)*(((100-CD66)/100)*((100-2)/100))*100</f>
        <v>12.319712432432434</v>
      </c>
      <c r="AF66" s="257">
        <v>14.08</v>
      </c>
      <c r="AG66" s="159">
        <v>42191</v>
      </c>
      <c r="AJ66" s="257">
        <v>145</v>
      </c>
      <c r="AL66" s="145"/>
      <c r="AN66" s="257">
        <v>101</v>
      </c>
      <c r="BB66" s="257">
        <v>7</v>
      </c>
      <c r="BN66" s="251">
        <v>63.640999999999998</v>
      </c>
      <c r="BO66" s="256">
        <v>42200</v>
      </c>
      <c r="BT66" s="251">
        <v>47.477134704589844</v>
      </c>
      <c r="BU66" s="256">
        <v>42200</v>
      </c>
      <c r="BV66" s="251">
        <v>19.360145568847656</v>
      </c>
      <c r="BW66" s="256">
        <v>42200</v>
      </c>
      <c r="BX66" s="251">
        <v>56.015000000000001</v>
      </c>
      <c r="BY66" s="256">
        <v>42200</v>
      </c>
      <c r="CD66" s="257">
        <v>6.6</v>
      </c>
      <c r="CE66" s="159">
        <v>42191</v>
      </c>
      <c r="CM66" s="255">
        <v>5</v>
      </c>
      <c r="CN66" s="256">
        <v>42180</v>
      </c>
      <c r="CO66" s="140" t="s">
        <v>8448</v>
      </c>
    </row>
    <row r="67" spans="1:93" ht="15" customHeight="1">
      <c r="A67" s="124" t="s">
        <v>7656</v>
      </c>
      <c r="B67" s="124" t="s">
        <v>7505</v>
      </c>
      <c r="C67" s="268" t="s">
        <v>267</v>
      </c>
      <c r="D67" s="257">
        <v>4</v>
      </c>
      <c r="E67" s="183">
        <v>70</v>
      </c>
      <c r="F67" s="257">
        <v>22</v>
      </c>
      <c r="G67" s="257">
        <v>19</v>
      </c>
      <c r="J67" s="265"/>
      <c r="L67" s="257">
        <v>3</v>
      </c>
      <c r="N67" s="257">
        <v>2.5499999999999998</v>
      </c>
      <c r="O67" s="159">
        <v>42191</v>
      </c>
      <c r="T67" s="257">
        <v>6.9</v>
      </c>
      <c r="U67" s="256">
        <v>42200</v>
      </c>
      <c r="V67" s="145">
        <v>18.5</v>
      </c>
      <c r="W67" s="159">
        <v>42191</v>
      </c>
      <c r="AD67" s="145">
        <f>(N67/V67)*(((100-CD67)/100)*((100-2)/100))*100</f>
        <v>12.40044324324324</v>
      </c>
      <c r="AF67" s="257">
        <v>14.18</v>
      </c>
      <c r="AG67" s="159">
        <v>42191</v>
      </c>
      <c r="AJ67" s="257">
        <v>125</v>
      </c>
      <c r="AN67" s="257">
        <v>108</v>
      </c>
      <c r="BB67" s="257">
        <v>7</v>
      </c>
      <c r="BN67" s="251">
        <v>62.362000000000002</v>
      </c>
      <c r="BO67" s="256">
        <v>42200</v>
      </c>
      <c r="BT67" s="251">
        <v>48.689418792724609</v>
      </c>
      <c r="BU67" s="256">
        <v>42200</v>
      </c>
      <c r="BV67" s="251">
        <v>18.213665008544922</v>
      </c>
      <c r="BW67" s="256">
        <v>42200</v>
      </c>
      <c r="BX67" s="251">
        <v>16.239999999999998</v>
      </c>
      <c r="BY67" s="256">
        <v>42200</v>
      </c>
      <c r="CD67" s="257">
        <v>8.1999999999999993</v>
      </c>
      <c r="CE67" s="159">
        <v>42191</v>
      </c>
      <c r="CM67" s="255">
        <v>3</v>
      </c>
      <c r="CN67" s="256">
        <v>42180</v>
      </c>
      <c r="CO67" s="140" t="s">
        <v>8447</v>
      </c>
    </row>
    <row r="68" spans="1:93" ht="15" customHeight="1">
      <c r="A68" s="137" t="s">
        <v>8454</v>
      </c>
      <c r="B68" s="124" t="s">
        <v>8477</v>
      </c>
      <c r="C68" s="268" t="s">
        <v>269</v>
      </c>
      <c r="D68" s="269">
        <v>2</v>
      </c>
      <c r="E68" s="280">
        <v>5</v>
      </c>
      <c r="F68" s="269"/>
      <c r="G68" s="269"/>
      <c r="H68" s="271">
        <v>11</v>
      </c>
      <c r="I68" s="271">
        <v>2</v>
      </c>
      <c r="J68" s="285"/>
      <c r="K68" s="273"/>
      <c r="L68" s="269">
        <v>4</v>
      </c>
      <c r="M68" s="274"/>
      <c r="N68" s="269">
        <v>2.5499999999999998</v>
      </c>
      <c r="O68" s="274">
        <v>42191</v>
      </c>
      <c r="P68" s="272"/>
      <c r="Q68" s="274"/>
      <c r="R68" s="275"/>
      <c r="S68" s="274"/>
      <c r="T68" s="269">
        <v>6.9</v>
      </c>
      <c r="U68" s="276">
        <v>42200</v>
      </c>
      <c r="V68" s="275">
        <v>18.5</v>
      </c>
      <c r="W68" s="274">
        <v>42191</v>
      </c>
      <c r="X68" s="275"/>
      <c r="Y68" s="274"/>
      <c r="Z68" s="275"/>
      <c r="AA68" s="274"/>
      <c r="AB68" s="275"/>
      <c r="AC68" s="274"/>
      <c r="AD68" s="145">
        <f>(N68/V68)*(((100-CD68)/100)*((100-2)/100))*100</f>
        <v>12.454475675675674</v>
      </c>
      <c r="AE68" s="274"/>
      <c r="AF68" s="269">
        <v>14.24</v>
      </c>
      <c r="AG68" s="274">
        <v>42191</v>
      </c>
      <c r="AH68" s="274"/>
      <c r="AI68" s="274"/>
      <c r="AJ68" s="269">
        <v>145</v>
      </c>
      <c r="AK68" s="274"/>
      <c r="AL68" s="275"/>
      <c r="AM68" s="274"/>
      <c r="AN68" s="269">
        <v>100</v>
      </c>
      <c r="AO68" s="274"/>
      <c r="AP68" s="275"/>
      <c r="AQ68" s="275"/>
      <c r="AR68" s="275"/>
      <c r="AS68" s="275"/>
      <c r="AT68" s="275"/>
      <c r="AU68" s="275"/>
      <c r="AV68" s="275"/>
      <c r="AW68" s="275"/>
      <c r="AX68" s="275"/>
      <c r="AY68" s="275"/>
      <c r="AZ68" s="275"/>
      <c r="BA68" s="275"/>
      <c r="BB68" s="269">
        <v>5</v>
      </c>
      <c r="BC68" s="275"/>
      <c r="BD68" s="275"/>
      <c r="BE68" s="275"/>
      <c r="BF68" s="272"/>
      <c r="BG68" s="272"/>
      <c r="BH68" s="272"/>
      <c r="BI68" s="272"/>
      <c r="BJ68" s="272"/>
      <c r="BK68" s="272"/>
      <c r="BL68" s="272"/>
      <c r="BM68" s="272"/>
      <c r="BN68" s="284">
        <v>62.755000000000003</v>
      </c>
      <c r="BO68" s="276">
        <v>42200</v>
      </c>
      <c r="BP68" s="272"/>
      <c r="BQ68" s="272"/>
      <c r="BR68" s="272"/>
      <c r="BS68" s="272"/>
      <c r="BT68" s="284">
        <v>48.43</v>
      </c>
      <c r="BU68" s="276">
        <v>42200</v>
      </c>
      <c r="BV68" s="284">
        <v>20.505327224731445</v>
      </c>
      <c r="BW68" s="276">
        <v>42200</v>
      </c>
      <c r="BX68" s="284">
        <v>67.792000000000002</v>
      </c>
      <c r="BY68" s="276">
        <v>42200</v>
      </c>
      <c r="BZ68" s="272"/>
      <c r="CA68" s="272"/>
      <c r="CB68" s="272"/>
      <c r="CC68" s="272"/>
      <c r="CD68" s="269">
        <v>7.8</v>
      </c>
      <c r="CE68" s="274">
        <v>42191</v>
      </c>
      <c r="CF68" s="272"/>
      <c r="CG68" s="272"/>
      <c r="CH68" s="272"/>
      <c r="CI68" s="272"/>
      <c r="CJ68" s="272"/>
      <c r="CK68" s="272"/>
      <c r="CL68" s="272"/>
      <c r="CM68" s="278">
        <v>1</v>
      </c>
      <c r="CN68" s="276">
        <v>42180</v>
      </c>
      <c r="CO68" s="272" t="s">
        <v>8447</v>
      </c>
    </row>
    <row r="69" spans="1:93" ht="15" customHeight="1">
      <c r="A69" s="124" t="s">
        <v>7655</v>
      </c>
      <c r="B69" s="124" t="s">
        <v>7504</v>
      </c>
      <c r="C69" s="268" t="s">
        <v>267</v>
      </c>
      <c r="D69" s="257">
        <v>4</v>
      </c>
      <c r="E69" s="183">
        <v>69</v>
      </c>
      <c r="F69" s="257">
        <v>22</v>
      </c>
      <c r="G69" s="257">
        <v>28</v>
      </c>
      <c r="J69" s="265"/>
      <c r="L69" s="257">
        <v>1</v>
      </c>
      <c r="N69" s="257">
        <v>2.63</v>
      </c>
      <c r="O69" s="159">
        <v>42191</v>
      </c>
      <c r="T69" s="257">
        <v>7.13</v>
      </c>
      <c r="U69" s="256">
        <v>42200</v>
      </c>
      <c r="V69" s="145">
        <v>18.5</v>
      </c>
      <c r="W69" s="159">
        <v>42191</v>
      </c>
      <c r="AD69" s="145">
        <f>(N69/V69)*(((100-CD69)/100)*((100-2)/100))*100</f>
        <v>12.45511135135135</v>
      </c>
      <c r="AF69" s="257">
        <v>14.24</v>
      </c>
      <c r="AG69" s="159">
        <v>42191</v>
      </c>
      <c r="AJ69" s="257">
        <v>115</v>
      </c>
      <c r="AN69" s="257">
        <v>103</v>
      </c>
      <c r="BB69" s="257">
        <v>9</v>
      </c>
      <c r="BN69" s="251">
        <v>64.486000000000004</v>
      </c>
      <c r="BO69" s="256">
        <v>42200</v>
      </c>
      <c r="BT69" s="251">
        <v>50.089000701904297</v>
      </c>
      <c r="BU69" s="256">
        <v>42200</v>
      </c>
      <c r="BV69" s="251">
        <v>17.178546905517578</v>
      </c>
      <c r="BW69" s="256">
        <v>42200</v>
      </c>
      <c r="BX69" s="251">
        <v>18.370999999999999</v>
      </c>
      <c r="BY69" s="256">
        <v>42200</v>
      </c>
      <c r="CD69" s="257">
        <v>10.6</v>
      </c>
      <c r="CE69" s="159">
        <v>42191</v>
      </c>
      <c r="CM69" s="255">
        <v>3</v>
      </c>
      <c r="CN69" s="256">
        <v>42180</v>
      </c>
      <c r="CO69" s="140" t="s">
        <v>8447</v>
      </c>
    </row>
    <row r="70" spans="1:93" ht="15" customHeight="1">
      <c r="A70" s="124" t="s">
        <v>7607</v>
      </c>
      <c r="B70" s="124" t="s">
        <v>7462</v>
      </c>
      <c r="C70" s="268" t="s">
        <v>267</v>
      </c>
      <c r="D70" s="257">
        <v>3</v>
      </c>
      <c r="E70" s="183">
        <v>21</v>
      </c>
      <c r="F70" s="257">
        <v>17</v>
      </c>
      <c r="G70" s="257">
        <v>19</v>
      </c>
      <c r="J70" s="283"/>
      <c r="L70" s="257">
        <v>9</v>
      </c>
      <c r="N70" s="257">
        <v>2.6</v>
      </c>
      <c r="O70" s="159">
        <v>42191</v>
      </c>
      <c r="P70" s="144"/>
      <c r="R70" s="145"/>
      <c r="T70" s="257">
        <v>6.84</v>
      </c>
      <c r="U70" s="256">
        <v>42200</v>
      </c>
      <c r="V70" s="145">
        <v>18.5</v>
      </c>
      <c r="W70" s="159">
        <v>42191</v>
      </c>
      <c r="X70" s="145"/>
      <c r="Z70" s="145"/>
      <c r="AB70" s="145"/>
      <c r="AD70" s="145">
        <f>(N70/V70)*(((100-CD70)/100)*((100-2)/100))*100</f>
        <v>12.767545945945946</v>
      </c>
      <c r="AF70" s="257">
        <v>14.6</v>
      </c>
      <c r="AG70" s="159">
        <v>42191</v>
      </c>
      <c r="AJ70" s="257">
        <v>120</v>
      </c>
      <c r="AL70" s="145"/>
      <c r="AN70" s="257">
        <v>107</v>
      </c>
      <c r="BB70" s="257">
        <v>7</v>
      </c>
      <c r="BN70" s="251">
        <v>65.766000000000005</v>
      </c>
      <c r="BO70" s="256">
        <v>42200</v>
      </c>
      <c r="BT70" s="251">
        <v>46.864730834960938</v>
      </c>
      <c r="BU70" s="256">
        <v>42200</v>
      </c>
      <c r="BV70" s="251">
        <v>20.18629264831543</v>
      </c>
      <c r="BW70" s="256">
        <v>42200</v>
      </c>
      <c r="BX70" s="251">
        <v>57.003999999999998</v>
      </c>
      <c r="BY70" s="256">
        <v>42200</v>
      </c>
      <c r="CD70" s="257">
        <v>7.3</v>
      </c>
      <c r="CE70" s="159">
        <v>42191</v>
      </c>
      <c r="CM70" s="255">
        <v>5</v>
      </c>
      <c r="CN70" s="256">
        <v>42180</v>
      </c>
      <c r="CO70" s="140" t="s">
        <v>8447</v>
      </c>
    </row>
    <row r="71" spans="1:93" ht="15" customHeight="1">
      <c r="A71" s="124" t="s">
        <v>7655</v>
      </c>
      <c r="B71" s="124" t="s">
        <v>7504</v>
      </c>
      <c r="C71" s="268" t="s">
        <v>267</v>
      </c>
      <c r="D71" s="257">
        <v>3</v>
      </c>
      <c r="E71" s="183">
        <v>69</v>
      </c>
      <c r="F71" s="257">
        <v>15</v>
      </c>
      <c r="G71" s="257">
        <v>14</v>
      </c>
      <c r="J71" s="265"/>
      <c r="L71" s="257">
        <v>5</v>
      </c>
      <c r="N71" s="257">
        <v>2.61</v>
      </c>
      <c r="O71" s="159">
        <v>42191</v>
      </c>
      <c r="T71" s="257">
        <v>7.33</v>
      </c>
      <c r="U71" s="256">
        <v>42200</v>
      </c>
      <c r="V71" s="145">
        <v>18.5</v>
      </c>
      <c r="W71" s="159">
        <v>42191</v>
      </c>
      <c r="AD71" s="145">
        <f>(N71/V71)*(((100-CD71)/100)*((100-2)/100))*100</f>
        <v>12.775174054054053</v>
      </c>
      <c r="AF71" s="257">
        <v>14.6</v>
      </c>
      <c r="AG71" s="159">
        <v>42191</v>
      </c>
      <c r="AJ71" s="257">
        <v>100</v>
      </c>
      <c r="AN71" s="257">
        <v>101</v>
      </c>
      <c r="BB71" s="257">
        <v>9</v>
      </c>
      <c r="BN71" s="251">
        <v>64.671000000000006</v>
      </c>
      <c r="BO71" s="256">
        <v>42200</v>
      </c>
      <c r="BT71" s="251">
        <v>50.183616638183594</v>
      </c>
      <c r="BU71" s="256">
        <v>42200</v>
      </c>
      <c r="BV71" s="251">
        <v>18.733182907104492</v>
      </c>
      <c r="BW71" s="256">
        <v>42200</v>
      </c>
      <c r="BX71" s="251">
        <v>19.920000000000002</v>
      </c>
      <c r="BY71" s="256">
        <v>42200</v>
      </c>
      <c r="CD71" s="257">
        <v>7.6</v>
      </c>
      <c r="CE71" s="159">
        <v>42191</v>
      </c>
      <c r="CM71" s="255">
        <v>3</v>
      </c>
      <c r="CN71" s="256">
        <v>42180</v>
      </c>
      <c r="CO71" s="140" t="s">
        <v>8447</v>
      </c>
    </row>
    <row r="72" spans="1:93" ht="15" customHeight="1">
      <c r="A72" s="137" t="s">
        <v>8467</v>
      </c>
      <c r="B72" s="124" t="s">
        <v>8490</v>
      </c>
      <c r="C72" s="268" t="s">
        <v>267</v>
      </c>
      <c r="D72" s="269">
        <v>3</v>
      </c>
      <c r="E72" s="280">
        <v>18</v>
      </c>
      <c r="F72" s="269"/>
      <c r="G72" s="269"/>
      <c r="H72" s="271">
        <v>15</v>
      </c>
      <c r="I72" s="271">
        <v>3</v>
      </c>
      <c r="J72" s="285"/>
      <c r="K72" s="273"/>
      <c r="L72" s="269">
        <v>9</v>
      </c>
      <c r="M72" s="274"/>
      <c r="N72" s="269">
        <v>2.6</v>
      </c>
      <c r="O72" s="274">
        <v>42191</v>
      </c>
      <c r="P72" s="272"/>
      <c r="Q72" s="274"/>
      <c r="R72" s="275"/>
      <c r="S72" s="274"/>
      <c r="T72" s="269">
        <v>6.52</v>
      </c>
      <c r="U72" s="276">
        <v>42200</v>
      </c>
      <c r="V72" s="275">
        <v>18.5</v>
      </c>
      <c r="W72" s="274">
        <v>42191</v>
      </c>
      <c r="X72" s="275"/>
      <c r="Y72" s="274"/>
      <c r="Z72" s="275"/>
      <c r="AA72" s="274"/>
      <c r="AB72" s="275"/>
      <c r="AC72" s="274"/>
      <c r="AD72" s="145">
        <f>(N72/V72)*(((100-CD72)/100)*((100-2)/100))*100</f>
        <v>12.795091891891893</v>
      </c>
      <c r="AE72" s="274"/>
      <c r="AF72" s="269">
        <v>14.63</v>
      </c>
      <c r="AG72" s="274">
        <v>42191</v>
      </c>
      <c r="AH72" s="274"/>
      <c r="AI72" s="274"/>
      <c r="AJ72" s="269">
        <v>115</v>
      </c>
      <c r="AK72" s="274"/>
      <c r="AL72" s="275"/>
      <c r="AM72" s="274"/>
      <c r="AN72" s="269">
        <v>103</v>
      </c>
      <c r="AO72" s="274"/>
      <c r="AP72" s="275"/>
      <c r="AQ72" s="275"/>
      <c r="AR72" s="275"/>
      <c r="AS72" s="275"/>
      <c r="AT72" s="275"/>
      <c r="AU72" s="275"/>
      <c r="AV72" s="275"/>
      <c r="AW72" s="275"/>
      <c r="AX72" s="275"/>
      <c r="AY72" s="275"/>
      <c r="AZ72" s="275"/>
      <c r="BA72" s="275"/>
      <c r="BB72" s="269">
        <v>5</v>
      </c>
      <c r="BC72" s="275"/>
      <c r="BD72" s="275"/>
      <c r="BE72" s="275"/>
      <c r="BF72" s="272"/>
      <c r="BG72" s="272"/>
      <c r="BH72" s="272"/>
      <c r="BI72" s="272"/>
      <c r="BJ72" s="272"/>
      <c r="BK72" s="272"/>
      <c r="BL72" s="272"/>
      <c r="BM72" s="272"/>
      <c r="BN72" s="284">
        <v>64.882000000000005</v>
      </c>
      <c r="BO72" s="276">
        <v>42200</v>
      </c>
      <c r="BP72" s="272"/>
      <c r="BQ72" s="272"/>
      <c r="BR72" s="272"/>
      <c r="BS72" s="272"/>
      <c r="BT72" s="284">
        <v>44.6</v>
      </c>
      <c r="BU72" s="276">
        <v>42200</v>
      </c>
      <c r="BV72" s="284">
        <v>21.899236679077148</v>
      </c>
      <c r="BW72" s="276">
        <v>42200</v>
      </c>
      <c r="BX72" s="284">
        <v>66.028999999999996</v>
      </c>
      <c r="BY72" s="276">
        <v>42200</v>
      </c>
      <c r="BZ72" s="272"/>
      <c r="CA72" s="272"/>
      <c r="CB72" s="272"/>
      <c r="CC72" s="272"/>
      <c r="CD72" s="269">
        <v>7.1</v>
      </c>
      <c r="CE72" s="274">
        <v>42191</v>
      </c>
      <c r="CF72" s="272"/>
      <c r="CG72" s="272"/>
      <c r="CH72" s="272"/>
      <c r="CI72" s="272"/>
      <c r="CJ72" s="272"/>
      <c r="CK72" s="272"/>
      <c r="CL72" s="272"/>
      <c r="CM72" s="278">
        <v>5</v>
      </c>
      <c r="CN72" s="276">
        <v>42180</v>
      </c>
      <c r="CO72" s="272" t="s">
        <v>8447</v>
      </c>
    </row>
    <row r="73" spans="1:93" ht="15" customHeight="1">
      <c r="A73" s="124" t="s">
        <v>7708</v>
      </c>
      <c r="B73" s="124" t="s">
        <v>7783</v>
      </c>
      <c r="C73" s="268" t="s">
        <v>267</v>
      </c>
      <c r="D73" s="257">
        <v>4</v>
      </c>
      <c r="E73" s="183">
        <v>122</v>
      </c>
      <c r="F73" s="257">
        <v>24</v>
      </c>
      <c r="G73" s="257">
        <v>7</v>
      </c>
      <c r="J73" s="265"/>
      <c r="L73" s="257">
        <v>9</v>
      </c>
      <c r="N73" s="257">
        <v>2.62</v>
      </c>
      <c r="O73" s="159">
        <v>42191</v>
      </c>
      <c r="T73" s="257">
        <v>7.25</v>
      </c>
      <c r="U73" s="256">
        <v>42200</v>
      </c>
      <c r="V73" s="145">
        <v>18.5</v>
      </c>
      <c r="W73" s="159">
        <v>42191</v>
      </c>
      <c r="AD73" s="145">
        <f>(N73/V73)*(((100-CD73)/100)*((100-2)/100))*100</f>
        <v>12.837999999999999</v>
      </c>
      <c r="AF73" s="257">
        <v>14.68</v>
      </c>
      <c r="AG73" s="159">
        <v>42191</v>
      </c>
      <c r="AJ73" s="257">
        <v>135</v>
      </c>
      <c r="AN73" s="257">
        <v>107</v>
      </c>
      <c r="BB73" s="257">
        <v>5</v>
      </c>
      <c r="BN73" s="251">
        <v>61.25</v>
      </c>
      <c r="BO73" s="256">
        <v>42200</v>
      </c>
      <c r="BT73" s="251">
        <v>49.411231994628906</v>
      </c>
      <c r="BU73" s="256">
        <v>42200</v>
      </c>
      <c r="BV73" s="251">
        <v>18.570632934570313</v>
      </c>
      <c r="BW73" s="256">
        <v>42200</v>
      </c>
      <c r="BX73" s="251">
        <v>68.340999999999994</v>
      </c>
      <c r="BY73" s="256">
        <v>42200</v>
      </c>
      <c r="CD73" s="257">
        <v>7.5</v>
      </c>
      <c r="CE73" s="159">
        <v>42191</v>
      </c>
      <c r="CM73" s="255">
        <v>5</v>
      </c>
      <c r="CN73" s="256">
        <v>42180</v>
      </c>
      <c r="CO73" s="140" t="s">
        <v>8447</v>
      </c>
    </row>
    <row r="74" spans="1:93" ht="15" customHeight="1">
      <c r="A74" s="137" t="s">
        <v>8463</v>
      </c>
      <c r="B74" s="124" t="s">
        <v>8486</v>
      </c>
      <c r="C74" s="268" t="s">
        <v>269</v>
      </c>
      <c r="D74" s="269">
        <v>2</v>
      </c>
      <c r="E74" s="280">
        <v>14</v>
      </c>
      <c r="F74" s="269"/>
      <c r="G74" s="269"/>
      <c r="H74" s="271">
        <v>7</v>
      </c>
      <c r="I74" s="271">
        <v>1</v>
      </c>
      <c r="J74" s="285"/>
      <c r="K74" s="273"/>
      <c r="L74" s="269">
        <v>7</v>
      </c>
      <c r="M74" s="274"/>
      <c r="N74" s="269">
        <v>2.61</v>
      </c>
      <c r="O74" s="274">
        <v>42191</v>
      </c>
      <c r="P74" s="272"/>
      <c r="Q74" s="274"/>
      <c r="R74" s="275"/>
      <c r="S74" s="274"/>
      <c r="T74" s="269">
        <v>7.01</v>
      </c>
      <c r="U74" s="276">
        <v>42200</v>
      </c>
      <c r="V74" s="275">
        <v>18.5</v>
      </c>
      <c r="W74" s="274">
        <v>42191</v>
      </c>
      <c r="X74" s="275"/>
      <c r="Y74" s="274"/>
      <c r="Z74" s="275"/>
      <c r="AA74" s="274"/>
      <c r="AB74" s="275"/>
      <c r="AC74" s="274"/>
      <c r="AD74" s="145">
        <f>(N74/V74)*(((100-CD74)/100)*((100-2)/100))*100</f>
        <v>12.871955675675675</v>
      </c>
      <c r="AE74" s="274"/>
      <c r="AF74" s="269">
        <v>14.71</v>
      </c>
      <c r="AG74" s="274">
        <v>42191</v>
      </c>
      <c r="AH74" s="274"/>
      <c r="AI74" s="274"/>
      <c r="AJ74" s="269">
        <v>125</v>
      </c>
      <c r="AK74" s="274"/>
      <c r="AL74" s="275"/>
      <c r="AM74" s="274"/>
      <c r="AN74" s="269">
        <v>95</v>
      </c>
      <c r="AO74" s="274"/>
      <c r="AP74" s="275"/>
      <c r="AQ74" s="275"/>
      <c r="AR74" s="275"/>
      <c r="AS74" s="275"/>
      <c r="AT74" s="275"/>
      <c r="AU74" s="275"/>
      <c r="AV74" s="275"/>
      <c r="AW74" s="275"/>
      <c r="AX74" s="275"/>
      <c r="AY74" s="275"/>
      <c r="AZ74" s="275"/>
      <c r="BA74" s="275"/>
      <c r="BB74" s="269">
        <v>5</v>
      </c>
      <c r="BC74" s="275"/>
      <c r="BD74" s="275"/>
      <c r="BE74" s="275"/>
      <c r="BF74" s="272"/>
      <c r="BG74" s="272"/>
      <c r="BH74" s="272"/>
      <c r="BI74" s="272"/>
      <c r="BJ74" s="272"/>
      <c r="BK74" s="272"/>
      <c r="BL74" s="272"/>
      <c r="BM74" s="272"/>
      <c r="BN74" s="284">
        <v>62.877000000000002</v>
      </c>
      <c r="BO74" s="276">
        <v>42200</v>
      </c>
      <c r="BP74" s="272"/>
      <c r="BQ74" s="272"/>
      <c r="BR74" s="272"/>
      <c r="BS74" s="272"/>
      <c r="BT74" s="284">
        <v>47.64</v>
      </c>
      <c r="BU74" s="276">
        <v>42200</v>
      </c>
      <c r="BV74" s="284">
        <v>20.20890998840332</v>
      </c>
      <c r="BW74" s="276">
        <v>42200</v>
      </c>
      <c r="BX74" s="284">
        <v>58.609000000000002</v>
      </c>
      <c r="BY74" s="276">
        <v>42200</v>
      </c>
      <c r="BZ74" s="272"/>
      <c r="CA74" s="272"/>
      <c r="CB74" s="272"/>
      <c r="CC74" s="272"/>
      <c r="CD74" s="269">
        <v>6.9</v>
      </c>
      <c r="CE74" s="274">
        <v>42191</v>
      </c>
      <c r="CF74" s="272"/>
      <c r="CG74" s="272"/>
      <c r="CH74" s="272"/>
      <c r="CI74" s="272"/>
      <c r="CJ74" s="272"/>
      <c r="CK74" s="272"/>
      <c r="CL74" s="272"/>
      <c r="CM74" s="278">
        <v>3</v>
      </c>
      <c r="CN74" s="276">
        <v>42180</v>
      </c>
      <c r="CO74" s="272" t="s">
        <v>8447</v>
      </c>
    </row>
    <row r="75" spans="1:93" ht="15" customHeight="1">
      <c r="A75" s="124" t="s">
        <v>7679</v>
      </c>
      <c r="B75" s="124" t="s">
        <v>7527</v>
      </c>
      <c r="C75" s="268" t="s">
        <v>267</v>
      </c>
      <c r="D75" s="257">
        <v>3</v>
      </c>
      <c r="E75" s="183">
        <v>93</v>
      </c>
      <c r="F75" s="257">
        <v>18</v>
      </c>
      <c r="G75" s="257">
        <v>13</v>
      </c>
      <c r="J75" s="265"/>
      <c r="L75" s="257">
        <v>6</v>
      </c>
      <c r="N75" s="257">
        <v>2.62</v>
      </c>
      <c r="O75" s="159">
        <v>42191</v>
      </c>
      <c r="T75" s="257">
        <v>7.02</v>
      </c>
      <c r="U75" s="256">
        <v>42200</v>
      </c>
      <c r="V75" s="145">
        <v>18.5</v>
      </c>
      <c r="W75" s="159">
        <v>42191</v>
      </c>
      <c r="AD75" s="145">
        <f>(N75/V75)*(((100-CD75)/100)*((100-2)/100))*100</f>
        <v>12.879636756756755</v>
      </c>
      <c r="AF75" s="257">
        <v>14.72</v>
      </c>
      <c r="AG75" s="159">
        <v>42191</v>
      </c>
      <c r="AJ75" s="257">
        <v>105</v>
      </c>
      <c r="AN75" s="257">
        <v>110</v>
      </c>
      <c r="BB75" s="257">
        <v>9</v>
      </c>
      <c r="BN75" s="251">
        <v>66.087999999999994</v>
      </c>
      <c r="BO75" s="256">
        <v>42200</v>
      </c>
      <c r="BT75" s="251">
        <v>47.724010467529297</v>
      </c>
      <c r="BU75" s="256">
        <v>42200</v>
      </c>
      <c r="BV75" s="251">
        <v>17.76997184753418</v>
      </c>
      <c r="BW75" s="256">
        <v>42200</v>
      </c>
      <c r="BX75" s="251">
        <v>13.576000000000001</v>
      </c>
      <c r="BY75" s="256">
        <v>42200</v>
      </c>
      <c r="CD75" s="257">
        <v>7.2</v>
      </c>
      <c r="CE75" s="159">
        <v>42191</v>
      </c>
      <c r="CM75" s="255">
        <v>3</v>
      </c>
      <c r="CN75" s="256">
        <v>42180</v>
      </c>
      <c r="CO75" s="140" t="s">
        <v>8447</v>
      </c>
    </row>
    <row r="76" spans="1:93" ht="15" customHeight="1">
      <c r="A76" s="124" t="s">
        <v>7614</v>
      </c>
      <c r="B76" s="124" t="s">
        <v>7468</v>
      </c>
      <c r="C76" s="268" t="s">
        <v>267</v>
      </c>
      <c r="D76" s="257">
        <v>3</v>
      </c>
      <c r="E76" s="183">
        <v>28</v>
      </c>
      <c r="F76" s="257">
        <v>18</v>
      </c>
      <c r="G76" s="257">
        <v>16</v>
      </c>
      <c r="J76" s="265"/>
      <c r="L76" s="257">
        <v>8</v>
      </c>
      <c r="N76" s="257">
        <v>2.61</v>
      </c>
      <c r="O76" s="159">
        <v>42191</v>
      </c>
      <c r="T76" s="257">
        <v>7.27</v>
      </c>
      <c r="U76" s="256">
        <v>42200</v>
      </c>
      <c r="V76" s="145">
        <v>18.5</v>
      </c>
      <c r="W76" s="159">
        <v>42191</v>
      </c>
      <c r="AD76" s="145">
        <f>(N76/V76)*(((100-CD76)/100)*((100-2)/100))*100</f>
        <v>12.885781621621623</v>
      </c>
      <c r="AF76" s="257">
        <v>14.73</v>
      </c>
      <c r="AG76" s="159">
        <v>42191</v>
      </c>
      <c r="AJ76" s="257">
        <v>120</v>
      </c>
      <c r="AN76" s="257">
        <v>100</v>
      </c>
      <c r="BB76" s="257">
        <v>7</v>
      </c>
      <c r="BN76" s="251">
        <v>61.606999999999999</v>
      </c>
      <c r="BO76" s="256">
        <v>42200</v>
      </c>
      <c r="BT76" s="251">
        <v>49.325702667236328</v>
      </c>
      <c r="BU76" s="256">
        <v>42200</v>
      </c>
      <c r="BV76" s="251">
        <v>18.737766265869141</v>
      </c>
      <c r="BW76" s="256">
        <v>42200</v>
      </c>
      <c r="BX76" s="251">
        <v>66.272000000000006</v>
      </c>
      <c r="BY76" s="256">
        <v>42200</v>
      </c>
      <c r="CD76" s="257">
        <v>6.8</v>
      </c>
      <c r="CE76" s="159">
        <v>42191</v>
      </c>
      <c r="CM76" s="255">
        <v>7</v>
      </c>
      <c r="CN76" s="256">
        <v>42180</v>
      </c>
      <c r="CO76" s="140" t="s">
        <v>8447</v>
      </c>
    </row>
    <row r="77" spans="1:93" ht="15" customHeight="1">
      <c r="A77" s="124" t="s">
        <v>7689</v>
      </c>
      <c r="B77" s="124" t="s">
        <v>7536</v>
      </c>
      <c r="C77" s="268" t="s">
        <v>267</v>
      </c>
      <c r="D77" s="257">
        <v>4</v>
      </c>
      <c r="E77" s="183">
        <v>103</v>
      </c>
      <c r="F77" s="257">
        <v>23</v>
      </c>
      <c r="G77" s="257">
        <v>28</v>
      </c>
      <c r="J77" s="265"/>
      <c r="L77" s="257">
        <v>3</v>
      </c>
      <c r="N77" s="257">
        <v>2.75</v>
      </c>
      <c r="O77" s="159">
        <v>42191</v>
      </c>
      <c r="T77" s="257">
        <v>7.59</v>
      </c>
      <c r="U77" s="256">
        <v>42200</v>
      </c>
      <c r="V77" s="145">
        <v>18.5</v>
      </c>
      <c r="W77" s="159">
        <v>42191</v>
      </c>
      <c r="AD77" s="145">
        <f>(N77/V77)*(((100-CD77)/100)*((100-2)/100))*100</f>
        <v>12.950567567567568</v>
      </c>
      <c r="AF77" s="257">
        <v>14.8</v>
      </c>
      <c r="AG77" s="159">
        <v>42191</v>
      </c>
      <c r="AJ77" s="257">
        <v>120</v>
      </c>
      <c r="AN77" s="257">
        <v>103</v>
      </c>
      <c r="BB77" s="257">
        <v>7</v>
      </c>
      <c r="BN77" s="251">
        <v>64.686000000000007</v>
      </c>
      <c r="BO77" s="256">
        <v>42200</v>
      </c>
      <c r="BT77" s="251">
        <v>51.258335113525391</v>
      </c>
      <c r="BU77" s="256">
        <v>42200</v>
      </c>
      <c r="BV77" s="251">
        <v>17.111293792724609</v>
      </c>
      <c r="BW77" s="256">
        <v>42200</v>
      </c>
      <c r="BX77" s="251">
        <v>14.513999999999999</v>
      </c>
      <c r="BY77" s="256">
        <v>42200</v>
      </c>
      <c r="CD77" s="257">
        <v>11.1</v>
      </c>
      <c r="CE77" s="159">
        <v>42191</v>
      </c>
      <c r="CM77" s="255">
        <v>3</v>
      </c>
      <c r="CN77" s="256">
        <v>42180</v>
      </c>
      <c r="CO77" s="140" t="s">
        <v>8447</v>
      </c>
    </row>
    <row r="78" spans="1:93" ht="15" customHeight="1">
      <c r="A78" s="124" t="s">
        <v>7588</v>
      </c>
      <c r="B78" s="124" t="s">
        <v>7768</v>
      </c>
      <c r="C78" s="268" t="s">
        <v>269</v>
      </c>
      <c r="D78" s="257">
        <v>2</v>
      </c>
      <c r="E78" s="183">
        <v>2</v>
      </c>
      <c r="F78" s="257">
        <v>8</v>
      </c>
      <c r="G78" s="257">
        <v>12</v>
      </c>
      <c r="J78" s="283"/>
      <c r="L78" s="257">
        <v>9</v>
      </c>
      <c r="N78" s="257">
        <v>2.64</v>
      </c>
      <c r="O78" s="159">
        <v>42191</v>
      </c>
      <c r="P78" s="144"/>
      <c r="R78" s="145"/>
      <c r="T78" s="257">
        <v>7.36</v>
      </c>
      <c r="U78" s="256">
        <v>42200</v>
      </c>
      <c r="V78" s="145">
        <v>18.5</v>
      </c>
      <c r="W78" s="159">
        <v>42191</v>
      </c>
      <c r="X78" s="145"/>
      <c r="Z78" s="145"/>
      <c r="AB78" s="145"/>
      <c r="AD78" s="145">
        <f>(N78/V78)*(((100-CD78)/100)*((100-2)/100))*100</f>
        <v>13.033894054054057</v>
      </c>
      <c r="AF78" s="257">
        <v>14.9</v>
      </c>
      <c r="AG78" s="159">
        <v>42191</v>
      </c>
      <c r="AJ78" s="257">
        <v>175</v>
      </c>
      <c r="AL78" s="145"/>
      <c r="AN78" s="257">
        <v>106</v>
      </c>
      <c r="BB78" s="257">
        <v>5</v>
      </c>
      <c r="BN78" s="251">
        <v>66.384</v>
      </c>
      <c r="BO78" s="256">
        <v>42200</v>
      </c>
      <c r="BT78" s="251">
        <v>49.370933532714844</v>
      </c>
      <c r="BU78" s="256">
        <v>42200</v>
      </c>
      <c r="BV78" s="251">
        <v>19.035717010498047</v>
      </c>
      <c r="BW78" s="256">
        <v>42200</v>
      </c>
      <c r="BX78" s="251">
        <v>63.014000000000003</v>
      </c>
      <c r="BY78" s="256">
        <v>42200</v>
      </c>
      <c r="CD78" s="257">
        <v>6.8</v>
      </c>
      <c r="CE78" s="159">
        <v>42191</v>
      </c>
      <c r="CM78" s="255">
        <v>5</v>
      </c>
      <c r="CN78" s="256">
        <v>42180</v>
      </c>
      <c r="CO78" s="140" t="s">
        <v>8448</v>
      </c>
    </row>
    <row r="79" spans="1:93" ht="15" customHeight="1">
      <c r="A79" s="137" t="s">
        <v>8464</v>
      </c>
      <c r="B79" s="124" t="s">
        <v>8487</v>
      </c>
      <c r="C79" s="268" t="s">
        <v>269</v>
      </c>
      <c r="D79" s="269">
        <v>2</v>
      </c>
      <c r="E79" s="280">
        <v>15</v>
      </c>
      <c r="F79" s="269"/>
      <c r="G79" s="269"/>
      <c r="H79" s="271">
        <v>10</v>
      </c>
      <c r="I79" s="271">
        <v>3</v>
      </c>
      <c r="J79" s="285"/>
      <c r="K79" s="273"/>
      <c r="L79" s="269">
        <v>8</v>
      </c>
      <c r="M79" s="274"/>
      <c r="N79" s="269">
        <v>2.67</v>
      </c>
      <c r="O79" s="274">
        <v>42191</v>
      </c>
      <c r="P79" s="272"/>
      <c r="Q79" s="274"/>
      <c r="R79" s="275"/>
      <c r="S79" s="274"/>
      <c r="T79" s="269">
        <v>7.19</v>
      </c>
      <c r="U79" s="276">
        <v>42200</v>
      </c>
      <c r="V79" s="275">
        <v>18.5</v>
      </c>
      <c r="W79" s="274">
        <v>42191</v>
      </c>
      <c r="X79" s="275"/>
      <c r="Y79" s="274"/>
      <c r="Z79" s="275"/>
      <c r="AA79" s="274"/>
      <c r="AB79" s="275"/>
      <c r="AC79" s="274"/>
      <c r="AD79" s="145">
        <f>(N79/V79)*(((100-CD79)/100)*((100-2)/100))*100</f>
        <v>13.097143783783782</v>
      </c>
      <c r="AE79" s="274"/>
      <c r="AF79" s="269">
        <v>14.97</v>
      </c>
      <c r="AG79" s="274">
        <v>42191</v>
      </c>
      <c r="AH79" s="274"/>
      <c r="AI79" s="274"/>
      <c r="AJ79" s="269">
        <v>125</v>
      </c>
      <c r="AK79" s="274"/>
      <c r="AL79" s="275"/>
      <c r="AM79" s="274"/>
      <c r="AN79" s="269">
        <v>101</v>
      </c>
      <c r="AO79" s="274"/>
      <c r="AP79" s="275"/>
      <c r="AQ79" s="275"/>
      <c r="AR79" s="275"/>
      <c r="AS79" s="275"/>
      <c r="AT79" s="275"/>
      <c r="AU79" s="275"/>
      <c r="AV79" s="275"/>
      <c r="AW79" s="275"/>
      <c r="AX79" s="275"/>
      <c r="AY79" s="275"/>
      <c r="AZ79" s="275"/>
      <c r="BA79" s="275"/>
      <c r="BB79" s="269">
        <v>7</v>
      </c>
      <c r="BC79" s="275"/>
      <c r="BD79" s="275"/>
      <c r="BE79" s="275"/>
      <c r="BF79" s="272"/>
      <c r="BG79" s="272"/>
      <c r="BH79" s="272"/>
      <c r="BI79" s="272"/>
      <c r="BJ79" s="272"/>
      <c r="BK79" s="272"/>
      <c r="BL79" s="272"/>
      <c r="BM79" s="272"/>
      <c r="BN79" s="284">
        <v>63.353999999999999</v>
      </c>
      <c r="BO79" s="276">
        <v>42200</v>
      </c>
      <c r="BP79" s="272"/>
      <c r="BQ79" s="272"/>
      <c r="BR79" s="272"/>
      <c r="BS79" s="272"/>
      <c r="BT79" s="284">
        <v>48.04</v>
      </c>
      <c r="BU79" s="276">
        <v>42200</v>
      </c>
      <c r="BV79" s="284">
        <v>21.736404418945313</v>
      </c>
      <c r="BW79" s="276">
        <v>42200</v>
      </c>
      <c r="BX79" s="284">
        <v>84.370999999999995</v>
      </c>
      <c r="BY79" s="276">
        <v>42200</v>
      </c>
      <c r="BZ79" s="272"/>
      <c r="CA79" s="272"/>
      <c r="CB79" s="272"/>
      <c r="CC79" s="272"/>
      <c r="CD79" s="269">
        <v>7.4</v>
      </c>
      <c r="CE79" s="274">
        <v>42191</v>
      </c>
      <c r="CF79" s="272"/>
      <c r="CG79" s="272"/>
      <c r="CH79" s="272"/>
      <c r="CI79" s="272"/>
      <c r="CJ79" s="272"/>
      <c r="CK79" s="272"/>
      <c r="CL79" s="272"/>
      <c r="CM79" s="278">
        <v>3</v>
      </c>
      <c r="CN79" s="276">
        <v>42180</v>
      </c>
      <c r="CO79" s="272" t="s">
        <v>8447</v>
      </c>
    </row>
    <row r="80" spans="1:93" ht="15" customHeight="1">
      <c r="A80" s="124" t="s">
        <v>7705</v>
      </c>
      <c r="B80" s="124" t="s">
        <v>7780</v>
      </c>
      <c r="C80" s="268" t="s">
        <v>267</v>
      </c>
      <c r="D80" s="257">
        <v>3</v>
      </c>
      <c r="E80" s="183">
        <v>119</v>
      </c>
      <c r="F80" s="257">
        <v>14</v>
      </c>
      <c r="G80" s="257">
        <v>26</v>
      </c>
      <c r="J80" s="265"/>
      <c r="L80" s="257">
        <v>5</v>
      </c>
      <c r="N80" s="257">
        <v>2.67</v>
      </c>
      <c r="O80" s="159">
        <v>42191</v>
      </c>
      <c r="T80" s="257">
        <v>7.2</v>
      </c>
      <c r="U80" s="256">
        <v>42200</v>
      </c>
      <c r="V80" s="145">
        <v>18.5</v>
      </c>
      <c r="W80" s="159">
        <v>42191</v>
      </c>
      <c r="AD80" s="145">
        <f>(N80/V80)*(((100-CD80)/100)*((100-2)/100))*100</f>
        <v>13.153718918918919</v>
      </c>
      <c r="AF80" s="257">
        <v>15.04</v>
      </c>
      <c r="AG80" s="159">
        <v>42191</v>
      </c>
      <c r="AJ80" s="257">
        <v>135</v>
      </c>
      <c r="AN80" s="257">
        <v>109</v>
      </c>
      <c r="BB80" s="257">
        <v>7</v>
      </c>
      <c r="BN80" s="251">
        <v>64.992999999999995</v>
      </c>
      <c r="BO80" s="256">
        <v>42200</v>
      </c>
      <c r="BT80" s="251">
        <v>47.838932037353516</v>
      </c>
      <c r="BU80" s="256">
        <v>42200</v>
      </c>
      <c r="BV80" s="251">
        <v>19.538213729858398</v>
      </c>
      <c r="BW80" s="256">
        <v>42200</v>
      </c>
      <c r="BX80" s="251">
        <v>48.094999999999999</v>
      </c>
      <c r="BY80" s="256">
        <v>42200</v>
      </c>
      <c r="CD80" s="257">
        <v>7</v>
      </c>
      <c r="CE80" s="159">
        <v>42191</v>
      </c>
      <c r="CM80" s="255">
        <v>5</v>
      </c>
      <c r="CN80" s="256">
        <v>42180</v>
      </c>
      <c r="CO80" s="140" t="s">
        <v>8447</v>
      </c>
    </row>
    <row r="81" spans="1:93" ht="15" customHeight="1">
      <c r="A81" s="124" t="s">
        <v>7704</v>
      </c>
      <c r="B81" s="124" t="s">
        <v>7779</v>
      </c>
      <c r="C81" s="268" t="s">
        <v>267</v>
      </c>
      <c r="D81" s="257">
        <v>4</v>
      </c>
      <c r="E81" s="183">
        <v>118</v>
      </c>
      <c r="F81" s="257">
        <v>23</v>
      </c>
      <c r="G81" s="257">
        <v>19</v>
      </c>
      <c r="J81" s="265"/>
      <c r="L81" s="257">
        <v>7</v>
      </c>
      <c r="N81" s="257">
        <v>2.68</v>
      </c>
      <c r="O81" s="159">
        <v>42191</v>
      </c>
      <c r="T81" s="257">
        <v>7.05</v>
      </c>
      <c r="U81" s="256">
        <v>42200</v>
      </c>
      <c r="V81" s="145">
        <v>18.5</v>
      </c>
      <c r="W81" s="159">
        <v>42191</v>
      </c>
      <c r="AD81" s="145">
        <f>(N81/V81)*(((100-CD81)/100)*((100-2)/100))*100</f>
        <v>13.17459027027027</v>
      </c>
      <c r="AF81" s="257">
        <v>15.06</v>
      </c>
      <c r="AG81" s="159">
        <v>42191</v>
      </c>
      <c r="AJ81" s="257">
        <v>115</v>
      </c>
      <c r="AN81" s="257">
        <v>105</v>
      </c>
      <c r="BB81" s="257">
        <v>7</v>
      </c>
      <c r="BN81" s="251">
        <v>66.600999999999999</v>
      </c>
      <c r="BO81" s="256">
        <v>42200</v>
      </c>
      <c r="BT81" s="251">
        <v>46.817707061767578</v>
      </c>
      <c r="BU81" s="256">
        <v>42200</v>
      </c>
      <c r="BV81" s="251">
        <v>20.302371978759766</v>
      </c>
      <c r="BW81" s="256">
        <v>42200</v>
      </c>
      <c r="BX81" s="251">
        <v>63.173999999999999</v>
      </c>
      <c r="BY81" s="256">
        <v>42200</v>
      </c>
      <c r="CD81" s="257">
        <v>7.2</v>
      </c>
      <c r="CE81" s="159">
        <v>42191</v>
      </c>
      <c r="CM81" s="255">
        <v>5</v>
      </c>
      <c r="CN81" s="256">
        <v>42180</v>
      </c>
      <c r="CO81" s="140" t="s">
        <v>8447</v>
      </c>
    </row>
    <row r="82" spans="1:93" ht="15" customHeight="1">
      <c r="A82" s="124" t="s">
        <v>7607</v>
      </c>
      <c r="B82" s="161" t="s">
        <v>7462</v>
      </c>
      <c r="C82" s="268" t="s">
        <v>267</v>
      </c>
      <c r="D82" s="257">
        <v>4</v>
      </c>
      <c r="E82" s="183">
        <v>21</v>
      </c>
      <c r="F82" s="257">
        <v>24</v>
      </c>
      <c r="G82" s="257">
        <v>6</v>
      </c>
      <c r="J82" s="283"/>
      <c r="L82" s="257">
        <v>9</v>
      </c>
      <c r="N82" s="257">
        <v>2.7</v>
      </c>
      <c r="O82" s="159">
        <v>42191</v>
      </c>
      <c r="P82" s="144"/>
      <c r="R82" s="145"/>
      <c r="T82" s="257">
        <v>7.53</v>
      </c>
      <c r="U82" s="256">
        <v>42200</v>
      </c>
      <c r="V82" s="145">
        <v>18.5</v>
      </c>
      <c r="W82" s="159">
        <v>42191</v>
      </c>
      <c r="X82" s="145"/>
      <c r="Z82" s="145"/>
      <c r="AB82" s="145"/>
      <c r="AD82" s="145">
        <f>(N82/V82)*(((100-CD82)/100)*((100-2)/100))*100</f>
        <v>13.215697297297298</v>
      </c>
      <c r="AF82" s="257">
        <v>15.11</v>
      </c>
      <c r="AG82" s="159">
        <v>42191</v>
      </c>
      <c r="AJ82" s="257">
        <v>140</v>
      </c>
      <c r="AL82" s="145"/>
      <c r="AN82" s="257">
        <v>107</v>
      </c>
      <c r="BB82" s="257">
        <v>7</v>
      </c>
      <c r="BN82" s="251">
        <v>68.028000000000006</v>
      </c>
      <c r="BO82" s="256">
        <v>42200</v>
      </c>
      <c r="BT82" s="251">
        <v>49.848049163818359</v>
      </c>
      <c r="BU82" s="256">
        <v>42200</v>
      </c>
      <c r="BV82" s="251">
        <v>18.88585090637207</v>
      </c>
      <c r="BW82" s="256">
        <v>42200</v>
      </c>
      <c r="BX82" s="251">
        <v>62.402999999999999</v>
      </c>
      <c r="BY82" s="256">
        <v>42200</v>
      </c>
      <c r="CD82" s="257">
        <v>7.6</v>
      </c>
      <c r="CE82" s="159">
        <v>42191</v>
      </c>
      <c r="CM82" s="255">
        <v>5</v>
      </c>
      <c r="CN82" s="256">
        <v>42180</v>
      </c>
      <c r="CO82" s="140" t="s">
        <v>8447</v>
      </c>
    </row>
    <row r="83" spans="1:93" ht="15" customHeight="1">
      <c r="A83" s="137" t="s">
        <v>8453</v>
      </c>
      <c r="B83" s="161" t="s">
        <v>8476</v>
      </c>
      <c r="C83" s="268" t="s">
        <v>269</v>
      </c>
      <c r="D83" s="269">
        <v>2</v>
      </c>
      <c r="E83" s="280">
        <v>4</v>
      </c>
      <c r="F83" s="269"/>
      <c r="G83" s="269"/>
      <c r="H83" s="271">
        <v>8</v>
      </c>
      <c r="I83" s="271">
        <v>1</v>
      </c>
      <c r="J83" s="285"/>
      <c r="K83" s="273"/>
      <c r="L83" s="269">
        <v>9</v>
      </c>
      <c r="M83" s="274"/>
      <c r="N83" s="269">
        <v>2.7</v>
      </c>
      <c r="O83" s="274">
        <v>42191</v>
      </c>
      <c r="P83" s="272"/>
      <c r="Q83" s="274"/>
      <c r="R83" s="275"/>
      <c r="S83" s="274"/>
      <c r="T83" s="269">
        <v>7.42</v>
      </c>
      <c r="U83" s="276">
        <v>42200</v>
      </c>
      <c r="V83" s="275">
        <v>18.5</v>
      </c>
      <c r="W83" s="274">
        <v>42191</v>
      </c>
      <c r="X83" s="275"/>
      <c r="Y83" s="274"/>
      <c r="Z83" s="275"/>
      <c r="AA83" s="274"/>
      <c r="AB83" s="275"/>
      <c r="AC83" s="274"/>
      <c r="AD83" s="145">
        <f>(N83/V83)*(((100-CD83)/100)*((100-2)/100))*100</f>
        <v>13.272908108108108</v>
      </c>
      <c r="AE83" s="274"/>
      <c r="AF83" s="269">
        <v>15.17</v>
      </c>
      <c r="AG83" s="274">
        <v>42191</v>
      </c>
      <c r="AH83" s="274"/>
      <c r="AI83" s="274"/>
      <c r="AJ83" s="269">
        <v>140</v>
      </c>
      <c r="AK83" s="274"/>
      <c r="AL83" s="275"/>
      <c r="AM83" s="274"/>
      <c r="AN83" s="269">
        <v>98</v>
      </c>
      <c r="AO83" s="274"/>
      <c r="AP83" s="275"/>
      <c r="AQ83" s="275"/>
      <c r="AR83" s="275"/>
      <c r="AS83" s="275"/>
      <c r="AT83" s="275"/>
      <c r="AU83" s="275"/>
      <c r="AV83" s="275"/>
      <c r="AW83" s="275"/>
      <c r="AX83" s="275"/>
      <c r="AY83" s="275"/>
      <c r="AZ83" s="275"/>
      <c r="BA83" s="275"/>
      <c r="BB83" s="269">
        <v>5</v>
      </c>
      <c r="BC83" s="275"/>
      <c r="BD83" s="275"/>
      <c r="BE83" s="275"/>
      <c r="BF83" s="272"/>
      <c r="BG83" s="272"/>
      <c r="BH83" s="272"/>
      <c r="BI83" s="272"/>
      <c r="BJ83" s="272"/>
      <c r="BK83" s="272"/>
      <c r="BL83" s="272"/>
      <c r="BM83" s="272"/>
      <c r="BN83" s="284">
        <v>64.816999999999993</v>
      </c>
      <c r="BO83" s="276">
        <v>42200</v>
      </c>
      <c r="BP83" s="272"/>
      <c r="BQ83" s="272"/>
      <c r="BR83" s="272"/>
      <c r="BS83" s="272"/>
      <c r="BT83" s="284">
        <v>48.92</v>
      </c>
      <c r="BU83" s="276">
        <v>42200</v>
      </c>
      <c r="BV83" s="284">
        <v>19.982833862304688</v>
      </c>
      <c r="BW83" s="276">
        <v>42200</v>
      </c>
      <c r="BX83" s="284">
        <v>56.741</v>
      </c>
      <c r="BY83" s="276">
        <v>42200</v>
      </c>
      <c r="BZ83" s="272"/>
      <c r="CA83" s="272"/>
      <c r="CB83" s="272"/>
      <c r="CC83" s="272"/>
      <c r="CD83" s="269">
        <v>7.2</v>
      </c>
      <c r="CE83" s="274">
        <v>42191</v>
      </c>
      <c r="CF83" s="272"/>
      <c r="CG83" s="272"/>
      <c r="CH83" s="272"/>
      <c r="CI83" s="272"/>
      <c r="CJ83" s="272"/>
      <c r="CK83" s="272"/>
      <c r="CL83" s="272"/>
      <c r="CM83" s="278">
        <v>5</v>
      </c>
      <c r="CN83" s="276">
        <v>42180</v>
      </c>
      <c r="CO83" s="272" t="s">
        <v>8447</v>
      </c>
    </row>
    <row r="84" spans="1:93" ht="15" customHeight="1">
      <c r="A84" s="124" t="s">
        <v>7703</v>
      </c>
      <c r="B84" s="161" t="s">
        <v>7778</v>
      </c>
      <c r="C84" s="268" t="s">
        <v>267</v>
      </c>
      <c r="D84" s="257">
        <v>4</v>
      </c>
      <c r="E84" s="183">
        <v>117</v>
      </c>
      <c r="F84" s="257">
        <v>24</v>
      </c>
      <c r="G84" s="257">
        <v>21</v>
      </c>
      <c r="J84" s="265"/>
      <c r="L84" s="257">
        <v>7</v>
      </c>
      <c r="N84" s="257">
        <v>2.68</v>
      </c>
      <c r="O84" s="159">
        <v>42191</v>
      </c>
      <c r="T84" s="257">
        <v>7.56</v>
      </c>
      <c r="U84" s="256">
        <v>42200</v>
      </c>
      <c r="V84" s="145">
        <v>18.5</v>
      </c>
      <c r="W84" s="159">
        <v>42191</v>
      </c>
      <c r="AD84" s="145">
        <f>(N84/V84)*(((100-CD84)/100)*((100-2)/100))*100</f>
        <v>13.273967567567569</v>
      </c>
      <c r="AF84" s="257">
        <v>15.17</v>
      </c>
      <c r="AG84" s="159">
        <v>42191</v>
      </c>
      <c r="AJ84" s="257">
        <v>150</v>
      </c>
      <c r="AN84" s="257">
        <v>110</v>
      </c>
      <c r="BB84" s="257">
        <v>9</v>
      </c>
      <c r="BN84" s="251">
        <v>66.31</v>
      </c>
      <c r="BO84" s="256">
        <v>42200</v>
      </c>
      <c r="BT84" s="251">
        <v>49.863357543945313</v>
      </c>
      <c r="BU84" s="256">
        <v>42200</v>
      </c>
      <c r="BV84" s="251">
        <v>21.489660263061523</v>
      </c>
      <c r="BW84" s="256">
        <v>42200</v>
      </c>
      <c r="BX84" s="251">
        <v>64.483999999999995</v>
      </c>
      <c r="BY84" s="256">
        <v>42200</v>
      </c>
      <c r="CD84" s="257">
        <v>6.5</v>
      </c>
      <c r="CE84" s="159">
        <v>42191</v>
      </c>
      <c r="CM84" s="255">
        <v>5</v>
      </c>
      <c r="CN84" s="256">
        <v>42180</v>
      </c>
      <c r="CO84" s="140" t="s">
        <v>8447</v>
      </c>
    </row>
    <row r="85" spans="1:93" ht="15" customHeight="1">
      <c r="A85" s="137" t="s">
        <v>8472</v>
      </c>
      <c r="B85" s="161" t="s">
        <v>8495</v>
      </c>
      <c r="C85" s="268" t="s">
        <v>267</v>
      </c>
      <c r="D85" s="269">
        <v>4</v>
      </c>
      <c r="E85" s="280">
        <v>23</v>
      </c>
      <c r="F85" s="269"/>
      <c r="G85" s="269"/>
      <c r="H85" s="271">
        <v>19</v>
      </c>
      <c r="I85" s="271">
        <v>2</v>
      </c>
      <c r="J85" s="285"/>
      <c r="K85" s="273"/>
      <c r="L85" s="269">
        <v>8</v>
      </c>
      <c r="M85" s="274"/>
      <c r="N85" s="269">
        <v>2.75</v>
      </c>
      <c r="O85" s="274">
        <v>42191</v>
      </c>
      <c r="P85" s="272"/>
      <c r="Q85" s="274"/>
      <c r="R85" s="275"/>
      <c r="S85" s="274"/>
      <c r="T85" s="269">
        <v>7.01</v>
      </c>
      <c r="U85" s="276">
        <v>42200</v>
      </c>
      <c r="V85" s="275">
        <v>18.5</v>
      </c>
      <c r="W85" s="274">
        <v>42191</v>
      </c>
      <c r="X85" s="275"/>
      <c r="Y85" s="274"/>
      <c r="Z85" s="275"/>
      <c r="AA85" s="274"/>
      <c r="AB85" s="275"/>
      <c r="AC85" s="274"/>
      <c r="AD85" s="145">
        <f>(N85/V85)*(((100-CD85)/100)*((100-2)/100))*100</f>
        <v>13.373027027027026</v>
      </c>
      <c r="AE85" s="274"/>
      <c r="AF85" s="269">
        <v>15.29</v>
      </c>
      <c r="AG85" s="274">
        <v>42191</v>
      </c>
      <c r="AH85" s="274"/>
      <c r="AI85" s="274"/>
      <c r="AJ85" s="269">
        <v>140</v>
      </c>
      <c r="AK85" s="274"/>
      <c r="AL85" s="275"/>
      <c r="AM85" s="274"/>
      <c r="AN85" s="269">
        <v>106</v>
      </c>
      <c r="AO85" s="274"/>
      <c r="AP85" s="275"/>
      <c r="AQ85" s="275"/>
      <c r="AR85" s="275"/>
      <c r="AS85" s="275"/>
      <c r="AT85" s="275"/>
      <c r="AU85" s="275"/>
      <c r="AV85" s="275"/>
      <c r="AW85" s="275"/>
      <c r="AX85" s="275"/>
      <c r="AY85" s="275"/>
      <c r="AZ85" s="275"/>
      <c r="BA85" s="275"/>
      <c r="BB85" s="269">
        <v>5</v>
      </c>
      <c r="BC85" s="275"/>
      <c r="BD85" s="275"/>
      <c r="BE85" s="275"/>
      <c r="BF85" s="272"/>
      <c r="BG85" s="272"/>
      <c r="BH85" s="272"/>
      <c r="BI85" s="272"/>
      <c r="BJ85" s="272"/>
      <c r="BK85" s="272"/>
      <c r="BL85" s="272"/>
      <c r="BM85" s="272"/>
      <c r="BN85" s="284">
        <v>61.015999999999998</v>
      </c>
      <c r="BO85" s="276">
        <v>42200</v>
      </c>
      <c r="BP85" s="272"/>
      <c r="BQ85" s="272"/>
      <c r="BR85" s="272"/>
      <c r="BS85" s="272"/>
      <c r="BT85" s="284">
        <v>45.84</v>
      </c>
      <c r="BU85" s="276">
        <v>42200</v>
      </c>
      <c r="BV85" s="284">
        <v>20.115787506103516</v>
      </c>
      <c r="BW85" s="276">
        <v>42200</v>
      </c>
      <c r="BX85" s="284">
        <v>68.209000000000003</v>
      </c>
      <c r="BY85" s="276">
        <v>42200</v>
      </c>
      <c r="BZ85" s="272"/>
      <c r="CA85" s="272"/>
      <c r="CB85" s="272"/>
      <c r="CC85" s="272"/>
      <c r="CD85" s="269">
        <v>8.1999999999999993</v>
      </c>
      <c r="CE85" s="274">
        <v>42191</v>
      </c>
      <c r="CF85" s="272"/>
      <c r="CG85" s="272"/>
      <c r="CH85" s="272"/>
      <c r="CI85" s="272"/>
      <c r="CJ85" s="272"/>
      <c r="CK85" s="272"/>
      <c r="CL85" s="272"/>
      <c r="CM85" s="278">
        <v>3</v>
      </c>
      <c r="CN85" s="276">
        <v>42180</v>
      </c>
      <c r="CO85" s="272" t="s">
        <v>8447</v>
      </c>
    </row>
    <row r="86" spans="1:93" ht="15" customHeight="1">
      <c r="A86" s="124" t="s">
        <v>7614</v>
      </c>
      <c r="B86" s="161" t="s">
        <v>7468</v>
      </c>
      <c r="C86" s="268" t="s">
        <v>267</v>
      </c>
      <c r="D86" s="257">
        <v>4</v>
      </c>
      <c r="E86" s="183">
        <v>28</v>
      </c>
      <c r="F86" s="257">
        <v>19</v>
      </c>
      <c r="G86" s="257">
        <v>23</v>
      </c>
      <c r="J86" s="265"/>
      <c r="L86" s="257">
        <v>7</v>
      </c>
      <c r="N86" s="257">
        <v>2.73</v>
      </c>
      <c r="O86" s="159">
        <v>42191</v>
      </c>
      <c r="T86" s="257">
        <v>7.2</v>
      </c>
      <c r="U86" s="256">
        <v>42200</v>
      </c>
      <c r="V86" s="145">
        <v>18.5</v>
      </c>
      <c r="W86" s="159">
        <v>42191</v>
      </c>
      <c r="AD86" s="145">
        <f>(N86/V86)*(((100-CD86)/100)*((100-2)/100))*100</f>
        <v>13.377000000000001</v>
      </c>
      <c r="AF86" s="257">
        <v>15.29</v>
      </c>
      <c r="AG86" s="159">
        <v>42191</v>
      </c>
      <c r="AJ86" s="257">
        <v>105</v>
      </c>
      <c r="AN86" s="257">
        <v>101</v>
      </c>
      <c r="BB86" s="257">
        <v>7</v>
      </c>
      <c r="BN86" s="251">
        <v>61.45</v>
      </c>
      <c r="BO86" s="256">
        <v>42200</v>
      </c>
      <c r="BT86" s="251">
        <v>47.084754943847656</v>
      </c>
      <c r="BU86" s="256">
        <v>42200</v>
      </c>
      <c r="BV86" s="251">
        <v>19.408140182495117</v>
      </c>
      <c r="BW86" s="256">
        <v>42200</v>
      </c>
      <c r="BX86" s="251">
        <v>51.758000000000003</v>
      </c>
      <c r="BY86" s="256">
        <v>42200</v>
      </c>
      <c r="CD86" s="257">
        <v>7.5</v>
      </c>
      <c r="CE86" s="159">
        <v>42191</v>
      </c>
      <c r="CM86" s="255">
        <v>5</v>
      </c>
      <c r="CN86" s="256">
        <v>42180</v>
      </c>
      <c r="CO86" s="140" t="s">
        <v>8447</v>
      </c>
    </row>
    <row r="87" spans="1:93" ht="15" customHeight="1">
      <c r="A87" s="124" t="s">
        <v>7601</v>
      </c>
      <c r="B87" s="161" t="s">
        <v>7457</v>
      </c>
      <c r="C87" s="268" t="s">
        <v>269</v>
      </c>
      <c r="D87" s="257">
        <v>2</v>
      </c>
      <c r="E87" s="183">
        <v>15</v>
      </c>
      <c r="F87" s="257">
        <v>11</v>
      </c>
      <c r="G87" s="257">
        <v>8</v>
      </c>
      <c r="J87" s="283"/>
      <c r="L87" s="257">
        <v>9</v>
      </c>
      <c r="N87" s="257">
        <v>2.71</v>
      </c>
      <c r="O87" s="159">
        <v>42191</v>
      </c>
      <c r="P87" s="144"/>
      <c r="R87" s="145"/>
      <c r="T87" s="257">
        <v>7.7</v>
      </c>
      <c r="U87" s="256">
        <v>42200</v>
      </c>
      <c r="V87" s="145">
        <v>18.5</v>
      </c>
      <c r="W87" s="159">
        <v>42191</v>
      </c>
      <c r="X87" s="145"/>
      <c r="Z87" s="145"/>
      <c r="AB87" s="145"/>
      <c r="AD87" s="145">
        <f>(N87/V87)*(((100-CD87)/100)*((100-2)/100))*100</f>
        <v>13.393845405405406</v>
      </c>
      <c r="AF87" s="257">
        <v>15.31</v>
      </c>
      <c r="AG87" s="159">
        <v>42191</v>
      </c>
      <c r="AJ87" s="257">
        <v>135</v>
      </c>
      <c r="AL87" s="145"/>
      <c r="AN87" s="257">
        <v>107</v>
      </c>
      <c r="BB87" s="257">
        <v>9</v>
      </c>
      <c r="BN87" s="251">
        <v>65.340999999999994</v>
      </c>
      <c r="BO87" s="256">
        <v>42200</v>
      </c>
      <c r="BT87" s="251">
        <v>50.312545776367188</v>
      </c>
      <c r="BU87" s="256">
        <v>42200</v>
      </c>
      <c r="BV87" s="251">
        <v>19.005525588989258</v>
      </c>
      <c r="BW87" s="256">
        <v>42200</v>
      </c>
      <c r="BX87" s="251">
        <v>63.94</v>
      </c>
      <c r="BY87" s="256">
        <v>42200</v>
      </c>
      <c r="CD87" s="257">
        <v>6.7</v>
      </c>
      <c r="CE87" s="159">
        <v>42191</v>
      </c>
      <c r="CM87" s="255">
        <v>3</v>
      </c>
      <c r="CN87" s="256">
        <v>42180</v>
      </c>
      <c r="CO87" s="140" t="s">
        <v>8448</v>
      </c>
    </row>
    <row r="88" spans="1:93" ht="15" customHeight="1">
      <c r="A88" s="124" t="s">
        <v>7695</v>
      </c>
      <c r="B88" s="161" t="s">
        <v>7541</v>
      </c>
      <c r="C88" s="268" t="s">
        <v>267</v>
      </c>
      <c r="D88" s="257">
        <v>3</v>
      </c>
      <c r="E88" s="183">
        <v>109</v>
      </c>
      <c r="F88" s="257">
        <v>17</v>
      </c>
      <c r="G88" s="257">
        <v>28</v>
      </c>
      <c r="J88" s="265"/>
      <c r="L88" s="257">
        <v>3</v>
      </c>
      <c r="N88" s="257">
        <v>2.72</v>
      </c>
      <c r="O88" s="159">
        <v>42191</v>
      </c>
      <c r="T88" s="257">
        <v>7.36</v>
      </c>
      <c r="U88" s="256">
        <v>42200</v>
      </c>
      <c r="V88" s="145">
        <v>18.5</v>
      </c>
      <c r="W88" s="159">
        <v>42191</v>
      </c>
      <c r="AD88" s="145">
        <f>(N88/V88)*(((100-CD88)/100)*((100-2)/100))*100</f>
        <v>13.400043243243243</v>
      </c>
      <c r="AF88" s="257">
        <v>15.32</v>
      </c>
      <c r="AG88" s="159">
        <v>42191</v>
      </c>
      <c r="AJ88" s="257">
        <v>130</v>
      </c>
      <c r="AN88" s="257">
        <v>109</v>
      </c>
      <c r="BB88" s="257">
        <v>7</v>
      </c>
      <c r="BN88" s="251">
        <v>64.641000000000005</v>
      </c>
      <c r="BO88" s="256">
        <v>42200</v>
      </c>
      <c r="BT88" s="251">
        <v>48.014266967773437</v>
      </c>
      <c r="BU88" s="256">
        <v>42200</v>
      </c>
      <c r="BV88" s="251">
        <v>18.721267700195313</v>
      </c>
      <c r="BW88" s="256">
        <v>42200</v>
      </c>
      <c r="BX88" s="251">
        <v>15.722</v>
      </c>
      <c r="BY88" s="256">
        <v>42200</v>
      </c>
      <c r="CD88" s="257">
        <v>7</v>
      </c>
      <c r="CE88" s="159">
        <v>42191</v>
      </c>
      <c r="CM88" s="255">
        <v>5</v>
      </c>
      <c r="CN88" s="256">
        <v>42180</v>
      </c>
      <c r="CO88" s="140" t="s">
        <v>8447</v>
      </c>
    </row>
    <row r="89" spans="1:93" ht="15" customHeight="1">
      <c r="A89" s="137" t="s">
        <v>8453</v>
      </c>
      <c r="B89" s="161" t="s">
        <v>8476</v>
      </c>
      <c r="C89" s="268" t="s">
        <v>267</v>
      </c>
      <c r="D89" s="269">
        <v>4</v>
      </c>
      <c r="E89" s="280">
        <v>4</v>
      </c>
      <c r="F89" s="269"/>
      <c r="G89" s="269"/>
      <c r="H89" s="271">
        <v>24</v>
      </c>
      <c r="I89" s="271">
        <v>1</v>
      </c>
      <c r="J89" s="285"/>
      <c r="K89" s="273"/>
      <c r="L89" s="269">
        <v>9</v>
      </c>
      <c r="M89" s="274"/>
      <c r="N89" s="269">
        <v>2.77</v>
      </c>
      <c r="O89" s="274">
        <v>42191</v>
      </c>
      <c r="P89" s="272"/>
      <c r="Q89" s="274"/>
      <c r="R89" s="275"/>
      <c r="S89" s="274"/>
      <c r="T89" s="269">
        <v>7.36</v>
      </c>
      <c r="U89" s="276">
        <v>42200</v>
      </c>
      <c r="V89" s="275">
        <v>18.5</v>
      </c>
      <c r="W89" s="274">
        <v>42191</v>
      </c>
      <c r="X89" s="275"/>
      <c r="Y89" s="274"/>
      <c r="Z89" s="275"/>
      <c r="AA89" s="274"/>
      <c r="AB89" s="275"/>
      <c r="AC89" s="274"/>
      <c r="AD89" s="145">
        <f>(N89/V89)*(((100-CD89)/100)*((100-2)/100))*100</f>
        <v>13.426264864864864</v>
      </c>
      <c r="AE89" s="274"/>
      <c r="AF89" s="269">
        <v>15.35</v>
      </c>
      <c r="AG89" s="274">
        <v>42191</v>
      </c>
      <c r="AH89" s="274"/>
      <c r="AI89" s="274"/>
      <c r="AJ89" s="269">
        <v>135</v>
      </c>
      <c r="AK89" s="274"/>
      <c r="AL89" s="275"/>
      <c r="AM89" s="274"/>
      <c r="AN89" s="269">
        <v>100</v>
      </c>
      <c r="AO89" s="274"/>
      <c r="AP89" s="275"/>
      <c r="AQ89" s="275"/>
      <c r="AR89" s="275"/>
      <c r="AS89" s="275"/>
      <c r="AT89" s="275"/>
      <c r="AU89" s="275"/>
      <c r="AV89" s="275"/>
      <c r="AW89" s="275"/>
      <c r="AX89" s="275"/>
      <c r="AY89" s="275"/>
      <c r="AZ89" s="275"/>
      <c r="BA89" s="275"/>
      <c r="BB89" s="269">
        <v>5</v>
      </c>
      <c r="BC89" s="275"/>
      <c r="BD89" s="275"/>
      <c r="BE89" s="275"/>
      <c r="BF89" s="272"/>
      <c r="BG89" s="272"/>
      <c r="BH89" s="272"/>
      <c r="BI89" s="272"/>
      <c r="BJ89" s="272"/>
      <c r="BK89" s="272"/>
      <c r="BL89" s="272"/>
      <c r="BM89" s="272"/>
      <c r="BN89" s="284">
        <v>65.736999999999995</v>
      </c>
      <c r="BO89" s="276">
        <v>42200</v>
      </c>
      <c r="BP89" s="272"/>
      <c r="BQ89" s="272"/>
      <c r="BR89" s="272"/>
      <c r="BS89" s="272"/>
      <c r="BT89" s="284">
        <v>47.94</v>
      </c>
      <c r="BU89" s="276">
        <v>42200</v>
      </c>
      <c r="BV89" s="284">
        <v>20.304605484008789</v>
      </c>
      <c r="BW89" s="276">
        <v>42200</v>
      </c>
      <c r="BX89" s="284">
        <v>62.386000000000003</v>
      </c>
      <c r="BY89" s="276">
        <v>42200</v>
      </c>
      <c r="BZ89" s="272"/>
      <c r="CA89" s="272"/>
      <c r="CB89" s="272"/>
      <c r="CC89" s="272"/>
      <c r="CD89" s="269">
        <v>8.5</v>
      </c>
      <c r="CE89" s="274">
        <v>42191</v>
      </c>
      <c r="CF89" s="272"/>
      <c r="CG89" s="272"/>
      <c r="CH89" s="272"/>
      <c r="CI89" s="272"/>
      <c r="CJ89" s="272"/>
      <c r="CK89" s="272"/>
      <c r="CL89" s="272"/>
      <c r="CM89" s="278">
        <v>3</v>
      </c>
      <c r="CN89" s="276">
        <v>42180</v>
      </c>
      <c r="CO89" s="272" t="s">
        <v>8447</v>
      </c>
    </row>
    <row r="90" spans="1:93" ht="15" customHeight="1">
      <c r="A90" s="137" t="s">
        <v>8459</v>
      </c>
      <c r="B90" s="161" t="s">
        <v>8482</v>
      </c>
      <c r="C90" s="268" t="s">
        <v>267</v>
      </c>
      <c r="D90" s="269">
        <v>3</v>
      </c>
      <c r="E90" s="280">
        <v>10</v>
      </c>
      <c r="F90" s="269"/>
      <c r="G90" s="269"/>
      <c r="H90" s="271">
        <v>15</v>
      </c>
      <c r="I90" s="271">
        <v>2</v>
      </c>
      <c r="J90" s="285"/>
      <c r="K90" s="273"/>
      <c r="L90" s="269">
        <v>9</v>
      </c>
      <c r="M90" s="274"/>
      <c r="N90" s="269">
        <v>2.75</v>
      </c>
      <c r="O90" s="274">
        <v>42191</v>
      </c>
      <c r="P90" s="272"/>
      <c r="Q90" s="274"/>
      <c r="R90" s="275"/>
      <c r="S90" s="274"/>
      <c r="T90" s="269">
        <v>6.62</v>
      </c>
      <c r="U90" s="276">
        <v>42200</v>
      </c>
      <c r="V90" s="275">
        <v>18.5</v>
      </c>
      <c r="W90" s="274">
        <v>42191</v>
      </c>
      <c r="X90" s="275"/>
      <c r="Y90" s="274"/>
      <c r="Z90" s="275"/>
      <c r="AA90" s="274"/>
      <c r="AB90" s="275"/>
      <c r="AC90" s="274"/>
      <c r="AD90" s="145">
        <f>(N90/V90)*(((100-CD90)/100)*((100-2)/100))*100</f>
        <v>13.431297297297299</v>
      </c>
      <c r="AE90" s="274"/>
      <c r="AF90" s="269">
        <v>15.35</v>
      </c>
      <c r="AG90" s="274">
        <v>42191</v>
      </c>
      <c r="AH90" s="274"/>
      <c r="AI90" s="274"/>
      <c r="AJ90" s="269">
        <v>145</v>
      </c>
      <c r="AK90" s="274"/>
      <c r="AL90" s="275"/>
      <c r="AM90" s="274"/>
      <c r="AN90" s="269">
        <v>105</v>
      </c>
      <c r="AO90" s="274"/>
      <c r="AP90" s="275"/>
      <c r="AQ90" s="275"/>
      <c r="AR90" s="275"/>
      <c r="AS90" s="275"/>
      <c r="AT90" s="275"/>
      <c r="AU90" s="275"/>
      <c r="AV90" s="275"/>
      <c r="AW90" s="275"/>
      <c r="AX90" s="275"/>
      <c r="AY90" s="275"/>
      <c r="AZ90" s="275"/>
      <c r="BA90" s="275"/>
      <c r="BB90" s="269">
        <v>1</v>
      </c>
      <c r="BC90" s="275"/>
      <c r="BD90" s="275"/>
      <c r="BE90" s="275"/>
      <c r="BF90" s="272"/>
      <c r="BG90" s="272"/>
      <c r="BH90" s="272"/>
      <c r="BI90" s="272"/>
      <c r="BJ90" s="272"/>
      <c r="BK90" s="272"/>
      <c r="BL90" s="272"/>
      <c r="BM90" s="272"/>
      <c r="BN90" s="284">
        <v>62.747999999999998</v>
      </c>
      <c r="BO90" s="276">
        <v>42200</v>
      </c>
      <c r="BP90" s="272"/>
      <c r="BQ90" s="272"/>
      <c r="BR90" s="272"/>
      <c r="BS90" s="272"/>
      <c r="BT90" s="284">
        <v>43.13</v>
      </c>
      <c r="BU90" s="276">
        <v>42200</v>
      </c>
      <c r="BV90" s="284">
        <v>23.197935104370117</v>
      </c>
      <c r="BW90" s="276">
        <v>42200</v>
      </c>
      <c r="BX90" s="284">
        <v>71.542000000000002</v>
      </c>
      <c r="BY90" s="276">
        <v>42200</v>
      </c>
      <c r="BZ90" s="272"/>
      <c r="CA90" s="272"/>
      <c r="CB90" s="272"/>
      <c r="CC90" s="272"/>
      <c r="CD90" s="269">
        <v>7.8</v>
      </c>
      <c r="CE90" s="274">
        <v>42191</v>
      </c>
      <c r="CF90" s="272"/>
      <c r="CG90" s="272"/>
      <c r="CH90" s="272"/>
      <c r="CI90" s="272"/>
      <c r="CJ90" s="272"/>
      <c r="CK90" s="272"/>
      <c r="CL90" s="272"/>
      <c r="CM90" s="278">
        <v>1</v>
      </c>
      <c r="CN90" s="276">
        <v>42180</v>
      </c>
      <c r="CO90" s="272" t="s">
        <v>8447</v>
      </c>
    </row>
    <row r="91" spans="1:93" ht="15" customHeight="1">
      <c r="A91" s="137" t="s">
        <v>8451</v>
      </c>
      <c r="B91" s="161" t="s">
        <v>8474</v>
      </c>
      <c r="C91" s="268" t="s">
        <v>267</v>
      </c>
      <c r="D91" s="269">
        <v>3</v>
      </c>
      <c r="E91" s="280">
        <v>2</v>
      </c>
      <c r="F91" s="269"/>
      <c r="G91" s="269"/>
      <c r="H91" s="271">
        <v>13</v>
      </c>
      <c r="I91" s="271">
        <v>1</v>
      </c>
      <c r="J91" s="285"/>
      <c r="K91" s="273"/>
      <c r="L91" s="269">
        <v>9</v>
      </c>
      <c r="M91" s="274"/>
      <c r="N91" s="269">
        <v>2.75</v>
      </c>
      <c r="O91" s="274">
        <v>42191</v>
      </c>
      <c r="P91" s="272"/>
      <c r="Q91" s="274"/>
      <c r="R91" s="275"/>
      <c r="S91" s="274"/>
      <c r="T91" s="269">
        <v>6.88</v>
      </c>
      <c r="U91" s="276">
        <v>42200</v>
      </c>
      <c r="V91" s="275">
        <v>18.5</v>
      </c>
      <c r="W91" s="274">
        <v>42191</v>
      </c>
      <c r="X91" s="275"/>
      <c r="Y91" s="274"/>
      <c r="Z91" s="275"/>
      <c r="AA91" s="274"/>
      <c r="AB91" s="275"/>
      <c r="AC91" s="274"/>
      <c r="AD91" s="145">
        <f>(N91/V91)*(((100-CD91)/100)*((100-2)/100))*100</f>
        <v>13.460432432432434</v>
      </c>
      <c r="AE91" s="274"/>
      <c r="AF91" s="269">
        <v>15.39</v>
      </c>
      <c r="AG91" s="274">
        <v>42191</v>
      </c>
      <c r="AH91" s="274"/>
      <c r="AI91" s="274"/>
      <c r="AJ91" s="269">
        <v>110</v>
      </c>
      <c r="AK91" s="274"/>
      <c r="AL91" s="275"/>
      <c r="AM91" s="274"/>
      <c r="AN91" s="269">
        <v>100</v>
      </c>
      <c r="AO91" s="274"/>
      <c r="AP91" s="275"/>
      <c r="AQ91" s="275"/>
      <c r="AR91" s="275"/>
      <c r="AS91" s="275"/>
      <c r="AT91" s="275"/>
      <c r="AU91" s="275"/>
      <c r="AV91" s="275"/>
      <c r="AW91" s="275"/>
      <c r="AX91" s="275"/>
      <c r="AY91" s="275"/>
      <c r="AZ91" s="275"/>
      <c r="BA91" s="275"/>
      <c r="BB91" s="269">
        <v>5</v>
      </c>
      <c r="BC91" s="275"/>
      <c r="BD91" s="275"/>
      <c r="BE91" s="275"/>
      <c r="BF91" s="272"/>
      <c r="BG91" s="272"/>
      <c r="BH91" s="272"/>
      <c r="BI91" s="272"/>
      <c r="BJ91" s="272"/>
      <c r="BK91" s="272"/>
      <c r="BL91" s="272"/>
      <c r="BM91" s="272"/>
      <c r="BN91" s="284">
        <v>65.370999999999995</v>
      </c>
      <c r="BO91" s="276">
        <v>42200</v>
      </c>
      <c r="BP91" s="272"/>
      <c r="BQ91" s="272"/>
      <c r="BR91" s="272"/>
      <c r="BS91" s="272"/>
      <c r="BT91" s="284">
        <v>44.7</v>
      </c>
      <c r="BU91" s="276">
        <v>42200</v>
      </c>
      <c r="BV91" s="284">
        <v>21.561805725097656</v>
      </c>
      <c r="BW91" s="276">
        <v>42200</v>
      </c>
      <c r="BX91" s="284">
        <v>56.415999999999997</v>
      </c>
      <c r="BY91" s="276">
        <v>42200</v>
      </c>
      <c r="BZ91" s="272"/>
      <c r="CA91" s="272"/>
      <c r="CB91" s="272"/>
      <c r="CC91" s="272"/>
      <c r="CD91" s="269">
        <v>7.6</v>
      </c>
      <c r="CE91" s="274">
        <v>42191</v>
      </c>
      <c r="CF91" s="272"/>
      <c r="CG91" s="272"/>
      <c r="CH91" s="272"/>
      <c r="CI91" s="272"/>
      <c r="CJ91" s="272"/>
      <c r="CK91" s="272"/>
      <c r="CL91" s="272"/>
      <c r="CM91" s="278">
        <v>5</v>
      </c>
      <c r="CN91" s="276">
        <v>42180</v>
      </c>
      <c r="CO91" s="272" t="s">
        <v>8447</v>
      </c>
    </row>
    <row r="92" spans="1:93" ht="15" customHeight="1">
      <c r="A92" s="124" t="s">
        <v>7714</v>
      </c>
      <c r="B92" s="161" t="s">
        <v>7770</v>
      </c>
      <c r="C92" s="268" t="s">
        <v>269</v>
      </c>
      <c r="D92" s="257">
        <v>2</v>
      </c>
      <c r="E92" s="183">
        <v>128</v>
      </c>
      <c r="F92" s="257">
        <v>8</v>
      </c>
      <c r="G92" s="257">
        <v>9</v>
      </c>
      <c r="J92" s="265"/>
      <c r="L92" s="257">
        <v>9</v>
      </c>
      <c r="N92" s="257">
        <v>2.72</v>
      </c>
      <c r="O92" s="159">
        <v>42191</v>
      </c>
      <c r="T92" s="257">
        <v>8.3699999999999992</v>
      </c>
      <c r="U92" s="256">
        <v>42200</v>
      </c>
      <c r="V92" s="145">
        <v>18.5</v>
      </c>
      <c r="W92" s="159">
        <v>42191</v>
      </c>
      <c r="AD92" s="145">
        <f>(N92/V92)*(((100-CD92)/100)*((100-2)/100))*100</f>
        <v>13.472086486486488</v>
      </c>
      <c r="AF92" s="257">
        <v>15.4</v>
      </c>
      <c r="AG92" s="159">
        <v>42191</v>
      </c>
      <c r="AJ92" s="257">
        <v>175</v>
      </c>
      <c r="AN92" s="257">
        <v>109</v>
      </c>
      <c r="BB92" s="257">
        <v>7</v>
      </c>
      <c r="BN92" s="251">
        <v>66.13</v>
      </c>
      <c r="BO92" s="256">
        <v>42200</v>
      </c>
      <c r="BT92" s="251">
        <v>54.374221801757812</v>
      </c>
      <c r="BU92" s="256">
        <v>42200</v>
      </c>
      <c r="BV92" s="251">
        <v>16.603305816650391</v>
      </c>
      <c r="BW92" s="256">
        <v>42200</v>
      </c>
      <c r="BX92" s="251">
        <v>58.076000000000001</v>
      </c>
      <c r="BY92" s="256">
        <v>42200</v>
      </c>
      <c r="CD92" s="257">
        <v>6.5</v>
      </c>
      <c r="CE92" s="159">
        <v>42191</v>
      </c>
      <c r="CM92" s="255">
        <v>3</v>
      </c>
      <c r="CN92" s="256">
        <v>42180</v>
      </c>
      <c r="CO92" s="140" t="s">
        <v>8448</v>
      </c>
    </row>
    <row r="93" spans="1:93" ht="15" customHeight="1">
      <c r="A93" s="124" t="s">
        <v>7702</v>
      </c>
      <c r="B93" s="161" t="s">
        <v>7777</v>
      </c>
      <c r="C93" s="268" t="s">
        <v>267</v>
      </c>
      <c r="D93" s="257">
        <v>4</v>
      </c>
      <c r="E93" s="183">
        <v>116</v>
      </c>
      <c r="F93" s="257">
        <v>19</v>
      </c>
      <c r="G93" s="257">
        <v>27</v>
      </c>
      <c r="L93" s="257">
        <v>8</v>
      </c>
      <c r="N93" s="257">
        <v>2.73</v>
      </c>
      <c r="O93" s="159">
        <v>42191</v>
      </c>
      <c r="T93" s="257">
        <v>7.5</v>
      </c>
      <c r="U93" s="256">
        <v>42200</v>
      </c>
      <c r="V93" s="145">
        <v>18.5</v>
      </c>
      <c r="W93" s="159">
        <v>42191</v>
      </c>
      <c r="AD93" s="145">
        <f>(N93/V93)*(((100-CD93)/100)*((100-2)/100))*100</f>
        <v>13.478231351351353</v>
      </c>
      <c r="AF93" s="257">
        <v>15.41</v>
      </c>
      <c r="AG93" s="159">
        <v>42191</v>
      </c>
      <c r="AJ93" s="257">
        <v>130</v>
      </c>
      <c r="AN93" s="257">
        <v>107</v>
      </c>
      <c r="BB93" s="257">
        <v>7</v>
      </c>
      <c r="BN93" s="251">
        <v>67.228999999999999</v>
      </c>
      <c r="BO93" s="256">
        <v>42200</v>
      </c>
      <c r="BT93" s="251">
        <v>48.675506591796875</v>
      </c>
      <c r="BU93" s="256">
        <v>42200</v>
      </c>
      <c r="BV93" s="251">
        <v>18.185121536254883</v>
      </c>
      <c r="BW93" s="256">
        <v>42200</v>
      </c>
      <c r="BX93" s="251">
        <v>61.738999999999997</v>
      </c>
      <c r="BY93" s="256">
        <v>42200</v>
      </c>
      <c r="CD93" s="257">
        <v>6.8</v>
      </c>
      <c r="CE93" s="159">
        <v>42191</v>
      </c>
      <c r="CM93" s="255">
        <v>5</v>
      </c>
      <c r="CN93" s="256">
        <v>42180</v>
      </c>
      <c r="CO93" s="140" t="s">
        <v>8447</v>
      </c>
    </row>
    <row r="94" spans="1:93" ht="15" customHeight="1">
      <c r="A94" s="137" t="s">
        <v>8457</v>
      </c>
      <c r="B94" s="161" t="s">
        <v>8480</v>
      </c>
      <c r="C94" s="268" t="s">
        <v>269</v>
      </c>
      <c r="D94" s="269">
        <v>1</v>
      </c>
      <c r="E94" s="280">
        <v>8</v>
      </c>
      <c r="F94" s="269"/>
      <c r="G94" s="269"/>
      <c r="H94" s="271">
        <v>3</v>
      </c>
      <c r="I94" s="271">
        <v>4</v>
      </c>
      <c r="J94" s="282"/>
      <c r="K94" s="273"/>
      <c r="L94" s="269">
        <v>8</v>
      </c>
      <c r="M94" s="274"/>
      <c r="N94" s="269">
        <v>2.76</v>
      </c>
      <c r="O94" s="274">
        <v>42191</v>
      </c>
      <c r="P94" s="272"/>
      <c r="Q94" s="274"/>
      <c r="R94" s="275"/>
      <c r="S94" s="274"/>
      <c r="T94" s="269">
        <v>7.15</v>
      </c>
      <c r="U94" s="276">
        <v>42200</v>
      </c>
      <c r="V94" s="275">
        <v>18.5</v>
      </c>
      <c r="W94" s="274">
        <v>42191</v>
      </c>
      <c r="X94" s="275"/>
      <c r="Y94" s="274"/>
      <c r="Z94" s="275"/>
      <c r="AA94" s="274"/>
      <c r="AB94" s="275"/>
      <c r="AC94" s="274"/>
      <c r="AD94" s="145">
        <f>(N94/V94)*(((100-CD94)/100)*((100-2)/100))*100</f>
        <v>13.509379459459456</v>
      </c>
      <c r="AE94" s="274"/>
      <c r="AF94" s="269">
        <v>15.44</v>
      </c>
      <c r="AG94" s="274">
        <v>42191</v>
      </c>
      <c r="AH94" s="274"/>
      <c r="AI94" s="274"/>
      <c r="AJ94" s="269">
        <v>150</v>
      </c>
      <c r="AK94" s="274"/>
      <c r="AL94" s="275"/>
      <c r="AM94" s="274"/>
      <c r="AN94" s="269">
        <v>105</v>
      </c>
      <c r="AO94" s="274"/>
      <c r="AP94" s="275"/>
      <c r="AQ94" s="275"/>
      <c r="AR94" s="275"/>
      <c r="AS94" s="275"/>
      <c r="AT94" s="275"/>
      <c r="AU94" s="275"/>
      <c r="AV94" s="275"/>
      <c r="AW94" s="275"/>
      <c r="AX94" s="275"/>
      <c r="AY94" s="275"/>
      <c r="AZ94" s="275"/>
      <c r="BA94" s="275"/>
      <c r="BB94" s="269">
        <v>5</v>
      </c>
      <c r="BC94" s="275"/>
      <c r="BD94" s="275"/>
      <c r="BE94" s="275"/>
      <c r="BF94" s="272"/>
      <c r="BG94" s="272"/>
      <c r="BH94" s="272"/>
      <c r="BI94" s="272"/>
      <c r="BJ94" s="272"/>
      <c r="BK94" s="272"/>
      <c r="BL94" s="272"/>
      <c r="BM94" s="272"/>
      <c r="BN94" s="284">
        <v>59.646000000000001</v>
      </c>
      <c r="BO94" s="276">
        <v>42200</v>
      </c>
      <c r="BP94" s="272"/>
      <c r="BQ94" s="272"/>
      <c r="BR94" s="272"/>
      <c r="BS94" s="272"/>
      <c r="BT94" s="284">
        <v>46.33</v>
      </c>
      <c r="BU94" s="276">
        <v>42200</v>
      </c>
      <c r="BV94" s="284">
        <v>22.515121459960938</v>
      </c>
      <c r="BW94" s="276">
        <v>42200</v>
      </c>
      <c r="BX94" s="284">
        <v>65.599999999999994</v>
      </c>
      <c r="BY94" s="276">
        <v>42200</v>
      </c>
      <c r="BZ94" s="272"/>
      <c r="CA94" s="272"/>
      <c r="CB94" s="272"/>
      <c r="CC94" s="272"/>
      <c r="CD94" s="269">
        <v>7.6</v>
      </c>
      <c r="CE94" s="274">
        <v>42191</v>
      </c>
      <c r="CF94" s="272"/>
      <c r="CG94" s="272"/>
      <c r="CH94" s="272"/>
      <c r="CI94" s="272"/>
      <c r="CJ94" s="272"/>
      <c r="CK94" s="272"/>
      <c r="CL94" s="272"/>
      <c r="CM94" s="278">
        <v>5</v>
      </c>
      <c r="CN94" s="276">
        <v>42180</v>
      </c>
      <c r="CO94" s="272" t="s">
        <v>8447</v>
      </c>
    </row>
    <row r="95" spans="1:93" ht="15" customHeight="1">
      <c r="A95" s="124" t="s">
        <v>7702</v>
      </c>
      <c r="B95" s="161" t="s">
        <v>7777</v>
      </c>
      <c r="C95" s="268" t="s">
        <v>267</v>
      </c>
      <c r="D95" s="257">
        <v>3</v>
      </c>
      <c r="E95" s="183">
        <v>116</v>
      </c>
      <c r="F95" s="257">
        <v>17</v>
      </c>
      <c r="G95" s="257">
        <v>4</v>
      </c>
      <c r="L95" s="257">
        <v>9</v>
      </c>
      <c r="N95" s="257">
        <v>2.81</v>
      </c>
      <c r="O95" s="159">
        <v>42191</v>
      </c>
      <c r="T95" s="257">
        <v>7.39</v>
      </c>
      <c r="U95" s="256">
        <v>42200</v>
      </c>
      <c r="V95" s="145">
        <v>18.5</v>
      </c>
      <c r="W95" s="159">
        <v>42191</v>
      </c>
      <c r="AD95" s="145">
        <f>(N95/V95)*(((100-CD95)/100)*((100-2)/100))*100</f>
        <v>13.515948108108105</v>
      </c>
      <c r="AF95" s="257">
        <v>15.45</v>
      </c>
      <c r="AG95" s="159">
        <v>42191</v>
      </c>
      <c r="AJ95" s="257">
        <v>120</v>
      </c>
      <c r="AN95" s="257">
        <v>109</v>
      </c>
      <c r="BB95" s="257">
        <v>7</v>
      </c>
      <c r="BN95" s="251">
        <v>66.084999999999994</v>
      </c>
      <c r="BO95" s="256">
        <v>42200</v>
      </c>
      <c r="BT95" s="251">
        <v>47.821861267089844</v>
      </c>
      <c r="BU95" s="256">
        <v>42200</v>
      </c>
      <c r="BV95" s="251">
        <v>17.754234313964844</v>
      </c>
      <c r="BW95" s="256">
        <v>42200</v>
      </c>
      <c r="BX95" s="251">
        <v>58.575000000000003</v>
      </c>
      <c r="BY95" s="256">
        <v>42200</v>
      </c>
      <c r="CD95" s="257">
        <v>9.1999999999999993</v>
      </c>
      <c r="CE95" s="159">
        <v>42191</v>
      </c>
      <c r="CM95" s="255">
        <v>5</v>
      </c>
      <c r="CN95" s="256">
        <v>42180</v>
      </c>
      <c r="CO95" s="140" t="s">
        <v>8447</v>
      </c>
    </row>
    <row r="96" spans="1:93" ht="15" customHeight="1">
      <c r="A96" s="137" t="s">
        <v>8457</v>
      </c>
      <c r="B96" s="161" t="s">
        <v>8480</v>
      </c>
      <c r="C96" s="268" t="s">
        <v>267</v>
      </c>
      <c r="D96" s="269">
        <v>4</v>
      </c>
      <c r="E96" s="280">
        <v>8</v>
      </c>
      <c r="F96" s="269"/>
      <c r="G96" s="269"/>
      <c r="H96" s="271">
        <v>21</v>
      </c>
      <c r="I96" s="271">
        <v>3</v>
      </c>
      <c r="J96" s="282"/>
      <c r="K96" s="273"/>
      <c r="L96" s="269">
        <v>9</v>
      </c>
      <c r="M96" s="274"/>
      <c r="N96" s="269">
        <v>2.78</v>
      </c>
      <c r="O96" s="274">
        <v>42191</v>
      </c>
      <c r="P96" s="272"/>
      <c r="Q96" s="274"/>
      <c r="R96" s="275"/>
      <c r="S96" s="274"/>
      <c r="T96" s="269">
        <v>7.37</v>
      </c>
      <c r="U96" s="276">
        <v>42200</v>
      </c>
      <c r="V96" s="275">
        <v>18.5</v>
      </c>
      <c r="W96" s="274">
        <v>42191</v>
      </c>
      <c r="X96" s="275"/>
      <c r="Y96" s="274"/>
      <c r="Z96" s="275"/>
      <c r="AA96" s="274"/>
      <c r="AB96" s="275"/>
      <c r="AC96" s="274"/>
      <c r="AD96" s="145">
        <f>(N96/V96)*(((100-CD96)/100)*((100-2)/100))*100</f>
        <v>13.592547027027024</v>
      </c>
      <c r="AE96" s="274"/>
      <c r="AF96" s="269">
        <v>15.54</v>
      </c>
      <c r="AG96" s="274">
        <v>42191</v>
      </c>
      <c r="AH96" s="274"/>
      <c r="AI96" s="274"/>
      <c r="AJ96" s="269">
        <v>130</v>
      </c>
      <c r="AK96" s="274"/>
      <c r="AL96" s="275"/>
      <c r="AM96" s="274"/>
      <c r="AN96" s="269">
        <v>106</v>
      </c>
      <c r="AO96" s="274"/>
      <c r="AP96" s="275"/>
      <c r="AQ96" s="275"/>
      <c r="AR96" s="275"/>
      <c r="AS96" s="275"/>
      <c r="AT96" s="275"/>
      <c r="AU96" s="275"/>
      <c r="AV96" s="275"/>
      <c r="AW96" s="275"/>
      <c r="AX96" s="275"/>
      <c r="AY96" s="275"/>
      <c r="AZ96" s="275"/>
      <c r="BA96" s="275"/>
      <c r="BB96" s="269">
        <v>5</v>
      </c>
      <c r="BC96" s="275"/>
      <c r="BD96" s="275"/>
      <c r="BE96" s="275"/>
      <c r="BF96" s="272"/>
      <c r="BG96" s="272"/>
      <c r="BH96" s="272"/>
      <c r="BI96" s="272"/>
      <c r="BJ96" s="272"/>
      <c r="BK96" s="272"/>
      <c r="BL96" s="272"/>
      <c r="BM96" s="272"/>
      <c r="BN96" s="284">
        <v>61.048999999999999</v>
      </c>
      <c r="BO96" s="276">
        <v>42200</v>
      </c>
      <c r="BP96" s="272"/>
      <c r="BQ96" s="272"/>
      <c r="BR96" s="272"/>
      <c r="BS96" s="272"/>
      <c r="BT96" s="284">
        <v>47.4</v>
      </c>
      <c r="BU96" s="276">
        <v>42200</v>
      </c>
      <c r="BV96" s="284">
        <v>21.693105697631836</v>
      </c>
      <c r="BW96" s="276">
        <v>42200</v>
      </c>
      <c r="BX96" s="284">
        <v>68.191000000000003</v>
      </c>
      <c r="BY96" s="276">
        <v>42200</v>
      </c>
      <c r="BZ96" s="272"/>
      <c r="CA96" s="272"/>
      <c r="CB96" s="272"/>
      <c r="CC96" s="272"/>
      <c r="CD96" s="269">
        <v>7.7</v>
      </c>
      <c r="CE96" s="274">
        <v>42191</v>
      </c>
      <c r="CF96" s="272"/>
      <c r="CG96" s="272"/>
      <c r="CH96" s="272"/>
      <c r="CI96" s="272"/>
      <c r="CJ96" s="272"/>
      <c r="CK96" s="272"/>
      <c r="CL96" s="272"/>
      <c r="CM96" s="278">
        <v>5</v>
      </c>
      <c r="CN96" s="276">
        <v>42180</v>
      </c>
      <c r="CO96" s="272" t="s">
        <v>8447</v>
      </c>
    </row>
    <row r="97" spans="1:93" ht="15" customHeight="1">
      <c r="A97" s="124" t="s">
        <v>7599</v>
      </c>
      <c r="B97" s="161" t="s">
        <v>7771</v>
      </c>
      <c r="C97" s="268" t="s">
        <v>267</v>
      </c>
      <c r="D97" s="257">
        <v>4</v>
      </c>
      <c r="E97" s="183">
        <v>13</v>
      </c>
      <c r="F97" s="257">
        <v>22</v>
      </c>
      <c r="G97" s="257">
        <v>5</v>
      </c>
      <c r="J97" s="266"/>
      <c r="L97" s="257">
        <v>8</v>
      </c>
      <c r="N97" s="257">
        <v>2.78</v>
      </c>
      <c r="O97" s="159">
        <v>42191</v>
      </c>
      <c r="P97" s="144"/>
      <c r="R97" s="145"/>
      <c r="T97" s="257">
        <v>7.55</v>
      </c>
      <c r="U97" s="256">
        <v>42200</v>
      </c>
      <c r="V97" s="145">
        <v>18.5</v>
      </c>
      <c r="W97" s="159">
        <v>42191</v>
      </c>
      <c r="X97" s="145"/>
      <c r="Z97" s="145"/>
      <c r="AB97" s="145"/>
      <c r="AD97" s="145">
        <f>(N97/V97)*(((100-CD97)/100)*((100-2)/100))*100</f>
        <v>13.607273513513512</v>
      </c>
      <c r="AF97" s="257">
        <f>(N97/V97)*(((100-CD97)/(100-9))*100)</f>
        <v>15.258212058212061</v>
      </c>
      <c r="AG97" s="159">
        <v>42191</v>
      </c>
      <c r="AJ97" s="257">
        <v>140</v>
      </c>
      <c r="AL97" s="145"/>
      <c r="AN97" s="257">
        <v>102</v>
      </c>
      <c r="BB97" s="257">
        <v>7</v>
      </c>
      <c r="BN97" s="251">
        <v>65.191000000000003</v>
      </c>
      <c r="BO97" s="256">
        <v>42200</v>
      </c>
      <c r="BT97" s="251">
        <v>48.550418853759766</v>
      </c>
      <c r="BU97" s="256">
        <v>42200</v>
      </c>
      <c r="BV97" s="251">
        <v>19.75434684753418</v>
      </c>
      <c r="BW97" s="256">
        <v>42200</v>
      </c>
      <c r="BX97" s="251">
        <v>43.551000000000002</v>
      </c>
      <c r="BY97" s="256">
        <v>42200</v>
      </c>
      <c r="CD97" s="257">
        <v>7.6</v>
      </c>
      <c r="CE97" s="159">
        <v>42191</v>
      </c>
      <c r="CM97" s="255">
        <v>1</v>
      </c>
      <c r="CN97" s="256">
        <v>42180</v>
      </c>
      <c r="CO97" s="140" t="s">
        <v>8447</v>
      </c>
    </row>
    <row r="98" spans="1:93" ht="15">
      <c r="A98" s="124" t="s">
        <v>7704</v>
      </c>
      <c r="B98" s="161" t="s">
        <v>7779</v>
      </c>
      <c r="C98" s="268" t="s">
        <v>267</v>
      </c>
      <c r="D98" s="243">
        <v>3</v>
      </c>
      <c r="E98" s="183">
        <v>118</v>
      </c>
      <c r="F98" s="244">
        <v>18</v>
      </c>
      <c r="G98" s="245">
        <v>1</v>
      </c>
      <c r="L98" s="254">
        <v>9</v>
      </c>
      <c r="N98" s="246">
        <v>2.81</v>
      </c>
      <c r="O98" s="159">
        <v>42191</v>
      </c>
      <c r="T98" s="247">
        <v>7.42</v>
      </c>
      <c r="U98" s="256">
        <v>42200</v>
      </c>
      <c r="V98" s="145">
        <v>18.5</v>
      </c>
      <c r="W98" s="159">
        <v>42191</v>
      </c>
      <c r="AD98" s="145">
        <f>(N98/V98)*(((100-CD98)/100)*((100-2)/100))*100</f>
        <v>13.649916756756758</v>
      </c>
      <c r="AF98" s="257">
        <v>15.6</v>
      </c>
      <c r="AG98" s="159">
        <v>42191</v>
      </c>
      <c r="AJ98" s="249">
        <v>115</v>
      </c>
      <c r="AN98" s="250">
        <v>105</v>
      </c>
      <c r="BB98" s="257">
        <v>7</v>
      </c>
      <c r="BN98" s="251">
        <v>67.167000000000002</v>
      </c>
      <c r="BO98" s="256">
        <v>42200</v>
      </c>
      <c r="BT98" s="251">
        <v>47.587860107421875</v>
      </c>
      <c r="BU98" s="256">
        <v>42200</v>
      </c>
      <c r="BV98" s="251">
        <v>20.211782455444336</v>
      </c>
      <c r="BW98" s="256">
        <v>42200</v>
      </c>
      <c r="BX98" s="251">
        <v>63.301000000000002</v>
      </c>
      <c r="BY98" s="256">
        <v>42200</v>
      </c>
      <c r="CD98" s="253">
        <v>8.3000000000000007</v>
      </c>
      <c r="CE98" s="159">
        <v>42191</v>
      </c>
      <c r="CM98" s="255">
        <v>5</v>
      </c>
      <c r="CN98" s="256">
        <v>42180</v>
      </c>
      <c r="CO98" s="140" t="s">
        <v>8447</v>
      </c>
    </row>
    <row r="99" spans="1:93" ht="15" customHeight="1">
      <c r="A99" s="137" t="s">
        <v>8459</v>
      </c>
      <c r="B99" s="161" t="s">
        <v>8482</v>
      </c>
      <c r="C99" s="268" t="s">
        <v>269</v>
      </c>
      <c r="D99" s="269">
        <v>1</v>
      </c>
      <c r="E99" s="280">
        <v>10</v>
      </c>
      <c r="F99" s="269"/>
      <c r="G99" s="269"/>
      <c r="H99" s="271">
        <v>5</v>
      </c>
      <c r="I99" s="271">
        <v>2</v>
      </c>
      <c r="J99" s="282"/>
      <c r="K99" s="273"/>
      <c r="L99" s="269">
        <v>9</v>
      </c>
      <c r="M99" s="274"/>
      <c r="N99" s="269">
        <v>2.8</v>
      </c>
      <c r="O99" s="274">
        <v>42191</v>
      </c>
      <c r="P99" s="272"/>
      <c r="Q99" s="274"/>
      <c r="R99" s="275"/>
      <c r="S99" s="274"/>
      <c r="T99" s="269">
        <v>7.29</v>
      </c>
      <c r="U99" s="276">
        <v>42200</v>
      </c>
      <c r="V99" s="275">
        <v>18.5</v>
      </c>
      <c r="W99" s="274">
        <v>42191</v>
      </c>
      <c r="X99" s="275"/>
      <c r="Y99" s="274"/>
      <c r="Z99" s="275"/>
      <c r="AA99" s="274"/>
      <c r="AB99" s="275"/>
      <c r="AC99" s="274"/>
      <c r="AD99" s="145">
        <f>(N99/V99)*(((100-CD99)/100)*((100-2)/100))*100</f>
        <v>13.675502702702701</v>
      </c>
      <c r="AE99" s="274"/>
      <c r="AF99" s="269">
        <v>15.63</v>
      </c>
      <c r="AG99" s="274">
        <v>42191</v>
      </c>
      <c r="AH99" s="274"/>
      <c r="AI99" s="274"/>
      <c r="AJ99" s="269">
        <v>150</v>
      </c>
      <c r="AK99" s="274"/>
      <c r="AL99" s="275"/>
      <c r="AM99" s="274"/>
      <c r="AN99" s="269">
        <v>107</v>
      </c>
      <c r="AO99" s="274"/>
      <c r="AP99" s="275"/>
      <c r="AQ99" s="275"/>
      <c r="AR99" s="275"/>
      <c r="AS99" s="275"/>
      <c r="AT99" s="275"/>
      <c r="AU99" s="275"/>
      <c r="AV99" s="275"/>
      <c r="AW99" s="275"/>
      <c r="AX99" s="275"/>
      <c r="AY99" s="275"/>
      <c r="AZ99" s="275"/>
      <c r="BA99" s="275"/>
      <c r="BB99" s="269">
        <v>3</v>
      </c>
      <c r="BC99" s="275"/>
      <c r="BD99" s="275"/>
      <c r="BE99" s="275"/>
      <c r="BF99" s="272"/>
      <c r="BG99" s="272"/>
      <c r="BH99" s="272"/>
      <c r="BI99" s="272"/>
      <c r="BJ99" s="272"/>
      <c r="BK99" s="272"/>
      <c r="BL99" s="272"/>
      <c r="BM99" s="272"/>
      <c r="BN99" s="284">
        <v>59.970999999999997</v>
      </c>
      <c r="BO99" s="276">
        <v>42200</v>
      </c>
      <c r="BP99" s="272"/>
      <c r="BQ99" s="272"/>
      <c r="BR99" s="272"/>
      <c r="BS99" s="272"/>
      <c r="BT99" s="284">
        <v>46.61</v>
      </c>
      <c r="BU99" s="276">
        <v>42200</v>
      </c>
      <c r="BV99" s="284">
        <v>20.432397842407227</v>
      </c>
      <c r="BW99" s="276">
        <v>42200</v>
      </c>
      <c r="BX99" s="284">
        <v>72.231999999999999</v>
      </c>
      <c r="BY99" s="276">
        <v>42200</v>
      </c>
      <c r="BZ99" s="272"/>
      <c r="CA99" s="272"/>
      <c r="CB99" s="272"/>
      <c r="CC99" s="272"/>
      <c r="CD99" s="269">
        <v>7.8</v>
      </c>
      <c r="CE99" s="274">
        <v>42191</v>
      </c>
      <c r="CF99" s="272"/>
      <c r="CG99" s="272"/>
      <c r="CH99" s="272"/>
      <c r="CI99" s="272"/>
      <c r="CJ99" s="272"/>
      <c r="CK99" s="272"/>
      <c r="CL99" s="272"/>
      <c r="CM99" s="278">
        <v>5</v>
      </c>
      <c r="CN99" s="276">
        <v>42180</v>
      </c>
      <c r="CO99" s="272" t="s">
        <v>8447</v>
      </c>
    </row>
    <row r="100" spans="1:93" ht="15">
      <c r="A100" s="124" t="s">
        <v>7673</v>
      </c>
      <c r="B100" s="161" t="s">
        <v>7522</v>
      </c>
      <c r="C100" s="268" t="s">
        <v>267</v>
      </c>
      <c r="D100" s="243">
        <v>3</v>
      </c>
      <c r="E100" s="183">
        <v>87</v>
      </c>
      <c r="F100" s="244">
        <v>16</v>
      </c>
      <c r="G100" s="245">
        <v>4</v>
      </c>
      <c r="L100" s="254">
        <v>6</v>
      </c>
      <c r="N100" s="246">
        <v>2.82</v>
      </c>
      <c r="O100" s="159">
        <v>42191</v>
      </c>
      <c r="T100" s="247">
        <v>7.78</v>
      </c>
      <c r="U100" s="256">
        <v>42200</v>
      </c>
      <c r="V100" s="145">
        <v>18.5</v>
      </c>
      <c r="W100" s="159">
        <v>42191</v>
      </c>
      <c r="AD100" s="145">
        <f>(N100/V100)*(((100-CD100)/100)*((100-2)/100))*100</f>
        <v>13.71343135135135</v>
      </c>
      <c r="AF100" s="257">
        <v>15.68</v>
      </c>
      <c r="AG100" s="159">
        <v>42191</v>
      </c>
      <c r="AJ100" s="249">
        <v>105</v>
      </c>
      <c r="AN100" s="250">
        <v>106</v>
      </c>
      <c r="BB100" s="257">
        <v>7</v>
      </c>
      <c r="BN100" s="251">
        <v>63.945999999999998</v>
      </c>
      <c r="BO100" s="256">
        <v>42200</v>
      </c>
      <c r="BT100" s="251">
        <v>49.631072998046875</v>
      </c>
      <c r="BU100" s="256">
        <v>42200</v>
      </c>
      <c r="BV100" s="251">
        <v>17.652515411376953</v>
      </c>
      <c r="BW100" s="256">
        <v>42200</v>
      </c>
      <c r="BX100" s="251">
        <v>19.094999999999999</v>
      </c>
      <c r="BY100" s="256">
        <v>42200</v>
      </c>
      <c r="CD100" s="253">
        <v>8.1999999999999993</v>
      </c>
      <c r="CE100" s="159">
        <v>42191</v>
      </c>
      <c r="CM100" s="255">
        <v>3</v>
      </c>
      <c r="CN100" s="256">
        <v>42180</v>
      </c>
      <c r="CO100" s="140" t="s">
        <v>8447</v>
      </c>
    </row>
    <row r="101" spans="1:93" ht="15">
      <c r="A101" s="124" t="s">
        <v>7590</v>
      </c>
      <c r="B101" s="161" t="s">
        <v>7450</v>
      </c>
      <c r="C101" s="268" t="s">
        <v>267</v>
      </c>
      <c r="D101" s="243">
        <v>4</v>
      </c>
      <c r="E101" s="183">
        <v>4</v>
      </c>
      <c r="F101" s="244">
        <v>24</v>
      </c>
      <c r="G101" s="245">
        <v>11</v>
      </c>
      <c r="J101" s="266"/>
      <c r="L101" s="254">
        <v>9</v>
      </c>
      <c r="N101" s="246">
        <v>2.8</v>
      </c>
      <c r="O101" s="159">
        <v>42191</v>
      </c>
      <c r="P101" s="144"/>
      <c r="R101" s="145"/>
      <c r="T101" s="247">
        <v>7.59</v>
      </c>
      <c r="U101" s="256">
        <v>42200</v>
      </c>
      <c r="V101" s="145">
        <v>18.5</v>
      </c>
      <c r="W101" s="159">
        <v>42191</v>
      </c>
      <c r="X101" s="145"/>
      <c r="Z101" s="145"/>
      <c r="AB101" s="145"/>
      <c r="AD101" s="145">
        <f>(N101/V101)*(((100-CD101)/100)*((100-2)/100))*100</f>
        <v>13.808994594594592</v>
      </c>
      <c r="AF101" s="257">
        <v>15.79</v>
      </c>
      <c r="AG101" s="159">
        <v>42191</v>
      </c>
      <c r="AJ101" s="249">
        <v>150</v>
      </c>
      <c r="AL101" s="145"/>
      <c r="AN101" s="250">
        <v>104</v>
      </c>
      <c r="BB101" s="257">
        <v>7</v>
      </c>
      <c r="BN101" s="251">
        <v>66.152000000000001</v>
      </c>
      <c r="BO101" s="256">
        <v>42200</v>
      </c>
      <c r="BT101" s="251">
        <v>48.1031494140625</v>
      </c>
      <c r="BU101" s="256">
        <v>42200</v>
      </c>
      <c r="BV101" s="251">
        <v>20.925384521484375</v>
      </c>
      <c r="BW101" s="256">
        <v>42200</v>
      </c>
      <c r="BX101" s="251">
        <v>72.876999999999995</v>
      </c>
      <c r="BY101" s="256">
        <v>42200</v>
      </c>
      <c r="CD101" s="253">
        <v>6.9</v>
      </c>
      <c r="CE101" s="159">
        <v>42191</v>
      </c>
      <c r="CM101" s="255">
        <v>3</v>
      </c>
      <c r="CN101" s="256">
        <v>42180</v>
      </c>
      <c r="CO101" s="140" t="s">
        <v>8447</v>
      </c>
    </row>
    <row r="102" spans="1:93" ht="15" customHeight="1">
      <c r="A102" s="137" t="s">
        <v>8451</v>
      </c>
      <c r="B102" s="161" t="s">
        <v>8474</v>
      </c>
      <c r="C102" s="268" t="s">
        <v>269</v>
      </c>
      <c r="D102" s="269">
        <v>1</v>
      </c>
      <c r="E102" s="280">
        <v>2</v>
      </c>
      <c r="F102" s="269"/>
      <c r="G102" s="269"/>
      <c r="H102" s="271">
        <v>2</v>
      </c>
      <c r="I102" s="271">
        <v>3</v>
      </c>
      <c r="J102" s="282"/>
      <c r="K102" s="273"/>
      <c r="L102" s="269">
        <v>9</v>
      </c>
      <c r="M102" s="274"/>
      <c r="N102" s="269">
        <v>2.82</v>
      </c>
      <c r="O102" s="274">
        <v>42191</v>
      </c>
      <c r="P102" s="272"/>
      <c r="Q102" s="274"/>
      <c r="R102" s="275"/>
      <c r="S102" s="274"/>
      <c r="T102" s="269">
        <v>7.09</v>
      </c>
      <c r="U102" s="276">
        <v>42200</v>
      </c>
      <c r="V102" s="275">
        <v>18.5</v>
      </c>
      <c r="W102" s="274">
        <v>42191</v>
      </c>
      <c r="X102" s="275"/>
      <c r="Y102" s="274"/>
      <c r="Z102" s="275"/>
      <c r="AA102" s="274"/>
      <c r="AB102" s="275"/>
      <c r="AC102" s="274"/>
      <c r="AD102" s="145">
        <f>(N102/V102)*(((100-CD102)/100)*((100-2)/100))*100</f>
        <v>13.83293837837838</v>
      </c>
      <c r="AE102" s="274"/>
      <c r="AF102" s="269">
        <v>15.81</v>
      </c>
      <c r="AG102" s="274">
        <v>42191</v>
      </c>
      <c r="AH102" s="274"/>
      <c r="AI102" s="274"/>
      <c r="AJ102" s="269">
        <v>150</v>
      </c>
      <c r="AK102" s="274"/>
      <c r="AL102" s="275"/>
      <c r="AM102" s="274"/>
      <c r="AN102" s="269">
        <v>101</v>
      </c>
      <c r="AO102" s="274"/>
      <c r="AP102" s="275"/>
      <c r="AQ102" s="275"/>
      <c r="AR102" s="275"/>
      <c r="AS102" s="275"/>
      <c r="AT102" s="275"/>
      <c r="AU102" s="275"/>
      <c r="AV102" s="275"/>
      <c r="AW102" s="275"/>
      <c r="AX102" s="275"/>
      <c r="AY102" s="275"/>
      <c r="AZ102" s="275"/>
      <c r="BA102" s="275"/>
      <c r="BB102" s="269">
        <v>5</v>
      </c>
      <c r="BC102" s="275"/>
      <c r="BD102" s="275"/>
      <c r="BE102" s="275"/>
      <c r="BF102" s="272"/>
      <c r="BG102" s="272"/>
      <c r="BH102" s="272"/>
      <c r="BI102" s="272"/>
      <c r="BJ102" s="272"/>
      <c r="BK102" s="272"/>
      <c r="BL102" s="272"/>
      <c r="BM102" s="272"/>
      <c r="BN102" s="284">
        <v>65.722999999999999</v>
      </c>
      <c r="BO102" s="276">
        <v>42200</v>
      </c>
      <c r="BP102" s="272"/>
      <c r="BQ102" s="272"/>
      <c r="BR102" s="272"/>
      <c r="BS102" s="272"/>
      <c r="BT102" s="284">
        <v>44.85</v>
      </c>
      <c r="BU102" s="276">
        <v>42200</v>
      </c>
      <c r="BV102" s="284">
        <v>22.576347351074219</v>
      </c>
      <c r="BW102" s="276">
        <v>42200</v>
      </c>
      <c r="BX102" s="284">
        <v>64.305000000000007</v>
      </c>
      <c r="BY102" s="276">
        <v>42200</v>
      </c>
      <c r="BZ102" s="272"/>
      <c r="CA102" s="272"/>
      <c r="CB102" s="272"/>
      <c r="CC102" s="272"/>
      <c r="CD102" s="269">
        <v>7.4</v>
      </c>
      <c r="CE102" s="274">
        <v>42191</v>
      </c>
      <c r="CF102" s="272"/>
      <c r="CG102" s="272"/>
      <c r="CH102" s="272"/>
      <c r="CI102" s="272"/>
      <c r="CJ102" s="272"/>
      <c r="CK102" s="272"/>
      <c r="CL102" s="272"/>
      <c r="CM102" s="278">
        <v>3</v>
      </c>
      <c r="CN102" s="276">
        <v>42180</v>
      </c>
      <c r="CO102" s="272" t="s">
        <v>8447</v>
      </c>
    </row>
    <row r="103" spans="1:93" ht="15" customHeight="1">
      <c r="A103" s="124" t="s">
        <v>7708</v>
      </c>
      <c r="B103" s="161" t="s">
        <v>7783</v>
      </c>
      <c r="C103" s="268" t="s">
        <v>267</v>
      </c>
      <c r="D103" s="257">
        <v>3</v>
      </c>
      <c r="E103" s="183">
        <v>122</v>
      </c>
      <c r="F103" s="257">
        <v>13</v>
      </c>
      <c r="G103" s="257">
        <v>23</v>
      </c>
      <c r="L103" s="257">
        <v>5</v>
      </c>
      <c r="N103" s="257">
        <v>2.82</v>
      </c>
      <c r="O103" s="159">
        <v>42191</v>
      </c>
      <c r="T103" s="257">
        <v>7.73</v>
      </c>
      <c r="U103" s="256">
        <v>42200</v>
      </c>
      <c r="V103" s="145">
        <v>18.5</v>
      </c>
      <c r="W103" s="159">
        <v>42191</v>
      </c>
      <c r="AD103" s="145">
        <f>(N103/V103)*(((100-CD103)/100)*((100-2)/100))*100</f>
        <v>13.907630270270269</v>
      </c>
      <c r="AF103" s="257">
        <v>15.9</v>
      </c>
      <c r="AG103" s="159">
        <v>42191</v>
      </c>
      <c r="AJ103" s="257">
        <v>140</v>
      </c>
      <c r="AN103" s="257">
        <v>107</v>
      </c>
      <c r="BB103" s="257">
        <v>5</v>
      </c>
      <c r="BN103" s="251">
        <v>65.504000000000005</v>
      </c>
      <c r="BO103" s="256">
        <v>42200</v>
      </c>
      <c r="BT103" s="251">
        <v>48.630558013916016</v>
      </c>
      <c r="BU103" s="256">
        <v>42200</v>
      </c>
      <c r="BV103" s="251">
        <v>19.500030517578125</v>
      </c>
      <c r="BW103" s="256">
        <v>42200</v>
      </c>
      <c r="BX103" s="251">
        <v>58.094999999999999</v>
      </c>
      <c r="BY103" s="256">
        <v>42200</v>
      </c>
      <c r="CD103" s="257">
        <v>6.9</v>
      </c>
      <c r="CE103" s="159">
        <v>42191</v>
      </c>
      <c r="CM103" s="255">
        <v>5</v>
      </c>
      <c r="CN103" s="256">
        <v>42180</v>
      </c>
      <c r="CO103" s="140" t="s">
        <v>8447</v>
      </c>
    </row>
    <row r="104" spans="1:93" ht="15" customHeight="1">
      <c r="A104" s="124" t="s">
        <v>7705</v>
      </c>
      <c r="B104" s="161" t="s">
        <v>7780</v>
      </c>
      <c r="C104" s="268" t="s">
        <v>269</v>
      </c>
      <c r="D104" s="257">
        <v>2</v>
      </c>
      <c r="E104" s="183">
        <v>119</v>
      </c>
      <c r="F104" s="257">
        <v>8</v>
      </c>
      <c r="G104" s="257">
        <v>5</v>
      </c>
      <c r="L104" s="257">
        <v>9</v>
      </c>
      <c r="N104" s="257">
        <v>2.81</v>
      </c>
      <c r="O104" s="159">
        <v>42191</v>
      </c>
      <c r="T104" s="257">
        <v>8.02</v>
      </c>
      <c r="U104" s="256">
        <v>42200</v>
      </c>
      <c r="V104" s="145">
        <v>18.5</v>
      </c>
      <c r="W104" s="159">
        <v>42191</v>
      </c>
      <c r="AD104" s="145">
        <f>(N104/V104)*(((100-CD104)/100)*((100-2)/100))*100</f>
        <v>13.932739459459459</v>
      </c>
      <c r="AF104" s="257">
        <v>15.93</v>
      </c>
      <c r="AG104" s="159">
        <v>42191</v>
      </c>
      <c r="AJ104" s="257">
        <v>140</v>
      </c>
      <c r="AN104" s="257">
        <v>107</v>
      </c>
      <c r="BB104" s="257">
        <v>7</v>
      </c>
      <c r="BN104" s="251">
        <v>66.337999999999994</v>
      </c>
      <c r="BO104" s="256">
        <v>42200</v>
      </c>
      <c r="BT104" s="251">
        <v>50.356838226318359</v>
      </c>
      <c r="BU104" s="256">
        <v>42200</v>
      </c>
      <c r="BV104" s="251">
        <v>17.192182540893555</v>
      </c>
      <c r="BW104" s="256">
        <v>42200</v>
      </c>
      <c r="BX104" s="251">
        <v>63.238999999999997</v>
      </c>
      <c r="BY104" s="256">
        <v>42200</v>
      </c>
      <c r="CD104" s="257">
        <v>6.4</v>
      </c>
      <c r="CE104" s="159">
        <v>42191</v>
      </c>
      <c r="CM104" s="255">
        <v>5</v>
      </c>
      <c r="CN104" s="256">
        <v>42180</v>
      </c>
      <c r="CO104" s="140" t="s">
        <v>8448</v>
      </c>
    </row>
    <row r="105" spans="1:93" ht="15" customHeight="1">
      <c r="A105" s="137" t="s">
        <v>8464</v>
      </c>
      <c r="B105" s="161" t="s">
        <v>8487</v>
      </c>
      <c r="C105" s="268" t="s">
        <v>267</v>
      </c>
      <c r="D105" s="269">
        <v>4</v>
      </c>
      <c r="E105" s="280">
        <v>15</v>
      </c>
      <c r="F105" s="269"/>
      <c r="G105" s="269"/>
      <c r="H105" s="271">
        <v>19</v>
      </c>
      <c r="I105" s="271">
        <v>4</v>
      </c>
      <c r="J105" s="282"/>
      <c r="K105" s="273"/>
      <c r="L105" s="269">
        <v>7</v>
      </c>
      <c r="M105" s="274"/>
      <c r="N105" s="269">
        <v>2.84</v>
      </c>
      <c r="O105" s="274">
        <v>42191</v>
      </c>
      <c r="P105" s="272"/>
      <c r="Q105" s="274"/>
      <c r="R105" s="275"/>
      <c r="S105" s="274"/>
      <c r="T105" s="269">
        <v>7.85</v>
      </c>
      <c r="U105" s="276">
        <v>42200</v>
      </c>
      <c r="V105" s="275">
        <v>18.5</v>
      </c>
      <c r="W105" s="274">
        <v>42191</v>
      </c>
      <c r="X105" s="275"/>
      <c r="Y105" s="274"/>
      <c r="Z105" s="275"/>
      <c r="AA105" s="274"/>
      <c r="AB105" s="275"/>
      <c r="AC105" s="274"/>
      <c r="AD105" s="145">
        <f>(N105/V105)*(((100-CD105)/100)*((100-2)/100))*100</f>
        <v>13.946088648648647</v>
      </c>
      <c r="AE105" s="274"/>
      <c r="AF105" s="269">
        <v>15.94</v>
      </c>
      <c r="AG105" s="274">
        <v>42191</v>
      </c>
      <c r="AH105" s="274"/>
      <c r="AI105" s="274"/>
      <c r="AJ105" s="269">
        <v>110</v>
      </c>
      <c r="AK105" s="274"/>
      <c r="AL105" s="275"/>
      <c r="AM105" s="274"/>
      <c r="AN105" s="269">
        <v>102</v>
      </c>
      <c r="AO105" s="274"/>
      <c r="AP105" s="275"/>
      <c r="AQ105" s="275"/>
      <c r="AR105" s="275"/>
      <c r="AS105" s="275"/>
      <c r="AT105" s="275"/>
      <c r="AU105" s="275"/>
      <c r="AV105" s="275"/>
      <c r="AW105" s="275"/>
      <c r="AX105" s="275"/>
      <c r="AY105" s="275"/>
      <c r="AZ105" s="275"/>
      <c r="BA105" s="275"/>
      <c r="BB105" s="269">
        <v>5</v>
      </c>
      <c r="BC105" s="275"/>
      <c r="BD105" s="275"/>
      <c r="BE105" s="275"/>
      <c r="BF105" s="272"/>
      <c r="BG105" s="272"/>
      <c r="BH105" s="272"/>
      <c r="BI105" s="272"/>
      <c r="BJ105" s="272"/>
      <c r="BK105" s="272"/>
      <c r="BL105" s="272"/>
      <c r="BM105" s="272"/>
      <c r="BN105" s="284">
        <v>63.996000000000002</v>
      </c>
      <c r="BO105" s="276">
        <v>42200</v>
      </c>
      <c r="BP105" s="272"/>
      <c r="BQ105" s="272"/>
      <c r="BR105" s="272"/>
      <c r="BS105" s="272"/>
      <c r="BT105" s="284">
        <v>49.25</v>
      </c>
      <c r="BU105" s="276">
        <v>42200</v>
      </c>
      <c r="BV105" s="284">
        <v>21.630701065063477</v>
      </c>
      <c r="BW105" s="276">
        <v>42200</v>
      </c>
      <c r="BX105" s="284">
        <v>83.908000000000001</v>
      </c>
      <c r="BY105" s="276">
        <v>42200</v>
      </c>
      <c r="BZ105" s="272"/>
      <c r="CA105" s="272"/>
      <c r="CB105" s="272"/>
      <c r="CC105" s="272"/>
      <c r="CD105" s="269">
        <v>7.3</v>
      </c>
      <c r="CE105" s="274">
        <v>42191</v>
      </c>
      <c r="CF105" s="272"/>
      <c r="CG105" s="272"/>
      <c r="CH105" s="272"/>
      <c r="CI105" s="272"/>
      <c r="CJ105" s="272"/>
      <c r="CK105" s="272"/>
      <c r="CL105" s="272"/>
      <c r="CM105" s="278">
        <v>5</v>
      </c>
      <c r="CN105" s="276">
        <v>42180</v>
      </c>
      <c r="CO105" s="272" t="s">
        <v>8447</v>
      </c>
    </row>
    <row r="106" spans="1:93" ht="15" customHeight="1">
      <c r="A106" s="137" t="s">
        <v>8467</v>
      </c>
      <c r="B106" s="161" t="s">
        <v>8490</v>
      </c>
      <c r="C106" s="268" t="s">
        <v>267</v>
      </c>
      <c r="D106" s="269">
        <v>4</v>
      </c>
      <c r="E106" s="280">
        <v>18</v>
      </c>
      <c r="F106" s="269"/>
      <c r="G106" s="269"/>
      <c r="H106" s="271">
        <v>23</v>
      </c>
      <c r="I106" s="271">
        <v>3</v>
      </c>
      <c r="J106" s="282"/>
      <c r="K106" s="273"/>
      <c r="L106" s="269">
        <v>8</v>
      </c>
      <c r="M106" s="274"/>
      <c r="N106" s="269">
        <v>2.86</v>
      </c>
      <c r="O106" s="274">
        <v>42191</v>
      </c>
      <c r="P106" s="272"/>
      <c r="Q106" s="274"/>
      <c r="R106" s="275"/>
      <c r="S106" s="274"/>
      <c r="T106" s="269">
        <v>7.46</v>
      </c>
      <c r="U106" s="276">
        <v>42200</v>
      </c>
      <c r="V106" s="275">
        <v>18.5</v>
      </c>
      <c r="W106" s="274">
        <v>42191</v>
      </c>
      <c r="X106" s="275"/>
      <c r="Y106" s="274"/>
      <c r="Z106" s="275"/>
      <c r="AA106" s="274"/>
      <c r="AB106" s="275"/>
      <c r="AC106" s="274"/>
      <c r="AD106" s="145">
        <f>(N106/V106)*(((100-CD106)/100)*((100-2)/100))*100</f>
        <v>13.95339891891892</v>
      </c>
      <c r="AE106" s="274"/>
      <c r="AF106" s="269">
        <v>15.95</v>
      </c>
      <c r="AG106" s="274">
        <v>42191</v>
      </c>
      <c r="AH106" s="274"/>
      <c r="AI106" s="274"/>
      <c r="AJ106" s="269">
        <v>130</v>
      </c>
      <c r="AK106" s="274"/>
      <c r="AL106" s="275"/>
      <c r="AM106" s="274"/>
      <c r="AN106" s="269">
        <v>101</v>
      </c>
      <c r="AO106" s="274"/>
      <c r="AP106" s="275"/>
      <c r="AQ106" s="275"/>
      <c r="AR106" s="275"/>
      <c r="AS106" s="275"/>
      <c r="AT106" s="275"/>
      <c r="AU106" s="275"/>
      <c r="AV106" s="275"/>
      <c r="AW106" s="275"/>
      <c r="AX106" s="275"/>
      <c r="AY106" s="275"/>
      <c r="AZ106" s="275"/>
      <c r="BA106" s="275"/>
      <c r="BB106" s="269">
        <v>3</v>
      </c>
      <c r="BC106" s="275"/>
      <c r="BD106" s="275"/>
      <c r="BE106" s="275"/>
      <c r="BF106" s="272"/>
      <c r="BG106" s="272"/>
      <c r="BH106" s="272"/>
      <c r="BI106" s="272"/>
      <c r="BJ106" s="272"/>
      <c r="BK106" s="272"/>
      <c r="BL106" s="272"/>
      <c r="BM106" s="272"/>
      <c r="BN106" s="284">
        <v>64.272999999999996</v>
      </c>
      <c r="BO106" s="276">
        <v>42200</v>
      </c>
      <c r="BP106" s="272"/>
      <c r="BQ106" s="272"/>
      <c r="BR106" s="272"/>
      <c r="BS106" s="272"/>
      <c r="BT106" s="284">
        <v>46.76</v>
      </c>
      <c r="BU106" s="276">
        <v>42200</v>
      </c>
      <c r="BV106" s="284">
        <v>20.208122253417969</v>
      </c>
      <c r="BW106" s="276">
        <v>42200</v>
      </c>
      <c r="BX106" s="284">
        <v>66.552000000000007</v>
      </c>
      <c r="BY106" s="276">
        <v>42200</v>
      </c>
      <c r="BZ106" s="272"/>
      <c r="CA106" s="272"/>
      <c r="CB106" s="272"/>
      <c r="CC106" s="272"/>
      <c r="CD106" s="269">
        <v>7.9</v>
      </c>
      <c r="CE106" s="274">
        <v>42191</v>
      </c>
      <c r="CF106" s="272"/>
      <c r="CG106" s="272"/>
      <c r="CH106" s="272"/>
      <c r="CI106" s="272"/>
      <c r="CJ106" s="272"/>
      <c r="CK106" s="272"/>
      <c r="CL106" s="272"/>
      <c r="CM106" s="278">
        <v>5</v>
      </c>
      <c r="CN106" s="276">
        <v>42180</v>
      </c>
      <c r="CO106" s="272" t="s">
        <v>8447</v>
      </c>
    </row>
    <row r="107" spans="1:93" ht="15" customHeight="1">
      <c r="A107" s="124" t="s">
        <v>7634</v>
      </c>
      <c r="B107" s="161" t="s">
        <v>7774</v>
      </c>
      <c r="C107" s="268" t="s">
        <v>269</v>
      </c>
      <c r="D107" s="257">
        <v>2</v>
      </c>
      <c r="E107" s="183">
        <v>48</v>
      </c>
      <c r="F107" s="257">
        <v>10</v>
      </c>
      <c r="G107" s="257">
        <v>14</v>
      </c>
      <c r="L107" s="257">
        <v>3</v>
      </c>
      <c r="N107" s="257">
        <v>2.84</v>
      </c>
      <c r="O107" s="159">
        <v>42191</v>
      </c>
      <c r="T107" s="257">
        <v>7.52</v>
      </c>
      <c r="U107" s="256">
        <v>42200</v>
      </c>
      <c r="V107" s="145">
        <v>18.5</v>
      </c>
      <c r="W107" s="159">
        <v>42191</v>
      </c>
      <c r="AD107" s="145">
        <f>(N107/V107)*(((100-CD107)/100)*((100-2)/100))*100</f>
        <v>14.02131027027027</v>
      </c>
      <c r="AF107" s="257">
        <v>16.03</v>
      </c>
      <c r="AG107" s="159">
        <v>42191</v>
      </c>
      <c r="AJ107" s="257">
        <v>120</v>
      </c>
      <c r="AN107" s="257">
        <v>107</v>
      </c>
      <c r="BB107" s="257">
        <v>9</v>
      </c>
      <c r="BN107" s="251">
        <v>64.168000000000006</v>
      </c>
      <c r="BO107" s="256">
        <v>42200</v>
      </c>
      <c r="BT107" s="251">
        <v>46.893356323242188</v>
      </c>
      <c r="BU107" s="256">
        <v>42200</v>
      </c>
      <c r="BV107" s="251">
        <v>19.507816314697266</v>
      </c>
      <c r="BW107" s="256">
        <v>42200</v>
      </c>
      <c r="BX107" s="251">
        <v>25.759</v>
      </c>
      <c r="BY107" s="256">
        <v>42200</v>
      </c>
      <c r="CD107" s="257">
        <v>6.8</v>
      </c>
      <c r="CE107" s="159">
        <v>42191</v>
      </c>
      <c r="CM107" s="255">
        <v>3</v>
      </c>
      <c r="CN107" s="256">
        <v>42180</v>
      </c>
      <c r="CO107" s="140" t="s">
        <v>8448</v>
      </c>
    </row>
    <row r="108" spans="1:93" ht="15" customHeight="1">
      <c r="A108" s="137" t="s">
        <v>8457</v>
      </c>
      <c r="B108" s="161" t="s">
        <v>8480</v>
      </c>
      <c r="C108" s="268" t="s">
        <v>269</v>
      </c>
      <c r="D108" s="269">
        <v>2</v>
      </c>
      <c r="E108" s="280">
        <v>8</v>
      </c>
      <c r="F108" s="269"/>
      <c r="G108" s="269"/>
      <c r="H108" s="271">
        <v>10</v>
      </c>
      <c r="I108" s="271">
        <v>2</v>
      </c>
      <c r="J108" s="282"/>
      <c r="K108" s="273"/>
      <c r="L108" s="269">
        <v>8</v>
      </c>
      <c r="M108" s="274"/>
      <c r="N108" s="269">
        <v>2.88</v>
      </c>
      <c r="O108" s="274">
        <v>42191</v>
      </c>
      <c r="P108" s="272"/>
      <c r="Q108" s="274"/>
      <c r="R108" s="275"/>
      <c r="S108" s="274"/>
      <c r="T108" s="269">
        <v>7.3</v>
      </c>
      <c r="U108" s="276">
        <v>42200</v>
      </c>
      <c r="V108" s="275">
        <v>18.5</v>
      </c>
      <c r="W108" s="274">
        <v>42191</v>
      </c>
      <c r="X108" s="275"/>
      <c r="Y108" s="274"/>
      <c r="Z108" s="275"/>
      <c r="AA108" s="274"/>
      <c r="AB108" s="275"/>
      <c r="AC108" s="274"/>
      <c r="AD108" s="145">
        <f>(N108/V108)*(((100-CD108)/100)*((100-2)/100))*100</f>
        <v>14.096743783783783</v>
      </c>
      <c r="AE108" s="274"/>
      <c r="AF108" s="269">
        <v>16.11</v>
      </c>
      <c r="AG108" s="274">
        <v>42191</v>
      </c>
      <c r="AH108" s="274"/>
      <c r="AI108" s="274"/>
      <c r="AJ108" s="269">
        <v>130</v>
      </c>
      <c r="AK108" s="274"/>
      <c r="AL108" s="275"/>
      <c r="AM108" s="274"/>
      <c r="AN108" s="269">
        <v>107</v>
      </c>
      <c r="AO108" s="274"/>
      <c r="AP108" s="275"/>
      <c r="AQ108" s="275"/>
      <c r="AR108" s="275"/>
      <c r="AS108" s="275"/>
      <c r="AT108" s="275"/>
      <c r="AU108" s="275"/>
      <c r="AV108" s="275"/>
      <c r="AW108" s="275"/>
      <c r="AX108" s="275"/>
      <c r="AY108" s="275"/>
      <c r="AZ108" s="275"/>
      <c r="BA108" s="275"/>
      <c r="BB108" s="269">
        <v>7</v>
      </c>
      <c r="BC108" s="275"/>
      <c r="BD108" s="275"/>
      <c r="BE108" s="275"/>
      <c r="BF108" s="272"/>
      <c r="BG108" s="272"/>
      <c r="BH108" s="272"/>
      <c r="BI108" s="272"/>
      <c r="BJ108" s="272"/>
      <c r="BK108" s="272"/>
      <c r="BL108" s="272"/>
      <c r="BM108" s="272"/>
      <c r="BN108" s="284">
        <v>60.081000000000003</v>
      </c>
      <c r="BO108" s="276">
        <v>42200</v>
      </c>
      <c r="BP108" s="272"/>
      <c r="BQ108" s="272"/>
      <c r="BR108" s="272"/>
      <c r="BS108" s="272"/>
      <c r="BT108" s="284">
        <v>45.34</v>
      </c>
      <c r="BU108" s="276">
        <v>42200</v>
      </c>
      <c r="BV108" s="284">
        <v>23.088478088378906</v>
      </c>
      <c r="BW108" s="276">
        <v>42200</v>
      </c>
      <c r="BX108" s="284">
        <v>71.948999999999998</v>
      </c>
      <c r="BY108" s="276">
        <v>42200</v>
      </c>
      <c r="BZ108" s="272"/>
      <c r="CA108" s="272"/>
      <c r="CB108" s="272"/>
      <c r="CC108" s="272"/>
      <c r="CD108" s="269">
        <v>7.6</v>
      </c>
      <c r="CE108" s="274">
        <v>42191</v>
      </c>
      <c r="CF108" s="272"/>
      <c r="CG108" s="272"/>
      <c r="CH108" s="272"/>
      <c r="CI108" s="272"/>
      <c r="CJ108" s="272"/>
      <c r="CK108" s="272"/>
      <c r="CL108" s="272"/>
      <c r="CM108" s="278">
        <v>5</v>
      </c>
      <c r="CN108" s="276">
        <v>42180</v>
      </c>
      <c r="CO108" s="272" t="s">
        <v>8447</v>
      </c>
    </row>
    <row r="109" spans="1:93" ht="15" customHeight="1">
      <c r="A109" s="137" t="s">
        <v>8471</v>
      </c>
      <c r="B109" s="161" t="s">
        <v>8494</v>
      </c>
      <c r="C109" s="268" t="s">
        <v>267</v>
      </c>
      <c r="D109" s="269">
        <v>4</v>
      </c>
      <c r="E109" s="280">
        <v>22</v>
      </c>
      <c r="F109" s="269"/>
      <c r="G109" s="269"/>
      <c r="H109" s="271">
        <v>21</v>
      </c>
      <c r="I109" s="271">
        <v>1</v>
      </c>
      <c r="J109" s="282"/>
      <c r="K109" s="273"/>
      <c r="L109" s="269">
        <v>8</v>
      </c>
      <c r="M109" s="274"/>
      <c r="N109" s="269">
        <v>2.89</v>
      </c>
      <c r="O109" s="274">
        <v>42191</v>
      </c>
      <c r="P109" s="272"/>
      <c r="Q109" s="274"/>
      <c r="R109" s="275"/>
      <c r="S109" s="274"/>
      <c r="T109" s="269">
        <v>7.52</v>
      </c>
      <c r="U109" s="276">
        <v>42200</v>
      </c>
      <c r="V109" s="275">
        <v>18.5</v>
      </c>
      <c r="W109" s="274">
        <v>42191</v>
      </c>
      <c r="X109" s="275"/>
      <c r="Y109" s="274"/>
      <c r="Z109" s="275"/>
      <c r="AA109" s="274"/>
      <c r="AB109" s="275"/>
      <c r="AC109" s="274"/>
      <c r="AD109" s="145">
        <f>(N109/V109)*(((100-CD109)/100)*((100-2)/100))*100</f>
        <v>14.099763243243244</v>
      </c>
      <c r="AE109" s="274"/>
      <c r="AF109" s="269">
        <v>16.12</v>
      </c>
      <c r="AG109" s="274">
        <v>42191</v>
      </c>
      <c r="AH109" s="274"/>
      <c r="AI109" s="274"/>
      <c r="AJ109" s="269">
        <v>115</v>
      </c>
      <c r="AK109" s="274"/>
      <c r="AL109" s="275"/>
      <c r="AM109" s="274"/>
      <c r="AN109" s="269">
        <v>98</v>
      </c>
      <c r="AO109" s="274"/>
      <c r="AP109" s="275"/>
      <c r="AQ109" s="275"/>
      <c r="AR109" s="275"/>
      <c r="AS109" s="275"/>
      <c r="AT109" s="275"/>
      <c r="AU109" s="275"/>
      <c r="AV109" s="275"/>
      <c r="AW109" s="275"/>
      <c r="AX109" s="275"/>
      <c r="AY109" s="275"/>
      <c r="AZ109" s="275"/>
      <c r="BA109" s="275"/>
      <c r="BB109" s="269">
        <v>7</v>
      </c>
      <c r="BC109" s="275"/>
      <c r="BD109" s="275"/>
      <c r="BE109" s="275"/>
      <c r="BF109" s="272"/>
      <c r="BG109" s="272"/>
      <c r="BH109" s="272"/>
      <c r="BI109" s="272"/>
      <c r="BJ109" s="272"/>
      <c r="BK109" s="272"/>
      <c r="BL109" s="272"/>
      <c r="BM109" s="272"/>
      <c r="BN109" s="284">
        <v>63.276000000000003</v>
      </c>
      <c r="BO109" s="276">
        <v>42200</v>
      </c>
      <c r="BP109" s="272"/>
      <c r="BQ109" s="272"/>
      <c r="BR109" s="272"/>
      <c r="BS109" s="272"/>
      <c r="BT109" s="284">
        <v>46.64</v>
      </c>
      <c r="BU109" s="276">
        <v>42200</v>
      </c>
      <c r="BV109" s="284">
        <v>21.54534912109375</v>
      </c>
      <c r="BW109" s="276">
        <v>42200</v>
      </c>
      <c r="BX109" s="284">
        <v>74.069000000000003</v>
      </c>
      <c r="BY109" s="276">
        <v>42200</v>
      </c>
      <c r="BZ109" s="272"/>
      <c r="CA109" s="272"/>
      <c r="CB109" s="272"/>
      <c r="CC109" s="272"/>
      <c r="CD109" s="269">
        <v>7.9</v>
      </c>
      <c r="CE109" s="274">
        <v>42191</v>
      </c>
      <c r="CF109" s="272"/>
      <c r="CG109" s="272"/>
      <c r="CH109" s="272"/>
      <c r="CI109" s="272"/>
      <c r="CJ109" s="272"/>
      <c r="CK109" s="272"/>
      <c r="CL109" s="272"/>
      <c r="CM109" s="278">
        <v>7</v>
      </c>
      <c r="CN109" s="276">
        <v>42180</v>
      </c>
      <c r="CO109" s="272" t="s">
        <v>8447</v>
      </c>
    </row>
    <row r="110" spans="1:93" ht="15">
      <c r="A110" s="124" t="s">
        <v>7591</v>
      </c>
      <c r="B110" s="161" t="s">
        <v>7769</v>
      </c>
      <c r="C110" s="268" t="s">
        <v>267</v>
      </c>
      <c r="D110" s="243">
        <v>3</v>
      </c>
      <c r="E110" s="183">
        <v>5</v>
      </c>
      <c r="F110" s="244">
        <v>14</v>
      </c>
      <c r="G110" s="245">
        <v>30</v>
      </c>
      <c r="J110" s="266"/>
      <c r="L110" s="254">
        <v>8</v>
      </c>
      <c r="N110" s="246">
        <v>2.86</v>
      </c>
      <c r="O110" s="159">
        <v>42191</v>
      </c>
      <c r="P110" s="144"/>
      <c r="R110" s="145"/>
      <c r="T110" s="247">
        <v>7.77</v>
      </c>
      <c r="U110" s="256">
        <v>42200</v>
      </c>
      <c r="V110" s="145">
        <v>18.5</v>
      </c>
      <c r="W110" s="159">
        <v>42191</v>
      </c>
      <c r="X110" s="145"/>
      <c r="Z110" s="145"/>
      <c r="AB110" s="145"/>
      <c r="AD110" s="145">
        <f>(N110/V110)*(((100-CD110)/100)*((100-2)/100))*100</f>
        <v>14.150352432432435</v>
      </c>
      <c r="AF110" s="257">
        <v>16.18</v>
      </c>
      <c r="AG110" s="159">
        <v>42191</v>
      </c>
      <c r="AJ110" s="249">
        <v>120</v>
      </c>
      <c r="AL110" s="145"/>
      <c r="AN110" s="250">
        <v>99</v>
      </c>
      <c r="BB110" s="257">
        <v>3</v>
      </c>
      <c r="BN110" s="251">
        <v>64.388999999999996</v>
      </c>
      <c r="BO110" s="256">
        <v>42200</v>
      </c>
      <c r="BT110" s="251">
        <v>48.008739471435547</v>
      </c>
      <c r="BU110" s="256">
        <v>42200</v>
      </c>
      <c r="BV110" s="251">
        <v>19.365913391113281</v>
      </c>
      <c r="BW110" s="256">
        <v>42200</v>
      </c>
      <c r="BX110" s="251">
        <v>61.127000000000002</v>
      </c>
      <c r="BY110" s="256">
        <v>42200</v>
      </c>
      <c r="CD110" s="253">
        <v>6.6</v>
      </c>
      <c r="CE110" s="159">
        <v>42191</v>
      </c>
      <c r="CM110" s="255">
        <v>7</v>
      </c>
      <c r="CN110" s="256">
        <v>42180</v>
      </c>
      <c r="CO110" s="140" t="s">
        <v>8447</v>
      </c>
    </row>
    <row r="111" spans="1:93" ht="15" customHeight="1">
      <c r="A111" s="137" t="s">
        <v>8471</v>
      </c>
      <c r="B111" s="161" t="s">
        <v>8494</v>
      </c>
      <c r="C111" s="268" t="s">
        <v>267</v>
      </c>
      <c r="D111" s="269">
        <v>3</v>
      </c>
      <c r="E111" s="280">
        <v>22</v>
      </c>
      <c r="F111" s="269"/>
      <c r="G111" s="269"/>
      <c r="H111" s="271">
        <v>17</v>
      </c>
      <c r="I111" s="271">
        <v>1</v>
      </c>
      <c r="J111" s="282"/>
      <c r="K111" s="273"/>
      <c r="L111" s="269">
        <v>6</v>
      </c>
      <c r="M111" s="274"/>
      <c r="N111" s="269">
        <v>2.92</v>
      </c>
      <c r="O111" s="274">
        <v>42191</v>
      </c>
      <c r="P111" s="272"/>
      <c r="Q111" s="274"/>
      <c r="R111" s="275"/>
      <c r="S111" s="274"/>
      <c r="T111" s="269">
        <v>7.38</v>
      </c>
      <c r="U111" s="276">
        <v>42200</v>
      </c>
      <c r="V111" s="275">
        <v>18.5</v>
      </c>
      <c r="W111" s="274">
        <v>42191</v>
      </c>
      <c r="X111" s="275"/>
      <c r="Y111" s="274"/>
      <c r="Z111" s="275"/>
      <c r="AA111" s="274"/>
      <c r="AB111" s="275"/>
      <c r="AC111" s="274"/>
      <c r="AD111" s="145">
        <f>(N111/V111)*(((100-CD111)/100)*((100-2)/100))*100</f>
        <v>14.15331891891892</v>
      </c>
      <c r="AE111" s="274"/>
      <c r="AF111" s="269">
        <v>16.18</v>
      </c>
      <c r="AG111" s="274">
        <v>42191</v>
      </c>
      <c r="AH111" s="274"/>
      <c r="AI111" s="274"/>
      <c r="AJ111" s="269">
        <v>115</v>
      </c>
      <c r="AK111" s="274"/>
      <c r="AL111" s="275"/>
      <c r="AM111" s="274"/>
      <c r="AN111" s="269">
        <v>98</v>
      </c>
      <c r="AO111" s="274"/>
      <c r="AP111" s="275"/>
      <c r="AQ111" s="275"/>
      <c r="AR111" s="275"/>
      <c r="AS111" s="275"/>
      <c r="AT111" s="275"/>
      <c r="AU111" s="275"/>
      <c r="AV111" s="275"/>
      <c r="AW111" s="275"/>
      <c r="AX111" s="275"/>
      <c r="AY111" s="275"/>
      <c r="AZ111" s="275"/>
      <c r="BA111" s="275"/>
      <c r="BB111" s="269">
        <v>7</v>
      </c>
      <c r="BC111" s="275"/>
      <c r="BD111" s="275"/>
      <c r="BE111" s="275"/>
      <c r="BF111" s="272"/>
      <c r="BG111" s="272"/>
      <c r="BH111" s="272"/>
      <c r="BI111" s="272"/>
      <c r="BJ111" s="272"/>
      <c r="BK111" s="272"/>
      <c r="BL111" s="272"/>
      <c r="BM111" s="272"/>
      <c r="BN111" s="284">
        <v>65.709000000000003</v>
      </c>
      <c r="BO111" s="276">
        <v>42200</v>
      </c>
      <c r="BP111" s="272"/>
      <c r="BQ111" s="272"/>
      <c r="BR111" s="272"/>
      <c r="BS111" s="272"/>
      <c r="BT111" s="284">
        <v>45.61</v>
      </c>
      <c r="BU111" s="276">
        <v>42200</v>
      </c>
      <c r="BV111" s="284">
        <v>21.6185302734375</v>
      </c>
      <c r="BW111" s="276">
        <v>42200</v>
      </c>
      <c r="BX111" s="284">
        <v>59.825000000000003</v>
      </c>
      <c r="BY111" s="276">
        <v>42200</v>
      </c>
      <c r="BZ111" s="272"/>
      <c r="CA111" s="272"/>
      <c r="CB111" s="272"/>
      <c r="CC111" s="272"/>
      <c r="CD111" s="269">
        <v>8.5</v>
      </c>
      <c r="CE111" s="274">
        <v>42191</v>
      </c>
      <c r="CF111" s="272"/>
      <c r="CG111" s="272"/>
      <c r="CH111" s="272"/>
      <c r="CI111" s="272"/>
      <c r="CJ111" s="272"/>
      <c r="CK111" s="272"/>
      <c r="CL111" s="272"/>
      <c r="CM111" s="278">
        <v>3</v>
      </c>
      <c r="CN111" s="276">
        <v>42180</v>
      </c>
      <c r="CO111" s="272" t="s">
        <v>8447</v>
      </c>
    </row>
    <row r="112" spans="1:93" ht="15" customHeight="1">
      <c r="A112" s="137" t="s">
        <v>8465</v>
      </c>
      <c r="B112" s="161" t="s">
        <v>8488</v>
      </c>
      <c r="C112" s="268" t="s">
        <v>267</v>
      </c>
      <c r="D112" s="269">
        <v>3</v>
      </c>
      <c r="E112" s="280">
        <v>16</v>
      </c>
      <c r="F112" s="269"/>
      <c r="G112" s="269"/>
      <c r="H112" s="271">
        <v>18</v>
      </c>
      <c r="I112" s="271">
        <v>2</v>
      </c>
      <c r="J112" s="282"/>
      <c r="K112" s="273"/>
      <c r="L112" s="269">
        <v>6</v>
      </c>
      <c r="M112" s="274"/>
      <c r="N112" s="269">
        <v>2.96</v>
      </c>
      <c r="O112" s="274">
        <v>42191</v>
      </c>
      <c r="P112" s="272"/>
      <c r="Q112" s="274"/>
      <c r="R112" s="275"/>
      <c r="S112" s="274"/>
      <c r="T112" s="269">
        <v>7.42</v>
      </c>
      <c r="U112" s="276">
        <v>42200</v>
      </c>
      <c r="V112" s="275">
        <v>18.5</v>
      </c>
      <c r="W112" s="274">
        <v>42191</v>
      </c>
      <c r="X112" s="275"/>
      <c r="Y112" s="274"/>
      <c r="Z112" s="275"/>
      <c r="AA112" s="274"/>
      <c r="AB112" s="275"/>
      <c r="AC112" s="274"/>
      <c r="AD112" s="145">
        <f>(N112/V112)*(((100-CD112)/100)*((100-2)/100))*100</f>
        <v>14.22176</v>
      </c>
      <c r="AE112" s="274"/>
      <c r="AF112" s="269">
        <v>16.260000000000002</v>
      </c>
      <c r="AG112" s="274">
        <v>42191</v>
      </c>
      <c r="AH112" s="274"/>
      <c r="AI112" s="274"/>
      <c r="AJ112" s="269">
        <v>125</v>
      </c>
      <c r="AK112" s="274"/>
      <c r="AL112" s="275"/>
      <c r="AM112" s="274"/>
      <c r="AN112" s="269">
        <v>107</v>
      </c>
      <c r="AO112" s="274"/>
      <c r="AP112" s="275"/>
      <c r="AQ112" s="275"/>
      <c r="AR112" s="275"/>
      <c r="AS112" s="275"/>
      <c r="AT112" s="275"/>
      <c r="AU112" s="275"/>
      <c r="AV112" s="275"/>
      <c r="AW112" s="275"/>
      <c r="AX112" s="275"/>
      <c r="AY112" s="275"/>
      <c r="AZ112" s="275"/>
      <c r="BA112" s="275"/>
      <c r="BB112" s="269">
        <v>5</v>
      </c>
      <c r="BC112" s="275"/>
      <c r="BD112" s="275"/>
      <c r="BE112" s="275"/>
      <c r="BF112" s="272"/>
      <c r="BG112" s="272"/>
      <c r="BH112" s="272"/>
      <c r="BI112" s="272"/>
      <c r="BJ112" s="272"/>
      <c r="BK112" s="272"/>
      <c r="BL112" s="272"/>
      <c r="BM112" s="272"/>
      <c r="BN112" s="284">
        <v>64.811999999999998</v>
      </c>
      <c r="BO112" s="276">
        <v>42200</v>
      </c>
      <c r="BP112" s="272"/>
      <c r="BQ112" s="272"/>
      <c r="BR112" s="272"/>
      <c r="BS112" s="272"/>
      <c r="BT112" s="284">
        <v>45.61</v>
      </c>
      <c r="BU112" s="276">
        <v>42200</v>
      </c>
      <c r="BV112" s="284">
        <v>22.760778427124023</v>
      </c>
      <c r="BW112" s="276">
        <v>42200</v>
      </c>
      <c r="BX112" s="284">
        <v>78.177999999999997</v>
      </c>
      <c r="BY112" s="276">
        <v>42200</v>
      </c>
      <c r="BZ112" s="272"/>
      <c r="CA112" s="272"/>
      <c r="CB112" s="272"/>
      <c r="CC112" s="272"/>
      <c r="CD112" s="269">
        <v>9.3000000000000007</v>
      </c>
      <c r="CE112" s="274">
        <v>42191</v>
      </c>
      <c r="CF112" s="272"/>
      <c r="CG112" s="272"/>
      <c r="CH112" s="272"/>
      <c r="CI112" s="272"/>
      <c r="CJ112" s="272"/>
      <c r="CK112" s="272"/>
      <c r="CL112" s="272"/>
      <c r="CM112" s="278">
        <v>3</v>
      </c>
      <c r="CN112" s="276">
        <v>42180</v>
      </c>
      <c r="CO112" s="272" t="s">
        <v>8447</v>
      </c>
    </row>
    <row r="113" spans="1:93" ht="15" customHeight="1">
      <c r="A113" s="124" t="s">
        <v>7670</v>
      </c>
      <c r="B113" s="161" t="s">
        <v>7519</v>
      </c>
      <c r="C113" s="268" t="s">
        <v>269</v>
      </c>
      <c r="D113" s="257">
        <v>2</v>
      </c>
      <c r="E113" s="183">
        <v>84</v>
      </c>
      <c r="F113" s="257">
        <v>8</v>
      </c>
      <c r="G113" s="257">
        <v>18</v>
      </c>
      <c r="L113" s="257">
        <v>7</v>
      </c>
      <c r="N113" s="257">
        <v>2.88</v>
      </c>
      <c r="O113" s="159">
        <v>42191</v>
      </c>
      <c r="T113" s="257">
        <v>8.1300000000000008</v>
      </c>
      <c r="U113" s="256">
        <v>42200</v>
      </c>
      <c r="V113" s="145">
        <v>18.5</v>
      </c>
      <c r="W113" s="159">
        <v>42191</v>
      </c>
      <c r="AD113" s="145">
        <f>(N113/V113)*(((100-CD113)/100)*((100-2)/100))*100</f>
        <v>14.249305945945945</v>
      </c>
      <c r="AF113" s="257">
        <v>16.29</v>
      </c>
      <c r="AG113" s="159">
        <v>42191</v>
      </c>
      <c r="AJ113" s="257">
        <v>130</v>
      </c>
      <c r="AN113" s="257">
        <v>106</v>
      </c>
      <c r="BB113" s="257">
        <v>5</v>
      </c>
      <c r="BN113" s="251">
        <v>64.867999999999995</v>
      </c>
      <c r="BO113" s="256">
        <v>42200</v>
      </c>
      <c r="BT113" s="251">
        <v>49.889060974121094</v>
      </c>
      <c r="BU113" s="256">
        <v>42200</v>
      </c>
      <c r="BV113" s="251">
        <v>17.308784484863281</v>
      </c>
      <c r="BW113" s="256">
        <v>42200</v>
      </c>
      <c r="BX113" s="251">
        <v>17.146999999999998</v>
      </c>
      <c r="BY113" s="256">
        <v>42200</v>
      </c>
      <c r="CD113" s="257">
        <v>6.6</v>
      </c>
      <c r="CE113" s="159">
        <v>42191</v>
      </c>
      <c r="CM113" s="255">
        <v>3</v>
      </c>
      <c r="CN113" s="256">
        <v>42180</v>
      </c>
      <c r="CO113" s="140" t="s">
        <v>8448</v>
      </c>
    </row>
    <row r="114" spans="1:93" ht="15">
      <c r="A114" s="124" t="s">
        <v>7697</v>
      </c>
      <c r="B114" s="161" t="s">
        <v>7543</v>
      </c>
      <c r="C114" s="268" t="s">
        <v>269</v>
      </c>
      <c r="D114" s="243">
        <v>2</v>
      </c>
      <c r="E114" s="183">
        <v>111</v>
      </c>
      <c r="F114" s="244">
        <v>8</v>
      </c>
      <c r="G114" s="245">
        <v>15</v>
      </c>
      <c r="L114" s="254">
        <v>6</v>
      </c>
      <c r="N114" s="246">
        <v>2.89</v>
      </c>
      <c r="O114" s="159">
        <v>42191</v>
      </c>
      <c r="T114" s="247">
        <v>8</v>
      </c>
      <c r="U114" s="256">
        <v>42200</v>
      </c>
      <c r="V114" s="145">
        <v>18.5</v>
      </c>
      <c r="W114" s="159">
        <v>42191</v>
      </c>
      <c r="AD114" s="145">
        <f>(N114/V114)*(((100-CD114)/100)*((100-2)/100))*100</f>
        <v>14.268164324324326</v>
      </c>
      <c r="AF114" s="257">
        <v>16.309999999999999</v>
      </c>
      <c r="AG114" s="159">
        <v>42191</v>
      </c>
      <c r="AJ114" s="249">
        <v>130</v>
      </c>
      <c r="AN114" s="250">
        <v>103</v>
      </c>
      <c r="BB114" s="257">
        <v>5</v>
      </c>
      <c r="BN114" s="251">
        <v>61.228000000000002</v>
      </c>
      <c r="BO114" s="256">
        <v>42200</v>
      </c>
      <c r="BT114" s="251">
        <v>49.027786254882813</v>
      </c>
      <c r="BU114" s="256">
        <v>42200</v>
      </c>
      <c r="BV114" s="251">
        <v>18.920646667480469</v>
      </c>
      <c r="BW114" s="256">
        <v>42200</v>
      </c>
      <c r="BX114" s="251">
        <v>24.93</v>
      </c>
      <c r="BY114" s="256">
        <v>42200</v>
      </c>
      <c r="CD114" s="253">
        <v>6.8</v>
      </c>
      <c r="CE114" s="159">
        <v>42191</v>
      </c>
      <c r="CM114" s="255">
        <v>3</v>
      </c>
      <c r="CN114" s="256">
        <v>42180</v>
      </c>
      <c r="CO114" s="140" t="s">
        <v>8448</v>
      </c>
    </row>
    <row r="115" spans="1:93" ht="15">
      <c r="A115" s="124" t="s">
        <v>7714</v>
      </c>
      <c r="B115" s="161" t="s">
        <v>7770</v>
      </c>
      <c r="C115" s="268" t="s">
        <v>267</v>
      </c>
      <c r="D115" s="243">
        <v>3</v>
      </c>
      <c r="E115" s="183">
        <v>128</v>
      </c>
      <c r="F115" s="244">
        <v>16</v>
      </c>
      <c r="G115" s="245">
        <v>16</v>
      </c>
      <c r="L115" s="254">
        <v>7</v>
      </c>
      <c r="N115" s="246">
        <v>2.93</v>
      </c>
      <c r="O115" s="159">
        <v>42191</v>
      </c>
      <c r="T115" s="247">
        <v>8.35</v>
      </c>
      <c r="U115" s="256">
        <v>42200</v>
      </c>
      <c r="V115" s="145">
        <v>18.5</v>
      </c>
      <c r="W115" s="159">
        <v>42191</v>
      </c>
      <c r="AD115" s="145">
        <f>(N115/V115)*(((100-CD115)/100)*((100-2)/100))*100</f>
        <v>14.434605405405406</v>
      </c>
      <c r="AF115" s="257">
        <v>16.5</v>
      </c>
      <c r="AG115" s="159">
        <v>42191</v>
      </c>
      <c r="AJ115" s="249">
        <v>130</v>
      </c>
      <c r="AN115" s="250">
        <v>109</v>
      </c>
      <c r="BB115" s="257">
        <v>7</v>
      </c>
      <c r="BN115" s="251">
        <v>68.072000000000003</v>
      </c>
      <c r="BO115" s="256">
        <v>42200</v>
      </c>
      <c r="BT115" s="251">
        <v>50.61163330078125</v>
      </c>
      <c r="BU115" s="256">
        <v>42200</v>
      </c>
      <c r="BV115" s="251">
        <v>19.249223709106445</v>
      </c>
      <c r="BW115" s="256">
        <v>42200</v>
      </c>
      <c r="BX115" s="251">
        <v>51.884</v>
      </c>
      <c r="BY115" s="256">
        <v>42200</v>
      </c>
      <c r="CD115" s="253">
        <v>7</v>
      </c>
      <c r="CE115" s="159">
        <v>42191</v>
      </c>
      <c r="CM115" s="255">
        <v>5</v>
      </c>
      <c r="CN115" s="256">
        <v>42180</v>
      </c>
      <c r="CO115" s="140" t="s">
        <v>8447</v>
      </c>
    </row>
    <row r="116" spans="1:93" ht="15">
      <c r="A116" s="124" t="s">
        <v>7707</v>
      </c>
      <c r="B116" s="161" t="s">
        <v>7782</v>
      </c>
      <c r="C116" s="268" t="s">
        <v>267</v>
      </c>
      <c r="D116" s="243">
        <v>3</v>
      </c>
      <c r="E116" s="183">
        <v>121</v>
      </c>
      <c r="F116" s="244">
        <v>15</v>
      </c>
      <c r="G116" s="245">
        <v>15</v>
      </c>
      <c r="L116" s="254">
        <v>9</v>
      </c>
      <c r="N116" s="246">
        <v>2.95</v>
      </c>
      <c r="O116" s="159">
        <v>42191</v>
      </c>
      <c r="T116" s="247">
        <v>8.08</v>
      </c>
      <c r="U116" s="256">
        <v>42200</v>
      </c>
      <c r="V116" s="145">
        <v>18.5</v>
      </c>
      <c r="W116" s="159">
        <v>42191</v>
      </c>
      <c r="AD116" s="145">
        <f>(N116/V116)*(((100-CD116)/100)*((100-2)/100))*100</f>
        <v>14.486254054054056</v>
      </c>
      <c r="AF116" s="257">
        <v>16.559999999999999</v>
      </c>
      <c r="AG116" s="159">
        <v>42191</v>
      </c>
      <c r="AJ116" s="249">
        <v>105</v>
      </c>
      <c r="AN116" s="250">
        <v>107</v>
      </c>
      <c r="BB116" s="257">
        <v>7</v>
      </c>
      <c r="BN116" s="251">
        <v>65.248000000000005</v>
      </c>
      <c r="BO116" s="256">
        <v>42200</v>
      </c>
      <c r="BT116" s="251">
        <v>48.801235198974609</v>
      </c>
      <c r="BU116" s="256">
        <v>42200</v>
      </c>
      <c r="BV116" s="251">
        <v>20.688247680664063</v>
      </c>
      <c r="BW116" s="256">
        <v>42200</v>
      </c>
      <c r="BX116" s="251">
        <v>66.84</v>
      </c>
      <c r="BY116" s="256">
        <v>42200</v>
      </c>
      <c r="CD116" s="253">
        <v>7.3</v>
      </c>
      <c r="CE116" s="159">
        <v>42191</v>
      </c>
      <c r="CM116" s="255">
        <v>5</v>
      </c>
      <c r="CN116" s="256">
        <v>42180</v>
      </c>
      <c r="CO116" s="140" t="s">
        <v>8447</v>
      </c>
    </row>
    <row r="117" spans="1:93" ht="15">
      <c r="A117" s="124" t="s">
        <v>7656</v>
      </c>
      <c r="B117" s="161" t="s">
        <v>7505</v>
      </c>
      <c r="C117" s="268" t="s">
        <v>269</v>
      </c>
      <c r="D117" s="243">
        <v>1</v>
      </c>
      <c r="E117" s="183">
        <v>70</v>
      </c>
      <c r="F117" s="244">
        <v>6</v>
      </c>
      <c r="G117" s="245">
        <v>20</v>
      </c>
      <c r="L117" s="254">
        <v>7</v>
      </c>
      <c r="N117" s="246">
        <v>2.93</v>
      </c>
      <c r="O117" s="159">
        <v>42191</v>
      </c>
      <c r="T117" s="247">
        <v>8.81</v>
      </c>
      <c r="U117" s="256">
        <v>42200</v>
      </c>
      <c r="V117" s="145">
        <v>18.5</v>
      </c>
      <c r="W117" s="159">
        <v>42191</v>
      </c>
      <c r="AD117" s="145">
        <f>(N117/V117)*(((100-CD117)/100)*((100-2)/100))*100</f>
        <v>14.496689729729731</v>
      </c>
      <c r="AF117" s="257">
        <v>16.57</v>
      </c>
      <c r="AG117" s="159">
        <v>42191</v>
      </c>
      <c r="AJ117" s="249">
        <v>125</v>
      </c>
      <c r="AN117" s="250">
        <v>105</v>
      </c>
      <c r="BB117" s="257">
        <v>5</v>
      </c>
      <c r="BN117" s="251">
        <v>64.045000000000002</v>
      </c>
      <c r="BO117" s="256">
        <v>42200</v>
      </c>
      <c r="BT117" s="251">
        <v>53.181022644042969</v>
      </c>
      <c r="BU117" s="256">
        <v>42200</v>
      </c>
      <c r="BV117" s="251">
        <v>15.419734954833984</v>
      </c>
      <c r="BW117" s="256">
        <v>42200</v>
      </c>
      <c r="BX117" s="251">
        <v>19.067</v>
      </c>
      <c r="BY117" s="256">
        <v>42200</v>
      </c>
      <c r="CD117" s="253">
        <v>6.6</v>
      </c>
      <c r="CE117" s="159">
        <v>42191</v>
      </c>
      <c r="CM117" s="255">
        <v>3</v>
      </c>
      <c r="CN117" s="256">
        <v>42180</v>
      </c>
      <c r="CO117" s="140" t="s">
        <v>8447</v>
      </c>
    </row>
    <row r="118" spans="1:93" ht="15" customHeight="1">
      <c r="A118" s="124" t="s">
        <v>7614</v>
      </c>
      <c r="B118" s="161" t="s">
        <v>7468</v>
      </c>
      <c r="C118" s="268" t="s">
        <v>269</v>
      </c>
      <c r="D118" s="257">
        <v>1</v>
      </c>
      <c r="E118" s="183">
        <v>28</v>
      </c>
      <c r="F118" s="257">
        <v>6</v>
      </c>
      <c r="G118" s="257">
        <v>27</v>
      </c>
      <c r="L118" s="257">
        <v>8</v>
      </c>
      <c r="N118" s="257">
        <v>2.92</v>
      </c>
      <c r="O118" s="159">
        <v>42191</v>
      </c>
      <c r="T118" s="257">
        <v>8.08</v>
      </c>
      <c r="U118" s="256">
        <v>42200</v>
      </c>
      <c r="V118" s="145">
        <v>18.5</v>
      </c>
      <c r="W118" s="159">
        <v>42191</v>
      </c>
      <c r="AD118" s="145">
        <f>(N118/V118)*(((100-CD118)/100)*((100-2)/100))*100</f>
        <v>14.509085405405402</v>
      </c>
      <c r="AF118" s="257">
        <v>16.59</v>
      </c>
      <c r="AG118" s="159">
        <v>42191</v>
      </c>
      <c r="AJ118" s="257">
        <v>120</v>
      </c>
      <c r="AN118" s="257">
        <v>99</v>
      </c>
      <c r="BB118" s="257">
        <v>3</v>
      </c>
      <c r="BN118" s="251">
        <v>62.228000000000002</v>
      </c>
      <c r="BO118" s="256">
        <v>42200</v>
      </c>
      <c r="BT118" s="251">
        <v>48.691314697265625</v>
      </c>
      <c r="BU118" s="256">
        <v>42200</v>
      </c>
      <c r="BV118" s="251">
        <v>18.556219100952148</v>
      </c>
      <c r="BW118" s="256">
        <v>42200</v>
      </c>
      <c r="BX118" s="251">
        <v>68.432000000000002</v>
      </c>
      <c r="BY118" s="256">
        <v>42200</v>
      </c>
      <c r="CD118" s="257">
        <v>6.2</v>
      </c>
      <c r="CE118" s="159">
        <v>42191</v>
      </c>
      <c r="CM118" s="255">
        <v>7</v>
      </c>
      <c r="CN118" s="256">
        <v>42180</v>
      </c>
      <c r="CO118" s="140" t="s">
        <v>8447</v>
      </c>
    </row>
    <row r="119" spans="1:93" ht="15" customHeight="1">
      <c r="A119" s="124" t="s">
        <v>7657</v>
      </c>
      <c r="B119" s="161" t="s">
        <v>7506</v>
      </c>
      <c r="C119" s="268" t="s">
        <v>269</v>
      </c>
      <c r="D119" s="257">
        <v>2</v>
      </c>
      <c r="E119" s="183">
        <v>71</v>
      </c>
      <c r="F119" s="257">
        <v>11</v>
      </c>
      <c r="G119" s="257">
        <v>21</v>
      </c>
      <c r="L119" s="257">
        <v>3</v>
      </c>
      <c r="N119" s="257">
        <v>2.94</v>
      </c>
      <c r="O119" s="159">
        <v>42191</v>
      </c>
      <c r="T119" s="257">
        <v>8.67</v>
      </c>
      <c r="U119" s="256">
        <v>42200</v>
      </c>
      <c r="V119" s="145">
        <v>18.5</v>
      </c>
      <c r="W119" s="159">
        <v>42191</v>
      </c>
      <c r="AD119" s="145">
        <f>(N119/V119)*(((100-CD119)/100)*((100-2)/100))*100</f>
        <v>14.546166486486486</v>
      </c>
      <c r="AF119" s="257">
        <v>16.63</v>
      </c>
      <c r="AG119" s="159">
        <v>42191</v>
      </c>
      <c r="AJ119" s="257">
        <v>120</v>
      </c>
      <c r="AN119" s="257">
        <v>106</v>
      </c>
      <c r="BB119" s="257">
        <v>9</v>
      </c>
      <c r="BN119" s="251">
        <v>62.872</v>
      </c>
      <c r="BO119" s="256">
        <v>42200</v>
      </c>
      <c r="BT119" s="251">
        <v>52.139930725097656</v>
      </c>
      <c r="BU119" s="256">
        <v>42200</v>
      </c>
      <c r="BV119" s="251">
        <v>15.880854606628418</v>
      </c>
      <c r="BW119" s="256">
        <v>42200</v>
      </c>
      <c r="BX119" s="251">
        <v>20.959</v>
      </c>
      <c r="BY119" s="256">
        <v>42200</v>
      </c>
      <c r="CD119" s="257">
        <v>6.6</v>
      </c>
      <c r="CE119" s="159">
        <v>42191</v>
      </c>
      <c r="CM119" s="255">
        <v>3</v>
      </c>
      <c r="CN119" s="256">
        <v>42180</v>
      </c>
      <c r="CO119" s="140" t="s">
        <v>8448</v>
      </c>
    </row>
    <row r="120" spans="1:93" ht="15" customHeight="1">
      <c r="A120" s="124" t="s">
        <v>7705</v>
      </c>
      <c r="B120" s="161" t="s">
        <v>7780</v>
      </c>
      <c r="C120" s="268" t="s">
        <v>267</v>
      </c>
      <c r="D120" s="257">
        <v>4</v>
      </c>
      <c r="E120" s="183">
        <v>119</v>
      </c>
      <c r="F120" s="257">
        <v>19</v>
      </c>
      <c r="G120" s="257">
        <v>4</v>
      </c>
      <c r="L120" s="257">
        <v>9</v>
      </c>
      <c r="N120" s="257">
        <v>3</v>
      </c>
      <c r="O120" s="159">
        <v>42191</v>
      </c>
      <c r="T120" s="257">
        <v>7.97</v>
      </c>
      <c r="U120" s="256">
        <v>42200</v>
      </c>
      <c r="V120" s="145">
        <v>18.5</v>
      </c>
      <c r="W120" s="159">
        <v>42191</v>
      </c>
      <c r="AD120" s="145">
        <f>(N120/V120)*(((100-CD120)/100)*((100-2)/100))*100</f>
        <v>14.588756756756755</v>
      </c>
      <c r="AF120" s="257">
        <v>16.68</v>
      </c>
      <c r="AG120" s="159">
        <v>42191</v>
      </c>
      <c r="AJ120" s="257">
        <v>145</v>
      </c>
      <c r="AN120" s="257">
        <v>107</v>
      </c>
      <c r="BB120" s="257">
        <v>9</v>
      </c>
      <c r="BN120" s="251">
        <v>65.066999999999993</v>
      </c>
      <c r="BO120" s="256">
        <v>42200</v>
      </c>
      <c r="BT120" s="251">
        <v>47.769676208496094</v>
      </c>
      <c r="BU120" s="256">
        <v>42200</v>
      </c>
      <c r="BV120" s="251">
        <v>20.466609954833984</v>
      </c>
      <c r="BW120" s="256">
        <v>42200</v>
      </c>
      <c r="BX120" s="251">
        <v>64.406000000000006</v>
      </c>
      <c r="BY120" s="256">
        <v>42200</v>
      </c>
      <c r="CD120" s="257">
        <v>8.1999999999999993</v>
      </c>
      <c r="CE120" s="159">
        <v>42191</v>
      </c>
      <c r="CM120" s="255">
        <v>3</v>
      </c>
      <c r="CN120" s="256">
        <v>42180</v>
      </c>
      <c r="CO120" s="140" t="s">
        <v>8447</v>
      </c>
    </row>
    <row r="121" spans="1:93" ht="15" customHeight="1">
      <c r="A121" s="137" t="s">
        <v>8470</v>
      </c>
      <c r="B121" s="161" t="s">
        <v>8493</v>
      </c>
      <c r="C121" s="268" t="s">
        <v>267</v>
      </c>
      <c r="D121" s="269">
        <v>4</v>
      </c>
      <c r="E121" s="280">
        <v>21</v>
      </c>
      <c r="F121" s="269"/>
      <c r="G121" s="269"/>
      <c r="H121" s="271">
        <v>22</v>
      </c>
      <c r="I121" s="271">
        <v>4</v>
      </c>
      <c r="J121" s="282"/>
      <c r="K121" s="273"/>
      <c r="L121" s="269">
        <v>9</v>
      </c>
      <c r="M121" s="274"/>
      <c r="N121" s="269">
        <v>2.99</v>
      </c>
      <c r="O121" s="274">
        <v>42191</v>
      </c>
      <c r="P121" s="272"/>
      <c r="Q121" s="274"/>
      <c r="R121" s="275"/>
      <c r="S121" s="274"/>
      <c r="T121" s="269">
        <v>8.33</v>
      </c>
      <c r="U121" s="276">
        <v>42200</v>
      </c>
      <c r="V121" s="275">
        <v>18.5</v>
      </c>
      <c r="W121" s="274">
        <v>42191</v>
      </c>
      <c r="X121" s="275"/>
      <c r="Y121" s="274"/>
      <c r="Z121" s="275"/>
      <c r="AA121" s="274"/>
      <c r="AB121" s="275"/>
      <c r="AC121" s="274"/>
      <c r="AD121" s="145">
        <f>(N121/V121)*(((100-CD121)/100)*((100-2)/100))*100</f>
        <v>14.635161081081083</v>
      </c>
      <c r="AE121" s="274"/>
      <c r="AF121" s="269">
        <v>16.73</v>
      </c>
      <c r="AG121" s="274">
        <v>42191</v>
      </c>
      <c r="AH121" s="274"/>
      <c r="AI121" s="274"/>
      <c r="AJ121" s="269">
        <v>125</v>
      </c>
      <c r="AK121" s="274"/>
      <c r="AL121" s="275"/>
      <c r="AM121" s="274"/>
      <c r="AN121" s="269">
        <v>104</v>
      </c>
      <c r="AO121" s="274"/>
      <c r="AP121" s="275"/>
      <c r="AQ121" s="275"/>
      <c r="AR121" s="275"/>
      <c r="AS121" s="275"/>
      <c r="AT121" s="275"/>
      <c r="AU121" s="275"/>
      <c r="AV121" s="275"/>
      <c r="AW121" s="275"/>
      <c r="AX121" s="275"/>
      <c r="AY121" s="275"/>
      <c r="AZ121" s="275"/>
      <c r="BA121" s="275"/>
      <c r="BB121" s="269">
        <v>5</v>
      </c>
      <c r="BC121" s="275"/>
      <c r="BD121" s="275"/>
      <c r="BE121" s="275"/>
      <c r="BF121" s="272"/>
      <c r="BG121" s="272"/>
      <c r="BH121" s="272"/>
      <c r="BI121" s="272"/>
      <c r="BJ121" s="272"/>
      <c r="BK121" s="272"/>
      <c r="BL121" s="272"/>
      <c r="BM121" s="272"/>
      <c r="BN121" s="284">
        <v>64.885000000000005</v>
      </c>
      <c r="BO121" s="276">
        <v>42200</v>
      </c>
      <c r="BP121" s="272"/>
      <c r="BQ121" s="272"/>
      <c r="BR121" s="272"/>
      <c r="BS121" s="272"/>
      <c r="BT121" s="284">
        <v>49.77</v>
      </c>
      <c r="BU121" s="276">
        <v>42200</v>
      </c>
      <c r="BV121" s="284">
        <v>20.015911102294922</v>
      </c>
      <c r="BW121" s="276">
        <v>42200</v>
      </c>
      <c r="BX121" s="284">
        <v>67.823999999999998</v>
      </c>
      <c r="BY121" s="276">
        <v>42200</v>
      </c>
      <c r="BZ121" s="272"/>
      <c r="CA121" s="272"/>
      <c r="CB121" s="272"/>
      <c r="CC121" s="272"/>
      <c r="CD121" s="269">
        <v>7.6</v>
      </c>
      <c r="CE121" s="274">
        <v>42191</v>
      </c>
      <c r="CF121" s="272"/>
      <c r="CG121" s="272"/>
      <c r="CH121" s="272"/>
      <c r="CI121" s="272"/>
      <c r="CJ121" s="272"/>
      <c r="CK121" s="272"/>
      <c r="CL121" s="272"/>
      <c r="CM121" s="278">
        <v>3</v>
      </c>
      <c r="CN121" s="276">
        <v>42180</v>
      </c>
      <c r="CO121" s="272" t="s">
        <v>8447</v>
      </c>
    </row>
    <row r="122" spans="1:93" ht="15" customHeight="1">
      <c r="A122" s="124" t="s">
        <v>7646</v>
      </c>
      <c r="B122" s="161" t="s">
        <v>263</v>
      </c>
      <c r="C122" s="268" t="s">
        <v>267</v>
      </c>
      <c r="D122" s="257">
        <v>3</v>
      </c>
      <c r="E122" s="183">
        <v>60</v>
      </c>
      <c r="F122" s="257">
        <v>14</v>
      </c>
      <c r="G122" s="257">
        <v>19</v>
      </c>
      <c r="L122" s="257">
        <v>5</v>
      </c>
      <c r="N122" s="257">
        <v>3</v>
      </c>
      <c r="O122" s="159">
        <v>42191</v>
      </c>
      <c r="T122" s="257">
        <v>8.1199999999999992</v>
      </c>
      <c r="U122" s="256">
        <v>42200</v>
      </c>
      <c r="V122" s="145">
        <v>18.5</v>
      </c>
      <c r="W122" s="159">
        <v>42191</v>
      </c>
      <c r="AD122" s="145">
        <f>(N122/V122)*(((100-CD122)/100)*((100-2)/100))*100</f>
        <v>14.636432432432434</v>
      </c>
      <c r="AF122" s="257">
        <v>16.73</v>
      </c>
      <c r="AG122" s="159">
        <v>42191</v>
      </c>
      <c r="AJ122" s="257">
        <v>105</v>
      </c>
      <c r="AN122" s="257">
        <v>108</v>
      </c>
      <c r="BB122" s="257">
        <v>7</v>
      </c>
      <c r="BN122" s="251">
        <v>72.594999999999999</v>
      </c>
      <c r="BO122" s="256">
        <v>42200</v>
      </c>
      <c r="BT122" s="251">
        <v>48.549247741699219</v>
      </c>
      <c r="BU122" s="256">
        <v>42200</v>
      </c>
      <c r="BV122" s="251">
        <v>19.137311935424805</v>
      </c>
      <c r="BW122" s="256">
        <v>42200</v>
      </c>
      <c r="BX122" s="251">
        <v>23.306000000000001</v>
      </c>
      <c r="BY122" s="256">
        <v>42200</v>
      </c>
      <c r="CD122" s="257">
        <v>7.9</v>
      </c>
      <c r="CE122" s="159">
        <v>42191</v>
      </c>
      <c r="CM122" s="255">
        <v>5</v>
      </c>
      <c r="CN122" s="256">
        <v>42180</v>
      </c>
      <c r="CO122" s="140" t="s">
        <v>8447</v>
      </c>
    </row>
    <row r="123" spans="1:93" ht="15" customHeight="1">
      <c r="A123" s="137" t="s">
        <v>8466</v>
      </c>
      <c r="B123" s="161" t="s">
        <v>8489</v>
      </c>
      <c r="C123" s="268" t="s">
        <v>267</v>
      </c>
      <c r="D123" s="269">
        <v>4</v>
      </c>
      <c r="E123" s="280">
        <v>17</v>
      </c>
      <c r="F123" s="269"/>
      <c r="G123" s="269"/>
      <c r="H123" s="271">
        <v>19</v>
      </c>
      <c r="I123" s="271">
        <v>1</v>
      </c>
      <c r="J123" s="282"/>
      <c r="K123" s="273"/>
      <c r="L123" s="269">
        <v>8</v>
      </c>
      <c r="M123" s="274"/>
      <c r="N123" s="269">
        <v>3</v>
      </c>
      <c r="O123" s="274">
        <v>42191</v>
      </c>
      <c r="P123" s="272"/>
      <c r="Q123" s="274"/>
      <c r="R123" s="275"/>
      <c r="S123" s="274"/>
      <c r="T123" s="269">
        <v>8.02</v>
      </c>
      <c r="U123" s="276">
        <v>42200</v>
      </c>
      <c r="V123" s="275">
        <v>18.5</v>
      </c>
      <c r="W123" s="274">
        <v>42191</v>
      </c>
      <c r="X123" s="275"/>
      <c r="Y123" s="274"/>
      <c r="Z123" s="275"/>
      <c r="AA123" s="274"/>
      <c r="AB123" s="275"/>
      <c r="AC123" s="274"/>
      <c r="AD123" s="145">
        <f>(N123/V123)*(((100-CD123)/100)*((100-2)/100))*100</f>
        <v>14.668216216216216</v>
      </c>
      <c r="AE123" s="274"/>
      <c r="AF123" s="269">
        <v>16.77</v>
      </c>
      <c r="AG123" s="274">
        <v>42191</v>
      </c>
      <c r="AH123" s="274"/>
      <c r="AI123" s="274"/>
      <c r="AJ123" s="269">
        <v>125</v>
      </c>
      <c r="AK123" s="274"/>
      <c r="AL123" s="275"/>
      <c r="AM123" s="274"/>
      <c r="AN123" s="269">
        <v>100</v>
      </c>
      <c r="AO123" s="274"/>
      <c r="AP123" s="275"/>
      <c r="AQ123" s="275"/>
      <c r="AR123" s="275"/>
      <c r="AS123" s="275"/>
      <c r="AT123" s="275"/>
      <c r="AU123" s="275"/>
      <c r="AV123" s="275"/>
      <c r="AW123" s="275"/>
      <c r="AX123" s="275"/>
      <c r="AY123" s="275"/>
      <c r="AZ123" s="275"/>
      <c r="BA123" s="275"/>
      <c r="BB123" s="269">
        <v>5</v>
      </c>
      <c r="BC123" s="275"/>
      <c r="BD123" s="275"/>
      <c r="BE123" s="275"/>
      <c r="BF123" s="272"/>
      <c r="BG123" s="272"/>
      <c r="BH123" s="272"/>
      <c r="BI123" s="272"/>
      <c r="BJ123" s="272"/>
      <c r="BK123" s="272"/>
      <c r="BL123" s="272"/>
      <c r="BM123" s="272"/>
      <c r="BN123" s="284">
        <v>64.16</v>
      </c>
      <c r="BO123" s="276">
        <v>42200</v>
      </c>
      <c r="BP123" s="272"/>
      <c r="BQ123" s="272"/>
      <c r="BR123" s="272"/>
      <c r="BS123" s="272"/>
      <c r="BT123" s="284">
        <v>47.85</v>
      </c>
      <c r="BU123" s="276">
        <v>42200</v>
      </c>
      <c r="BV123" s="284">
        <v>19.654535293579102</v>
      </c>
      <c r="BW123" s="276">
        <v>42200</v>
      </c>
      <c r="BX123" s="284">
        <v>69.906000000000006</v>
      </c>
      <c r="BY123" s="276">
        <v>42200</v>
      </c>
      <c r="BZ123" s="272"/>
      <c r="CA123" s="272"/>
      <c r="CB123" s="272"/>
      <c r="CC123" s="272"/>
      <c r="CD123" s="269">
        <v>7.7</v>
      </c>
      <c r="CE123" s="274">
        <v>42191</v>
      </c>
      <c r="CF123" s="272"/>
      <c r="CG123" s="272"/>
      <c r="CH123" s="272"/>
      <c r="CI123" s="272"/>
      <c r="CJ123" s="272"/>
      <c r="CK123" s="272"/>
      <c r="CL123" s="272"/>
      <c r="CM123" s="278">
        <v>7</v>
      </c>
      <c r="CN123" s="276">
        <v>42180</v>
      </c>
      <c r="CO123" s="272" t="s">
        <v>8447</v>
      </c>
    </row>
    <row r="124" spans="1:93" ht="15" customHeight="1">
      <c r="A124" s="124" t="s">
        <v>7688</v>
      </c>
      <c r="B124" s="161" t="s">
        <v>7535</v>
      </c>
      <c r="C124" s="268" t="s">
        <v>267</v>
      </c>
      <c r="D124" s="257">
        <v>3</v>
      </c>
      <c r="E124" s="183">
        <v>102</v>
      </c>
      <c r="F124" s="257">
        <v>16</v>
      </c>
      <c r="G124" s="257">
        <v>18</v>
      </c>
      <c r="L124" s="257">
        <v>3</v>
      </c>
      <c r="N124" s="257">
        <v>3</v>
      </c>
      <c r="O124" s="159">
        <v>42191</v>
      </c>
      <c r="T124" s="257">
        <v>7.8</v>
      </c>
      <c r="U124" s="256">
        <v>42200</v>
      </c>
      <c r="V124" s="145">
        <v>18.5</v>
      </c>
      <c r="W124" s="159">
        <v>42191</v>
      </c>
      <c r="AD124" s="145">
        <f>(N124/V124)*(((100-CD124)/100)*((100-2)/100))*100</f>
        <v>14.684108108108109</v>
      </c>
      <c r="AF124" s="257">
        <v>16.79</v>
      </c>
      <c r="AG124" s="159">
        <v>42191</v>
      </c>
      <c r="AJ124" s="257">
        <v>120</v>
      </c>
      <c r="AN124" s="257">
        <v>106</v>
      </c>
      <c r="BB124" s="257">
        <v>7</v>
      </c>
      <c r="BN124" s="251">
        <v>65.551000000000002</v>
      </c>
      <c r="BO124" s="256">
        <v>42200</v>
      </c>
      <c r="BT124" s="251">
        <v>46.435676574707031</v>
      </c>
      <c r="BU124" s="256">
        <v>42200</v>
      </c>
      <c r="BV124" s="251">
        <v>17.608150482177734</v>
      </c>
      <c r="BW124" s="256">
        <v>42200</v>
      </c>
      <c r="BX124" s="251">
        <v>17.244</v>
      </c>
      <c r="BY124" s="256">
        <v>42200</v>
      </c>
      <c r="CD124" s="257">
        <v>7.6</v>
      </c>
      <c r="CE124" s="159">
        <v>42191</v>
      </c>
      <c r="CM124" s="255">
        <v>9</v>
      </c>
      <c r="CN124" s="256">
        <v>42180</v>
      </c>
      <c r="CO124" s="140" t="s">
        <v>8448</v>
      </c>
    </row>
    <row r="125" spans="1:93" ht="15" customHeight="1">
      <c r="A125" s="137" t="s">
        <v>8453</v>
      </c>
      <c r="B125" s="161" t="s">
        <v>8476</v>
      </c>
      <c r="C125" s="268" t="s">
        <v>267</v>
      </c>
      <c r="D125" s="269">
        <v>3</v>
      </c>
      <c r="E125" s="280">
        <v>4</v>
      </c>
      <c r="F125" s="269"/>
      <c r="G125" s="269"/>
      <c r="H125" s="271">
        <v>15</v>
      </c>
      <c r="I125" s="271">
        <v>4</v>
      </c>
      <c r="J125" s="282"/>
      <c r="K125" s="273"/>
      <c r="L125" s="269">
        <v>9</v>
      </c>
      <c r="M125" s="274"/>
      <c r="N125" s="269">
        <v>3</v>
      </c>
      <c r="O125" s="274">
        <v>42191</v>
      </c>
      <c r="P125" s="272"/>
      <c r="Q125" s="274"/>
      <c r="R125" s="275"/>
      <c r="S125" s="274"/>
      <c r="T125" s="269">
        <v>7.65</v>
      </c>
      <c r="U125" s="276">
        <v>42200</v>
      </c>
      <c r="V125" s="275">
        <v>18.5</v>
      </c>
      <c r="W125" s="274">
        <v>42191</v>
      </c>
      <c r="X125" s="275"/>
      <c r="Y125" s="274"/>
      <c r="Z125" s="275"/>
      <c r="AA125" s="274"/>
      <c r="AB125" s="275"/>
      <c r="AC125" s="274"/>
      <c r="AD125" s="145">
        <f>(N125/V125)*(((100-CD125)/100)*((100-2)/100))*100</f>
        <v>14.7</v>
      </c>
      <c r="AE125" s="274"/>
      <c r="AF125" s="269">
        <v>16.8</v>
      </c>
      <c r="AG125" s="274">
        <v>42191</v>
      </c>
      <c r="AH125" s="274"/>
      <c r="AI125" s="274"/>
      <c r="AJ125" s="269">
        <v>120</v>
      </c>
      <c r="AK125" s="274"/>
      <c r="AL125" s="275"/>
      <c r="AM125" s="274"/>
      <c r="AN125" s="269">
        <v>98</v>
      </c>
      <c r="AO125" s="274"/>
      <c r="AP125" s="275"/>
      <c r="AQ125" s="275"/>
      <c r="AR125" s="275"/>
      <c r="AS125" s="275"/>
      <c r="AT125" s="275"/>
      <c r="AU125" s="275"/>
      <c r="AV125" s="275"/>
      <c r="AW125" s="275"/>
      <c r="AX125" s="275"/>
      <c r="AY125" s="275"/>
      <c r="AZ125" s="275"/>
      <c r="BA125" s="275"/>
      <c r="BB125" s="269">
        <v>5</v>
      </c>
      <c r="BC125" s="275"/>
      <c r="BD125" s="275"/>
      <c r="BE125" s="275"/>
      <c r="BF125" s="272"/>
      <c r="BG125" s="272"/>
      <c r="BH125" s="272"/>
      <c r="BI125" s="272"/>
      <c r="BJ125" s="272"/>
      <c r="BK125" s="272"/>
      <c r="BL125" s="272"/>
      <c r="BM125" s="272"/>
      <c r="BN125" s="284">
        <v>65.581999999999994</v>
      </c>
      <c r="BO125" s="276">
        <v>42200</v>
      </c>
      <c r="BP125" s="272"/>
      <c r="BQ125" s="272"/>
      <c r="BR125" s="272"/>
      <c r="BS125" s="272"/>
      <c r="BT125" s="284">
        <v>45.55</v>
      </c>
      <c r="BU125" s="276">
        <v>42200</v>
      </c>
      <c r="BV125" s="284">
        <v>22.090961456298828</v>
      </c>
      <c r="BW125" s="276">
        <v>42200</v>
      </c>
      <c r="BX125" s="284">
        <v>58.744</v>
      </c>
      <c r="BY125" s="276">
        <v>42200</v>
      </c>
      <c r="BZ125" s="272"/>
      <c r="CA125" s="272"/>
      <c r="CB125" s="272"/>
      <c r="CC125" s="272"/>
      <c r="CD125" s="269">
        <v>7.5</v>
      </c>
      <c r="CE125" s="274">
        <v>42191</v>
      </c>
      <c r="CF125" s="272"/>
      <c r="CG125" s="272"/>
      <c r="CH125" s="272"/>
      <c r="CI125" s="272"/>
      <c r="CJ125" s="272"/>
      <c r="CK125" s="272"/>
      <c r="CL125" s="272"/>
      <c r="CM125" s="278">
        <v>5</v>
      </c>
      <c r="CN125" s="276">
        <v>42180</v>
      </c>
      <c r="CO125" s="272" t="s">
        <v>8447</v>
      </c>
    </row>
    <row r="126" spans="1:93" ht="15" customHeight="1">
      <c r="A126" s="137" t="s">
        <v>8465</v>
      </c>
      <c r="B126" s="161" t="s">
        <v>8488</v>
      </c>
      <c r="C126" s="268" t="s">
        <v>267</v>
      </c>
      <c r="D126" s="269">
        <v>4</v>
      </c>
      <c r="E126" s="280">
        <v>16</v>
      </c>
      <c r="F126" s="269"/>
      <c r="G126" s="269"/>
      <c r="H126" s="271">
        <v>19</v>
      </c>
      <c r="I126" s="271">
        <v>3</v>
      </c>
      <c r="J126" s="282"/>
      <c r="K126" s="273"/>
      <c r="L126" s="269">
        <v>9</v>
      </c>
      <c r="M126" s="274"/>
      <c r="N126" s="269">
        <v>3.01</v>
      </c>
      <c r="O126" s="274">
        <v>42191</v>
      </c>
      <c r="P126" s="272"/>
      <c r="Q126" s="274"/>
      <c r="R126" s="275"/>
      <c r="S126" s="274"/>
      <c r="T126" s="269">
        <v>8.07</v>
      </c>
      <c r="U126" s="276">
        <v>42200</v>
      </c>
      <c r="V126" s="275">
        <v>18.5</v>
      </c>
      <c r="W126" s="274">
        <v>42191</v>
      </c>
      <c r="X126" s="275"/>
      <c r="Y126" s="274"/>
      <c r="Z126" s="275"/>
      <c r="AA126" s="274"/>
      <c r="AB126" s="275"/>
      <c r="AC126" s="274"/>
      <c r="AD126" s="145">
        <f>(N126/V126)*(((100-CD126)/100)*((100-2)/100))*100</f>
        <v>14.748999999999999</v>
      </c>
      <c r="AE126" s="274"/>
      <c r="AF126" s="269">
        <v>16.86</v>
      </c>
      <c r="AG126" s="274">
        <v>42191</v>
      </c>
      <c r="AH126" s="274"/>
      <c r="AI126" s="274"/>
      <c r="AJ126" s="269">
        <v>120</v>
      </c>
      <c r="AK126" s="274"/>
      <c r="AL126" s="275"/>
      <c r="AM126" s="274"/>
      <c r="AN126" s="269">
        <v>106</v>
      </c>
      <c r="AO126" s="274"/>
      <c r="AP126" s="275"/>
      <c r="AQ126" s="275"/>
      <c r="AR126" s="275"/>
      <c r="AS126" s="275"/>
      <c r="AT126" s="275"/>
      <c r="AU126" s="275"/>
      <c r="AV126" s="275"/>
      <c r="AW126" s="275"/>
      <c r="AX126" s="275"/>
      <c r="AY126" s="275"/>
      <c r="AZ126" s="275"/>
      <c r="BA126" s="275"/>
      <c r="BB126" s="269">
        <v>7</v>
      </c>
      <c r="BC126" s="275"/>
      <c r="BD126" s="275"/>
      <c r="BE126" s="275"/>
      <c r="BF126" s="272"/>
      <c r="BG126" s="272"/>
      <c r="BH126" s="272"/>
      <c r="BI126" s="272"/>
      <c r="BJ126" s="272"/>
      <c r="BK126" s="272"/>
      <c r="BL126" s="272"/>
      <c r="BM126" s="272"/>
      <c r="BN126" s="284">
        <v>67.146000000000001</v>
      </c>
      <c r="BO126" s="276">
        <v>42200</v>
      </c>
      <c r="BP126" s="272"/>
      <c r="BQ126" s="272"/>
      <c r="BR126" s="272"/>
      <c r="BS126" s="272"/>
      <c r="BT126" s="284">
        <v>47.84</v>
      </c>
      <c r="BU126" s="276">
        <v>42200</v>
      </c>
      <c r="BV126" s="284">
        <v>20.662738800048828</v>
      </c>
      <c r="BW126" s="276">
        <v>42200</v>
      </c>
      <c r="BX126" s="284">
        <v>74.346999999999994</v>
      </c>
      <c r="BY126" s="276">
        <v>42200</v>
      </c>
      <c r="BZ126" s="272"/>
      <c r="CA126" s="272"/>
      <c r="CB126" s="272"/>
      <c r="CC126" s="272"/>
      <c r="CD126" s="269">
        <v>7.5</v>
      </c>
      <c r="CE126" s="274">
        <v>42191</v>
      </c>
      <c r="CF126" s="272"/>
      <c r="CG126" s="272"/>
      <c r="CH126" s="272"/>
      <c r="CI126" s="272"/>
      <c r="CJ126" s="272"/>
      <c r="CK126" s="272"/>
      <c r="CL126" s="272"/>
      <c r="CM126" s="278">
        <v>3</v>
      </c>
      <c r="CN126" s="276">
        <v>42180</v>
      </c>
      <c r="CO126" s="272" t="s">
        <v>8447</v>
      </c>
    </row>
    <row r="127" spans="1:93" ht="15">
      <c r="A127" s="124" t="s">
        <v>7587</v>
      </c>
      <c r="B127" s="161" t="s">
        <v>7767</v>
      </c>
      <c r="C127" s="268" t="s">
        <v>269</v>
      </c>
      <c r="D127" s="243">
        <v>2</v>
      </c>
      <c r="E127" s="183">
        <v>1</v>
      </c>
      <c r="F127" s="244">
        <v>11</v>
      </c>
      <c r="G127" s="245">
        <v>1</v>
      </c>
      <c r="J127" s="118"/>
      <c r="K127" s="118"/>
      <c r="L127" s="254">
        <v>8</v>
      </c>
      <c r="M127"/>
      <c r="N127" s="246">
        <v>2.98</v>
      </c>
      <c r="O127" s="159">
        <v>42191</v>
      </c>
      <c r="P127"/>
      <c r="Q127"/>
      <c r="R127"/>
      <c r="S127"/>
      <c r="T127" s="247">
        <v>8.43</v>
      </c>
      <c r="U127" s="256">
        <v>42200</v>
      </c>
      <c r="V127" s="145">
        <v>18.5</v>
      </c>
      <c r="W127" s="159">
        <v>42191</v>
      </c>
      <c r="X127"/>
      <c r="Y127"/>
      <c r="Z127"/>
      <c r="AA127"/>
      <c r="AB127"/>
      <c r="AC127"/>
      <c r="AD127" s="145">
        <f>(N127/V127)*(((100-CD127)/100)*((100-2)/100))*100</f>
        <v>14.759859459459459</v>
      </c>
      <c r="AE127"/>
      <c r="AF127" s="257">
        <v>16.87</v>
      </c>
      <c r="AG127" s="159">
        <v>42191</v>
      </c>
      <c r="AJ127" s="249">
        <v>120</v>
      </c>
      <c r="AL127" s="145"/>
      <c r="AN127" s="250">
        <v>107</v>
      </c>
      <c r="BB127" s="257">
        <v>5</v>
      </c>
      <c r="BN127" s="251">
        <v>65.007999999999996</v>
      </c>
      <c r="BO127" s="256">
        <v>42200</v>
      </c>
      <c r="BT127" s="251">
        <v>49.976779937744141</v>
      </c>
      <c r="BU127" s="256">
        <v>42200</v>
      </c>
      <c r="BV127" s="251">
        <v>17.510507583618164</v>
      </c>
      <c r="BW127" s="256">
        <v>42200</v>
      </c>
      <c r="BX127" s="251">
        <v>56.023000000000003</v>
      </c>
      <c r="BY127" s="256">
        <v>42200</v>
      </c>
      <c r="CD127" s="253">
        <v>6.5</v>
      </c>
      <c r="CE127" s="159">
        <v>42191</v>
      </c>
      <c r="CM127" s="255">
        <v>5</v>
      </c>
      <c r="CN127" s="256">
        <v>42180</v>
      </c>
      <c r="CO127" s="140" t="s">
        <v>8448</v>
      </c>
    </row>
    <row r="128" spans="1:93" ht="15" customHeight="1">
      <c r="A128" s="124" t="s">
        <v>7590</v>
      </c>
      <c r="B128" s="161" t="s">
        <v>7450</v>
      </c>
      <c r="C128" s="268" t="s">
        <v>269</v>
      </c>
      <c r="D128" s="257">
        <v>1</v>
      </c>
      <c r="E128" s="183">
        <v>4</v>
      </c>
      <c r="F128" s="257">
        <v>5</v>
      </c>
      <c r="G128" s="257">
        <v>26</v>
      </c>
      <c r="J128" s="266"/>
      <c r="L128" s="257">
        <v>9</v>
      </c>
      <c r="N128" s="257">
        <v>2.98</v>
      </c>
      <c r="O128" s="159">
        <v>42191</v>
      </c>
      <c r="P128" s="144"/>
      <c r="R128" s="145"/>
      <c r="T128" s="257">
        <v>8.24</v>
      </c>
      <c r="U128" s="256">
        <v>42200</v>
      </c>
      <c r="V128" s="145">
        <v>18.5</v>
      </c>
      <c r="W128" s="159">
        <v>42191</v>
      </c>
      <c r="X128" s="145"/>
      <c r="Z128" s="145"/>
      <c r="AB128" s="145"/>
      <c r="AD128" s="145">
        <f>(N128/V128)*(((100-CD128)/100)*((100-2)/100))*100</f>
        <v>14.791431351351353</v>
      </c>
      <c r="AF128" s="257">
        <v>16.91</v>
      </c>
      <c r="AG128" s="159">
        <v>42191</v>
      </c>
      <c r="AJ128" s="257">
        <v>160</v>
      </c>
      <c r="AL128" s="145"/>
      <c r="AN128" s="257">
        <v>103</v>
      </c>
      <c r="BB128" s="257">
        <v>7</v>
      </c>
      <c r="BN128" s="251">
        <v>65.858999999999995</v>
      </c>
      <c r="BO128" s="256">
        <v>42200</v>
      </c>
      <c r="BT128" s="251">
        <v>48.7515869140625</v>
      </c>
      <c r="BU128" s="256">
        <v>42200</v>
      </c>
      <c r="BV128" s="251">
        <v>20.175121307373047</v>
      </c>
      <c r="BW128" s="256">
        <v>42200</v>
      </c>
      <c r="BX128" s="251">
        <v>72.054000000000002</v>
      </c>
      <c r="BY128" s="256">
        <v>42200</v>
      </c>
      <c r="CD128" s="257">
        <v>6.3</v>
      </c>
      <c r="CE128" s="159">
        <v>42191</v>
      </c>
      <c r="CM128" s="255">
        <v>3</v>
      </c>
      <c r="CN128" s="256">
        <v>42180</v>
      </c>
      <c r="CO128" s="140" t="s">
        <v>8447</v>
      </c>
    </row>
    <row r="129" spans="1:93" ht="15">
      <c r="A129" s="124" t="s">
        <v>7622</v>
      </c>
      <c r="B129" s="161" t="s">
        <v>7475</v>
      </c>
      <c r="C129" s="268" t="s">
        <v>267</v>
      </c>
      <c r="D129" s="243">
        <v>4</v>
      </c>
      <c r="E129" s="183">
        <v>36</v>
      </c>
      <c r="F129" s="244">
        <v>23</v>
      </c>
      <c r="G129" s="245">
        <v>4</v>
      </c>
      <c r="L129" s="254">
        <v>9</v>
      </c>
      <c r="N129" s="246">
        <v>3.04</v>
      </c>
      <c r="O129" s="159">
        <v>42191</v>
      </c>
      <c r="T129" s="247">
        <v>8.26</v>
      </c>
      <c r="U129" s="256">
        <v>42200</v>
      </c>
      <c r="V129" s="145">
        <v>18.5</v>
      </c>
      <c r="W129" s="159">
        <v>42191</v>
      </c>
      <c r="AD129" s="145">
        <f>(N129/V129)*(((100-CD129)/100)*((100-2)/100))*100</f>
        <v>14.815481081081083</v>
      </c>
      <c r="AF129" s="257">
        <v>16.940000000000001</v>
      </c>
      <c r="AG129" s="159">
        <v>42191</v>
      </c>
      <c r="AJ129" s="249">
        <v>125</v>
      </c>
      <c r="AN129" s="250">
        <v>102</v>
      </c>
      <c r="BB129" s="257">
        <v>5</v>
      </c>
      <c r="BN129" s="251">
        <v>64.180000000000007</v>
      </c>
      <c r="BO129" s="256">
        <v>42200</v>
      </c>
      <c r="BT129" s="251">
        <v>48.746566772460938</v>
      </c>
      <c r="BU129" s="256">
        <v>42200</v>
      </c>
      <c r="BV129" s="251">
        <v>18.095756530761719</v>
      </c>
      <c r="BW129" s="256">
        <v>42200</v>
      </c>
      <c r="BX129" s="251">
        <v>55.654000000000003</v>
      </c>
      <c r="BY129" s="256">
        <v>42200</v>
      </c>
      <c r="CD129" s="253">
        <v>8</v>
      </c>
      <c r="CE129" s="159">
        <v>42191</v>
      </c>
      <c r="CM129" s="255">
        <v>5</v>
      </c>
      <c r="CN129" s="256">
        <v>42180</v>
      </c>
      <c r="CO129" s="140" t="s">
        <v>8447</v>
      </c>
    </row>
    <row r="130" spans="1:93" ht="15">
      <c r="A130" s="124" t="s">
        <v>7709</v>
      </c>
      <c r="B130" s="161" t="s">
        <v>7548</v>
      </c>
      <c r="C130" s="268" t="s">
        <v>269</v>
      </c>
      <c r="D130" s="243">
        <v>2</v>
      </c>
      <c r="E130" s="183">
        <v>123</v>
      </c>
      <c r="F130" s="244">
        <v>7</v>
      </c>
      <c r="G130" s="245">
        <v>15</v>
      </c>
      <c r="L130" s="254">
        <v>8</v>
      </c>
      <c r="N130" s="246">
        <v>2.99</v>
      </c>
      <c r="O130" s="159">
        <v>42191</v>
      </c>
      <c r="T130" s="247">
        <v>8.93</v>
      </c>
      <c r="U130" s="256">
        <v>42200</v>
      </c>
      <c r="V130" s="145">
        <v>18.5</v>
      </c>
      <c r="W130" s="159">
        <v>42191</v>
      </c>
      <c r="AD130" s="145">
        <f>(N130/V130)*(((100-CD130)/100)*((100-2)/100))*100</f>
        <v>14.825228108108107</v>
      </c>
      <c r="AF130" s="257">
        <v>16.95</v>
      </c>
      <c r="AG130" s="159">
        <v>42191</v>
      </c>
      <c r="AJ130" s="249">
        <v>145</v>
      </c>
      <c r="AN130" s="250">
        <v>106</v>
      </c>
      <c r="BB130" s="257">
        <v>5</v>
      </c>
      <c r="BN130" s="251">
        <v>64.296000000000006</v>
      </c>
      <c r="BO130" s="256">
        <v>42200</v>
      </c>
      <c r="BT130" s="251">
        <v>52.694168090820312</v>
      </c>
      <c r="BU130" s="256">
        <v>42200</v>
      </c>
      <c r="BV130" s="251">
        <v>16.812067031860352</v>
      </c>
      <c r="BW130" s="256">
        <v>42200</v>
      </c>
      <c r="BX130" s="251">
        <v>48.396000000000001</v>
      </c>
      <c r="BY130" s="256">
        <v>42200</v>
      </c>
      <c r="CD130" s="253">
        <v>6.4</v>
      </c>
      <c r="CE130" s="159">
        <v>42191</v>
      </c>
      <c r="CM130" s="255">
        <v>3</v>
      </c>
      <c r="CN130" s="256">
        <v>42180</v>
      </c>
      <c r="CO130" s="140" t="s">
        <v>8448</v>
      </c>
    </row>
    <row r="131" spans="1:93" ht="15">
      <c r="A131" s="124" t="s">
        <v>7706</v>
      </c>
      <c r="B131" s="161" t="s">
        <v>7781</v>
      </c>
      <c r="C131" s="268" t="s">
        <v>267</v>
      </c>
      <c r="D131" s="243">
        <v>4</v>
      </c>
      <c r="E131" s="183">
        <v>120</v>
      </c>
      <c r="F131" s="244">
        <v>24</v>
      </c>
      <c r="G131" s="245">
        <v>31</v>
      </c>
      <c r="L131" s="254">
        <v>7</v>
      </c>
      <c r="N131" s="246">
        <v>3</v>
      </c>
      <c r="O131" s="159">
        <v>42191</v>
      </c>
      <c r="T131" s="247">
        <v>8.35</v>
      </c>
      <c r="U131" s="256">
        <v>42200</v>
      </c>
      <c r="V131" s="145">
        <v>18.5</v>
      </c>
      <c r="W131" s="159">
        <v>42191</v>
      </c>
      <c r="AD131" s="145">
        <f>(N131/V131)*(((100-CD131)/100)*((100-2)/100))*100</f>
        <v>14.843027027027029</v>
      </c>
      <c r="AF131" s="257">
        <v>16.97</v>
      </c>
      <c r="AG131" s="159">
        <v>42191</v>
      </c>
      <c r="AJ131" s="249">
        <v>130</v>
      </c>
      <c r="AN131" s="250">
        <v>100</v>
      </c>
      <c r="BB131" s="257">
        <v>7</v>
      </c>
      <c r="BN131" s="251">
        <v>65.525999999999996</v>
      </c>
      <c r="BO131" s="256">
        <v>42200</v>
      </c>
      <c r="BT131" s="251">
        <v>49.211582183837891</v>
      </c>
      <c r="BU131" s="256">
        <v>42200</v>
      </c>
      <c r="BV131" s="251">
        <v>19.79925537109375</v>
      </c>
      <c r="BW131" s="256">
        <v>42200</v>
      </c>
      <c r="BX131" s="251">
        <v>61.02</v>
      </c>
      <c r="BY131" s="256">
        <v>42200</v>
      </c>
      <c r="CD131" s="253">
        <v>6.6</v>
      </c>
      <c r="CE131" s="159">
        <v>42191</v>
      </c>
      <c r="CM131" s="255">
        <v>3</v>
      </c>
      <c r="CN131" s="256">
        <v>42180</v>
      </c>
      <c r="CO131" s="140" t="s">
        <v>8447</v>
      </c>
    </row>
    <row r="132" spans="1:93" ht="15" customHeight="1">
      <c r="A132" s="124" t="s">
        <v>7597</v>
      </c>
      <c r="B132" s="161" t="s">
        <v>265</v>
      </c>
      <c r="C132" s="268" t="s">
        <v>267</v>
      </c>
      <c r="D132" s="257">
        <v>4</v>
      </c>
      <c r="E132" s="183">
        <v>11</v>
      </c>
      <c r="F132" s="257">
        <v>22</v>
      </c>
      <c r="G132" s="257">
        <v>26</v>
      </c>
      <c r="J132" s="266"/>
      <c r="L132" s="257">
        <v>3</v>
      </c>
      <c r="N132" s="257">
        <v>3.09</v>
      </c>
      <c r="O132" s="159">
        <v>42191</v>
      </c>
      <c r="P132" s="144"/>
      <c r="R132" s="145"/>
      <c r="T132" s="257">
        <v>7.93</v>
      </c>
      <c r="U132" s="256">
        <v>42200</v>
      </c>
      <c r="V132" s="145">
        <v>18.5</v>
      </c>
      <c r="W132" s="159">
        <v>42191</v>
      </c>
      <c r="X132" s="145"/>
      <c r="Z132" s="145"/>
      <c r="AB132" s="145"/>
      <c r="AD132" s="145">
        <f>(N132/V132)*(((100-CD132)/100)*((100-2)/100))*100</f>
        <v>14.846364324324323</v>
      </c>
      <c r="AF132" s="257">
        <v>16.97</v>
      </c>
      <c r="AG132" s="159">
        <v>42191</v>
      </c>
      <c r="AJ132" s="257">
        <v>90</v>
      </c>
      <c r="AL132" s="145"/>
      <c r="AN132" s="257">
        <v>101</v>
      </c>
      <c r="BB132" s="257">
        <v>9</v>
      </c>
      <c r="BN132" s="251">
        <v>64.438000000000002</v>
      </c>
      <c r="BO132" s="256">
        <v>42200</v>
      </c>
      <c r="BT132" s="251">
        <v>46.734951019287109</v>
      </c>
      <c r="BU132" s="256">
        <v>42200</v>
      </c>
      <c r="BV132" s="251">
        <v>21.857795715332031</v>
      </c>
      <c r="BW132" s="256">
        <v>42200</v>
      </c>
      <c r="BX132" s="251">
        <v>77.831999999999994</v>
      </c>
      <c r="BY132" s="256">
        <v>42200</v>
      </c>
      <c r="CD132" s="257">
        <v>9.3000000000000007</v>
      </c>
      <c r="CE132" s="159">
        <v>42191</v>
      </c>
      <c r="CM132" s="255">
        <v>3</v>
      </c>
      <c r="CN132" s="256">
        <v>42180</v>
      </c>
      <c r="CO132" s="140" t="s">
        <v>8447</v>
      </c>
    </row>
    <row r="133" spans="1:93" ht="15">
      <c r="A133" s="124" t="s">
        <v>7642</v>
      </c>
      <c r="B133" s="161" t="s">
        <v>7494</v>
      </c>
      <c r="C133" s="268" t="s">
        <v>269</v>
      </c>
      <c r="D133" s="243">
        <v>2</v>
      </c>
      <c r="E133" s="183">
        <v>56</v>
      </c>
      <c r="F133" s="244">
        <v>11</v>
      </c>
      <c r="G133" s="245">
        <v>12</v>
      </c>
      <c r="L133" s="254">
        <v>8</v>
      </c>
      <c r="N133" s="246">
        <v>3</v>
      </c>
      <c r="O133" s="159">
        <v>42191</v>
      </c>
      <c r="T133" s="247">
        <v>8.7100000000000009</v>
      </c>
      <c r="U133" s="256">
        <v>42200</v>
      </c>
      <c r="V133" s="145">
        <v>18.5</v>
      </c>
      <c r="W133" s="159">
        <v>42191</v>
      </c>
      <c r="AD133" s="145">
        <f>(N133/V133)*(((100-CD133)/100)*((100-2)/100))*100</f>
        <v>14.858918918918921</v>
      </c>
      <c r="AF133" s="257">
        <v>16.989999999999998</v>
      </c>
      <c r="AG133" s="159">
        <v>42191</v>
      </c>
      <c r="AJ133" s="249">
        <v>115</v>
      </c>
      <c r="AN133" s="250">
        <v>100</v>
      </c>
      <c r="BB133" s="257">
        <v>5</v>
      </c>
      <c r="BN133" s="251">
        <v>61.664000000000001</v>
      </c>
      <c r="BO133" s="256">
        <v>42200</v>
      </c>
      <c r="BT133" s="251">
        <v>51.294376373291016</v>
      </c>
      <c r="BU133" s="256">
        <v>42200</v>
      </c>
      <c r="BV133" s="251">
        <v>16.830574035644531</v>
      </c>
      <c r="BW133" s="256">
        <v>42200</v>
      </c>
      <c r="BX133" s="251">
        <v>14.478999999999999</v>
      </c>
      <c r="BY133" s="256">
        <v>42200</v>
      </c>
      <c r="CD133" s="253">
        <v>6.5</v>
      </c>
      <c r="CE133" s="159">
        <v>42191</v>
      </c>
      <c r="CM133" s="255">
        <v>3</v>
      </c>
      <c r="CN133" s="256">
        <v>42180</v>
      </c>
      <c r="CO133" s="140" t="s">
        <v>8448</v>
      </c>
    </row>
    <row r="134" spans="1:93" ht="15">
      <c r="A134" s="124" t="s">
        <v>7591</v>
      </c>
      <c r="B134" s="161" t="s">
        <v>7769</v>
      </c>
      <c r="C134" s="268" t="s">
        <v>267</v>
      </c>
      <c r="D134" s="243">
        <v>4</v>
      </c>
      <c r="E134" s="183">
        <v>5</v>
      </c>
      <c r="F134" s="244">
        <v>21</v>
      </c>
      <c r="G134" s="245">
        <v>14</v>
      </c>
      <c r="J134" s="266"/>
      <c r="L134" s="254">
        <v>9</v>
      </c>
      <c r="N134" s="246">
        <v>3.02</v>
      </c>
      <c r="O134" s="159">
        <v>42191</v>
      </c>
      <c r="P134" s="144"/>
      <c r="R134" s="145"/>
      <c r="T134" s="247">
        <v>8.1</v>
      </c>
      <c r="U134" s="256">
        <v>42200</v>
      </c>
      <c r="V134" s="145">
        <v>18.5</v>
      </c>
      <c r="W134" s="159">
        <v>42191</v>
      </c>
      <c r="X134" s="145"/>
      <c r="Z134" s="145"/>
      <c r="AB134" s="145"/>
      <c r="AD134" s="145">
        <f>(N134/V134)*(((100-CD134)/100)*((100-2)/100))*100</f>
        <v>14.86199135135135</v>
      </c>
      <c r="AF134" s="257">
        <v>16.989999999999998</v>
      </c>
      <c r="AG134" s="159">
        <v>42191</v>
      </c>
      <c r="AJ134" s="249">
        <v>125</v>
      </c>
      <c r="AL134" s="145"/>
      <c r="AN134" s="250">
        <v>99</v>
      </c>
      <c r="BB134" s="257">
        <v>3</v>
      </c>
      <c r="BN134" s="251">
        <v>63.64</v>
      </c>
      <c r="BO134" s="256">
        <v>42200</v>
      </c>
      <c r="BT134" s="251">
        <v>47.671154022216797</v>
      </c>
      <c r="BU134" s="256">
        <v>42200</v>
      </c>
      <c r="BV134" s="251">
        <v>20.584072113037109</v>
      </c>
      <c r="BW134" s="256">
        <v>42200</v>
      </c>
      <c r="BX134" s="251">
        <v>64.263000000000005</v>
      </c>
      <c r="BY134" s="256">
        <v>42200</v>
      </c>
      <c r="CD134" s="253">
        <v>7.1</v>
      </c>
      <c r="CE134" s="159">
        <v>42191</v>
      </c>
      <c r="CM134" s="255">
        <v>5</v>
      </c>
      <c r="CN134" s="256">
        <v>42180</v>
      </c>
      <c r="CO134" s="140" t="s">
        <v>8447</v>
      </c>
    </row>
    <row r="135" spans="1:93" ht="15">
      <c r="A135" s="124" t="s">
        <v>7681</v>
      </c>
      <c r="B135" s="161" t="s">
        <v>7528</v>
      </c>
      <c r="C135" s="268" t="s">
        <v>269</v>
      </c>
      <c r="D135" s="243">
        <v>2</v>
      </c>
      <c r="E135" s="183">
        <v>95</v>
      </c>
      <c r="F135" s="244">
        <v>11</v>
      </c>
      <c r="G135" s="245">
        <v>3</v>
      </c>
      <c r="L135" s="254">
        <v>5</v>
      </c>
      <c r="N135" s="246">
        <v>3</v>
      </c>
      <c r="O135" s="159">
        <v>42191</v>
      </c>
      <c r="T135" s="247">
        <v>8.6999999999999993</v>
      </c>
      <c r="U135" s="256">
        <v>42200</v>
      </c>
      <c r="V135" s="145">
        <v>18.5</v>
      </c>
      <c r="W135" s="159">
        <v>42191</v>
      </c>
      <c r="AD135" s="145">
        <f>(N135/V135)*(((100-CD135)/100)*((100-2)/100))*100</f>
        <v>14.874810810810809</v>
      </c>
      <c r="AF135" s="257">
        <v>17</v>
      </c>
      <c r="AG135" s="159">
        <v>42191</v>
      </c>
      <c r="AJ135" s="249">
        <v>115</v>
      </c>
      <c r="AN135" s="250">
        <v>101</v>
      </c>
      <c r="BB135" s="257">
        <v>5</v>
      </c>
      <c r="BN135" s="251">
        <v>64.596999999999994</v>
      </c>
      <c r="BO135" s="256">
        <v>42200</v>
      </c>
      <c r="BT135" s="251">
        <v>51.203273773193359</v>
      </c>
      <c r="BU135" s="256">
        <v>42200</v>
      </c>
      <c r="BV135" s="251">
        <v>18.002719879150391</v>
      </c>
      <c r="BW135" s="256">
        <v>42200</v>
      </c>
      <c r="BX135" s="251">
        <v>20.280999999999999</v>
      </c>
      <c r="BY135" s="256">
        <v>42200</v>
      </c>
      <c r="CD135" s="253">
        <v>6.4</v>
      </c>
      <c r="CE135" s="159">
        <v>42191</v>
      </c>
      <c r="CM135" s="255">
        <v>5</v>
      </c>
      <c r="CN135" s="256">
        <v>42180</v>
      </c>
      <c r="CO135" s="140" t="s">
        <v>8448</v>
      </c>
    </row>
    <row r="136" spans="1:93" ht="15">
      <c r="A136" s="124" t="s">
        <v>7619</v>
      </c>
      <c r="B136" s="161" t="s">
        <v>7473</v>
      </c>
      <c r="C136" s="268" t="s">
        <v>267</v>
      </c>
      <c r="D136" s="243">
        <v>3</v>
      </c>
      <c r="E136" s="183">
        <v>33</v>
      </c>
      <c r="F136" s="244">
        <v>15</v>
      </c>
      <c r="G136" s="245">
        <v>12</v>
      </c>
      <c r="L136" s="254">
        <v>9</v>
      </c>
      <c r="N136" s="246">
        <v>3.04</v>
      </c>
      <c r="O136" s="159">
        <v>42191</v>
      </c>
      <c r="T136" s="247">
        <v>7.99</v>
      </c>
      <c r="U136" s="256">
        <v>42200</v>
      </c>
      <c r="V136" s="145">
        <v>18.5</v>
      </c>
      <c r="W136" s="159">
        <v>42191</v>
      </c>
      <c r="AD136" s="145">
        <f>(N136/V136)*(((100-CD136)/100)*((100-2)/100))*100</f>
        <v>14.879896216216219</v>
      </c>
      <c r="AF136" s="257">
        <v>17.010000000000002</v>
      </c>
      <c r="AG136" s="159">
        <v>42191</v>
      </c>
      <c r="AJ136" s="249">
        <v>110</v>
      </c>
      <c r="AN136" s="250">
        <v>106</v>
      </c>
      <c r="BB136" s="257">
        <v>7</v>
      </c>
      <c r="BN136" s="251">
        <v>61.481999999999999</v>
      </c>
      <c r="BO136" s="256">
        <v>42200</v>
      </c>
      <c r="BT136" s="251">
        <v>46.978240966796875</v>
      </c>
      <c r="BU136" s="256">
        <v>42200</v>
      </c>
      <c r="BV136" s="251">
        <v>18.88667106628418</v>
      </c>
      <c r="BW136" s="256">
        <v>42200</v>
      </c>
      <c r="BX136" s="251">
        <v>52.613999999999997</v>
      </c>
      <c r="BY136" s="256">
        <v>42200</v>
      </c>
      <c r="CD136" s="253">
        <v>7.6</v>
      </c>
      <c r="CE136" s="159">
        <v>42191</v>
      </c>
      <c r="CM136" s="255">
        <v>5</v>
      </c>
      <c r="CN136" s="256">
        <v>42180</v>
      </c>
      <c r="CO136" s="140" t="s">
        <v>8447</v>
      </c>
    </row>
    <row r="137" spans="1:93" ht="15">
      <c r="A137" s="124" t="s">
        <v>7605</v>
      </c>
      <c r="B137" s="161" t="s">
        <v>7460</v>
      </c>
      <c r="C137" s="268" t="s">
        <v>267</v>
      </c>
      <c r="D137" s="243">
        <v>3</v>
      </c>
      <c r="E137" s="183">
        <v>19</v>
      </c>
      <c r="F137" s="244">
        <v>16</v>
      </c>
      <c r="G137" s="245">
        <v>9</v>
      </c>
      <c r="J137" s="266"/>
      <c r="L137" s="254">
        <v>7</v>
      </c>
      <c r="N137" s="246">
        <v>3.03</v>
      </c>
      <c r="O137" s="159">
        <v>42191</v>
      </c>
      <c r="P137" s="144"/>
      <c r="R137" s="145"/>
      <c r="T137" s="247">
        <v>8.0299999999999994</v>
      </c>
      <c r="U137" s="256">
        <v>42200</v>
      </c>
      <c r="V137" s="145">
        <v>18.5</v>
      </c>
      <c r="W137" s="159">
        <v>42191</v>
      </c>
      <c r="X137" s="145"/>
      <c r="Z137" s="145"/>
      <c r="AB137" s="145"/>
      <c r="AD137" s="145">
        <f>(N137/V137)*(((100-CD137)/100)*((100-2)/100))*100</f>
        <v>14.943304864864865</v>
      </c>
      <c r="AF137" s="257">
        <v>17.079999999999998</v>
      </c>
      <c r="AG137" s="159">
        <v>42191</v>
      </c>
      <c r="AJ137" s="249">
        <v>115</v>
      </c>
      <c r="AL137" s="145"/>
      <c r="AN137" s="250">
        <v>108</v>
      </c>
      <c r="BB137" s="257">
        <v>9</v>
      </c>
      <c r="BN137" s="251">
        <v>65.322000000000003</v>
      </c>
      <c r="BO137" s="256">
        <v>42200</v>
      </c>
      <c r="BT137" s="251">
        <v>47.020408630371094</v>
      </c>
      <c r="BU137" s="256">
        <v>42200</v>
      </c>
      <c r="BV137" s="251">
        <v>20.529483795166016</v>
      </c>
      <c r="BW137" s="256">
        <v>42200</v>
      </c>
      <c r="BX137" s="251">
        <v>54.201000000000001</v>
      </c>
      <c r="BY137" s="256">
        <v>42200</v>
      </c>
      <c r="CD137" s="253">
        <v>6.9</v>
      </c>
      <c r="CE137" s="159">
        <v>42191</v>
      </c>
      <c r="CM137" s="255">
        <v>5</v>
      </c>
      <c r="CN137" s="256">
        <v>42180</v>
      </c>
      <c r="CO137" s="140" t="s">
        <v>8447</v>
      </c>
    </row>
    <row r="138" spans="1:93" ht="15">
      <c r="A138" s="124" t="s">
        <v>7604</v>
      </c>
      <c r="B138" s="161" t="s">
        <v>7459</v>
      </c>
      <c r="C138" s="268" t="s">
        <v>267</v>
      </c>
      <c r="D138" s="243">
        <v>3</v>
      </c>
      <c r="E138" s="183">
        <v>18</v>
      </c>
      <c r="F138" s="244">
        <v>17</v>
      </c>
      <c r="G138" s="245">
        <v>31</v>
      </c>
      <c r="J138" s="266"/>
      <c r="L138" s="254">
        <v>3</v>
      </c>
      <c r="N138" s="246">
        <v>3.03</v>
      </c>
      <c r="O138" s="159">
        <v>42191</v>
      </c>
      <c r="P138" s="144"/>
      <c r="R138" s="145"/>
      <c r="T138" s="247">
        <v>8.33</v>
      </c>
      <c r="U138" s="256">
        <v>42200</v>
      </c>
      <c r="V138" s="145">
        <v>18.5</v>
      </c>
      <c r="W138" s="159">
        <v>42191</v>
      </c>
      <c r="X138" s="145"/>
      <c r="Z138" s="145"/>
      <c r="AB138" s="145"/>
      <c r="AD138" s="145">
        <f>(N138/V138)*(((100-CD138)/100)*((100-2)/100))*100</f>
        <v>14.959355675675676</v>
      </c>
      <c r="AF138" s="257">
        <v>17.100000000000001</v>
      </c>
      <c r="AG138" s="159">
        <v>42191</v>
      </c>
      <c r="AJ138" s="249">
        <v>120</v>
      </c>
      <c r="AL138" s="145"/>
      <c r="AN138" s="250">
        <v>104</v>
      </c>
      <c r="BB138" s="257">
        <v>9</v>
      </c>
      <c r="BN138" s="251">
        <v>66.438000000000002</v>
      </c>
      <c r="BO138" s="256">
        <v>42200</v>
      </c>
      <c r="BT138" s="251">
        <v>48.73297119140625</v>
      </c>
      <c r="BU138" s="256">
        <v>42200</v>
      </c>
      <c r="BV138" s="251">
        <v>19.793935775756836</v>
      </c>
      <c r="BW138" s="256">
        <v>42200</v>
      </c>
      <c r="BX138" s="251">
        <v>51.786999999999999</v>
      </c>
      <c r="BY138" s="256">
        <v>42200</v>
      </c>
      <c r="CD138" s="253">
        <v>6.8</v>
      </c>
      <c r="CE138" s="159">
        <v>42191</v>
      </c>
      <c r="CM138" s="255">
        <v>5</v>
      </c>
      <c r="CN138" s="256">
        <v>42180</v>
      </c>
      <c r="CO138" s="140" t="s">
        <v>8447</v>
      </c>
    </row>
    <row r="139" spans="1:93" ht="15" customHeight="1">
      <c r="A139" s="124" t="s">
        <v>7646</v>
      </c>
      <c r="B139" s="161" t="s">
        <v>263</v>
      </c>
      <c r="C139" s="268" t="s">
        <v>267</v>
      </c>
      <c r="D139" s="257">
        <v>4</v>
      </c>
      <c r="E139" s="183">
        <v>60</v>
      </c>
      <c r="F139" s="257">
        <v>19</v>
      </c>
      <c r="G139" s="257">
        <v>10</v>
      </c>
      <c r="L139" s="257">
        <v>6</v>
      </c>
      <c r="N139" s="257">
        <v>3.07</v>
      </c>
      <c r="O139" s="159">
        <v>42191</v>
      </c>
      <c r="T139" s="257">
        <v>8.33</v>
      </c>
      <c r="U139" s="256">
        <v>42200</v>
      </c>
      <c r="V139" s="145">
        <v>18.5</v>
      </c>
      <c r="W139" s="159">
        <v>42191</v>
      </c>
      <c r="AD139" s="145">
        <f>(N139/V139)*(((100-CD139)/100)*((100-2)/100))*100</f>
        <v>14.961686486486487</v>
      </c>
      <c r="AF139" s="257">
        <v>17.100000000000001</v>
      </c>
      <c r="AG139" s="159">
        <v>42191</v>
      </c>
      <c r="AJ139" s="257">
        <v>120</v>
      </c>
      <c r="AN139" s="257">
        <v>108</v>
      </c>
      <c r="BB139" s="257">
        <v>7</v>
      </c>
      <c r="BN139" s="251">
        <v>72.900999999999996</v>
      </c>
      <c r="BO139" s="256">
        <v>42200</v>
      </c>
      <c r="BT139" s="251">
        <v>48.703712463378906</v>
      </c>
      <c r="BU139" s="256">
        <v>42200</v>
      </c>
      <c r="BV139" s="251">
        <v>19.627042770385742</v>
      </c>
      <c r="BW139" s="256">
        <v>42200</v>
      </c>
      <c r="BX139" s="251">
        <v>19.664999999999999</v>
      </c>
      <c r="BY139" s="256">
        <v>42200</v>
      </c>
      <c r="CD139" s="257">
        <v>8</v>
      </c>
      <c r="CE139" s="159">
        <v>42191</v>
      </c>
      <c r="CM139" s="255">
        <v>3</v>
      </c>
      <c r="CN139" s="256">
        <v>42180</v>
      </c>
      <c r="CO139" s="140" t="s">
        <v>8447</v>
      </c>
    </row>
    <row r="140" spans="1:93" ht="15" customHeight="1">
      <c r="A140" s="137" t="s">
        <v>8461</v>
      </c>
      <c r="B140" s="161" t="s">
        <v>8484</v>
      </c>
      <c r="C140" s="268" t="s">
        <v>267</v>
      </c>
      <c r="D140" s="269">
        <v>4</v>
      </c>
      <c r="E140" s="280">
        <v>12</v>
      </c>
      <c r="F140" s="269"/>
      <c r="G140" s="269"/>
      <c r="H140" s="271">
        <v>24</v>
      </c>
      <c r="I140" s="271">
        <v>4</v>
      </c>
      <c r="J140" s="282"/>
      <c r="K140" s="273"/>
      <c r="L140" s="269">
        <v>9</v>
      </c>
      <c r="M140" s="274"/>
      <c r="N140" s="269">
        <v>3.07</v>
      </c>
      <c r="O140" s="274">
        <v>42191</v>
      </c>
      <c r="P140" s="272"/>
      <c r="Q140" s="274"/>
      <c r="R140" s="275"/>
      <c r="S140" s="274"/>
      <c r="T140" s="269">
        <v>8.39</v>
      </c>
      <c r="U140" s="276">
        <v>42200</v>
      </c>
      <c r="V140" s="275">
        <v>18.5</v>
      </c>
      <c r="W140" s="274">
        <v>42191</v>
      </c>
      <c r="X140" s="275"/>
      <c r="Y140" s="274"/>
      <c r="Z140" s="275"/>
      <c r="AA140" s="274"/>
      <c r="AB140" s="275"/>
      <c r="AC140" s="274"/>
      <c r="AD140" s="145">
        <f>(N140/V140)*(((100-CD140)/100)*((100-2)/100))*100</f>
        <v>15.010474594594591</v>
      </c>
      <c r="AE140" s="274"/>
      <c r="AF140" s="269">
        <v>17.16</v>
      </c>
      <c r="AG140" s="274">
        <v>42191</v>
      </c>
      <c r="AH140" s="274"/>
      <c r="AI140" s="274"/>
      <c r="AJ140" s="269">
        <v>115</v>
      </c>
      <c r="AK140" s="274"/>
      <c r="AL140" s="275"/>
      <c r="AM140" s="274"/>
      <c r="AN140" s="269">
        <v>103</v>
      </c>
      <c r="AO140" s="274"/>
      <c r="AP140" s="275"/>
      <c r="AQ140" s="275"/>
      <c r="AR140" s="275"/>
      <c r="AS140" s="275"/>
      <c r="AT140" s="275"/>
      <c r="AU140" s="275"/>
      <c r="AV140" s="275"/>
      <c r="AW140" s="275"/>
      <c r="AX140" s="275"/>
      <c r="AY140" s="275"/>
      <c r="AZ140" s="275"/>
      <c r="BA140" s="275"/>
      <c r="BB140" s="269">
        <v>5</v>
      </c>
      <c r="BC140" s="275"/>
      <c r="BD140" s="275"/>
      <c r="BE140" s="275"/>
      <c r="BF140" s="272"/>
      <c r="BG140" s="272"/>
      <c r="BH140" s="272"/>
      <c r="BI140" s="272"/>
      <c r="BJ140" s="272"/>
      <c r="BK140" s="272"/>
      <c r="BL140" s="272"/>
      <c r="BM140" s="272"/>
      <c r="BN140" s="284">
        <v>62.176000000000002</v>
      </c>
      <c r="BO140" s="276">
        <v>42200</v>
      </c>
      <c r="BP140" s="272"/>
      <c r="BQ140" s="272"/>
      <c r="BR140" s="272"/>
      <c r="BS140" s="272"/>
      <c r="BT140" s="284">
        <v>48.88</v>
      </c>
      <c r="BU140" s="276">
        <v>42200</v>
      </c>
      <c r="BV140" s="284">
        <v>20.039505004882813</v>
      </c>
      <c r="BW140" s="276">
        <v>42200</v>
      </c>
      <c r="BX140" s="284">
        <v>64.391999999999996</v>
      </c>
      <c r="BY140" s="276">
        <v>42200</v>
      </c>
      <c r="BZ140" s="272"/>
      <c r="CA140" s="272"/>
      <c r="CB140" s="272"/>
      <c r="CC140" s="272"/>
      <c r="CD140" s="269">
        <v>7.7</v>
      </c>
      <c r="CE140" s="274">
        <v>42191</v>
      </c>
      <c r="CF140" s="272"/>
      <c r="CG140" s="272"/>
      <c r="CH140" s="272"/>
      <c r="CI140" s="272"/>
      <c r="CJ140" s="272"/>
      <c r="CK140" s="272"/>
      <c r="CL140" s="272"/>
      <c r="CM140" s="278">
        <v>5</v>
      </c>
      <c r="CN140" s="276">
        <v>42180</v>
      </c>
      <c r="CO140" s="272" t="s">
        <v>8447</v>
      </c>
    </row>
    <row r="141" spans="1:93" ht="15" customHeight="1">
      <c r="A141" s="137" t="s">
        <v>8451</v>
      </c>
      <c r="B141" s="161" t="s">
        <v>8474</v>
      </c>
      <c r="C141" s="268" t="s">
        <v>269</v>
      </c>
      <c r="D141" s="269">
        <v>2</v>
      </c>
      <c r="E141" s="280">
        <v>2</v>
      </c>
      <c r="F141" s="269"/>
      <c r="G141" s="269"/>
      <c r="H141" s="271">
        <v>10</v>
      </c>
      <c r="I141" s="271">
        <v>1</v>
      </c>
      <c r="J141" s="282"/>
      <c r="K141" s="273"/>
      <c r="L141" s="269">
        <v>9</v>
      </c>
      <c r="M141" s="274"/>
      <c r="N141" s="269">
        <v>3.08</v>
      </c>
      <c r="O141" s="274">
        <v>42191</v>
      </c>
      <c r="P141" s="272"/>
      <c r="Q141" s="274"/>
      <c r="R141" s="275"/>
      <c r="S141" s="274"/>
      <c r="T141" s="269">
        <v>7.67</v>
      </c>
      <c r="U141" s="276">
        <v>42200</v>
      </c>
      <c r="V141" s="275">
        <v>18.5</v>
      </c>
      <c r="W141" s="274">
        <v>42191</v>
      </c>
      <c r="X141" s="275"/>
      <c r="Y141" s="274"/>
      <c r="Z141" s="275"/>
      <c r="AA141" s="274"/>
      <c r="AB141" s="275"/>
      <c r="AC141" s="274"/>
      <c r="AD141" s="145">
        <f>(N141/V141)*(((100-CD141)/100)*((100-2)/100))*100</f>
        <v>15.043052972972973</v>
      </c>
      <c r="AE141" s="274"/>
      <c r="AF141" s="269">
        <v>17.2</v>
      </c>
      <c r="AG141" s="274">
        <v>42191</v>
      </c>
      <c r="AH141" s="274"/>
      <c r="AI141" s="274"/>
      <c r="AJ141" s="269">
        <v>135</v>
      </c>
      <c r="AK141" s="274"/>
      <c r="AL141" s="275"/>
      <c r="AM141" s="274"/>
      <c r="AN141" s="269">
        <v>100</v>
      </c>
      <c r="AO141" s="274"/>
      <c r="AP141" s="275"/>
      <c r="AQ141" s="275"/>
      <c r="AR141" s="275"/>
      <c r="AS141" s="275"/>
      <c r="AT141" s="275"/>
      <c r="AU141" s="275"/>
      <c r="AV141" s="275"/>
      <c r="AW141" s="275"/>
      <c r="AX141" s="275"/>
      <c r="AY141" s="275"/>
      <c r="AZ141" s="275"/>
      <c r="BA141" s="275"/>
      <c r="BB141" s="269">
        <v>5</v>
      </c>
      <c r="BC141" s="275"/>
      <c r="BD141" s="275"/>
      <c r="BE141" s="275"/>
      <c r="BF141" s="272"/>
      <c r="BG141" s="272"/>
      <c r="BH141" s="272"/>
      <c r="BI141" s="272"/>
      <c r="BJ141" s="272"/>
      <c r="BK141" s="272"/>
      <c r="BL141" s="272"/>
      <c r="BM141" s="272"/>
      <c r="BN141" s="284">
        <v>65.665999999999997</v>
      </c>
      <c r="BO141" s="276">
        <v>42200</v>
      </c>
      <c r="BP141" s="272"/>
      <c r="BQ141" s="272"/>
      <c r="BR141" s="272"/>
      <c r="BS141" s="272"/>
      <c r="BT141" s="284">
        <v>44.61</v>
      </c>
      <c r="BU141" s="276">
        <v>42200</v>
      </c>
      <c r="BV141" s="284">
        <v>21.85087776184082</v>
      </c>
      <c r="BW141" s="276">
        <v>42200</v>
      </c>
      <c r="BX141" s="284">
        <v>60.262999999999998</v>
      </c>
      <c r="BY141" s="276">
        <v>42200</v>
      </c>
      <c r="BZ141" s="272"/>
      <c r="CA141" s="272"/>
      <c r="CB141" s="272"/>
      <c r="CC141" s="272"/>
      <c r="CD141" s="269">
        <v>7.8</v>
      </c>
      <c r="CE141" s="274">
        <v>42191</v>
      </c>
      <c r="CF141" s="272"/>
      <c r="CG141" s="272"/>
      <c r="CH141" s="272"/>
      <c r="CI141" s="272"/>
      <c r="CJ141" s="272"/>
      <c r="CK141" s="272"/>
      <c r="CL141" s="272"/>
      <c r="CM141" s="278">
        <v>5</v>
      </c>
      <c r="CN141" s="276">
        <v>42180</v>
      </c>
      <c r="CO141" s="272" t="s">
        <v>8447</v>
      </c>
    </row>
    <row r="142" spans="1:93" ht="15" customHeight="1">
      <c r="A142" s="124" t="s">
        <v>7742</v>
      </c>
      <c r="B142" s="161" t="s">
        <v>7566</v>
      </c>
      <c r="C142" s="268" t="s">
        <v>269</v>
      </c>
      <c r="D142" s="257">
        <v>2</v>
      </c>
      <c r="E142" s="183">
        <v>156</v>
      </c>
      <c r="F142" s="257">
        <v>12</v>
      </c>
      <c r="G142" s="257">
        <v>15</v>
      </c>
      <c r="L142" s="257">
        <v>8</v>
      </c>
      <c r="N142" s="257">
        <v>3.07</v>
      </c>
      <c r="O142" s="159">
        <v>42191</v>
      </c>
      <c r="T142" s="257">
        <v>8.5299999999999994</v>
      </c>
      <c r="U142" s="256">
        <v>42200</v>
      </c>
      <c r="V142" s="145">
        <v>18.5</v>
      </c>
      <c r="W142" s="159">
        <v>42191</v>
      </c>
      <c r="AD142" s="145">
        <f>(N142/V142)*(((100-CD142)/100)*((100-2)/100))*100</f>
        <v>15.059262702702704</v>
      </c>
      <c r="AF142" s="257">
        <f>(N142/V142)*(((100-CD142)/(100-9))*100)</f>
        <v>16.886367686367684</v>
      </c>
      <c r="AG142" s="159">
        <v>42191</v>
      </c>
      <c r="AJ142" s="257">
        <v>135</v>
      </c>
      <c r="AN142" s="257">
        <v>101</v>
      </c>
      <c r="BB142" s="257">
        <v>7</v>
      </c>
      <c r="BN142" s="251">
        <v>63.499000000000002</v>
      </c>
      <c r="BO142" s="256">
        <v>42200</v>
      </c>
      <c r="BT142" s="251">
        <v>49.544319152832031</v>
      </c>
      <c r="BU142" s="256">
        <v>42200</v>
      </c>
      <c r="BV142" s="251">
        <v>19.870807647705078</v>
      </c>
      <c r="BW142" s="256">
        <v>42200</v>
      </c>
      <c r="BX142" s="251">
        <v>17.567</v>
      </c>
      <c r="BY142" s="256">
        <v>42200</v>
      </c>
      <c r="CD142" s="257">
        <v>7.4</v>
      </c>
      <c r="CE142" s="159">
        <v>42191</v>
      </c>
      <c r="CM142" s="255">
        <v>1</v>
      </c>
      <c r="CN142" s="256">
        <v>42180</v>
      </c>
      <c r="CO142" s="140" t="s">
        <v>8448</v>
      </c>
    </row>
    <row r="143" spans="1:93" ht="15" customHeight="1">
      <c r="A143" s="137" t="s">
        <v>8461</v>
      </c>
      <c r="B143" s="161" t="s">
        <v>8484</v>
      </c>
      <c r="C143" s="268" t="s">
        <v>269</v>
      </c>
      <c r="D143" s="269">
        <v>1</v>
      </c>
      <c r="E143" s="280">
        <v>12</v>
      </c>
      <c r="F143" s="269"/>
      <c r="G143" s="269"/>
      <c r="H143" s="271">
        <v>5</v>
      </c>
      <c r="I143" s="271">
        <v>1</v>
      </c>
      <c r="J143" s="282"/>
      <c r="K143" s="273"/>
      <c r="L143" s="269">
        <v>9</v>
      </c>
      <c r="M143" s="274"/>
      <c r="N143" s="269">
        <v>3.08</v>
      </c>
      <c r="O143" s="274">
        <v>42191</v>
      </c>
      <c r="P143" s="272"/>
      <c r="Q143" s="274"/>
      <c r="R143" s="275"/>
      <c r="S143" s="274"/>
      <c r="T143" s="269">
        <v>8.66</v>
      </c>
      <c r="U143" s="276">
        <v>42200</v>
      </c>
      <c r="V143" s="275">
        <v>18.5</v>
      </c>
      <c r="W143" s="274">
        <v>42191</v>
      </c>
      <c r="X143" s="275"/>
      <c r="Y143" s="274"/>
      <c r="Z143" s="275"/>
      <c r="AA143" s="274"/>
      <c r="AB143" s="275"/>
      <c r="AC143" s="274"/>
      <c r="AD143" s="145">
        <f>(N143/V143)*(((100-CD143)/100)*((100-2)/100))*100</f>
        <v>15.108315675675673</v>
      </c>
      <c r="AE143" s="274"/>
      <c r="AF143" s="269">
        <v>17.27</v>
      </c>
      <c r="AG143" s="274">
        <v>42191</v>
      </c>
      <c r="AH143" s="274"/>
      <c r="AI143" s="274"/>
      <c r="AJ143" s="269">
        <v>140</v>
      </c>
      <c r="AK143" s="274"/>
      <c r="AL143" s="275"/>
      <c r="AM143" s="274"/>
      <c r="AN143" s="269">
        <v>103</v>
      </c>
      <c r="AO143" s="274"/>
      <c r="AP143" s="275"/>
      <c r="AQ143" s="275"/>
      <c r="AR143" s="275"/>
      <c r="AS143" s="275"/>
      <c r="AT143" s="275"/>
      <c r="AU143" s="275"/>
      <c r="AV143" s="275"/>
      <c r="AW143" s="275"/>
      <c r="AX143" s="275"/>
      <c r="AY143" s="275"/>
      <c r="AZ143" s="275"/>
      <c r="BA143" s="275"/>
      <c r="BB143" s="269">
        <v>5</v>
      </c>
      <c r="BC143" s="275"/>
      <c r="BD143" s="275"/>
      <c r="BE143" s="275"/>
      <c r="BF143" s="272"/>
      <c r="BG143" s="272"/>
      <c r="BH143" s="272"/>
      <c r="BI143" s="272"/>
      <c r="BJ143" s="272"/>
      <c r="BK143" s="272"/>
      <c r="BL143" s="272"/>
      <c r="BM143" s="272"/>
      <c r="BN143" s="284">
        <v>62.423999999999999</v>
      </c>
      <c r="BO143" s="276">
        <v>42200</v>
      </c>
      <c r="BP143" s="272"/>
      <c r="BQ143" s="272"/>
      <c r="BR143" s="272"/>
      <c r="BS143" s="272"/>
      <c r="BT143" s="284">
        <v>50.12</v>
      </c>
      <c r="BU143" s="276">
        <v>42200</v>
      </c>
      <c r="BV143" s="284">
        <v>20.457818984985352</v>
      </c>
      <c r="BW143" s="276">
        <v>42200</v>
      </c>
      <c r="BX143" s="284">
        <v>74.08</v>
      </c>
      <c r="BY143" s="276">
        <v>42200</v>
      </c>
      <c r="BZ143" s="272"/>
      <c r="CA143" s="272"/>
      <c r="CB143" s="272"/>
      <c r="CC143" s="272"/>
      <c r="CD143" s="269">
        <v>7.4</v>
      </c>
      <c r="CE143" s="274">
        <v>42191</v>
      </c>
      <c r="CF143" s="272"/>
      <c r="CG143" s="272"/>
      <c r="CH143" s="272"/>
      <c r="CI143" s="272"/>
      <c r="CJ143" s="272"/>
      <c r="CK143" s="272"/>
      <c r="CL143" s="272"/>
      <c r="CM143" s="278">
        <v>7</v>
      </c>
      <c r="CN143" s="276">
        <v>42180</v>
      </c>
      <c r="CO143" s="272" t="s">
        <v>8447</v>
      </c>
    </row>
    <row r="144" spans="1:93" ht="15">
      <c r="A144" s="124" t="s">
        <v>7603</v>
      </c>
      <c r="B144" s="161" t="s">
        <v>7772</v>
      </c>
      <c r="C144" s="268" t="s">
        <v>267</v>
      </c>
      <c r="D144" s="243">
        <v>3</v>
      </c>
      <c r="E144" s="183">
        <v>17</v>
      </c>
      <c r="F144" s="244">
        <v>16</v>
      </c>
      <c r="G144" s="245">
        <v>10</v>
      </c>
      <c r="J144" s="266"/>
      <c r="L144" s="254">
        <v>8</v>
      </c>
      <c r="N144" s="246">
        <v>3.09</v>
      </c>
      <c r="O144" s="159">
        <v>42191</v>
      </c>
      <c r="P144" s="144"/>
      <c r="R144" s="145"/>
      <c r="T144" s="247">
        <v>8.3699999999999992</v>
      </c>
      <c r="U144" s="256">
        <v>42200</v>
      </c>
      <c r="V144" s="145">
        <v>18.5</v>
      </c>
      <c r="W144" s="159">
        <v>42191</v>
      </c>
      <c r="X144" s="145"/>
      <c r="Z144" s="145"/>
      <c r="AB144" s="145"/>
      <c r="AD144" s="145">
        <f>(N144/V144)*(((100-CD144)/100)*((100-2)/100))*100</f>
        <v>15.140999999999998</v>
      </c>
      <c r="AF144" s="257">
        <v>17.309999999999999</v>
      </c>
      <c r="AG144" s="159">
        <v>42191</v>
      </c>
      <c r="AJ144" s="249">
        <v>120</v>
      </c>
      <c r="AL144" s="145"/>
      <c r="AN144" s="250">
        <v>106</v>
      </c>
      <c r="BB144" s="257">
        <v>7</v>
      </c>
      <c r="BN144" s="251">
        <v>68.745000000000005</v>
      </c>
      <c r="BO144" s="256">
        <v>42200</v>
      </c>
      <c r="BT144" s="251">
        <v>48.337593078613281</v>
      </c>
      <c r="BU144" s="256">
        <v>42200</v>
      </c>
      <c r="BV144" s="251">
        <v>19.439712524414063</v>
      </c>
      <c r="BW144" s="256">
        <v>42200</v>
      </c>
      <c r="BX144" s="251">
        <v>60.279000000000003</v>
      </c>
      <c r="BY144" s="256">
        <v>42200</v>
      </c>
      <c r="CD144" s="253">
        <v>7.5</v>
      </c>
      <c r="CE144" s="159">
        <v>42191</v>
      </c>
      <c r="CM144" s="255">
        <v>5</v>
      </c>
      <c r="CN144" s="256">
        <v>42180</v>
      </c>
      <c r="CO144" s="140" t="s">
        <v>8447</v>
      </c>
    </row>
    <row r="145" spans="1:93" ht="15">
      <c r="A145" s="124" t="s">
        <v>7679</v>
      </c>
      <c r="B145" s="161" t="s">
        <v>7527</v>
      </c>
      <c r="C145" s="268" t="s">
        <v>269</v>
      </c>
      <c r="D145" s="243">
        <v>1</v>
      </c>
      <c r="E145" s="183">
        <v>93</v>
      </c>
      <c r="F145" s="244">
        <v>5</v>
      </c>
      <c r="G145" s="245">
        <v>12</v>
      </c>
      <c r="L145" s="254">
        <v>6</v>
      </c>
      <c r="N145" s="246">
        <v>3.08</v>
      </c>
      <c r="O145" s="159">
        <v>42191</v>
      </c>
      <c r="T145" s="247">
        <v>8.6300000000000008</v>
      </c>
      <c r="U145" s="256">
        <v>42200</v>
      </c>
      <c r="V145" s="145">
        <v>18.5</v>
      </c>
      <c r="W145" s="159">
        <v>42191</v>
      </c>
      <c r="AD145" s="145">
        <f>(N145/V145)*(((100-CD145)/100)*((100-2)/100))*100</f>
        <v>15.20620972972973</v>
      </c>
      <c r="AF145" s="257">
        <v>17.38</v>
      </c>
      <c r="AG145" s="159">
        <v>42191</v>
      </c>
      <c r="AJ145" s="249">
        <v>150</v>
      </c>
      <c r="AN145" s="250">
        <v>108</v>
      </c>
      <c r="BB145" s="257">
        <v>9</v>
      </c>
      <c r="BN145" s="251">
        <v>64.311999999999998</v>
      </c>
      <c r="BO145" s="256">
        <v>42200</v>
      </c>
      <c r="BT145" s="251">
        <v>49.641193389892578</v>
      </c>
      <c r="BU145" s="256">
        <v>42200</v>
      </c>
      <c r="BV145" s="251">
        <v>18.063638687133789</v>
      </c>
      <c r="BW145" s="256">
        <v>42200</v>
      </c>
      <c r="BX145" s="251">
        <v>19.326000000000001</v>
      </c>
      <c r="BY145" s="256">
        <v>42200</v>
      </c>
      <c r="CD145" s="253">
        <v>6.8</v>
      </c>
      <c r="CE145" s="159">
        <v>42191</v>
      </c>
      <c r="CM145" s="255">
        <v>3</v>
      </c>
      <c r="CN145" s="256">
        <v>42180</v>
      </c>
      <c r="CO145" s="140" t="s">
        <v>8447</v>
      </c>
    </row>
    <row r="146" spans="1:93" ht="15" customHeight="1">
      <c r="A146" s="137" t="s">
        <v>8464</v>
      </c>
      <c r="B146" s="161" t="s">
        <v>8487</v>
      </c>
      <c r="C146" s="268" t="s">
        <v>269</v>
      </c>
      <c r="D146" s="269">
        <v>1</v>
      </c>
      <c r="E146" s="280">
        <v>15</v>
      </c>
      <c r="F146" s="269"/>
      <c r="G146" s="269"/>
      <c r="H146" s="271">
        <v>3</v>
      </c>
      <c r="I146" s="271">
        <v>2</v>
      </c>
      <c r="J146" s="282"/>
      <c r="K146" s="273"/>
      <c r="L146" s="269">
        <v>9</v>
      </c>
      <c r="M146" s="274"/>
      <c r="N146" s="269">
        <v>3.11</v>
      </c>
      <c r="O146" s="274">
        <v>42191</v>
      </c>
      <c r="P146" s="272"/>
      <c r="Q146" s="274"/>
      <c r="R146" s="275"/>
      <c r="S146" s="274"/>
      <c r="T146" s="269">
        <v>8.48</v>
      </c>
      <c r="U146" s="276">
        <v>42200</v>
      </c>
      <c r="V146" s="275">
        <v>18.5</v>
      </c>
      <c r="W146" s="274">
        <v>42191</v>
      </c>
      <c r="X146" s="275"/>
      <c r="Y146" s="274"/>
      <c r="Z146" s="275"/>
      <c r="AA146" s="274"/>
      <c r="AB146" s="275"/>
      <c r="AC146" s="274"/>
      <c r="AD146" s="145">
        <f>(N146/V146)*(((100-CD146)/100)*((100-2)/100))*100</f>
        <v>15.222525405405404</v>
      </c>
      <c r="AE146" s="274"/>
      <c r="AF146" s="269">
        <v>17.399999999999999</v>
      </c>
      <c r="AG146" s="274">
        <v>42191</v>
      </c>
      <c r="AH146" s="274"/>
      <c r="AI146" s="274"/>
      <c r="AJ146" s="269">
        <v>135</v>
      </c>
      <c r="AK146" s="274"/>
      <c r="AL146" s="275"/>
      <c r="AM146" s="274"/>
      <c r="AN146" s="269">
        <v>100</v>
      </c>
      <c r="AO146" s="274"/>
      <c r="AP146" s="275"/>
      <c r="AQ146" s="275"/>
      <c r="AR146" s="275"/>
      <c r="AS146" s="275"/>
      <c r="AT146" s="275"/>
      <c r="AU146" s="275"/>
      <c r="AV146" s="275"/>
      <c r="AW146" s="275"/>
      <c r="AX146" s="275"/>
      <c r="AY146" s="275"/>
      <c r="AZ146" s="275"/>
      <c r="BA146" s="275"/>
      <c r="BB146" s="269">
        <v>5</v>
      </c>
      <c r="BC146" s="275"/>
      <c r="BD146" s="275"/>
      <c r="BE146" s="275"/>
      <c r="BF146" s="272"/>
      <c r="BG146" s="272"/>
      <c r="BH146" s="272"/>
      <c r="BI146" s="272"/>
      <c r="BJ146" s="272"/>
      <c r="BK146" s="272"/>
      <c r="BL146" s="272"/>
      <c r="BM146" s="272"/>
      <c r="BN146" s="284">
        <v>64.147000000000006</v>
      </c>
      <c r="BO146" s="276">
        <v>42200</v>
      </c>
      <c r="BP146" s="272"/>
      <c r="BQ146" s="272"/>
      <c r="BR146" s="272"/>
      <c r="BS146" s="272"/>
      <c r="BT146" s="284">
        <v>48.76</v>
      </c>
      <c r="BU146" s="276">
        <v>42200</v>
      </c>
      <c r="BV146" s="284">
        <v>21.870250701904297</v>
      </c>
      <c r="BW146" s="276">
        <v>42200</v>
      </c>
      <c r="BX146" s="284">
        <v>81.590999999999994</v>
      </c>
      <c r="BY146" s="276">
        <v>42200</v>
      </c>
      <c r="BZ146" s="272"/>
      <c r="CA146" s="272"/>
      <c r="CB146" s="272"/>
      <c r="CC146" s="272"/>
      <c r="CD146" s="269">
        <v>7.6</v>
      </c>
      <c r="CE146" s="274">
        <v>42191</v>
      </c>
      <c r="CF146" s="272"/>
      <c r="CG146" s="272"/>
      <c r="CH146" s="272"/>
      <c r="CI146" s="272"/>
      <c r="CJ146" s="272"/>
      <c r="CK146" s="272"/>
      <c r="CL146" s="272"/>
      <c r="CM146" s="278">
        <v>5</v>
      </c>
      <c r="CN146" s="276">
        <v>42180</v>
      </c>
      <c r="CO146" s="272" t="s">
        <v>8447</v>
      </c>
    </row>
    <row r="147" spans="1:93" ht="15" customHeight="1">
      <c r="A147" s="124" t="s">
        <v>7618</v>
      </c>
      <c r="B147" s="161" t="s">
        <v>7472</v>
      </c>
      <c r="C147" s="268" t="s">
        <v>267</v>
      </c>
      <c r="D147" s="257">
        <v>4</v>
      </c>
      <c r="E147" s="183">
        <v>32</v>
      </c>
      <c r="F147" s="257">
        <v>21</v>
      </c>
      <c r="G147" s="257">
        <v>20</v>
      </c>
      <c r="L147" s="257">
        <v>9</v>
      </c>
      <c r="N147" s="257">
        <v>3.11</v>
      </c>
      <c r="O147" s="159">
        <v>42191</v>
      </c>
      <c r="T147" s="257">
        <v>8.41</v>
      </c>
      <c r="U147" s="256">
        <v>42200</v>
      </c>
      <c r="V147" s="145">
        <v>18.5</v>
      </c>
      <c r="W147" s="159">
        <v>42191</v>
      </c>
      <c r="AD147" s="145">
        <f>(N147/V147)*(((100-CD147)/100)*((100-2)/100))*100</f>
        <v>15.304898378378379</v>
      </c>
      <c r="AF147" s="257">
        <v>17.5</v>
      </c>
      <c r="AG147" s="159">
        <v>42191</v>
      </c>
      <c r="AJ147" s="257">
        <v>140</v>
      </c>
      <c r="AN147" s="257">
        <v>103</v>
      </c>
      <c r="BB147" s="257">
        <v>7</v>
      </c>
      <c r="BN147" s="251">
        <v>58.69</v>
      </c>
      <c r="BO147" s="256">
        <v>42200</v>
      </c>
      <c r="BT147" s="251">
        <v>48.034408569335938</v>
      </c>
      <c r="BU147" s="256">
        <v>42200</v>
      </c>
      <c r="BV147" s="251">
        <v>19.211343765258789</v>
      </c>
      <c r="BW147" s="256">
        <v>42200</v>
      </c>
      <c r="BX147" s="251">
        <v>19.837</v>
      </c>
      <c r="BY147" s="256">
        <v>42200</v>
      </c>
      <c r="CD147" s="257">
        <v>7.1</v>
      </c>
      <c r="CE147" s="159">
        <v>42191</v>
      </c>
      <c r="CM147" s="255">
        <v>7</v>
      </c>
      <c r="CN147" s="256">
        <v>42180</v>
      </c>
      <c r="CO147" s="140" t="s">
        <v>8447</v>
      </c>
    </row>
    <row r="148" spans="1:93" ht="15" customHeight="1">
      <c r="A148" s="137" t="s">
        <v>8472</v>
      </c>
      <c r="B148" s="161" t="s">
        <v>8495</v>
      </c>
      <c r="C148" s="268" t="s">
        <v>269</v>
      </c>
      <c r="D148" s="269">
        <v>2</v>
      </c>
      <c r="E148" s="280">
        <v>23</v>
      </c>
      <c r="F148" s="269"/>
      <c r="G148" s="269"/>
      <c r="H148" s="271">
        <v>12</v>
      </c>
      <c r="I148" s="271">
        <v>1</v>
      </c>
      <c r="J148" s="282"/>
      <c r="K148" s="273"/>
      <c r="L148" s="269">
        <v>8</v>
      </c>
      <c r="M148" s="274"/>
      <c r="N148" s="269">
        <v>3.16</v>
      </c>
      <c r="O148" s="274">
        <v>42191</v>
      </c>
      <c r="P148" s="272"/>
      <c r="Q148" s="274"/>
      <c r="R148" s="275"/>
      <c r="S148" s="274"/>
      <c r="T148" s="269">
        <v>8.0399999999999991</v>
      </c>
      <c r="U148" s="276">
        <v>42200</v>
      </c>
      <c r="V148" s="275">
        <v>18.5</v>
      </c>
      <c r="W148" s="274">
        <v>42191</v>
      </c>
      <c r="X148" s="275"/>
      <c r="Y148" s="274"/>
      <c r="Z148" s="275"/>
      <c r="AA148" s="274"/>
      <c r="AB148" s="275"/>
      <c r="AC148" s="274"/>
      <c r="AD148" s="145">
        <f>(N148/V148)*(((100-CD148)/100)*((100-2)/100))*100</f>
        <v>15.350084324324326</v>
      </c>
      <c r="AE148" s="274"/>
      <c r="AF148" s="269">
        <v>17.55</v>
      </c>
      <c r="AG148" s="274">
        <v>42191</v>
      </c>
      <c r="AH148" s="274"/>
      <c r="AI148" s="274"/>
      <c r="AJ148" s="269">
        <v>150</v>
      </c>
      <c r="AK148" s="274"/>
      <c r="AL148" s="275"/>
      <c r="AM148" s="274"/>
      <c r="AN148" s="269">
        <v>107</v>
      </c>
      <c r="AO148" s="274"/>
      <c r="AP148" s="275"/>
      <c r="AQ148" s="275"/>
      <c r="AR148" s="275"/>
      <c r="AS148" s="275"/>
      <c r="AT148" s="275"/>
      <c r="AU148" s="275"/>
      <c r="AV148" s="275"/>
      <c r="AW148" s="275"/>
      <c r="AX148" s="275"/>
      <c r="AY148" s="275"/>
      <c r="AZ148" s="275"/>
      <c r="BA148" s="275"/>
      <c r="BB148" s="269">
        <v>7</v>
      </c>
      <c r="BC148" s="275"/>
      <c r="BD148" s="275"/>
      <c r="BE148" s="275"/>
      <c r="BF148" s="272"/>
      <c r="BG148" s="272"/>
      <c r="BH148" s="272"/>
      <c r="BI148" s="272"/>
      <c r="BJ148" s="272"/>
      <c r="BK148" s="272"/>
      <c r="BL148" s="272"/>
      <c r="BM148" s="272"/>
      <c r="BN148" s="284">
        <v>62.747999999999998</v>
      </c>
      <c r="BO148" s="276">
        <v>42200</v>
      </c>
      <c r="BP148" s="272"/>
      <c r="BQ148" s="272"/>
      <c r="BR148" s="272"/>
      <c r="BS148" s="272"/>
      <c r="BT148" s="284">
        <v>45.82</v>
      </c>
      <c r="BU148" s="276">
        <v>42200</v>
      </c>
      <c r="BV148" s="284">
        <v>19.825407028198242</v>
      </c>
      <c r="BW148" s="276">
        <v>42200</v>
      </c>
      <c r="BX148" s="284">
        <v>57.655000000000001</v>
      </c>
      <c r="BY148" s="276">
        <v>42200</v>
      </c>
      <c r="BZ148" s="272"/>
      <c r="CA148" s="272"/>
      <c r="CB148" s="272"/>
      <c r="CC148" s="272"/>
      <c r="CD148" s="269">
        <v>8.3000000000000007</v>
      </c>
      <c r="CE148" s="274">
        <v>42191</v>
      </c>
      <c r="CF148" s="272"/>
      <c r="CG148" s="272"/>
      <c r="CH148" s="272"/>
      <c r="CI148" s="272"/>
      <c r="CJ148" s="272"/>
      <c r="CK148" s="272"/>
      <c r="CL148" s="272"/>
      <c r="CM148" s="278">
        <v>3</v>
      </c>
      <c r="CN148" s="276">
        <v>42180</v>
      </c>
      <c r="CO148" s="272" t="s">
        <v>8447</v>
      </c>
    </row>
    <row r="149" spans="1:93" ht="15">
      <c r="A149" s="124" t="s">
        <v>7601</v>
      </c>
      <c r="B149" s="161" t="s">
        <v>7457</v>
      </c>
      <c r="C149" s="268" t="s">
        <v>267</v>
      </c>
      <c r="D149" s="243">
        <v>4</v>
      </c>
      <c r="E149" s="183">
        <v>15</v>
      </c>
      <c r="F149" s="244">
        <v>19</v>
      </c>
      <c r="G149" s="245">
        <v>20</v>
      </c>
      <c r="J149" s="266"/>
      <c r="L149" s="254">
        <v>9</v>
      </c>
      <c r="N149" s="246">
        <v>3.13</v>
      </c>
      <c r="O149" s="159">
        <v>42191</v>
      </c>
      <c r="P149" s="144"/>
      <c r="R149" s="145"/>
      <c r="T149" s="247">
        <v>7.87</v>
      </c>
      <c r="U149" s="256">
        <v>42200</v>
      </c>
      <c r="V149" s="145">
        <v>18.5</v>
      </c>
      <c r="W149" s="159">
        <v>42191</v>
      </c>
      <c r="X149" s="145"/>
      <c r="Z149" s="145"/>
      <c r="AB149" s="145"/>
      <c r="AD149" s="145">
        <f>(N149/V149)*(((100-CD149)/100)*((100-2)/100))*100</f>
        <v>15.370161081081083</v>
      </c>
      <c r="AF149" s="257">
        <v>17.57</v>
      </c>
      <c r="AG149" s="159">
        <v>42191</v>
      </c>
      <c r="AJ149" s="249">
        <v>135</v>
      </c>
      <c r="AL149" s="145"/>
      <c r="AN149" s="250">
        <v>107</v>
      </c>
      <c r="BB149" s="257">
        <v>9</v>
      </c>
      <c r="BN149" s="251">
        <v>65.861000000000004</v>
      </c>
      <c r="BO149" s="256">
        <v>42200</v>
      </c>
      <c r="BT149" s="251">
        <v>44.777748107910156</v>
      </c>
      <c r="BU149" s="256">
        <v>42200</v>
      </c>
      <c r="BV149" s="251">
        <v>21.980840682983398</v>
      </c>
      <c r="BW149" s="256">
        <v>42200</v>
      </c>
      <c r="BX149" s="251">
        <v>56.078000000000003</v>
      </c>
      <c r="BY149" s="256">
        <v>42200</v>
      </c>
      <c r="CD149" s="253">
        <v>7.3</v>
      </c>
      <c r="CE149" s="159">
        <v>42191</v>
      </c>
      <c r="CM149" s="255">
        <v>5</v>
      </c>
      <c r="CN149" s="256">
        <v>42180</v>
      </c>
      <c r="CO149" s="140" t="s">
        <v>8447</v>
      </c>
    </row>
    <row r="150" spans="1:93" ht="15">
      <c r="A150" s="124" t="s">
        <v>7619</v>
      </c>
      <c r="B150" s="161" t="s">
        <v>7473</v>
      </c>
      <c r="C150" s="268" t="s">
        <v>267</v>
      </c>
      <c r="D150" s="243">
        <v>4</v>
      </c>
      <c r="E150" s="183">
        <v>33</v>
      </c>
      <c r="F150" s="244">
        <v>20</v>
      </c>
      <c r="G150" s="245">
        <v>27</v>
      </c>
      <c r="L150" s="254">
        <v>9</v>
      </c>
      <c r="N150" s="246">
        <v>3.13</v>
      </c>
      <c r="O150" s="159">
        <v>42191</v>
      </c>
      <c r="T150" s="247">
        <v>8.5500000000000007</v>
      </c>
      <c r="U150" s="256">
        <v>42200</v>
      </c>
      <c r="V150" s="145">
        <v>18.5</v>
      </c>
      <c r="W150" s="159">
        <v>42191</v>
      </c>
      <c r="AD150" s="145">
        <f>(N150/V150)*(((100-CD150)/100)*((100-2)/100))*100</f>
        <v>15.386741621621619</v>
      </c>
      <c r="AF150" s="257">
        <v>17.59</v>
      </c>
      <c r="AG150" s="159">
        <v>42191</v>
      </c>
      <c r="AJ150" s="249">
        <v>115</v>
      </c>
      <c r="AN150" s="250">
        <v>106</v>
      </c>
      <c r="BB150" s="257">
        <v>7</v>
      </c>
      <c r="BN150" s="251">
        <v>63.027999999999999</v>
      </c>
      <c r="BO150" s="256">
        <v>42200</v>
      </c>
      <c r="BT150" s="251">
        <v>48.622718811035156</v>
      </c>
      <c r="BU150" s="256">
        <v>42200</v>
      </c>
      <c r="BV150" s="251">
        <v>17.973352432250977</v>
      </c>
      <c r="BW150" s="256">
        <v>42200</v>
      </c>
      <c r="BX150" s="251">
        <v>50.018000000000001</v>
      </c>
      <c r="BY150" s="256">
        <v>42200</v>
      </c>
      <c r="CD150" s="253">
        <v>7.2</v>
      </c>
      <c r="CE150" s="159">
        <v>42191</v>
      </c>
      <c r="CM150" s="255">
        <v>7</v>
      </c>
      <c r="CN150" s="256">
        <v>42180</v>
      </c>
      <c r="CO150" s="140" t="s">
        <v>8447</v>
      </c>
    </row>
    <row r="151" spans="1:93" ht="15" customHeight="1">
      <c r="A151" s="137" t="s">
        <v>8472</v>
      </c>
      <c r="B151" s="161" t="s">
        <v>8495</v>
      </c>
      <c r="C151" s="268" t="s">
        <v>269</v>
      </c>
      <c r="D151" s="269">
        <v>1</v>
      </c>
      <c r="E151" s="280">
        <v>23</v>
      </c>
      <c r="F151" s="269"/>
      <c r="G151" s="269"/>
      <c r="H151" s="271">
        <v>2</v>
      </c>
      <c r="I151" s="271">
        <v>2</v>
      </c>
      <c r="J151" s="282"/>
      <c r="K151" s="273"/>
      <c r="L151" s="269">
        <v>7</v>
      </c>
      <c r="M151" s="274"/>
      <c r="N151" s="269">
        <v>3.16</v>
      </c>
      <c r="O151" s="274">
        <v>42191</v>
      </c>
      <c r="P151" s="272"/>
      <c r="Q151" s="274"/>
      <c r="R151" s="275"/>
      <c r="S151" s="274"/>
      <c r="T151" s="269">
        <v>7.99</v>
      </c>
      <c r="U151" s="276">
        <v>42200</v>
      </c>
      <c r="V151" s="275">
        <v>18.5</v>
      </c>
      <c r="W151" s="274">
        <v>42191</v>
      </c>
      <c r="X151" s="275"/>
      <c r="Y151" s="274"/>
      <c r="Z151" s="275"/>
      <c r="AA151" s="274"/>
      <c r="AB151" s="275"/>
      <c r="AC151" s="274"/>
      <c r="AD151" s="145">
        <f>(N151/V151)*(((100-CD151)/100)*((100-2)/100))*100</f>
        <v>15.417042162162161</v>
      </c>
      <c r="AE151" s="274"/>
      <c r="AF151" s="269">
        <v>17.62</v>
      </c>
      <c r="AG151" s="274">
        <v>42191</v>
      </c>
      <c r="AH151" s="274"/>
      <c r="AI151" s="274"/>
      <c r="AJ151" s="269">
        <v>160</v>
      </c>
      <c r="AK151" s="274"/>
      <c r="AL151" s="275"/>
      <c r="AM151" s="274"/>
      <c r="AN151" s="269">
        <v>106</v>
      </c>
      <c r="AO151" s="274"/>
      <c r="AP151" s="275"/>
      <c r="AQ151" s="275"/>
      <c r="AR151" s="275"/>
      <c r="AS151" s="275"/>
      <c r="AT151" s="275"/>
      <c r="AU151" s="275"/>
      <c r="AV151" s="275"/>
      <c r="AW151" s="275"/>
      <c r="AX151" s="275"/>
      <c r="AY151" s="275"/>
      <c r="AZ151" s="275"/>
      <c r="BA151" s="275"/>
      <c r="BB151" s="269">
        <v>7</v>
      </c>
      <c r="BC151" s="275"/>
      <c r="BD151" s="275"/>
      <c r="BE151" s="275"/>
      <c r="BF151" s="272"/>
      <c r="BG151" s="272"/>
      <c r="BH151" s="272"/>
      <c r="BI151" s="272"/>
      <c r="BJ151" s="272"/>
      <c r="BK151" s="272"/>
      <c r="BL151" s="272"/>
      <c r="BM151" s="272"/>
      <c r="BN151" s="284">
        <v>62.972000000000001</v>
      </c>
      <c r="BO151" s="276">
        <v>42200</v>
      </c>
      <c r="BP151" s="272"/>
      <c r="BQ151" s="272"/>
      <c r="BR151" s="272"/>
      <c r="BS151" s="272"/>
      <c r="BT151" s="284">
        <v>45.32</v>
      </c>
      <c r="BU151" s="276">
        <v>42200</v>
      </c>
      <c r="BV151" s="284">
        <v>20.878870010375977</v>
      </c>
      <c r="BW151" s="276">
        <v>42200</v>
      </c>
      <c r="BX151" s="284">
        <v>70.602000000000004</v>
      </c>
      <c r="BY151" s="276">
        <v>42200</v>
      </c>
      <c r="BZ151" s="272"/>
      <c r="CA151" s="272"/>
      <c r="CB151" s="272"/>
      <c r="CC151" s="272"/>
      <c r="CD151" s="269">
        <v>7.9</v>
      </c>
      <c r="CE151" s="274">
        <v>42191</v>
      </c>
      <c r="CF151" s="272"/>
      <c r="CG151" s="272"/>
      <c r="CH151" s="272"/>
      <c r="CI151" s="272"/>
      <c r="CJ151" s="272"/>
      <c r="CK151" s="272"/>
      <c r="CL151" s="272"/>
      <c r="CM151" s="278">
        <v>5</v>
      </c>
      <c r="CN151" s="276">
        <v>42180</v>
      </c>
      <c r="CO151" s="272" t="s">
        <v>8447</v>
      </c>
    </row>
    <row r="152" spans="1:93" ht="15" customHeight="1">
      <c r="A152" s="137" t="s">
        <v>8450</v>
      </c>
      <c r="B152" s="161" t="s">
        <v>8473</v>
      </c>
      <c r="C152" s="268" t="s">
        <v>267</v>
      </c>
      <c r="D152" s="269">
        <v>3</v>
      </c>
      <c r="E152" s="280">
        <v>1</v>
      </c>
      <c r="F152" s="269"/>
      <c r="G152" s="269"/>
      <c r="H152" s="271">
        <v>13</v>
      </c>
      <c r="I152" s="271">
        <v>4</v>
      </c>
      <c r="J152" s="282"/>
      <c r="K152" s="273"/>
      <c r="L152" s="269">
        <v>9</v>
      </c>
      <c r="M152" s="274"/>
      <c r="N152" s="269">
        <v>3.15</v>
      </c>
      <c r="O152" s="274">
        <v>42191</v>
      </c>
      <c r="P152" s="272"/>
      <c r="Q152" s="274"/>
      <c r="R152" s="275"/>
      <c r="S152" s="274"/>
      <c r="T152" s="269">
        <v>8.19</v>
      </c>
      <c r="U152" s="276">
        <v>42200</v>
      </c>
      <c r="V152" s="275">
        <v>18.5</v>
      </c>
      <c r="W152" s="274">
        <v>42191</v>
      </c>
      <c r="X152" s="275"/>
      <c r="Y152" s="274"/>
      <c r="Z152" s="275"/>
      <c r="AA152" s="274"/>
      <c r="AB152" s="275"/>
      <c r="AC152" s="274"/>
      <c r="AD152" s="145">
        <f>(N152/V152)*(((100-CD152)/100)*((100-2)/100))*100</f>
        <v>15.418313513513512</v>
      </c>
      <c r="AE152" s="274"/>
      <c r="AF152" s="269">
        <v>17.63</v>
      </c>
      <c r="AG152" s="274">
        <v>42191</v>
      </c>
      <c r="AH152" s="274"/>
      <c r="AI152" s="274"/>
      <c r="AJ152" s="269">
        <v>120</v>
      </c>
      <c r="AK152" s="274"/>
      <c r="AL152" s="275"/>
      <c r="AM152" s="274"/>
      <c r="AN152" s="269">
        <v>104</v>
      </c>
      <c r="AO152" s="274"/>
      <c r="AP152" s="275"/>
      <c r="AQ152" s="275"/>
      <c r="AR152" s="275"/>
      <c r="AS152" s="275"/>
      <c r="AT152" s="275"/>
      <c r="AU152" s="275"/>
      <c r="AV152" s="275"/>
      <c r="AW152" s="275"/>
      <c r="AX152" s="275"/>
      <c r="AY152" s="275"/>
      <c r="AZ152" s="275"/>
      <c r="BA152" s="275"/>
      <c r="BB152" s="269">
        <v>9</v>
      </c>
      <c r="BC152" s="275"/>
      <c r="BD152" s="275"/>
      <c r="BE152" s="275"/>
      <c r="BF152" s="272"/>
      <c r="BG152" s="272"/>
      <c r="BH152" s="272"/>
      <c r="BI152" s="272"/>
      <c r="BJ152" s="272"/>
      <c r="BK152" s="272"/>
      <c r="BL152" s="272"/>
      <c r="BM152" s="272"/>
      <c r="BN152" s="284">
        <v>67.45</v>
      </c>
      <c r="BO152" s="276">
        <v>42200</v>
      </c>
      <c r="BP152" s="272"/>
      <c r="BQ152" s="272"/>
      <c r="BR152" s="272"/>
      <c r="BS152" s="272"/>
      <c r="BT152" s="284">
        <v>46.46</v>
      </c>
      <c r="BU152" s="276">
        <v>42200</v>
      </c>
      <c r="BV152" s="284">
        <v>22.706029891967773</v>
      </c>
      <c r="BW152" s="276">
        <v>42200</v>
      </c>
      <c r="BX152" s="284">
        <v>78.394000000000005</v>
      </c>
      <c r="BY152" s="276">
        <v>42200</v>
      </c>
      <c r="BZ152" s="272"/>
      <c r="CA152" s="272"/>
      <c r="CB152" s="272"/>
      <c r="CC152" s="272"/>
      <c r="CD152" s="269">
        <v>7.6</v>
      </c>
      <c r="CE152" s="274">
        <v>42191</v>
      </c>
      <c r="CF152" s="272"/>
      <c r="CG152" s="272"/>
      <c r="CH152" s="272"/>
      <c r="CI152" s="272"/>
      <c r="CJ152" s="272"/>
      <c r="CK152" s="272"/>
      <c r="CL152" s="272"/>
      <c r="CM152" s="278">
        <v>5</v>
      </c>
      <c r="CN152" s="276">
        <v>42180</v>
      </c>
      <c r="CO152" s="272" t="s">
        <v>8447</v>
      </c>
    </row>
    <row r="153" spans="1:93" ht="15">
      <c r="A153" s="124" t="s">
        <v>7639</v>
      </c>
      <c r="B153" s="161" t="s">
        <v>7491</v>
      </c>
      <c r="C153" s="268" t="s">
        <v>269</v>
      </c>
      <c r="D153" s="243">
        <v>2</v>
      </c>
      <c r="E153" s="183">
        <v>53</v>
      </c>
      <c r="F153" s="244">
        <v>12</v>
      </c>
      <c r="G153" s="245">
        <v>13</v>
      </c>
      <c r="L153" s="254">
        <v>7</v>
      </c>
      <c r="N153" s="246">
        <v>3.15</v>
      </c>
      <c r="O153" s="159">
        <v>42191</v>
      </c>
      <c r="T153" s="247">
        <v>8.8699999999999992</v>
      </c>
      <c r="U153" s="256">
        <v>42200</v>
      </c>
      <c r="V153" s="145">
        <v>18.5</v>
      </c>
      <c r="W153" s="159">
        <v>42191</v>
      </c>
      <c r="AD153" s="145">
        <f>(N153/V153)*(((100-CD153)/100)*((100-2)/100))*100</f>
        <v>15.51843243243243</v>
      </c>
      <c r="AF153" s="257">
        <f>(N153/V153)*(((100-CD153)/(100-9))*100)</f>
        <v>17.401247401247399</v>
      </c>
      <c r="AG153" s="159">
        <v>42191</v>
      </c>
      <c r="AJ153" s="249">
        <v>140</v>
      </c>
      <c r="AN153" s="250">
        <v>105</v>
      </c>
      <c r="BB153" s="257">
        <v>9</v>
      </c>
      <c r="BN153" s="251">
        <v>61.317999999999998</v>
      </c>
      <c r="BO153" s="256">
        <v>42200</v>
      </c>
      <c r="BT153" s="251">
        <v>49.982093811035156</v>
      </c>
      <c r="BU153" s="256">
        <v>42200</v>
      </c>
      <c r="BV153" s="251">
        <v>17.051389694213867</v>
      </c>
      <c r="BW153" s="256">
        <v>42200</v>
      </c>
      <c r="BX153" s="251">
        <v>17.199000000000002</v>
      </c>
      <c r="BY153" s="256">
        <v>42200</v>
      </c>
      <c r="CD153" s="253">
        <v>7</v>
      </c>
      <c r="CE153" s="159">
        <v>42191</v>
      </c>
      <c r="CM153" s="255">
        <v>1</v>
      </c>
      <c r="CN153" s="256">
        <v>42180</v>
      </c>
      <c r="CO153" s="140" t="s">
        <v>8448</v>
      </c>
    </row>
    <row r="154" spans="1:93" ht="15">
      <c r="A154" s="124" t="s">
        <v>7745</v>
      </c>
      <c r="B154" s="161" t="s">
        <v>7569</v>
      </c>
      <c r="C154" s="268" t="s">
        <v>267</v>
      </c>
      <c r="D154" s="243">
        <v>4</v>
      </c>
      <c r="E154" s="183">
        <v>159</v>
      </c>
      <c r="F154" s="244">
        <v>22</v>
      </c>
      <c r="G154" s="245">
        <v>27</v>
      </c>
      <c r="L154" s="254">
        <v>1</v>
      </c>
      <c r="N154" s="246">
        <v>3.23</v>
      </c>
      <c r="O154" s="159">
        <v>42191</v>
      </c>
      <c r="T154" s="247">
        <v>8.9700000000000006</v>
      </c>
      <c r="U154" s="256">
        <v>42200</v>
      </c>
      <c r="V154" s="145">
        <v>18.5</v>
      </c>
      <c r="W154" s="159">
        <v>42191</v>
      </c>
      <c r="AD154" s="145">
        <f>(N154/V154)*(((100-CD154)/100)*((100-2)/100))*100</f>
        <v>15.519015135135133</v>
      </c>
      <c r="AF154" s="257">
        <v>17.739999999999998</v>
      </c>
      <c r="AG154" s="159">
        <v>42191</v>
      </c>
      <c r="AJ154" s="249">
        <v>105</v>
      </c>
      <c r="AN154" s="250">
        <v>106</v>
      </c>
      <c r="BB154" s="257">
        <v>7</v>
      </c>
      <c r="BN154" s="251">
        <v>64.754000000000005</v>
      </c>
      <c r="BO154" s="256">
        <v>42200</v>
      </c>
      <c r="BT154" s="251">
        <v>50.575050354003906</v>
      </c>
      <c r="BU154" s="256">
        <v>42200</v>
      </c>
      <c r="BV154" s="251">
        <v>16.014461517333984</v>
      </c>
      <c r="BW154" s="256">
        <v>42200</v>
      </c>
      <c r="BX154" s="251">
        <v>20.033000000000001</v>
      </c>
      <c r="BY154" s="256">
        <v>42200</v>
      </c>
      <c r="CD154" s="253">
        <v>9.3000000000000007</v>
      </c>
      <c r="CE154" s="159">
        <v>42191</v>
      </c>
      <c r="CM154" s="255">
        <v>3</v>
      </c>
      <c r="CN154" s="256">
        <v>42180</v>
      </c>
      <c r="CO154" s="140" t="s">
        <v>8447</v>
      </c>
    </row>
    <row r="155" spans="1:93" ht="15" customHeight="1">
      <c r="A155" s="124" t="s">
        <v>7624</v>
      </c>
      <c r="B155" s="161" t="s">
        <v>7477</v>
      </c>
      <c r="C155" s="268" t="s">
        <v>269</v>
      </c>
      <c r="D155" s="257">
        <v>2</v>
      </c>
      <c r="E155" s="183">
        <v>38</v>
      </c>
      <c r="F155" s="257">
        <v>9</v>
      </c>
      <c r="G155" s="257">
        <v>26</v>
      </c>
      <c r="L155" s="257">
        <v>7</v>
      </c>
      <c r="N155" s="257">
        <v>3.14</v>
      </c>
      <c r="O155" s="159">
        <v>42191</v>
      </c>
      <c r="T155" s="257">
        <v>8.5500000000000007</v>
      </c>
      <c r="U155" s="256">
        <v>42200</v>
      </c>
      <c r="V155" s="145">
        <v>18.5</v>
      </c>
      <c r="W155" s="159">
        <v>42191</v>
      </c>
      <c r="AD155" s="145">
        <f>(N155/V155)*(((100-CD155)/100)*((100-2)/100))*100</f>
        <v>15.519068108108108</v>
      </c>
      <c r="AF155" s="257">
        <v>17.739999999999998</v>
      </c>
      <c r="AG155" s="159">
        <v>42191</v>
      </c>
      <c r="AJ155" s="257">
        <v>120</v>
      </c>
      <c r="AN155" s="257">
        <v>106</v>
      </c>
      <c r="BB155" s="257">
        <v>3</v>
      </c>
      <c r="BN155" s="251">
        <v>63.503999999999998</v>
      </c>
      <c r="BO155" s="256">
        <v>42200</v>
      </c>
      <c r="BT155" s="251">
        <v>48.216690063476562</v>
      </c>
      <c r="BU155" s="256">
        <v>42200</v>
      </c>
      <c r="BV155" s="251">
        <v>19.973474502563477</v>
      </c>
      <c r="BW155" s="256">
        <v>42200</v>
      </c>
      <c r="BX155" s="251">
        <v>56.008000000000003</v>
      </c>
      <c r="BY155" s="256">
        <v>42200</v>
      </c>
      <c r="CD155" s="257">
        <v>6.7</v>
      </c>
      <c r="CE155" s="159">
        <v>42191</v>
      </c>
      <c r="CM155" s="255">
        <v>5</v>
      </c>
      <c r="CN155" s="256">
        <v>42180</v>
      </c>
      <c r="CO155" s="140" t="s">
        <v>8448</v>
      </c>
    </row>
    <row r="156" spans="1:93" ht="15" customHeight="1">
      <c r="A156" s="124" t="s">
        <v>7730</v>
      </c>
      <c r="B156" s="161" t="s">
        <v>8247</v>
      </c>
      <c r="C156" s="268" t="s">
        <v>267</v>
      </c>
      <c r="D156" s="257">
        <v>4</v>
      </c>
      <c r="E156" s="183">
        <v>144</v>
      </c>
      <c r="F156" s="257">
        <v>23</v>
      </c>
      <c r="G156" s="257">
        <v>29</v>
      </c>
      <c r="L156" s="257">
        <v>3</v>
      </c>
      <c r="N156" s="257">
        <v>3.34</v>
      </c>
      <c r="O156" s="159">
        <v>42191</v>
      </c>
      <c r="T156" s="257">
        <v>8.89</v>
      </c>
      <c r="U156" s="256">
        <v>42200</v>
      </c>
      <c r="V156" s="145">
        <v>18.5</v>
      </c>
      <c r="W156" s="159">
        <v>42191</v>
      </c>
      <c r="AD156" s="145">
        <f>(N156/V156)*(((100-CD156)/100)*((100-2)/100))*100</f>
        <v>15.534430270270269</v>
      </c>
      <c r="AF156" s="257">
        <f>(N156/V156)*(((100-CD156)/(100-9))*100)</f>
        <v>17.419186219186219</v>
      </c>
      <c r="AG156" s="159">
        <v>42191</v>
      </c>
      <c r="AJ156" s="257">
        <v>125</v>
      </c>
      <c r="AN156" s="257">
        <v>102</v>
      </c>
      <c r="BB156" s="257">
        <v>7</v>
      </c>
      <c r="BN156" s="251">
        <v>65.784000000000006</v>
      </c>
      <c r="BO156" s="256">
        <v>42200</v>
      </c>
      <c r="BT156" s="251">
        <v>50.075901031494141</v>
      </c>
      <c r="BU156" s="256">
        <v>42200</v>
      </c>
      <c r="BV156" s="251">
        <v>17.799039840698242</v>
      </c>
      <c r="BW156" s="256">
        <v>42200</v>
      </c>
      <c r="BX156" s="251">
        <v>16.463000000000001</v>
      </c>
      <c r="BY156" s="256">
        <v>42200</v>
      </c>
      <c r="CD156" s="257">
        <v>12.2</v>
      </c>
      <c r="CE156" s="159">
        <v>42191</v>
      </c>
      <c r="CM156" s="255">
        <v>1</v>
      </c>
      <c r="CN156" s="256">
        <v>42180</v>
      </c>
      <c r="CO156" s="140" t="s">
        <v>8447</v>
      </c>
    </row>
    <row r="157" spans="1:93" ht="15" customHeight="1">
      <c r="A157" s="124" t="s">
        <v>7705</v>
      </c>
      <c r="B157" s="161" t="s">
        <v>7780</v>
      </c>
      <c r="C157" s="268" t="s">
        <v>269</v>
      </c>
      <c r="D157" s="257">
        <v>1</v>
      </c>
      <c r="E157" s="183">
        <v>119</v>
      </c>
      <c r="F157" s="257">
        <v>5</v>
      </c>
      <c r="G157" s="257">
        <v>29</v>
      </c>
      <c r="L157" s="257">
        <v>6</v>
      </c>
      <c r="N157" s="257">
        <v>3.15</v>
      </c>
      <c r="O157" s="159">
        <v>42191</v>
      </c>
      <c r="T157" s="257">
        <v>8.6300000000000008</v>
      </c>
      <c r="U157" s="256">
        <v>42200</v>
      </c>
      <c r="V157" s="145">
        <v>18.5</v>
      </c>
      <c r="W157" s="159">
        <v>42191</v>
      </c>
      <c r="AD157" s="145">
        <f>(N157/V157)*(((100-CD157)/100)*((100-2)/100))*100</f>
        <v>15.535118918918917</v>
      </c>
      <c r="AF157" s="257">
        <v>17.760000000000002</v>
      </c>
      <c r="AG157" s="159">
        <v>42191</v>
      </c>
      <c r="AJ157" s="257">
        <v>180</v>
      </c>
      <c r="AN157" s="257">
        <v>107</v>
      </c>
      <c r="BB157" s="257">
        <v>9</v>
      </c>
      <c r="BN157" s="251">
        <v>66.022000000000006</v>
      </c>
      <c r="BO157" s="256">
        <v>42200</v>
      </c>
      <c r="BT157" s="251">
        <v>48.598579406738281</v>
      </c>
      <c r="BU157" s="256">
        <v>42200</v>
      </c>
      <c r="BV157" s="251">
        <v>19.656242370605469</v>
      </c>
      <c r="BW157" s="256">
        <v>42200</v>
      </c>
      <c r="BX157" s="251">
        <v>60.399000000000001</v>
      </c>
      <c r="BY157" s="256">
        <v>42200</v>
      </c>
      <c r="CD157" s="257">
        <v>6.9</v>
      </c>
      <c r="CE157" s="159">
        <v>42191</v>
      </c>
      <c r="CM157" s="255">
        <v>3</v>
      </c>
      <c r="CN157" s="256">
        <v>42180</v>
      </c>
      <c r="CO157" s="140" t="s">
        <v>8447</v>
      </c>
    </row>
    <row r="158" spans="1:93" ht="15" customHeight="1">
      <c r="A158" s="137" t="s">
        <v>8459</v>
      </c>
      <c r="B158" s="161" t="s">
        <v>8482</v>
      </c>
      <c r="C158" s="268" t="s">
        <v>269</v>
      </c>
      <c r="D158" s="269">
        <v>2</v>
      </c>
      <c r="E158" s="280">
        <v>10</v>
      </c>
      <c r="F158" s="269"/>
      <c r="G158" s="269"/>
      <c r="H158" s="271">
        <v>9</v>
      </c>
      <c r="I158" s="271">
        <v>2</v>
      </c>
      <c r="J158" s="282"/>
      <c r="K158" s="273"/>
      <c r="L158" s="269">
        <v>7</v>
      </c>
      <c r="M158" s="274"/>
      <c r="N158" s="269">
        <v>3.2</v>
      </c>
      <c r="O158" s="274">
        <v>42191</v>
      </c>
      <c r="P158" s="272"/>
      <c r="Q158" s="274"/>
      <c r="R158" s="275"/>
      <c r="S158" s="274"/>
      <c r="T158" s="269">
        <v>7.74</v>
      </c>
      <c r="U158" s="276">
        <v>42200</v>
      </c>
      <c r="V158" s="275">
        <v>18.5</v>
      </c>
      <c r="W158" s="274">
        <v>42191</v>
      </c>
      <c r="X158" s="275"/>
      <c r="Y158" s="274"/>
      <c r="Z158" s="275"/>
      <c r="AA158" s="274"/>
      <c r="AB158" s="275"/>
      <c r="AC158" s="274"/>
      <c r="AD158" s="145">
        <f>(N158/V158)*(((100-CD158)/100)*((100-2)/100))*100</f>
        <v>15.595243243243246</v>
      </c>
      <c r="AE158" s="274"/>
      <c r="AF158" s="269">
        <v>17.829999999999998</v>
      </c>
      <c r="AG158" s="274">
        <v>42191</v>
      </c>
      <c r="AH158" s="274"/>
      <c r="AI158" s="274"/>
      <c r="AJ158" s="269">
        <v>160</v>
      </c>
      <c r="AK158" s="274"/>
      <c r="AL158" s="275"/>
      <c r="AM158" s="274"/>
      <c r="AN158" s="269">
        <v>106</v>
      </c>
      <c r="AO158" s="274"/>
      <c r="AP158" s="275"/>
      <c r="AQ158" s="275"/>
      <c r="AR158" s="275"/>
      <c r="AS158" s="275"/>
      <c r="AT158" s="275"/>
      <c r="AU158" s="275"/>
      <c r="AV158" s="275"/>
      <c r="AW158" s="275"/>
      <c r="AX158" s="275"/>
      <c r="AY158" s="275"/>
      <c r="AZ158" s="275"/>
      <c r="BA158" s="275"/>
      <c r="BB158" s="269">
        <v>3</v>
      </c>
      <c r="BC158" s="275"/>
      <c r="BD158" s="275"/>
      <c r="BE158" s="275"/>
      <c r="BF158" s="272"/>
      <c r="BG158" s="272"/>
      <c r="BH158" s="272"/>
      <c r="BI158" s="272"/>
      <c r="BJ158" s="272"/>
      <c r="BK158" s="272"/>
      <c r="BL158" s="272"/>
      <c r="BM158" s="272"/>
      <c r="BN158" s="284">
        <v>61.375999999999998</v>
      </c>
      <c r="BO158" s="276">
        <v>42200</v>
      </c>
      <c r="BP158" s="272"/>
      <c r="BQ158" s="272"/>
      <c r="BR158" s="272"/>
      <c r="BS158" s="272"/>
      <c r="BT158" s="284">
        <v>43.43</v>
      </c>
      <c r="BU158" s="276">
        <v>42200</v>
      </c>
      <c r="BV158" s="284">
        <v>22.265432357788086</v>
      </c>
      <c r="BW158" s="276">
        <v>42200</v>
      </c>
      <c r="BX158" s="284">
        <v>65.284000000000006</v>
      </c>
      <c r="BY158" s="276">
        <v>42200</v>
      </c>
      <c r="BZ158" s="272"/>
      <c r="CA158" s="272"/>
      <c r="CB158" s="272"/>
      <c r="CC158" s="272"/>
      <c r="CD158" s="269">
        <v>8</v>
      </c>
      <c r="CE158" s="274">
        <v>42191</v>
      </c>
      <c r="CF158" s="272"/>
      <c r="CG158" s="272"/>
      <c r="CH158" s="272"/>
      <c r="CI158" s="272"/>
      <c r="CJ158" s="272"/>
      <c r="CK158" s="272"/>
      <c r="CL158" s="272"/>
      <c r="CM158" s="278">
        <v>1</v>
      </c>
      <c r="CN158" s="276">
        <v>42180</v>
      </c>
      <c r="CO158" s="272" t="s">
        <v>8447</v>
      </c>
    </row>
    <row r="159" spans="1:93" ht="15">
      <c r="A159" s="124" t="s">
        <v>7603</v>
      </c>
      <c r="B159" s="161" t="s">
        <v>7772</v>
      </c>
      <c r="C159" s="268" t="s">
        <v>267</v>
      </c>
      <c r="D159" s="243">
        <v>4</v>
      </c>
      <c r="E159" s="183">
        <v>17</v>
      </c>
      <c r="F159" s="244">
        <v>23</v>
      </c>
      <c r="G159" s="245">
        <v>27</v>
      </c>
      <c r="J159" s="266"/>
      <c r="L159" s="254">
        <v>8</v>
      </c>
      <c r="N159" s="246">
        <v>3.21</v>
      </c>
      <c r="O159" s="159">
        <v>42191</v>
      </c>
      <c r="P159" s="144"/>
      <c r="R159" s="145"/>
      <c r="T159" s="247">
        <v>8.98</v>
      </c>
      <c r="U159" s="256">
        <v>42200</v>
      </c>
      <c r="V159" s="145">
        <v>18.5</v>
      </c>
      <c r="W159" s="159">
        <v>42191</v>
      </c>
      <c r="X159" s="145"/>
      <c r="Z159" s="145"/>
      <c r="AB159" s="145"/>
      <c r="AD159" s="145">
        <f>(N159/V159)*(((100-CD159)/100)*((100-2)/100))*100</f>
        <v>15.677987027027026</v>
      </c>
      <c r="AF159" s="257">
        <v>17.920000000000002</v>
      </c>
      <c r="AG159" s="159">
        <v>42191</v>
      </c>
      <c r="AJ159" s="249">
        <v>140</v>
      </c>
      <c r="AL159" s="145"/>
      <c r="AN159" s="250">
        <v>106</v>
      </c>
      <c r="BB159" s="257">
        <v>9</v>
      </c>
      <c r="BN159" s="251">
        <v>67.963999999999999</v>
      </c>
      <c r="BO159" s="256">
        <v>42200</v>
      </c>
      <c r="BT159" s="251">
        <v>50.127250671386719</v>
      </c>
      <c r="BU159" s="256">
        <v>42200</v>
      </c>
      <c r="BV159" s="251">
        <v>17.832391738891602</v>
      </c>
      <c r="BW159" s="256">
        <v>42200</v>
      </c>
      <c r="BX159" s="251">
        <v>57.238</v>
      </c>
      <c r="BY159" s="256">
        <v>42200</v>
      </c>
      <c r="CD159" s="253">
        <v>7.8</v>
      </c>
      <c r="CE159" s="159">
        <v>42191</v>
      </c>
      <c r="CM159" s="255">
        <v>3</v>
      </c>
      <c r="CN159" s="256">
        <v>42180</v>
      </c>
      <c r="CO159" s="140" t="s">
        <v>8447</v>
      </c>
    </row>
    <row r="160" spans="1:93" ht="15">
      <c r="A160" s="124" t="s">
        <v>7697</v>
      </c>
      <c r="B160" s="161" t="s">
        <v>7543</v>
      </c>
      <c r="C160" s="268" t="s">
        <v>267</v>
      </c>
      <c r="D160" s="243">
        <v>3</v>
      </c>
      <c r="E160" s="183">
        <v>111</v>
      </c>
      <c r="F160" s="244">
        <v>15</v>
      </c>
      <c r="G160" s="245">
        <v>10</v>
      </c>
      <c r="L160" s="254">
        <v>6</v>
      </c>
      <c r="N160" s="246">
        <v>3.21</v>
      </c>
      <c r="O160" s="159">
        <v>42191</v>
      </c>
      <c r="T160" s="247">
        <v>8.99</v>
      </c>
      <c r="U160" s="256">
        <v>42200</v>
      </c>
      <c r="V160" s="145">
        <v>18.5</v>
      </c>
      <c r="W160" s="159">
        <v>42191</v>
      </c>
      <c r="AD160" s="145">
        <f>(N160/V160)*(((100-CD160)/100)*((100-2)/100))*100</f>
        <v>15.728999999999999</v>
      </c>
      <c r="AF160" s="257">
        <v>17.98</v>
      </c>
      <c r="AG160" s="159">
        <v>42191</v>
      </c>
      <c r="AJ160" s="249">
        <v>115</v>
      </c>
      <c r="AN160" s="250">
        <v>103</v>
      </c>
      <c r="BB160" s="257">
        <v>7</v>
      </c>
      <c r="BN160" s="251">
        <v>63.256999999999998</v>
      </c>
      <c r="BO160" s="256">
        <v>42200</v>
      </c>
      <c r="BT160" s="251">
        <v>50.0150146484375</v>
      </c>
      <c r="BU160" s="256">
        <v>42200</v>
      </c>
      <c r="BV160" s="251">
        <v>17.976869583129883</v>
      </c>
      <c r="BW160" s="256">
        <v>42200</v>
      </c>
      <c r="BX160" s="251">
        <v>24.617000000000001</v>
      </c>
      <c r="BY160" s="256">
        <v>42200</v>
      </c>
      <c r="CD160" s="253">
        <v>7.5</v>
      </c>
      <c r="CE160" s="159">
        <v>42191</v>
      </c>
      <c r="CM160" s="255">
        <v>3</v>
      </c>
      <c r="CN160" s="256">
        <v>42180</v>
      </c>
      <c r="CO160" s="140" t="s">
        <v>8447</v>
      </c>
    </row>
    <row r="161" spans="1:93" ht="15" customHeight="1">
      <c r="A161" s="137" t="s">
        <v>8471</v>
      </c>
      <c r="B161" s="161" t="s">
        <v>8494</v>
      </c>
      <c r="C161" s="268" t="s">
        <v>269</v>
      </c>
      <c r="D161" s="269">
        <v>1</v>
      </c>
      <c r="E161" s="280">
        <v>22</v>
      </c>
      <c r="F161" s="269"/>
      <c r="G161" s="269"/>
      <c r="H161" s="271">
        <v>4</v>
      </c>
      <c r="I161" s="271">
        <v>2</v>
      </c>
      <c r="J161" s="282"/>
      <c r="K161" s="273"/>
      <c r="L161" s="269">
        <v>5</v>
      </c>
      <c r="M161" s="274"/>
      <c r="N161" s="269">
        <v>3.22</v>
      </c>
      <c r="O161" s="274">
        <v>42191</v>
      </c>
      <c r="P161" s="272"/>
      <c r="Q161" s="274"/>
      <c r="R161" s="275"/>
      <c r="S161" s="274"/>
      <c r="T161" s="269">
        <v>8.65</v>
      </c>
      <c r="U161" s="276">
        <v>42200</v>
      </c>
      <c r="V161" s="275">
        <v>18.5</v>
      </c>
      <c r="W161" s="274">
        <v>42191</v>
      </c>
      <c r="X161" s="275"/>
      <c r="Y161" s="274"/>
      <c r="Z161" s="275"/>
      <c r="AA161" s="274"/>
      <c r="AB161" s="275"/>
      <c r="AC161" s="274"/>
      <c r="AD161" s="145">
        <f>(N161/V161)*(((100-CD161)/100)*((100-2)/100))*100</f>
        <v>15.743885405405402</v>
      </c>
      <c r="AE161" s="274"/>
      <c r="AF161" s="269">
        <v>18</v>
      </c>
      <c r="AG161" s="274">
        <v>42191</v>
      </c>
      <c r="AH161" s="274"/>
      <c r="AI161" s="274"/>
      <c r="AJ161" s="269">
        <v>140</v>
      </c>
      <c r="AK161" s="274"/>
      <c r="AL161" s="275"/>
      <c r="AM161" s="274"/>
      <c r="AN161" s="269">
        <v>100</v>
      </c>
      <c r="AO161" s="274"/>
      <c r="AP161" s="275"/>
      <c r="AQ161" s="275"/>
      <c r="AR161" s="275"/>
      <c r="AS161" s="275"/>
      <c r="AT161" s="275"/>
      <c r="AU161" s="275"/>
      <c r="AV161" s="275"/>
      <c r="AW161" s="275"/>
      <c r="AX161" s="275"/>
      <c r="AY161" s="275"/>
      <c r="AZ161" s="275"/>
      <c r="BA161" s="275"/>
      <c r="BB161" s="269">
        <v>7</v>
      </c>
      <c r="BC161" s="275"/>
      <c r="BD161" s="275"/>
      <c r="BE161" s="275"/>
      <c r="BF161" s="272"/>
      <c r="BG161" s="272"/>
      <c r="BH161" s="272"/>
      <c r="BI161" s="272"/>
      <c r="BJ161" s="272"/>
      <c r="BK161" s="272"/>
      <c r="BL161" s="272"/>
      <c r="BM161" s="272"/>
      <c r="BN161" s="284">
        <v>63.72</v>
      </c>
      <c r="BO161" s="276">
        <v>42200</v>
      </c>
      <c r="BP161" s="272"/>
      <c r="BQ161" s="272"/>
      <c r="BR161" s="272"/>
      <c r="BS161" s="272"/>
      <c r="BT161" s="284">
        <v>48.03</v>
      </c>
      <c r="BU161" s="276">
        <v>42200</v>
      </c>
      <c r="BV161" s="284">
        <v>21.007549285888672</v>
      </c>
      <c r="BW161" s="276">
        <v>42200</v>
      </c>
      <c r="BX161" s="284">
        <v>76.634</v>
      </c>
      <c r="BY161" s="276">
        <v>42200</v>
      </c>
      <c r="BZ161" s="272"/>
      <c r="CA161" s="272"/>
      <c r="CB161" s="272"/>
      <c r="CC161" s="272"/>
      <c r="CD161" s="269">
        <v>7.7</v>
      </c>
      <c r="CE161" s="274">
        <v>42191</v>
      </c>
      <c r="CF161" s="272"/>
      <c r="CG161" s="272"/>
      <c r="CH161" s="272"/>
      <c r="CI161" s="272"/>
      <c r="CJ161" s="272"/>
      <c r="CK161" s="272"/>
      <c r="CL161" s="272"/>
      <c r="CM161" s="278">
        <v>5</v>
      </c>
      <c r="CN161" s="276">
        <v>42180</v>
      </c>
      <c r="CO161" s="272" t="s">
        <v>8447</v>
      </c>
    </row>
    <row r="162" spans="1:93" ht="15" customHeight="1">
      <c r="A162" s="124" t="s">
        <v>7660</v>
      </c>
      <c r="B162" s="161" t="s">
        <v>7509</v>
      </c>
      <c r="C162" s="268" t="s">
        <v>269</v>
      </c>
      <c r="D162" s="257">
        <v>2</v>
      </c>
      <c r="E162" s="183">
        <v>74</v>
      </c>
      <c r="F162" s="257">
        <v>10</v>
      </c>
      <c r="G162" s="257">
        <v>4</v>
      </c>
      <c r="L162" s="257">
        <v>8</v>
      </c>
      <c r="N162" s="257">
        <v>3.21</v>
      </c>
      <c r="O162" s="159">
        <v>42191</v>
      </c>
      <c r="T162" s="257">
        <v>8.7899999999999991</v>
      </c>
      <c r="U162" s="256">
        <v>42200</v>
      </c>
      <c r="V162" s="145">
        <v>18.5</v>
      </c>
      <c r="W162" s="159">
        <v>42191</v>
      </c>
      <c r="AD162" s="145">
        <f>(N162/V162)*(((100-CD162)/100)*((100-2)/100))*100</f>
        <v>15.780012972972973</v>
      </c>
      <c r="AF162" s="257">
        <v>18.04</v>
      </c>
      <c r="AG162" s="159">
        <v>42191</v>
      </c>
      <c r="AJ162" s="257">
        <v>120</v>
      </c>
      <c r="AN162" s="257">
        <v>105</v>
      </c>
      <c r="BB162" s="257">
        <v>7</v>
      </c>
      <c r="BN162" s="251">
        <v>65.933999999999997</v>
      </c>
      <c r="BO162" s="256">
        <v>42200</v>
      </c>
      <c r="BT162" s="251">
        <v>48.723052978515625</v>
      </c>
      <c r="BU162" s="256">
        <v>42200</v>
      </c>
      <c r="BV162" s="251">
        <v>18.554479598999023</v>
      </c>
      <c r="BW162" s="256">
        <v>42200</v>
      </c>
      <c r="BX162" s="251">
        <v>13.775</v>
      </c>
      <c r="BY162" s="256">
        <v>42200</v>
      </c>
      <c r="CD162" s="257">
        <v>7.2</v>
      </c>
      <c r="CE162" s="159">
        <v>42191</v>
      </c>
      <c r="CM162" s="255">
        <v>3</v>
      </c>
      <c r="CN162" s="256">
        <v>42180</v>
      </c>
      <c r="CO162" s="140" t="s">
        <v>8448</v>
      </c>
    </row>
    <row r="163" spans="1:93" ht="15">
      <c r="A163" s="124" t="s">
        <v>7601</v>
      </c>
      <c r="B163" s="161" t="s">
        <v>7457</v>
      </c>
      <c r="C163" s="268" t="s">
        <v>269</v>
      </c>
      <c r="D163" s="243">
        <v>1</v>
      </c>
      <c r="E163" s="183">
        <v>15</v>
      </c>
      <c r="F163" s="244">
        <v>6</v>
      </c>
      <c r="G163" s="245">
        <v>32</v>
      </c>
      <c r="J163" s="266"/>
      <c r="L163" s="254">
        <v>9</v>
      </c>
      <c r="N163" s="246">
        <v>3.21</v>
      </c>
      <c r="O163" s="159">
        <v>42191</v>
      </c>
      <c r="P163" s="144"/>
      <c r="R163" s="145"/>
      <c r="T163" s="247">
        <v>8.7100000000000009</v>
      </c>
      <c r="U163" s="256">
        <v>42200</v>
      </c>
      <c r="V163" s="145">
        <v>18.5</v>
      </c>
      <c r="W163" s="159">
        <v>42191</v>
      </c>
      <c r="X163" s="145"/>
      <c r="Z163" s="145"/>
      <c r="AB163" s="145"/>
      <c r="AD163" s="145">
        <f>(N163/V163)*(((100-CD163)/100)*((100-2)/100))*100</f>
        <v>15.831025945945946</v>
      </c>
      <c r="AF163" s="257">
        <v>18.100000000000001</v>
      </c>
      <c r="AG163" s="159">
        <v>42191</v>
      </c>
      <c r="AJ163" s="249">
        <v>175</v>
      </c>
      <c r="AL163" s="145"/>
      <c r="AN163" s="250">
        <v>107</v>
      </c>
      <c r="BB163" s="257">
        <v>9</v>
      </c>
      <c r="BN163" s="251">
        <v>66.576999999999998</v>
      </c>
      <c r="BO163" s="256">
        <v>42200</v>
      </c>
      <c r="BT163" s="251">
        <v>48.131988525390625</v>
      </c>
      <c r="BU163" s="256">
        <v>42200</v>
      </c>
      <c r="BV163" s="251">
        <v>21.158214569091797</v>
      </c>
      <c r="BW163" s="256">
        <v>42200</v>
      </c>
      <c r="BX163" s="251">
        <v>72.799000000000007</v>
      </c>
      <c r="BY163" s="256">
        <v>42200</v>
      </c>
      <c r="CD163" s="253">
        <v>6.9</v>
      </c>
      <c r="CE163" s="159">
        <v>42191</v>
      </c>
      <c r="CM163" s="255">
        <v>5</v>
      </c>
      <c r="CN163" s="256">
        <v>42180</v>
      </c>
      <c r="CO163" s="140" t="s">
        <v>8447</v>
      </c>
    </row>
    <row r="164" spans="1:93" ht="15">
      <c r="A164" s="124" t="s">
        <v>7714</v>
      </c>
      <c r="B164" s="161" t="s">
        <v>7770</v>
      </c>
      <c r="C164" s="268" t="s">
        <v>267</v>
      </c>
      <c r="D164" s="243">
        <v>4</v>
      </c>
      <c r="E164" s="183">
        <v>128</v>
      </c>
      <c r="F164" s="244">
        <v>23</v>
      </c>
      <c r="G164" s="245">
        <v>25</v>
      </c>
      <c r="L164" s="254">
        <v>5</v>
      </c>
      <c r="N164" s="246">
        <v>3.22</v>
      </c>
      <c r="O164" s="159">
        <v>42191</v>
      </c>
      <c r="T164" s="247">
        <v>9.1300000000000008</v>
      </c>
      <c r="U164" s="256">
        <v>42200</v>
      </c>
      <c r="V164" s="145">
        <v>18.5</v>
      </c>
      <c r="W164" s="159">
        <v>42191</v>
      </c>
      <c r="AD164" s="145">
        <f>(N164/V164)*(((100-CD164)/100)*((100-2)/100))*100</f>
        <v>15.84622918918919</v>
      </c>
      <c r="AF164" s="257">
        <v>18.11</v>
      </c>
      <c r="AG164" s="159">
        <v>42191</v>
      </c>
      <c r="AJ164" s="249">
        <v>140</v>
      </c>
      <c r="AN164" s="250">
        <v>111</v>
      </c>
      <c r="BB164" s="257">
        <v>9</v>
      </c>
      <c r="BN164" s="251">
        <v>66.78</v>
      </c>
      <c r="BO164" s="256">
        <v>42200</v>
      </c>
      <c r="BT164" s="251">
        <v>50.436473846435547</v>
      </c>
      <c r="BU164" s="256">
        <v>42200</v>
      </c>
      <c r="BV164" s="251">
        <v>18.524566650390625</v>
      </c>
      <c r="BW164" s="256">
        <v>42200</v>
      </c>
      <c r="BX164" s="251">
        <v>47.116</v>
      </c>
      <c r="BY164" s="256">
        <v>42200</v>
      </c>
      <c r="CD164" s="253">
        <v>7.1</v>
      </c>
      <c r="CE164" s="159">
        <v>42191</v>
      </c>
      <c r="CM164" s="255">
        <v>3</v>
      </c>
      <c r="CN164" s="256">
        <v>42180</v>
      </c>
      <c r="CO164" s="140" t="s">
        <v>8447</v>
      </c>
    </row>
    <row r="165" spans="1:93" ht="15" customHeight="1">
      <c r="A165" s="137" t="s">
        <v>8469</v>
      </c>
      <c r="B165" s="161" t="s">
        <v>8492</v>
      </c>
      <c r="C165" s="268" t="s">
        <v>267</v>
      </c>
      <c r="D165" s="269">
        <v>4</v>
      </c>
      <c r="E165" s="280">
        <v>20</v>
      </c>
      <c r="F165" s="269"/>
      <c r="G165" s="269"/>
      <c r="H165" s="271">
        <v>21</v>
      </c>
      <c r="I165" s="271">
        <v>2</v>
      </c>
      <c r="J165" s="282"/>
      <c r="K165" s="273"/>
      <c r="L165" s="269">
        <v>8</v>
      </c>
      <c r="M165" s="274"/>
      <c r="N165" s="269">
        <v>3.27</v>
      </c>
      <c r="O165" s="274">
        <v>42191</v>
      </c>
      <c r="P165" s="272"/>
      <c r="Q165" s="274"/>
      <c r="R165" s="275"/>
      <c r="S165" s="274"/>
      <c r="T165" s="269">
        <v>8.9499999999999993</v>
      </c>
      <c r="U165" s="276">
        <v>42200</v>
      </c>
      <c r="V165" s="275">
        <v>18.5</v>
      </c>
      <c r="W165" s="274">
        <v>42191</v>
      </c>
      <c r="X165" s="275"/>
      <c r="Y165" s="274"/>
      <c r="Z165" s="275"/>
      <c r="AA165" s="274"/>
      <c r="AB165" s="275"/>
      <c r="AC165" s="274"/>
      <c r="AD165" s="145">
        <f>(N165/V165)*(((100-CD165)/100)*((100-2)/100))*100</f>
        <v>15.84977837837838</v>
      </c>
      <c r="AE165" s="274"/>
      <c r="AF165" s="269">
        <v>18.12</v>
      </c>
      <c r="AG165" s="274">
        <v>42191</v>
      </c>
      <c r="AH165" s="274"/>
      <c r="AI165" s="274"/>
      <c r="AJ165" s="269">
        <v>125</v>
      </c>
      <c r="AK165" s="274"/>
      <c r="AL165" s="275"/>
      <c r="AM165" s="274"/>
      <c r="AN165" s="269">
        <v>106</v>
      </c>
      <c r="AO165" s="274"/>
      <c r="AP165" s="275"/>
      <c r="AQ165" s="275"/>
      <c r="AR165" s="275"/>
      <c r="AS165" s="275"/>
      <c r="AT165" s="275"/>
      <c r="AU165" s="275"/>
      <c r="AV165" s="275"/>
      <c r="AW165" s="275"/>
      <c r="AX165" s="275"/>
      <c r="AY165" s="275"/>
      <c r="AZ165" s="275"/>
      <c r="BA165" s="275"/>
      <c r="BB165" s="269">
        <v>5</v>
      </c>
      <c r="BC165" s="275"/>
      <c r="BD165" s="275"/>
      <c r="BE165" s="275"/>
      <c r="BF165" s="272"/>
      <c r="BG165" s="272"/>
      <c r="BH165" s="272"/>
      <c r="BI165" s="272"/>
      <c r="BJ165" s="272"/>
      <c r="BK165" s="272"/>
      <c r="BL165" s="272"/>
      <c r="BM165" s="272"/>
      <c r="BN165" s="284">
        <v>68.861000000000004</v>
      </c>
      <c r="BO165" s="276">
        <v>42200</v>
      </c>
      <c r="BP165" s="272"/>
      <c r="BQ165" s="272"/>
      <c r="BR165" s="272"/>
      <c r="BS165" s="272"/>
      <c r="BT165" s="284">
        <v>49.41</v>
      </c>
      <c r="BU165" s="276">
        <v>42200</v>
      </c>
      <c r="BV165" s="284">
        <v>22.024723052978516</v>
      </c>
      <c r="BW165" s="276">
        <v>42200</v>
      </c>
      <c r="BX165" s="284">
        <v>65.807000000000002</v>
      </c>
      <c r="BY165" s="276">
        <v>42200</v>
      </c>
      <c r="BZ165" s="272"/>
      <c r="CA165" s="272"/>
      <c r="CB165" s="272"/>
      <c r="CC165" s="272"/>
      <c r="CD165" s="269">
        <v>8.5</v>
      </c>
      <c r="CE165" s="274">
        <v>42191</v>
      </c>
      <c r="CF165" s="272"/>
      <c r="CG165" s="272"/>
      <c r="CH165" s="272"/>
      <c r="CI165" s="272"/>
      <c r="CJ165" s="272"/>
      <c r="CK165" s="272"/>
      <c r="CL165" s="272"/>
      <c r="CM165" s="278">
        <v>5</v>
      </c>
      <c r="CN165" s="276">
        <v>42180</v>
      </c>
      <c r="CO165" s="272" t="s">
        <v>8447</v>
      </c>
    </row>
    <row r="166" spans="1:93" ht="15">
      <c r="A166" s="124" t="s">
        <v>7601</v>
      </c>
      <c r="B166" s="161" t="s">
        <v>7457</v>
      </c>
      <c r="C166" s="268" t="s">
        <v>267</v>
      </c>
      <c r="D166" s="243">
        <v>3</v>
      </c>
      <c r="E166" s="183">
        <v>15</v>
      </c>
      <c r="F166" s="244">
        <v>14</v>
      </c>
      <c r="G166" s="245">
        <v>10</v>
      </c>
      <c r="J166" s="266"/>
      <c r="L166" s="254">
        <v>9</v>
      </c>
      <c r="N166" s="246">
        <v>3.24</v>
      </c>
      <c r="O166" s="159">
        <v>42191</v>
      </c>
      <c r="P166" s="144"/>
      <c r="R166" s="145"/>
      <c r="T166" s="247">
        <v>8.3000000000000007</v>
      </c>
      <c r="U166" s="256">
        <v>42200</v>
      </c>
      <c r="V166" s="145">
        <v>18.5</v>
      </c>
      <c r="W166" s="159">
        <v>42191</v>
      </c>
      <c r="X166" s="145"/>
      <c r="Z166" s="145"/>
      <c r="AB166" s="145"/>
      <c r="AD166" s="145">
        <f>(N166/V166)*(((100-CD166)/100)*((100-2)/100))*100</f>
        <v>15.876000000000001</v>
      </c>
      <c r="AF166" s="257">
        <v>18.149999999999999</v>
      </c>
      <c r="AG166" s="159">
        <v>42191</v>
      </c>
      <c r="AJ166" s="249">
        <v>150</v>
      </c>
      <c r="AL166" s="145"/>
      <c r="AN166" s="250">
        <v>107</v>
      </c>
      <c r="BB166" s="257">
        <v>9</v>
      </c>
      <c r="BN166" s="251">
        <v>67.510999999999996</v>
      </c>
      <c r="BO166" s="256">
        <v>42200</v>
      </c>
      <c r="BT166" s="251">
        <v>45.750644683837891</v>
      </c>
      <c r="BU166" s="256">
        <v>42200</v>
      </c>
      <c r="BV166" s="251">
        <v>21.916732788085938</v>
      </c>
      <c r="BW166" s="256">
        <v>42200</v>
      </c>
      <c r="BX166" s="251">
        <v>65.241</v>
      </c>
      <c r="BY166" s="256">
        <v>42200</v>
      </c>
      <c r="CD166" s="253">
        <v>7.5</v>
      </c>
      <c r="CE166" s="159">
        <v>42191</v>
      </c>
      <c r="CM166" s="255">
        <v>5</v>
      </c>
      <c r="CN166" s="256">
        <v>42180</v>
      </c>
      <c r="CO166" s="140" t="s">
        <v>8447</v>
      </c>
    </row>
    <row r="167" spans="1:93" ht="15" customHeight="1">
      <c r="A167" s="137" t="s">
        <v>8467</v>
      </c>
      <c r="B167" s="161" t="s">
        <v>8490</v>
      </c>
      <c r="C167" s="268" t="s">
        <v>269</v>
      </c>
      <c r="D167" s="269">
        <v>2</v>
      </c>
      <c r="E167" s="280">
        <v>18</v>
      </c>
      <c r="F167" s="269"/>
      <c r="G167" s="269"/>
      <c r="H167" s="271">
        <v>12</v>
      </c>
      <c r="I167" s="271">
        <v>4</v>
      </c>
      <c r="J167" s="282"/>
      <c r="K167" s="273"/>
      <c r="L167" s="269">
        <v>9</v>
      </c>
      <c r="M167" s="274"/>
      <c r="N167" s="269">
        <v>3.25</v>
      </c>
      <c r="O167" s="274">
        <v>42191</v>
      </c>
      <c r="P167" s="272"/>
      <c r="Q167" s="274"/>
      <c r="R167" s="275"/>
      <c r="S167" s="274"/>
      <c r="T167" s="269">
        <v>8.2899999999999991</v>
      </c>
      <c r="U167" s="276">
        <v>42200</v>
      </c>
      <c r="V167" s="275">
        <v>18.5</v>
      </c>
      <c r="W167" s="274">
        <v>42191</v>
      </c>
      <c r="X167" s="275"/>
      <c r="Y167" s="274"/>
      <c r="Z167" s="275"/>
      <c r="AA167" s="274"/>
      <c r="AB167" s="275"/>
      <c r="AC167" s="274"/>
      <c r="AD167" s="145">
        <f>(N167/V167)*(((100-CD167)/100)*((100-2)/100))*100</f>
        <v>15.907783783783785</v>
      </c>
      <c r="AE167" s="274"/>
      <c r="AF167" s="269">
        <v>18.18</v>
      </c>
      <c r="AG167" s="274">
        <v>42191</v>
      </c>
      <c r="AH167" s="274"/>
      <c r="AI167" s="274"/>
      <c r="AJ167" s="269">
        <v>120</v>
      </c>
      <c r="AK167" s="274"/>
      <c r="AL167" s="275"/>
      <c r="AM167" s="274"/>
      <c r="AN167" s="269">
        <v>103</v>
      </c>
      <c r="AO167" s="274"/>
      <c r="AP167" s="275"/>
      <c r="AQ167" s="275"/>
      <c r="AR167" s="275"/>
      <c r="AS167" s="275"/>
      <c r="AT167" s="275"/>
      <c r="AU167" s="275"/>
      <c r="AV167" s="275"/>
      <c r="AW167" s="275"/>
      <c r="AX167" s="275"/>
      <c r="AY167" s="275"/>
      <c r="AZ167" s="275"/>
      <c r="BA167" s="275"/>
      <c r="BB167" s="269">
        <v>5</v>
      </c>
      <c r="BC167" s="275"/>
      <c r="BD167" s="275"/>
      <c r="BE167" s="275"/>
      <c r="BF167" s="272"/>
      <c r="BG167" s="272"/>
      <c r="BH167" s="272"/>
      <c r="BI167" s="272"/>
      <c r="BJ167" s="272"/>
      <c r="BK167" s="272"/>
      <c r="BL167" s="272"/>
      <c r="BM167" s="272"/>
      <c r="BN167" s="284">
        <v>63.292000000000002</v>
      </c>
      <c r="BO167" s="276">
        <v>42200</v>
      </c>
      <c r="BP167" s="272"/>
      <c r="BQ167" s="272"/>
      <c r="BR167" s="272"/>
      <c r="BS167" s="272"/>
      <c r="BT167" s="284">
        <v>45.6</v>
      </c>
      <c r="BU167" s="276">
        <v>42200</v>
      </c>
      <c r="BV167" s="284">
        <v>20.705251693725586</v>
      </c>
      <c r="BW167" s="276">
        <v>42200</v>
      </c>
      <c r="BX167" s="284">
        <v>68.171000000000006</v>
      </c>
      <c r="BY167" s="276">
        <v>42200</v>
      </c>
      <c r="BZ167" s="272"/>
      <c r="CA167" s="272"/>
      <c r="CB167" s="272"/>
      <c r="CC167" s="272"/>
      <c r="CD167" s="269">
        <v>7.6</v>
      </c>
      <c r="CE167" s="274">
        <v>42191</v>
      </c>
      <c r="CF167" s="272"/>
      <c r="CG167" s="272"/>
      <c r="CH167" s="272"/>
      <c r="CI167" s="272"/>
      <c r="CJ167" s="272"/>
      <c r="CK167" s="272"/>
      <c r="CL167" s="272"/>
      <c r="CM167" s="278">
        <v>5</v>
      </c>
      <c r="CN167" s="276">
        <v>42180</v>
      </c>
      <c r="CO167" s="272" t="s">
        <v>8447</v>
      </c>
    </row>
    <row r="168" spans="1:93" ht="15">
      <c r="A168" s="124" t="s">
        <v>7684</v>
      </c>
      <c r="B168" s="161" t="s">
        <v>7531</v>
      </c>
      <c r="C168" s="268" t="s">
        <v>269</v>
      </c>
      <c r="D168" s="243">
        <v>2</v>
      </c>
      <c r="E168" s="183">
        <v>98</v>
      </c>
      <c r="F168" s="244">
        <v>7</v>
      </c>
      <c r="G168" s="245">
        <v>9</v>
      </c>
      <c r="L168" s="254">
        <v>8</v>
      </c>
      <c r="N168" s="246">
        <v>3.23</v>
      </c>
      <c r="O168" s="159">
        <v>42191</v>
      </c>
      <c r="T168" s="247">
        <v>9.84</v>
      </c>
      <c r="U168" s="256">
        <v>42200</v>
      </c>
      <c r="V168" s="145">
        <v>18.5</v>
      </c>
      <c r="W168" s="159">
        <v>42191</v>
      </c>
      <c r="AD168" s="145">
        <f>(N168/V168)*(((100-CD168)/100)*((100-2)/100))*100</f>
        <v>15.963882162162161</v>
      </c>
      <c r="AF168" s="257">
        <v>18.25</v>
      </c>
      <c r="AG168" s="159">
        <v>42191</v>
      </c>
      <c r="AJ168" s="249">
        <v>120</v>
      </c>
      <c r="AN168" s="250">
        <v>99</v>
      </c>
      <c r="BB168" s="257">
        <v>5</v>
      </c>
      <c r="BN168" s="251">
        <v>64.668000000000006</v>
      </c>
      <c r="BO168" s="256">
        <v>42200</v>
      </c>
      <c r="BT168" s="251">
        <v>53.908065795898437</v>
      </c>
      <c r="BU168" s="256">
        <v>42200</v>
      </c>
      <c r="BV168" s="251">
        <v>15.100439071655273</v>
      </c>
      <c r="BW168" s="256">
        <v>42200</v>
      </c>
      <c r="BX168" s="251">
        <v>13.378</v>
      </c>
      <c r="BY168" s="256">
        <v>42200</v>
      </c>
      <c r="CD168" s="253">
        <v>6.7</v>
      </c>
      <c r="CE168" s="159">
        <v>42191</v>
      </c>
      <c r="CM168" s="255">
        <v>3</v>
      </c>
      <c r="CN168" s="256">
        <v>42180</v>
      </c>
      <c r="CO168" s="140" t="s">
        <v>8448</v>
      </c>
    </row>
    <row r="169" spans="1:93" ht="15" customHeight="1">
      <c r="A169" s="124" t="s">
        <v>7618</v>
      </c>
      <c r="B169" s="161" t="s">
        <v>7472</v>
      </c>
      <c r="C169" s="268" t="s">
        <v>267</v>
      </c>
      <c r="D169" s="257">
        <v>3</v>
      </c>
      <c r="E169" s="183">
        <v>32</v>
      </c>
      <c r="F169" s="257">
        <v>17</v>
      </c>
      <c r="G169" s="257">
        <v>7</v>
      </c>
      <c r="L169" s="257">
        <v>5</v>
      </c>
      <c r="N169" s="257">
        <v>3.29</v>
      </c>
      <c r="O169" s="159">
        <v>42191</v>
      </c>
      <c r="T169" s="257">
        <v>8.93</v>
      </c>
      <c r="U169" s="256">
        <v>42200</v>
      </c>
      <c r="V169" s="145">
        <v>18.5</v>
      </c>
      <c r="W169" s="159">
        <v>42191</v>
      </c>
      <c r="AD169" s="145">
        <f>(N169/V169)*(((100-CD169)/100)*((100-2)/100))*100</f>
        <v>15.964147027027026</v>
      </c>
      <c r="AF169" s="257">
        <v>18.25</v>
      </c>
      <c r="AG169" s="159">
        <v>42191</v>
      </c>
      <c r="AJ169" s="257">
        <v>140</v>
      </c>
      <c r="AN169" s="257">
        <v>106</v>
      </c>
      <c r="BB169" s="257">
        <v>9</v>
      </c>
      <c r="BN169" s="251">
        <v>61.542999999999999</v>
      </c>
      <c r="BO169" s="256">
        <v>42200</v>
      </c>
      <c r="BT169" s="251">
        <v>48.917747497558594</v>
      </c>
      <c r="BU169" s="256">
        <v>42200</v>
      </c>
      <c r="BV169" s="251">
        <v>19.373327255249023</v>
      </c>
      <c r="BW169" s="256">
        <v>42200</v>
      </c>
      <c r="BX169" s="251">
        <v>20.62</v>
      </c>
      <c r="BY169" s="256">
        <v>42200</v>
      </c>
      <c r="CD169" s="257">
        <v>8.4</v>
      </c>
      <c r="CE169" s="159">
        <v>42191</v>
      </c>
      <c r="CM169" s="255">
        <v>7</v>
      </c>
      <c r="CN169" s="256">
        <v>42180</v>
      </c>
      <c r="CO169" s="140" t="s">
        <v>8447</v>
      </c>
    </row>
    <row r="170" spans="1:93" ht="15" customHeight="1">
      <c r="A170" s="137" t="s">
        <v>8459</v>
      </c>
      <c r="B170" s="161" t="s">
        <v>8482</v>
      </c>
      <c r="C170" s="268" t="s">
        <v>267</v>
      </c>
      <c r="D170" s="269">
        <v>4</v>
      </c>
      <c r="E170" s="280">
        <v>10</v>
      </c>
      <c r="F170" s="269"/>
      <c r="G170" s="269"/>
      <c r="H170" s="271">
        <v>22</v>
      </c>
      <c r="I170" s="271">
        <v>2</v>
      </c>
      <c r="J170" s="282"/>
      <c r="K170" s="273"/>
      <c r="L170" s="269">
        <v>9</v>
      </c>
      <c r="M170" s="274"/>
      <c r="N170" s="269">
        <v>3.28</v>
      </c>
      <c r="O170" s="274">
        <v>42191</v>
      </c>
      <c r="P170" s="272"/>
      <c r="Q170" s="274"/>
      <c r="R170" s="275"/>
      <c r="S170" s="274"/>
      <c r="T170" s="269">
        <v>8.31</v>
      </c>
      <c r="U170" s="276">
        <v>42200</v>
      </c>
      <c r="V170" s="275">
        <v>18.5</v>
      </c>
      <c r="W170" s="274">
        <v>42191</v>
      </c>
      <c r="X170" s="275"/>
      <c r="Y170" s="274"/>
      <c r="Z170" s="275"/>
      <c r="AA170" s="274"/>
      <c r="AB170" s="275"/>
      <c r="AC170" s="274"/>
      <c r="AD170" s="145">
        <f>(N170/V170)*(((100-CD170)/100)*((100-2)/100))*100</f>
        <v>16.002499459459457</v>
      </c>
      <c r="AE170" s="274"/>
      <c r="AF170" s="269">
        <v>18.29</v>
      </c>
      <c r="AG170" s="274">
        <v>42191</v>
      </c>
      <c r="AH170" s="274"/>
      <c r="AI170" s="274"/>
      <c r="AJ170" s="269">
        <v>140</v>
      </c>
      <c r="AK170" s="274"/>
      <c r="AL170" s="275"/>
      <c r="AM170" s="274"/>
      <c r="AN170" s="269">
        <v>107</v>
      </c>
      <c r="AO170" s="274"/>
      <c r="AP170" s="275"/>
      <c r="AQ170" s="275"/>
      <c r="AR170" s="275"/>
      <c r="AS170" s="275"/>
      <c r="AT170" s="275"/>
      <c r="AU170" s="275"/>
      <c r="AV170" s="275"/>
      <c r="AW170" s="275"/>
      <c r="AX170" s="275"/>
      <c r="AY170" s="275"/>
      <c r="AZ170" s="275"/>
      <c r="BA170" s="275"/>
      <c r="BB170" s="269">
        <v>3</v>
      </c>
      <c r="BC170" s="275"/>
      <c r="BD170" s="275"/>
      <c r="BE170" s="275"/>
      <c r="BF170" s="272"/>
      <c r="BG170" s="272"/>
      <c r="BH170" s="272"/>
      <c r="BI170" s="272"/>
      <c r="BJ170" s="272"/>
      <c r="BK170" s="272"/>
      <c r="BL170" s="272"/>
      <c r="BM170" s="272"/>
      <c r="BN170" s="284">
        <v>61.868000000000002</v>
      </c>
      <c r="BO170" s="276">
        <v>42200</v>
      </c>
      <c r="BP170" s="272"/>
      <c r="BQ170" s="272"/>
      <c r="BR170" s="272"/>
      <c r="BS170" s="272"/>
      <c r="BT170" s="284">
        <v>45.41</v>
      </c>
      <c r="BU170" s="276">
        <v>42200</v>
      </c>
      <c r="BV170" s="284">
        <v>21.364938735961914</v>
      </c>
      <c r="BW170" s="276">
        <v>42200</v>
      </c>
      <c r="BX170" s="284">
        <v>65.299000000000007</v>
      </c>
      <c r="BY170" s="276">
        <v>42200</v>
      </c>
      <c r="BZ170" s="272"/>
      <c r="CA170" s="272"/>
      <c r="CB170" s="272"/>
      <c r="CC170" s="272"/>
      <c r="CD170" s="269">
        <v>7.9</v>
      </c>
      <c r="CE170" s="274">
        <v>42191</v>
      </c>
      <c r="CF170" s="272"/>
      <c r="CG170" s="272"/>
      <c r="CH170" s="272"/>
      <c r="CI170" s="272"/>
      <c r="CJ170" s="272"/>
      <c r="CK170" s="272"/>
      <c r="CL170" s="272"/>
      <c r="CM170" s="278">
        <v>3</v>
      </c>
      <c r="CN170" s="276">
        <v>42180</v>
      </c>
      <c r="CO170" s="272" t="s">
        <v>8447</v>
      </c>
    </row>
    <row r="171" spans="1:93" ht="15" customHeight="1">
      <c r="A171" s="124" t="s">
        <v>7684</v>
      </c>
      <c r="B171" s="161" t="s">
        <v>7531</v>
      </c>
      <c r="C171" s="268" t="s">
        <v>267</v>
      </c>
      <c r="D171" s="257">
        <v>3</v>
      </c>
      <c r="E171" s="183">
        <v>98</v>
      </c>
      <c r="F171" s="257">
        <v>16</v>
      </c>
      <c r="G171" s="257">
        <v>11</v>
      </c>
      <c r="L171" s="257">
        <v>3</v>
      </c>
      <c r="N171" s="257">
        <v>3.29</v>
      </c>
      <c r="O171" s="159">
        <v>42191</v>
      </c>
      <c r="T171" s="257">
        <v>8.9600000000000009</v>
      </c>
      <c r="U171" s="256">
        <v>42200</v>
      </c>
      <c r="V171" s="145">
        <v>18.5</v>
      </c>
      <c r="W171" s="159">
        <v>42191</v>
      </c>
      <c r="AD171" s="145">
        <f>(N171/V171)*(((100-CD171)/100)*((100-2)/100))*100</f>
        <v>16.016431351351351</v>
      </c>
      <c r="AF171" s="257">
        <f>(N171/V171)*(((100-CD171)/(100-9))*100)</f>
        <v>17.95966735966736</v>
      </c>
      <c r="AG171" s="159">
        <v>42191</v>
      </c>
      <c r="AJ171" s="257">
        <v>110</v>
      </c>
      <c r="AN171" s="257">
        <v>101</v>
      </c>
      <c r="BB171" s="257">
        <v>5</v>
      </c>
      <c r="BN171" s="251">
        <v>63.563000000000002</v>
      </c>
      <c r="BO171" s="256">
        <v>42200</v>
      </c>
      <c r="BT171" s="251">
        <v>48.925563812255859</v>
      </c>
      <c r="BU171" s="256">
        <v>42200</v>
      </c>
      <c r="BV171" s="251">
        <v>18.811855316162109</v>
      </c>
      <c r="BW171" s="256">
        <v>42200</v>
      </c>
      <c r="BX171" s="251">
        <v>17.692</v>
      </c>
      <c r="BY171" s="256">
        <v>42200</v>
      </c>
      <c r="CD171" s="257">
        <v>8.1</v>
      </c>
      <c r="CE171" s="159">
        <v>42191</v>
      </c>
      <c r="CM171" s="255">
        <v>1</v>
      </c>
      <c r="CN171" s="256">
        <v>42180</v>
      </c>
      <c r="CO171" s="140" t="s">
        <v>8447</v>
      </c>
    </row>
    <row r="172" spans="1:93" ht="15">
      <c r="A172" s="124" t="s">
        <v>7595</v>
      </c>
      <c r="B172" s="161" t="s">
        <v>7453</v>
      </c>
      <c r="C172" s="268" t="s">
        <v>267</v>
      </c>
      <c r="D172" s="243">
        <v>4</v>
      </c>
      <c r="E172" s="183">
        <v>9</v>
      </c>
      <c r="F172" s="244">
        <v>22</v>
      </c>
      <c r="G172" s="245">
        <v>6</v>
      </c>
      <c r="J172" s="266"/>
      <c r="L172" s="254">
        <v>9</v>
      </c>
      <c r="N172" s="246">
        <v>3.28</v>
      </c>
      <c r="O172" s="159">
        <v>42191</v>
      </c>
      <c r="P172" s="144"/>
      <c r="R172" s="145"/>
      <c r="T172" s="247">
        <v>8.92</v>
      </c>
      <c r="U172" s="256">
        <v>42200</v>
      </c>
      <c r="V172" s="145">
        <v>18.5</v>
      </c>
      <c r="W172" s="159">
        <v>42191</v>
      </c>
      <c r="X172" s="145"/>
      <c r="Z172" s="145"/>
      <c r="AB172" s="145"/>
      <c r="AD172" s="145">
        <f>(N172/V172)*(((100-CD172)/100)*((100-2)/100))*100</f>
        <v>16.037249729729727</v>
      </c>
      <c r="AF172" s="257">
        <v>18.329999999999998</v>
      </c>
      <c r="AG172" s="159">
        <v>42191</v>
      </c>
      <c r="AJ172" s="249">
        <v>125</v>
      </c>
      <c r="AL172" s="145"/>
      <c r="AN172" s="250">
        <v>103</v>
      </c>
      <c r="BB172" s="257">
        <v>5</v>
      </c>
      <c r="BN172" s="251">
        <v>65.507000000000005</v>
      </c>
      <c r="BO172" s="256">
        <v>42200</v>
      </c>
      <c r="BT172" s="251">
        <v>48.649795532226563</v>
      </c>
      <c r="BU172" s="256">
        <v>42200</v>
      </c>
      <c r="BV172" s="251">
        <v>19.982507705688477</v>
      </c>
      <c r="BW172" s="256">
        <v>42200</v>
      </c>
      <c r="BX172" s="251">
        <v>61.704000000000001</v>
      </c>
      <c r="BY172" s="256">
        <v>42200</v>
      </c>
      <c r="CD172" s="253">
        <v>7.7</v>
      </c>
      <c r="CE172" s="159">
        <v>42191</v>
      </c>
      <c r="CM172" s="255">
        <v>5</v>
      </c>
      <c r="CN172" s="256">
        <v>42180</v>
      </c>
      <c r="CO172" s="140" t="s">
        <v>8447</v>
      </c>
    </row>
    <row r="173" spans="1:93" ht="15" customHeight="1">
      <c r="A173" s="137" t="s">
        <v>8467</v>
      </c>
      <c r="B173" s="161" t="s">
        <v>8490</v>
      </c>
      <c r="C173" s="268" t="s">
        <v>269</v>
      </c>
      <c r="D173" s="269">
        <v>1</v>
      </c>
      <c r="E173" s="280">
        <v>18</v>
      </c>
      <c r="F173" s="269"/>
      <c r="G173" s="269"/>
      <c r="H173" s="271">
        <v>3</v>
      </c>
      <c r="I173" s="271">
        <v>3</v>
      </c>
      <c r="J173" s="282"/>
      <c r="K173" s="273"/>
      <c r="L173" s="269">
        <v>9</v>
      </c>
      <c r="M173" s="274"/>
      <c r="N173" s="269">
        <v>3.29</v>
      </c>
      <c r="O173" s="274">
        <v>42191</v>
      </c>
      <c r="P173" s="272"/>
      <c r="Q173" s="274"/>
      <c r="R173" s="275"/>
      <c r="S173" s="274"/>
      <c r="T173" s="269">
        <v>8.48</v>
      </c>
      <c r="U173" s="276">
        <v>42200</v>
      </c>
      <c r="V173" s="275">
        <v>18.5</v>
      </c>
      <c r="W173" s="274">
        <v>42191</v>
      </c>
      <c r="X173" s="275"/>
      <c r="Y173" s="274"/>
      <c r="Z173" s="275"/>
      <c r="AA173" s="274"/>
      <c r="AB173" s="275"/>
      <c r="AC173" s="274"/>
      <c r="AD173" s="145">
        <f>(N173/V173)*(((100-CD173)/100)*((100-2)/100))*100</f>
        <v>16.086143783783783</v>
      </c>
      <c r="AE173" s="274"/>
      <c r="AF173" s="269">
        <v>18.39</v>
      </c>
      <c r="AG173" s="274">
        <v>42191</v>
      </c>
      <c r="AH173" s="274"/>
      <c r="AI173" s="274"/>
      <c r="AJ173" s="269">
        <v>130</v>
      </c>
      <c r="AK173" s="274"/>
      <c r="AL173" s="275"/>
      <c r="AM173" s="274"/>
      <c r="AN173" s="269">
        <v>101</v>
      </c>
      <c r="AO173" s="274"/>
      <c r="AP173" s="275"/>
      <c r="AQ173" s="275"/>
      <c r="AR173" s="275"/>
      <c r="AS173" s="275"/>
      <c r="AT173" s="275"/>
      <c r="AU173" s="275"/>
      <c r="AV173" s="275"/>
      <c r="AW173" s="275"/>
      <c r="AX173" s="275"/>
      <c r="AY173" s="275"/>
      <c r="AZ173" s="275"/>
      <c r="BA173" s="275"/>
      <c r="BB173" s="269">
        <v>5</v>
      </c>
      <c r="BC173" s="275"/>
      <c r="BD173" s="275"/>
      <c r="BE173" s="275"/>
      <c r="BF173" s="272"/>
      <c r="BG173" s="272"/>
      <c r="BH173" s="272"/>
      <c r="BI173" s="272"/>
      <c r="BJ173" s="272"/>
      <c r="BK173" s="272"/>
      <c r="BL173" s="272"/>
      <c r="BM173" s="272"/>
      <c r="BN173" s="284">
        <v>65.293000000000006</v>
      </c>
      <c r="BO173" s="276">
        <v>42200</v>
      </c>
      <c r="BP173" s="272"/>
      <c r="BQ173" s="272"/>
      <c r="BR173" s="272"/>
      <c r="BS173" s="272"/>
      <c r="BT173" s="284">
        <v>46.09</v>
      </c>
      <c r="BU173" s="276">
        <v>42200</v>
      </c>
      <c r="BV173" s="284">
        <v>21.293489456176758</v>
      </c>
      <c r="BW173" s="276">
        <v>42200</v>
      </c>
      <c r="BX173" s="284">
        <v>68.704999999999998</v>
      </c>
      <c r="BY173" s="276">
        <v>42200</v>
      </c>
      <c r="BZ173" s="272"/>
      <c r="CA173" s="272"/>
      <c r="CB173" s="272"/>
      <c r="CC173" s="272"/>
      <c r="CD173" s="269">
        <v>7.7</v>
      </c>
      <c r="CE173" s="274">
        <v>42191</v>
      </c>
      <c r="CF173" s="272"/>
      <c r="CG173" s="272"/>
      <c r="CH173" s="272"/>
      <c r="CI173" s="272"/>
      <c r="CJ173" s="272"/>
      <c r="CK173" s="272"/>
      <c r="CL173" s="272"/>
      <c r="CM173" s="278">
        <v>5</v>
      </c>
      <c r="CN173" s="276">
        <v>42180</v>
      </c>
      <c r="CO173" s="272" t="s">
        <v>8447</v>
      </c>
    </row>
    <row r="174" spans="1:93" ht="15">
      <c r="A174" s="124" t="s">
        <v>7677</v>
      </c>
      <c r="B174" s="161" t="s">
        <v>7775</v>
      </c>
      <c r="C174" s="268" t="s">
        <v>269</v>
      </c>
      <c r="D174" s="243">
        <v>2</v>
      </c>
      <c r="E174" s="183">
        <v>91</v>
      </c>
      <c r="F174" s="244">
        <v>9</v>
      </c>
      <c r="G174" s="245">
        <v>25</v>
      </c>
      <c r="L174" s="254">
        <v>3</v>
      </c>
      <c r="N174" s="246">
        <v>3.26</v>
      </c>
      <c r="O174" s="159">
        <v>42191</v>
      </c>
      <c r="T174" s="247">
        <v>8.44</v>
      </c>
      <c r="U174" s="256">
        <v>42200</v>
      </c>
      <c r="V174" s="145">
        <v>18.5</v>
      </c>
      <c r="W174" s="159">
        <v>42191</v>
      </c>
      <c r="AD174" s="145">
        <f>(N174/V174)*(((100-CD174)/100)*((100-2)/100))*100</f>
        <v>16.112153513513512</v>
      </c>
      <c r="AF174" s="257">
        <v>18.420000000000002</v>
      </c>
      <c r="AG174" s="159">
        <v>42191</v>
      </c>
      <c r="AJ174" s="249">
        <v>115</v>
      </c>
      <c r="AN174" s="250">
        <v>103</v>
      </c>
      <c r="BB174" s="257">
        <v>5</v>
      </c>
      <c r="BN174" s="251">
        <v>61.298000000000002</v>
      </c>
      <c r="BO174" s="256">
        <v>42200</v>
      </c>
      <c r="BT174" s="251">
        <v>45.805347442626953</v>
      </c>
      <c r="BU174" s="256">
        <v>42200</v>
      </c>
      <c r="BV174" s="251">
        <v>19.214414596557617</v>
      </c>
      <c r="BW174" s="256">
        <v>42200</v>
      </c>
      <c r="BX174" s="251">
        <v>21.896999999999998</v>
      </c>
      <c r="BY174" s="256">
        <v>42200</v>
      </c>
      <c r="CD174" s="253">
        <v>6.7</v>
      </c>
      <c r="CE174" s="159">
        <v>42191</v>
      </c>
      <c r="CM174" s="255">
        <v>3</v>
      </c>
      <c r="CN174" s="256">
        <v>42180</v>
      </c>
      <c r="CO174" s="140" t="s">
        <v>8448</v>
      </c>
    </row>
    <row r="175" spans="1:93" ht="15" customHeight="1">
      <c r="A175" s="124" t="s">
        <v>7724</v>
      </c>
      <c r="B175" s="161" t="s">
        <v>7790</v>
      </c>
      <c r="C175" s="268" t="s">
        <v>269</v>
      </c>
      <c r="D175" s="257">
        <v>2</v>
      </c>
      <c r="E175" s="183">
        <v>138</v>
      </c>
      <c r="F175" s="257">
        <v>7</v>
      </c>
      <c r="G175" s="257">
        <v>26</v>
      </c>
      <c r="L175" s="257">
        <v>6</v>
      </c>
      <c r="N175" s="257">
        <v>3.27</v>
      </c>
      <c r="O175" s="159">
        <v>42191</v>
      </c>
      <c r="T175" s="257">
        <v>9.31</v>
      </c>
      <c r="U175" s="256">
        <v>42200</v>
      </c>
      <c r="V175" s="145">
        <v>18.5</v>
      </c>
      <c r="W175" s="159">
        <v>42191</v>
      </c>
      <c r="AD175" s="145">
        <f>(N175/V175)*(((100-CD175)/100)*((100-2)/100))*100</f>
        <v>16.161577297297296</v>
      </c>
      <c r="AF175" s="257">
        <f>(N175/V175)*(((100-CD175)/(100-9))*100)</f>
        <v>18.122423522423521</v>
      </c>
      <c r="AG175" s="159">
        <v>42191</v>
      </c>
      <c r="AJ175" s="257">
        <v>135</v>
      </c>
      <c r="AN175" s="257">
        <v>101</v>
      </c>
      <c r="BB175" s="257">
        <v>3</v>
      </c>
      <c r="BN175" s="251">
        <v>64.994</v>
      </c>
      <c r="BO175" s="256">
        <v>42200</v>
      </c>
      <c r="BT175" s="251">
        <v>50.417678833007813</v>
      </c>
      <c r="BU175" s="256">
        <v>42200</v>
      </c>
      <c r="BV175" s="251">
        <v>17.678897857666016</v>
      </c>
      <c r="BW175" s="256">
        <v>42200</v>
      </c>
      <c r="BX175" s="251">
        <v>13.887</v>
      </c>
      <c r="BY175" s="256">
        <v>42200</v>
      </c>
      <c r="CD175" s="257">
        <v>6.7</v>
      </c>
      <c r="CE175" s="159">
        <v>42191</v>
      </c>
      <c r="CM175" s="255">
        <v>1</v>
      </c>
      <c r="CN175" s="256">
        <v>42180</v>
      </c>
      <c r="CO175" s="140" t="s">
        <v>8448</v>
      </c>
    </row>
    <row r="176" spans="1:93" ht="15">
      <c r="A176" s="124" t="s">
        <v>7673</v>
      </c>
      <c r="B176" s="161" t="s">
        <v>7522</v>
      </c>
      <c r="C176" s="268" t="s">
        <v>267</v>
      </c>
      <c r="D176" s="243">
        <v>4</v>
      </c>
      <c r="E176" s="183">
        <v>87</v>
      </c>
      <c r="F176" s="244">
        <v>22</v>
      </c>
      <c r="G176" s="245">
        <v>22</v>
      </c>
      <c r="L176" s="254">
        <v>3</v>
      </c>
      <c r="N176" s="246">
        <v>3.46</v>
      </c>
      <c r="O176" s="159">
        <v>42191</v>
      </c>
      <c r="T176" s="247">
        <v>9.0299999999999994</v>
      </c>
      <c r="U176" s="256">
        <v>42200</v>
      </c>
      <c r="V176" s="145">
        <v>18.5</v>
      </c>
      <c r="W176" s="159">
        <v>42191</v>
      </c>
      <c r="AD176" s="145">
        <f>(N176/V176)*(((100-CD176)/100)*((100-2)/100))*100</f>
        <v>16.165868108108107</v>
      </c>
      <c r="AF176" s="257">
        <f>(N176/V176)*(((100-CD176)/(100-9))*100)</f>
        <v>18.127234927234927</v>
      </c>
      <c r="AG176" s="159">
        <v>42191</v>
      </c>
      <c r="AJ176" s="249">
        <v>115</v>
      </c>
      <c r="AN176" s="250">
        <v>107</v>
      </c>
      <c r="BB176" s="257">
        <v>7</v>
      </c>
      <c r="BN176" s="251">
        <v>63.86</v>
      </c>
      <c r="BO176" s="256">
        <v>42200</v>
      </c>
      <c r="BT176" s="251">
        <v>48.85748291015625</v>
      </c>
      <c r="BU176" s="256">
        <v>42200</v>
      </c>
      <c r="BV176" s="251">
        <v>17.909152984619141</v>
      </c>
      <c r="BW176" s="256">
        <v>42200</v>
      </c>
      <c r="BX176" s="251">
        <v>19.920000000000002</v>
      </c>
      <c r="BY176" s="256">
        <v>42200</v>
      </c>
      <c r="CD176" s="253">
        <v>11.8</v>
      </c>
      <c r="CE176" s="159">
        <v>42191</v>
      </c>
      <c r="CM176" s="255">
        <v>1</v>
      </c>
      <c r="CN176" s="256">
        <v>42180</v>
      </c>
      <c r="CO176" s="140" t="s">
        <v>8447</v>
      </c>
    </row>
    <row r="177" spans="1:93" ht="15" customHeight="1">
      <c r="A177" s="137" t="s">
        <v>8461</v>
      </c>
      <c r="B177" s="161" t="s">
        <v>8484</v>
      </c>
      <c r="C177" s="268" t="s">
        <v>267</v>
      </c>
      <c r="D177" s="269">
        <v>3</v>
      </c>
      <c r="E177" s="280">
        <v>12</v>
      </c>
      <c r="F177" s="269"/>
      <c r="G177" s="269"/>
      <c r="H177" s="271">
        <v>14</v>
      </c>
      <c r="I177" s="271">
        <v>2</v>
      </c>
      <c r="J177" s="282"/>
      <c r="K177" s="273"/>
      <c r="L177" s="269">
        <v>8</v>
      </c>
      <c r="M177" s="274"/>
      <c r="N177" s="269">
        <v>3.31</v>
      </c>
      <c r="O177" s="274">
        <v>42191</v>
      </c>
      <c r="P177" s="272"/>
      <c r="Q177" s="274"/>
      <c r="R177" s="275"/>
      <c r="S177" s="274"/>
      <c r="T177" s="269">
        <v>8.94</v>
      </c>
      <c r="U177" s="276">
        <v>42200</v>
      </c>
      <c r="V177" s="275">
        <v>18.5</v>
      </c>
      <c r="W177" s="274">
        <v>42191</v>
      </c>
      <c r="X177" s="275"/>
      <c r="Y177" s="274"/>
      <c r="Z177" s="275"/>
      <c r="AA177" s="274"/>
      <c r="AB177" s="275"/>
      <c r="AC177" s="274"/>
      <c r="AD177" s="145">
        <f>(N177/V177)*(((100-CD177)/100)*((100-2)/100))*100</f>
        <v>16.166397837837838</v>
      </c>
      <c r="AE177" s="274"/>
      <c r="AF177" s="269">
        <v>18.48</v>
      </c>
      <c r="AG177" s="274">
        <v>42191</v>
      </c>
      <c r="AH177" s="274"/>
      <c r="AI177" s="274"/>
      <c r="AJ177" s="269">
        <v>120</v>
      </c>
      <c r="AK177" s="274"/>
      <c r="AL177" s="275"/>
      <c r="AM177" s="274"/>
      <c r="AN177" s="269">
        <v>105</v>
      </c>
      <c r="AO177" s="274"/>
      <c r="AP177" s="275"/>
      <c r="AQ177" s="275"/>
      <c r="AR177" s="275"/>
      <c r="AS177" s="275"/>
      <c r="AT177" s="275"/>
      <c r="AU177" s="275"/>
      <c r="AV177" s="275"/>
      <c r="AW177" s="275"/>
      <c r="AX177" s="275"/>
      <c r="AY177" s="275"/>
      <c r="AZ177" s="275"/>
      <c r="BA177" s="275"/>
      <c r="BB177" s="269">
        <v>5</v>
      </c>
      <c r="BC177" s="275"/>
      <c r="BD177" s="275"/>
      <c r="BE177" s="275"/>
      <c r="BF177" s="272"/>
      <c r="BG177" s="272"/>
      <c r="BH177" s="272"/>
      <c r="BI177" s="272"/>
      <c r="BJ177" s="272"/>
      <c r="BK177" s="272"/>
      <c r="BL177" s="272"/>
      <c r="BM177" s="272"/>
      <c r="BN177" s="284">
        <v>62.451000000000001</v>
      </c>
      <c r="BO177" s="276">
        <v>42200</v>
      </c>
      <c r="BP177" s="272"/>
      <c r="BQ177" s="272"/>
      <c r="BR177" s="272"/>
      <c r="BS177" s="272"/>
      <c r="BT177" s="284">
        <v>48.36</v>
      </c>
      <c r="BU177" s="276">
        <v>42200</v>
      </c>
      <c r="BV177" s="284">
        <v>21.164997100830078</v>
      </c>
      <c r="BW177" s="276">
        <v>42200</v>
      </c>
      <c r="BX177" s="284">
        <v>66.063999999999993</v>
      </c>
      <c r="BY177" s="276">
        <v>42200</v>
      </c>
      <c r="BZ177" s="272"/>
      <c r="CA177" s="272"/>
      <c r="CB177" s="272"/>
      <c r="CC177" s="272"/>
      <c r="CD177" s="269">
        <v>7.8</v>
      </c>
      <c r="CE177" s="274">
        <v>42191</v>
      </c>
      <c r="CF177" s="272"/>
      <c r="CG177" s="272"/>
      <c r="CH177" s="272"/>
      <c r="CI177" s="272"/>
      <c r="CJ177" s="272"/>
      <c r="CK177" s="272"/>
      <c r="CL177" s="272"/>
      <c r="CM177" s="278">
        <v>7</v>
      </c>
      <c r="CN177" s="276">
        <v>42180</v>
      </c>
      <c r="CO177" s="272" t="s">
        <v>8447</v>
      </c>
    </row>
    <row r="178" spans="1:93" ht="15" customHeight="1">
      <c r="A178" s="137" t="s">
        <v>8470</v>
      </c>
      <c r="B178" s="161" t="s">
        <v>8493</v>
      </c>
      <c r="C178" s="268" t="s">
        <v>267</v>
      </c>
      <c r="D178" s="269">
        <v>3</v>
      </c>
      <c r="E178" s="280">
        <v>21</v>
      </c>
      <c r="F178" s="269"/>
      <c r="G178" s="269"/>
      <c r="H178" s="271">
        <v>14</v>
      </c>
      <c r="I178" s="271">
        <v>3</v>
      </c>
      <c r="J178" s="282"/>
      <c r="K178" s="273"/>
      <c r="L178" s="269">
        <v>9</v>
      </c>
      <c r="M178" s="274"/>
      <c r="N178" s="269">
        <v>3.33</v>
      </c>
      <c r="O178" s="274">
        <v>42191</v>
      </c>
      <c r="P178" s="272"/>
      <c r="Q178" s="274"/>
      <c r="R178" s="275"/>
      <c r="S178" s="274"/>
      <c r="T178" s="269">
        <v>8.9</v>
      </c>
      <c r="U178" s="276">
        <v>42200</v>
      </c>
      <c r="V178" s="275">
        <v>18.5</v>
      </c>
      <c r="W178" s="274">
        <v>42191</v>
      </c>
      <c r="X178" s="275"/>
      <c r="Y178" s="274"/>
      <c r="Z178" s="275"/>
      <c r="AA178" s="274"/>
      <c r="AB178" s="275"/>
      <c r="AC178" s="274"/>
      <c r="AD178" s="145">
        <f>(N178/V178)*(((100-CD178)/100)*((100-2)/100))*100</f>
        <v>16.21116</v>
      </c>
      <c r="AE178" s="274"/>
      <c r="AF178" s="269">
        <v>18.53</v>
      </c>
      <c r="AG178" s="274">
        <v>42191</v>
      </c>
      <c r="AH178" s="274"/>
      <c r="AI178" s="274"/>
      <c r="AJ178" s="269">
        <v>115</v>
      </c>
      <c r="AK178" s="274"/>
      <c r="AL178" s="275"/>
      <c r="AM178" s="274"/>
      <c r="AN178" s="269">
        <v>106</v>
      </c>
      <c r="AO178" s="274"/>
      <c r="AP178" s="275"/>
      <c r="AQ178" s="275"/>
      <c r="AR178" s="275"/>
      <c r="AS178" s="275"/>
      <c r="AT178" s="275"/>
      <c r="AU178" s="275"/>
      <c r="AV178" s="275"/>
      <c r="AW178" s="275"/>
      <c r="AX178" s="275"/>
      <c r="AY178" s="275"/>
      <c r="AZ178" s="275"/>
      <c r="BA178" s="275"/>
      <c r="BB178" s="269">
        <v>5</v>
      </c>
      <c r="BC178" s="275"/>
      <c r="BD178" s="275"/>
      <c r="BE178" s="275"/>
      <c r="BF178" s="272"/>
      <c r="BG178" s="272"/>
      <c r="BH178" s="272"/>
      <c r="BI178" s="272"/>
      <c r="BJ178" s="272"/>
      <c r="BK178" s="272"/>
      <c r="BL178" s="272"/>
      <c r="BM178" s="272"/>
      <c r="BN178" s="284">
        <v>62.424999999999997</v>
      </c>
      <c r="BO178" s="276">
        <v>42200</v>
      </c>
      <c r="BP178" s="272"/>
      <c r="BQ178" s="272"/>
      <c r="BR178" s="272"/>
      <c r="BS178" s="272"/>
      <c r="BT178" s="284">
        <v>48.05</v>
      </c>
      <c r="BU178" s="276">
        <v>42200</v>
      </c>
      <c r="BV178" s="284">
        <v>21.2928466796875</v>
      </c>
      <c r="BW178" s="276">
        <v>42200</v>
      </c>
      <c r="BX178" s="284">
        <v>69.433000000000007</v>
      </c>
      <c r="BY178" s="276">
        <v>42200</v>
      </c>
      <c r="BZ178" s="272"/>
      <c r="CA178" s="272"/>
      <c r="CB178" s="272"/>
      <c r="CC178" s="272"/>
      <c r="CD178" s="269">
        <v>8.1</v>
      </c>
      <c r="CE178" s="274">
        <v>42191</v>
      </c>
      <c r="CF178" s="272"/>
      <c r="CG178" s="272"/>
      <c r="CH178" s="272"/>
      <c r="CI178" s="272"/>
      <c r="CJ178" s="272"/>
      <c r="CK178" s="272"/>
      <c r="CL178" s="272"/>
      <c r="CM178" s="278">
        <v>5</v>
      </c>
      <c r="CN178" s="276">
        <v>42180</v>
      </c>
      <c r="CO178" s="272" t="s">
        <v>8447</v>
      </c>
    </row>
    <row r="179" spans="1:93" ht="15">
      <c r="A179" s="124" t="s">
        <v>7605</v>
      </c>
      <c r="B179" s="161" t="s">
        <v>7460</v>
      </c>
      <c r="C179" s="268" t="s">
        <v>267</v>
      </c>
      <c r="D179" s="243">
        <v>4</v>
      </c>
      <c r="E179" s="183">
        <v>19</v>
      </c>
      <c r="F179" s="244">
        <v>21</v>
      </c>
      <c r="G179" s="245">
        <v>28</v>
      </c>
      <c r="J179" s="266"/>
      <c r="L179" s="254">
        <v>8</v>
      </c>
      <c r="N179" s="246">
        <v>3.29</v>
      </c>
      <c r="O179" s="159">
        <v>42191</v>
      </c>
      <c r="P179" s="144"/>
      <c r="R179" s="145"/>
      <c r="T179" s="247">
        <v>9.14</v>
      </c>
      <c r="U179" s="256">
        <v>42200</v>
      </c>
      <c r="V179" s="145">
        <v>18.5</v>
      </c>
      <c r="W179" s="159">
        <v>42191</v>
      </c>
      <c r="X179" s="145"/>
      <c r="Z179" s="145"/>
      <c r="AB179" s="145"/>
      <c r="AD179" s="145">
        <f>(N179/V179)*(((100-CD179)/100)*((100-2)/100))*100</f>
        <v>16.22556864864865</v>
      </c>
      <c r="AF179" s="257">
        <v>18.55</v>
      </c>
      <c r="AG179" s="159">
        <v>42191</v>
      </c>
      <c r="AJ179" s="249">
        <v>150</v>
      </c>
      <c r="AL179" s="145"/>
      <c r="AN179" s="250">
        <v>106</v>
      </c>
      <c r="BB179" s="257">
        <v>7</v>
      </c>
      <c r="BN179" s="251">
        <v>64.262</v>
      </c>
      <c r="BO179" s="256">
        <v>42200</v>
      </c>
      <c r="BT179" s="251">
        <v>49.273365020751953</v>
      </c>
      <c r="BU179" s="256">
        <v>42200</v>
      </c>
      <c r="BV179" s="251">
        <v>18.572370529174805</v>
      </c>
      <c r="BW179" s="256">
        <v>42200</v>
      </c>
      <c r="BX179" s="251">
        <v>53.488</v>
      </c>
      <c r="BY179" s="256">
        <v>42200</v>
      </c>
      <c r="CD179" s="253">
        <v>6.9</v>
      </c>
      <c r="CE179" s="159">
        <v>42191</v>
      </c>
      <c r="CM179" s="255">
        <v>3</v>
      </c>
      <c r="CN179" s="256">
        <v>42180</v>
      </c>
      <c r="CO179" s="140" t="s">
        <v>8447</v>
      </c>
    </row>
    <row r="180" spans="1:93" ht="15" customHeight="1">
      <c r="A180" s="137" t="s">
        <v>8465</v>
      </c>
      <c r="B180" s="161" t="s">
        <v>8488</v>
      </c>
      <c r="C180" s="268" t="s">
        <v>269</v>
      </c>
      <c r="D180" s="269">
        <v>1</v>
      </c>
      <c r="E180" s="280">
        <v>16</v>
      </c>
      <c r="F180" s="269"/>
      <c r="G180" s="269"/>
      <c r="H180" s="271">
        <v>1</v>
      </c>
      <c r="I180" s="271">
        <v>3</v>
      </c>
      <c r="J180" s="282"/>
      <c r="K180" s="273"/>
      <c r="L180" s="269">
        <v>7</v>
      </c>
      <c r="M180" s="274"/>
      <c r="N180" s="269">
        <v>3.32</v>
      </c>
      <c r="O180" s="274">
        <v>42191</v>
      </c>
      <c r="P180" s="272"/>
      <c r="Q180" s="274"/>
      <c r="R180" s="275"/>
      <c r="S180" s="274"/>
      <c r="T180" s="269">
        <v>9.11</v>
      </c>
      <c r="U180" s="276">
        <v>42200</v>
      </c>
      <c r="V180" s="275">
        <v>18.5</v>
      </c>
      <c r="W180" s="274">
        <v>42191</v>
      </c>
      <c r="X180" s="275"/>
      <c r="Y180" s="274"/>
      <c r="Z180" s="275"/>
      <c r="AA180" s="274"/>
      <c r="AB180" s="275"/>
      <c r="AC180" s="274"/>
      <c r="AD180" s="145">
        <f>(N180/V180)*(((100-CD180)/100)*((100-2)/100))*100</f>
        <v>16.232825945945944</v>
      </c>
      <c r="AE180" s="274"/>
      <c r="AF180" s="269">
        <v>18.559999999999999</v>
      </c>
      <c r="AG180" s="274">
        <v>42191</v>
      </c>
      <c r="AH180" s="274"/>
      <c r="AI180" s="274"/>
      <c r="AJ180" s="269">
        <v>145</v>
      </c>
      <c r="AK180" s="274"/>
      <c r="AL180" s="275"/>
      <c r="AM180" s="274"/>
      <c r="AN180" s="269">
        <v>107</v>
      </c>
      <c r="AO180" s="274"/>
      <c r="AP180" s="275"/>
      <c r="AQ180" s="275"/>
      <c r="AR180" s="275"/>
      <c r="AS180" s="275"/>
      <c r="AT180" s="275"/>
      <c r="AU180" s="275"/>
      <c r="AV180" s="275"/>
      <c r="AW180" s="275"/>
      <c r="AX180" s="275"/>
      <c r="AY180" s="275"/>
      <c r="AZ180" s="275"/>
      <c r="BA180" s="275"/>
      <c r="BB180" s="269">
        <v>5</v>
      </c>
      <c r="BC180" s="275"/>
      <c r="BD180" s="275"/>
      <c r="BE180" s="275"/>
      <c r="BF180" s="272"/>
      <c r="BG180" s="272"/>
      <c r="BH180" s="272"/>
      <c r="BI180" s="272"/>
      <c r="BJ180" s="272"/>
      <c r="BK180" s="272"/>
      <c r="BL180" s="272"/>
      <c r="BM180" s="272"/>
      <c r="BN180" s="284">
        <v>64.914000000000001</v>
      </c>
      <c r="BO180" s="276">
        <v>42200</v>
      </c>
      <c r="BP180" s="272"/>
      <c r="BQ180" s="272"/>
      <c r="BR180" s="272"/>
      <c r="BS180" s="272"/>
      <c r="BT180" s="284">
        <v>49.06</v>
      </c>
      <c r="BU180" s="276">
        <v>42200</v>
      </c>
      <c r="BV180" s="284">
        <v>20.115537643432617</v>
      </c>
      <c r="BW180" s="276">
        <v>42200</v>
      </c>
      <c r="BX180" s="284">
        <v>72.620999999999995</v>
      </c>
      <c r="BY180" s="276">
        <v>42200</v>
      </c>
      <c r="BZ180" s="272"/>
      <c r="CA180" s="272"/>
      <c r="CB180" s="272"/>
      <c r="CC180" s="272"/>
      <c r="CD180" s="269">
        <v>7.7</v>
      </c>
      <c r="CE180" s="274">
        <v>42191</v>
      </c>
      <c r="CF180" s="272"/>
      <c r="CG180" s="272"/>
      <c r="CH180" s="272"/>
      <c r="CI180" s="272"/>
      <c r="CJ180" s="272"/>
      <c r="CK180" s="272"/>
      <c r="CL180" s="272"/>
      <c r="CM180" s="278">
        <v>5</v>
      </c>
      <c r="CN180" s="276">
        <v>42180</v>
      </c>
      <c r="CO180" s="272" t="s">
        <v>8447</v>
      </c>
    </row>
    <row r="181" spans="1:93" ht="15" customHeight="1">
      <c r="A181" s="124" t="s">
        <v>7615</v>
      </c>
      <c r="B181" s="161" t="s">
        <v>7469</v>
      </c>
      <c r="C181" s="268" t="s">
        <v>267</v>
      </c>
      <c r="D181" s="257">
        <v>4</v>
      </c>
      <c r="E181" s="183">
        <v>29</v>
      </c>
      <c r="F181" s="257">
        <v>24</v>
      </c>
      <c r="G181" s="257">
        <v>2</v>
      </c>
      <c r="L181" s="257">
        <v>7</v>
      </c>
      <c r="N181" s="257">
        <v>3.33</v>
      </c>
      <c r="O181" s="159">
        <v>42191</v>
      </c>
      <c r="T181" s="257">
        <v>9.09</v>
      </c>
      <c r="U181" s="256">
        <v>42200</v>
      </c>
      <c r="V181" s="145">
        <v>18.5</v>
      </c>
      <c r="W181" s="159">
        <v>42191</v>
      </c>
      <c r="AD181" s="145">
        <f>(N181/V181)*(((100-CD181)/100)*((100-2)/100))*100</f>
        <v>16.281719999999996</v>
      </c>
      <c r="AF181" s="257">
        <v>18.61</v>
      </c>
      <c r="AG181" s="159">
        <v>42191</v>
      </c>
      <c r="AJ181" s="257">
        <v>120</v>
      </c>
      <c r="AN181" s="257">
        <v>102</v>
      </c>
      <c r="BB181" s="257">
        <v>7</v>
      </c>
      <c r="BN181" s="251">
        <v>60.677999999999997</v>
      </c>
      <c r="BO181" s="256">
        <v>42200</v>
      </c>
      <c r="BT181" s="251">
        <v>48.837066650390625</v>
      </c>
      <c r="BU181" s="256">
        <v>42200</v>
      </c>
      <c r="BV181" s="251">
        <v>20.208614349365234</v>
      </c>
      <c r="BW181" s="256">
        <v>42200</v>
      </c>
      <c r="BX181" s="251">
        <v>69.382999999999996</v>
      </c>
      <c r="BY181" s="256">
        <v>42200</v>
      </c>
      <c r="CD181" s="257">
        <v>7.7</v>
      </c>
      <c r="CE181" s="159">
        <v>42191</v>
      </c>
      <c r="CM181" s="255">
        <v>5</v>
      </c>
      <c r="CN181" s="256">
        <v>42180</v>
      </c>
      <c r="CO181" s="140" t="s">
        <v>8447</v>
      </c>
    </row>
    <row r="182" spans="1:93" ht="15" customHeight="1">
      <c r="A182" s="124" t="s">
        <v>7605</v>
      </c>
      <c r="B182" s="161" t="s">
        <v>7460</v>
      </c>
      <c r="C182" s="268" t="s">
        <v>269</v>
      </c>
      <c r="D182" s="257">
        <v>2</v>
      </c>
      <c r="E182" s="183">
        <v>19</v>
      </c>
      <c r="F182" s="257">
        <v>7</v>
      </c>
      <c r="G182" s="257">
        <v>4</v>
      </c>
      <c r="J182" s="266"/>
      <c r="L182" s="257">
        <v>9</v>
      </c>
      <c r="N182" s="257">
        <v>3.29</v>
      </c>
      <c r="O182" s="159">
        <v>42191</v>
      </c>
      <c r="P182" s="144"/>
      <c r="R182" s="145"/>
      <c r="T182" s="257">
        <v>9.25</v>
      </c>
      <c r="U182" s="256">
        <v>42200</v>
      </c>
      <c r="V182" s="145">
        <v>18.5</v>
      </c>
      <c r="W182" s="159">
        <v>42191</v>
      </c>
      <c r="X182" s="145"/>
      <c r="Z182" s="145"/>
      <c r="AB182" s="145"/>
      <c r="AD182" s="145">
        <f>(N182/V182)*(((100-CD182)/100)*((100-2)/100))*100</f>
        <v>16.295281081081082</v>
      </c>
      <c r="AF182" s="257">
        <f>(N182/V182)*(((100-CD182)/(100-9))*100)</f>
        <v>18.27234927234927</v>
      </c>
      <c r="AG182" s="159">
        <v>42191</v>
      </c>
      <c r="AJ182" s="257">
        <v>155</v>
      </c>
      <c r="AL182" s="145"/>
      <c r="AN182" s="257">
        <v>107</v>
      </c>
      <c r="BB182" s="257">
        <v>7</v>
      </c>
      <c r="BN182" s="251">
        <v>65.174999999999997</v>
      </c>
      <c r="BO182" s="256">
        <v>42200</v>
      </c>
      <c r="BT182" s="251">
        <v>49.667343139648438</v>
      </c>
      <c r="BU182" s="256">
        <v>42200</v>
      </c>
      <c r="BV182" s="251">
        <v>17.836801528930664</v>
      </c>
      <c r="BW182" s="256">
        <v>42200</v>
      </c>
      <c r="BX182" s="251">
        <v>58.67</v>
      </c>
      <c r="BY182" s="256">
        <v>42200</v>
      </c>
      <c r="CD182" s="257">
        <v>6.5</v>
      </c>
      <c r="CE182" s="159">
        <v>42191</v>
      </c>
      <c r="CM182" s="255">
        <v>1</v>
      </c>
      <c r="CN182" s="256">
        <v>42180</v>
      </c>
      <c r="CO182" s="140" t="s">
        <v>8448</v>
      </c>
    </row>
    <row r="183" spans="1:93" ht="15" customHeight="1">
      <c r="A183" s="124" t="s">
        <v>7630</v>
      </c>
      <c r="B183" s="161" t="s">
        <v>7483</v>
      </c>
      <c r="C183" s="268" t="s">
        <v>267</v>
      </c>
      <c r="D183" s="257">
        <v>4</v>
      </c>
      <c r="E183" s="183">
        <v>44</v>
      </c>
      <c r="F183" s="257">
        <v>20</v>
      </c>
      <c r="G183" s="257">
        <v>29</v>
      </c>
      <c r="L183" s="257">
        <v>7</v>
      </c>
      <c r="N183" s="257">
        <v>3.32</v>
      </c>
      <c r="O183" s="159">
        <v>42191</v>
      </c>
      <c r="T183" s="257">
        <v>8.7899999999999991</v>
      </c>
      <c r="U183" s="256">
        <v>42200</v>
      </c>
      <c r="V183" s="145">
        <v>18.5</v>
      </c>
      <c r="W183" s="159">
        <v>42191</v>
      </c>
      <c r="AD183" s="145">
        <f>(N183/V183)*(((100-CD183)/100)*((100-2)/100))*100</f>
        <v>16.320761081081077</v>
      </c>
      <c r="AF183" s="257">
        <v>18.66</v>
      </c>
      <c r="AG183" s="159">
        <v>42191</v>
      </c>
      <c r="AJ183" s="257">
        <v>125</v>
      </c>
      <c r="AN183" s="257">
        <v>108</v>
      </c>
      <c r="BB183" s="257">
        <v>5</v>
      </c>
      <c r="BN183" s="251">
        <v>64.103999999999999</v>
      </c>
      <c r="BO183" s="256">
        <v>42200</v>
      </c>
      <c r="BT183" s="251">
        <v>47.109336853027344</v>
      </c>
      <c r="BU183" s="256">
        <v>42200</v>
      </c>
      <c r="BV183" s="251">
        <v>18.815708160400391</v>
      </c>
      <c r="BW183" s="256">
        <v>42200</v>
      </c>
      <c r="BX183" s="251">
        <v>28.02</v>
      </c>
      <c r="BY183" s="256">
        <v>42200</v>
      </c>
      <c r="CD183" s="257">
        <v>7.2</v>
      </c>
      <c r="CE183" s="159">
        <v>42191</v>
      </c>
      <c r="CM183" s="255">
        <v>3</v>
      </c>
      <c r="CN183" s="256">
        <v>42180</v>
      </c>
      <c r="CO183" s="140" t="s">
        <v>8447</v>
      </c>
    </row>
    <row r="184" spans="1:93" ht="15" customHeight="1">
      <c r="A184" s="124" t="s">
        <v>7678</v>
      </c>
      <c r="B184" s="161" t="s">
        <v>7526</v>
      </c>
      <c r="C184" s="268" t="s">
        <v>269</v>
      </c>
      <c r="D184" s="257">
        <v>2</v>
      </c>
      <c r="E184" s="183">
        <v>92</v>
      </c>
      <c r="F184" s="257">
        <v>7</v>
      </c>
      <c r="G184" s="257">
        <v>12</v>
      </c>
      <c r="L184" s="257">
        <v>8</v>
      </c>
      <c r="N184" s="257">
        <v>3.3</v>
      </c>
      <c r="O184" s="159">
        <v>42191</v>
      </c>
      <c r="T184" s="257">
        <v>10.4</v>
      </c>
      <c r="U184" s="256">
        <v>42200</v>
      </c>
      <c r="V184" s="145">
        <v>18.5</v>
      </c>
      <c r="W184" s="159">
        <v>42191</v>
      </c>
      <c r="AD184" s="145">
        <f>(N184/V184)*(((100-CD184)/100)*((100-2)/100))*100</f>
        <v>16.32732972972973</v>
      </c>
      <c r="AF184" s="257">
        <v>18.66</v>
      </c>
      <c r="AG184" s="159">
        <v>42191</v>
      </c>
      <c r="AJ184" s="257">
        <v>130</v>
      </c>
      <c r="AN184" s="257">
        <v>101</v>
      </c>
      <c r="BB184" s="257">
        <v>7</v>
      </c>
      <c r="BN184" s="251">
        <v>66.798000000000002</v>
      </c>
      <c r="BO184" s="256">
        <v>42200</v>
      </c>
      <c r="BT184" s="251">
        <v>55.717864990234375</v>
      </c>
      <c r="BU184" s="256">
        <v>42200</v>
      </c>
      <c r="BV184" s="251">
        <v>15.432979583740234</v>
      </c>
      <c r="BW184" s="256">
        <v>42200</v>
      </c>
      <c r="BX184" s="251">
        <v>14.677</v>
      </c>
      <c r="BY184" s="256">
        <v>42200</v>
      </c>
      <c r="CD184" s="257">
        <v>6.6</v>
      </c>
      <c r="CE184" s="159">
        <v>42191</v>
      </c>
      <c r="CM184" s="255">
        <v>3</v>
      </c>
      <c r="CN184" s="256">
        <v>42180</v>
      </c>
      <c r="CO184" s="140" t="s">
        <v>8448</v>
      </c>
    </row>
    <row r="185" spans="1:93" ht="15" customHeight="1">
      <c r="A185" s="124" t="s">
        <v>7587</v>
      </c>
      <c r="B185" s="161" t="s">
        <v>7767</v>
      </c>
      <c r="C185" s="268" t="s">
        <v>267</v>
      </c>
      <c r="D185" s="257">
        <v>3</v>
      </c>
      <c r="E185" s="183">
        <v>1</v>
      </c>
      <c r="F185" s="257">
        <v>17</v>
      </c>
      <c r="G185" s="257">
        <v>22</v>
      </c>
      <c r="J185" s="118"/>
      <c r="K185" s="118"/>
      <c r="L185" s="257">
        <v>8</v>
      </c>
      <c r="M185"/>
      <c r="N185" s="257">
        <v>3.3</v>
      </c>
      <c r="O185" s="159">
        <v>42191</v>
      </c>
      <c r="P185"/>
      <c r="Q185"/>
      <c r="R185"/>
      <c r="S185"/>
      <c r="T185" s="257">
        <v>8.7899999999999991</v>
      </c>
      <c r="U185" s="256">
        <v>42200</v>
      </c>
      <c r="V185" s="145">
        <v>18.5</v>
      </c>
      <c r="W185" s="159">
        <v>42191</v>
      </c>
      <c r="X185"/>
      <c r="Y185"/>
      <c r="Z185"/>
      <c r="AA185"/>
      <c r="AB185"/>
      <c r="AC185"/>
      <c r="AD185" s="145">
        <f>(N185/V185)*(((100-CD185)/100)*((100-2)/100))*100</f>
        <v>16.32732972972973</v>
      </c>
      <c r="AE185"/>
      <c r="AF185" s="257">
        <v>18.66</v>
      </c>
      <c r="AG185" s="159">
        <v>42191</v>
      </c>
      <c r="AJ185" s="257">
        <v>140</v>
      </c>
      <c r="AL185" s="145"/>
      <c r="AN185" s="257">
        <v>107</v>
      </c>
      <c r="BB185" s="257">
        <v>9</v>
      </c>
      <c r="BN185" s="251">
        <v>64.835999999999999</v>
      </c>
      <c r="BO185" s="256">
        <v>42200</v>
      </c>
      <c r="BT185" s="251">
        <v>47.11480712890625</v>
      </c>
      <c r="BU185" s="256">
        <v>42200</v>
      </c>
      <c r="BV185" s="251">
        <v>20.31364631652832</v>
      </c>
      <c r="BW185" s="256">
        <v>42200</v>
      </c>
      <c r="BX185" s="251">
        <v>62.287999999999997</v>
      </c>
      <c r="BY185" s="256">
        <v>42200</v>
      </c>
      <c r="CD185" s="257">
        <v>6.6</v>
      </c>
      <c r="CE185" s="159">
        <v>42191</v>
      </c>
      <c r="CM185" s="255">
        <v>5</v>
      </c>
      <c r="CN185" s="256">
        <v>42180</v>
      </c>
      <c r="CO185" s="140" t="s">
        <v>8447</v>
      </c>
    </row>
    <row r="186" spans="1:93" ht="15" customHeight="1">
      <c r="A186" s="137" t="s">
        <v>8466</v>
      </c>
      <c r="B186" s="161" t="s">
        <v>8489</v>
      </c>
      <c r="C186" s="268" t="s">
        <v>269</v>
      </c>
      <c r="D186" s="269">
        <v>2</v>
      </c>
      <c r="E186" s="280">
        <v>17</v>
      </c>
      <c r="F186" s="269"/>
      <c r="G186" s="269"/>
      <c r="H186" s="271">
        <v>11</v>
      </c>
      <c r="I186" s="271">
        <v>4</v>
      </c>
      <c r="J186" s="282"/>
      <c r="K186" s="273"/>
      <c r="L186" s="269">
        <v>8</v>
      </c>
      <c r="M186" s="274"/>
      <c r="N186" s="269">
        <v>3.34</v>
      </c>
      <c r="O186" s="274">
        <v>42191</v>
      </c>
      <c r="P186" s="272"/>
      <c r="Q186" s="274"/>
      <c r="R186" s="275"/>
      <c r="S186" s="274"/>
      <c r="T186" s="269">
        <v>9.4700000000000006</v>
      </c>
      <c r="U186" s="276">
        <v>42200</v>
      </c>
      <c r="V186" s="275">
        <v>18.5</v>
      </c>
      <c r="W186" s="274">
        <v>42191</v>
      </c>
      <c r="X186" s="275"/>
      <c r="Y186" s="274"/>
      <c r="Z186" s="275"/>
      <c r="AA186" s="274"/>
      <c r="AB186" s="275"/>
      <c r="AC186" s="274"/>
      <c r="AD186" s="145">
        <f>(N186/V186)*(((100-CD186)/100)*((100-2)/100))*100</f>
        <v>16.365999999999996</v>
      </c>
      <c r="AE186" s="274"/>
      <c r="AF186" s="269">
        <v>18.71</v>
      </c>
      <c r="AG186" s="274">
        <v>42191</v>
      </c>
      <c r="AH186" s="274"/>
      <c r="AI186" s="274"/>
      <c r="AJ186" s="269">
        <v>140</v>
      </c>
      <c r="AK186" s="274"/>
      <c r="AL186" s="275"/>
      <c r="AM186" s="274"/>
      <c r="AN186" s="269">
        <v>101</v>
      </c>
      <c r="AO186" s="274"/>
      <c r="AP186" s="275"/>
      <c r="AQ186" s="275"/>
      <c r="AR186" s="275"/>
      <c r="AS186" s="275"/>
      <c r="AT186" s="275"/>
      <c r="AU186" s="275"/>
      <c r="AV186" s="275"/>
      <c r="AW186" s="275"/>
      <c r="AX186" s="275"/>
      <c r="AY186" s="275"/>
      <c r="AZ186" s="275"/>
      <c r="BA186" s="275"/>
      <c r="BB186" s="269">
        <v>5</v>
      </c>
      <c r="BC186" s="275"/>
      <c r="BD186" s="275"/>
      <c r="BE186" s="275"/>
      <c r="BF186" s="272"/>
      <c r="BG186" s="272"/>
      <c r="BH186" s="272"/>
      <c r="BI186" s="272"/>
      <c r="BJ186" s="272"/>
      <c r="BK186" s="272"/>
      <c r="BL186" s="272"/>
      <c r="BM186" s="272"/>
      <c r="BN186" s="284">
        <v>65.489000000000004</v>
      </c>
      <c r="BO186" s="276">
        <v>42200</v>
      </c>
      <c r="BP186" s="272"/>
      <c r="BQ186" s="272"/>
      <c r="BR186" s="272"/>
      <c r="BS186" s="272"/>
      <c r="BT186" s="284">
        <v>50.61</v>
      </c>
      <c r="BU186" s="276">
        <v>42200</v>
      </c>
      <c r="BV186" s="284">
        <v>18.830513000488281</v>
      </c>
      <c r="BW186" s="276">
        <v>42200</v>
      </c>
      <c r="BX186" s="284">
        <v>72.316999999999993</v>
      </c>
      <c r="BY186" s="276">
        <v>42200</v>
      </c>
      <c r="BZ186" s="272"/>
      <c r="CA186" s="272"/>
      <c r="CB186" s="272"/>
      <c r="CC186" s="272"/>
      <c r="CD186" s="269">
        <v>7.5</v>
      </c>
      <c r="CE186" s="274">
        <v>42191</v>
      </c>
      <c r="CF186" s="272"/>
      <c r="CG186" s="272"/>
      <c r="CH186" s="272"/>
      <c r="CI186" s="272"/>
      <c r="CJ186" s="272"/>
      <c r="CK186" s="272"/>
      <c r="CL186" s="272"/>
      <c r="CM186" s="278">
        <v>5</v>
      </c>
      <c r="CN186" s="276">
        <v>42180</v>
      </c>
      <c r="CO186" s="272" t="s">
        <v>8447</v>
      </c>
    </row>
    <row r="187" spans="1:93" ht="15">
      <c r="A187" s="124" t="s">
        <v>7649</v>
      </c>
      <c r="B187" s="161" t="s">
        <v>7499</v>
      </c>
      <c r="C187" s="268" t="s">
        <v>267</v>
      </c>
      <c r="D187" s="243">
        <v>3</v>
      </c>
      <c r="E187" s="183">
        <v>63</v>
      </c>
      <c r="F187" s="244">
        <v>17</v>
      </c>
      <c r="G187" s="245">
        <v>11</v>
      </c>
      <c r="L187" s="254">
        <v>5</v>
      </c>
      <c r="N187" s="246">
        <v>3.37</v>
      </c>
      <c r="O187" s="159">
        <v>42191</v>
      </c>
      <c r="T187" s="247">
        <v>9.7799999999999994</v>
      </c>
      <c r="U187" s="256">
        <v>42200</v>
      </c>
      <c r="V187" s="145">
        <v>18.5</v>
      </c>
      <c r="W187" s="159">
        <v>42191</v>
      </c>
      <c r="AD187" s="145">
        <f>(N187/V187)*(((100-CD187)/100)*((100-2)/100))*100</f>
        <v>16.405888648648649</v>
      </c>
      <c r="AF187" s="257">
        <v>18.75</v>
      </c>
      <c r="AG187" s="159">
        <v>42191</v>
      </c>
      <c r="AJ187" s="249">
        <v>120</v>
      </c>
      <c r="AN187" s="250">
        <v>106</v>
      </c>
      <c r="BB187" s="257">
        <v>7</v>
      </c>
      <c r="BN187" s="251">
        <v>64.715999999999994</v>
      </c>
      <c r="BO187" s="256">
        <v>42200</v>
      </c>
      <c r="BT187" s="251">
        <v>52.145957946777344</v>
      </c>
      <c r="BU187" s="256">
        <v>42200</v>
      </c>
      <c r="BV187" s="251">
        <v>17.264949798583984</v>
      </c>
      <c r="BW187" s="256">
        <v>42200</v>
      </c>
      <c r="BX187" s="251">
        <v>15.878</v>
      </c>
      <c r="BY187" s="256">
        <v>42200</v>
      </c>
      <c r="CD187" s="253">
        <v>8.1</v>
      </c>
      <c r="CE187" s="159">
        <v>42191</v>
      </c>
      <c r="CM187" s="255">
        <v>5</v>
      </c>
      <c r="CN187" s="256">
        <v>42180</v>
      </c>
      <c r="CO187" s="140" t="s">
        <v>8447</v>
      </c>
    </row>
    <row r="188" spans="1:93" ht="15" customHeight="1">
      <c r="A188" s="124" t="s">
        <v>7599</v>
      </c>
      <c r="B188" s="161" t="s">
        <v>7771</v>
      </c>
      <c r="C188" s="268" t="s">
        <v>269</v>
      </c>
      <c r="D188" s="257">
        <v>1</v>
      </c>
      <c r="E188" s="183">
        <v>13</v>
      </c>
      <c r="F188" s="257">
        <v>1</v>
      </c>
      <c r="G188" s="257">
        <v>2</v>
      </c>
      <c r="J188" s="266"/>
      <c r="L188" s="257">
        <v>8</v>
      </c>
      <c r="N188" s="257">
        <v>3.1</v>
      </c>
      <c r="O188" s="159">
        <v>42191</v>
      </c>
      <c r="P188" s="144"/>
      <c r="R188" s="145"/>
      <c r="T188" s="257"/>
      <c r="U188" s="256">
        <v>42200</v>
      </c>
      <c r="V188" s="145">
        <v>18.5</v>
      </c>
      <c r="W188" s="159">
        <v>42191</v>
      </c>
      <c r="X188" s="145"/>
      <c r="Z188" s="145"/>
      <c r="AB188" s="145"/>
      <c r="AD188" s="145">
        <f>(N188/V188)*(((100-CD188)/100)*((100-2)/100))*100</f>
        <v>16.421621621621622</v>
      </c>
      <c r="AF188" s="257"/>
      <c r="AG188" s="159">
        <v>42191</v>
      </c>
      <c r="AJ188" s="257">
        <v>155</v>
      </c>
      <c r="AL188" s="145"/>
      <c r="AN188" s="257">
        <v>100</v>
      </c>
      <c r="BB188" s="257">
        <v>7</v>
      </c>
      <c r="BN188" s="252"/>
      <c r="BO188" s="256">
        <v>42200</v>
      </c>
      <c r="BT188" s="252"/>
      <c r="BU188" s="256">
        <v>42200</v>
      </c>
      <c r="BV188" s="252"/>
      <c r="BW188" s="256">
        <v>42200</v>
      </c>
      <c r="BX188" s="252"/>
      <c r="BY188" s="256">
        <v>42200</v>
      </c>
      <c r="CD188" s="257"/>
      <c r="CE188" s="159">
        <v>42191</v>
      </c>
      <c r="CM188" s="255">
        <v>3</v>
      </c>
      <c r="CN188" s="256">
        <v>42180</v>
      </c>
      <c r="CO188" s="140" t="s">
        <v>8447</v>
      </c>
    </row>
    <row r="189" spans="1:93" ht="15" customHeight="1">
      <c r="A189" s="124" t="s">
        <v>7596</v>
      </c>
      <c r="B189" s="161" t="s">
        <v>7454</v>
      </c>
      <c r="C189" s="268" t="s">
        <v>269</v>
      </c>
      <c r="D189" s="257">
        <v>2</v>
      </c>
      <c r="E189" s="183">
        <v>10</v>
      </c>
      <c r="F189" s="257">
        <v>11</v>
      </c>
      <c r="G189" s="257">
        <v>29</v>
      </c>
      <c r="J189" s="266"/>
      <c r="L189" s="257">
        <v>7</v>
      </c>
      <c r="N189" s="257">
        <v>3.32</v>
      </c>
      <c r="O189" s="159">
        <v>42191</v>
      </c>
      <c r="P189" s="144"/>
      <c r="R189" s="145"/>
      <c r="T189" s="257">
        <v>9.9499999999999993</v>
      </c>
      <c r="U189" s="256">
        <v>42200</v>
      </c>
      <c r="V189" s="145">
        <v>18.5</v>
      </c>
      <c r="W189" s="159">
        <v>42191</v>
      </c>
      <c r="X189" s="145"/>
      <c r="Z189" s="145"/>
      <c r="AB189" s="145"/>
      <c r="AD189" s="145">
        <f>(N189/V189)*(((100-CD189)/100)*((100-2)/100))*100</f>
        <v>16.443870270270271</v>
      </c>
      <c r="AF189" s="257">
        <v>18.8</v>
      </c>
      <c r="AG189" s="159">
        <v>42191</v>
      </c>
      <c r="AJ189" s="257">
        <v>120</v>
      </c>
      <c r="AL189" s="145"/>
      <c r="AN189" s="257">
        <v>100</v>
      </c>
      <c r="BB189" s="257">
        <v>3</v>
      </c>
      <c r="BN189" s="251">
        <v>63.284999999999997</v>
      </c>
      <c r="BO189" s="256">
        <v>42200</v>
      </c>
      <c r="BT189" s="251">
        <v>52.919548034667969</v>
      </c>
      <c r="BU189" s="256">
        <v>42200</v>
      </c>
      <c r="BV189" s="251">
        <v>16.710899353027344</v>
      </c>
      <c r="BW189" s="256">
        <v>42200</v>
      </c>
      <c r="BX189" s="251">
        <v>58.143999999999998</v>
      </c>
      <c r="BY189" s="256">
        <v>42200</v>
      </c>
      <c r="CD189" s="257">
        <v>6.5</v>
      </c>
      <c r="CE189" s="159">
        <v>42191</v>
      </c>
      <c r="CM189" s="255">
        <v>3</v>
      </c>
      <c r="CN189" s="256">
        <v>42180</v>
      </c>
      <c r="CO189" s="140" t="s">
        <v>8448</v>
      </c>
    </row>
    <row r="190" spans="1:93" ht="15" customHeight="1">
      <c r="A190" s="137" t="s">
        <v>8450</v>
      </c>
      <c r="B190" s="161" t="s">
        <v>8473</v>
      </c>
      <c r="C190" s="268" t="s">
        <v>269</v>
      </c>
      <c r="D190" s="269">
        <v>2</v>
      </c>
      <c r="E190" s="280">
        <v>1</v>
      </c>
      <c r="F190" s="269"/>
      <c r="G190" s="269"/>
      <c r="H190" s="271">
        <v>10</v>
      </c>
      <c r="I190" s="271">
        <v>4</v>
      </c>
      <c r="J190" s="282"/>
      <c r="K190" s="273"/>
      <c r="L190" s="269">
        <v>9</v>
      </c>
      <c r="M190" s="274"/>
      <c r="N190" s="269">
        <v>3.36</v>
      </c>
      <c r="O190" s="274">
        <v>42191</v>
      </c>
      <c r="P190" s="272"/>
      <c r="Q190" s="274"/>
      <c r="R190" s="275"/>
      <c r="S190" s="274"/>
      <c r="T190" s="269">
        <v>8.76</v>
      </c>
      <c r="U190" s="276">
        <v>42200</v>
      </c>
      <c r="V190" s="275">
        <v>18.5</v>
      </c>
      <c r="W190" s="274">
        <v>42191</v>
      </c>
      <c r="X190" s="275"/>
      <c r="Y190" s="274"/>
      <c r="Z190" s="275"/>
      <c r="AA190" s="274"/>
      <c r="AB190" s="275"/>
      <c r="AC190" s="274"/>
      <c r="AD190" s="145">
        <f>(N190/V190)*(((100-CD190)/100)*((100-2)/100))*100</f>
        <v>16.446201081081082</v>
      </c>
      <c r="AE190" s="274"/>
      <c r="AF190" s="269">
        <v>18.8</v>
      </c>
      <c r="AG190" s="274">
        <v>42191</v>
      </c>
      <c r="AH190" s="274"/>
      <c r="AI190" s="274"/>
      <c r="AJ190" s="269">
        <v>145</v>
      </c>
      <c r="AK190" s="274"/>
      <c r="AL190" s="275"/>
      <c r="AM190" s="274"/>
      <c r="AN190" s="269">
        <v>104</v>
      </c>
      <c r="AO190" s="274"/>
      <c r="AP190" s="275"/>
      <c r="AQ190" s="275"/>
      <c r="AR190" s="275"/>
      <c r="AS190" s="275"/>
      <c r="AT190" s="275"/>
      <c r="AU190" s="275"/>
      <c r="AV190" s="275"/>
      <c r="AW190" s="275"/>
      <c r="AX190" s="275"/>
      <c r="AY190" s="275"/>
      <c r="AZ190" s="275"/>
      <c r="BA190" s="275"/>
      <c r="BB190" s="269">
        <v>9</v>
      </c>
      <c r="BC190" s="275"/>
      <c r="BD190" s="275"/>
      <c r="BE190" s="275"/>
      <c r="BF190" s="272"/>
      <c r="BG190" s="272"/>
      <c r="BH190" s="272"/>
      <c r="BI190" s="272"/>
      <c r="BJ190" s="272"/>
      <c r="BK190" s="272"/>
      <c r="BL190" s="272"/>
      <c r="BM190" s="272"/>
      <c r="BN190" s="284">
        <v>66.948999999999998</v>
      </c>
      <c r="BO190" s="276">
        <v>42200</v>
      </c>
      <c r="BP190" s="272"/>
      <c r="BQ190" s="272"/>
      <c r="BR190" s="272"/>
      <c r="BS190" s="272"/>
      <c r="BT190" s="284">
        <v>46.61</v>
      </c>
      <c r="BU190" s="276">
        <v>42200</v>
      </c>
      <c r="BV190" s="284">
        <v>22.5560302734375</v>
      </c>
      <c r="BW190" s="276">
        <v>42200</v>
      </c>
      <c r="BX190" s="284">
        <v>81.087999999999994</v>
      </c>
      <c r="BY190" s="276">
        <v>42200</v>
      </c>
      <c r="BZ190" s="272"/>
      <c r="CA190" s="272"/>
      <c r="CB190" s="272"/>
      <c r="CC190" s="272"/>
      <c r="CD190" s="269">
        <v>7.6</v>
      </c>
      <c r="CE190" s="274">
        <v>42191</v>
      </c>
      <c r="CF190" s="272"/>
      <c r="CG190" s="272"/>
      <c r="CH190" s="272"/>
      <c r="CI190" s="272"/>
      <c r="CJ190" s="272"/>
      <c r="CK190" s="272"/>
      <c r="CL190" s="272"/>
      <c r="CM190" s="278">
        <v>5</v>
      </c>
      <c r="CN190" s="276">
        <v>42180</v>
      </c>
      <c r="CO190" s="272" t="s">
        <v>8447</v>
      </c>
    </row>
    <row r="191" spans="1:93" ht="15" customHeight="1">
      <c r="A191" s="137" t="s">
        <v>8471</v>
      </c>
      <c r="B191" s="161" t="s">
        <v>8494</v>
      </c>
      <c r="C191" s="268" t="s">
        <v>269</v>
      </c>
      <c r="D191" s="269">
        <v>2</v>
      </c>
      <c r="E191" s="280">
        <v>22</v>
      </c>
      <c r="F191" s="269"/>
      <c r="G191" s="269"/>
      <c r="H191" s="271">
        <v>9</v>
      </c>
      <c r="I191" s="271">
        <v>4</v>
      </c>
      <c r="J191" s="282"/>
      <c r="K191" s="273"/>
      <c r="L191" s="269">
        <v>8</v>
      </c>
      <c r="M191" s="274"/>
      <c r="N191" s="269">
        <v>3.37</v>
      </c>
      <c r="O191" s="274">
        <v>42191</v>
      </c>
      <c r="P191" s="272"/>
      <c r="Q191" s="274"/>
      <c r="R191" s="275"/>
      <c r="S191" s="274"/>
      <c r="T191" s="269">
        <v>8.7200000000000006</v>
      </c>
      <c r="U191" s="276">
        <v>42200</v>
      </c>
      <c r="V191" s="275">
        <v>18.5</v>
      </c>
      <c r="W191" s="274">
        <v>42191</v>
      </c>
      <c r="X191" s="275"/>
      <c r="Y191" s="274"/>
      <c r="Z191" s="275"/>
      <c r="AA191" s="274"/>
      <c r="AB191" s="275"/>
      <c r="AC191" s="274"/>
      <c r="AD191" s="145">
        <f>(N191/V191)*(((100-CD191)/100)*((100-2)/100))*100</f>
        <v>16.459444324324323</v>
      </c>
      <c r="AE191" s="274"/>
      <c r="AF191" s="269">
        <v>18.82</v>
      </c>
      <c r="AG191" s="274">
        <v>42191</v>
      </c>
      <c r="AH191" s="274"/>
      <c r="AI191" s="274"/>
      <c r="AJ191" s="269">
        <v>135</v>
      </c>
      <c r="AK191" s="274"/>
      <c r="AL191" s="275"/>
      <c r="AM191" s="274"/>
      <c r="AN191" s="269">
        <v>98</v>
      </c>
      <c r="AO191" s="274"/>
      <c r="AP191" s="275"/>
      <c r="AQ191" s="275"/>
      <c r="AR191" s="275"/>
      <c r="AS191" s="275"/>
      <c r="AT191" s="275"/>
      <c r="AU191" s="275"/>
      <c r="AV191" s="275"/>
      <c r="AW191" s="275"/>
      <c r="AX191" s="275"/>
      <c r="AY191" s="275"/>
      <c r="AZ191" s="275"/>
      <c r="BA191" s="275"/>
      <c r="BB191" s="269">
        <v>7</v>
      </c>
      <c r="BC191" s="275"/>
      <c r="BD191" s="275"/>
      <c r="BE191" s="275"/>
      <c r="BF191" s="272"/>
      <c r="BG191" s="272"/>
      <c r="BH191" s="272"/>
      <c r="BI191" s="272"/>
      <c r="BJ191" s="272"/>
      <c r="BK191" s="272"/>
      <c r="BL191" s="272"/>
      <c r="BM191" s="272"/>
      <c r="BN191" s="284">
        <v>63.944000000000003</v>
      </c>
      <c r="BO191" s="276">
        <v>42200</v>
      </c>
      <c r="BP191" s="272"/>
      <c r="BQ191" s="272"/>
      <c r="BR191" s="272"/>
      <c r="BS191" s="272"/>
      <c r="BT191" s="284">
        <v>46.34</v>
      </c>
      <c r="BU191" s="276">
        <v>42200</v>
      </c>
      <c r="BV191" s="284">
        <v>22.148014068603516</v>
      </c>
      <c r="BW191" s="276">
        <v>42200</v>
      </c>
      <c r="BX191" s="284">
        <v>74.563000000000002</v>
      </c>
      <c r="BY191" s="276">
        <v>42200</v>
      </c>
      <c r="BZ191" s="272"/>
      <c r="CA191" s="272"/>
      <c r="CB191" s="272"/>
      <c r="CC191" s="272"/>
      <c r="CD191" s="269">
        <v>7.8</v>
      </c>
      <c r="CE191" s="274">
        <v>42191</v>
      </c>
      <c r="CF191" s="272"/>
      <c r="CG191" s="272"/>
      <c r="CH191" s="272"/>
      <c r="CI191" s="272"/>
      <c r="CJ191" s="272"/>
      <c r="CK191" s="272"/>
      <c r="CL191" s="272"/>
      <c r="CM191" s="278">
        <v>5</v>
      </c>
      <c r="CN191" s="276">
        <v>42180</v>
      </c>
      <c r="CO191" s="272" t="s">
        <v>8447</v>
      </c>
    </row>
    <row r="192" spans="1:93" ht="15" customHeight="1">
      <c r="A192" s="124" t="s">
        <v>7695</v>
      </c>
      <c r="B192" s="161" t="s">
        <v>7541</v>
      </c>
      <c r="C192" s="268" t="s">
        <v>267</v>
      </c>
      <c r="D192" s="257">
        <v>4</v>
      </c>
      <c r="E192" s="183">
        <v>109</v>
      </c>
      <c r="F192" s="257">
        <v>22</v>
      </c>
      <c r="G192" s="257">
        <v>9</v>
      </c>
      <c r="L192" s="257">
        <v>8</v>
      </c>
      <c r="N192" s="257">
        <v>3.4</v>
      </c>
      <c r="O192" s="159">
        <v>42191</v>
      </c>
      <c r="T192" s="257">
        <v>9.36</v>
      </c>
      <c r="U192" s="256">
        <v>42200</v>
      </c>
      <c r="V192" s="145">
        <v>18.5</v>
      </c>
      <c r="W192" s="159">
        <v>42191</v>
      </c>
      <c r="AD192" s="145">
        <f>(N192/V192)*(((100-CD192)/100)*((100-2)/100))*100</f>
        <v>16.461881081081081</v>
      </c>
      <c r="AF192" s="257">
        <v>18.82</v>
      </c>
      <c r="AG192" s="159">
        <v>42191</v>
      </c>
      <c r="AJ192" s="257">
        <v>140</v>
      </c>
      <c r="AN192" s="257">
        <v>107</v>
      </c>
      <c r="BB192" s="257">
        <v>7</v>
      </c>
      <c r="BN192" s="251">
        <v>62.857999999999997</v>
      </c>
      <c r="BO192" s="256">
        <v>42200</v>
      </c>
      <c r="BT192" s="251">
        <v>49.750526428222656</v>
      </c>
      <c r="BU192" s="256">
        <v>42200</v>
      </c>
      <c r="BV192" s="251">
        <v>18.013114929199219</v>
      </c>
      <c r="BW192" s="256">
        <v>42200</v>
      </c>
      <c r="BX192" s="251">
        <v>10.611000000000001</v>
      </c>
      <c r="BY192" s="256">
        <v>42200</v>
      </c>
      <c r="CD192" s="257">
        <v>8.6</v>
      </c>
      <c r="CE192" s="159">
        <v>42191</v>
      </c>
      <c r="CM192" s="255">
        <v>5</v>
      </c>
      <c r="CN192" s="256">
        <v>42180</v>
      </c>
      <c r="CO192" s="140" t="s">
        <v>8447</v>
      </c>
    </row>
    <row r="193" spans="1:93" ht="15">
      <c r="A193" s="124" t="s">
        <v>7708</v>
      </c>
      <c r="B193" s="161" t="s">
        <v>7783</v>
      </c>
      <c r="C193" s="268" t="s">
        <v>269</v>
      </c>
      <c r="D193" s="243">
        <v>1</v>
      </c>
      <c r="E193" s="241">
        <v>122</v>
      </c>
      <c r="F193" s="244">
        <v>3</v>
      </c>
      <c r="G193" s="245">
        <v>18</v>
      </c>
      <c r="L193" s="254">
        <v>7</v>
      </c>
      <c r="N193" s="246">
        <v>3.33</v>
      </c>
      <c r="O193" s="159">
        <v>42191</v>
      </c>
      <c r="T193" s="247">
        <v>9.36</v>
      </c>
      <c r="U193" s="256">
        <v>42200</v>
      </c>
      <c r="V193" s="145">
        <v>18.5</v>
      </c>
      <c r="W193" s="159">
        <v>42191</v>
      </c>
      <c r="AD193" s="145">
        <f>(N193/V193)*(((100-CD193)/100)*((100-2)/100))*100</f>
        <v>16.493400000000001</v>
      </c>
      <c r="AF193" s="257">
        <v>18.850000000000001</v>
      </c>
      <c r="AG193" s="159">
        <v>42191</v>
      </c>
      <c r="AJ193" s="249">
        <v>170</v>
      </c>
      <c r="AN193" s="250">
        <v>107</v>
      </c>
      <c r="BB193" s="257">
        <v>3</v>
      </c>
      <c r="BN193" s="251">
        <v>62.277000000000001</v>
      </c>
      <c r="BO193" s="256">
        <v>42200</v>
      </c>
      <c r="BT193" s="251">
        <v>49.639503479003906</v>
      </c>
      <c r="BU193" s="256">
        <v>42200</v>
      </c>
      <c r="BV193" s="251">
        <v>18.240669250488281</v>
      </c>
      <c r="BW193" s="256">
        <v>42200</v>
      </c>
      <c r="BX193" s="251">
        <v>66.694000000000003</v>
      </c>
      <c r="BY193" s="256">
        <v>42200</v>
      </c>
      <c r="CD193" s="253">
        <v>6.5</v>
      </c>
      <c r="CE193" s="159">
        <v>42191</v>
      </c>
      <c r="CM193" s="255">
        <v>3</v>
      </c>
      <c r="CN193" s="256">
        <v>42180</v>
      </c>
      <c r="CO193" s="140" t="s">
        <v>8447</v>
      </c>
    </row>
    <row r="194" spans="1:93" ht="15" customHeight="1">
      <c r="A194" s="126" t="s">
        <v>7597</v>
      </c>
      <c r="B194" s="161" t="s">
        <v>265</v>
      </c>
      <c r="C194" s="268" t="s">
        <v>267</v>
      </c>
      <c r="D194" s="257">
        <v>3</v>
      </c>
      <c r="E194" s="179">
        <v>11</v>
      </c>
      <c r="F194" s="257">
        <v>13</v>
      </c>
      <c r="G194" s="257">
        <v>1</v>
      </c>
      <c r="J194" s="266"/>
      <c r="L194" s="257">
        <v>8</v>
      </c>
      <c r="N194" s="257">
        <v>3.4</v>
      </c>
      <c r="O194" s="159">
        <v>42191</v>
      </c>
      <c r="P194" s="144"/>
      <c r="R194" s="145"/>
      <c r="T194" s="257">
        <v>9.1300000000000008</v>
      </c>
      <c r="U194" s="256">
        <v>42200</v>
      </c>
      <c r="V194" s="145">
        <v>18.5</v>
      </c>
      <c r="W194" s="159">
        <v>42191</v>
      </c>
      <c r="X194" s="145"/>
      <c r="Z194" s="145"/>
      <c r="AB194" s="145"/>
      <c r="AD194" s="145">
        <f>(N194/V194)*(((100-CD194)/100)*((100-2)/100))*100</f>
        <v>16.569945945945946</v>
      </c>
      <c r="AF194" s="257">
        <v>18.940000000000001</v>
      </c>
      <c r="AG194" s="159">
        <v>42191</v>
      </c>
      <c r="AJ194" s="257">
        <v>95</v>
      </c>
      <c r="AL194" s="145"/>
      <c r="AN194" s="257">
        <v>101</v>
      </c>
      <c r="BB194" s="257">
        <v>7</v>
      </c>
      <c r="BN194" s="251">
        <v>64.578999999999994</v>
      </c>
      <c r="BO194" s="256">
        <v>42200</v>
      </c>
      <c r="BT194" s="251">
        <v>48.185066223144531</v>
      </c>
      <c r="BU194" s="256">
        <v>42200</v>
      </c>
      <c r="BV194" s="251">
        <v>22.309637069702148</v>
      </c>
      <c r="BW194" s="256">
        <v>42200</v>
      </c>
      <c r="BX194" s="251">
        <v>72.994</v>
      </c>
      <c r="BY194" s="256">
        <v>42200</v>
      </c>
      <c r="CD194" s="257">
        <v>8</v>
      </c>
      <c r="CE194" s="159">
        <v>42191</v>
      </c>
      <c r="CM194" s="255">
        <v>3</v>
      </c>
      <c r="CN194" s="256">
        <v>42180</v>
      </c>
      <c r="CO194" s="140" t="s">
        <v>8447</v>
      </c>
    </row>
    <row r="195" spans="1:93" ht="15" customHeight="1">
      <c r="A195" s="124" t="s">
        <v>7702</v>
      </c>
      <c r="B195" s="161" t="s">
        <v>7777</v>
      </c>
      <c r="C195" s="268" t="s">
        <v>269</v>
      </c>
      <c r="D195" s="257">
        <v>2</v>
      </c>
      <c r="E195" s="183">
        <v>116</v>
      </c>
      <c r="F195" s="257">
        <v>10</v>
      </c>
      <c r="G195" s="257">
        <v>15</v>
      </c>
      <c r="L195" s="257">
        <v>7</v>
      </c>
      <c r="N195" s="257">
        <v>3.36</v>
      </c>
      <c r="O195" s="159">
        <v>42191</v>
      </c>
      <c r="T195" s="257">
        <v>8.73</v>
      </c>
      <c r="U195" s="256">
        <v>42200</v>
      </c>
      <c r="V195" s="145">
        <v>18.5</v>
      </c>
      <c r="W195" s="159">
        <v>42191</v>
      </c>
      <c r="AD195" s="145">
        <f>(N195/V195)*(((100-CD195)/100)*((100-2)/100))*100</f>
        <v>16.606391351351352</v>
      </c>
      <c r="AF195" s="257">
        <v>18.98</v>
      </c>
      <c r="AG195" s="159">
        <v>42191</v>
      </c>
      <c r="AJ195" s="257">
        <v>110</v>
      </c>
      <c r="AN195" s="257">
        <v>108</v>
      </c>
      <c r="BB195" s="257">
        <v>9</v>
      </c>
      <c r="BN195" s="251">
        <v>67.432000000000002</v>
      </c>
      <c r="BO195" s="256">
        <v>42200</v>
      </c>
      <c r="BT195" s="251">
        <v>45.995391845703125</v>
      </c>
      <c r="BU195" s="256">
        <v>42200</v>
      </c>
      <c r="BV195" s="251">
        <v>20.00334358215332</v>
      </c>
      <c r="BW195" s="256">
        <v>42200</v>
      </c>
      <c r="BX195" s="251">
        <v>66.122</v>
      </c>
      <c r="BY195" s="256">
        <v>42200</v>
      </c>
      <c r="CD195" s="257">
        <v>6.7</v>
      </c>
      <c r="CE195" s="159">
        <v>42191</v>
      </c>
      <c r="CM195" s="255">
        <v>5</v>
      </c>
      <c r="CN195" s="256">
        <v>42180</v>
      </c>
      <c r="CO195" s="140" t="s">
        <v>8448</v>
      </c>
    </row>
    <row r="196" spans="1:93" ht="15" customHeight="1">
      <c r="A196" s="137" t="s">
        <v>8458</v>
      </c>
      <c r="B196" s="161" t="s">
        <v>8481</v>
      </c>
      <c r="C196" s="268" t="s">
        <v>267</v>
      </c>
      <c r="D196" s="269">
        <v>3</v>
      </c>
      <c r="E196" s="280">
        <v>9</v>
      </c>
      <c r="F196" s="269"/>
      <c r="G196" s="269"/>
      <c r="H196" s="271">
        <v>13</v>
      </c>
      <c r="I196" s="271">
        <v>3</v>
      </c>
      <c r="J196" s="282"/>
      <c r="K196" s="273"/>
      <c r="L196" s="269">
        <v>9</v>
      </c>
      <c r="M196" s="274"/>
      <c r="N196" s="269">
        <v>3.41</v>
      </c>
      <c r="O196" s="274">
        <v>42191</v>
      </c>
      <c r="P196" s="272"/>
      <c r="Q196" s="274"/>
      <c r="R196" s="275"/>
      <c r="S196" s="274"/>
      <c r="T196" s="269">
        <v>9.59</v>
      </c>
      <c r="U196" s="276">
        <v>42200</v>
      </c>
      <c r="V196" s="275">
        <v>18.5</v>
      </c>
      <c r="W196" s="274">
        <v>42191</v>
      </c>
      <c r="X196" s="275"/>
      <c r="Y196" s="274"/>
      <c r="Z196" s="275"/>
      <c r="AA196" s="274"/>
      <c r="AB196" s="275"/>
      <c r="AC196" s="274"/>
      <c r="AD196" s="145">
        <f>(N196/V196)*(((100-CD196)/100)*((100-2)/100))*100</f>
        <v>16.636744864864863</v>
      </c>
      <c r="AE196" s="274"/>
      <c r="AF196" s="269">
        <v>19.02</v>
      </c>
      <c r="AG196" s="274">
        <v>42191</v>
      </c>
      <c r="AH196" s="274"/>
      <c r="AI196" s="274"/>
      <c r="AJ196" s="269">
        <v>120</v>
      </c>
      <c r="AK196" s="274"/>
      <c r="AL196" s="275"/>
      <c r="AM196" s="274"/>
      <c r="AN196" s="269">
        <v>106</v>
      </c>
      <c r="AO196" s="274"/>
      <c r="AP196" s="275"/>
      <c r="AQ196" s="275"/>
      <c r="AR196" s="275"/>
      <c r="AS196" s="275"/>
      <c r="AT196" s="275"/>
      <c r="AU196" s="275"/>
      <c r="AV196" s="275"/>
      <c r="AW196" s="275"/>
      <c r="AX196" s="275"/>
      <c r="AY196" s="275"/>
      <c r="AZ196" s="275"/>
      <c r="BA196" s="275"/>
      <c r="BB196" s="269">
        <v>5</v>
      </c>
      <c r="BC196" s="275"/>
      <c r="BD196" s="275"/>
      <c r="BE196" s="275"/>
      <c r="BF196" s="272"/>
      <c r="BG196" s="272"/>
      <c r="BH196" s="272"/>
      <c r="BI196" s="272"/>
      <c r="BJ196" s="272"/>
      <c r="BK196" s="272"/>
      <c r="BL196" s="272"/>
      <c r="BM196" s="272"/>
      <c r="BN196" s="284">
        <v>61.271000000000001</v>
      </c>
      <c r="BO196" s="276">
        <v>42200</v>
      </c>
      <c r="BP196" s="272"/>
      <c r="BQ196" s="272"/>
      <c r="BR196" s="272"/>
      <c r="BS196" s="272"/>
      <c r="BT196" s="284">
        <v>50.42</v>
      </c>
      <c r="BU196" s="276">
        <v>42200</v>
      </c>
      <c r="BV196" s="284">
        <v>19.89177131652832</v>
      </c>
      <c r="BW196" s="276">
        <v>42200</v>
      </c>
      <c r="BX196" s="284">
        <v>61.253</v>
      </c>
      <c r="BY196" s="276">
        <v>42200</v>
      </c>
      <c r="BZ196" s="272"/>
      <c r="CA196" s="272"/>
      <c r="CB196" s="272"/>
      <c r="CC196" s="272"/>
      <c r="CD196" s="269">
        <v>7.9</v>
      </c>
      <c r="CE196" s="274">
        <v>42191</v>
      </c>
      <c r="CF196" s="272"/>
      <c r="CG196" s="272"/>
      <c r="CH196" s="272"/>
      <c r="CI196" s="272"/>
      <c r="CJ196" s="272"/>
      <c r="CK196" s="272"/>
      <c r="CL196" s="272"/>
      <c r="CM196" s="278">
        <v>5</v>
      </c>
      <c r="CN196" s="276">
        <v>42180</v>
      </c>
      <c r="CO196" s="272" t="s">
        <v>8447</v>
      </c>
    </row>
    <row r="197" spans="1:93" ht="15" customHeight="1">
      <c r="A197" s="124" t="s">
        <v>7665</v>
      </c>
      <c r="B197" s="161" t="s">
        <v>7514</v>
      </c>
      <c r="C197" s="268" t="s">
        <v>267</v>
      </c>
      <c r="D197" s="257">
        <v>3</v>
      </c>
      <c r="E197" s="183">
        <v>79</v>
      </c>
      <c r="F197" s="257">
        <v>16</v>
      </c>
      <c r="G197" s="257">
        <v>25</v>
      </c>
      <c r="L197" s="257">
        <v>1</v>
      </c>
      <c r="N197" s="257">
        <v>3.39</v>
      </c>
      <c r="O197" s="159">
        <v>42191</v>
      </c>
      <c r="T197" s="257">
        <v>9.1999999999999993</v>
      </c>
      <c r="U197" s="256">
        <v>42200</v>
      </c>
      <c r="V197" s="145">
        <v>18.5</v>
      </c>
      <c r="W197" s="159">
        <v>42191</v>
      </c>
      <c r="AD197" s="145">
        <f>(N197/V197)*(((100-CD197)/100)*((100-2)/100))*100</f>
        <v>16.646915675675679</v>
      </c>
      <c r="AF197" s="257">
        <f>(N197/V197)*(((100-CD197)/(100-9))*100)</f>
        <v>18.666646866646865</v>
      </c>
      <c r="AG197" s="159">
        <v>42191</v>
      </c>
      <c r="AJ197" s="257">
        <v>125</v>
      </c>
      <c r="AN197" s="257">
        <v>103</v>
      </c>
      <c r="BB197" s="257">
        <v>7</v>
      </c>
      <c r="BN197" s="251">
        <v>64.234999999999999</v>
      </c>
      <c r="BO197" s="256">
        <v>42200</v>
      </c>
      <c r="BT197" s="251">
        <v>48.358314514160156</v>
      </c>
      <c r="BU197" s="256">
        <v>42200</v>
      </c>
      <c r="BV197" s="251">
        <v>18.96318244934082</v>
      </c>
      <c r="BW197" s="256">
        <v>42200</v>
      </c>
      <c r="BX197" s="251">
        <v>21.245999999999999</v>
      </c>
      <c r="BY197" s="256">
        <v>42200</v>
      </c>
      <c r="CD197" s="257">
        <v>7.3</v>
      </c>
      <c r="CE197" s="159">
        <v>42191</v>
      </c>
      <c r="CM197" s="255">
        <v>1</v>
      </c>
      <c r="CN197" s="256">
        <v>42180</v>
      </c>
      <c r="CO197" s="140" t="s">
        <v>8447</v>
      </c>
    </row>
    <row r="198" spans="1:93" ht="15" customHeight="1">
      <c r="A198" s="137" t="s">
        <v>8453</v>
      </c>
      <c r="B198" s="161" t="s">
        <v>8476</v>
      </c>
      <c r="C198" s="268" t="s">
        <v>269</v>
      </c>
      <c r="D198" s="269">
        <v>1</v>
      </c>
      <c r="E198" s="280">
        <v>4</v>
      </c>
      <c r="F198" s="269"/>
      <c r="G198" s="269"/>
      <c r="H198" s="271">
        <v>6</v>
      </c>
      <c r="I198" s="271">
        <v>4</v>
      </c>
      <c r="J198" s="282"/>
      <c r="K198" s="273"/>
      <c r="L198" s="269">
        <v>9</v>
      </c>
      <c r="M198" s="274"/>
      <c r="N198" s="269">
        <v>3.39</v>
      </c>
      <c r="O198" s="274">
        <v>42191</v>
      </c>
      <c r="P198" s="272"/>
      <c r="Q198" s="274"/>
      <c r="R198" s="275"/>
      <c r="S198" s="274"/>
      <c r="T198" s="269">
        <v>9.27</v>
      </c>
      <c r="U198" s="276">
        <v>42200</v>
      </c>
      <c r="V198" s="275">
        <v>18.5</v>
      </c>
      <c r="W198" s="274">
        <v>42191</v>
      </c>
      <c r="X198" s="275"/>
      <c r="Y198" s="274"/>
      <c r="Z198" s="275"/>
      <c r="AA198" s="274"/>
      <c r="AB198" s="275"/>
      <c r="AC198" s="274"/>
      <c r="AD198" s="145">
        <f>(N198/V198)*(((100-CD198)/100)*((100-2)/100))*100</f>
        <v>16.664873513513516</v>
      </c>
      <c r="AE198" s="274"/>
      <c r="AF198" s="269">
        <v>19.05</v>
      </c>
      <c r="AG198" s="274">
        <v>42191</v>
      </c>
      <c r="AH198" s="274"/>
      <c r="AI198" s="274"/>
      <c r="AJ198" s="269">
        <v>145</v>
      </c>
      <c r="AK198" s="274"/>
      <c r="AL198" s="275"/>
      <c r="AM198" s="274"/>
      <c r="AN198" s="269">
        <v>95</v>
      </c>
      <c r="AO198" s="274"/>
      <c r="AP198" s="275"/>
      <c r="AQ198" s="275"/>
      <c r="AR198" s="275"/>
      <c r="AS198" s="275"/>
      <c r="AT198" s="275"/>
      <c r="AU198" s="275"/>
      <c r="AV198" s="275"/>
      <c r="AW198" s="275"/>
      <c r="AX198" s="275"/>
      <c r="AY198" s="275"/>
      <c r="AZ198" s="275"/>
      <c r="BA198" s="275"/>
      <c r="BB198" s="269">
        <v>5</v>
      </c>
      <c r="BC198" s="275"/>
      <c r="BD198" s="275"/>
      <c r="BE198" s="275"/>
      <c r="BF198" s="272"/>
      <c r="BG198" s="272"/>
      <c r="BH198" s="272"/>
      <c r="BI198" s="272"/>
      <c r="BJ198" s="272"/>
      <c r="BK198" s="272"/>
      <c r="BL198" s="272"/>
      <c r="BM198" s="272"/>
      <c r="BN198" s="284">
        <v>65.652000000000001</v>
      </c>
      <c r="BO198" s="276">
        <v>42200</v>
      </c>
      <c r="BP198" s="272"/>
      <c r="BQ198" s="272"/>
      <c r="BR198" s="272"/>
      <c r="BS198" s="272"/>
      <c r="BT198" s="284">
        <v>48.65</v>
      </c>
      <c r="BU198" s="276">
        <v>42200</v>
      </c>
      <c r="BV198" s="284">
        <v>20.62775993347168</v>
      </c>
      <c r="BW198" s="276">
        <v>42200</v>
      </c>
      <c r="BX198" s="284">
        <v>60.414999999999999</v>
      </c>
      <c r="BY198" s="276">
        <v>42200</v>
      </c>
      <c r="BZ198" s="272"/>
      <c r="CA198" s="272"/>
      <c r="CB198" s="272"/>
      <c r="CC198" s="272"/>
      <c r="CD198" s="269">
        <v>7.2</v>
      </c>
      <c r="CE198" s="274">
        <v>42191</v>
      </c>
      <c r="CF198" s="272"/>
      <c r="CG198" s="272"/>
      <c r="CH198" s="272"/>
      <c r="CI198" s="272"/>
      <c r="CJ198" s="272"/>
      <c r="CK198" s="272"/>
      <c r="CL198" s="272"/>
      <c r="CM198" s="278">
        <v>5</v>
      </c>
      <c r="CN198" s="276">
        <v>42180</v>
      </c>
      <c r="CO198" s="272" t="s">
        <v>8447</v>
      </c>
    </row>
    <row r="199" spans="1:93" ht="15" customHeight="1">
      <c r="A199" s="137" t="s">
        <v>8461</v>
      </c>
      <c r="B199" s="161" t="s">
        <v>8484</v>
      </c>
      <c r="C199" s="268" t="s">
        <v>269</v>
      </c>
      <c r="D199" s="269">
        <v>2</v>
      </c>
      <c r="E199" s="280">
        <v>12</v>
      </c>
      <c r="F199" s="269"/>
      <c r="G199" s="269"/>
      <c r="H199" s="271">
        <v>7</v>
      </c>
      <c r="I199" s="271">
        <v>4</v>
      </c>
      <c r="J199" s="282"/>
      <c r="K199" s="273"/>
      <c r="L199" s="269">
        <v>8</v>
      </c>
      <c r="M199" s="274"/>
      <c r="N199" s="269">
        <v>3.4</v>
      </c>
      <c r="O199" s="274">
        <v>42191</v>
      </c>
      <c r="P199" s="272"/>
      <c r="Q199" s="274"/>
      <c r="R199" s="275"/>
      <c r="S199" s="274"/>
      <c r="T199" s="269">
        <v>9.49</v>
      </c>
      <c r="U199" s="276">
        <v>42200</v>
      </c>
      <c r="V199" s="275">
        <v>18.5</v>
      </c>
      <c r="W199" s="274">
        <v>42191</v>
      </c>
      <c r="X199" s="275"/>
      <c r="Y199" s="274"/>
      <c r="Z199" s="275"/>
      <c r="AA199" s="274"/>
      <c r="AB199" s="275"/>
      <c r="AC199" s="274"/>
      <c r="AD199" s="145">
        <f>(N199/V199)*(((100-CD199)/100)*((100-2)/100))*100</f>
        <v>16.714032432432429</v>
      </c>
      <c r="AE199" s="274"/>
      <c r="AF199" s="269">
        <v>19.11</v>
      </c>
      <c r="AG199" s="274">
        <v>42191</v>
      </c>
      <c r="AH199" s="274"/>
      <c r="AI199" s="274"/>
      <c r="AJ199" s="269">
        <v>155</v>
      </c>
      <c r="AK199" s="274"/>
      <c r="AL199" s="275"/>
      <c r="AM199" s="274"/>
      <c r="AN199" s="269">
        <v>102</v>
      </c>
      <c r="AO199" s="274"/>
      <c r="AP199" s="275"/>
      <c r="AQ199" s="275"/>
      <c r="AR199" s="275"/>
      <c r="AS199" s="275"/>
      <c r="AT199" s="275"/>
      <c r="AU199" s="275"/>
      <c r="AV199" s="275"/>
      <c r="AW199" s="275"/>
      <c r="AX199" s="275"/>
      <c r="AY199" s="275"/>
      <c r="AZ199" s="275"/>
      <c r="BA199" s="275"/>
      <c r="BB199" s="269">
        <v>5</v>
      </c>
      <c r="BC199" s="275"/>
      <c r="BD199" s="275"/>
      <c r="BE199" s="275"/>
      <c r="BF199" s="272"/>
      <c r="BG199" s="272"/>
      <c r="BH199" s="272"/>
      <c r="BI199" s="272"/>
      <c r="BJ199" s="272"/>
      <c r="BK199" s="272"/>
      <c r="BL199" s="272"/>
      <c r="BM199" s="272"/>
      <c r="BN199" s="284">
        <v>62.421999999999997</v>
      </c>
      <c r="BO199" s="276">
        <v>42200</v>
      </c>
      <c r="BP199" s="272"/>
      <c r="BQ199" s="272"/>
      <c r="BR199" s="272"/>
      <c r="BS199" s="272"/>
      <c r="BT199" s="284">
        <v>49.65</v>
      </c>
      <c r="BU199" s="276">
        <v>42200</v>
      </c>
      <c r="BV199" s="284">
        <v>20.951807022094727</v>
      </c>
      <c r="BW199" s="276">
        <v>42200</v>
      </c>
      <c r="BX199" s="284">
        <v>70.143000000000001</v>
      </c>
      <c r="BY199" s="276">
        <v>42200</v>
      </c>
      <c r="BZ199" s="272"/>
      <c r="CA199" s="272"/>
      <c r="CB199" s="272"/>
      <c r="CC199" s="272"/>
      <c r="CD199" s="269">
        <v>7.2</v>
      </c>
      <c r="CE199" s="274">
        <v>42191</v>
      </c>
      <c r="CF199" s="272"/>
      <c r="CG199" s="272"/>
      <c r="CH199" s="272"/>
      <c r="CI199" s="272"/>
      <c r="CJ199" s="272"/>
      <c r="CK199" s="272"/>
      <c r="CL199" s="272"/>
      <c r="CM199" s="278">
        <v>5</v>
      </c>
      <c r="CN199" s="276">
        <v>42180</v>
      </c>
      <c r="CO199" s="272" t="s">
        <v>8447</v>
      </c>
    </row>
    <row r="200" spans="1:93" ht="15" customHeight="1">
      <c r="A200" s="124" t="s">
        <v>7675</v>
      </c>
      <c r="B200" s="161" t="s">
        <v>7524</v>
      </c>
      <c r="C200" s="268" t="s">
        <v>267</v>
      </c>
      <c r="D200" s="257">
        <v>3</v>
      </c>
      <c r="E200" s="183">
        <v>89</v>
      </c>
      <c r="F200" s="257">
        <v>14</v>
      </c>
      <c r="G200" s="257">
        <v>29</v>
      </c>
      <c r="L200" s="257">
        <v>5</v>
      </c>
      <c r="N200" s="257">
        <v>3.41</v>
      </c>
      <c r="O200" s="159">
        <v>42191</v>
      </c>
      <c r="T200" s="257">
        <v>9.89</v>
      </c>
      <c r="U200" s="256">
        <v>42200</v>
      </c>
      <c r="V200" s="145">
        <v>18.5</v>
      </c>
      <c r="W200" s="159">
        <v>42191</v>
      </c>
      <c r="AD200" s="145">
        <f>(N200/V200)*(((100-CD200)/100)*((100-2)/100))*100</f>
        <v>16.799318918918917</v>
      </c>
      <c r="AF200" s="257">
        <v>19.2</v>
      </c>
      <c r="AG200" s="159">
        <v>42191</v>
      </c>
      <c r="AJ200" s="257">
        <v>90</v>
      </c>
      <c r="AN200" s="257">
        <v>101</v>
      </c>
      <c r="BB200" s="257">
        <v>5</v>
      </c>
      <c r="BN200" s="251">
        <v>64.944999999999993</v>
      </c>
      <c r="BO200" s="256">
        <v>42200</v>
      </c>
      <c r="BT200" s="251">
        <v>51.488449096679688</v>
      </c>
      <c r="BU200" s="256">
        <v>42200</v>
      </c>
      <c r="BV200" s="251">
        <v>17.475532531738281</v>
      </c>
      <c r="BW200" s="256">
        <v>42200</v>
      </c>
      <c r="BX200" s="251">
        <v>11.699</v>
      </c>
      <c r="BY200" s="256">
        <v>42200</v>
      </c>
      <c r="CD200" s="257">
        <v>7</v>
      </c>
      <c r="CE200" s="159">
        <v>42191</v>
      </c>
      <c r="CM200" s="255">
        <v>7</v>
      </c>
      <c r="CN200" s="256">
        <v>42180</v>
      </c>
      <c r="CO200" s="140" t="s">
        <v>8447</v>
      </c>
    </row>
    <row r="201" spans="1:93" ht="15" customHeight="1">
      <c r="A201" s="124" t="s">
        <v>7603</v>
      </c>
      <c r="B201" s="161" t="s">
        <v>7772</v>
      </c>
      <c r="C201" s="268" t="s">
        <v>269</v>
      </c>
      <c r="D201" s="257">
        <v>2</v>
      </c>
      <c r="E201" s="183">
        <v>17</v>
      </c>
      <c r="F201" s="257">
        <v>11</v>
      </c>
      <c r="G201" s="257">
        <v>18</v>
      </c>
      <c r="J201" s="266"/>
      <c r="L201" s="257">
        <v>8</v>
      </c>
      <c r="N201" s="257">
        <v>3.4</v>
      </c>
      <c r="O201" s="159">
        <v>42191</v>
      </c>
      <c r="P201" s="144"/>
      <c r="R201" s="145"/>
      <c r="T201" s="257">
        <v>9.8000000000000007</v>
      </c>
      <c r="U201" s="256">
        <v>42200</v>
      </c>
      <c r="V201" s="145">
        <v>18.5</v>
      </c>
      <c r="W201" s="159">
        <v>42191</v>
      </c>
      <c r="X201" s="145"/>
      <c r="Z201" s="145"/>
      <c r="AB201" s="145"/>
      <c r="AD201" s="145">
        <f>(N201/V201)*(((100-CD201)/100)*((100-2)/100))*100</f>
        <v>16.804086486486483</v>
      </c>
      <c r="AF201" s="257">
        <v>19.21</v>
      </c>
      <c r="AG201" s="159">
        <v>42191</v>
      </c>
      <c r="AJ201" s="257">
        <v>150</v>
      </c>
      <c r="AL201" s="145"/>
      <c r="AN201" s="257">
        <v>104</v>
      </c>
      <c r="BB201" s="257">
        <v>7</v>
      </c>
      <c r="BN201" s="251">
        <v>65.903000000000006</v>
      </c>
      <c r="BO201" s="256">
        <v>42200</v>
      </c>
      <c r="BT201" s="251">
        <v>50.987323760986328</v>
      </c>
      <c r="BU201" s="256">
        <v>42200</v>
      </c>
      <c r="BV201" s="251">
        <v>16.831809997558594</v>
      </c>
      <c r="BW201" s="256">
        <v>42200</v>
      </c>
      <c r="BX201" s="251">
        <v>54.609000000000002</v>
      </c>
      <c r="BY201" s="256">
        <v>42200</v>
      </c>
      <c r="CD201" s="257">
        <v>6.7</v>
      </c>
      <c r="CE201" s="159">
        <v>42191</v>
      </c>
      <c r="CM201" s="255">
        <v>3</v>
      </c>
      <c r="CN201" s="256">
        <v>42180</v>
      </c>
      <c r="CO201" s="140" t="s">
        <v>8448</v>
      </c>
    </row>
    <row r="202" spans="1:93" ht="15" customHeight="1">
      <c r="A202" s="124" t="s">
        <v>7654</v>
      </c>
      <c r="B202" s="161" t="s">
        <v>264</v>
      </c>
      <c r="C202" s="268" t="s">
        <v>267</v>
      </c>
      <c r="D202" s="257">
        <v>3</v>
      </c>
      <c r="E202" s="183">
        <v>68</v>
      </c>
      <c r="F202" s="257">
        <v>16</v>
      </c>
      <c r="G202" s="257">
        <v>7</v>
      </c>
      <c r="L202" s="257">
        <v>3</v>
      </c>
      <c r="N202" s="257">
        <v>3.46</v>
      </c>
      <c r="O202" s="159">
        <v>42191</v>
      </c>
      <c r="T202" s="257">
        <v>9.69</v>
      </c>
      <c r="U202" s="256">
        <v>42200</v>
      </c>
      <c r="V202" s="145">
        <v>18.5</v>
      </c>
      <c r="W202" s="159">
        <v>42191</v>
      </c>
      <c r="AD202" s="145">
        <f>(N202/V202)*(((100-CD202)/100)*((100-2)/100))*100</f>
        <v>16.899014054054053</v>
      </c>
      <c r="AF202" s="257">
        <v>19.32</v>
      </c>
      <c r="AG202" s="159">
        <v>42191</v>
      </c>
      <c r="AJ202" s="257">
        <v>90</v>
      </c>
      <c r="AN202" s="257">
        <v>101</v>
      </c>
      <c r="BB202" s="257">
        <v>5</v>
      </c>
      <c r="BN202" s="251">
        <v>66.459999999999994</v>
      </c>
      <c r="BO202" s="256">
        <v>42200</v>
      </c>
      <c r="BT202" s="251">
        <v>50.129547119140625</v>
      </c>
      <c r="BU202" s="256">
        <v>42200</v>
      </c>
      <c r="BV202" s="251">
        <v>17.997940063476562</v>
      </c>
      <c r="BW202" s="256">
        <v>42200</v>
      </c>
      <c r="BX202" s="251">
        <v>22.260999999999999</v>
      </c>
      <c r="BY202" s="256">
        <v>42200</v>
      </c>
      <c r="CD202" s="257">
        <v>7.8</v>
      </c>
      <c r="CE202" s="159">
        <v>42191</v>
      </c>
      <c r="CM202" s="255">
        <v>5</v>
      </c>
      <c r="CN202" s="256">
        <v>42180</v>
      </c>
      <c r="CO202" s="140" t="s">
        <v>8447</v>
      </c>
    </row>
    <row r="203" spans="1:93" ht="15" customHeight="1">
      <c r="A203" s="124" t="s">
        <v>7657</v>
      </c>
      <c r="B203" s="161" t="s">
        <v>7506</v>
      </c>
      <c r="C203" s="268" t="s">
        <v>267</v>
      </c>
      <c r="D203" s="257">
        <v>3</v>
      </c>
      <c r="E203" s="183">
        <v>71</v>
      </c>
      <c r="F203" s="257">
        <v>15</v>
      </c>
      <c r="G203" s="257">
        <v>19</v>
      </c>
      <c r="L203" s="257">
        <v>3</v>
      </c>
      <c r="N203" s="257">
        <v>3.44</v>
      </c>
      <c r="O203" s="159">
        <v>42191</v>
      </c>
      <c r="T203" s="257">
        <v>9.58</v>
      </c>
      <c r="U203" s="256">
        <v>42200</v>
      </c>
      <c r="V203" s="145">
        <v>18.5</v>
      </c>
      <c r="W203" s="159">
        <v>42191</v>
      </c>
      <c r="AD203" s="145">
        <f>(N203/V203)*(((100-CD203)/100)*((100-2)/100))*100</f>
        <v>16.910668108108105</v>
      </c>
      <c r="AF203" s="257">
        <v>19.329999999999998</v>
      </c>
      <c r="AG203" s="159">
        <v>42191</v>
      </c>
      <c r="AJ203" s="257">
        <v>115</v>
      </c>
      <c r="AN203" s="257">
        <v>106</v>
      </c>
      <c r="BB203" s="257">
        <v>9</v>
      </c>
      <c r="BN203" s="251">
        <v>64.945999999999998</v>
      </c>
      <c r="BO203" s="256">
        <v>42200</v>
      </c>
      <c r="BT203" s="251">
        <v>49.548267364501953</v>
      </c>
      <c r="BU203" s="256">
        <v>42200</v>
      </c>
      <c r="BV203" s="251">
        <v>17.628580093383789</v>
      </c>
      <c r="BW203" s="256">
        <v>42200</v>
      </c>
      <c r="BX203" s="251">
        <v>19.155000000000001</v>
      </c>
      <c r="BY203" s="256">
        <v>42200</v>
      </c>
      <c r="CD203" s="257">
        <v>7.2</v>
      </c>
      <c r="CE203" s="159">
        <v>42191</v>
      </c>
      <c r="CM203" s="255">
        <v>3</v>
      </c>
      <c r="CN203" s="256">
        <v>42180</v>
      </c>
      <c r="CO203" s="140" t="s">
        <v>8447</v>
      </c>
    </row>
    <row r="204" spans="1:93" ht="15">
      <c r="A204" s="124" t="s">
        <v>7623</v>
      </c>
      <c r="B204" s="161" t="s">
        <v>7476</v>
      </c>
      <c r="C204" s="268" t="s">
        <v>267</v>
      </c>
      <c r="D204" s="243">
        <v>4</v>
      </c>
      <c r="E204" s="183">
        <v>37</v>
      </c>
      <c r="F204" s="244">
        <v>23</v>
      </c>
      <c r="G204" s="245">
        <v>30</v>
      </c>
      <c r="L204" s="254">
        <v>3</v>
      </c>
      <c r="N204" s="246">
        <v>3.43</v>
      </c>
      <c r="O204" s="159">
        <v>42191</v>
      </c>
      <c r="T204" s="247">
        <v>9.59</v>
      </c>
      <c r="U204" s="256">
        <v>42200</v>
      </c>
      <c r="V204" s="145">
        <v>18.5</v>
      </c>
      <c r="W204" s="159">
        <v>42191</v>
      </c>
      <c r="AD204" s="145">
        <f>(N204/V204)*(((100-CD204)/100)*((100-2)/100))*100</f>
        <v>16.916018378378382</v>
      </c>
      <c r="AF204" s="257">
        <v>19.34</v>
      </c>
      <c r="AG204" s="159">
        <v>42191</v>
      </c>
      <c r="AJ204" s="249">
        <v>130</v>
      </c>
      <c r="AN204" s="250">
        <v>103</v>
      </c>
      <c r="BB204" s="257">
        <v>7</v>
      </c>
      <c r="BN204" s="251">
        <v>60.570999999999998</v>
      </c>
      <c r="BO204" s="256">
        <v>42200</v>
      </c>
      <c r="BT204" s="251">
        <v>49.589317321777344</v>
      </c>
      <c r="BU204" s="256">
        <v>42200</v>
      </c>
      <c r="BV204" s="251">
        <v>18.741632461547852</v>
      </c>
      <c r="BW204" s="256">
        <v>42200</v>
      </c>
      <c r="BX204" s="251">
        <v>24.004999999999999</v>
      </c>
      <c r="BY204" s="256">
        <v>42200</v>
      </c>
      <c r="CD204" s="253">
        <v>6.9</v>
      </c>
      <c r="CE204" s="159">
        <v>42191</v>
      </c>
      <c r="CM204" s="255">
        <v>5</v>
      </c>
      <c r="CN204" s="256">
        <v>42180</v>
      </c>
      <c r="CO204" s="140" t="s">
        <v>8447</v>
      </c>
    </row>
    <row r="205" spans="1:93" ht="15" customHeight="1">
      <c r="A205" s="124" t="s">
        <v>7658</v>
      </c>
      <c r="B205" s="161" t="s">
        <v>7507</v>
      </c>
      <c r="C205" s="268" t="s">
        <v>267</v>
      </c>
      <c r="D205" s="257">
        <v>3</v>
      </c>
      <c r="E205" s="183">
        <v>72</v>
      </c>
      <c r="F205" s="257">
        <v>17</v>
      </c>
      <c r="G205" s="257">
        <v>32</v>
      </c>
      <c r="L205" s="257">
        <v>3</v>
      </c>
      <c r="N205" s="257">
        <v>3.44</v>
      </c>
      <c r="O205" s="159">
        <v>42191</v>
      </c>
      <c r="T205" s="257">
        <v>9.9600000000000009</v>
      </c>
      <c r="U205" s="256">
        <v>42200</v>
      </c>
      <c r="V205" s="145">
        <v>18.5</v>
      </c>
      <c r="W205" s="159">
        <v>42191</v>
      </c>
      <c r="AD205" s="145">
        <f>(N205/V205)*(((100-CD205)/100)*((100-2)/100))*100</f>
        <v>16.92889081081081</v>
      </c>
      <c r="AF205" s="257">
        <v>19.350000000000001</v>
      </c>
      <c r="AG205" s="159">
        <v>42191</v>
      </c>
      <c r="AJ205" s="257">
        <v>115</v>
      </c>
      <c r="AN205" s="257">
        <v>102</v>
      </c>
      <c r="BB205" s="257">
        <v>7</v>
      </c>
      <c r="BN205" s="251">
        <v>65.486999999999995</v>
      </c>
      <c r="BO205" s="256">
        <v>42200</v>
      </c>
      <c r="BT205" s="251">
        <v>51.473350524902344</v>
      </c>
      <c r="BU205" s="256">
        <v>42200</v>
      </c>
      <c r="BV205" s="251">
        <v>18.318721771240234</v>
      </c>
      <c r="BW205" s="256">
        <v>42200</v>
      </c>
      <c r="BX205" s="251">
        <v>18.033999999999999</v>
      </c>
      <c r="BY205" s="256">
        <v>42200</v>
      </c>
      <c r="CD205" s="257">
        <v>7.1</v>
      </c>
      <c r="CE205" s="159">
        <v>42191</v>
      </c>
      <c r="CM205" s="255">
        <v>3</v>
      </c>
      <c r="CN205" s="256">
        <v>42180</v>
      </c>
      <c r="CO205" s="140" t="s">
        <v>8447</v>
      </c>
    </row>
    <row r="206" spans="1:93" ht="15">
      <c r="A206" s="124" t="s">
        <v>7622</v>
      </c>
      <c r="B206" s="161" t="s">
        <v>7475</v>
      </c>
      <c r="C206" s="268" t="s">
        <v>267</v>
      </c>
      <c r="D206" s="243">
        <v>3</v>
      </c>
      <c r="E206" s="183">
        <v>36</v>
      </c>
      <c r="F206" s="244">
        <v>17</v>
      </c>
      <c r="G206" s="245">
        <v>20</v>
      </c>
      <c r="L206" s="254">
        <v>8</v>
      </c>
      <c r="N206" s="246">
        <v>3.46</v>
      </c>
      <c r="O206" s="159">
        <v>42191</v>
      </c>
      <c r="T206" s="247">
        <v>8.91</v>
      </c>
      <c r="U206" s="256">
        <v>42200</v>
      </c>
      <c r="V206" s="145">
        <v>18.5</v>
      </c>
      <c r="W206" s="159">
        <v>42191</v>
      </c>
      <c r="AD206" s="145">
        <f>(N206/V206)*(((100-CD206)/100)*((100-2)/100))*100</f>
        <v>16.935671351351353</v>
      </c>
      <c r="AF206" s="257">
        <v>19.36</v>
      </c>
      <c r="AG206" s="159">
        <v>42191</v>
      </c>
      <c r="AJ206" s="249">
        <v>125</v>
      </c>
      <c r="AN206" s="250">
        <v>104</v>
      </c>
      <c r="BB206" s="257">
        <v>7</v>
      </c>
      <c r="BN206" s="251">
        <v>63.673000000000002</v>
      </c>
      <c r="BO206" s="256">
        <v>42200</v>
      </c>
      <c r="BT206" s="251">
        <v>46.018836975097656</v>
      </c>
      <c r="BU206" s="256">
        <v>42200</v>
      </c>
      <c r="BV206" s="251">
        <v>19.717830657958984</v>
      </c>
      <c r="BW206" s="256">
        <v>42200</v>
      </c>
      <c r="BX206" s="251">
        <v>58.865000000000002</v>
      </c>
      <c r="BY206" s="256">
        <v>42200</v>
      </c>
      <c r="CD206" s="253">
        <v>7.6</v>
      </c>
      <c r="CE206" s="159">
        <v>42191</v>
      </c>
      <c r="CM206" s="255">
        <v>5</v>
      </c>
      <c r="CN206" s="256">
        <v>42180</v>
      </c>
      <c r="CO206" s="140" t="s">
        <v>8447</v>
      </c>
    </row>
    <row r="207" spans="1:93" ht="15" customHeight="1">
      <c r="A207" s="137" t="s">
        <v>8470</v>
      </c>
      <c r="B207" s="161" t="s">
        <v>8493</v>
      </c>
      <c r="C207" s="268" t="s">
        <v>269</v>
      </c>
      <c r="D207" s="269">
        <v>2</v>
      </c>
      <c r="E207" s="280">
        <v>21</v>
      </c>
      <c r="F207" s="269"/>
      <c r="G207" s="269"/>
      <c r="H207" s="271">
        <v>7</v>
      </c>
      <c r="I207" s="271">
        <v>2</v>
      </c>
      <c r="J207" s="282"/>
      <c r="K207" s="273"/>
      <c r="L207" s="269">
        <v>6</v>
      </c>
      <c r="M207" s="274"/>
      <c r="N207" s="269">
        <v>3.46</v>
      </c>
      <c r="O207" s="274">
        <v>42191</v>
      </c>
      <c r="P207" s="272"/>
      <c r="Q207" s="274"/>
      <c r="R207" s="275"/>
      <c r="S207" s="274"/>
      <c r="T207" s="269">
        <v>9.74</v>
      </c>
      <c r="U207" s="276">
        <v>42200</v>
      </c>
      <c r="V207" s="275">
        <v>18.5</v>
      </c>
      <c r="W207" s="274">
        <v>42191</v>
      </c>
      <c r="X207" s="275"/>
      <c r="Y207" s="274"/>
      <c r="Z207" s="275"/>
      <c r="AA207" s="274"/>
      <c r="AB207" s="275"/>
      <c r="AC207" s="274"/>
      <c r="AD207" s="145">
        <f>(N207/V207)*(((100-CD207)/100)*((100-2)/100))*100</f>
        <v>16.954000000000001</v>
      </c>
      <c r="AE207" s="274"/>
      <c r="AF207" s="269">
        <v>19.38</v>
      </c>
      <c r="AG207" s="274">
        <v>42191</v>
      </c>
      <c r="AH207" s="274"/>
      <c r="AI207" s="274"/>
      <c r="AJ207" s="269">
        <v>135</v>
      </c>
      <c r="AK207" s="274"/>
      <c r="AL207" s="275"/>
      <c r="AM207" s="274"/>
      <c r="AN207" s="269">
        <v>103</v>
      </c>
      <c r="AO207" s="274"/>
      <c r="AP207" s="275"/>
      <c r="AQ207" s="275"/>
      <c r="AR207" s="275"/>
      <c r="AS207" s="275"/>
      <c r="AT207" s="275"/>
      <c r="AU207" s="275"/>
      <c r="AV207" s="275"/>
      <c r="AW207" s="275"/>
      <c r="AX207" s="275"/>
      <c r="AY207" s="275"/>
      <c r="AZ207" s="275"/>
      <c r="BA207" s="275"/>
      <c r="BB207" s="269">
        <v>7</v>
      </c>
      <c r="BC207" s="275"/>
      <c r="BD207" s="275"/>
      <c r="BE207" s="275"/>
      <c r="BF207" s="272"/>
      <c r="BG207" s="272"/>
      <c r="BH207" s="272"/>
      <c r="BI207" s="272"/>
      <c r="BJ207" s="272"/>
      <c r="BK207" s="272"/>
      <c r="BL207" s="272"/>
      <c r="BM207" s="272"/>
      <c r="BN207" s="284">
        <v>64.48</v>
      </c>
      <c r="BO207" s="276">
        <v>42200</v>
      </c>
      <c r="BP207" s="272"/>
      <c r="BQ207" s="272"/>
      <c r="BR207" s="272"/>
      <c r="BS207" s="272"/>
      <c r="BT207" s="284">
        <v>50.27</v>
      </c>
      <c r="BU207" s="276">
        <v>42200</v>
      </c>
      <c r="BV207" s="284">
        <v>19.456302642822266</v>
      </c>
      <c r="BW207" s="276">
        <v>42200</v>
      </c>
      <c r="BX207" s="284">
        <v>65.903000000000006</v>
      </c>
      <c r="BY207" s="276">
        <v>42200</v>
      </c>
      <c r="BZ207" s="272"/>
      <c r="CA207" s="272"/>
      <c r="CB207" s="272"/>
      <c r="CC207" s="272"/>
      <c r="CD207" s="269">
        <v>7.5</v>
      </c>
      <c r="CE207" s="274">
        <v>42191</v>
      </c>
      <c r="CF207" s="272"/>
      <c r="CG207" s="272"/>
      <c r="CH207" s="272"/>
      <c r="CI207" s="272"/>
      <c r="CJ207" s="272"/>
      <c r="CK207" s="272"/>
      <c r="CL207" s="272"/>
      <c r="CM207" s="278">
        <v>5</v>
      </c>
      <c r="CN207" s="276">
        <v>42180</v>
      </c>
      <c r="CO207" s="272" t="s">
        <v>8447</v>
      </c>
    </row>
    <row r="208" spans="1:93" ht="15">
      <c r="A208" s="124" t="s">
        <v>7524</v>
      </c>
      <c r="B208" s="161" t="s">
        <v>7524</v>
      </c>
      <c r="C208" s="268" t="s">
        <v>267</v>
      </c>
      <c r="D208" s="243">
        <v>3</v>
      </c>
      <c r="E208" s="191">
        <v>188</v>
      </c>
      <c r="F208" s="244">
        <v>18</v>
      </c>
      <c r="G208" s="245">
        <v>10</v>
      </c>
      <c r="L208" s="254">
        <v>5</v>
      </c>
      <c r="N208" s="246">
        <v>3.49</v>
      </c>
      <c r="O208" s="159">
        <v>42191</v>
      </c>
      <c r="T208" s="247">
        <v>9.8800000000000008</v>
      </c>
      <c r="U208" s="256">
        <v>42200</v>
      </c>
      <c r="V208" s="145">
        <v>18.5</v>
      </c>
      <c r="W208" s="159">
        <v>42191</v>
      </c>
      <c r="AD208" s="145">
        <f>(N208/V208)*(((100-CD208)/100)*((100-2)/100))*100</f>
        <v>16.990074594594596</v>
      </c>
      <c r="AF208" s="257">
        <v>19.420000000000002</v>
      </c>
      <c r="AG208" s="159">
        <v>42191</v>
      </c>
      <c r="AJ208" s="249">
        <v>105</v>
      </c>
      <c r="AN208" s="250">
        <v>100</v>
      </c>
      <c r="BB208" s="257">
        <v>7</v>
      </c>
      <c r="BN208" s="251">
        <v>64.864000000000004</v>
      </c>
      <c r="BO208" s="256">
        <v>42200</v>
      </c>
      <c r="BT208" s="251">
        <v>50.865684509277344</v>
      </c>
      <c r="BU208" s="256">
        <v>42200</v>
      </c>
      <c r="BV208" s="251">
        <v>18.169229507446289</v>
      </c>
      <c r="BW208" s="256">
        <v>42200</v>
      </c>
      <c r="BX208" s="251">
        <v>15.26</v>
      </c>
      <c r="BY208" s="256">
        <v>42200</v>
      </c>
      <c r="CD208" s="253">
        <v>8.1</v>
      </c>
      <c r="CE208" s="159">
        <v>42191</v>
      </c>
      <c r="CM208" s="255">
        <v>3</v>
      </c>
      <c r="CN208" s="256">
        <v>42180</v>
      </c>
      <c r="CO208" s="140" t="s">
        <v>8447</v>
      </c>
    </row>
    <row r="209" spans="1:93" ht="15" customHeight="1">
      <c r="A209" s="124" t="s">
        <v>7633</v>
      </c>
      <c r="B209" s="161" t="s">
        <v>7486</v>
      </c>
      <c r="C209" s="268" t="s">
        <v>267</v>
      </c>
      <c r="D209" s="257">
        <v>3</v>
      </c>
      <c r="E209" s="183">
        <v>47</v>
      </c>
      <c r="F209" s="257">
        <v>17</v>
      </c>
      <c r="G209" s="257">
        <v>12</v>
      </c>
      <c r="L209" s="257">
        <v>7</v>
      </c>
      <c r="N209" s="257">
        <v>3.54</v>
      </c>
      <c r="O209" s="159">
        <v>42191</v>
      </c>
      <c r="T209" s="257">
        <v>9.93</v>
      </c>
      <c r="U209" s="256">
        <v>42200</v>
      </c>
      <c r="V209" s="145">
        <v>18.5</v>
      </c>
      <c r="W209" s="159">
        <v>42191</v>
      </c>
      <c r="AD209" s="145">
        <f>(N209/V209)*(((100-CD209)/100)*((100-2)/100))*100</f>
        <v>17.027208648648646</v>
      </c>
      <c r="AF209" s="257">
        <v>19.46</v>
      </c>
      <c r="AG209" s="159">
        <v>42191</v>
      </c>
      <c r="AJ209" s="257">
        <v>115</v>
      </c>
      <c r="AN209" s="257">
        <v>103</v>
      </c>
      <c r="BB209" s="257">
        <v>7</v>
      </c>
      <c r="BN209" s="251">
        <v>63.966000000000001</v>
      </c>
      <c r="BO209" s="256">
        <v>42200</v>
      </c>
      <c r="BT209" s="251">
        <v>51.053047180175781</v>
      </c>
      <c r="BU209" s="256">
        <v>42200</v>
      </c>
      <c r="BV209" s="251">
        <v>17.282524108886719</v>
      </c>
      <c r="BW209" s="256">
        <v>42200</v>
      </c>
      <c r="BX209" s="251">
        <v>18.398</v>
      </c>
      <c r="BY209" s="256">
        <v>42200</v>
      </c>
      <c r="CD209" s="257">
        <v>9.1999999999999993</v>
      </c>
      <c r="CE209" s="159">
        <v>42191</v>
      </c>
      <c r="CM209" s="255">
        <v>3</v>
      </c>
      <c r="CN209" s="256">
        <v>42180</v>
      </c>
      <c r="CO209" s="140" t="s">
        <v>8447</v>
      </c>
    </row>
    <row r="210" spans="1:93" ht="15" customHeight="1">
      <c r="A210" s="137" t="s">
        <v>8452</v>
      </c>
      <c r="B210" s="161" t="s">
        <v>8475</v>
      </c>
      <c r="C210" s="268" t="s">
        <v>267</v>
      </c>
      <c r="D210" s="269">
        <v>4</v>
      </c>
      <c r="E210" s="280">
        <v>3</v>
      </c>
      <c r="F210" s="269"/>
      <c r="G210" s="269"/>
      <c r="H210" s="271">
        <v>20</v>
      </c>
      <c r="I210" s="271">
        <v>3</v>
      </c>
      <c r="J210" s="282"/>
      <c r="K210" s="273"/>
      <c r="L210" s="269">
        <v>9</v>
      </c>
      <c r="M210" s="274"/>
      <c r="N210" s="269">
        <v>3.5</v>
      </c>
      <c r="O210" s="274">
        <v>42191</v>
      </c>
      <c r="P210" s="272"/>
      <c r="Q210" s="274"/>
      <c r="R210" s="275"/>
      <c r="S210" s="274"/>
      <c r="T210" s="269">
        <v>9.64</v>
      </c>
      <c r="U210" s="276">
        <v>42200</v>
      </c>
      <c r="V210" s="275">
        <v>18.5</v>
      </c>
      <c r="W210" s="274">
        <v>42191</v>
      </c>
      <c r="X210" s="275"/>
      <c r="Y210" s="274"/>
      <c r="Z210" s="275"/>
      <c r="AA210" s="274"/>
      <c r="AB210" s="275"/>
      <c r="AC210" s="274"/>
      <c r="AD210" s="145">
        <f>(N210/V210)*(((100-CD210)/100)*((100-2)/100))*100</f>
        <v>17.0572972972973</v>
      </c>
      <c r="AE210" s="274"/>
      <c r="AF210" s="269">
        <v>19.5</v>
      </c>
      <c r="AG210" s="274">
        <v>42191</v>
      </c>
      <c r="AH210" s="274"/>
      <c r="AI210" s="274"/>
      <c r="AJ210" s="269">
        <v>130</v>
      </c>
      <c r="AK210" s="274"/>
      <c r="AL210" s="275"/>
      <c r="AM210" s="274"/>
      <c r="AN210" s="269">
        <v>95</v>
      </c>
      <c r="AO210" s="274"/>
      <c r="AP210" s="275"/>
      <c r="AQ210" s="275"/>
      <c r="AR210" s="275"/>
      <c r="AS210" s="275"/>
      <c r="AT210" s="275"/>
      <c r="AU210" s="275"/>
      <c r="AV210" s="275"/>
      <c r="AW210" s="275"/>
      <c r="AX210" s="275"/>
      <c r="AY210" s="275"/>
      <c r="AZ210" s="275"/>
      <c r="BA210" s="275"/>
      <c r="BB210" s="269">
        <v>3</v>
      </c>
      <c r="BC210" s="275"/>
      <c r="BD210" s="275"/>
      <c r="BE210" s="275"/>
      <c r="BF210" s="272"/>
      <c r="BG210" s="272"/>
      <c r="BH210" s="272"/>
      <c r="BI210" s="272"/>
      <c r="BJ210" s="272"/>
      <c r="BK210" s="272"/>
      <c r="BL210" s="272"/>
      <c r="BM210" s="272"/>
      <c r="BN210" s="284">
        <v>65.456000000000003</v>
      </c>
      <c r="BO210" s="276">
        <v>42200</v>
      </c>
      <c r="BP210" s="272"/>
      <c r="BQ210" s="272"/>
      <c r="BR210" s="272"/>
      <c r="BS210" s="272"/>
      <c r="BT210" s="284">
        <v>49.46</v>
      </c>
      <c r="BU210" s="276">
        <v>42200</v>
      </c>
      <c r="BV210" s="284">
        <v>19.66253662109375</v>
      </c>
      <c r="BW210" s="276">
        <v>42200</v>
      </c>
      <c r="BX210" s="284">
        <v>66.073999999999998</v>
      </c>
      <c r="BY210" s="276">
        <v>42200</v>
      </c>
      <c r="BZ210" s="272"/>
      <c r="CA210" s="272"/>
      <c r="CB210" s="272"/>
      <c r="CC210" s="272"/>
      <c r="CD210" s="269">
        <v>8</v>
      </c>
      <c r="CE210" s="274">
        <v>42191</v>
      </c>
      <c r="CF210" s="272"/>
      <c r="CG210" s="272"/>
      <c r="CH210" s="272"/>
      <c r="CI210" s="272"/>
      <c r="CJ210" s="272"/>
      <c r="CK210" s="272"/>
      <c r="CL210" s="272"/>
      <c r="CM210" s="278">
        <v>3</v>
      </c>
      <c r="CN210" s="276">
        <v>42180</v>
      </c>
      <c r="CO210" s="272" t="s">
        <v>8447</v>
      </c>
    </row>
    <row r="211" spans="1:93" ht="15" customHeight="1">
      <c r="A211" s="137" t="s">
        <v>8470</v>
      </c>
      <c r="B211" s="161" t="s">
        <v>8493</v>
      </c>
      <c r="C211" s="268" t="s">
        <v>269</v>
      </c>
      <c r="D211" s="269">
        <v>1</v>
      </c>
      <c r="E211" s="280">
        <v>21</v>
      </c>
      <c r="F211" s="269"/>
      <c r="G211" s="269"/>
      <c r="H211" s="271">
        <v>4</v>
      </c>
      <c r="I211" s="271">
        <v>3</v>
      </c>
      <c r="J211" s="282"/>
      <c r="K211" s="273"/>
      <c r="L211" s="269">
        <v>8</v>
      </c>
      <c r="M211" s="274"/>
      <c r="N211" s="269">
        <v>3.5</v>
      </c>
      <c r="O211" s="274">
        <v>42191</v>
      </c>
      <c r="P211" s="272"/>
      <c r="Q211" s="274"/>
      <c r="R211" s="275"/>
      <c r="S211" s="274"/>
      <c r="T211" s="269">
        <v>9.5299999999999994</v>
      </c>
      <c r="U211" s="276">
        <v>42200</v>
      </c>
      <c r="V211" s="275">
        <v>18.5</v>
      </c>
      <c r="W211" s="274">
        <v>42191</v>
      </c>
      <c r="X211" s="275"/>
      <c r="Y211" s="274"/>
      <c r="Z211" s="275"/>
      <c r="AA211" s="274"/>
      <c r="AB211" s="275"/>
      <c r="AC211" s="274"/>
      <c r="AD211" s="145">
        <f>(N211/V211)*(((100-CD211)/100)*((100-2)/100))*100</f>
        <v>17.075837837837838</v>
      </c>
      <c r="AE211" s="274"/>
      <c r="AF211" s="269">
        <v>19.52</v>
      </c>
      <c r="AG211" s="274">
        <v>42191</v>
      </c>
      <c r="AH211" s="274"/>
      <c r="AI211" s="274"/>
      <c r="AJ211" s="269">
        <v>140</v>
      </c>
      <c r="AK211" s="274"/>
      <c r="AL211" s="275"/>
      <c r="AM211" s="274"/>
      <c r="AN211" s="269">
        <v>105</v>
      </c>
      <c r="AO211" s="274"/>
      <c r="AP211" s="275"/>
      <c r="AQ211" s="275"/>
      <c r="AR211" s="275"/>
      <c r="AS211" s="275"/>
      <c r="AT211" s="275"/>
      <c r="AU211" s="275"/>
      <c r="AV211" s="275"/>
      <c r="AW211" s="275"/>
      <c r="AX211" s="275"/>
      <c r="AY211" s="275"/>
      <c r="AZ211" s="275"/>
      <c r="BA211" s="275"/>
      <c r="BB211" s="269">
        <v>5</v>
      </c>
      <c r="BC211" s="275"/>
      <c r="BD211" s="275"/>
      <c r="BE211" s="275"/>
      <c r="BF211" s="272"/>
      <c r="BG211" s="272"/>
      <c r="BH211" s="272"/>
      <c r="BI211" s="272"/>
      <c r="BJ211" s="272"/>
      <c r="BK211" s="272"/>
      <c r="BL211" s="272"/>
      <c r="BM211" s="272"/>
      <c r="BN211" s="284">
        <v>65.052999999999997</v>
      </c>
      <c r="BO211" s="276">
        <v>42200</v>
      </c>
      <c r="BP211" s="272"/>
      <c r="BQ211" s="272"/>
      <c r="BR211" s="272"/>
      <c r="BS211" s="272"/>
      <c r="BT211" s="284">
        <v>48.82</v>
      </c>
      <c r="BU211" s="276">
        <v>42200</v>
      </c>
      <c r="BV211" s="284">
        <v>20.507238388061523</v>
      </c>
      <c r="BW211" s="276">
        <v>42200</v>
      </c>
      <c r="BX211" s="284">
        <v>68.131</v>
      </c>
      <c r="BY211" s="276">
        <v>42200</v>
      </c>
      <c r="BZ211" s="272"/>
      <c r="CA211" s="272"/>
      <c r="CB211" s="272"/>
      <c r="CC211" s="272"/>
      <c r="CD211" s="269">
        <v>7.9</v>
      </c>
      <c r="CE211" s="274">
        <v>42191</v>
      </c>
      <c r="CF211" s="272"/>
      <c r="CG211" s="272"/>
      <c r="CH211" s="272"/>
      <c r="CI211" s="272"/>
      <c r="CJ211" s="272"/>
      <c r="CK211" s="272"/>
      <c r="CL211" s="272"/>
      <c r="CM211" s="278">
        <v>7</v>
      </c>
      <c r="CN211" s="276">
        <v>42180</v>
      </c>
      <c r="CO211" s="272" t="s">
        <v>8447</v>
      </c>
    </row>
    <row r="212" spans="1:93" ht="15" customHeight="1">
      <c r="A212" s="137" t="s">
        <v>8458</v>
      </c>
      <c r="B212" s="161" t="s">
        <v>8481</v>
      </c>
      <c r="C212" s="268" t="s">
        <v>267</v>
      </c>
      <c r="D212" s="269">
        <v>4</v>
      </c>
      <c r="E212" s="280">
        <v>9</v>
      </c>
      <c r="F212" s="269"/>
      <c r="G212" s="269"/>
      <c r="H212" s="271">
        <v>23</v>
      </c>
      <c r="I212" s="271">
        <v>2</v>
      </c>
      <c r="J212" s="282"/>
      <c r="K212" s="273"/>
      <c r="L212" s="269">
        <v>8</v>
      </c>
      <c r="M212" s="274"/>
      <c r="N212" s="269">
        <v>3.5</v>
      </c>
      <c r="O212" s="274">
        <v>42191</v>
      </c>
      <c r="P212" s="272"/>
      <c r="Q212" s="274"/>
      <c r="R212" s="275"/>
      <c r="S212" s="274"/>
      <c r="T212" s="269">
        <v>9.76</v>
      </c>
      <c r="U212" s="276">
        <v>42200</v>
      </c>
      <c r="V212" s="275">
        <v>18.5</v>
      </c>
      <c r="W212" s="274">
        <v>42191</v>
      </c>
      <c r="X212" s="275"/>
      <c r="Y212" s="274"/>
      <c r="Z212" s="275"/>
      <c r="AA212" s="274"/>
      <c r="AB212" s="275"/>
      <c r="AC212" s="274"/>
      <c r="AD212" s="145">
        <f>(N212/V212)*(((100-CD212)/100)*((100-2)/100))*100</f>
        <v>17.09437837837838</v>
      </c>
      <c r="AE212" s="274"/>
      <c r="AF212" s="269">
        <v>19.54</v>
      </c>
      <c r="AG212" s="274">
        <v>42191</v>
      </c>
      <c r="AH212" s="274"/>
      <c r="AI212" s="274"/>
      <c r="AJ212" s="269">
        <v>135</v>
      </c>
      <c r="AK212" s="274"/>
      <c r="AL212" s="275"/>
      <c r="AM212" s="274"/>
      <c r="AN212" s="269">
        <v>105</v>
      </c>
      <c r="AO212" s="274"/>
      <c r="AP212" s="275"/>
      <c r="AQ212" s="275"/>
      <c r="AR212" s="275"/>
      <c r="AS212" s="275"/>
      <c r="AT212" s="275"/>
      <c r="AU212" s="275"/>
      <c r="AV212" s="275"/>
      <c r="AW212" s="275"/>
      <c r="AX212" s="275"/>
      <c r="AY212" s="275"/>
      <c r="AZ212" s="275"/>
      <c r="BA212" s="275"/>
      <c r="BB212" s="269">
        <v>5</v>
      </c>
      <c r="BC212" s="275"/>
      <c r="BD212" s="275"/>
      <c r="BE212" s="275"/>
      <c r="BF212" s="272"/>
      <c r="BG212" s="272"/>
      <c r="BH212" s="272"/>
      <c r="BI212" s="272"/>
      <c r="BJ212" s="272"/>
      <c r="BK212" s="272"/>
      <c r="BL212" s="272"/>
      <c r="BM212" s="272"/>
      <c r="BN212" s="284">
        <v>61.311999999999998</v>
      </c>
      <c r="BO212" s="276">
        <v>42200</v>
      </c>
      <c r="BP212" s="272"/>
      <c r="BQ212" s="272"/>
      <c r="BR212" s="272"/>
      <c r="BS212" s="272"/>
      <c r="BT212" s="284">
        <v>49.95</v>
      </c>
      <c r="BU212" s="276">
        <v>42200</v>
      </c>
      <c r="BV212" s="284">
        <v>19.905237197875977</v>
      </c>
      <c r="BW212" s="276">
        <v>42200</v>
      </c>
      <c r="BX212" s="284">
        <v>56.023000000000003</v>
      </c>
      <c r="BY212" s="276">
        <v>42200</v>
      </c>
      <c r="BZ212" s="272"/>
      <c r="CA212" s="272"/>
      <c r="CB212" s="272"/>
      <c r="CC212" s="272"/>
      <c r="CD212" s="269">
        <v>7.8</v>
      </c>
      <c r="CE212" s="274">
        <v>42191</v>
      </c>
      <c r="CF212" s="272"/>
      <c r="CG212" s="272"/>
      <c r="CH212" s="272"/>
      <c r="CI212" s="272"/>
      <c r="CJ212" s="272"/>
      <c r="CK212" s="272"/>
      <c r="CL212" s="272"/>
      <c r="CM212" s="278">
        <v>5</v>
      </c>
      <c r="CN212" s="276">
        <v>42180</v>
      </c>
      <c r="CO212" s="272" t="s">
        <v>8447</v>
      </c>
    </row>
    <row r="213" spans="1:93" ht="15" customHeight="1">
      <c r="A213" s="124" t="s">
        <v>7707</v>
      </c>
      <c r="B213" s="161" t="s">
        <v>7782</v>
      </c>
      <c r="C213" s="268" t="s">
        <v>269</v>
      </c>
      <c r="D213" s="257">
        <v>2</v>
      </c>
      <c r="E213" s="183">
        <v>121</v>
      </c>
      <c r="F213" s="257">
        <v>12</v>
      </c>
      <c r="G213" s="257">
        <v>8</v>
      </c>
      <c r="L213" s="257">
        <v>9</v>
      </c>
      <c r="N213" s="257">
        <v>3.47</v>
      </c>
      <c r="O213" s="159">
        <v>42191</v>
      </c>
      <c r="T213" s="257">
        <v>9.5399999999999991</v>
      </c>
      <c r="U213" s="256">
        <v>42200</v>
      </c>
      <c r="V213" s="145">
        <v>18.5</v>
      </c>
      <c r="W213" s="159">
        <v>42191</v>
      </c>
      <c r="AD213" s="145">
        <f>(N213/V213)*(((100-CD213)/100)*((100-2)/100))*100</f>
        <v>17.113289729729729</v>
      </c>
      <c r="AF213" s="257">
        <v>19.559999999999999</v>
      </c>
      <c r="AG213" s="159">
        <v>42191</v>
      </c>
      <c r="AJ213" s="257">
        <v>135</v>
      </c>
      <c r="AN213" s="257">
        <v>108</v>
      </c>
      <c r="BB213" s="257">
        <v>7</v>
      </c>
      <c r="BN213" s="251">
        <v>65.23</v>
      </c>
      <c r="BO213" s="256">
        <v>42200</v>
      </c>
      <c r="BT213" s="251">
        <v>48.755771636962891</v>
      </c>
      <c r="BU213" s="256">
        <v>42200</v>
      </c>
      <c r="BV213" s="251">
        <v>20.465490341186523</v>
      </c>
      <c r="BW213" s="256">
        <v>42200</v>
      </c>
      <c r="BX213" s="251">
        <v>73.13</v>
      </c>
      <c r="BY213" s="256">
        <v>42200</v>
      </c>
      <c r="CD213" s="257">
        <v>6.9</v>
      </c>
      <c r="CE213" s="159">
        <v>42191</v>
      </c>
      <c r="CM213" s="255">
        <v>5</v>
      </c>
      <c r="CN213" s="256">
        <v>42180</v>
      </c>
      <c r="CO213" s="140" t="s">
        <v>8448</v>
      </c>
    </row>
    <row r="214" spans="1:93" ht="15">
      <c r="A214" s="124" t="s">
        <v>7684</v>
      </c>
      <c r="B214" s="161" t="s">
        <v>7531</v>
      </c>
      <c r="C214" s="268" t="s">
        <v>269</v>
      </c>
      <c r="D214" s="243">
        <v>1</v>
      </c>
      <c r="E214" s="183">
        <v>98</v>
      </c>
      <c r="F214" s="244">
        <v>6</v>
      </c>
      <c r="G214" s="245">
        <v>31</v>
      </c>
      <c r="L214" s="254">
        <v>5</v>
      </c>
      <c r="N214" s="246">
        <v>3.48</v>
      </c>
      <c r="O214" s="159">
        <v>42191</v>
      </c>
      <c r="T214" s="247">
        <v>10.34</v>
      </c>
      <c r="U214" s="256">
        <v>42200</v>
      </c>
      <c r="V214" s="145">
        <v>18.5</v>
      </c>
      <c r="W214" s="159">
        <v>42191</v>
      </c>
      <c r="AD214" s="145">
        <f>(N214/V214)*(((100-CD214)/100)*((100-2)/100))*100</f>
        <v>17.125738378378376</v>
      </c>
      <c r="AF214" s="257">
        <f>(N214/V214)*(((100-CD214)/(100-9))*100)</f>
        <v>19.203564003564004</v>
      </c>
      <c r="AG214" s="159">
        <v>42191</v>
      </c>
      <c r="AJ214" s="249">
        <v>130</v>
      </c>
      <c r="AN214" s="250">
        <v>100</v>
      </c>
      <c r="BB214" s="257">
        <v>7</v>
      </c>
      <c r="BN214" s="251">
        <v>63.484000000000002</v>
      </c>
      <c r="BO214" s="256">
        <v>42200</v>
      </c>
      <c r="BT214" s="251">
        <v>52.826065063476563</v>
      </c>
      <c r="BU214" s="256">
        <v>42200</v>
      </c>
      <c r="BV214" s="251">
        <v>16.165929794311523</v>
      </c>
      <c r="BW214" s="256">
        <v>42200</v>
      </c>
      <c r="BX214" s="251">
        <v>15.154999999999999</v>
      </c>
      <c r="BY214" s="256">
        <v>42200</v>
      </c>
      <c r="CD214" s="253">
        <v>7.1</v>
      </c>
      <c r="CE214" s="159">
        <v>42191</v>
      </c>
      <c r="CM214" s="255">
        <v>1</v>
      </c>
      <c r="CN214" s="256">
        <v>42180</v>
      </c>
      <c r="CO214" s="140" t="s">
        <v>8447</v>
      </c>
    </row>
    <row r="215" spans="1:93" ht="15">
      <c r="A215" s="124" t="s">
        <v>7612</v>
      </c>
      <c r="B215" s="161" t="s">
        <v>7467</v>
      </c>
      <c r="C215" s="268" t="s">
        <v>269</v>
      </c>
      <c r="D215" s="243">
        <v>2</v>
      </c>
      <c r="E215" s="183">
        <v>26</v>
      </c>
      <c r="F215" s="244">
        <v>11</v>
      </c>
      <c r="G215" s="245">
        <v>22</v>
      </c>
      <c r="L215" s="254">
        <v>5</v>
      </c>
      <c r="N215" s="246">
        <v>3.46</v>
      </c>
      <c r="O215" s="159">
        <v>42191</v>
      </c>
      <c r="T215" s="247">
        <v>9.73</v>
      </c>
      <c r="U215" s="256">
        <v>42200</v>
      </c>
      <c r="V215" s="145">
        <v>18.5</v>
      </c>
      <c r="W215" s="159">
        <v>42191</v>
      </c>
      <c r="AD215" s="145">
        <f>(N215/V215)*(((100-CD215)/100)*((100-2)/100))*100</f>
        <v>17.137286486486484</v>
      </c>
      <c r="AF215" s="257">
        <v>19.59</v>
      </c>
      <c r="AG215" s="159">
        <v>42191</v>
      </c>
      <c r="AJ215" s="249">
        <v>125</v>
      </c>
      <c r="AN215" s="250">
        <v>106</v>
      </c>
      <c r="BB215" s="257">
        <v>7</v>
      </c>
      <c r="BN215" s="251">
        <v>60.314999999999998</v>
      </c>
      <c r="BO215" s="256">
        <v>42200</v>
      </c>
      <c r="BT215" s="251">
        <v>49.680923461914063</v>
      </c>
      <c r="BU215" s="256">
        <v>42200</v>
      </c>
      <c r="BV215" s="251">
        <v>18.863401412963867</v>
      </c>
      <c r="BW215" s="256">
        <v>42200</v>
      </c>
      <c r="BX215" s="251">
        <v>66.191000000000003</v>
      </c>
      <c r="BY215" s="256">
        <v>42200</v>
      </c>
      <c r="CD215" s="253">
        <v>6.5</v>
      </c>
      <c r="CE215" s="159">
        <v>42191</v>
      </c>
      <c r="CM215" s="255">
        <v>5</v>
      </c>
      <c r="CN215" s="256">
        <v>42180</v>
      </c>
      <c r="CO215" s="140" t="s">
        <v>8448</v>
      </c>
    </row>
    <row r="216" spans="1:93" ht="15" customHeight="1">
      <c r="A216" s="124" t="s">
        <v>7722</v>
      </c>
      <c r="B216" s="161" t="s">
        <v>7554</v>
      </c>
      <c r="C216" s="268" t="s">
        <v>269</v>
      </c>
      <c r="D216" s="257">
        <v>2</v>
      </c>
      <c r="E216" s="183">
        <v>136</v>
      </c>
      <c r="F216" s="257">
        <v>8</v>
      </c>
      <c r="G216" s="257">
        <v>14</v>
      </c>
      <c r="L216" s="257">
        <v>7</v>
      </c>
      <c r="N216" s="257">
        <v>3.48</v>
      </c>
      <c r="O216" s="159">
        <v>42191</v>
      </c>
      <c r="T216" s="257">
        <v>10.14</v>
      </c>
      <c r="U216" s="256">
        <v>42200</v>
      </c>
      <c r="V216" s="145">
        <v>18.5</v>
      </c>
      <c r="W216" s="159">
        <v>42191</v>
      </c>
      <c r="AD216" s="145">
        <f>(N216/V216)*(((100-CD216)/100)*((100-2)/100))*100</f>
        <v>17.144172972972971</v>
      </c>
      <c r="AF216" s="257">
        <v>19.600000000000001</v>
      </c>
      <c r="AG216" s="159">
        <v>42191</v>
      </c>
      <c r="AJ216" s="257">
        <v>115</v>
      </c>
      <c r="AN216" s="257">
        <v>107</v>
      </c>
      <c r="BB216" s="257">
        <v>5</v>
      </c>
      <c r="BN216" s="251">
        <v>65.762</v>
      </c>
      <c r="BO216" s="256">
        <v>42200</v>
      </c>
      <c r="BT216" s="251">
        <v>51.711257934570313</v>
      </c>
      <c r="BU216" s="256">
        <v>42200</v>
      </c>
      <c r="BV216" s="251">
        <v>16.093149185180664</v>
      </c>
      <c r="BW216" s="256">
        <v>42200</v>
      </c>
      <c r="BX216" s="251">
        <v>23.419</v>
      </c>
      <c r="BY216" s="256">
        <v>42200</v>
      </c>
      <c r="CD216" s="257">
        <v>7</v>
      </c>
      <c r="CE216" s="159">
        <v>42191</v>
      </c>
      <c r="CM216" s="255">
        <v>3</v>
      </c>
      <c r="CN216" s="256">
        <v>42180</v>
      </c>
      <c r="CO216" s="140" t="s">
        <v>8448</v>
      </c>
    </row>
    <row r="217" spans="1:93" ht="15" customHeight="1">
      <c r="A217" s="124" t="s">
        <v>7704</v>
      </c>
      <c r="B217" s="161" t="s">
        <v>7779</v>
      </c>
      <c r="C217" s="268" t="s">
        <v>269</v>
      </c>
      <c r="D217" s="257">
        <v>1</v>
      </c>
      <c r="E217" s="183">
        <v>118</v>
      </c>
      <c r="F217" s="257">
        <v>2</v>
      </c>
      <c r="G217" s="257">
        <v>16</v>
      </c>
      <c r="L217" s="257">
        <v>9</v>
      </c>
      <c r="N217" s="257">
        <v>3.48</v>
      </c>
      <c r="O217" s="159">
        <v>42191</v>
      </c>
      <c r="T217" s="257">
        <v>9.6300000000000008</v>
      </c>
      <c r="U217" s="256">
        <v>42200</v>
      </c>
      <c r="V217" s="145">
        <v>18.5</v>
      </c>
      <c r="W217" s="159">
        <v>42191</v>
      </c>
      <c r="AD217" s="145">
        <f>(N217/V217)*(((100-CD217)/100)*((100-2)/100))*100</f>
        <v>17.162607567567566</v>
      </c>
      <c r="AF217" s="257">
        <v>19.62</v>
      </c>
      <c r="AG217" s="159">
        <v>42191</v>
      </c>
      <c r="AJ217" s="257">
        <v>150</v>
      </c>
      <c r="AN217" s="257">
        <v>105</v>
      </c>
      <c r="BB217" s="257">
        <v>3</v>
      </c>
      <c r="BN217" s="251">
        <v>64.790999999999997</v>
      </c>
      <c r="BO217" s="256">
        <v>42200</v>
      </c>
      <c r="BT217" s="251">
        <v>49.097099304199219</v>
      </c>
      <c r="BU217" s="256">
        <v>42200</v>
      </c>
      <c r="BV217" s="251">
        <v>18.286140441894531</v>
      </c>
      <c r="BW217" s="256">
        <v>42200</v>
      </c>
      <c r="BX217" s="251">
        <v>44.933999999999997</v>
      </c>
      <c r="BY217" s="256">
        <v>42200</v>
      </c>
      <c r="CD217" s="257">
        <v>6.9</v>
      </c>
      <c r="CE217" s="159">
        <v>42191</v>
      </c>
      <c r="CM217" s="255">
        <v>3</v>
      </c>
      <c r="CN217" s="256">
        <v>42180</v>
      </c>
      <c r="CO217" s="140" t="s">
        <v>8447</v>
      </c>
    </row>
    <row r="218" spans="1:93" ht="15" customHeight="1">
      <c r="A218" s="124" t="s">
        <v>7622</v>
      </c>
      <c r="B218" s="161" t="s">
        <v>7475</v>
      </c>
      <c r="C218" s="268" t="s">
        <v>269</v>
      </c>
      <c r="D218" s="257">
        <v>2</v>
      </c>
      <c r="E218" s="183">
        <v>36</v>
      </c>
      <c r="F218" s="257">
        <v>8</v>
      </c>
      <c r="G218" s="257">
        <v>2</v>
      </c>
      <c r="L218" s="257">
        <v>8</v>
      </c>
      <c r="N218" s="257">
        <v>3.48</v>
      </c>
      <c r="O218" s="159">
        <v>42191</v>
      </c>
      <c r="T218" s="257">
        <v>9.7200000000000006</v>
      </c>
      <c r="U218" s="256">
        <v>42200</v>
      </c>
      <c r="V218" s="145">
        <v>18.5</v>
      </c>
      <c r="W218" s="159">
        <v>42191</v>
      </c>
      <c r="AD218" s="145">
        <f>(N218/V218)*(((100-CD218)/100)*((100-2)/100))*100</f>
        <v>17.181042162162164</v>
      </c>
      <c r="AF218" s="257">
        <v>19.64</v>
      </c>
      <c r="AG218" s="159">
        <v>42191</v>
      </c>
      <c r="AJ218" s="257">
        <v>120</v>
      </c>
      <c r="AN218" s="257">
        <v>101</v>
      </c>
      <c r="BB218" s="257">
        <v>7</v>
      </c>
      <c r="BN218" s="251">
        <v>63.103000000000002</v>
      </c>
      <c r="BO218" s="256">
        <v>42200</v>
      </c>
      <c r="BT218" s="251">
        <v>49.497077941894531</v>
      </c>
      <c r="BU218" s="256">
        <v>42200</v>
      </c>
      <c r="BV218" s="251">
        <v>17.599723815917969</v>
      </c>
      <c r="BW218" s="256">
        <v>42200</v>
      </c>
      <c r="BX218" s="251">
        <v>62.082999999999998</v>
      </c>
      <c r="BY218" s="256">
        <v>42200</v>
      </c>
      <c r="CD218" s="257">
        <v>6.8</v>
      </c>
      <c r="CE218" s="159">
        <v>42191</v>
      </c>
      <c r="CM218" s="255">
        <v>5</v>
      </c>
      <c r="CN218" s="256">
        <v>42180</v>
      </c>
      <c r="CO218" s="140" t="s">
        <v>8448</v>
      </c>
    </row>
    <row r="219" spans="1:93" ht="15" customHeight="1">
      <c r="A219" s="124" t="s">
        <v>7551</v>
      </c>
      <c r="B219" s="161" t="s">
        <v>7551</v>
      </c>
      <c r="C219" s="268" t="s">
        <v>269</v>
      </c>
      <c r="D219" s="257">
        <v>2</v>
      </c>
      <c r="E219" s="191">
        <v>183</v>
      </c>
      <c r="F219" s="257">
        <v>12</v>
      </c>
      <c r="G219" s="257">
        <v>10</v>
      </c>
      <c r="L219" s="257">
        <v>7</v>
      </c>
      <c r="N219" s="257">
        <v>3.49</v>
      </c>
      <c r="O219" s="159">
        <v>42191</v>
      </c>
      <c r="T219" s="257">
        <v>9.6999999999999993</v>
      </c>
      <c r="U219" s="256">
        <v>42200</v>
      </c>
      <c r="V219" s="145">
        <v>18.5</v>
      </c>
      <c r="W219" s="159">
        <v>42191</v>
      </c>
      <c r="AD219" s="145">
        <f>(N219/V219)*(((100-CD219)/100)*((100-2)/100))*100</f>
        <v>17.193437837837838</v>
      </c>
      <c r="AF219" s="257">
        <v>19.649999999999999</v>
      </c>
      <c r="AG219" s="159">
        <v>42191</v>
      </c>
      <c r="AJ219" s="257">
        <v>125</v>
      </c>
      <c r="AN219" s="257">
        <v>103</v>
      </c>
      <c r="BB219" s="257">
        <v>7</v>
      </c>
      <c r="BN219" s="251">
        <v>62.109000000000002</v>
      </c>
      <c r="BO219" s="256">
        <v>42200</v>
      </c>
      <c r="BT219" s="251">
        <v>49.344165802001953</v>
      </c>
      <c r="BU219" s="256">
        <v>42200</v>
      </c>
      <c r="BV219" s="251">
        <v>17.998952865600586</v>
      </c>
      <c r="BW219" s="256">
        <v>42200</v>
      </c>
      <c r="BX219" s="251">
        <v>14.744</v>
      </c>
      <c r="BY219" s="256">
        <v>42200</v>
      </c>
      <c r="CD219" s="257">
        <v>7</v>
      </c>
      <c r="CE219" s="159">
        <v>42191</v>
      </c>
      <c r="CM219" s="255">
        <v>3</v>
      </c>
      <c r="CN219" s="256">
        <v>42180</v>
      </c>
      <c r="CO219" s="140" t="s">
        <v>8448</v>
      </c>
    </row>
    <row r="220" spans="1:93" ht="15" customHeight="1">
      <c r="A220" s="124" t="s">
        <v>7687</v>
      </c>
      <c r="B220" s="161" t="s">
        <v>7534</v>
      </c>
      <c r="C220" s="268" t="s">
        <v>267</v>
      </c>
      <c r="D220" s="257">
        <v>4</v>
      </c>
      <c r="E220" s="183">
        <v>101</v>
      </c>
      <c r="F220" s="257">
        <v>20</v>
      </c>
      <c r="G220" s="257">
        <v>28</v>
      </c>
      <c r="L220" s="257">
        <v>8</v>
      </c>
      <c r="N220" s="257">
        <v>3.5</v>
      </c>
      <c r="O220" s="159">
        <v>42191</v>
      </c>
      <c r="T220" s="257">
        <v>9.65</v>
      </c>
      <c r="U220" s="256">
        <v>42200</v>
      </c>
      <c r="V220" s="145">
        <v>18.5</v>
      </c>
      <c r="W220" s="159">
        <v>42191</v>
      </c>
      <c r="AD220" s="145">
        <f>(N220/V220)*(((100-CD220)/100)*((100-2)/100))*100</f>
        <v>17.205621621621621</v>
      </c>
      <c r="AF220" s="257">
        <v>19.670000000000002</v>
      </c>
      <c r="AG220" s="159">
        <v>42191</v>
      </c>
      <c r="AJ220" s="257">
        <v>100</v>
      </c>
      <c r="AN220" s="257">
        <v>102</v>
      </c>
      <c r="BB220" s="257">
        <v>3</v>
      </c>
      <c r="BN220" s="251">
        <v>65.122</v>
      </c>
      <c r="BO220" s="256">
        <v>42200</v>
      </c>
      <c r="BT220" s="251">
        <v>49.047775268554688</v>
      </c>
      <c r="BU220" s="256">
        <v>42200</v>
      </c>
      <c r="BV220" s="251">
        <v>17.940196990966797</v>
      </c>
      <c r="BW220" s="256">
        <v>42200</v>
      </c>
      <c r="BX220" s="251">
        <v>20.905000000000001</v>
      </c>
      <c r="BY220" s="256">
        <v>42200</v>
      </c>
      <c r="CD220" s="257">
        <v>7.2</v>
      </c>
      <c r="CE220" s="159">
        <v>42191</v>
      </c>
      <c r="CM220" s="255">
        <v>3</v>
      </c>
      <c r="CN220" s="256">
        <v>42180</v>
      </c>
      <c r="CO220" s="140" t="s">
        <v>8447</v>
      </c>
    </row>
    <row r="221" spans="1:93" ht="15" customHeight="1">
      <c r="A221" s="124" t="s">
        <v>7623</v>
      </c>
      <c r="B221" s="161" t="s">
        <v>7476</v>
      </c>
      <c r="C221" s="268" t="s">
        <v>267</v>
      </c>
      <c r="D221" s="257">
        <v>3</v>
      </c>
      <c r="E221" s="183">
        <v>37</v>
      </c>
      <c r="F221" s="257">
        <v>14</v>
      </c>
      <c r="G221" s="257">
        <v>2</v>
      </c>
      <c r="L221" s="257">
        <v>9</v>
      </c>
      <c r="N221" s="257">
        <v>3.53</v>
      </c>
      <c r="O221" s="159">
        <v>42191</v>
      </c>
      <c r="T221" s="257">
        <v>9.17</v>
      </c>
      <c r="U221" s="256">
        <v>42200</v>
      </c>
      <c r="V221" s="145">
        <v>18.5</v>
      </c>
      <c r="W221" s="159">
        <v>42191</v>
      </c>
      <c r="AD221" s="145">
        <f>(N221/V221)*(((100-CD221)/100)*((100-2)/100))*100</f>
        <v>17.222202162162159</v>
      </c>
      <c r="AF221" s="257">
        <v>19.690000000000001</v>
      </c>
      <c r="AG221" s="159">
        <v>42191</v>
      </c>
      <c r="AJ221" s="257">
        <v>140</v>
      </c>
      <c r="AN221" s="257">
        <v>102</v>
      </c>
      <c r="BB221" s="257">
        <v>9</v>
      </c>
      <c r="BN221" s="251">
        <v>57.377000000000002</v>
      </c>
      <c r="BO221" s="256">
        <v>42200</v>
      </c>
      <c r="BT221" s="251">
        <v>46.5673828125</v>
      </c>
      <c r="BU221" s="256">
        <v>42200</v>
      </c>
      <c r="BV221" s="251">
        <v>20.906116485595703</v>
      </c>
      <c r="BW221" s="256">
        <v>42200</v>
      </c>
      <c r="BX221" s="251">
        <v>31.881</v>
      </c>
      <c r="BY221" s="256">
        <v>42200</v>
      </c>
      <c r="CD221" s="257">
        <v>7.9</v>
      </c>
      <c r="CE221" s="159">
        <v>42191</v>
      </c>
      <c r="CM221" s="255">
        <v>3</v>
      </c>
      <c r="CN221" s="256">
        <v>42180</v>
      </c>
      <c r="CO221" s="140" t="s">
        <v>8447</v>
      </c>
    </row>
    <row r="222" spans="1:93" ht="15" customHeight="1">
      <c r="A222" s="124" t="s">
        <v>7587</v>
      </c>
      <c r="B222" s="161" t="s">
        <v>7767</v>
      </c>
      <c r="C222" s="268" t="s">
        <v>267</v>
      </c>
      <c r="D222" s="257">
        <v>4</v>
      </c>
      <c r="E222" s="183">
        <v>1</v>
      </c>
      <c r="F222" s="257">
        <v>23</v>
      </c>
      <c r="G222" s="257">
        <v>12</v>
      </c>
      <c r="J222" s="266"/>
      <c r="L222" s="257">
        <v>9</v>
      </c>
      <c r="N222" s="257">
        <v>3.51</v>
      </c>
      <c r="O222" s="159">
        <v>42191</v>
      </c>
      <c r="P222" s="144"/>
      <c r="R222" s="145"/>
      <c r="T222" s="257">
        <v>9.64</v>
      </c>
      <c r="U222" s="256">
        <v>42200</v>
      </c>
      <c r="V222" s="145">
        <v>18.5</v>
      </c>
      <c r="W222" s="159">
        <v>42191</v>
      </c>
      <c r="X222" s="145"/>
      <c r="Z222" s="145"/>
      <c r="AB222" s="145"/>
      <c r="AD222" s="145">
        <f>(N222/V222)*(((100-CD222)/100)*((100-2)/100))*100</f>
        <v>17.236187027027025</v>
      </c>
      <c r="AF222" s="257">
        <v>19.7</v>
      </c>
      <c r="AG222" s="159">
        <v>42191</v>
      </c>
      <c r="AJ222" s="257">
        <v>125</v>
      </c>
      <c r="AL222" s="145"/>
      <c r="AN222" s="257">
        <v>107</v>
      </c>
      <c r="BB222" s="257">
        <v>7</v>
      </c>
      <c r="BN222" s="251">
        <v>64.581000000000003</v>
      </c>
      <c r="BO222" s="256">
        <v>42200</v>
      </c>
      <c r="BT222" s="251">
        <v>48.915985107421875</v>
      </c>
      <c r="BU222" s="256">
        <v>42200</v>
      </c>
      <c r="BV222" s="251">
        <v>18.964836120605469</v>
      </c>
      <c r="BW222" s="256">
        <v>42200</v>
      </c>
      <c r="BX222" s="251">
        <v>55.281999999999996</v>
      </c>
      <c r="BY222" s="256">
        <v>42200</v>
      </c>
      <c r="CD222" s="257">
        <v>7.3</v>
      </c>
      <c r="CE222" s="159">
        <v>42191</v>
      </c>
      <c r="CM222" s="255">
        <v>3</v>
      </c>
      <c r="CN222" s="256">
        <v>42180</v>
      </c>
      <c r="CO222" s="140" t="s">
        <v>8447</v>
      </c>
    </row>
    <row r="223" spans="1:93" ht="15" customHeight="1">
      <c r="A223" s="124" t="s">
        <v>7714</v>
      </c>
      <c r="B223" s="161" t="s">
        <v>7770</v>
      </c>
      <c r="C223" s="268" t="s">
        <v>269</v>
      </c>
      <c r="D223" s="257">
        <v>1</v>
      </c>
      <c r="E223" s="183">
        <v>128</v>
      </c>
      <c r="F223" s="257">
        <v>5</v>
      </c>
      <c r="G223" s="257">
        <v>24</v>
      </c>
      <c r="L223" s="257">
        <v>8</v>
      </c>
      <c r="N223" s="257">
        <v>3.48</v>
      </c>
      <c r="O223" s="159">
        <v>42191</v>
      </c>
      <c r="T223" s="257">
        <v>10.57</v>
      </c>
      <c r="U223" s="256">
        <v>42200</v>
      </c>
      <c r="V223" s="145">
        <v>18.5</v>
      </c>
      <c r="W223" s="159">
        <v>42191</v>
      </c>
      <c r="AD223" s="145">
        <f>(N223/V223)*(((100-CD223)/100)*((100-2)/100))*100</f>
        <v>17.236345945945946</v>
      </c>
      <c r="AF223" s="257">
        <v>19.7</v>
      </c>
      <c r="AG223" s="159">
        <v>42191</v>
      </c>
      <c r="AJ223" s="257">
        <v>185</v>
      </c>
      <c r="AN223" s="257">
        <v>111</v>
      </c>
      <c r="BB223" s="257">
        <v>7</v>
      </c>
      <c r="BN223" s="251">
        <v>66.578000000000003</v>
      </c>
      <c r="BO223" s="256">
        <v>42200</v>
      </c>
      <c r="BT223" s="251">
        <v>53.657394409179688</v>
      </c>
      <c r="BU223" s="256">
        <v>42200</v>
      </c>
      <c r="BV223" s="251">
        <v>18.257802963256836</v>
      </c>
      <c r="BW223" s="256">
        <v>42200</v>
      </c>
      <c r="BX223" s="251">
        <v>55.301000000000002</v>
      </c>
      <c r="BY223" s="256">
        <v>42200</v>
      </c>
      <c r="CD223" s="257">
        <v>6.5</v>
      </c>
      <c r="CE223" s="159">
        <v>42191</v>
      </c>
      <c r="CM223" s="255">
        <v>5</v>
      </c>
      <c r="CN223" s="256">
        <v>42180</v>
      </c>
      <c r="CO223" s="140" t="s">
        <v>8447</v>
      </c>
    </row>
    <row r="224" spans="1:93" ht="15" customHeight="1">
      <c r="A224" s="137" t="s">
        <v>8466</v>
      </c>
      <c r="B224" s="161" t="s">
        <v>8489</v>
      </c>
      <c r="C224" s="268" t="s">
        <v>269</v>
      </c>
      <c r="D224" s="269">
        <v>1</v>
      </c>
      <c r="E224" s="280">
        <v>17</v>
      </c>
      <c r="F224" s="269"/>
      <c r="G224" s="269"/>
      <c r="H224" s="271">
        <v>1</v>
      </c>
      <c r="I224" s="271">
        <v>4</v>
      </c>
      <c r="J224" s="282"/>
      <c r="K224" s="273"/>
      <c r="L224" s="269">
        <v>9</v>
      </c>
      <c r="M224" s="274"/>
      <c r="N224" s="269">
        <v>3.54</v>
      </c>
      <c r="O224" s="274">
        <v>42191</v>
      </c>
      <c r="P224" s="272"/>
      <c r="Q224" s="274"/>
      <c r="R224" s="275"/>
      <c r="S224" s="274"/>
      <c r="T224" s="269">
        <v>9.6300000000000008</v>
      </c>
      <c r="U224" s="276">
        <v>42200</v>
      </c>
      <c r="V224" s="275">
        <v>18.5</v>
      </c>
      <c r="W224" s="274">
        <v>42191</v>
      </c>
      <c r="X224" s="275"/>
      <c r="Y224" s="274"/>
      <c r="Z224" s="275"/>
      <c r="AA224" s="274"/>
      <c r="AB224" s="275"/>
      <c r="AC224" s="274"/>
      <c r="AD224" s="145">
        <f>(N224/V224)*(((100-CD224)/100)*((100-2)/100))*100</f>
        <v>17.252237837837839</v>
      </c>
      <c r="AE224" s="274"/>
      <c r="AF224" s="269">
        <v>19.72</v>
      </c>
      <c r="AG224" s="274">
        <v>42191</v>
      </c>
      <c r="AH224" s="274"/>
      <c r="AI224" s="274"/>
      <c r="AJ224" s="269">
        <v>150</v>
      </c>
      <c r="AK224" s="274"/>
      <c r="AL224" s="275"/>
      <c r="AM224" s="274"/>
      <c r="AN224" s="269">
        <v>102</v>
      </c>
      <c r="AO224" s="274"/>
      <c r="AP224" s="275"/>
      <c r="AQ224" s="275"/>
      <c r="AR224" s="275"/>
      <c r="AS224" s="275"/>
      <c r="AT224" s="275"/>
      <c r="AU224" s="275"/>
      <c r="AV224" s="275"/>
      <c r="AW224" s="275"/>
      <c r="AX224" s="275"/>
      <c r="AY224" s="275"/>
      <c r="AZ224" s="275"/>
      <c r="BA224" s="275"/>
      <c r="BB224" s="269">
        <v>5</v>
      </c>
      <c r="BC224" s="275"/>
      <c r="BD224" s="275"/>
      <c r="BE224" s="275"/>
      <c r="BF224" s="272"/>
      <c r="BG224" s="272"/>
      <c r="BH224" s="272"/>
      <c r="BI224" s="272"/>
      <c r="BJ224" s="272"/>
      <c r="BK224" s="272"/>
      <c r="BL224" s="272"/>
      <c r="BM224" s="272"/>
      <c r="BN224" s="284">
        <v>64.19</v>
      </c>
      <c r="BO224" s="276">
        <v>42200</v>
      </c>
      <c r="BP224" s="272"/>
      <c r="BQ224" s="272"/>
      <c r="BR224" s="272"/>
      <c r="BS224" s="272"/>
      <c r="BT224" s="284">
        <v>48.84</v>
      </c>
      <c r="BU224" s="276">
        <v>42200</v>
      </c>
      <c r="BV224" s="284">
        <v>18.870100021362305</v>
      </c>
      <c r="BW224" s="276">
        <v>42200</v>
      </c>
      <c r="BX224" s="284">
        <v>70.016999999999996</v>
      </c>
      <c r="BY224" s="276">
        <v>42200</v>
      </c>
      <c r="BZ224" s="272"/>
      <c r="CA224" s="272"/>
      <c r="CB224" s="272"/>
      <c r="CC224" s="272"/>
      <c r="CD224" s="269">
        <v>8</v>
      </c>
      <c r="CE224" s="274">
        <v>42191</v>
      </c>
      <c r="CF224" s="272"/>
      <c r="CG224" s="272"/>
      <c r="CH224" s="272"/>
      <c r="CI224" s="272"/>
      <c r="CJ224" s="272"/>
      <c r="CK224" s="272"/>
      <c r="CL224" s="272"/>
      <c r="CM224" s="278">
        <v>7</v>
      </c>
      <c r="CN224" s="276">
        <v>42180</v>
      </c>
      <c r="CO224" s="272" t="s">
        <v>8447</v>
      </c>
    </row>
    <row r="225" spans="1:93" ht="15" customHeight="1">
      <c r="A225" s="124" t="s">
        <v>7688</v>
      </c>
      <c r="B225" s="161" t="s">
        <v>7535</v>
      </c>
      <c r="C225" s="268" t="s">
        <v>267</v>
      </c>
      <c r="D225" s="257">
        <v>4</v>
      </c>
      <c r="E225" s="183">
        <v>102</v>
      </c>
      <c r="F225" s="257">
        <v>19</v>
      </c>
      <c r="G225" s="257">
        <v>15</v>
      </c>
      <c r="L225" s="257">
        <v>8</v>
      </c>
      <c r="N225" s="257">
        <v>3.53</v>
      </c>
      <c r="O225" s="159">
        <v>42191</v>
      </c>
      <c r="T225" s="257">
        <v>10.14</v>
      </c>
      <c r="U225" s="256">
        <v>42200</v>
      </c>
      <c r="V225" s="145">
        <v>18.5</v>
      </c>
      <c r="W225" s="159">
        <v>42191</v>
      </c>
      <c r="AD225" s="145">
        <f>(N225/V225)*(((100-CD225)/100)*((100-2)/100))*100</f>
        <v>17.278300540540538</v>
      </c>
      <c r="AF225" s="257">
        <v>19.75</v>
      </c>
      <c r="AG225" s="159">
        <v>42191</v>
      </c>
      <c r="AJ225" s="257">
        <v>125</v>
      </c>
      <c r="AN225" s="257">
        <v>103</v>
      </c>
      <c r="BB225" s="257">
        <v>7</v>
      </c>
      <c r="BN225" s="251">
        <v>63.82</v>
      </c>
      <c r="BO225" s="256">
        <v>42200</v>
      </c>
      <c r="BT225" s="251">
        <v>51.351051330566406</v>
      </c>
      <c r="BU225" s="256">
        <v>42200</v>
      </c>
      <c r="BV225" s="251">
        <v>17.224889755249023</v>
      </c>
      <c r="BW225" s="256">
        <v>42200</v>
      </c>
      <c r="BX225" s="251">
        <v>20.562999999999999</v>
      </c>
      <c r="BY225" s="256">
        <v>42200</v>
      </c>
      <c r="CD225" s="257">
        <v>7.6</v>
      </c>
      <c r="CE225" s="159">
        <v>42191</v>
      </c>
      <c r="CM225" s="255">
        <v>3</v>
      </c>
      <c r="CN225" s="256">
        <v>42180</v>
      </c>
      <c r="CO225" s="140" t="s">
        <v>8447</v>
      </c>
    </row>
    <row r="226" spans="1:93" ht="15" customHeight="1">
      <c r="A226" s="124" t="s">
        <v>7595</v>
      </c>
      <c r="B226" s="161" t="s">
        <v>7453</v>
      </c>
      <c r="C226" s="268" t="s">
        <v>267</v>
      </c>
      <c r="D226" s="257">
        <v>3</v>
      </c>
      <c r="E226" s="183">
        <v>9</v>
      </c>
      <c r="F226" s="257">
        <v>15</v>
      </c>
      <c r="G226" s="257">
        <v>25</v>
      </c>
      <c r="J226" s="266"/>
      <c r="L226" s="257">
        <v>7</v>
      </c>
      <c r="N226" s="257">
        <v>3.5</v>
      </c>
      <c r="O226" s="159">
        <v>42191</v>
      </c>
      <c r="P226" s="144"/>
      <c r="R226" s="145"/>
      <c r="T226" s="257">
        <v>9.52</v>
      </c>
      <c r="U226" s="256">
        <v>42200</v>
      </c>
      <c r="V226" s="145">
        <v>18.5</v>
      </c>
      <c r="W226" s="159">
        <v>42191</v>
      </c>
      <c r="X226" s="145"/>
      <c r="Z226" s="145"/>
      <c r="AB226" s="145"/>
      <c r="AD226" s="145">
        <f>(N226/V226)*(((100-CD226)/100)*((100-2)/100))*100</f>
        <v>17.279783783783785</v>
      </c>
      <c r="AF226" s="257">
        <v>19.75</v>
      </c>
      <c r="AG226" s="159">
        <v>42191</v>
      </c>
      <c r="AJ226" s="257">
        <v>115</v>
      </c>
      <c r="AL226" s="145"/>
      <c r="AN226" s="257">
        <v>103</v>
      </c>
      <c r="BB226" s="257">
        <v>7</v>
      </c>
      <c r="BN226" s="251">
        <v>66.959999999999994</v>
      </c>
      <c r="BO226" s="256">
        <v>42200</v>
      </c>
      <c r="BT226" s="251">
        <v>48.215938568115234</v>
      </c>
      <c r="BU226" s="256">
        <v>42200</v>
      </c>
      <c r="BV226" s="251">
        <v>19.994035720825195</v>
      </c>
      <c r="BW226" s="256">
        <v>42200</v>
      </c>
      <c r="BX226" s="251">
        <v>57.290999999999997</v>
      </c>
      <c r="BY226" s="256">
        <v>42200</v>
      </c>
      <c r="CD226" s="257">
        <v>6.8</v>
      </c>
      <c r="CE226" s="159">
        <v>42191</v>
      </c>
      <c r="CM226" s="255">
        <v>3</v>
      </c>
      <c r="CN226" s="256">
        <v>42180</v>
      </c>
      <c r="CO226" s="140" t="s">
        <v>8447</v>
      </c>
    </row>
    <row r="227" spans="1:93" ht="15" customHeight="1">
      <c r="A227" s="124" t="s">
        <v>7597</v>
      </c>
      <c r="B227" s="161" t="s">
        <v>265</v>
      </c>
      <c r="C227" s="268" t="s">
        <v>269</v>
      </c>
      <c r="D227" s="257">
        <v>1</v>
      </c>
      <c r="E227" s="183">
        <v>11</v>
      </c>
      <c r="F227" s="257">
        <v>6</v>
      </c>
      <c r="G227" s="257">
        <v>2</v>
      </c>
      <c r="J227" s="266"/>
      <c r="L227" s="257">
        <v>6</v>
      </c>
      <c r="N227" s="257">
        <v>3.49</v>
      </c>
      <c r="O227" s="159">
        <v>42191</v>
      </c>
      <c r="P227" s="144"/>
      <c r="R227" s="145"/>
      <c r="T227" s="257">
        <v>9.84</v>
      </c>
      <c r="U227" s="256">
        <v>42200</v>
      </c>
      <c r="V227" s="145">
        <v>18.5</v>
      </c>
      <c r="W227" s="159">
        <v>42191</v>
      </c>
      <c r="X227" s="145"/>
      <c r="Z227" s="145"/>
      <c r="AB227" s="145"/>
      <c r="AD227" s="145">
        <f>(N227/V227)*(((100-CD227)/100)*((100-2)/100))*100</f>
        <v>17.285875675675676</v>
      </c>
      <c r="AF227" s="257">
        <f>(N227/V227)*(((100-CD227)/(100-9))*100)</f>
        <v>19.383130383130382</v>
      </c>
      <c r="AG227" s="159">
        <v>42191</v>
      </c>
      <c r="AJ227" s="257">
        <v>125</v>
      </c>
      <c r="AL227" s="145"/>
      <c r="AN227" s="257">
        <v>99</v>
      </c>
      <c r="BB227" s="257">
        <v>5</v>
      </c>
      <c r="BN227" s="251">
        <v>64.853999999999999</v>
      </c>
      <c r="BO227" s="256">
        <v>42200</v>
      </c>
      <c r="BT227" s="251">
        <v>49.778244018554688</v>
      </c>
      <c r="BU227" s="256">
        <v>42200</v>
      </c>
      <c r="BV227" s="251">
        <v>20.667369842529297</v>
      </c>
      <c r="BW227" s="256">
        <v>42200</v>
      </c>
      <c r="BX227" s="251">
        <v>64.92</v>
      </c>
      <c r="BY227" s="256">
        <v>42200</v>
      </c>
      <c r="CD227" s="257">
        <v>6.5</v>
      </c>
      <c r="CE227" s="159">
        <v>42191</v>
      </c>
      <c r="CM227" s="255">
        <v>1</v>
      </c>
      <c r="CN227" s="256">
        <v>42180</v>
      </c>
      <c r="CO227" s="140" t="s">
        <v>8447</v>
      </c>
    </row>
    <row r="228" spans="1:93" ht="15" customHeight="1">
      <c r="A228" s="124" t="s">
        <v>7611</v>
      </c>
      <c r="B228" s="161" t="s">
        <v>7466</v>
      </c>
      <c r="C228" s="268" t="s">
        <v>267</v>
      </c>
      <c r="D228" s="257">
        <v>3</v>
      </c>
      <c r="E228" s="183">
        <v>25</v>
      </c>
      <c r="F228" s="257">
        <v>17</v>
      </c>
      <c r="G228" s="257">
        <v>15</v>
      </c>
      <c r="L228" s="257">
        <v>3</v>
      </c>
      <c r="N228" s="257">
        <v>3.58</v>
      </c>
      <c r="O228" s="159">
        <v>42191</v>
      </c>
      <c r="T228" s="257">
        <v>9.86</v>
      </c>
      <c r="U228" s="256">
        <v>42200</v>
      </c>
      <c r="V228" s="145">
        <v>18.5</v>
      </c>
      <c r="W228" s="159">
        <v>42191</v>
      </c>
      <c r="AD228" s="145">
        <f>(N228/V228)*(((100-CD228)/100)*((100-2)/100))*100</f>
        <v>17.295463783783781</v>
      </c>
      <c r="AF228" s="257">
        <v>19.77</v>
      </c>
      <c r="AG228" s="159">
        <v>42191</v>
      </c>
      <c r="AJ228" s="257">
        <v>130</v>
      </c>
      <c r="AN228" s="257">
        <v>106</v>
      </c>
      <c r="BB228" s="257">
        <v>7</v>
      </c>
      <c r="BN228" s="251">
        <v>62.052</v>
      </c>
      <c r="BO228" s="256">
        <v>42200</v>
      </c>
      <c r="BT228" s="251">
        <v>49.849250793457031</v>
      </c>
      <c r="BU228" s="256">
        <v>42200</v>
      </c>
      <c r="BV228" s="251">
        <v>18.225994110107422</v>
      </c>
      <c r="BW228" s="256">
        <v>42200</v>
      </c>
      <c r="BX228" s="251">
        <v>58.567999999999998</v>
      </c>
      <c r="BY228" s="256">
        <v>42200</v>
      </c>
      <c r="CD228" s="257">
        <v>8.8000000000000007</v>
      </c>
      <c r="CE228" s="159">
        <v>42191</v>
      </c>
      <c r="CM228" s="255">
        <v>5</v>
      </c>
      <c r="CN228" s="256">
        <v>42180</v>
      </c>
      <c r="CO228" s="140" t="s">
        <v>8447</v>
      </c>
    </row>
    <row r="229" spans="1:93" ht="15" customHeight="1">
      <c r="A229" s="124" t="s">
        <v>7706</v>
      </c>
      <c r="B229" s="161" t="s">
        <v>7781</v>
      </c>
      <c r="C229" s="268" t="s">
        <v>269</v>
      </c>
      <c r="D229" s="257">
        <v>2</v>
      </c>
      <c r="E229" s="183">
        <v>120</v>
      </c>
      <c r="F229" s="257">
        <v>12</v>
      </c>
      <c r="G229" s="257">
        <v>14</v>
      </c>
      <c r="L229" s="257">
        <v>7</v>
      </c>
      <c r="N229" s="257">
        <v>3.5</v>
      </c>
      <c r="O229" s="159">
        <v>42191</v>
      </c>
      <c r="T229" s="257">
        <v>9.36</v>
      </c>
      <c r="U229" s="256">
        <v>42200</v>
      </c>
      <c r="V229" s="145">
        <v>18.5</v>
      </c>
      <c r="W229" s="159">
        <v>42191</v>
      </c>
      <c r="AD229" s="145">
        <f>(N229/V229)*(((100-CD229)/100)*((100-2)/100))*100</f>
        <v>17.316864864864868</v>
      </c>
      <c r="AF229" s="257">
        <f>(N229/V229)*(((100-CD229)/(100-9))*100)</f>
        <v>19.417879417879423</v>
      </c>
      <c r="AG229" s="159">
        <v>42191</v>
      </c>
      <c r="AJ229" s="257">
        <v>120</v>
      </c>
      <c r="AN229" s="257">
        <v>99</v>
      </c>
      <c r="BB229" s="257">
        <v>7</v>
      </c>
      <c r="BN229" s="251">
        <v>63.206000000000003</v>
      </c>
      <c r="BO229" s="256">
        <v>42200</v>
      </c>
      <c r="BT229" s="251">
        <v>47.294475555419922</v>
      </c>
      <c r="BU229" s="256">
        <v>42200</v>
      </c>
      <c r="BV229" s="251">
        <v>20.575794219970703</v>
      </c>
      <c r="BW229" s="256">
        <v>42200</v>
      </c>
      <c r="BX229" s="251">
        <v>78.649000000000001</v>
      </c>
      <c r="BY229" s="256">
        <v>42200</v>
      </c>
      <c r="CD229" s="257">
        <v>6.6</v>
      </c>
      <c r="CE229" s="159">
        <v>42191</v>
      </c>
      <c r="CM229" s="255">
        <v>1</v>
      </c>
      <c r="CN229" s="256">
        <v>42180</v>
      </c>
      <c r="CO229" s="140" t="s">
        <v>8448</v>
      </c>
    </row>
    <row r="230" spans="1:93" ht="15" customHeight="1">
      <c r="A230" s="124" t="s">
        <v>7633</v>
      </c>
      <c r="B230" s="161" t="s">
        <v>7486</v>
      </c>
      <c r="C230" s="268" t="s">
        <v>269</v>
      </c>
      <c r="D230" s="257">
        <v>2</v>
      </c>
      <c r="E230" s="183">
        <v>47</v>
      </c>
      <c r="F230" s="257">
        <v>9</v>
      </c>
      <c r="G230" s="257">
        <v>30</v>
      </c>
      <c r="L230" s="257">
        <v>3</v>
      </c>
      <c r="N230" s="257">
        <v>3.51</v>
      </c>
      <c r="O230" s="159">
        <v>42191</v>
      </c>
      <c r="T230" s="257">
        <v>9.9</v>
      </c>
      <c r="U230" s="256">
        <v>42200</v>
      </c>
      <c r="V230" s="145">
        <v>18.5</v>
      </c>
      <c r="W230" s="159">
        <v>42191</v>
      </c>
      <c r="AD230" s="145">
        <f>(N230/V230)*(((100-CD230)/100)*((100-2)/100))*100</f>
        <v>17.329154594594591</v>
      </c>
      <c r="AF230" s="257">
        <v>19.809999999999999</v>
      </c>
      <c r="AG230" s="159">
        <v>42191</v>
      </c>
      <c r="AJ230" s="257">
        <v>100</v>
      </c>
      <c r="AN230" s="257">
        <v>104</v>
      </c>
      <c r="BB230" s="257">
        <v>7</v>
      </c>
      <c r="BN230" s="251">
        <v>62.917999999999999</v>
      </c>
      <c r="BO230" s="256">
        <v>42200</v>
      </c>
      <c r="BT230" s="251">
        <v>49.987106323242188</v>
      </c>
      <c r="BU230" s="256">
        <v>42200</v>
      </c>
      <c r="BV230" s="251">
        <v>18.445667266845703</v>
      </c>
      <c r="BW230" s="256">
        <v>42200</v>
      </c>
      <c r="BX230" s="251">
        <v>22.007999999999999</v>
      </c>
      <c r="BY230" s="256">
        <v>42200</v>
      </c>
      <c r="CD230" s="257">
        <v>6.8</v>
      </c>
      <c r="CE230" s="159">
        <v>42191</v>
      </c>
      <c r="CM230" s="255">
        <v>3</v>
      </c>
      <c r="CN230" s="256">
        <v>42180</v>
      </c>
      <c r="CO230" s="140" t="s">
        <v>8448</v>
      </c>
    </row>
    <row r="231" spans="1:93" ht="15" customHeight="1">
      <c r="A231" s="124" t="s">
        <v>7746</v>
      </c>
      <c r="B231" s="161" t="s">
        <v>7570</v>
      </c>
      <c r="C231" s="268" t="s">
        <v>269</v>
      </c>
      <c r="D231" s="257">
        <v>2</v>
      </c>
      <c r="E231" s="183">
        <v>160</v>
      </c>
      <c r="F231" s="257">
        <v>11</v>
      </c>
      <c r="G231" s="257">
        <v>30</v>
      </c>
      <c r="L231" s="257">
        <v>3</v>
      </c>
      <c r="N231" s="257">
        <v>3.51</v>
      </c>
      <c r="O231" s="159">
        <v>42191</v>
      </c>
      <c r="T231" s="257">
        <v>10.16</v>
      </c>
      <c r="U231" s="256">
        <v>42200</v>
      </c>
      <c r="V231" s="145">
        <v>18.5</v>
      </c>
      <c r="W231" s="159">
        <v>42191</v>
      </c>
      <c r="AD231" s="145">
        <f>(N231/V231)*(((100-CD231)/100)*((100-2)/100))*100</f>
        <v>17.329154594594591</v>
      </c>
      <c r="AF231" s="257">
        <v>19.809999999999999</v>
      </c>
      <c r="AG231" s="159">
        <v>42191</v>
      </c>
      <c r="AJ231" s="257">
        <v>130</v>
      </c>
      <c r="AN231" s="257">
        <v>101</v>
      </c>
      <c r="BB231" s="257">
        <v>9</v>
      </c>
      <c r="BN231" s="251">
        <v>63.734999999999999</v>
      </c>
      <c r="BO231" s="256">
        <v>42200</v>
      </c>
      <c r="BT231" s="251">
        <v>51.310752868652344</v>
      </c>
      <c r="BU231" s="256">
        <v>42200</v>
      </c>
      <c r="BV231" s="251">
        <v>16.517318725585938</v>
      </c>
      <c r="BW231" s="256">
        <v>42200</v>
      </c>
      <c r="BX231" s="251">
        <v>21.096</v>
      </c>
      <c r="BY231" s="256">
        <v>42200</v>
      </c>
      <c r="CD231" s="257">
        <v>6.8</v>
      </c>
      <c r="CE231" s="159">
        <v>42191</v>
      </c>
      <c r="CM231" s="255">
        <v>5</v>
      </c>
      <c r="CN231" s="256">
        <v>42180</v>
      </c>
      <c r="CO231" s="140" t="s">
        <v>8448</v>
      </c>
    </row>
    <row r="232" spans="1:93" ht="15" customHeight="1">
      <c r="A232" s="124" t="s">
        <v>7694</v>
      </c>
      <c r="B232" s="161" t="s">
        <v>7540</v>
      </c>
      <c r="C232" s="268" t="s">
        <v>269</v>
      </c>
      <c r="D232" s="257">
        <v>2</v>
      </c>
      <c r="E232" s="183">
        <v>108</v>
      </c>
      <c r="F232" s="257">
        <v>8</v>
      </c>
      <c r="G232" s="257">
        <v>7</v>
      </c>
      <c r="L232" s="257">
        <v>7</v>
      </c>
      <c r="N232" s="257">
        <v>3.51</v>
      </c>
      <c r="O232" s="159">
        <v>42191</v>
      </c>
      <c r="T232" s="257">
        <v>10.79</v>
      </c>
      <c r="U232" s="256">
        <v>42200</v>
      </c>
      <c r="V232" s="145">
        <v>18.5</v>
      </c>
      <c r="W232" s="159">
        <v>42191</v>
      </c>
      <c r="AD232" s="145">
        <f>(N232/V232)*(((100-CD232)/100)*((100-2)/100))*100</f>
        <v>17.384935135135134</v>
      </c>
      <c r="AF232" s="257">
        <v>19.87</v>
      </c>
      <c r="AG232" s="159">
        <v>42191</v>
      </c>
      <c r="AJ232" s="257">
        <v>135</v>
      </c>
      <c r="AN232" s="257">
        <v>102</v>
      </c>
      <c r="BB232" s="257">
        <v>7</v>
      </c>
      <c r="BN232" s="251">
        <v>64.436000000000007</v>
      </c>
      <c r="BO232" s="256">
        <v>42200</v>
      </c>
      <c r="BT232" s="251">
        <v>54.284564971923828</v>
      </c>
      <c r="BU232" s="256">
        <v>42200</v>
      </c>
      <c r="BV232" s="251">
        <v>16.398277282714844</v>
      </c>
      <c r="BW232" s="256">
        <v>42200</v>
      </c>
      <c r="BX232" s="251">
        <v>19.042000000000002</v>
      </c>
      <c r="BY232" s="256">
        <v>42200</v>
      </c>
      <c r="CD232" s="257">
        <v>6.5</v>
      </c>
      <c r="CE232" s="159">
        <v>42191</v>
      </c>
      <c r="CM232" s="255">
        <v>3</v>
      </c>
      <c r="CN232" s="256">
        <v>42180</v>
      </c>
      <c r="CO232" s="140" t="s">
        <v>8448</v>
      </c>
    </row>
    <row r="233" spans="1:93" ht="15" customHeight="1">
      <c r="A233" s="124" t="s">
        <v>7649</v>
      </c>
      <c r="B233" s="161" t="s">
        <v>7499</v>
      </c>
      <c r="C233" s="268" t="s">
        <v>267</v>
      </c>
      <c r="D233" s="257">
        <v>4</v>
      </c>
      <c r="E233" s="183">
        <v>63</v>
      </c>
      <c r="F233" s="257">
        <v>22</v>
      </c>
      <c r="G233" s="257">
        <v>30</v>
      </c>
      <c r="L233" s="257">
        <v>3</v>
      </c>
      <c r="N233" s="257">
        <v>3.55</v>
      </c>
      <c r="O233" s="159">
        <v>42191</v>
      </c>
      <c r="T233" s="257">
        <v>10.050000000000001</v>
      </c>
      <c r="U233" s="256">
        <v>42200</v>
      </c>
      <c r="V233" s="145">
        <v>18.5</v>
      </c>
      <c r="W233" s="159">
        <v>42191</v>
      </c>
      <c r="AD233" s="145">
        <f>(N233/V233)*(((100-CD233)/100)*((100-2)/100))*100</f>
        <v>17.413805405405402</v>
      </c>
      <c r="AF233" s="257">
        <v>19.91</v>
      </c>
      <c r="AG233" s="159">
        <v>42191</v>
      </c>
      <c r="AJ233" s="257">
        <v>135</v>
      </c>
      <c r="AN233" s="257">
        <v>105</v>
      </c>
      <c r="BB233" s="257">
        <v>7</v>
      </c>
      <c r="BN233" s="251">
        <v>65.44</v>
      </c>
      <c r="BO233" s="256">
        <v>42200</v>
      </c>
      <c r="BT233" s="251">
        <v>50.459617614746094</v>
      </c>
      <c r="BU233" s="256">
        <v>42200</v>
      </c>
      <c r="BV233" s="251">
        <v>18.04356575012207</v>
      </c>
      <c r="BW233" s="256">
        <v>42200</v>
      </c>
      <c r="BX233" s="251">
        <v>13.476000000000001</v>
      </c>
      <c r="BY233" s="256">
        <v>42200</v>
      </c>
      <c r="CD233" s="257">
        <v>7.4</v>
      </c>
      <c r="CE233" s="159">
        <v>42191</v>
      </c>
      <c r="CM233" s="255">
        <v>3</v>
      </c>
      <c r="CN233" s="256">
        <v>42180</v>
      </c>
      <c r="CO233" s="140" t="s">
        <v>8447</v>
      </c>
    </row>
    <row r="234" spans="1:93" ht="15" customHeight="1">
      <c r="A234" s="124" t="s">
        <v>7610</v>
      </c>
      <c r="B234" s="161" t="s">
        <v>7465</v>
      </c>
      <c r="C234" s="268" t="s">
        <v>267</v>
      </c>
      <c r="D234" s="257">
        <v>4</v>
      </c>
      <c r="E234" s="183">
        <v>24</v>
      </c>
      <c r="F234" s="257">
        <v>21</v>
      </c>
      <c r="G234" s="257">
        <v>7</v>
      </c>
      <c r="L234" s="257">
        <v>7</v>
      </c>
      <c r="N234" s="257">
        <v>3.59</v>
      </c>
      <c r="O234" s="159">
        <v>42191</v>
      </c>
      <c r="T234" s="257">
        <v>9.6999999999999993</v>
      </c>
      <c r="U234" s="256">
        <v>42200</v>
      </c>
      <c r="V234" s="145">
        <v>18.5</v>
      </c>
      <c r="W234" s="159">
        <v>42191</v>
      </c>
      <c r="AD234" s="145">
        <f>(N234/V234)*(((100-CD234)/100)*((100-2)/100))*100</f>
        <v>17.476896216216215</v>
      </c>
      <c r="AF234" s="257">
        <v>19.98</v>
      </c>
      <c r="AG234" s="159">
        <v>42191</v>
      </c>
      <c r="AJ234" s="257">
        <v>130</v>
      </c>
      <c r="AN234" s="257">
        <v>105</v>
      </c>
      <c r="BB234" s="257">
        <v>5</v>
      </c>
      <c r="BN234" s="251">
        <v>65.927999999999997</v>
      </c>
      <c r="BO234" s="256">
        <v>42200</v>
      </c>
      <c r="BT234" s="251">
        <v>48.533248901367188</v>
      </c>
      <c r="BU234" s="256">
        <v>42200</v>
      </c>
      <c r="BV234" s="251">
        <v>20.275899887084961</v>
      </c>
      <c r="BW234" s="256">
        <v>42200</v>
      </c>
      <c r="BX234" s="251">
        <v>65.938000000000002</v>
      </c>
      <c r="BY234" s="256">
        <v>42200</v>
      </c>
      <c r="CD234" s="257">
        <v>8.1</v>
      </c>
      <c r="CE234" s="159">
        <v>42191</v>
      </c>
      <c r="CM234" s="255">
        <v>5</v>
      </c>
      <c r="CN234" s="256">
        <v>42180</v>
      </c>
      <c r="CO234" s="140" t="s">
        <v>8447</v>
      </c>
    </row>
    <row r="235" spans="1:93" ht="15" customHeight="1">
      <c r="A235" s="124" t="s">
        <v>7588</v>
      </c>
      <c r="B235" s="161" t="s">
        <v>7768</v>
      </c>
      <c r="C235" s="268" t="s">
        <v>269</v>
      </c>
      <c r="D235" s="257">
        <v>1</v>
      </c>
      <c r="E235" s="183">
        <v>2</v>
      </c>
      <c r="F235" s="257">
        <v>2</v>
      </c>
      <c r="G235" s="257">
        <v>30</v>
      </c>
      <c r="J235" s="266"/>
      <c r="L235" s="257">
        <v>9</v>
      </c>
      <c r="N235" s="257">
        <v>3.54</v>
      </c>
      <c r="O235" s="159">
        <v>42191</v>
      </c>
      <c r="P235" s="144"/>
      <c r="R235" s="145"/>
      <c r="T235" s="257">
        <v>9.57</v>
      </c>
      <c r="U235" s="256">
        <v>42200</v>
      </c>
      <c r="V235" s="145">
        <v>18.5</v>
      </c>
      <c r="W235" s="159">
        <v>42191</v>
      </c>
      <c r="X235" s="145"/>
      <c r="Z235" s="145"/>
      <c r="AB235" s="145"/>
      <c r="AD235" s="145">
        <f>(N235/V235)*(((100-CD235)/100)*((100-2)/100))*100</f>
        <v>17.496019459459458</v>
      </c>
      <c r="AF235" s="257">
        <v>20</v>
      </c>
      <c r="AG235" s="159">
        <v>42191</v>
      </c>
      <c r="AJ235" s="257">
        <v>175</v>
      </c>
      <c r="AL235" s="145"/>
      <c r="AN235" s="257">
        <v>106</v>
      </c>
      <c r="BB235" s="257">
        <v>7</v>
      </c>
      <c r="BN235" s="251">
        <v>65.638000000000005</v>
      </c>
      <c r="BO235" s="256">
        <v>42200</v>
      </c>
      <c r="BT235" s="251">
        <v>47.85284423828125</v>
      </c>
      <c r="BU235" s="256">
        <v>42200</v>
      </c>
      <c r="BV235" s="251">
        <v>19.939857482910156</v>
      </c>
      <c r="BW235" s="256">
        <v>42200</v>
      </c>
      <c r="BX235" s="251">
        <v>62.515000000000001</v>
      </c>
      <c r="BY235" s="256">
        <v>42200</v>
      </c>
      <c r="CD235" s="257">
        <v>6.7</v>
      </c>
      <c r="CE235" s="159">
        <v>42191</v>
      </c>
      <c r="CM235" s="255">
        <v>5</v>
      </c>
      <c r="CN235" s="256">
        <v>42180</v>
      </c>
      <c r="CO235" s="140" t="s">
        <v>8447</v>
      </c>
    </row>
    <row r="236" spans="1:93" ht="15" customHeight="1">
      <c r="A236" s="124" t="s">
        <v>7656</v>
      </c>
      <c r="B236" s="161" t="s">
        <v>7505</v>
      </c>
      <c r="C236" s="268" t="s">
        <v>269</v>
      </c>
      <c r="D236" s="257">
        <v>2</v>
      </c>
      <c r="E236" s="183">
        <v>70</v>
      </c>
      <c r="F236" s="257">
        <v>7</v>
      </c>
      <c r="G236" s="257">
        <v>13</v>
      </c>
      <c r="L236" s="257">
        <v>6</v>
      </c>
      <c r="N236" s="257">
        <v>3.54</v>
      </c>
      <c r="O236" s="159">
        <v>42191</v>
      </c>
      <c r="T236" s="257">
        <v>10.42</v>
      </c>
      <c r="U236" s="256">
        <v>42200</v>
      </c>
      <c r="V236" s="145">
        <v>18.5</v>
      </c>
      <c r="W236" s="159">
        <v>42191</v>
      </c>
      <c r="AD236" s="145">
        <f>(N236/V236)*(((100-CD236)/100)*((100-2)/100))*100</f>
        <v>17.533524324324322</v>
      </c>
      <c r="AF236" s="257">
        <v>20.04</v>
      </c>
      <c r="AG236" s="159">
        <v>42191</v>
      </c>
      <c r="AJ236" s="257">
        <v>135</v>
      </c>
      <c r="AN236" s="257">
        <v>105</v>
      </c>
      <c r="BB236" s="257">
        <v>7</v>
      </c>
      <c r="BN236" s="251">
        <v>62.292000000000002</v>
      </c>
      <c r="BO236" s="256">
        <v>42200</v>
      </c>
      <c r="BT236" s="251">
        <v>51.977016448974609</v>
      </c>
      <c r="BU236" s="256">
        <v>42200</v>
      </c>
      <c r="BV236" s="251">
        <v>16.040899276733398</v>
      </c>
      <c r="BW236" s="256">
        <v>42200</v>
      </c>
      <c r="BX236" s="251">
        <v>15.51</v>
      </c>
      <c r="BY236" s="256">
        <v>42200</v>
      </c>
      <c r="CD236" s="257">
        <v>6.5</v>
      </c>
      <c r="CE236" s="159">
        <v>42191</v>
      </c>
      <c r="CM236" s="255">
        <v>3</v>
      </c>
      <c r="CN236" s="256">
        <v>42180</v>
      </c>
      <c r="CO236" s="140" t="s">
        <v>8448</v>
      </c>
    </row>
    <row r="237" spans="1:93" ht="15" customHeight="1">
      <c r="A237" s="124" t="s">
        <v>7645</v>
      </c>
      <c r="B237" s="161" t="s">
        <v>260</v>
      </c>
      <c r="C237" s="268" t="s">
        <v>267</v>
      </c>
      <c r="D237" s="257">
        <v>4</v>
      </c>
      <c r="E237" s="183">
        <v>59</v>
      </c>
      <c r="F237" s="257">
        <v>23</v>
      </c>
      <c r="G237" s="257">
        <v>14</v>
      </c>
      <c r="L237" s="257">
        <v>5</v>
      </c>
      <c r="N237" s="257">
        <v>3.59</v>
      </c>
      <c r="O237" s="159">
        <v>42191</v>
      </c>
      <c r="T237" s="257">
        <v>9.81</v>
      </c>
      <c r="U237" s="256">
        <v>42200</v>
      </c>
      <c r="V237" s="145">
        <v>18.5</v>
      </c>
      <c r="W237" s="159">
        <v>42191</v>
      </c>
      <c r="AD237" s="145">
        <f>(N237/V237)*(((100-CD237)/100)*((100-2)/100))*100</f>
        <v>17.533948108108106</v>
      </c>
      <c r="AF237" s="257">
        <v>20.04</v>
      </c>
      <c r="AG237" s="159">
        <v>42191</v>
      </c>
      <c r="AJ237" s="257">
        <v>115</v>
      </c>
      <c r="AN237" s="257">
        <v>103</v>
      </c>
      <c r="BB237" s="257">
        <v>7</v>
      </c>
      <c r="BN237" s="251">
        <v>63.835000000000001</v>
      </c>
      <c r="BO237" s="256">
        <v>42200</v>
      </c>
      <c r="BT237" s="251">
        <v>48.956398010253906</v>
      </c>
      <c r="BU237" s="256">
        <v>42200</v>
      </c>
      <c r="BV237" s="251">
        <v>18.853052139282227</v>
      </c>
      <c r="BW237" s="256">
        <v>42200</v>
      </c>
      <c r="BX237" s="251">
        <v>18.568000000000001</v>
      </c>
      <c r="BY237" s="256">
        <v>42200</v>
      </c>
      <c r="CD237" s="257">
        <v>7.8</v>
      </c>
      <c r="CE237" s="159">
        <v>42191</v>
      </c>
      <c r="CM237" s="255">
        <v>3</v>
      </c>
      <c r="CN237" s="256">
        <v>42180</v>
      </c>
      <c r="CO237" s="140" t="s">
        <v>8447</v>
      </c>
    </row>
    <row r="238" spans="1:93" ht="15" customHeight="1">
      <c r="A238" s="124" t="s">
        <v>7592</v>
      </c>
      <c r="B238" s="161" t="s">
        <v>7770</v>
      </c>
      <c r="C238" s="268" t="s">
        <v>269</v>
      </c>
      <c r="D238" s="257">
        <v>2</v>
      </c>
      <c r="E238" s="183">
        <v>6</v>
      </c>
      <c r="F238" s="257">
        <v>9</v>
      </c>
      <c r="G238" s="257">
        <v>15</v>
      </c>
      <c r="J238" s="266"/>
      <c r="L238" s="257">
        <v>9</v>
      </c>
      <c r="N238" s="257">
        <v>3.56</v>
      </c>
      <c r="O238" s="159">
        <v>42191</v>
      </c>
      <c r="P238" s="144"/>
      <c r="R238" s="145"/>
      <c r="T238" s="257">
        <v>9.4700000000000006</v>
      </c>
      <c r="U238" s="256">
        <v>42200</v>
      </c>
      <c r="V238" s="145">
        <v>18.5</v>
      </c>
      <c r="W238" s="159">
        <v>42191</v>
      </c>
      <c r="X238" s="145"/>
      <c r="Z238" s="145"/>
      <c r="AB238" s="145"/>
      <c r="AD238" s="145">
        <f>(N238/V238)*(((100-CD238)/100)*((100-2)/100))*100</f>
        <v>17.538291891891891</v>
      </c>
      <c r="AF238" s="257">
        <v>20.05</v>
      </c>
      <c r="AG238" s="159">
        <v>42191</v>
      </c>
      <c r="AJ238" s="257">
        <v>155</v>
      </c>
      <c r="AL238" s="145"/>
      <c r="AN238" s="257">
        <v>106</v>
      </c>
      <c r="BB238" s="257">
        <v>7</v>
      </c>
      <c r="BN238" s="251">
        <v>67.671000000000006</v>
      </c>
      <c r="BO238" s="256">
        <v>42200</v>
      </c>
      <c r="BT238" s="251">
        <v>47.233505249023438</v>
      </c>
      <c r="BU238" s="256">
        <v>42200</v>
      </c>
      <c r="BV238" s="251">
        <v>20.682842254638672</v>
      </c>
      <c r="BW238" s="256">
        <v>42200</v>
      </c>
      <c r="BX238" s="251">
        <v>70.242000000000004</v>
      </c>
      <c r="BY238" s="256">
        <v>42200</v>
      </c>
      <c r="CD238" s="257">
        <v>7</v>
      </c>
      <c r="CE238" s="159">
        <v>42191</v>
      </c>
      <c r="CM238" s="255">
        <v>3</v>
      </c>
      <c r="CN238" s="256">
        <v>42180</v>
      </c>
      <c r="CO238" s="140" t="s">
        <v>8448</v>
      </c>
    </row>
    <row r="239" spans="1:93" ht="15" customHeight="1">
      <c r="A239" s="124" t="s">
        <v>7684</v>
      </c>
      <c r="B239" s="161" t="s">
        <v>7531</v>
      </c>
      <c r="C239" s="268" t="s">
        <v>267</v>
      </c>
      <c r="D239" s="257">
        <v>4</v>
      </c>
      <c r="E239" s="183">
        <v>98</v>
      </c>
      <c r="F239" s="257">
        <v>21</v>
      </c>
      <c r="G239" s="257">
        <v>32</v>
      </c>
      <c r="L239" s="257">
        <v>9</v>
      </c>
      <c r="N239" s="257">
        <v>3.59</v>
      </c>
      <c r="O239" s="159">
        <v>42191</v>
      </c>
      <c r="T239" s="257">
        <v>10.42</v>
      </c>
      <c r="U239" s="256">
        <v>42200</v>
      </c>
      <c r="V239" s="145">
        <v>18.5</v>
      </c>
      <c r="W239" s="159">
        <v>42191</v>
      </c>
      <c r="AD239" s="145">
        <f>(N239/V239)*(((100-CD239)/100)*((100-2)/100))*100</f>
        <v>17.667069189189188</v>
      </c>
      <c r="AF239" s="257">
        <v>20.2</v>
      </c>
      <c r="AG239" s="159">
        <v>42191</v>
      </c>
      <c r="AJ239" s="257">
        <v>115</v>
      </c>
      <c r="AN239" s="257">
        <v>100</v>
      </c>
      <c r="BB239" s="257">
        <v>7</v>
      </c>
      <c r="BN239" s="251">
        <v>63.929000000000002</v>
      </c>
      <c r="BO239" s="256">
        <v>42200</v>
      </c>
      <c r="BT239" s="251">
        <v>51.599990844726562</v>
      </c>
      <c r="BU239" s="256">
        <v>42200</v>
      </c>
      <c r="BV239" s="251">
        <v>16.512510299682617</v>
      </c>
      <c r="BW239" s="256">
        <v>42200</v>
      </c>
      <c r="BX239" s="251">
        <v>21.17</v>
      </c>
      <c r="BY239" s="256">
        <v>42200</v>
      </c>
      <c r="CD239" s="257">
        <v>7.1</v>
      </c>
      <c r="CE239" s="159">
        <v>42191</v>
      </c>
      <c r="CM239" s="255">
        <v>3</v>
      </c>
      <c r="CN239" s="256">
        <v>42180</v>
      </c>
      <c r="CO239" s="140" t="s">
        <v>8447</v>
      </c>
    </row>
    <row r="240" spans="1:93" ht="15" customHeight="1">
      <c r="A240" s="124" t="s">
        <v>7587</v>
      </c>
      <c r="B240" s="161" t="s">
        <v>7767</v>
      </c>
      <c r="C240" s="268" t="s">
        <v>269</v>
      </c>
      <c r="D240" s="257">
        <v>1</v>
      </c>
      <c r="E240" s="183">
        <v>1</v>
      </c>
      <c r="F240" s="257">
        <v>6</v>
      </c>
      <c r="G240" s="257">
        <v>21</v>
      </c>
      <c r="J240" s="266"/>
      <c r="L240" s="257">
        <v>9</v>
      </c>
      <c r="N240" s="257">
        <v>3.56</v>
      </c>
      <c r="O240" s="159">
        <v>42191</v>
      </c>
      <c r="P240" s="144"/>
      <c r="R240" s="145"/>
      <c r="T240" s="257">
        <v>9.64</v>
      </c>
      <c r="U240" s="256">
        <v>42200</v>
      </c>
      <c r="V240" s="145">
        <v>18.5</v>
      </c>
      <c r="W240" s="159">
        <v>42191</v>
      </c>
      <c r="X240" s="145"/>
      <c r="Z240" s="145"/>
      <c r="AB240" s="145"/>
      <c r="AD240" s="145">
        <f>(N240/V240)*(((100-CD240)/100)*((100-2)/100))*100</f>
        <v>17.689158918918917</v>
      </c>
      <c r="AF240" s="257">
        <v>20.22</v>
      </c>
      <c r="AG240" s="159">
        <v>42191</v>
      </c>
      <c r="AJ240" s="257">
        <v>120</v>
      </c>
      <c r="AL240" s="145"/>
      <c r="AN240" s="257">
        <v>107</v>
      </c>
      <c r="BB240" s="257">
        <v>3</v>
      </c>
      <c r="BN240" s="251">
        <v>65.38</v>
      </c>
      <c r="BO240" s="256">
        <v>42200</v>
      </c>
      <c r="BT240" s="251">
        <v>47.685100555419922</v>
      </c>
      <c r="BU240" s="256">
        <v>42200</v>
      </c>
      <c r="BV240" s="251">
        <v>19.501703262329102</v>
      </c>
      <c r="BW240" s="256">
        <v>42200</v>
      </c>
      <c r="BX240" s="251">
        <v>54.993000000000002</v>
      </c>
      <c r="BY240" s="256">
        <v>42200</v>
      </c>
      <c r="CD240" s="257">
        <v>6.2</v>
      </c>
      <c r="CE240" s="159">
        <v>42191</v>
      </c>
      <c r="CM240" s="255">
        <v>5</v>
      </c>
      <c r="CN240" s="256">
        <v>42180</v>
      </c>
      <c r="CO240" s="140" t="s">
        <v>8447</v>
      </c>
    </row>
    <row r="241" spans="1:93" ht="15" customHeight="1">
      <c r="A241" s="137" t="s">
        <v>8455</v>
      </c>
      <c r="B241" s="161" t="s">
        <v>8478</v>
      </c>
      <c r="C241" s="268" t="s">
        <v>269</v>
      </c>
      <c r="D241" s="269">
        <v>2</v>
      </c>
      <c r="E241" s="280">
        <v>6</v>
      </c>
      <c r="F241" s="269"/>
      <c r="G241" s="269"/>
      <c r="H241" s="271">
        <v>11</v>
      </c>
      <c r="I241" s="271">
        <v>3</v>
      </c>
      <c r="J241" s="282"/>
      <c r="K241" s="273"/>
      <c r="L241" s="269">
        <v>8</v>
      </c>
      <c r="M241" s="274"/>
      <c r="N241" s="269">
        <v>3.62</v>
      </c>
      <c r="O241" s="274">
        <v>42191</v>
      </c>
      <c r="P241" s="272"/>
      <c r="Q241" s="274"/>
      <c r="R241" s="275"/>
      <c r="S241" s="274"/>
      <c r="T241" s="269">
        <v>9.9600000000000009</v>
      </c>
      <c r="U241" s="276">
        <v>42200</v>
      </c>
      <c r="V241" s="275">
        <v>18.5</v>
      </c>
      <c r="W241" s="274">
        <v>42191</v>
      </c>
      <c r="X241" s="275"/>
      <c r="Y241" s="274"/>
      <c r="Z241" s="275"/>
      <c r="AA241" s="274"/>
      <c r="AB241" s="275"/>
      <c r="AC241" s="274"/>
      <c r="AD241" s="145">
        <f>(N241/V241)*(((100-CD241)/100)*((100-2)/100))*100</f>
        <v>17.776352432432432</v>
      </c>
      <c r="AE241" s="274"/>
      <c r="AF241" s="269">
        <v>20.32</v>
      </c>
      <c r="AG241" s="274">
        <v>42191</v>
      </c>
      <c r="AH241" s="274"/>
      <c r="AI241" s="274"/>
      <c r="AJ241" s="269">
        <v>135</v>
      </c>
      <c r="AK241" s="274"/>
      <c r="AL241" s="275"/>
      <c r="AM241" s="274"/>
      <c r="AN241" s="269">
        <v>103</v>
      </c>
      <c r="AO241" s="274"/>
      <c r="AP241" s="275"/>
      <c r="AQ241" s="275"/>
      <c r="AR241" s="275"/>
      <c r="AS241" s="275"/>
      <c r="AT241" s="275"/>
      <c r="AU241" s="275"/>
      <c r="AV241" s="275"/>
      <c r="AW241" s="275"/>
      <c r="AX241" s="275"/>
      <c r="AY241" s="275"/>
      <c r="AZ241" s="275"/>
      <c r="BA241" s="275"/>
      <c r="BB241" s="269">
        <v>5</v>
      </c>
      <c r="BC241" s="275"/>
      <c r="BD241" s="275"/>
      <c r="BE241" s="275"/>
      <c r="BF241" s="272"/>
      <c r="BG241" s="272"/>
      <c r="BH241" s="272"/>
      <c r="BI241" s="272"/>
      <c r="BJ241" s="272"/>
      <c r="BK241" s="272"/>
      <c r="BL241" s="272"/>
      <c r="BM241" s="272"/>
      <c r="BN241" s="284">
        <v>65.376999999999995</v>
      </c>
      <c r="BO241" s="276">
        <v>42200</v>
      </c>
      <c r="BP241" s="272"/>
      <c r="BQ241" s="272"/>
      <c r="BR241" s="272"/>
      <c r="BS241" s="272"/>
      <c r="BT241" s="284">
        <v>49.03</v>
      </c>
      <c r="BU241" s="276">
        <v>42200</v>
      </c>
      <c r="BV241" s="284">
        <v>19.997556686401367</v>
      </c>
      <c r="BW241" s="276">
        <v>42200</v>
      </c>
      <c r="BX241" s="284">
        <v>83.227999999999994</v>
      </c>
      <c r="BY241" s="276">
        <v>42200</v>
      </c>
      <c r="BZ241" s="272"/>
      <c r="CA241" s="272"/>
      <c r="CB241" s="272"/>
      <c r="CC241" s="272"/>
      <c r="CD241" s="269">
        <v>7.3</v>
      </c>
      <c r="CE241" s="274">
        <v>42191</v>
      </c>
      <c r="CF241" s="272"/>
      <c r="CG241" s="272"/>
      <c r="CH241" s="272"/>
      <c r="CI241" s="272"/>
      <c r="CJ241" s="272"/>
      <c r="CK241" s="272"/>
      <c r="CL241" s="272"/>
      <c r="CM241" s="278">
        <v>3</v>
      </c>
      <c r="CN241" s="276">
        <v>42180</v>
      </c>
      <c r="CO241" s="272" t="s">
        <v>8447</v>
      </c>
    </row>
    <row r="242" spans="1:93" ht="15" customHeight="1">
      <c r="A242" s="124" t="s">
        <v>7654</v>
      </c>
      <c r="B242" s="161" t="s">
        <v>264</v>
      </c>
      <c r="C242" s="268" t="s">
        <v>269</v>
      </c>
      <c r="D242" s="257">
        <v>2</v>
      </c>
      <c r="E242" s="183">
        <v>68</v>
      </c>
      <c r="F242" s="257">
        <v>8</v>
      </c>
      <c r="G242" s="257">
        <v>4</v>
      </c>
      <c r="L242" s="257">
        <v>9</v>
      </c>
      <c r="N242" s="257">
        <v>3.61</v>
      </c>
      <c r="O242" s="159">
        <v>42191</v>
      </c>
      <c r="T242" s="257">
        <v>10.67</v>
      </c>
      <c r="U242" s="256">
        <v>42200</v>
      </c>
      <c r="V242" s="145">
        <v>18.5</v>
      </c>
      <c r="W242" s="159">
        <v>42191</v>
      </c>
      <c r="AD242" s="145">
        <f>(N242/V242)*(((100-CD242)/100)*((100-2)/100))*100</f>
        <v>17.822862702702704</v>
      </c>
      <c r="AF242" s="257">
        <f>(N242/V242)*(((100-CD242)/(100-9))*100)</f>
        <v>19.98526878526879</v>
      </c>
      <c r="AG242" s="159">
        <v>42191</v>
      </c>
      <c r="AJ242" s="257">
        <v>125</v>
      </c>
      <c r="AN242" s="257">
        <v>100</v>
      </c>
      <c r="BB242" s="257">
        <v>5</v>
      </c>
      <c r="BN242" s="251">
        <v>65.581000000000003</v>
      </c>
      <c r="BO242" s="256">
        <v>42200</v>
      </c>
      <c r="BT242" s="251">
        <v>52.383155822753906</v>
      </c>
      <c r="BU242" s="256">
        <v>42200</v>
      </c>
      <c r="BV242" s="251">
        <v>16.37742805480957</v>
      </c>
      <c r="BW242" s="256">
        <v>42200</v>
      </c>
      <c r="BX242" s="251">
        <v>18.303999999999998</v>
      </c>
      <c r="BY242" s="256">
        <v>42200</v>
      </c>
      <c r="CD242" s="257">
        <v>6.8</v>
      </c>
      <c r="CE242" s="159">
        <v>42191</v>
      </c>
      <c r="CM242" s="255">
        <v>1</v>
      </c>
      <c r="CN242" s="256">
        <v>42180</v>
      </c>
      <c r="CO242" s="140" t="s">
        <v>8448</v>
      </c>
    </row>
    <row r="243" spans="1:93" ht="15" customHeight="1">
      <c r="A243" s="137" t="s">
        <v>8465</v>
      </c>
      <c r="B243" s="161" t="s">
        <v>8488</v>
      </c>
      <c r="C243" s="268" t="s">
        <v>269</v>
      </c>
      <c r="D243" s="269">
        <v>2</v>
      </c>
      <c r="E243" s="280">
        <v>16</v>
      </c>
      <c r="F243" s="269"/>
      <c r="G243" s="269"/>
      <c r="H243" s="271">
        <v>12</v>
      </c>
      <c r="I243" s="271">
        <v>3</v>
      </c>
      <c r="J243" s="282"/>
      <c r="K243" s="273"/>
      <c r="L243" s="269">
        <v>8</v>
      </c>
      <c r="M243" s="274"/>
      <c r="N243" s="269">
        <v>3.65</v>
      </c>
      <c r="O243" s="274">
        <v>42191</v>
      </c>
      <c r="P243" s="272"/>
      <c r="Q243" s="274"/>
      <c r="R243" s="275"/>
      <c r="S243" s="274"/>
      <c r="T243" s="269">
        <v>9.69</v>
      </c>
      <c r="U243" s="276">
        <v>42200</v>
      </c>
      <c r="V243" s="275">
        <v>18.5</v>
      </c>
      <c r="W243" s="274">
        <v>42191</v>
      </c>
      <c r="X243" s="275"/>
      <c r="Y243" s="274"/>
      <c r="Z243" s="275"/>
      <c r="AA243" s="274"/>
      <c r="AB243" s="275"/>
      <c r="AC243" s="274"/>
      <c r="AD243" s="145">
        <f>(N243/V243)*(((100-CD243)/100)*((100-2)/100))*100</f>
        <v>17.826994594594595</v>
      </c>
      <c r="AE243" s="274"/>
      <c r="AF243" s="269">
        <v>20.38</v>
      </c>
      <c r="AG243" s="274">
        <v>42191</v>
      </c>
      <c r="AH243" s="274"/>
      <c r="AI243" s="274"/>
      <c r="AJ243" s="269">
        <v>140</v>
      </c>
      <c r="AK243" s="274"/>
      <c r="AL243" s="275"/>
      <c r="AM243" s="274"/>
      <c r="AN243" s="269">
        <v>107</v>
      </c>
      <c r="AO243" s="274"/>
      <c r="AP243" s="275"/>
      <c r="AQ243" s="275"/>
      <c r="AR243" s="275"/>
      <c r="AS243" s="275"/>
      <c r="AT243" s="275"/>
      <c r="AU243" s="275"/>
      <c r="AV243" s="275"/>
      <c r="AW243" s="275"/>
      <c r="AX243" s="275"/>
      <c r="AY243" s="275"/>
      <c r="AZ243" s="275"/>
      <c r="BA243" s="275"/>
      <c r="BB243" s="269">
        <v>7</v>
      </c>
      <c r="BC243" s="275"/>
      <c r="BD243" s="275"/>
      <c r="BE243" s="275"/>
      <c r="BF243" s="272"/>
      <c r="BG243" s="272"/>
      <c r="BH243" s="272"/>
      <c r="BI243" s="272"/>
      <c r="BJ243" s="272"/>
      <c r="BK243" s="272"/>
      <c r="BL243" s="272"/>
      <c r="BM243" s="272"/>
      <c r="BN243" s="284">
        <v>66.049000000000007</v>
      </c>
      <c r="BO243" s="276">
        <v>42200</v>
      </c>
      <c r="BP243" s="272"/>
      <c r="BQ243" s="272"/>
      <c r="BR243" s="272"/>
      <c r="BS243" s="272"/>
      <c r="BT243" s="284">
        <v>47.53</v>
      </c>
      <c r="BU243" s="276">
        <v>42200</v>
      </c>
      <c r="BV243" s="284">
        <v>20.697044372558594</v>
      </c>
      <c r="BW243" s="276">
        <v>42200</v>
      </c>
      <c r="BX243" s="284">
        <v>78.415999999999997</v>
      </c>
      <c r="BY243" s="276">
        <v>42200</v>
      </c>
      <c r="BZ243" s="272"/>
      <c r="CA243" s="272"/>
      <c r="CB243" s="272"/>
      <c r="CC243" s="272"/>
      <c r="CD243" s="269">
        <v>7.8</v>
      </c>
      <c r="CE243" s="274">
        <v>42191</v>
      </c>
      <c r="CF243" s="272"/>
      <c r="CG243" s="272"/>
      <c r="CH243" s="272"/>
      <c r="CI243" s="272"/>
      <c r="CJ243" s="272"/>
      <c r="CK243" s="272"/>
      <c r="CL243" s="272"/>
      <c r="CM243" s="278">
        <v>5</v>
      </c>
      <c r="CN243" s="276">
        <v>42180</v>
      </c>
      <c r="CO243" s="272" t="s">
        <v>8447</v>
      </c>
    </row>
    <row r="244" spans="1:93" ht="15" customHeight="1">
      <c r="A244" s="124" t="s">
        <v>7676</v>
      </c>
      <c r="B244" s="161" t="s">
        <v>7525</v>
      </c>
      <c r="C244" s="268" t="s">
        <v>269</v>
      </c>
      <c r="D244" s="257">
        <v>2</v>
      </c>
      <c r="E244" s="183">
        <v>90</v>
      </c>
      <c r="F244" s="257">
        <v>11</v>
      </c>
      <c r="G244" s="257">
        <v>2</v>
      </c>
      <c r="L244" s="257">
        <v>3</v>
      </c>
      <c r="N244" s="257">
        <v>3.62</v>
      </c>
      <c r="O244" s="159">
        <v>42191</v>
      </c>
      <c r="T244" s="257">
        <v>10.46</v>
      </c>
      <c r="U244" s="256">
        <v>42200</v>
      </c>
      <c r="V244" s="145">
        <v>18.5</v>
      </c>
      <c r="W244" s="159">
        <v>42191</v>
      </c>
      <c r="AD244" s="145">
        <f>(N244/V244)*(((100-CD244)/100)*((100-2)/100))*100</f>
        <v>17.833881081081081</v>
      </c>
      <c r="AF244" s="257">
        <v>20.39</v>
      </c>
      <c r="AG244" s="159">
        <v>42191</v>
      </c>
      <c r="AJ244" s="257">
        <v>125</v>
      </c>
      <c r="AN244" s="257">
        <v>103</v>
      </c>
      <c r="BB244" s="257">
        <v>7</v>
      </c>
      <c r="BN244" s="251">
        <v>63.122999999999998</v>
      </c>
      <c r="BO244" s="256">
        <v>42200</v>
      </c>
      <c r="BT244" s="251">
        <v>51.301647186279297</v>
      </c>
      <c r="BU244" s="256">
        <v>42200</v>
      </c>
      <c r="BV244" s="251">
        <v>15.191813468933105</v>
      </c>
      <c r="BW244" s="256">
        <v>42200</v>
      </c>
      <c r="BX244" s="251">
        <v>15.430999999999999</v>
      </c>
      <c r="BY244" s="256">
        <v>42200</v>
      </c>
      <c r="CD244" s="257">
        <v>7</v>
      </c>
      <c r="CE244" s="159">
        <v>42191</v>
      </c>
      <c r="CM244" s="255">
        <v>3</v>
      </c>
      <c r="CN244" s="256">
        <v>42180</v>
      </c>
      <c r="CO244" s="140" t="s">
        <v>8448</v>
      </c>
    </row>
    <row r="245" spans="1:93" ht="15" customHeight="1">
      <c r="A245" s="124" t="s">
        <v>7600</v>
      </c>
      <c r="B245" s="161" t="s">
        <v>7456</v>
      </c>
      <c r="C245" s="268" t="s">
        <v>267</v>
      </c>
      <c r="D245" s="257">
        <v>3</v>
      </c>
      <c r="E245" s="183">
        <v>14</v>
      </c>
      <c r="F245" s="257">
        <v>14</v>
      </c>
      <c r="G245" s="257">
        <v>5</v>
      </c>
      <c r="J245" s="266"/>
      <c r="L245" s="257">
        <v>9</v>
      </c>
      <c r="N245" s="257">
        <v>3.66</v>
      </c>
      <c r="O245" s="159">
        <v>42191</v>
      </c>
      <c r="P245" s="144"/>
      <c r="R245" s="145"/>
      <c r="T245" s="257">
        <v>9.94</v>
      </c>
      <c r="U245" s="256">
        <v>42200</v>
      </c>
      <c r="V245" s="145">
        <v>18.5</v>
      </c>
      <c r="W245" s="159">
        <v>42191</v>
      </c>
      <c r="X245" s="145"/>
      <c r="Z245" s="145"/>
      <c r="AB245" s="145"/>
      <c r="AD245" s="145">
        <f>(N245/V245)*(((100-CD245)/100)*((100-2)/100))*100</f>
        <v>17.837059459459461</v>
      </c>
      <c r="AF245" s="257">
        <v>20.39</v>
      </c>
      <c r="AG245" s="159">
        <v>42191</v>
      </c>
      <c r="AJ245" s="257">
        <v>125</v>
      </c>
      <c r="AL245" s="145"/>
      <c r="AN245" s="257">
        <v>103</v>
      </c>
      <c r="BB245" s="257">
        <v>5</v>
      </c>
      <c r="BN245" s="251">
        <v>64.596000000000004</v>
      </c>
      <c r="BO245" s="256">
        <v>42200</v>
      </c>
      <c r="BT245" s="251">
        <v>48.736087799072266</v>
      </c>
      <c r="BU245" s="256">
        <v>42200</v>
      </c>
      <c r="BV245" s="251">
        <v>19.724573135375977</v>
      </c>
      <c r="BW245" s="256">
        <v>42200</v>
      </c>
      <c r="BX245" s="251">
        <v>51.847999999999999</v>
      </c>
      <c r="BY245" s="256">
        <v>42200</v>
      </c>
      <c r="CD245" s="257">
        <v>8</v>
      </c>
      <c r="CE245" s="159">
        <v>42191</v>
      </c>
      <c r="CM245" s="255">
        <v>3</v>
      </c>
      <c r="CN245" s="256">
        <v>42180</v>
      </c>
      <c r="CO245" s="140" t="s">
        <v>8447</v>
      </c>
    </row>
    <row r="246" spans="1:93" ht="15" customHeight="1">
      <c r="A246" s="124" t="s">
        <v>7661</v>
      </c>
      <c r="B246" s="161" t="s">
        <v>7510</v>
      </c>
      <c r="C246" s="268" t="s">
        <v>267</v>
      </c>
      <c r="D246" s="257">
        <v>3</v>
      </c>
      <c r="E246" s="183">
        <v>75</v>
      </c>
      <c r="F246" s="257">
        <v>17</v>
      </c>
      <c r="G246" s="257">
        <v>2</v>
      </c>
      <c r="L246" s="257">
        <v>5</v>
      </c>
      <c r="N246" s="257">
        <v>3.71</v>
      </c>
      <c r="O246" s="159">
        <v>42191</v>
      </c>
      <c r="T246" s="257">
        <v>10.18</v>
      </c>
      <c r="U246" s="256">
        <v>42200</v>
      </c>
      <c r="V246" s="145">
        <v>18.5</v>
      </c>
      <c r="W246" s="159">
        <v>42191</v>
      </c>
      <c r="AD246" s="145">
        <f>(N246/V246)*(((100-CD246)/100)*((100-2)/100))*100</f>
        <v>17.844899459459455</v>
      </c>
      <c r="AF246" s="257">
        <f>(N246/V246)*(((100-CD246)/(100-9))*100)</f>
        <v>20.00997920997921</v>
      </c>
      <c r="AG246" s="159">
        <v>42191</v>
      </c>
      <c r="AJ246" s="257">
        <v>95</v>
      </c>
      <c r="AN246" s="257">
        <v>103</v>
      </c>
      <c r="BB246" s="257">
        <v>7</v>
      </c>
      <c r="BN246" s="251">
        <v>61.948</v>
      </c>
      <c r="BO246" s="256">
        <v>42200</v>
      </c>
      <c r="BT246" s="251">
        <v>49.896614074707031</v>
      </c>
      <c r="BU246" s="256">
        <v>42200</v>
      </c>
      <c r="BV246" s="251">
        <v>18.758203506469727</v>
      </c>
      <c r="BW246" s="256">
        <v>42200</v>
      </c>
      <c r="BX246" s="251">
        <v>20.395</v>
      </c>
      <c r="BY246" s="256">
        <v>42200</v>
      </c>
      <c r="CD246" s="257">
        <v>9.1999999999999993</v>
      </c>
      <c r="CE246" s="159">
        <v>42191</v>
      </c>
      <c r="CM246" s="255">
        <v>1</v>
      </c>
      <c r="CN246" s="256">
        <v>42180</v>
      </c>
      <c r="CO246" s="140" t="s">
        <v>8447</v>
      </c>
    </row>
    <row r="247" spans="1:93" ht="15" customHeight="1">
      <c r="A247" s="124" t="s">
        <v>7604</v>
      </c>
      <c r="B247" s="161" t="s">
        <v>7459</v>
      </c>
      <c r="C247" s="268" t="s">
        <v>267</v>
      </c>
      <c r="D247" s="257">
        <v>4</v>
      </c>
      <c r="E247" s="183">
        <v>18</v>
      </c>
      <c r="F247" s="257">
        <v>23</v>
      </c>
      <c r="G247" s="257">
        <v>11</v>
      </c>
      <c r="J247" s="266"/>
      <c r="L247" s="257">
        <v>6</v>
      </c>
      <c r="N247" s="257">
        <v>3.66</v>
      </c>
      <c r="O247" s="159">
        <v>42191</v>
      </c>
      <c r="P247" s="144"/>
      <c r="R247" s="145"/>
      <c r="T247" s="257">
        <v>10.16</v>
      </c>
      <c r="U247" s="256">
        <v>42200</v>
      </c>
      <c r="V247" s="145">
        <v>18.5</v>
      </c>
      <c r="W247" s="159">
        <v>42191</v>
      </c>
      <c r="X247" s="145"/>
      <c r="Z247" s="145"/>
      <c r="AB247" s="145"/>
      <c r="AD247" s="145">
        <f>(N247/V247)*(((100-CD247)/100)*((100-2)/100))*100</f>
        <v>17.972776216216218</v>
      </c>
      <c r="AF247" s="257">
        <f>(N247/V247)*(((100-CD247)/(100-9))*100)</f>
        <v>20.153370953370953</v>
      </c>
      <c r="AG247" s="159">
        <v>42191</v>
      </c>
      <c r="AJ247" s="257">
        <v>130</v>
      </c>
      <c r="AL247" s="145"/>
      <c r="AN247" s="257">
        <v>103</v>
      </c>
      <c r="BB247" s="257">
        <v>7</v>
      </c>
      <c r="BN247" s="251">
        <v>64.165999999999997</v>
      </c>
      <c r="BO247" s="256">
        <v>42200</v>
      </c>
      <c r="BT247" s="251">
        <v>49.423973083496094</v>
      </c>
      <c r="BU247" s="256">
        <v>42200</v>
      </c>
      <c r="BV247" s="251">
        <v>18.480661392211914</v>
      </c>
      <c r="BW247" s="256">
        <v>42200</v>
      </c>
      <c r="BX247" s="251">
        <v>49.957000000000001</v>
      </c>
      <c r="BY247" s="256">
        <v>42200</v>
      </c>
      <c r="CD247" s="257">
        <v>7.3</v>
      </c>
      <c r="CE247" s="159">
        <v>42191</v>
      </c>
      <c r="CM247" s="255">
        <v>1</v>
      </c>
      <c r="CN247" s="256">
        <v>42180</v>
      </c>
      <c r="CO247" s="140" t="s">
        <v>8447</v>
      </c>
    </row>
    <row r="248" spans="1:93" ht="15" customHeight="1">
      <c r="A248" s="124" t="s">
        <v>7695</v>
      </c>
      <c r="B248" s="161" t="s">
        <v>7541</v>
      </c>
      <c r="C248" s="268" t="s">
        <v>269</v>
      </c>
      <c r="D248" s="257">
        <v>2</v>
      </c>
      <c r="E248" s="183">
        <v>109</v>
      </c>
      <c r="F248" s="257">
        <v>7</v>
      </c>
      <c r="G248" s="257">
        <v>11</v>
      </c>
      <c r="L248" s="257">
        <v>7</v>
      </c>
      <c r="N248" s="257">
        <v>3.65</v>
      </c>
      <c r="O248" s="159">
        <v>42191</v>
      </c>
      <c r="T248" s="257">
        <v>10.51</v>
      </c>
      <c r="U248" s="256">
        <v>42200</v>
      </c>
      <c r="V248" s="145">
        <v>18.5</v>
      </c>
      <c r="W248" s="159">
        <v>42191</v>
      </c>
      <c r="AD248" s="145">
        <f>(N248/V248)*(((100-CD248)/100)*((100-2)/100))*100</f>
        <v>18.078351351351348</v>
      </c>
      <c r="AF248" s="257">
        <v>20.67</v>
      </c>
      <c r="AG248" s="159">
        <v>42191</v>
      </c>
      <c r="AJ248" s="257">
        <v>135</v>
      </c>
      <c r="AN248" s="257">
        <v>107</v>
      </c>
      <c r="BB248" s="257">
        <v>5</v>
      </c>
      <c r="BN248" s="251">
        <v>64.567999999999998</v>
      </c>
      <c r="BO248" s="256">
        <v>42200</v>
      </c>
      <c r="BT248" s="251">
        <v>50.8443603515625</v>
      </c>
      <c r="BU248" s="256">
        <v>42200</v>
      </c>
      <c r="BV248" s="251">
        <v>16.934577941894531</v>
      </c>
      <c r="BW248" s="256">
        <v>42200</v>
      </c>
      <c r="BX248" s="251">
        <v>12.035</v>
      </c>
      <c r="BY248" s="256">
        <v>42200</v>
      </c>
      <c r="CD248" s="257">
        <v>6.5</v>
      </c>
      <c r="CE248" s="159">
        <v>42191</v>
      </c>
      <c r="CM248" s="255">
        <v>5</v>
      </c>
      <c r="CN248" s="256">
        <v>42180</v>
      </c>
      <c r="CO248" s="140" t="s">
        <v>8448</v>
      </c>
    </row>
    <row r="249" spans="1:93" ht="15" customHeight="1">
      <c r="A249" s="124" t="s">
        <v>7706</v>
      </c>
      <c r="B249" s="161" t="s">
        <v>7781</v>
      </c>
      <c r="C249" s="268" t="s">
        <v>269</v>
      </c>
      <c r="D249" s="257">
        <v>1</v>
      </c>
      <c r="E249" s="183">
        <v>120</v>
      </c>
      <c r="F249" s="257">
        <v>2</v>
      </c>
      <c r="G249" s="257">
        <v>18</v>
      </c>
      <c r="L249" s="257">
        <v>5</v>
      </c>
      <c r="N249" s="257">
        <v>3.65</v>
      </c>
      <c r="O249" s="159">
        <v>42191</v>
      </c>
      <c r="T249" s="257">
        <v>9.9499999999999993</v>
      </c>
      <c r="U249" s="256">
        <v>42200</v>
      </c>
      <c r="V249" s="145">
        <v>18.5</v>
      </c>
      <c r="W249" s="159">
        <v>42191</v>
      </c>
      <c r="AD249" s="145">
        <f>(N249/V249)*(((100-CD249)/100)*((100-2)/100))*100</f>
        <v>18.078351351351348</v>
      </c>
      <c r="AF249" s="257">
        <f>(N249/V249)*(((100-CD249)/(100-9))*100)</f>
        <v>20.271755271755268</v>
      </c>
      <c r="AG249" s="159">
        <v>42191</v>
      </c>
      <c r="AJ249" s="257">
        <v>135</v>
      </c>
      <c r="AN249" s="257">
        <v>96</v>
      </c>
      <c r="BB249" s="257">
        <v>5</v>
      </c>
      <c r="BN249" s="251">
        <v>64.052000000000007</v>
      </c>
      <c r="BO249" s="256">
        <v>42200</v>
      </c>
      <c r="BT249" s="251">
        <v>48.137123107910156</v>
      </c>
      <c r="BU249" s="256">
        <v>42200</v>
      </c>
      <c r="BV249" s="251">
        <v>20.319402694702148</v>
      </c>
      <c r="BW249" s="256">
        <v>42200</v>
      </c>
      <c r="BX249" s="251">
        <v>83.025999999999996</v>
      </c>
      <c r="BY249" s="256">
        <v>42200</v>
      </c>
      <c r="CD249" s="257">
        <v>6.5</v>
      </c>
      <c r="CE249" s="159">
        <v>42191</v>
      </c>
      <c r="CM249" s="255">
        <v>1</v>
      </c>
      <c r="CN249" s="256">
        <v>42180</v>
      </c>
      <c r="CO249" s="140" t="s">
        <v>8447</v>
      </c>
    </row>
    <row r="250" spans="1:93" ht="15" customHeight="1">
      <c r="A250" s="124" t="s">
        <v>7703</v>
      </c>
      <c r="B250" s="161" t="s">
        <v>7778</v>
      </c>
      <c r="C250" s="268" t="s">
        <v>269</v>
      </c>
      <c r="D250" s="257">
        <v>1</v>
      </c>
      <c r="E250" s="183">
        <v>117</v>
      </c>
      <c r="F250" s="257">
        <v>2</v>
      </c>
      <c r="G250" s="257">
        <v>5</v>
      </c>
      <c r="L250" s="257">
        <v>8</v>
      </c>
      <c r="N250" s="257">
        <v>3.67</v>
      </c>
      <c r="O250" s="159">
        <v>42191</v>
      </c>
      <c r="T250" s="257">
        <v>10.25</v>
      </c>
      <c r="U250" s="256">
        <v>42200</v>
      </c>
      <c r="V250" s="145">
        <v>18.5</v>
      </c>
      <c r="W250" s="159">
        <v>42191</v>
      </c>
      <c r="AD250" s="145">
        <f>(N250/V250)*(((100-CD250)/100)*((100-2)/100))*100</f>
        <v>18.080205405405405</v>
      </c>
      <c r="AF250" s="257">
        <v>20.67</v>
      </c>
      <c r="AG250" s="159">
        <v>42191</v>
      </c>
      <c r="AJ250" s="257">
        <v>165</v>
      </c>
      <c r="AN250" s="257">
        <v>110</v>
      </c>
      <c r="BB250" s="257">
        <v>7</v>
      </c>
      <c r="BN250" s="251">
        <v>64.966999999999999</v>
      </c>
      <c r="BO250" s="256">
        <v>42200</v>
      </c>
      <c r="BT250" s="251">
        <v>49.600444793701172</v>
      </c>
      <c r="BU250" s="256">
        <v>42200</v>
      </c>
      <c r="BV250" s="251">
        <v>19.92938232421875</v>
      </c>
      <c r="BW250" s="256">
        <v>42200</v>
      </c>
      <c r="BX250" s="251">
        <v>53.500999999999998</v>
      </c>
      <c r="BY250" s="256">
        <v>42200</v>
      </c>
      <c r="CD250" s="257">
        <v>7</v>
      </c>
      <c r="CE250" s="159">
        <v>42191</v>
      </c>
      <c r="CM250" s="255">
        <v>3</v>
      </c>
      <c r="CN250" s="256">
        <v>42180</v>
      </c>
      <c r="CO250" s="140" t="s">
        <v>8447</v>
      </c>
    </row>
    <row r="251" spans="1:93" ht="15" customHeight="1">
      <c r="A251" s="137" t="s">
        <v>8469</v>
      </c>
      <c r="B251" s="161" t="s">
        <v>8492</v>
      </c>
      <c r="C251" s="268" t="s">
        <v>267</v>
      </c>
      <c r="D251" s="269">
        <v>3</v>
      </c>
      <c r="E251" s="280">
        <v>20</v>
      </c>
      <c r="F251" s="269"/>
      <c r="G251" s="269"/>
      <c r="H251" s="271">
        <v>17</v>
      </c>
      <c r="I251" s="271">
        <v>4</v>
      </c>
      <c r="J251" s="282"/>
      <c r="K251" s="273"/>
      <c r="L251" s="269">
        <v>8</v>
      </c>
      <c r="M251" s="274"/>
      <c r="N251" s="269">
        <v>3.73</v>
      </c>
      <c r="O251" s="274">
        <v>42191</v>
      </c>
      <c r="P251" s="272"/>
      <c r="Q251" s="274"/>
      <c r="R251" s="275"/>
      <c r="S251" s="274"/>
      <c r="T251" s="269">
        <v>10.14</v>
      </c>
      <c r="U251" s="276">
        <v>42200</v>
      </c>
      <c r="V251" s="275">
        <v>18.5</v>
      </c>
      <c r="W251" s="274">
        <v>42191</v>
      </c>
      <c r="X251" s="275"/>
      <c r="Y251" s="274"/>
      <c r="Z251" s="275"/>
      <c r="AA251" s="274"/>
      <c r="AB251" s="275"/>
      <c r="AC251" s="274"/>
      <c r="AD251" s="145">
        <f>(N251/V251)*(((100-CD251)/100)*((100-2)/100))*100</f>
        <v>18.118928648648648</v>
      </c>
      <c r="AE251" s="274"/>
      <c r="AF251" s="269">
        <v>20.71</v>
      </c>
      <c r="AG251" s="274">
        <v>42191</v>
      </c>
      <c r="AH251" s="274"/>
      <c r="AI251" s="274"/>
      <c r="AJ251" s="269">
        <v>130</v>
      </c>
      <c r="AK251" s="274"/>
      <c r="AL251" s="275"/>
      <c r="AM251" s="274"/>
      <c r="AN251" s="269">
        <v>108</v>
      </c>
      <c r="AO251" s="274"/>
      <c r="AP251" s="275"/>
      <c r="AQ251" s="275"/>
      <c r="AR251" s="275"/>
      <c r="AS251" s="275"/>
      <c r="AT251" s="275"/>
      <c r="AU251" s="275"/>
      <c r="AV251" s="275"/>
      <c r="AW251" s="275"/>
      <c r="AX251" s="275"/>
      <c r="AY251" s="275"/>
      <c r="AZ251" s="275"/>
      <c r="BA251" s="275"/>
      <c r="BB251" s="269">
        <v>7</v>
      </c>
      <c r="BC251" s="275"/>
      <c r="BD251" s="275"/>
      <c r="BE251" s="275"/>
      <c r="BF251" s="272"/>
      <c r="BG251" s="272"/>
      <c r="BH251" s="272"/>
      <c r="BI251" s="272"/>
      <c r="BJ251" s="272"/>
      <c r="BK251" s="272"/>
      <c r="BL251" s="272"/>
      <c r="BM251" s="272"/>
      <c r="BN251" s="284">
        <v>64.819999999999993</v>
      </c>
      <c r="BO251" s="276">
        <v>42200</v>
      </c>
      <c r="BP251" s="272"/>
      <c r="BQ251" s="272"/>
      <c r="BR251" s="272"/>
      <c r="BS251" s="272"/>
      <c r="BT251" s="284">
        <v>48.95</v>
      </c>
      <c r="BU251" s="276">
        <v>42200</v>
      </c>
      <c r="BV251" s="284">
        <v>21.821554183959961</v>
      </c>
      <c r="BW251" s="276">
        <v>42200</v>
      </c>
      <c r="BX251" s="284">
        <v>71.382000000000005</v>
      </c>
      <c r="BY251" s="276">
        <v>42200</v>
      </c>
      <c r="BZ251" s="272"/>
      <c r="CA251" s="272"/>
      <c r="CB251" s="272"/>
      <c r="CC251" s="272"/>
      <c r="CD251" s="269">
        <v>8.3000000000000007</v>
      </c>
      <c r="CE251" s="274">
        <v>42191</v>
      </c>
      <c r="CF251" s="272"/>
      <c r="CG251" s="272"/>
      <c r="CH251" s="272"/>
      <c r="CI251" s="272"/>
      <c r="CJ251" s="272"/>
      <c r="CK251" s="272"/>
      <c r="CL251" s="272"/>
      <c r="CM251" s="278">
        <v>5</v>
      </c>
      <c r="CN251" s="276">
        <v>42180</v>
      </c>
      <c r="CO251" s="272" t="s">
        <v>8447</v>
      </c>
    </row>
    <row r="252" spans="1:93" ht="15" customHeight="1">
      <c r="A252" s="124" t="s">
        <v>7628</v>
      </c>
      <c r="B252" s="161" t="s">
        <v>7481</v>
      </c>
      <c r="C252" s="268" t="s">
        <v>267</v>
      </c>
      <c r="D252" s="257">
        <v>3</v>
      </c>
      <c r="E252" s="183">
        <v>42</v>
      </c>
      <c r="F252" s="257">
        <v>13</v>
      </c>
      <c r="G252" s="257">
        <v>30</v>
      </c>
      <c r="L252" s="257">
        <v>3</v>
      </c>
      <c r="N252" s="257">
        <v>3.69</v>
      </c>
      <c r="O252" s="159">
        <v>42191</v>
      </c>
      <c r="T252" s="257">
        <v>10.44</v>
      </c>
      <c r="U252" s="256">
        <v>42200</v>
      </c>
      <c r="V252" s="145">
        <v>18.5</v>
      </c>
      <c r="W252" s="159">
        <v>42191</v>
      </c>
      <c r="AD252" s="145">
        <f>(N252/V252)*(((100-CD252)/100)*((100-2)/100))*100</f>
        <v>18.139641081081077</v>
      </c>
      <c r="AF252" s="257">
        <v>20.74</v>
      </c>
      <c r="AG252" s="159">
        <v>42191</v>
      </c>
      <c r="AJ252" s="257">
        <v>130</v>
      </c>
      <c r="AN252" s="257">
        <v>106</v>
      </c>
      <c r="BB252" s="257">
        <v>5</v>
      </c>
      <c r="BN252" s="251">
        <v>64.944999999999993</v>
      </c>
      <c r="BO252" s="256">
        <v>42200</v>
      </c>
      <c r="BT252" s="251">
        <v>50.317100524902344</v>
      </c>
      <c r="BU252" s="256">
        <v>42200</v>
      </c>
      <c r="BV252" s="251">
        <v>18.020442962646484</v>
      </c>
      <c r="BW252" s="256">
        <v>42200</v>
      </c>
      <c r="BX252" s="251">
        <v>15.836</v>
      </c>
      <c r="BY252" s="256">
        <v>42200</v>
      </c>
      <c r="CD252" s="257">
        <v>7.2</v>
      </c>
      <c r="CE252" s="159">
        <v>42191</v>
      </c>
      <c r="CM252" s="255">
        <v>5</v>
      </c>
      <c r="CN252" s="256">
        <v>42180</v>
      </c>
      <c r="CO252" s="140" t="s">
        <v>8447</v>
      </c>
    </row>
    <row r="253" spans="1:93" ht="15" customHeight="1">
      <c r="A253" s="124" t="s">
        <v>7597</v>
      </c>
      <c r="B253" s="161" t="s">
        <v>265</v>
      </c>
      <c r="C253" s="268" t="s">
        <v>269</v>
      </c>
      <c r="D253" s="257">
        <v>2</v>
      </c>
      <c r="E253" s="183">
        <v>11</v>
      </c>
      <c r="F253" s="257">
        <v>12</v>
      </c>
      <c r="G253" s="257">
        <v>25</v>
      </c>
      <c r="J253" s="266"/>
      <c r="L253" s="257">
        <v>7</v>
      </c>
      <c r="N253" s="257">
        <v>3.66</v>
      </c>
      <c r="O253" s="159">
        <v>42191</v>
      </c>
      <c r="P253" s="144"/>
      <c r="R253" s="145"/>
      <c r="T253" s="257">
        <v>10.01</v>
      </c>
      <c r="U253" s="256">
        <v>42200</v>
      </c>
      <c r="V253" s="145">
        <v>18.5</v>
      </c>
      <c r="W253" s="159">
        <v>42191</v>
      </c>
      <c r="X253" s="145"/>
      <c r="Z253" s="145"/>
      <c r="AB253" s="145"/>
      <c r="AD253" s="145">
        <f>(N253/V253)*(((100-CD253)/100)*((100-2)/100))*100</f>
        <v>18.166657297297302</v>
      </c>
      <c r="AF253" s="257">
        <f>(N253/V253)*(((100-CD253)/(100-9))*100)</f>
        <v>20.370775170775172</v>
      </c>
      <c r="AG253" s="159">
        <v>42191</v>
      </c>
      <c r="AJ253" s="257">
        <v>110</v>
      </c>
      <c r="AL253" s="145"/>
      <c r="AN253" s="257">
        <v>101</v>
      </c>
      <c r="BB253" s="257">
        <v>7</v>
      </c>
      <c r="BN253" s="251">
        <v>63.19</v>
      </c>
      <c r="BO253" s="256">
        <v>42200</v>
      </c>
      <c r="BT253" s="251">
        <v>48.175765991210937</v>
      </c>
      <c r="BU253" s="256">
        <v>42200</v>
      </c>
      <c r="BV253" s="251">
        <v>21.447015762329102</v>
      </c>
      <c r="BW253" s="256">
        <v>42200</v>
      </c>
      <c r="BX253" s="251">
        <v>68.774000000000001</v>
      </c>
      <c r="BY253" s="256">
        <v>42200</v>
      </c>
      <c r="CD253" s="257">
        <v>6.3</v>
      </c>
      <c r="CE253" s="159">
        <v>42191</v>
      </c>
      <c r="CM253" s="255">
        <v>1</v>
      </c>
      <c r="CN253" s="256">
        <v>42180</v>
      </c>
      <c r="CO253" s="140" t="s">
        <v>8448</v>
      </c>
    </row>
    <row r="254" spans="1:93" ht="15" customHeight="1">
      <c r="A254" s="137" t="s">
        <v>8468</v>
      </c>
      <c r="B254" s="161" t="s">
        <v>8491</v>
      </c>
      <c r="C254" s="268" t="s">
        <v>267</v>
      </c>
      <c r="D254" s="269">
        <v>3</v>
      </c>
      <c r="E254" s="280">
        <v>19</v>
      </c>
      <c r="F254" s="269"/>
      <c r="G254" s="269"/>
      <c r="H254" s="271">
        <v>16</v>
      </c>
      <c r="I254" s="271">
        <v>2</v>
      </c>
      <c r="J254" s="282"/>
      <c r="K254" s="273"/>
      <c r="L254" s="269">
        <v>6</v>
      </c>
      <c r="M254" s="274"/>
      <c r="N254" s="269">
        <v>3.7</v>
      </c>
      <c r="O254" s="274">
        <v>42191</v>
      </c>
      <c r="P254" s="272"/>
      <c r="Q254" s="274"/>
      <c r="R254" s="275"/>
      <c r="S254" s="274"/>
      <c r="T254" s="269">
        <v>9.82</v>
      </c>
      <c r="U254" s="276">
        <v>42200</v>
      </c>
      <c r="V254" s="275">
        <v>18.5</v>
      </c>
      <c r="W254" s="274">
        <v>42191</v>
      </c>
      <c r="X254" s="275"/>
      <c r="Y254" s="274"/>
      <c r="Z254" s="275"/>
      <c r="AA254" s="274"/>
      <c r="AB254" s="275"/>
      <c r="AC254" s="274"/>
      <c r="AD254" s="145">
        <f>(N254/V254)*(((100-CD254)/100)*((100-2)/100))*100</f>
        <v>18.188800000000001</v>
      </c>
      <c r="AE254" s="274"/>
      <c r="AF254" s="269">
        <v>20.79</v>
      </c>
      <c r="AG254" s="274">
        <v>42191</v>
      </c>
      <c r="AH254" s="274"/>
      <c r="AI254" s="274"/>
      <c r="AJ254" s="269">
        <v>115</v>
      </c>
      <c r="AK254" s="274"/>
      <c r="AL254" s="275"/>
      <c r="AM254" s="274"/>
      <c r="AN254" s="269">
        <v>100</v>
      </c>
      <c r="AO254" s="274"/>
      <c r="AP254" s="275"/>
      <c r="AQ254" s="275"/>
      <c r="AR254" s="275"/>
      <c r="AS254" s="275"/>
      <c r="AT254" s="275"/>
      <c r="AU254" s="275"/>
      <c r="AV254" s="275"/>
      <c r="AW254" s="275"/>
      <c r="AX254" s="275"/>
      <c r="AY254" s="275"/>
      <c r="AZ254" s="275"/>
      <c r="BA254" s="275"/>
      <c r="BB254" s="269">
        <v>5</v>
      </c>
      <c r="BC254" s="275"/>
      <c r="BD254" s="275"/>
      <c r="BE254" s="275"/>
      <c r="BF254" s="272"/>
      <c r="BG254" s="272"/>
      <c r="BH254" s="272"/>
      <c r="BI254" s="272"/>
      <c r="BJ254" s="272"/>
      <c r="BK254" s="272"/>
      <c r="BL254" s="272"/>
      <c r="BM254" s="272"/>
      <c r="BN254" s="284">
        <v>65.328999999999994</v>
      </c>
      <c r="BO254" s="276">
        <v>42200</v>
      </c>
      <c r="BP254" s="272"/>
      <c r="BQ254" s="272"/>
      <c r="BR254" s="272"/>
      <c r="BS254" s="272"/>
      <c r="BT254" s="284">
        <v>47.24</v>
      </c>
      <c r="BU254" s="276">
        <v>42200</v>
      </c>
      <c r="BV254" s="284">
        <v>22.205957412719727</v>
      </c>
      <c r="BW254" s="276">
        <v>42200</v>
      </c>
      <c r="BX254" s="284">
        <v>80.194000000000003</v>
      </c>
      <c r="BY254" s="276">
        <v>42200</v>
      </c>
      <c r="BZ254" s="272"/>
      <c r="CA254" s="272"/>
      <c r="CB254" s="272"/>
      <c r="CC254" s="272"/>
      <c r="CD254" s="269">
        <v>7.2</v>
      </c>
      <c r="CE254" s="274">
        <v>42191</v>
      </c>
      <c r="CF254" s="272"/>
      <c r="CG254" s="272"/>
      <c r="CH254" s="272"/>
      <c r="CI254" s="272"/>
      <c r="CJ254" s="272"/>
      <c r="CK254" s="272"/>
      <c r="CL254" s="272"/>
      <c r="CM254" s="278">
        <v>5</v>
      </c>
      <c r="CN254" s="276">
        <v>42180</v>
      </c>
      <c r="CO254" s="272" t="s">
        <v>8447</v>
      </c>
    </row>
    <row r="255" spans="1:93" ht="15">
      <c r="A255" s="124" t="s">
        <v>7707</v>
      </c>
      <c r="B255" s="161" t="s">
        <v>7782</v>
      </c>
      <c r="C255" s="268" t="s">
        <v>267</v>
      </c>
      <c r="D255" s="243">
        <v>4</v>
      </c>
      <c r="E255" s="183">
        <v>121</v>
      </c>
      <c r="F255" s="244">
        <v>21</v>
      </c>
      <c r="G255" s="245">
        <v>26</v>
      </c>
      <c r="L255" s="254">
        <v>8</v>
      </c>
      <c r="N255" s="246">
        <v>3.71</v>
      </c>
      <c r="O255" s="159">
        <v>42191</v>
      </c>
      <c r="T255" s="247">
        <v>10.37</v>
      </c>
      <c r="U255" s="256">
        <v>42200</v>
      </c>
      <c r="V255" s="145">
        <v>18.5</v>
      </c>
      <c r="W255" s="159">
        <v>42191</v>
      </c>
      <c r="AD255" s="145">
        <f>(N255/V255)*(((100-CD255)/100)*((100-2)/100))*100</f>
        <v>18.218305945945946</v>
      </c>
      <c r="AF255" s="257">
        <v>20.83</v>
      </c>
      <c r="AG255" s="159">
        <v>42191</v>
      </c>
      <c r="AJ255" s="249">
        <v>120</v>
      </c>
      <c r="AN255" s="250">
        <v>107</v>
      </c>
      <c r="BB255" s="257">
        <v>7</v>
      </c>
      <c r="BN255" s="251">
        <v>66.084000000000003</v>
      </c>
      <c r="BO255" s="256">
        <v>42200</v>
      </c>
      <c r="BT255" s="251">
        <v>49.798439025878906</v>
      </c>
      <c r="BU255" s="256">
        <v>42200</v>
      </c>
      <c r="BV255" s="251">
        <v>19.571466445922852</v>
      </c>
      <c r="BW255" s="256">
        <v>42200</v>
      </c>
      <c r="BX255" s="251">
        <v>61.988999999999997</v>
      </c>
      <c r="BY255" s="256">
        <v>42200</v>
      </c>
      <c r="CD255" s="253">
        <v>7.3</v>
      </c>
      <c r="CE255" s="159">
        <v>42191</v>
      </c>
      <c r="CM255" s="255">
        <v>5</v>
      </c>
      <c r="CN255" s="256">
        <v>42180</v>
      </c>
      <c r="CO255" s="140" t="s">
        <v>8447</v>
      </c>
    </row>
    <row r="256" spans="1:93" ht="15">
      <c r="A256" s="124" t="s">
        <v>7686</v>
      </c>
      <c r="B256" s="161" t="s">
        <v>7533</v>
      </c>
      <c r="C256" s="268" t="s">
        <v>267</v>
      </c>
      <c r="D256" s="243">
        <v>4</v>
      </c>
      <c r="E256" s="183">
        <v>100</v>
      </c>
      <c r="F256" s="244">
        <v>20</v>
      </c>
      <c r="G256" s="245">
        <v>25</v>
      </c>
      <c r="L256" s="254">
        <v>8</v>
      </c>
      <c r="N256" s="246">
        <v>3.77</v>
      </c>
      <c r="O256" s="159">
        <v>42191</v>
      </c>
      <c r="T256" s="247">
        <v>10.3</v>
      </c>
      <c r="U256" s="256">
        <v>42200</v>
      </c>
      <c r="V256" s="145">
        <v>18.5</v>
      </c>
      <c r="W256" s="159">
        <v>42191</v>
      </c>
      <c r="AD256" s="145">
        <f>(N256/V256)*(((100-CD256)/100)*((100-2)/100))*100</f>
        <v>18.233350270270268</v>
      </c>
      <c r="AF256" s="257">
        <v>20.84</v>
      </c>
      <c r="AG256" s="159">
        <v>42191</v>
      </c>
      <c r="AJ256" s="249">
        <v>120</v>
      </c>
      <c r="AN256" s="250">
        <v>100</v>
      </c>
      <c r="BB256" s="257">
        <v>7</v>
      </c>
      <c r="BN256" s="251">
        <v>66.581000000000003</v>
      </c>
      <c r="BO256" s="256">
        <v>42200</v>
      </c>
      <c r="BT256" s="251">
        <v>49.441436767578125</v>
      </c>
      <c r="BU256" s="256">
        <v>42200</v>
      </c>
      <c r="BV256" s="251">
        <v>18.137111663818359</v>
      </c>
      <c r="BW256" s="256">
        <v>42200</v>
      </c>
      <c r="BX256" s="251">
        <v>16.524999999999999</v>
      </c>
      <c r="BY256" s="256">
        <v>42200</v>
      </c>
      <c r="CD256" s="253">
        <v>8.6999999999999993</v>
      </c>
      <c r="CE256" s="159">
        <v>42191</v>
      </c>
      <c r="CM256" s="255">
        <v>5</v>
      </c>
      <c r="CN256" s="256">
        <v>42180</v>
      </c>
      <c r="CO256" s="140" t="s">
        <v>8447</v>
      </c>
    </row>
    <row r="257" spans="1:93" ht="15" customHeight="1">
      <c r="A257" s="124" t="s">
        <v>7595</v>
      </c>
      <c r="B257" s="161" t="s">
        <v>7453</v>
      </c>
      <c r="C257" s="268" t="s">
        <v>269</v>
      </c>
      <c r="D257" s="257">
        <v>2</v>
      </c>
      <c r="E257" s="183">
        <v>9</v>
      </c>
      <c r="F257" s="257">
        <v>11</v>
      </c>
      <c r="G257" s="257">
        <v>19</v>
      </c>
      <c r="J257" s="266"/>
      <c r="L257" s="257">
        <v>9</v>
      </c>
      <c r="N257" s="257">
        <v>3.69</v>
      </c>
      <c r="O257" s="159">
        <v>42191</v>
      </c>
      <c r="P257" s="144"/>
      <c r="R257" s="145"/>
      <c r="T257" s="257">
        <v>10.52</v>
      </c>
      <c r="U257" s="256">
        <v>42200</v>
      </c>
      <c r="V257" s="145">
        <v>18.5</v>
      </c>
      <c r="W257" s="159">
        <v>42191</v>
      </c>
      <c r="X257" s="145"/>
      <c r="Z257" s="145"/>
      <c r="AB257" s="145"/>
      <c r="AD257" s="145">
        <f>(N257/V257)*(((100-CD257)/100)*((100-2)/100))*100</f>
        <v>18.27647027027027</v>
      </c>
      <c r="AF257" s="257">
        <f>(N257/V257)*(((100-CD257)/(100-9))*100)</f>
        <v>20.49391149391149</v>
      </c>
      <c r="AG257" s="159">
        <v>42191</v>
      </c>
      <c r="AJ257" s="257">
        <v>135</v>
      </c>
      <c r="AL257" s="145"/>
      <c r="AN257" s="257">
        <v>103</v>
      </c>
      <c r="BB257" s="257">
        <v>7</v>
      </c>
      <c r="BN257" s="251">
        <v>65.795000000000002</v>
      </c>
      <c r="BO257" s="256">
        <v>42200</v>
      </c>
      <c r="BT257" s="251">
        <v>50.349212646484375</v>
      </c>
      <c r="BU257" s="256">
        <v>42200</v>
      </c>
      <c r="BV257" s="251">
        <v>18.845199584960938</v>
      </c>
      <c r="BW257" s="256">
        <v>42200</v>
      </c>
      <c r="BX257" s="251">
        <v>66.325000000000003</v>
      </c>
      <c r="BY257" s="256">
        <v>42200</v>
      </c>
      <c r="CD257" s="257">
        <v>6.5</v>
      </c>
      <c r="CE257" s="159">
        <v>42191</v>
      </c>
      <c r="CM257" s="255">
        <v>1</v>
      </c>
      <c r="CN257" s="256">
        <v>42180</v>
      </c>
      <c r="CO257" s="140" t="s">
        <v>8448</v>
      </c>
    </row>
    <row r="258" spans="1:93" ht="15">
      <c r="A258" s="124" t="s">
        <v>7615</v>
      </c>
      <c r="B258" s="161" t="s">
        <v>7469</v>
      </c>
      <c r="C258" s="268" t="s">
        <v>267</v>
      </c>
      <c r="D258" s="243">
        <v>3</v>
      </c>
      <c r="E258" s="183">
        <v>29</v>
      </c>
      <c r="F258" s="244">
        <v>17</v>
      </c>
      <c r="G258" s="245">
        <v>24</v>
      </c>
      <c r="L258" s="254">
        <v>5</v>
      </c>
      <c r="N258" s="246">
        <v>3.72</v>
      </c>
      <c r="O258" s="159">
        <v>42191</v>
      </c>
      <c r="T258" s="247">
        <v>9.86</v>
      </c>
      <c r="U258" s="256">
        <v>42200</v>
      </c>
      <c r="V258" s="145">
        <v>18.5</v>
      </c>
      <c r="W258" s="159">
        <v>42191</v>
      </c>
      <c r="AD258" s="145">
        <f>(N258/V258)*(((100-CD258)/100)*((100-2)/100))*100</f>
        <v>18.306823783783784</v>
      </c>
      <c r="AF258" s="257">
        <v>20.93</v>
      </c>
      <c r="AG258" s="159">
        <v>42191</v>
      </c>
      <c r="AJ258" s="249">
        <v>155</v>
      </c>
      <c r="AN258" s="250">
        <v>102</v>
      </c>
      <c r="BB258" s="257">
        <v>7</v>
      </c>
      <c r="BN258" s="251">
        <v>60.64</v>
      </c>
      <c r="BO258" s="256">
        <v>42200</v>
      </c>
      <c r="BT258" s="251">
        <v>47.120231628417969</v>
      </c>
      <c r="BU258" s="256">
        <v>42200</v>
      </c>
      <c r="BV258" s="251">
        <v>21.754179000854492</v>
      </c>
      <c r="BW258" s="256">
        <v>42200</v>
      </c>
      <c r="BX258" s="251">
        <v>72.581999999999994</v>
      </c>
      <c r="BY258" s="256">
        <v>42200</v>
      </c>
      <c r="CD258" s="253">
        <v>7.1</v>
      </c>
      <c r="CE258" s="159">
        <v>42191</v>
      </c>
      <c r="CM258" s="255">
        <v>3</v>
      </c>
      <c r="CN258" s="256">
        <v>42180</v>
      </c>
      <c r="CO258" s="140" t="s">
        <v>8447</v>
      </c>
    </row>
    <row r="259" spans="1:93" ht="15" customHeight="1">
      <c r="A259" s="124" t="s">
        <v>7674</v>
      </c>
      <c r="B259" s="161" t="s">
        <v>7523</v>
      </c>
      <c r="C259" s="268" t="s">
        <v>267</v>
      </c>
      <c r="D259" s="257">
        <v>3</v>
      </c>
      <c r="E259" s="183">
        <v>88</v>
      </c>
      <c r="F259" s="257">
        <v>15</v>
      </c>
      <c r="G259" s="257">
        <v>13</v>
      </c>
      <c r="L259" s="257">
        <v>6</v>
      </c>
      <c r="N259" s="257">
        <v>3.73</v>
      </c>
      <c r="O259" s="159">
        <v>42191</v>
      </c>
      <c r="T259" s="257">
        <v>10.55</v>
      </c>
      <c r="U259" s="256">
        <v>42200</v>
      </c>
      <c r="V259" s="145">
        <v>18.5</v>
      </c>
      <c r="W259" s="159">
        <v>42191</v>
      </c>
      <c r="AD259" s="145">
        <f>(N259/V259)*(((100-CD259)/100)*((100-2)/100))*100</f>
        <v>18.316517837837839</v>
      </c>
      <c r="AF259" s="257">
        <v>20.94</v>
      </c>
      <c r="AG259" s="159">
        <v>42191</v>
      </c>
      <c r="AJ259" s="257">
        <v>105</v>
      </c>
      <c r="AN259" s="257">
        <v>102</v>
      </c>
      <c r="BB259" s="257">
        <v>7</v>
      </c>
      <c r="BN259" s="251">
        <v>64.840999999999994</v>
      </c>
      <c r="BO259" s="256">
        <v>42200</v>
      </c>
      <c r="BT259" s="251">
        <v>50.395782470703125</v>
      </c>
      <c r="BU259" s="256">
        <v>42200</v>
      </c>
      <c r="BV259" s="251">
        <v>17.972476959228516</v>
      </c>
      <c r="BW259" s="256">
        <v>42200</v>
      </c>
      <c r="BX259" s="251">
        <v>15.198</v>
      </c>
      <c r="BY259" s="256">
        <v>42200</v>
      </c>
      <c r="CD259" s="257">
        <v>7.3</v>
      </c>
      <c r="CE259" s="159">
        <v>42191</v>
      </c>
      <c r="CM259" s="255">
        <v>5</v>
      </c>
      <c r="CN259" s="256">
        <v>42180</v>
      </c>
      <c r="CO259" s="140" t="s">
        <v>8447</v>
      </c>
    </row>
    <row r="260" spans="1:93" ht="15" customHeight="1">
      <c r="A260" s="124" t="s">
        <v>7613</v>
      </c>
      <c r="B260" s="161" t="s">
        <v>7773</v>
      </c>
      <c r="C260" s="268" t="s">
        <v>267</v>
      </c>
      <c r="D260" s="257">
        <v>3</v>
      </c>
      <c r="E260" s="183">
        <v>27</v>
      </c>
      <c r="F260" s="257">
        <v>14</v>
      </c>
      <c r="G260" s="257">
        <v>32</v>
      </c>
      <c r="L260" s="257">
        <v>6</v>
      </c>
      <c r="N260" s="257">
        <v>3.71</v>
      </c>
      <c r="O260" s="159">
        <v>42191</v>
      </c>
      <c r="T260" s="257">
        <v>10.62</v>
      </c>
      <c r="U260" s="256">
        <v>42200</v>
      </c>
      <c r="V260" s="145">
        <v>18.5</v>
      </c>
      <c r="W260" s="159">
        <v>42191</v>
      </c>
      <c r="AD260" s="145">
        <f>(N260/V260)*(((100-CD260)/100)*((100-2)/100))*100</f>
        <v>18.336223783783783</v>
      </c>
      <c r="AF260" s="257">
        <v>20.96</v>
      </c>
      <c r="AG260" s="159">
        <v>42191</v>
      </c>
      <c r="AJ260" s="257">
        <v>110</v>
      </c>
      <c r="AN260" s="257">
        <v>101</v>
      </c>
      <c r="BB260" s="257">
        <v>3</v>
      </c>
      <c r="BN260" s="251">
        <v>63.628</v>
      </c>
      <c r="BO260" s="256">
        <v>42200</v>
      </c>
      <c r="BT260" s="251">
        <v>50.669380187988281</v>
      </c>
      <c r="BU260" s="256">
        <v>42200</v>
      </c>
      <c r="BV260" s="251">
        <v>17.831562042236328</v>
      </c>
      <c r="BW260" s="256">
        <v>42200</v>
      </c>
      <c r="BX260" s="251">
        <v>43.691000000000003</v>
      </c>
      <c r="BY260" s="256">
        <v>42200</v>
      </c>
      <c r="CD260" s="257">
        <v>6.7</v>
      </c>
      <c r="CE260" s="159">
        <v>42191</v>
      </c>
      <c r="CM260" s="255">
        <v>5</v>
      </c>
      <c r="CN260" s="256">
        <v>42180</v>
      </c>
      <c r="CO260" s="140" t="s">
        <v>8447</v>
      </c>
    </row>
    <row r="261" spans="1:93" ht="15" customHeight="1">
      <c r="A261" s="124" t="s">
        <v>7621</v>
      </c>
      <c r="B261" s="161" t="s">
        <v>262</v>
      </c>
      <c r="C261" s="268" t="s">
        <v>267</v>
      </c>
      <c r="D261" s="257">
        <v>3</v>
      </c>
      <c r="E261" s="183">
        <v>35</v>
      </c>
      <c r="F261" s="257">
        <v>16</v>
      </c>
      <c r="G261" s="257">
        <v>17</v>
      </c>
      <c r="L261" s="257">
        <v>3</v>
      </c>
      <c r="N261" s="257">
        <v>3.76</v>
      </c>
      <c r="O261" s="159">
        <v>42191</v>
      </c>
      <c r="T261" s="257">
        <v>10.199999999999999</v>
      </c>
      <c r="U261" s="256">
        <v>42200</v>
      </c>
      <c r="V261" s="145">
        <v>18.5</v>
      </c>
      <c r="W261" s="159">
        <v>42191</v>
      </c>
      <c r="AD261" s="145">
        <f>(N261/V261)*(((100-CD261)/100)*((100-2)/100))*100</f>
        <v>18.344328648648645</v>
      </c>
      <c r="AF261" s="257">
        <f>(N261/V261)*(((100-CD261)/(100-9))*100)</f>
        <v>20.570002970002967</v>
      </c>
      <c r="AG261" s="159">
        <v>42191</v>
      </c>
      <c r="AJ261" s="257">
        <v>105</v>
      </c>
      <c r="AN261" s="257">
        <v>101</v>
      </c>
      <c r="BB261" s="257">
        <v>5</v>
      </c>
      <c r="BN261" s="251">
        <v>62.265000000000001</v>
      </c>
      <c r="BO261" s="256">
        <v>42200</v>
      </c>
      <c r="BT261" s="251">
        <v>48.625511169433594</v>
      </c>
      <c r="BU261" s="256">
        <v>42200</v>
      </c>
      <c r="BV261" s="251">
        <v>18.877426147460938</v>
      </c>
      <c r="BW261" s="256">
        <v>42200</v>
      </c>
      <c r="BX261" s="251">
        <v>40.671999999999997</v>
      </c>
      <c r="BY261" s="256">
        <v>42200</v>
      </c>
      <c r="CD261" s="257">
        <v>7.9</v>
      </c>
      <c r="CE261" s="159">
        <v>42191</v>
      </c>
      <c r="CM261" s="255">
        <v>1</v>
      </c>
      <c r="CN261" s="256">
        <v>42180</v>
      </c>
      <c r="CO261" s="140" t="s">
        <v>8447</v>
      </c>
    </row>
    <row r="262" spans="1:93" ht="15" customHeight="1">
      <c r="A262" s="124" t="s">
        <v>7637</v>
      </c>
      <c r="B262" s="161" t="s">
        <v>7489</v>
      </c>
      <c r="C262" s="268" t="s">
        <v>267</v>
      </c>
      <c r="D262" s="257">
        <v>3</v>
      </c>
      <c r="E262" s="183">
        <v>51</v>
      </c>
      <c r="F262" s="257">
        <v>17</v>
      </c>
      <c r="G262" s="257">
        <v>16</v>
      </c>
      <c r="L262" s="257">
        <v>3</v>
      </c>
      <c r="N262" s="257">
        <v>3.76</v>
      </c>
      <c r="O262" s="159">
        <v>42191</v>
      </c>
      <c r="T262" s="257">
        <v>10.77</v>
      </c>
      <c r="U262" s="256">
        <v>42200</v>
      </c>
      <c r="V262" s="145">
        <v>18.5</v>
      </c>
      <c r="W262" s="159">
        <v>42191</v>
      </c>
      <c r="AD262" s="145">
        <f>(N262/V262)*(((100-CD262)/100)*((100-2)/100))*100</f>
        <v>18.344328648648645</v>
      </c>
      <c r="AF262" s="257">
        <v>20.97</v>
      </c>
      <c r="AG262" s="159">
        <v>42191</v>
      </c>
      <c r="AJ262" s="257">
        <v>110</v>
      </c>
      <c r="AN262" s="257">
        <v>103</v>
      </c>
      <c r="BB262" s="257">
        <v>7</v>
      </c>
      <c r="BN262" s="251">
        <v>65.700999999999993</v>
      </c>
      <c r="BO262" s="256">
        <v>42200</v>
      </c>
      <c r="BT262" s="251">
        <v>51.363010406494141</v>
      </c>
      <c r="BU262" s="256">
        <v>42200</v>
      </c>
      <c r="BV262" s="251">
        <v>16.862482070922852</v>
      </c>
      <c r="BW262" s="256">
        <v>42200</v>
      </c>
      <c r="BX262" s="251">
        <v>21.867999999999999</v>
      </c>
      <c r="BY262" s="256">
        <v>42200</v>
      </c>
      <c r="CD262" s="257">
        <v>7.9</v>
      </c>
      <c r="CE262" s="159">
        <v>42191</v>
      </c>
      <c r="CM262" s="255">
        <v>5</v>
      </c>
      <c r="CN262" s="256">
        <v>42180</v>
      </c>
      <c r="CO262" s="140" t="s">
        <v>8447</v>
      </c>
    </row>
    <row r="263" spans="1:93" ht="15" customHeight="1">
      <c r="A263" s="124" t="s">
        <v>7663</v>
      </c>
      <c r="B263" s="161" t="s">
        <v>7512</v>
      </c>
      <c r="C263" s="268" t="s">
        <v>267</v>
      </c>
      <c r="D263" s="257">
        <v>3</v>
      </c>
      <c r="E263" s="183">
        <v>77</v>
      </c>
      <c r="F263" s="257">
        <v>16</v>
      </c>
      <c r="G263" s="257">
        <v>26</v>
      </c>
      <c r="L263" s="257">
        <v>1</v>
      </c>
      <c r="N263" s="257">
        <v>3.74</v>
      </c>
      <c r="O263" s="159">
        <v>42191</v>
      </c>
      <c r="T263" s="257">
        <v>10.43</v>
      </c>
      <c r="U263" s="256">
        <v>42200</v>
      </c>
      <c r="V263" s="145">
        <v>18.5</v>
      </c>
      <c r="W263" s="159">
        <v>42191</v>
      </c>
      <c r="AD263" s="145">
        <f>(N263/V263)*(((100-CD263)/100)*((100-2)/100))*100</f>
        <v>18.365623783783786</v>
      </c>
      <c r="AF263" s="257">
        <v>20.99</v>
      </c>
      <c r="AG263" s="159">
        <v>42191</v>
      </c>
      <c r="AJ263" s="257">
        <v>120</v>
      </c>
      <c r="AN263" s="257">
        <v>107</v>
      </c>
      <c r="BB263" s="257">
        <v>9</v>
      </c>
      <c r="BN263" s="251">
        <v>63.723999999999997</v>
      </c>
      <c r="BO263" s="256">
        <v>42200</v>
      </c>
      <c r="BT263" s="251">
        <v>49.695884704589844</v>
      </c>
      <c r="BU263" s="256">
        <v>42200</v>
      </c>
      <c r="BV263" s="251">
        <v>17.75868034362793</v>
      </c>
      <c r="BW263" s="256">
        <v>42200</v>
      </c>
      <c r="BX263" s="251">
        <v>18.056000000000001</v>
      </c>
      <c r="BY263" s="256">
        <v>42200</v>
      </c>
      <c r="CD263" s="257">
        <v>7.3</v>
      </c>
      <c r="CE263" s="159">
        <v>42191</v>
      </c>
      <c r="CM263" s="255">
        <v>5</v>
      </c>
      <c r="CN263" s="256">
        <v>42180</v>
      </c>
      <c r="CO263" s="140" t="s">
        <v>8447</v>
      </c>
    </row>
    <row r="264" spans="1:93" ht="15" customHeight="1">
      <c r="A264" s="124" t="s">
        <v>7627</v>
      </c>
      <c r="B264" s="161" t="s">
        <v>7480</v>
      </c>
      <c r="C264" s="268" t="s">
        <v>269</v>
      </c>
      <c r="D264" s="257">
        <v>2</v>
      </c>
      <c r="E264" s="183">
        <v>41</v>
      </c>
      <c r="F264" s="257">
        <v>12</v>
      </c>
      <c r="G264" s="257">
        <v>29</v>
      </c>
      <c r="L264" s="257">
        <v>5</v>
      </c>
      <c r="N264" s="257">
        <v>3.72</v>
      </c>
      <c r="O264" s="159">
        <v>42191</v>
      </c>
      <c r="T264" s="257">
        <v>10.69</v>
      </c>
      <c r="U264" s="256">
        <v>42200</v>
      </c>
      <c r="V264" s="145">
        <v>18.5</v>
      </c>
      <c r="W264" s="159">
        <v>42191</v>
      </c>
      <c r="AD264" s="145">
        <f>(N264/V264)*(((100-CD264)/100)*((100-2)/100))*100</f>
        <v>18.385647567567567</v>
      </c>
      <c r="AF264" s="257">
        <v>21.02</v>
      </c>
      <c r="AG264" s="159">
        <v>42191</v>
      </c>
      <c r="AJ264" s="257">
        <v>115</v>
      </c>
      <c r="AN264" s="257">
        <v>106</v>
      </c>
      <c r="BB264" s="257">
        <v>9</v>
      </c>
      <c r="BN264" s="251">
        <v>64.596000000000004</v>
      </c>
      <c r="BO264" s="256">
        <v>42200</v>
      </c>
      <c r="BT264" s="251">
        <v>50.844917297363281</v>
      </c>
      <c r="BU264" s="256">
        <v>42200</v>
      </c>
      <c r="BV264" s="251">
        <v>16.222171783447266</v>
      </c>
      <c r="BW264" s="256">
        <v>42200</v>
      </c>
      <c r="BX264" s="251">
        <v>17.18</v>
      </c>
      <c r="BY264" s="256">
        <v>42200</v>
      </c>
      <c r="CD264" s="257">
        <v>6.7</v>
      </c>
      <c r="CE264" s="159">
        <v>42191</v>
      </c>
      <c r="CM264" s="255">
        <v>3</v>
      </c>
      <c r="CN264" s="256">
        <v>42180</v>
      </c>
      <c r="CO264" s="140" t="s">
        <v>8448</v>
      </c>
    </row>
    <row r="265" spans="1:93" ht="15" customHeight="1">
      <c r="A265" s="124" t="s">
        <v>7709</v>
      </c>
      <c r="B265" s="161" t="s">
        <v>7548</v>
      </c>
      <c r="C265" s="268" t="s">
        <v>267</v>
      </c>
      <c r="D265" s="257">
        <v>3</v>
      </c>
      <c r="E265" s="183">
        <v>123</v>
      </c>
      <c r="F265" s="257">
        <v>17</v>
      </c>
      <c r="G265" s="257">
        <v>29</v>
      </c>
      <c r="L265" s="257">
        <v>5</v>
      </c>
      <c r="N265" s="257">
        <v>3.73</v>
      </c>
      <c r="O265" s="159">
        <v>42191</v>
      </c>
      <c r="T265" s="257">
        <v>9.91</v>
      </c>
      <c r="U265" s="256">
        <v>42200</v>
      </c>
      <c r="V265" s="145">
        <v>18.5</v>
      </c>
      <c r="W265" s="159">
        <v>42191</v>
      </c>
      <c r="AD265" s="145">
        <f>(N265/V265)*(((100-CD265)/100)*((100-2)/100))*100</f>
        <v>18.395553513513512</v>
      </c>
      <c r="AF265" s="257">
        <v>21.03</v>
      </c>
      <c r="AG265" s="159">
        <v>42191</v>
      </c>
      <c r="AJ265" s="257">
        <v>110</v>
      </c>
      <c r="AN265" s="257">
        <v>107</v>
      </c>
      <c r="BB265" s="257">
        <v>7</v>
      </c>
      <c r="BN265" s="251">
        <v>66.664000000000001</v>
      </c>
      <c r="BO265" s="256">
        <v>42200</v>
      </c>
      <c r="BT265" s="251">
        <v>47.100910186767578</v>
      </c>
      <c r="BU265" s="256">
        <v>42200</v>
      </c>
      <c r="BV265" s="251">
        <v>20.224102020263672</v>
      </c>
      <c r="BW265" s="256">
        <v>42200</v>
      </c>
      <c r="BX265" s="251">
        <v>45.000999999999998</v>
      </c>
      <c r="BY265" s="256">
        <v>42200</v>
      </c>
      <c r="CD265" s="257">
        <v>6.9</v>
      </c>
      <c r="CE265" s="159">
        <v>42191</v>
      </c>
      <c r="CM265" s="255">
        <v>5</v>
      </c>
      <c r="CN265" s="256">
        <v>42180</v>
      </c>
      <c r="CO265" s="140" t="s">
        <v>8447</v>
      </c>
    </row>
    <row r="266" spans="1:93" ht="15" customHeight="1">
      <c r="A266" s="137" t="s">
        <v>8456</v>
      </c>
      <c r="B266" s="161" t="s">
        <v>8479</v>
      </c>
      <c r="C266" s="268" t="s">
        <v>267</v>
      </c>
      <c r="D266" s="269">
        <v>4</v>
      </c>
      <c r="E266" s="280">
        <v>7</v>
      </c>
      <c r="F266" s="269"/>
      <c r="G266" s="269"/>
      <c r="H266" s="271">
        <v>22</v>
      </c>
      <c r="I266" s="271">
        <v>1</v>
      </c>
      <c r="J266" s="282"/>
      <c r="K266" s="273"/>
      <c r="L266" s="269">
        <v>9</v>
      </c>
      <c r="M266" s="274"/>
      <c r="N266" s="269">
        <v>3.78</v>
      </c>
      <c r="O266" s="274">
        <v>42191</v>
      </c>
      <c r="P266" s="272"/>
      <c r="Q266" s="274"/>
      <c r="R266" s="275"/>
      <c r="S266" s="274"/>
      <c r="T266" s="269">
        <v>10.41</v>
      </c>
      <c r="U266" s="276">
        <v>42200</v>
      </c>
      <c r="V266" s="275">
        <v>18.5</v>
      </c>
      <c r="W266" s="274">
        <v>42191</v>
      </c>
      <c r="X266" s="275"/>
      <c r="Y266" s="274"/>
      <c r="Z266" s="275"/>
      <c r="AA266" s="274"/>
      <c r="AB266" s="275"/>
      <c r="AC266" s="274"/>
      <c r="AD266" s="145">
        <f>(N266/V266)*(((100-CD266)/100)*((100-2)/100))*100</f>
        <v>18.441904864864863</v>
      </c>
      <c r="AE266" s="274"/>
      <c r="AF266" s="269">
        <v>21.08</v>
      </c>
      <c r="AG266" s="274">
        <v>42191</v>
      </c>
      <c r="AH266" s="274"/>
      <c r="AI266" s="274"/>
      <c r="AJ266" s="269">
        <v>115</v>
      </c>
      <c r="AK266" s="274"/>
      <c r="AL266" s="275"/>
      <c r="AM266" s="274"/>
      <c r="AN266" s="269">
        <v>96</v>
      </c>
      <c r="AO266" s="274"/>
      <c r="AP266" s="275"/>
      <c r="AQ266" s="275"/>
      <c r="AR266" s="275"/>
      <c r="AS266" s="275"/>
      <c r="AT266" s="275"/>
      <c r="AU266" s="275"/>
      <c r="AV266" s="275"/>
      <c r="AW266" s="275"/>
      <c r="AX266" s="275"/>
      <c r="AY266" s="275"/>
      <c r="AZ266" s="275"/>
      <c r="BA266" s="275"/>
      <c r="BB266" s="269">
        <v>3</v>
      </c>
      <c r="BC266" s="275"/>
      <c r="BD266" s="275"/>
      <c r="BE266" s="275"/>
      <c r="BF266" s="272"/>
      <c r="BG266" s="272"/>
      <c r="BH266" s="272"/>
      <c r="BI266" s="272"/>
      <c r="BJ266" s="272"/>
      <c r="BK266" s="272"/>
      <c r="BL266" s="272"/>
      <c r="BM266" s="272"/>
      <c r="BN266" s="284">
        <v>64.106999999999999</v>
      </c>
      <c r="BO266" s="276">
        <v>42200</v>
      </c>
      <c r="BP266" s="272"/>
      <c r="BQ266" s="272"/>
      <c r="BR266" s="272"/>
      <c r="BS266" s="272"/>
      <c r="BT266" s="284">
        <v>49.37</v>
      </c>
      <c r="BU266" s="276">
        <v>42200</v>
      </c>
      <c r="BV266" s="284">
        <v>19.218713760375977</v>
      </c>
      <c r="BW266" s="276">
        <v>42200</v>
      </c>
      <c r="BX266" s="284">
        <v>65.382999999999996</v>
      </c>
      <c r="BY266" s="276">
        <v>42200</v>
      </c>
      <c r="BZ266" s="272"/>
      <c r="CA266" s="272"/>
      <c r="CB266" s="272"/>
      <c r="CC266" s="272"/>
      <c r="CD266" s="269">
        <v>7.9</v>
      </c>
      <c r="CE266" s="274">
        <v>42191</v>
      </c>
      <c r="CF266" s="272"/>
      <c r="CG266" s="272"/>
      <c r="CH266" s="272"/>
      <c r="CI266" s="272"/>
      <c r="CJ266" s="272"/>
      <c r="CK266" s="272"/>
      <c r="CL266" s="272"/>
      <c r="CM266" s="278">
        <v>7</v>
      </c>
      <c r="CN266" s="276">
        <v>42180</v>
      </c>
      <c r="CO266" s="272" t="s">
        <v>8447</v>
      </c>
    </row>
    <row r="267" spans="1:93" ht="15" customHeight="1">
      <c r="A267" s="137" t="s">
        <v>8456</v>
      </c>
      <c r="B267" s="161" t="s">
        <v>8479</v>
      </c>
      <c r="C267" s="268" t="s">
        <v>269</v>
      </c>
      <c r="D267" s="269">
        <v>1</v>
      </c>
      <c r="E267" s="280">
        <v>7</v>
      </c>
      <c r="F267" s="269"/>
      <c r="G267" s="269"/>
      <c r="H267" s="271">
        <v>4</v>
      </c>
      <c r="I267" s="271">
        <v>4</v>
      </c>
      <c r="J267" s="282"/>
      <c r="K267" s="273"/>
      <c r="L267" s="269">
        <v>9</v>
      </c>
      <c r="M267" s="274"/>
      <c r="N267" s="269">
        <v>3.77</v>
      </c>
      <c r="O267" s="274">
        <v>42191</v>
      </c>
      <c r="P267" s="272"/>
      <c r="Q267" s="274"/>
      <c r="R267" s="275"/>
      <c r="S267" s="274"/>
      <c r="T267" s="269">
        <v>10.210000000000001</v>
      </c>
      <c r="U267" s="276">
        <v>42200</v>
      </c>
      <c r="V267" s="275">
        <v>18.5</v>
      </c>
      <c r="W267" s="274">
        <v>42191</v>
      </c>
      <c r="X267" s="275"/>
      <c r="Y267" s="274"/>
      <c r="Z267" s="275"/>
      <c r="AA267" s="274"/>
      <c r="AB267" s="275"/>
      <c r="AC267" s="274"/>
      <c r="AD267" s="145">
        <f>(N267/V267)*(((100-CD267)/100)*((100-2)/100))*100</f>
        <v>18.472999999999999</v>
      </c>
      <c r="AE267" s="274"/>
      <c r="AF267" s="269">
        <v>21.12</v>
      </c>
      <c r="AG267" s="274">
        <v>42191</v>
      </c>
      <c r="AH267" s="274"/>
      <c r="AI267" s="274"/>
      <c r="AJ267" s="269">
        <v>125</v>
      </c>
      <c r="AK267" s="274"/>
      <c r="AL267" s="275"/>
      <c r="AM267" s="274"/>
      <c r="AN267" s="269">
        <v>95</v>
      </c>
      <c r="AO267" s="274"/>
      <c r="AP267" s="275"/>
      <c r="AQ267" s="275"/>
      <c r="AR267" s="275"/>
      <c r="AS267" s="275"/>
      <c r="AT267" s="275"/>
      <c r="AU267" s="275"/>
      <c r="AV267" s="275"/>
      <c r="AW267" s="275"/>
      <c r="AX267" s="275"/>
      <c r="AY267" s="275"/>
      <c r="AZ267" s="275"/>
      <c r="BA267" s="275"/>
      <c r="BB267" s="269">
        <v>1</v>
      </c>
      <c r="BC267" s="275"/>
      <c r="BD267" s="275"/>
      <c r="BE267" s="275"/>
      <c r="BF267" s="272"/>
      <c r="BG267" s="272"/>
      <c r="BH267" s="272"/>
      <c r="BI267" s="272"/>
      <c r="BJ267" s="272"/>
      <c r="BK267" s="272"/>
      <c r="BL267" s="272"/>
      <c r="BM267" s="272"/>
      <c r="BN267" s="284">
        <v>64.537000000000006</v>
      </c>
      <c r="BO267" s="276">
        <v>42200</v>
      </c>
      <c r="BP267" s="272"/>
      <c r="BQ267" s="272"/>
      <c r="BR267" s="272"/>
      <c r="BS267" s="272"/>
      <c r="BT267" s="284">
        <v>48.36</v>
      </c>
      <c r="BU267" s="276">
        <v>42200</v>
      </c>
      <c r="BV267" s="284">
        <v>19.945758819580078</v>
      </c>
      <c r="BW267" s="276">
        <v>42200</v>
      </c>
      <c r="BX267" s="284">
        <v>67.084000000000003</v>
      </c>
      <c r="BY267" s="276">
        <v>42200</v>
      </c>
      <c r="BZ267" s="272"/>
      <c r="CA267" s="272"/>
      <c r="CB267" s="272"/>
      <c r="CC267" s="272"/>
      <c r="CD267" s="269">
        <v>7.5</v>
      </c>
      <c r="CE267" s="274">
        <v>42191</v>
      </c>
      <c r="CF267" s="272"/>
      <c r="CG267" s="272"/>
      <c r="CH267" s="272"/>
      <c r="CI267" s="272"/>
      <c r="CJ267" s="272"/>
      <c r="CK267" s="272"/>
      <c r="CL267" s="272"/>
      <c r="CM267" s="278">
        <v>7</v>
      </c>
      <c r="CN267" s="276">
        <v>42180</v>
      </c>
      <c r="CO267" s="272" t="s">
        <v>8447</v>
      </c>
    </row>
    <row r="268" spans="1:93" ht="15" customHeight="1">
      <c r="A268" s="137" t="s">
        <v>8452</v>
      </c>
      <c r="B268" s="161" t="s">
        <v>8475</v>
      </c>
      <c r="C268" s="268" t="s">
        <v>267</v>
      </c>
      <c r="D268" s="269">
        <v>3</v>
      </c>
      <c r="E268" s="280">
        <v>3</v>
      </c>
      <c r="F268" s="269"/>
      <c r="G268" s="269"/>
      <c r="H268" s="271">
        <v>18</v>
      </c>
      <c r="I268" s="271">
        <v>3</v>
      </c>
      <c r="J268" s="282"/>
      <c r="K268" s="273"/>
      <c r="L268" s="269">
        <v>8</v>
      </c>
      <c r="M268" s="274"/>
      <c r="N268" s="269">
        <v>3.8</v>
      </c>
      <c r="O268" s="274">
        <v>42191</v>
      </c>
      <c r="P268" s="272"/>
      <c r="Q268" s="274"/>
      <c r="R268" s="275"/>
      <c r="S268" s="274"/>
      <c r="T268" s="269">
        <v>10.29</v>
      </c>
      <c r="U268" s="276">
        <v>42200</v>
      </c>
      <c r="V268" s="275">
        <v>18.5</v>
      </c>
      <c r="W268" s="274">
        <v>42191</v>
      </c>
      <c r="X268" s="275"/>
      <c r="Y268" s="274"/>
      <c r="Z268" s="275"/>
      <c r="AA268" s="274"/>
      <c r="AB268" s="275"/>
      <c r="AC268" s="274"/>
      <c r="AD268" s="145">
        <f>(N268/V268)*(((100-CD268)/100)*((100-2)/100))*100</f>
        <v>18.479091891891887</v>
      </c>
      <c r="AE268" s="274"/>
      <c r="AF268" s="269">
        <v>21.12</v>
      </c>
      <c r="AG268" s="274">
        <v>42191</v>
      </c>
      <c r="AH268" s="274"/>
      <c r="AI268" s="274"/>
      <c r="AJ268" s="269">
        <v>120</v>
      </c>
      <c r="AK268" s="274"/>
      <c r="AL268" s="275"/>
      <c r="AM268" s="274"/>
      <c r="AN268" s="269">
        <v>98</v>
      </c>
      <c r="AO268" s="274"/>
      <c r="AP268" s="275"/>
      <c r="AQ268" s="275"/>
      <c r="AR268" s="275"/>
      <c r="AS268" s="275"/>
      <c r="AT268" s="275"/>
      <c r="AU268" s="275"/>
      <c r="AV268" s="275"/>
      <c r="AW268" s="275"/>
      <c r="AX268" s="275"/>
      <c r="AY268" s="275"/>
      <c r="AZ268" s="275"/>
      <c r="BA268" s="275"/>
      <c r="BB268" s="269">
        <v>3</v>
      </c>
      <c r="BC268" s="275"/>
      <c r="BD268" s="275"/>
      <c r="BE268" s="275"/>
      <c r="BF268" s="272"/>
      <c r="BG268" s="272"/>
      <c r="BH268" s="272"/>
      <c r="BI268" s="272"/>
      <c r="BJ268" s="272"/>
      <c r="BK268" s="272"/>
      <c r="BL268" s="272"/>
      <c r="BM268" s="272"/>
      <c r="BN268" s="284">
        <v>65.872</v>
      </c>
      <c r="BO268" s="276">
        <v>42200</v>
      </c>
      <c r="BP268" s="272"/>
      <c r="BQ268" s="272"/>
      <c r="BR268" s="272"/>
      <c r="BS268" s="272"/>
      <c r="BT268" s="284">
        <v>48.71</v>
      </c>
      <c r="BU268" s="276">
        <v>42200</v>
      </c>
      <c r="BV268" s="284">
        <v>20.824771881103516</v>
      </c>
      <c r="BW268" s="276">
        <v>42200</v>
      </c>
      <c r="BX268" s="284">
        <v>71.022000000000006</v>
      </c>
      <c r="BY268" s="276">
        <v>42200</v>
      </c>
      <c r="BZ268" s="272"/>
      <c r="CA268" s="272"/>
      <c r="CB268" s="272"/>
      <c r="CC268" s="272"/>
      <c r="CD268" s="269">
        <v>8.1999999999999993</v>
      </c>
      <c r="CE268" s="274">
        <v>42191</v>
      </c>
      <c r="CF268" s="272"/>
      <c r="CG268" s="272"/>
      <c r="CH268" s="272"/>
      <c r="CI268" s="272"/>
      <c r="CJ268" s="272"/>
      <c r="CK268" s="272"/>
      <c r="CL268" s="272"/>
      <c r="CM268" s="278">
        <v>5</v>
      </c>
      <c r="CN268" s="276">
        <v>42180</v>
      </c>
      <c r="CO268" s="272" t="s">
        <v>8447</v>
      </c>
    </row>
    <row r="269" spans="1:93" ht="15">
      <c r="A269" s="124" t="s">
        <v>7591</v>
      </c>
      <c r="B269" s="161" t="s">
        <v>7769</v>
      </c>
      <c r="C269" s="268" t="s">
        <v>269</v>
      </c>
      <c r="D269" s="243">
        <v>2</v>
      </c>
      <c r="E269" s="183">
        <v>5</v>
      </c>
      <c r="F269" s="244">
        <v>7</v>
      </c>
      <c r="G269" s="245">
        <v>1</v>
      </c>
      <c r="J269" s="266"/>
      <c r="L269" s="254">
        <v>9</v>
      </c>
      <c r="N269" s="246">
        <v>3.74</v>
      </c>
      <c r="O269" s="159">
        <v>42191</v>
      </c>
      <c r="P269" s="144"/>
      <c r="R269" s="145"/>
      <c r="T269" s="247">
        <v>10.4</v>
      </c>
      <c r="U269" s="256">
        <v>42200</v>
      </c>
      <c r="V269" s="145">
        <v>18.5</v>
      </c>
      <c r="W269" s="159">
        <v>42191</v>
      </c>
      <c r="X269" s="145"/>
      <c r="Z269" s="145"/>
      <c r="AB269" s="145"/>
      <c r="AD269" s="145">
        <f>(N269/V269)*(((100-CD269)/100)*((100-2)/100))*100</f>
        <v>18.484495135135134</v>
      </c>
      <c r="AF269" s="248">
        <v>21.13</v>
      </c>
      <c r="AG269" s="159">
        <v>42191</v>
      </c>
      <c r="AJ269" s="249">
        <v>150</v>
      </c>
      <c r="AL269" s="145"/>
      <c r="AN269" s="250">
        <v>95</v>
      </c>
      <c r="BB269" s="257">
        <v>3</v>
      </c>
      <c r="BN269" s="251">
        <v>63.835999999999999</v>
      </c>
      <c r="BO269" s="256">
        <v>42200</v>
      </c>
      <c r="BT269" s="251">
        <v>49.225353240966797</v>
      </c>
      <c r="BU269" s="256">
        <v>42200</v>
      </c>
      <c r="BV269" s="251">
        <v>18.5924072265625</v>
      </c>
      <c r="BW269" s="256">
        <v>42200</v>
      </c>
      <c r="BX269" s="251">
        <v>71.242000000000004</v>
      </c>
      <c r="BY269" s="256">
        <v>42200</v>
      </c>
      <c r="CD269" s="253">
        <v>6.7</v>
      </c>
      <c r="CE269" s="159">
        <v>42191</v>
      </c>
      <c r="CM269" s="255">
        <v>5</v>
      </c>
      <c r="CN269" s="256">
        <v>42180</v>
      </c>
      <c r="CO269" s="140" t="s">
        <v>8448</v>
      </c>
    </row>
    <row r="270" spans="1:93" ht="15" customHeight="1">
      <c r="A270" s="124" t="s">
        <v>7604</v>
      </c>
      <c r="B270" s="161" t="s">
        <v>7459</v>
      </c>
      <c r="C270" s="268" t="s">
        <v>269</v>
      </c>
      <c r="D270" s="257">
        <v>2</v>
      </c>
      <c r="E270" s="183">
        <v>18</v>
      </c>
      <c r="F270" s="257">
        <v>11</v>
      </c>
      <c r="G270" s="257">
        <v>14</v>
      </c>
      <c r="J270" s="266"/>
      <c r="L270" s="257">
        <v>8</v>
      </c>
      <c r="N270" s="257">
        <v>3.75</v>
      </c>
      <c r="O270" s="159">
        <v>42191</v>
      </c>
      <c r="P270" s="144"/>
      <c r="R270" s="145"/>
      <c r="T270" s="257">
        <v>10.43</v>
      </c>
      <c r="U270" s="256">
        <v>42200</v>
      </c>
      <c r="V270" s="145">
        <v>18.5</v>
      </c>
      <c r="W270" s="159">
        <v>42191</v>
      </c>
      <c r="X270" s="145"/>
      <c r="Z270" s="145"/>
      <c r="AB270" s="145"/>
      <c r="AD270" s="145">
        <f>(N270/V270)*(((100-CD270)/100)*((100-2)/100))*100</f>
        <v>18.514054054054057</v>
      </c>
      <c r="AF270" s="257">
        <v>21.16</v>
      </c>
      <c r="AG270" s="159">
        <v>42191</v>
      </c>
      <c r="AJ270" s="257">
        <v>125</v>
      </c>
      <c r="AL270" s="145"/>
      <c r="AN270" s="257">
        <v>101</v>
      </c>
      <c r="BB270" s="257">
        <v>7</v>
      </c>
      <c r="BN270" s="251">
        <v>62.984000000000002</v>
      </c>
      <c r="BO270" s="256">
        <v>42200</v>
      </c>
      <c r="BT270" s="251">
        <v>49.311759948730469</v>
      </c>
      <c r="BU270" s="256">
        <v>42200</v>
      </c>
      <c r="BV270" s="251">
        <v>18.356288909912109</v>
      </c>
      <c r="BW270" s="256">
        <v>42200</v>
      </c>
      <c r="BX270" s="251">
        <v>48.716000000000001</v>
      </c>
      <c r="BY270" s="256">
        <v>42200</v>
      </c>
      <c r="CD270" s="257">
        <v>6.8</v>
      </c>
      <c r="CE270" s="159">
        <v>42191</v>
      </c>
      <c r="CM270" s="255">
        <v>5</v>
      </c>
      <c r="CN270" s="256">
        <v>42180</v>
      </c>
      <c r="CO270" s="140" t="s">
        <v>8448</v>
      </c>
    </row>
    <row r="271" spans="1:93" ht="15" customHeight="1">
      <c r="A271" s="124" t="s">
        <v>7524</v>
      </c>
      <c r="B271" s="161" t="s">
        <v>7524</v>
      </c>
      <c r="C271" s="268" t="s">
        <v>267</v>
      </c>
      <c r="D271" s="257">
        <v>4</v>
      </c>
      <c r="E271" s="191">
        <v>185</v>
      </c>
      <c r="F271" s="257">
        <v>23</v>
      </c>
      <c r="G271" s="257">
        <v>26</v>
      </c>
      <c r="L271" s="257">
        <v>3</v>
      </c>
      <c r="N271" s="257">
        <v>3.82</v>
      </c>
      <c r="O271" s="159">
        <v>42191</v>
      </c>
      <c r="T271" s="257">
        <v>10.82</v>
      </c>
      <c r="U271" s="256">
        <v>42200</v>
      </c>
      <c r="V271" s="145">
        <v>18.5</v>
      </c>
      <c r="W271" s="159">
        <v>42191</v>
      </c>
      <c r="AD271" s="145">
        <f>(N271/V271)*(((100-CD271)/100)*((100-2)/100))*100</f>
        <v>18.515643243243243</v>
      </c>
      <c r="AF271" s="257">
        <v>21.17</v>
      </c>
      <c r="AG271" s="159">
        <v>42191</v>
      </c>
      <c r="AJ271" s="257">
        <v>115</v>
      </c>
      <c r="AN271" s="257">
        <v>102</v>
      </c>
      <c r="BB271" s="257">
        <v>7</v>
      </c>
      <c r="BN271" s="251">
        <v>65.444000000000003</v>
      </c>
      <c r="BO271" s="256">
        <v>42200</v>
      </c>
      <c r="BT271" s="251">
        <v>51.118339538574219</v>
      </c>
      <c r="BU271" s="256">
        <v>42200</v>
      </c>
      <c r="BV271" s="251">
        <v>18.67840576171875</v>
      </c>
      <c r="BW271" s="256">
        <v>42200</v>
      </c>
      <c r="BX271" s="251">
        <v>13.513</v>
      </c>
      <c r="BY271" s="256">
        <v>42200</v>
      </c>
      <c r="CD271" s="257">
        <v>8.5</v>
      </c>
      <c r="CE271" s="159">
        <v>42191</v>
      </c>
      <c r="CM271" s="255">
        <v>1</v>
      </c>
      <c r="CN271" s="256">
        <v>42180</v>
      </c>
      <c r="CO271" s="140" t="s">
        <v>8447</v>
      </c>
    </row>
    <row r="272" spans="1:93" ht="15" customHeight="1">
      <c r="A272" s="124" t="s">
        <v>7734</v>
      </c>
      <c r="B272" s="161" t="s">
        <v>7558</v>
      </c>
      <c r="C272" s="268" t="s">
        <v>269</v>
      </c>
      <c r="D272" s="257">
        <v>2</v>
      </c>
      <c r="E272" s="183">
        <v>148</v>
      </c>
      <c r="F272" s="257">
        <v>11</v>
      </c>
      <c r="G272" s="257">
        <v>7</v>
      </c>
      <c r="L272" s="257">
        <v>7</v>
      </c>
      <c r="N272" s="257">
        <v>3.75</v>
      </c>
      <c r="O272" s="159">
        <v>42191</v>
      </c>
      <c r="T272" s="257">
        <v>11.18</v>
      </c>
      <c r="U272" s="256">
        <v>42200</v>
      </c>
      <c r="V272" s="145">
        <v>18.5</v>
      </c>
      <c r="W272" s="159">
        <v>42191</v>
      </c>
      <c r="AD272" s="145">
        <f>(N272/V272)*(((100-CD272)/100)*((100-2)/100))*100</f>
        <v>18.533918918918918</v>
      </c>
      <c r="AF272" s="257">
        <v>21.19</v>
      </c>
      <c r="AG272" s="159">
        <v>42191</v>
      </c>
      <c r="AJ272" s="257">
        <v>130</v>
      </c>
      <c r="AN272" s="257">
        <v>103</v>
      </c>
      <c r="BB272" s="257">
        <v>7</v>
      </c>
      <c r="BN272" s="251">
        <v>66.436000000000007</v>
      </c>
      <c r="BO272" s="256">
        <v>42200</v>
      </c>
      <c r="BT272" s="251">
        <v>52.772720336914062</v>
      </c>
      <c r="BU272" s="256">
        <v>42200</v>
      </c>
      <c r="BV272" s="251">
        <v>15.169572830200195</v>
      </c>
      <c r="BW272" s="256">
        <v>42200</v>
      </c>
      <c r="BX272" s="251">
        <v>19.25</v>
      </c>
      <c r="BY272" s="256">
        <v>42200</v>
      </c>
      <c r="CD272" s="257">
        <v>6.7</v>
      </c>
      <c r="CE272" s="159">
        <v>42191</v>
      </c>
      <c r="CM272" s="255">
        <v>3</v>
      </c>
      <c r="CN272" s="256">
        <v>42180</v>
      </c>
      <c r="CO272" s="140" t="s">
        <v>8448</v>
      </c>
    </row>
    <row r="273" spans="1:93" ht="15" customHeight="1">
      <c r="A273" s="124" t="s">
        <v>7673</v>
      </c>
      <c r="B273" s="161" t="s">
        <v>7522</v>
      </c>
      <c r="C273" s="268" t="s">
        <v>269</v>
      </c>
      <c r="D273" s="257">
        <v>1</v>
      </c>
      <c r="E273" s="183">
        <v>87</v>
      </c>
      <c r="F273" s="257">
        <v>1</v>
      </c>
      <c r="G273" s="257">
        <v>12</v>
      </c>
      <c r="L273" s="257">
        <v>7</v>
      </c>
      <c r="N273" s="257">
        <v>3.76</v>
      </c>
      <c r="O273" s="159">
        <v>42191</v>
      </c>
      <c r="T273" s="257">
        <v>10.47</v>
      </c>
      <c r="U273" s="256">
        <v>42200</v>
      </c>
      <c r="V273" s="145">
        <v>18.5</v>
      </c>
      <c r="W273" s="159">
        <v>42191</v>
      </c>
      <c r="AD273" s="145">
        <f>(N273/V273)*(((100-CD273)/100)*((100-2)/100))*100</f>
        <v>18.543507027027022</v>
      </c>
      <c r="AF273" s="257">
        <f>(N273/V273)*(((100-CD273)/(100-9))*100)</f>
        <v>20.793347193347188</v>
      </c>
      <c r="AG273" s="159">
        <v>42191</v>
      </c>
      <c r="AJ273" s="257">
        <v>130</v>
      </c>
      <c r="AN273" s="257">
        <v>106</v>
      </c>
      <c r="BB273" s="257">
        <v>7</v>
      </c>
      <c r="BN273" s="251">
        <v>64.361000000000004</v>
      </c>
      <c r="BO273" s="256">
        <v>42200</v>
      </c>
      <c r="BT273" s="251">
        <v>49.403736114501953</v>
      </c>
      <c r="BU273" s="256">
        <v>42200</v>
      </c>
      <c r="BV273" s="251">
        <v>19.035120010375977</v>
      </c>
      <c r="BW273" s="256">
        <v>42200</v>
      </c>
      <c r="BX273" s="251">
        <v>23.050999999999998</v>
      </c>
      <c r="BY273" s="256">
        <v>42200</v>
      </c>
      <c r="CD273" s="257">
        <v>6.9</v>
      </c>
      <c r="CE273" s="159">
        <v>42191</v>
      </c>
      <c r="CM273" s="255">
        <v>1</v>
      </c>
      <c r="CN273" s="256">
        <v>42180</v>
      </c>
      <c r="CO273" s="140" t="s">
        <v>8447</v>
      </c>
    </row>
    <row r="274" spans="1:93" ht="15" customHeight="1">
      <c r="A274" s="124" t="s">
        <v>7698</v>
      </c>
      <c r="B274" s="161" t="s">
        <v>7544</v>
      </c>
      <c r="C274" s="268" t="s">
        <v>267</v>
      </c>
      <c r="D274" s="257">
        <v>3</v>
      </c>
      <c r="E274" s="183">
        <v>112</v>
      </c>
      <c r="F274" s="257">
        <v>16</v>
      </c>
      <c r="G274" s="257">
        <v>1</v>
      </c>
      <c r="L274" s="257">
        <v>7</v>
      </c>
      <c r="N274" s="257">
        <v>3.84</v>
      </c>
      <c r="O274" s="159">
        <v>42191</v>
      </c>
      <c r="T274" s="257">
        <v>10.76</v>
      </c>
      <c r="U274" s="256">
        <v>42200</v>
      </c>
      <c r="V274" s="145">
        <v>18.5</v>
      </c>
      <c r="W274" s="159">
        <v>42191</v>
      </c>
      <c r="AD274" s="145">
        <f>(N274/V274)*(((100-CD274)/100)*((100-2)/100))*100</f>
        <v>18.571900540540536</v>
      </c>
      <c r="AF274" s="257">
        <v>21.23</v>
      </c>
      <c r="AG274" s="159">
        <v>42191</v>
      </c>
      <c r="AJ274" s="257">
        <v>120</v>
      </c>
      <c r="AN274" s="257">
        <v>103</v>
      </c>
      <c r="BB274" s="257">
        <v>5</v>
      </c>
      <c r="BN274" s="251">
        <v>63.113999999999997</v>
      </c>
      <c r="BO274" s="256">
        <v>42200</v>
      </c>
      <c r="BT274" s="251">
        <v>50.665756225585938</v>
      </c>
      <c r="BU274" s="256">
        <v>42200</v>
      </c>
      <c r="BV274" s="251">
        <v>16.937776565551758</v>
      </c>
      <c r="BW274" s="256">
        <v>42200</v>
      </c>
      <c r="BX274" s="251">
        <v>16.791</v>
      </c>
      <c r="BY274" s="256">
        <v>42200</v>
      </c>
      <c r="CD274" s="257">
        <v>8.6999999999999993</v>
      </c>
      <c r="CE274" s="159">
        <v>42191</v>
      </c>
      <c r="CM274" s="255">
        <v>3</v>
      </c>
      <c r="CN274" s="256">
        <v>42180</v>
      </c>
      <c r="CO274" s="140" t="s">
        <v>8447</v>
      </c>
    </row>
    <row r="275" spans="1:93" ht="15" customHeight="1">
      <c r="A275" s="124" t="s">
        <v>7689</v>
      </c>
      <c r="B275" s="161" t="s">
        <v>7536</v>
      </c>
      <c r="C275" s="268" t="s">
        <v>269</v>
      </c>
      <c r="D275" s="257">
        <v>2</v>
      </c>
      <c r="E275" s="183">
        <v>103</v>
      </c>
      <c r="F275" s="257">
        <v>11</v>
      </c>
      <c r="G275" s="257">
        <v>15</v>
      </c>
      <c r="L275" s="257">
        <v>3</v>
      </c>
      <c r="N275" s="257">
        <v>3.77</v>
      </c>
      <c r="O275" s="159">
        <v>42191</v>
      </c>
      <c r="T275" s="257">
        <v>10.83</v>
      </c>
      <c r="U275" s="256">
        <v>42200</v>
      </c>
      <c r="V275" s="145">
        <v>18.5</v>
      </c>
      <c r="W275" s="159">
        <v>42191</v>
      </c>
      <c r="AD275" s="145">
        <f>(N275/V275)*(((100-CD275)/100)*((100-2)/100))*100</f>
        <v>18.612795675675677</v>
      </c>
      <c r="AF275" s="257">
        <f>(N275/V275)*(((100-CD275)/(100-9))*100)</f>
        <v>20.871042471042475</v>
      </c>
      <c r="AG275" s="159">
        <v>42191</v>
      </c>
      <c r="AJ275" s="257">
        <v>130</v>
      </c>
      <c r="AN275" s="257">
        <v>102</v>
      </c>
      <c r="BB275" s="257">
        <v>5</v>
      </c>
      <c r="BN275" s="251">
        <v>66.903999999999996</v>
      </c>
      <c r="BO275" s="256">
        <v>42200</v>
      </c>
      <c r="BT275" s="251">
        <v>50.882713317871094</v>
      </c>
      <c r="BU275" s="256">
        <v>42200</v>
      </c>
      <c r="BV275" s="251">
        <v>17.588701248168945</v>
      </c>
      <c r="BW275" s="256">
        <v>42200</v>
      </c>
      <c r="BX275" s="251">
        <v>19.861000000000001</v>
      </c>
      <c r="BY275" s="256">
        <v>42200</v>
      </c>
      <c r="CD275" s="257">
        <v>6.8</v>
      </c>
      <c r="CE275" s="159">
        <v>42191</v>
      </c>
      <c r="CM275" s="255">
        <v>1</v>
      </c>
      <c r="CN275" s="256">
        <v>42180</v>
      </c>
      <c r="CO275" s="140" t="s">
        <v>8448</v>
      </c>
    </row>
    <row r="276" spans="1:93" ht="15" customHeight="1">
      <c r="A276" s="124" t="s">
        <v>7600</v>
      </c>
      <c r="B276" s="161" t="s">
        <v>7456</v>
      </c>
      <c r="C276" s="268" t="s">
        <v>269</v>
      </c>
      <c r="D276" s="257">
        <v>1</v>
      </c>
      <c r="E276" s="183">
        <v>14</v>
      </c>
      <c r="F276" s="257">
        <v>1</v>
      </c>
      <c r="G276" s="257">
        <v>27</v>
      </c>
      <c r="J276" s="266"/>
      <c r="L276" s="257">
        <v>9</v>
      </c>
      <c r="N276" s="257">
        <v>3.77</v>
      </c>
      <c r="O276" s="159">
        <v>42191</v>
      </c>
      <c r="P276" s="144"/>
      <c r="R276" s="145"/>
      <c r="T276" s="257">
        <v>10.38</v>
      </c>
      <c r="U276" s="256">
        <v>42200</v>
      </c>
      <c r="V276" s="145">
        <v>18.5</v>
      </c>
      <c r="W276" s="159">
        <v>42191</v>
      </c>
      <c r="X276" s="145"/>
      <c r="Z276" s="145"/>
      <c r="AB276" s="145"/>
      <c r="AD276" s="145">
        <f>(N276/V276)*(((100-CD276)/100)*((100-2)/100))*100</f>
        <v>18.612795675675677</v>
      </c>
      <c r="AF276" s="257">
        <v>21.28</v>
      </c>
      <c r="AG276" s="159">
        <v>42191</v>
      </c>
      <c r="AJ276" s="257">
        <v>140</v>
      </c>
      <c r="AL276" s="145"/>
      <c r="AN276" s="257">
        <v>102</v>
      </c>
      <c r="BB276" s="257">
        <v>5</v>
      </c>
      <c r="BN276" s="251">
        <v>64.753</v>
      </c>
      <c r="BO276" s="256">
        <v>42200</v>
      </c>
      <c r="BT276" s="251">
        <v>48.786064147949219</v>
      </c>
      <c r="BU276" s="256">
        <v>42200</v>
      </c>
      <c r="BV276" s="251">
        <v>20.91526985168457</v>
      </c>
      <c r="BW276" s="256">
        <v>42200</v>
      </c>
      <c r="BX276" s="251">
        <v>57.31</v>
      </c>
      <c r="BY276" s="256">
        <v>42200</v>
      </c>
      <c r="CD276" s="257">
        <v>6.8</v>
      </c>
      <c r="CE276" s="159">
        <v>42191</v>
      </c>
      <c r="CM276" s="255">
        <v>3</v>
      </c>
      <c r="CN276" s="256">
        <v>42180</v>
      </c>
      <c r="CO276" s="140" t="s">
        <v>8447</v>
      </c>
    </row>
    <row r="277" spans="1:93" ht="15" customHeight="1">
      <c r="A277" s="137" t="s">
        <v>8456</v>
      </c>
      <c r="B277" s="161" t="s">
        <v>8479</v>
      </c>
      <c r="C277" s="268" t="s">
        <v>269</v>
      </c>
      <c r="D277" s="269">
        <v>2</v>
      </c>
      <c r="E277" s="280">
        <v>7</v>
      </c>
      <c r="F277" s="269"/>
      <c r="G277" s="269"/>
      <c r="H277" s="271">
        <v>7</v>
      </c>
      <c r="I277" s="271">
        <v>3</v>
      </c>
      <c r="J277" s="282"/>
      <c r="K277" s="273"/>
      <c r="L277" s="269">
        <v>9</v>
      </c>
      <c r="M277" s="274"/>
      <c r="N277" s="269">
        <v>3.8</v>
      </c>
      <c r="O277" s="274">
        <v>42191</v>
      </c>
      <c r="P277" s="272"/>
      <c r="Q277" s="274"/>
      <c r="R277" s="275"/>
      <c r="S277" s="274"/>
      <c r="T277" s="269">
        <v>10.75</v>
      </c>
      <c r="U277" s="276">
        <v>42200</v>
      </c>
      <c r="V277" s="275">
        <v>18.5</v>
      </c>
      <c r="W277" s="274">
        <v>42191</v>
      </c>
      <c r="X277" s="275"/>
      <c r="Y277" s="274"/>
      <c r="Z277" s="275"/>
      <c r="AA277" s="274"/>
      <c r="AB277" s="275"/>
      <c r="AC277" s="274"/>
      <c r="AD277" s="145">
        <f>(N277/V277)*(((100-CD277)/100)*((100-2)/100))*100</f>
        <v>18.619999999999997</v>
      </c>
      <c r="AE277" s="274"/>
      <c r="AF277" s="269">
        <v>21.29</v>
      </c>
      <c r="AG277" s="274">
        <v>42191</v>
      </c>
      <c r="AH277" s="274"/>
      <c r="AI277" s="274"/>
      <c r="AJ277" s="269">
        <v>130</v>
      </c>
      <c r="AK277" s="274"/>
      <c r="AL277" s="275"/>
      <c r="AM277" s="274"/>
      <c r="AN277" s="269">
        <v>95</v>
      </c>
      <c r="AO277" s="274"/>
      <c r="AP277" s="275"/>
      <c r="AQ277" s="275"/>
      <c r="AR277" s="275"/>
      <c r="AS277" s="275"/>
      <c r="AT277" s="275"/>
      <c r="AU277" s="275"/>
      <c r="AV277" s="275"/>
      <c r="AW277" s="275"/>
      <c r="AX277" s="275"/>
      <c r="AY277" s="275"/>
      <c r="AZ277" s="275"/>
      <c r="BA277" s="275"/>
      <c r="BB277" s="269">
        <v>3</v>
      </c>
      <c r="BC277" s="275"/>
      <c r="BD277" s="275"/>
      <c r="BE277" s="275"/>
      <c r="BF277" s="272"/>
      <c r="BG277" s="272"/>
      <c r="BH277" s="272"/>
      <c r="BI277" s="272"/>
      <c r="BJ277" s="272"/>
      <c r="BK277" s="272"/>
      <c r="BL277" s="272"/>
      <c r="BM277" s="272"/>
      <c r="BN277" s="284">
        <v>63.277000000000001</v>
      </c>
      <c r="BO277" s="276">
        <v>42200</v>
      </c>
      <c r="BP277" s="272"/>
      <c r="BQ277" s="272"/>
      <c r="BR277" s="272"/>
      <c r="BS277" s="272"/>
      <c r="BT277" s="284">
        <v>50.48</v>
      </c>
      <c r="BU277" s="276">
        <v>42200</v>
      </c>
      <c r="BV277" s="284">
        <v>18.239967346191406</v>
      </c>
      <c r="BW277" s="276">
        <v>42200</v>
      </c>
      <c r="BX277" s="284">
        <v>61.747</v>
      </c>
      <c r="BY277" s="276">
        <v>42200</v>
      </c>
      <c r="BZ277" s="272"/>
      <c r="CA277" s="272"/>
      <c r="CB277" s="272"/>
      <c r="CC277" s="272"/>
      <c r="CD277" s="269">
        <v>7.5</v>
      </c>
      <c r="CE277" s="274">
        <v>42191</v>
      </c>
      <c r="CF277" s="272"/>
      <c r="CG277" s="272"/>
      <c r="CH277" s="272"/>
      <c r="CI277" s="272"/>
      <c r="CJ277" s="272"/>
      <c r="CK277" s="272"/>
      <c r="CL277" s="272"/>
      <c r="CM277" s="278">
        <v>5</v>
      </c>
      <c r="CN277" s="276">
        <v>42180</v>
      </c>
      <c r="CO277" s="272" t="s">
        <v>8447</v>
      </c>
    </row>
    <row r="278" spans="1:93" ht="15">
      <c r="A278" s="124" t="s">
        <v>7651</v>
      </c>
      <c r="B278" s="161" t="s">
        <v>7501</v>
      </c>
      <c r="C278" s="268" t="s">
        <v>269</v>
      </c>
      <c r="D278" s="243">
        <v>2</v>
      </c>
      <c r="E278" s="183">
        <v>65</v>
      </c>
      <c r="F278" s="244">
        <v>11</v>
      </c>
      <c r="G278" s="245">
        <v>13</v>
      </c>
      <c r="L278" s="254">
        <v>5</v>
      </c>
      <c r="N278" s="246">
        <v>3.78</v>
      </c>
      <c r="O278" s="159">
        <v>42191</v>
      </c>
      <c r="T278" s="247">
        <v>11.4</v>
      </c>
      <c r="U278" s="256">
        <v>42200</v>
      </c>
      <c r="V278" s="145">
        <v>18.5</v>
      </c>
      <c r="W278" s="159">
        <v>42191</v>
      </c>
      <c r="AD278" s="145">
        <f>(N278/V278)*(((100-CD278)/100)*((100-2)/100))*100</f>
        <v>18.642142702702703</v>
      </c>
      <c r="AF278" s="248">
        <v>21.31</v>
      </c>
      <c r="AG278" s="159">
        <v>42191</v>
      </c>
      <c r="AJ278" s="249">
        <v>130</v>
      </c>
      <c r="AN278" s="250">
        <v>103</v>
      </c>
      <c r="BB278" s="257">
        <v>7</v>
      </c>
      <c r="BN278" s="251">
        <v>63.597000000000001</v>
      </c>
      <c r="BO278" s="256">
        <v>42200</v>
      </c>
      <c r="BT278" s="251">
        <v>53.488334655761719</v>
      </c>
      <c r="BU278" s="256">
        <v>42200</v>
      </c>
      <c r="BV278" s="251">
        <v>15.543919563293457</v>
      </c>
      <c r="BW278" s="256">
        <v>42200</v>
      </c>
      <c r="BX278" s="251">
        <v>17.361000000000001</v>
      </c>
      <c r="BY278" s="256">
        <v>42200</v>
      </c>
      <c r="CD278" s="253">
        <v>6.9</v>
      </c>
      <c r="CE278" s="159">
        <v>42191</v>
      </c>
      <c r="CM278" s="255">
        <v>3</v>
      </c>
      <c r="CN278" s="256">
        <v>42180</v>
      </c>
      <c r="CO278" s="140" t="s">
        <v>8448</v>
      </c>
    </row>
    <row r="279" spans="1:93" ht="15" customHeight="1">
      <c r="A279" s="137" t="s">
        <v>8468</v>
      </c>
      <c r="B279" s="161" t="s">
        <v>8491</v>
      </c>
      <c r="C279" s="268" t="s">
        <v>269</v>
      </c>
      <c r="D279" s="269">
        <v>2</v>
      </c>
      <c r="E279" s="280">
        <v>19</v>
      </c>
      <c r="F279" s="269"/>
      <c r="G279" s="269"/>
      <c r="H279" s="271">
        <v>8</v>
      </c>
      <c r="I279" s="271">
        <v>3</v>
      </c>
      <c r="J279" s="282"/>
      <c r="K279" s="273"/>
      <c r="L279" s="269">
        <v>9</v>
      </c>
      <c r="M279" s="274"/>
      <c r="N279" s="269">
        <v>3.8</v>
      </c>
      <c r="O279" s="274">
        <v>42191</v>
      </c>
      <c r="P279" s="272"/>
      <c r="Q279" s="274"/>
      <c r="R279" s="275"/>
      <c r="S279" s="274"/>
      <c r="T279" s="269">
        <v>10.87</v>
      </c>
      <c r="U279" s="276">
        <v>42200</v>
      </c>
      <c r="V279" s="275">
        <v>18.5</v>
      </c>
      <c r="W279" s="274">
        <v>42191</v>
      </c>
      <c r="X279" s="275"/>
      <c r="Y279" s="274"/>
      <c r="Z279" s="275"/>
      <c r="AA279" s="274"/>
      <c r="AB279" s="275"/>
      <c r="AC279" s="274"/>
      <c r="AD279" s="145">
        <f>(N279/V279)*(((100-CD279)/100)*((100-2)/100))*100</f>
        <v>18.680389189189185</v>
      </c>
      <c r="AE279" s="274"/>
      <c r="AF279" s="269">
        <v>21.35</v>
      </c>
      <c r="AG279" s="274">
        <v>42191</v>
      </c>
      <c r="AH279" s="274"/>
      <c r="AI279" s="274"/>
      <c r="AJ279" s="269">
        <v>125</v>
      </c>
      <c r="AK279" s="274"/>
      <c r="AL279" s="275"/>
      <c r="AM279" s="274"/>
      <c r="AN279" s="269">
        <v>98</v>
      </c>
      <c r="AO279" s="274"/>
      <c r="AP279" s="275"/>
      <c r="AQ279" s="275"/>
      <c r="AR279" s="275"/>
      <c r="AS279" s="275"/>
      <c r="AT279" s="275"/>
      <c r="AU279" s="275"/>
      <c r="AV279" s="275"/>
      <c r="AW279" s="275"/>
      <c r="AX279" s="275"/>
      <c r="AY279" s="275"/>
      <c r="AZ279" s="275"/>
      <c r="BA279" s="275"/>
      <c r="BB279" s="269">
        <v>7</v>
      </c>
      <c r="BC279" s="275"/>
      <c r="BD279" s="275"/>
      <c r="BE279" s="275"/>
      <c r="BF279" s="272"/>
      <c r="BG279" s="272"/>
      <c r="BH279" s="272"/>
      <c r="BI279" s="272"/>
      <c r="BJ279" s="272"/>
      <c r="BK279" s="272"/>
      <c r="BL279" s="272"/>
      <c r="BM279" s="272"/>
      <c r="BN279" s="284">
        <v>65.468999999999994</v>
      </c>
      <c r="BO279" s="276">
        <v>42200</v>
      </c>
      <c r="BP279" s="272"/>
      <c r="BQ279" s="272"/>
      <c r="BR279" s="272"/>
      <c r="BS279" s="272"/>
      <c r="BT279" s="284">
        <v>50.9</v>
      </c>
      <c r="BU279" s="276">
        <v>42200</v>
      </c>
      <c r="BV279" s="284">
        <v>20.069751739501953</v>
      </c>
      <c r="BW279" s="276">
        <v>42200</v>
      </c>
      <c r="BX279" s="284">
        <v>76.100999999999999</v>
      </c>
      <c r="BY279" s="276">
        <v>42200</v>
      </c>
      <c r="BZ279" s="272"/>
      <c r="CA279" s="272"/>
      <c r="CB279" s="272"/>
      <c r="CC279" s="272"/>
      <c r="CD279" s="269">
        <v>7.2</v>
      </c>
      <c r="CE279" s="274">
        <v>42191</v>
      </c>
      <c r="CF279" s="272"/>
      <c r="CG279" s="272"/>
      <c r="CH279" s="272"/>
      <c r="CI279" s="272"/>
      <c r="CJ279" s="272"/>
      <c r="CK279" s="272"/>
      <c r="CL279" s="272"/>
      <c r="CM279" s="278">
        <v>5</v>
      </c>
      <c r="CN279" s="276">
        <v>42180</v>
      </c>
      <c r="CO279" s="272" t="s">
        <v>8447</v>
      </c>
    </row>
    <row r="280" spans="1:93" ht="15">
      <c r="A280" s="124" t="s">
        <v>7606</v>
      </c>
      <c r="B280" s="161" t="s">
        <v>7461</v>
      </c>
      <c r="C280" s="268" t="s">
        <v>267</v>
      </c>
      <c r="D280" s="243">
        <v>3</v>
      </c>
      <c r="E280" s="183">
        <v>20</v>
      </c>
      <c r="F280" s="244">
        <v>17</v>
      </c>
      <c r="G280" s="245">
        <v>5</v>
      </c>
      <c r="J280" s="266"/>
      <c r="L280" s="254">
        <v>8</v>
      </c>
      <c r="N280" s="246">
        <v>3.87</v>
      </c>
      <c r="O280" s="159">
        <v>42191</v>
      </c>
      <c r="P280" s="144"/>
      <c r="R280" s="145"/>
      <c r="T280" s="247">
        <v>10.44</v>
      </c>
      <c r="U280" s="256">
        <v>42200</v>
      </c>
      <c r="V280" s="145">
        <v>18.5</v>
      </c>
      <c r="W280" s="159">
        <v>42191</v>
      </c>
      <c r="X280" s="145"/>
      <c r="Z280" s="145"/>
      <c r="AB280" s="145"/>
      <c r="AD280" s="145">
        <f>(N280/V280)*(((100-CD280)/100)*((100-2)/100))*100</f>
        <v>18.716993513513511</v>
      </c>
      <c r="AF280" s="248">
        <v>21.4</v>
      </c>
      <c r="AG280" s="159">
        <v>42191</v>
      </c>
      <c r="AJ280" s="249">
        <v>120</v>
      </c>
      <c r="AL280" s="145"/>
      <c r="AN280" s="250">
        <v>107</v>
      </c>
      <c r="BB280" s="257">
        <v>7</v>
      </c>
      <c r="BN280" s="251">
        <v>64.302000000000007</v>
      </c>
      <c r="BO280" s="256">
        <v>42200</v>
      </c>
      <c r="BT280" s="251">
        <v>48.802970886230469</v>
      </c>
      <c r="BU280" s="256">
        <v>42200</v>
      </c>
      <c r="BV280" s="251">
        <v>18.790882110595703</v>
      </c>
      <c r="BW280" s="256">
        <v>42200</v>
      </c>
      <c r="BX280" s="251">
        <v>53.021999999999998</v>
      </c>
      <c r="BY280" s="256">
        <v>42200</v>
      </c>
      <c r="CD280" s="253">
        <v>8.6999999999999993</v>
      </c>
      <c r="CE280" s="159">
        <v>42191</v>
      </c>
      <c r="CM280" s="255">
        <v>3</v>
      </c>
      <c r="CN280" s="256">
        <v>42180</v>
      </c>
      <c r="CO280" s="140" t="s">
        <v>8447</v>
      </c>
    </row>
    <row r="281" spans="1:93" ht="15">
      <c r="A281" s="124" t="s">
        <v>7746</v>
      </c>
      <c r="B281" s="161" t="s">
        <v>7570</v>
      </c>
      <c r="C281" s="268" t="s">
        <v>267</v>
      </c>
      <c r="D281" s="243">
        <v>3</v>
      </c>
      <c r="E281" s="183">
        <v>160</v>
      </c>
      <c r="F281" s="244">
        <v>17</v>
      </c>
      <c r="G281" s="245">
        <v>14</v>
      </c>
      <c r="L281" s="254">
        <v>5</v>
      </c>
      <c r="N281" s="246">
        <v>3.87</v>
      </c>
      <c r="O281" s="159">
        <v>42191</v>
      </c>
      <c r="T281" s="247">
        <v>10.63</v>
      </c>
      <c r="U281" s="256">
        <v>42200</v>
      </c>
      <c r="V281" s="145">
        <v>18.5</v>
      </c>
      <c r="W281" s="159">
        <v>42191</v>
      </c>
      <c r="AD281" s="145">
        <f>(N281/V281)*(((100-CD281)/100)*((100-2)/100))*100</f>
        <v>18.737494054054054</v>
      </c>
      <c r="AF281" s="248">
        <v>21.42</v>
      </c>
      <c r="AG281" s="159">
        <v>42191</v>
      </c>
      <c r="AJ281" s="249">
        <v>115</v>
      </c>
      <c r="AN281" s="250">
        <v>105</v>
      </c>
      <c r="BB281" s="257">
        <v>7</v>
      </c>
      <c r="BN281" s="251">
        <v>65.034999999999997</v>
      </c>
      <c r="BO281" s="256">
        <v>42200</v>
      </c>
      <c r="BT281" s="251">
        <v>49.627120971679688</v>
      </c>
      <c r="BU281" s="256">
        <v>42200</v>
      </c>
      <c r="BV281" s="251">
        <v>17.704195022583008</v>
      </c>
      <c r="BW281" s="256">
        <v>42200</v>
      </c>
      <c r="BX281" s="251">
        <v>17.452999999999999</v>
      </c>
      <c r="BY281" s="256">
        <v>42200</v>
      </c>
      <c r="CD281" s="253">
        <v>8.6</v>
      </c>
      <c r="CE281" s="159">
        <v>42191</v>
      </c>
      <c r="CM281" s="255">
        <v>3</v>
      </c>
      <c r="CN281" s="256">
        <v>42180</v>
      </c>
      <c r="CO281" s="140" t="s">
        <v>8447</v>
      </c>
    </row>
    <row r="282" spans="1:93" ht="15">
      <c r="A282" s="124" t="s">
        <v>7666</v>
      </c>
      <c r="B282" s="161" t="s">
        <v>7515</v>
      </c>
      <c r="C282" s="268" t="s">
        <v>267</v>
      </c>
      <c r="D282" s="243">
        <v>3</v>
      </c>
      <c r="E282" s="183">
        <v>80</v>
      </c>
      <c r="F282" s="244">
        <v>16</v>
      </c>
      <c r="G282" s="245">
        <v>28</v>
      </c>
      <c r="L282" s="254">
        <v>3</v>
      </c>
      <c r="N282" s="246">
        <v>3.8</v>
      </c>
      <c r="O282" s="159">
        <v>42191</v>
      </c>
      <c r="T282" s="247">
        <v>10.42</v>
      </c>
      <c r="U282" s="256">
        <v>42200</v>
      </c>
      <c r="V282" s="145">
        <v>18.5</v>
      </c>
      <c r="W282" s="159">
        <v>42191</v>
      </c>
      <c r="AD282" s="145">
        <f>(N282/V282)*(((100-CD282)/100)*((100-2)/100))*100</f>
        <v>18.740778378378376</v>
      </c>
      <c r="AF282" s="248">
        <f>(N282/V282)*(((100-CD282)/(100-9))*100)</f>
        <v>21.014553014553009</v>
      </c>
      <c r="AG282" s="159">
        <v>42191</v>
      </c>
      <c r="AJ282" s="249">
        <v>135</v>
      </c>
      <c r="AN282" s="250">
        <v>112</v>
      </c>
      <c r="BB282" s="257">
        <v>7</v>
      </c>
      <c r="BN282" s="251">
        <v>63.896000000000001</v>
      </c>
      <c r="BO282" s="256">
        <v>42200</v>
      </c>
      <c r="BT282" s="251">
        <v>48.631137847900391</v>
      </c>
      <c r="BU282" s="256">
        <v>42200</v>
      </c>
      <c r="BV282" s="251">
        <v>19.172328948974609</v>
      </c>
      <c r="BW282" s="256">
        <v>42200</v>
      </c>
      <c r="BX282" s="251">
        <v>20.344999999999999</v>
      </c>
      <c r="BY282" s="256">
        <v>42200</v>
      </c>
      <c r="CD282" s="253">
        <v>6.9</v>
      </c>
      <c r="CE282" s="159">
        <v>42191</v>
      </c>
      <c r="CM282" s="255">
        <v>1</v>
      </c>
      <c r="CN282" s="256">
        <v>42180</v>
      </c>
      <c r="CO282" s="140" t="s">
        <v>8447</v>
      </c>
    </row>
    <row r="283" spans="1:93" ht="15">
      <c r="A283" s="124" t="s">
        <v>7596</v>
      </c>
      <c r="B283" s="161" t="s">
        <v>7454</v>
      </c>
      <c r="C283" s="268" t="s">
        <v>267</v>
      </c>
      <c r="D283" s="243">
        <v>4</v>
      </c>
      <c r="E283" s="183">
        <v>10</v>
      </c>
      <c r="F283" s="244">
        <v>22</v>
      </c>
      <c r="G283" s="245">
        <v>14</v>
      </c>
      <c r="J283" s="266"/>
      <c r="L283" s="254">
        <v>8</v>
      </c>
      <c r="N283" s="246">
        <v>3.82</v>
      </c>
      <c r="O283" s="159">
        <v>42191</v>
      </c>
      <c r="P283" s="144"/>
      <c r="R283" s="145"/>
      <c r="T283" s="247">
        <v>10.67</v>
      </c>
      <c r="U283" s="256">
        <v>42200</v>
      </c>
      <c r="V283" s="145">
        <v>18.5</v>
      </c>
      <c r="W283" s="159">
        <v>42191</v>
      </c>
      <c r="X283" s="145"/>
      <c r="Z283" s="145"/>
      <c r="AB283" s="145"/>
      <c r="AD283" s="145">
        <f>(N283/V283)*(((100-CD283)/100)*((100-2)/100))*100</f>
        <v>18.778707027027025</v>
      </c>
      <c r="AF283" s="248">
        <v>21.47</v>
      </c>
      <c r="AG283" s="159">
        <v>42191</v>
      </c>
      <c r="AJ283" s="249">
        <v>115</v>
      </c>
      <c r="AL283" s="145"/>
      <c r="AN283" s="250">
        <v>101</v>
      </c>
      <c r="BB283" s="257">
        <v>5</v>
      </c>
      <c r="BN283" s="251">
        <v>61.985999999999997</v>
      </c>
      <c r="BO283" s="256">
        <v>42200</v>
      </c>
      <c r="BT283" s="251">
        <v>49.691734313964844</v>
      </c>
      <c r="BU283" s="256">
        <v>42200</v>
      </c>
      <c r="BV283" s="251">
        <v>18.112087249755859</v>
      </c>
      <c r="BW283" s="256">
        <v>42200</v>
      </c>
      <c r="BX283" s="251">
        <v>65.582999999999998</v>
      </c>
      <c r="BY283" s="256">
        <v>42200</v>
      </c>
      <c r="CD283" s="253">
        <v>7.2</v>
      </c>
      <c r="CE283" s="159">
        <v>42191</v>
      </c>
      <c r="CM283" s="255">
        <v>3</v>
      </c>
      <c r="CN283" s="256">
        <v>42180</v>
      </c>
      <c r="CO283" s="140" t="s">
        <v>8447</v>
      </c>
    </row>
    <row r="284" spans="1:93" ht="15">
      <c r="A284" s="124" t="s">
        <v>7692</v>
      </c>
      <c r="B284" s="161" t="s">
        <v>7776</v>
      </c>
      <c r="C284" s="268" t="s">
        <v>269</v>
      </c>
      <c r="D284" s="243">
        <v>2</v>
      </c>
      <c r="E284" s="183">
        <v>106</v>
      </c>
      <c r="F284" s="244">
        <v>8</v>
      </c>
      <c r="G284" s="245">
        <v>22</v>
      </c>
      <c r="L284" s="254">
        <v>5</v>
      </c>
      <c r="N284" s="246">
        <v>3.82</v>
      </c>
      <c r="O284" s="159">
        <v>42191</v>
      </c>
      <c r="T284" s="247">
        <v>11.12</v>
      </c>
      <c r="U284" s="256">
        <v>42200</v>
      </c>
      <c r="V284" s="145">
        <v>18.5</v>
      </c>
      <c r="W284" s="159">
        <v>42191</v>
      </c>
      <c r="AD284" s="145">
        <f>(N284/V284)*(((100-CD284)/100)*((100-2)/100))*100</f>
        <v>18.839414054054053</v>
      </c>
      <c r="AF284" s="248">
        <v>21.54</v>
      </c>
      <c r="AG284" s="159">
        <v>42191</v>
      </c>
      <c r="AJ284" s="249">
        <v>115</v>
      </c>
      <c r="AN284" s="250">
        <v>102</v>
      </c>
      <c r="BB284" s="257">
        <v>5</v>
      </c>
      <c r="BN284" s="251">
        <v>65.197000000000003</v>
      </c>
      <c r="BO284" s="256">
        <v>42200</v>
      </c>
      <c r="BT284" s="251">
        <v>51.612407684326172</v>
      </c>
      <c r="BU284" s="256">
        <v>42200</v>
      </c>
      <c r="BV284" s="251">
        <v>17.267658233642578</v>
      </c>
      <c r="BW284" s="256">
        <v>42200</v>
      </c>
      <c r="BX284" s="251">
        <v>19.611000000000001</v>
      </c>
      <c r="BY284" s="256">
        <v>42200</v>
      </c>
      <c r="CD284" s="253">
        <v>6.9</v>
      </c>
      <c r="CE284" s="159">
        <v>42191</v>
      </c>
      <c r="CM284" s="255">
        <v>5</v>
      </c>
      <c r="CN284" s="256">
        <v>42180</v>
      </c>
      <c r="CO284" s="140" t="s">
        <v>8448</v>
      </c>
    </row>
    <row r="285" spans="1:93" ht="15" customHeight="1">
      <c r="A285" s="124" t="s">
        <v>7658</v>
      </c>
      <c r="B285" s="161" t="s">
        <v>7507</v>
      </c>
      <c r="C285" s="268" t="s">
        <v>267</v>
      </c>
      <c r="D285" s="257">
        <v>4</v>
      </c>
      <c r="E285" s="183">
        <v>72</v>
      </c>
      <c r="F285" s="257">
        <v>24</v>
      </c>
      <c r="G285" s="257">
        <v>5</v>
      </c>
      <c r="L285" s="257">
        <v>7</v>
      </c>
      <c r="N285" s="257">
        <v>3.87</v>
      </c>
      <c r="O285" s="159">
        <v>42191</v>
      </c>
      <c r="T285" s="257">
        <v>11.11</v>
      </c>
      <c r="U285" s="256">
        <v>42200</v>
      </c>
      <c r="V285" s="145">
        <v>18.5</v>
      </c>
      <c r="W285" s="159">
        <v>42191</v>
      </c>
      <c r="AD285" s="145">
        <f>(N285/V285)*(((100-CD285)/100)*((100-2)/100))*100</f>
        <v>18.839996756756754</v>
      </c>
      <c r="AF285" s="257">
        <f>(N285/V285)*(((100-CD285)/(100-9))*100)</f>
        <v>21.125809325809325</v>
      </c>
      <c r="AG285" s="159">
        <v>42191</v>
      </c>
      <c r="AJ285" s="257">
        <v>105</v>
      </c>
      <c r="AN285" s="257">
        <v>102</v>
      </c>
      <c r="BB285" s="257">
        <v>5</v>
      </c>
      <c r="BN285" s="251">
        <v>64.731999999999999</v>
      </c>
      <c r="BO285" s="256">
        <v>42200</v>
      </c>
      <c r="BT285" s="251">
        <v>51.590049743652344</v>
      </c>
      <c r="BU285" s="256">
        <v>42200</v>
      </c>
      <c r="BV285" s="251">
        <v>17.608831405639648</v>
      </c>
      <c r="BW285" s="256">
        <v>42200</v>
      </c>
      <c r="BX285" s="251">
        <v>14.263</v>
      </c>
      <c r="BY285" s="256">
        <v>42200</v>
      </c>
      <c r="CD285" s="257">
        <v>8.1</v>
      </c>
      <c r="CE285" s="159">
        <v>42191</v>
      </c>
      <c r="CM285" s="255">
        <v>1</v>
      </c>
      <c r="CN285" s="256">
        <v>42180</v>
      </c>
      <c r="CO285" s="140" t="s">
        <v>8447</v>
      </c>
    </row>
    <row r="286" spans="1:93" ht="15" customHeight="1">
      <c r="A286" s="124" t="s">
        <v>7595</v>
      </c>
      <c r="B286" s="161" t="s">
        <v>7453</v>
      </c>
      <c r="C286" s="268" t="s">
        <v>269</v>
      </c>
      <c r="D286" s="257">
        <v>1</v>
      </c>
      <c r="E286" s="183">
        <v>9</v>
      </c>
      <c r="F286" s="257">
        <v>1</v>
      </c>
      <c r="G286" s="257">
        <v>9</v>
      </c>
      <c r="J286" s="266"/>
      <c r="L286" s="257">
        <v>8</v>
      </c>
      <c r="N286" s="257">
        <v>3.82</v>
      </c>
      <c r="O286" s="159">
        <v>42191</v>
      </c>
      <c r="P286" s="144"/>
      <c r="R286" s="145"/>
      <c r="T286" s="257">
        <v>10.5</v>
      </c>
      <c r="U286" s="256">
        <v>42200</v>
      </c>
      <c r="V286" s="145">
        <v>18.5</v>
      </c>
      <c r="W286" s="159">
        <v>42191</v>
      </c>
      <c r="X286" s="145"/>
      <c r="Z286" s="145"/>
      <c r="AB286" s="145"/>
      <c r="AD286" s="145">
        <f>(N286/V286)*(((100-CD286)/100)*((100-2)/100))*100</f>
        <v>18.859649729729728</v>
      </c>
      <c r="AF286" s="257">
        <v>21.56</v>
      </c>
      <c r="AG286" s="159">
        <v>42191</v>
      </c>
      <c r="AJ286" s="257">
        <v>155</v>
      </c>
      <c r="AL286" s="145"/>
      <c r="AN286" s="257">
        <v>104</v>
      </c>
      <c r="BB286" s="257">
        <v>5</v>
      </c>
      <c r="BN286" s="251">
        <v>65.905000000000001</v>
      </c>
      <c r="BO286" s="256">
        <v>42200</v>
      </c>
      <c r="BT286" s="251">
        <v>48.680683135986328</v>
      </c>
      <c r="BU286" s="256">
        <v>42200</v>
      </c>
      <c r="BV286" s="251">
        <v>19.939292907714844</v>
      </c>
      <c r="BW286" s="256">
        <v>42200</v>
      </c>
      <c r="BX286" s="251">
        <v>68.295000000000002</v>
      </c>
      <c r="BY286" s="256">
        <v>42200</v>
      </c>
      <c r="CD286" s="257">
        <v>6.8</v>
      </c>
      <c r="CE286" s="159">
        <v>42191</v>
      </c>
      <c r="CM286" s="255">
        <v>3</v>
      </c>
      <c r="CN286" s="256">
        <v>42180</v>
      </c>
      <c r="CO286" s="140" t="s">
        <v>8447</v>
      </c>
    </row>
    <row r="287" spans="1:93" ht="15" customHeight="1">
      <c r="A287" s="124" t="s">
        <v>7660</v>
      </c>
      <c r="B287" s="161" t="s">
        <v>7509</v>
      </c>
      <c r="C287" s="268" t="s">
        <v>267</v>
      </c>
      <c r="D287" s="257">
        <v>4</v>
      </c>
      <c r="E287" s="183">
        <v>74</v>
      </c>
      <c r="F287" s="257">
        <v>21</v>
      </c>
      <c r="G287" s="257">
        <v>2</v>
      </c>
      <c r="L287" s="257">
        <v>8</v>
      </c>
      <c r="N287" s="257">
        <v>3.91</v>
      </c>
      <c r="O287" s="159">
        <v>42191</v>
      </c>
      <c r="T287" s="257">
        <v>10.64</v>
      </c>
      <c r="U287" s="256">
        <v>42200</v>
      </c>
      <c r="V287" s="145">
        <v>18.5</v>
      </c>
      <c r="W287" s="159">
        <v>42191</v>
      </c>
      <c r="AD287" s="145">
        <f>(N287/V287)*(((100-CD287)/100)*((100-2)/100))*100</f>
        <v>18.869025945945943</v>
      </c>
      <c r="AF287" s="257">
        <f>(N287/V287)*(((100-CD287)/(100-9))*100)</f>
        <v>21.158360558360556</v>
      </c>
      <c r="AG287" s="159">
        <v>42191</v>
      </c>
      <c r="AJ287" s="257">
        <v>110</v>
      </c>
      <c r="AN287" s="257">
        <v>103</v>
      </c>
      <c r="BB287" s="257">
        <v>7</v>
      </c>
      <c r="BN287" s="251">
        <v>65.44</v>
      </c>
      <c r="BO287" s="256">
        <v>42200</v>
      </c>
      <c r="BT287" s="251">
        <v>49.335655212402344</v>
      </c>
      <c r="BU287" s="256">
        <v>42200</v>
      </c>
      <c r="BV287" s="251">
        <v>18.02507209777832</v>
      </c>
      <c r="BW287" s="256">
        <v>42200</v>
      </c>
      <c r="BX287" s="251">
        <v>16.138999999999999</v>
      </c>
      <c r="BY287" s="256">
        <v>42200</v>
      </c>
      <c r="CD287" s="257">
        <v>8.9</v>
      </c>
      <c r="CE287" s="159">
        <v>42191</v>
      </c>
      <c r="CM287" s="255">
        <v>1</v>
      </c>
      <c r="CN287" s="256">
        <v>42180</v>
      </c>
      <c r="CO287" s="140" t="s">
        <v>8447</v>
      </c>
    </row>
    <row r="288" spans="1:93" ht="15" customHeight="1">
      <c r="A288" s="137" t="s">
        <v>8458</v>
      </c>
      <c r="B288" s="161" t="s">
        <v>8481</v>
      </c>
      <c r="C288" s="268" t="s">
        <v>269</v>
      </c>
      <c r="D288" s="269">
        <v>1</v>
      </c>
      <c r="E288" s="280">
        <v>9</v>
      </c>
      <c r="F288" s="269"/>
      <c r="G288" s="269"/>
      <c r="H288" s="271">
        <v>6</v>
      </c>
      <c r="I288" s="271">
        <v>2</v>
      </c>
      <c r="J288" s="282"/>
      <c r="K288" s="273"/>
      <c r="L288" s="269">
        <v>8</v>
      </c>
      <c r="M288" s="274"/>
      <c r="N288" s="269">
        <v>3.87</v>
      </c>
      <c r="O288" s="274">
        <v>42191</v>
      </c>
      <c r="P288" s="272"/>
      <c r="Q288" s="274"/>
      <c r="R288" s="275"/>
      <c r="S288" s="274"/>
      <c r="T288" s="269">
        <v>11.21</v>
      </c>
      <c r="U288" s="276">
        <v>42200</v>
      </c>
      <c r="V288" s="275">
        <v>18.5</v>
      </c>
      <c r="W288" s="274">
        <v>42191</v>
      </c>
      <c r="X288" s="275"/>
      <c r="Y288" s="274"/>
      <c r="Z288" s="275"/>
      <c r="AA288" s="274"/>
      <c r="AB288" s="275"/>
      <c r="AC288" s="274"/>
      <c r="AD288" s="145">
        <f>(N288/V288)*(((100-CD288)/100)*((100-2)/100))*100</f>
        <v>18.921998918918916</v>
      </c>
      <c r="AE288" s="274"/>
      <c r="AF288" s="269">
        <v>21.63</v>
      </c>
      <c r="AG288" s="274">
        <v>42191</v>
      </c>
      <c r="AH288" s="274"/>
      <c r="AI288" s="274"/>
      <c r="AJ288" s="269">
        <v>160</v>
      </c>
      <c r="AK288" s="274"/>
      <c r="AL288" s="275"/>
      <c r="AM288" s="274"/>
      <c r="AN288" s="269">
        <v>104</v>
      </c>
      <c r="AO288" s="274"/>
      <c r="AP288" s="275"/>
      <c r="AQ288" s="275"/>
      <c r="AR288" s="275"/>
      <c r="AS288" s="275"/>
      <c r="AT288" s="275"/>
      <c r="AU288" s="275"/>
      <c r="AV288" s="275"/>
      <c r="AW288" s="275"/>
      <c r="AX288" s="275"/>
      <c r="AY288" s="275"/>
      <c r="AZ288" s="275"/>
      <c r="BA288" s="275"/>
      <c r="BB288" s="269">
        <v>7</v>
      </c>
      <c r="BC288" s="275"/>
      <c r="BD288" s="275"/>
      <c r="BE288" s="275"/>
      <c r="BF288" s="272"/>
      <c r="BG288" s="272"/>
      <c r="BH288" s="272"/>
      <c r="BI288" s="272"/>
      <c r="BJ288" s="272"/>
      <c r="BK288" s="272"/>
      <c r="BL288" s="272"/>
      <c r="BM288" s="272"/>
      <c r="BN288" s="284">
        <v>59.612000000000002</v>
      </c>
      <c r="BO288" s="276">
        <v>42200</v>
      </c>
      <c r="BP288" s="272"/>
      <c r="BQ288" s="272"/>
      <c r="BR288" s="272"/>
      <c r="BS288" s="272"/>
      <c r="BT288" s="284">
        <v>51.84</v>
      </c>
      <c r="BU288" s="276">
        <v>42200</v>
      </c>
      <c r="BV288" s="284">
        <v>18.700586318969727</v>
      </c>
      <c r="BW288" s="276">
        <v>42200</v>
      </c>
      <c r="BX288" s="284">
        <v>59.512</v>
      </c>
      <c r="BY288" s="276">
        <v>42200</v>
      </c>
      <c r="BZ288" s="272"/>
      <c r="CA288" s="272"/>
      <c r="CB288" s="272"/>
      <c r="CC288" s="272"/>
      <c r="CD288" s="269">
        <v>7.7</v>
      </c>
      <c r="CE288" s="274">
        <v>42191</v>
      </c>
      <c r="CF288" s="272"/>
      <c r="CG288" s="272"/>
      <c r="CH288" s="272"/>
      <c r="CI288" s="272"/>
      <c r="CJ288" s="272"/>
      <c r="CK288" s="272"/>
      <c r="CL288" s="272"/>
      <c r="CM288" s="278">
        <v>7</v>
      </c>
      <c r="CN288" s="276">
        <v>42180</v>
      </c>
      <c r="CO288" s="272" t="s">
        <v>8447</v>
      </c>
    </row>
    <row r="289" spans="1:93" ht="15" customHeight="1">
      <c r="A289" s="124" t="s">
        <v>7671</v>
      </c>
      <c r="B289" s="161" t="s">
        <v>7520</v>
      </c>
      <c r="C289" s="268" t="s">
        <v>269</v>
      </c>
      <c r="D289" s="257">
        <v>2</v>
      </c>
      <c r="E289" s="183">
        <v>85</v>
      </c>
      <c r="F289" s="257">
        <v>11</v>
      </c>
      <c r="G289" s="257">
        <v>11</v>
      </c>
      <c r="L289" s="257">
        <v>6</v>
      </c>
      <c r="N289" s="257">
        <v>3.83</v>
      </c>
      <c r="O289" s="159">
        <v>42191</v>
      </c>
      <c r="T289" s="257">
        <v>11.16</v>
      </c>
      <c r="U289" s="256">
        <v>42200</v>
      </c>
      <c r="V289" s="145">
        <v>18.5</v>
      </c>
      <c r="W289" s="159">
        <v>42191</v>
      </c>
      <c r="AD289" s="145">
        <f>(N289/V289)*(((100-CD289)/100)*((100-2)/100))*100</f>
        <v>18.929309189189187</v>
      </c>
      <c r="AF289" s="257">
        <v>21.64</v>
      </c>
      <c r="AG289" s="159">
        <v>42191</v>
      </c>
      <c r="AJ289" s="257">
        <v>115</v>
      </c>
      <c r="AN289" s="257">
        <v>101</v>
      </c>
      <c r="BB289" s="257">
        <v>5</v>
      </c>
      <c r="BN289" s="251">
        <v>62.996000000000002</v>
      </c>
      <c r="BO289" s="256">
        <v>42200</v>
      </c>
      <c r="BT289" s="251">
        <v>51.545780181884766</v>
      </c>
      <c r="BU289" s="256">
        <v>42200</v>
      </c>
      <c r="BV289" s="251">
        <v>17.257099151611328</v>
      </c>
      <c r="BW289" s="256">
        <v>42200</v>
      </c>
      <c r="BX289" s="251">
        <v>15.029</v>
      </c>
      <c r="BY289" s="256">
        <v>42200</v>
      </c>
      <c r="CD289" s="257">
        <v>6.7</v>
      </c>
      <c r="CE289" s="159">
        <v>42191</v>
      </c>
      <c r="CM289" s="255">
        <v>5</v>
      </c>
      <c r="CN289" s="256">
        <v>42180</v>
      </c>
      <c r="CO289" s="140" t="s">
        <v>8448</v>
      </c>
    </row>
    <row r="290" spans="1:93" ht="15" customHeight="1">
      <c r="A290" s="124" t="s">
        <v>7698</v>
      </c>
      <c r="B290" s="161" t="s">
        <v>7544</v>
      </c>
      <c r="C290" s="268" t="s">
        <v>269</v>
      </c>
      <c r="D290" s="257">
        <v>2</v>
      </c>
      <c r="E290" s="183">
        <v>112</v>
      </c>
      <c r="F290" s="257">
        <v>8</v>
      </c>
      <c r="G290" s="257">
        <v>8</v>
      </c>
      <c r="L290" s="257">
        <v>9</v>
      </c>
      <c r="N290" s="257">
        <v>3.83</v>
      </c>
      <c r="O290" s="159">
        <v>42191</v>
      </c>
      <c r="T290" s="257">
        <v>11.27</v>
      </c>
      <c r="U290" s="256">
        <v>42200</v>
      </c>
      <c r="V290" s="145">
        <v>18.5</v>
      </c>
      <c r="W290" s="159">
        <v>42191</v>
      </c>
      <c r="AD290" s="145">
        <f>(N290/V290)*(((100-CD290)/100)*((100-2)/100))*100</f>
        <v>18.929309189189187</v>
      </c>
      <c r="AF290" s="257">
        <f>(N290/V290)*(((100-CD290)/(100-9))*100)</f>
        <v>21.225957825957824</v>
      </c>
      <c r="AG290" s="159">
        <v>42191</v>
      </c>
      <c r="AJ290" s="257">
        <v>130</v>
      </c>
      <c r="AN290" s="257">
        <v>102</v>
      </c>
      <c r="BB290" s="257">
        <v>3</v>
      </c>
      <c r="BN290" s="251">
        <v>63.463999999999999</v>
      </c>
      <c r="BO290" s="256">
        <v>42200</v>
      </c>
      <c r="BT290" s="251">
        <v>52.062103271484375</v>
      </c>
      <c r="BU290" s="256">
        <v>42200</v>
      </c>
      <c r="BV290" s="251">
        <v>15.155050277709961</v>
      </c>
      <c r="BW290" s="256">
        <v>42200</v>
      </c>
      <c r="BX290" s="251">
        <v>14.253</v>
      </c>
      <c r="BY290" s="256">
        <v>42200</v>
      </c>
      <c r="CD290" s="257">
        <v>6.7</v>
      </c>
      <c r="CE290" s="159">
        <v>42191</v>
      </c>
      <c r="CM290" s="255">
        <v>1</v>
      </c>
      <c r="CN290" s="256">
        <v>42180</v>
      </c>
      <c r="CO290" s="140" t="s">
        <v>8448</v>
      </c>
    </row>
    <row r="291" spans="1:93" ht="15" customHeight="1">
      <c r="A291" s="137" t="s">
        <v>8455</v>
      </c>
      <c r="B291" s="161" t="s">
        <v>8478</v>
      </c>
      <c r="C291" s="268" t="s">
        <v>267</v>
      </c>
      <c r="D291" s="269">
        <v>3</v>
      </c>
      <c r="E291" s="280">
        <v>6</v>
      </c>
      <c r="F291" s="269"/>
      <c r="G291" s="269"/>
      <c r="H291" s="271">
        <v>15</v>
      </c>
      <c r="I291" s="271">
        <v>1</v>
      </c>
      <c r="J291" s="282"/>
      <c r="K291" s="273"/>
      <c r="L291" s="269">
        <v>6</v>
      </c>
      <c r="M291" s="274"/>
      <c r="N291" s="269">
        <v>3.88</v>
      </c>
      <c r="O291" s="274">
        <v>42191</v>
      </c>
      <c r="P291" s="272"/>
      <c r="Q291" s="274"/>
      <c r="R291" s="275"/>
      <c r="S291" s="274"/>
      <c r="T291" s="269">
        <v>9.73</v>
      </c>
      <c r="U291" s="276">
        <v>42200</v>
      </c>
      <c r="V291" s="275">
        <v>18.5</v>
      </c>
      <c r="W291" s="274">
        <v>42191</v>
      </c>
      <c r="X291" s="275"/>
      <c r="Y291" s="274"/>
      <c r="Z291" s="275"/>
      <c r="AA291" s="274"/>
      <c r="AB291" s="275"/>
      <c r="AC291" s="274"/>
      <c r="AD291" s="145">
        <f>(N291/V291)*(((100-CD291)/100)*((100-2)/100))*100</f>
        <v>18.929785945945945</v>
      </c>
      <c r="AE291" s="274"/>
      <c r="AF291" s="269">
        <v>21.64</v>
      </c>
      <c r="AG291" s="274">
        <v>42191</v>
      </c>
      <c r="AH291" s="274"/>
      <c r="AI291" s="274"/>
      <c r="AJ291" s="269">
        <v>135</v>
      </c>
      <c r="AK291" s="274"/>
      <c r="AL291" s="275"/>
      <c r="AM291" s="274"/>
      <c r="AN291" s="269">
        <v>102</v>
      </c>
      <c r="AO291" s="274"/>
      <c r="AP291" s="275"/>
      <c r="AQ291" s="275"/>
      <c r="AR291" s="275"/>
      <c r="AS291" s="275"/>
      <c r="AT291" s="275"/>
      <c r="AU291" s="275"/>
      <c r="AV291" s="275"/>
      <c r="AW291" s="275"/>
      <c r="AX291" s="275"/>
      <c r="AY291" s="275"/>
      <c r="AZ291" s="275"/>
      <c r="BA291" s="275"/>
      <c r="BB291" s="269">
        <v>5</v>
      </c>
      <c r="BC291" s="275"/>
      <c r="BD291" s="275"/>
      <c r="BE291" s="275"/>
      <c r="BF291" s="272"/>
      <c r="BG291" s="272"/>
      <c r="BH291" s="272"/>
      <c r="BI291" s="272"/>
      <c r="BJ291" s="272"/>
      <c r="BK291" s="272"/>
      <c r="BL291" s="272"/>
      <c r="BM291" s="272"/>
      <c r="BN291" s="284">
        <v>66.100999999999999</v>
      </c>
      <c r="BO291" s="276">
        <v>42200</v>
      </c>
      <c r="BP291" s="272"/>
      <c r="BQ291" s="272"/>
      <c r="BR291" s="272"/>
      <c r="BS291" s="272"/>
      <c r="BT291" s="284">
        <v>44.96</v>
      </c>
      <c r="BU291" s="276">
        <v>42200</v>
      </c>
      <c r="BV291" s="284">
        <v>23.147605895996094</v>
      </c>
      <c r="BW291" s="276">
        <v>42200</v>
      </c>
      <c r="BX291" s="284">
        <v>83.495000000000005</v>
      </c>
      <c r="BY291" s="276">
        <v>42200</v>
      </c>
      <c r="BZ291" s="272"/>
      <c r="CA291" s="272"/>
      <c r="CB291" s="272"/>
      <c r="CC291" s="272"/>
      <c r="CD291" s="269">
        <v>7.9</v>
      </c>
      <c r="CE291" s="274">
        <v>42191</v>
      </c>
      <c r="CF291" s="272"/>
      <c r="CG291" s="272"/>
      <c r="CH291" s="272"/>
      <c r="CI291" s="272"/>
      <c r="CJ291" s="272"/>
      <c r="CK291" s="272"/>
      <c r="CL291" s="272"/>
      <c r="CM291" s="278">
        <v>7</v>
      </c>
      <c r="CN291" s="276">
        <v>42180</v>
      </c>
      <c r="CO291" s="272" t="s">
        <v>8447</v>
      </c>
    </row>
    <row r="292" spans="1:93" ht="15" customHeight="1">
      <c r="A292" s="124" t="s">
        <v>7648</v>
      </c>
      <c r="B292" s="161" t="s">
        <v>7498</v>
      </c>
      <c r="C292" s="268" t="s">
        <v>269</v>
      </c>
      <c r="D292" s="257">
        <v>2</v>
      </c>
      <c r="E292" s="183">
        <v>62</v>
      </c>
      <c r="F292" s="257">
        <v>10</v>
      </c>
      <c r="G292" s="257">
        <v>32</v>
      </c>
      <c r="L292" s="257">
        <v>5</v>
      </c>
      <c r="N292" s="257">
        <v>3.84</v>
      </c>
      <c r="O292" s="159">
        <v>42191</v>
      </c>
      <c r="T292" s="257">
        <v>10.31</v>
      </c>
      <c r="U292" s="256">
        <v>42200</v>
      </c>
      <c r="V292" s="145">
        <v>18.5</v>
      </c>
      <c r="W292" s="159">
        <v>42191</v>
      </c>
      <c r="AD292" s="145">
        <f>(N292/V292)*(((100-CD292)/100)*((100-2)/100))*100</f>
        <v>18.938049729729727</v>
      </c>
      <c r="AF292" s="257">
        <v>21.65</v>
      </c>
      <c r="AG292" s="159">
        <v>42191</v>
      </c>
      <c r="AJ292" s="257">
        <v>120</v>
      </c>
      <c r="AN292" s="257">
        <v>107</v>
      </c>
      <c r="BB292" s="257">
        <v>7</v>
      </c>
      <c r="BN292" s="251">
        <v>60.396000000000001</v>
      </c>
      <c r="BO292" s="256">
        <v>42200</v>
      </c>
      <c r="BT292" s="251">
        <v>47.615013122558594</v>
      </c>
      <c r="BU292" s="256">
        <v>42200</v>
      </c>
      <c r="BV292" s="251">
        <v>18.890026092529297</v>
      </c>
      <c r="BW292" s="256">
        <v>42200</v>
      </c>
      <c r="BX292" s="251">
        <v>29.902999999999999</v>
      </c>
      <c r="BY292" s="256">
        <v>42200</v>
      </c>
      <c r="CD292" s="257">
        <v>6.9</v>
      </c>
      <c r="CE292" s="159">
        <v>42191</v>
      </c>
      <c r="CM292" s="255">
        <v>3</v>
      </c>
      <c r="CN292" s="256">
        <v>42180</v>
      </c>
      <c r="CO292" s="140" t="s">
        <v>8448</v>
      </c>
    </row>
    <row r="293" spans="1:93" ht="15">
      <c r="A293" s="124" t="s">
        <v>7697</v>
      </c>
      <c r="B293" s="161" t="s">
        <v>7543</v>
      </c>
      <c r="C293" s="268" t="s">
        <v>267</v>
      </c>
      <c r="D293" s="243">
        <v>4</v>
      </c>
      <c r="E293" s="183">
        <v>111</v>
      </c>
      <c r="F293" s="244">
        <v>24</v>
      </c>
      <c r="G293" s="245">
        <v>23</v>
      </c>
      <c r="L293" s="254">
        <v>5</v>
      </c>
      <c r="N293" s="246">
        <v>3.84</v>
      </c>
      <c r="O293" s="159">
        <v>42191</v>
      </c>
      <c r="T293" s="247">
        <v>10.88</v>
      </c>
      <c r="U293" s="256">
        <v>42200</v>
      </c>
      <c r="V293" s="145">
        <v>18.5</v>
      </c>
      <c r="W293" s="159">
        <v>42191</v>
      </c>
      <c r="AD293" s="145">
        <f>(N293/V293)*(((100-CD293)/100)*((100-2)/100))*100</f>
        <v>18.938049729729727</v>
      </c>
      <c r="AF293" s="248">
        <f>(N293/V293)*(((100-CD293)/(100-9))*100)</f>
        <v>21.23575883575883</v>
      </c>
      <c r="AG293" s="159">
        <v>42191</v>
      </c>
      <c r="AJ293" s="249">
        <v>135</v>
      </c>
      <c r="AN293" s="250">
        <v>102</v>
      </c>
      <c r="BB293" s="257">
        <v>9</v>
      </c>
      <c r="BN293" s="251">
        <v>60.417000000000002</v>
      </c>
      <c r="BO293" s="256">
        <v>42200</v>
      </c>
      <c r="BT293" s="251">
        <v>50.270233154296875</v>
      </c>
      <c r="BU293" s="256">
        <v>42200</v>
      </c>
      <c r="BV293" s="251">
        <v>17.43780517578125</v>
      </c>
      <c r="BW293" s="256">
        <v>42200</v>
      </c>
      <c r="BX293" s="251">
        <v>17.878</v>
      </c>
      <c r="BY293" s="256">
        <v>42200</v>
      </c>
      <c r="CD293" s="253">
        <v>6.9</v>
      </c>
      <c r="CE293" s="159">
        <v>42191</v>
      </c>
      <c r="CM293" s="255">
        <v>1</v>
      </c>
      <c r="CN293" s="256">
        <v>42180</v>
      </c>
      <c r="CO293" s="140" t="s">
        <v>8447</v>
      </c>
    </row>
    <row r="294" spans="1:93" ht="15" customHeight="1">
      <c r="A294" s="124" t="s">
        <v>7657</v>
      </c>
      <c r="B294" s="161" t="s">
        <v>7506</v>
      </c>
      <c r="C294" s="268" t="s">
        <v>267</v>
      </c>
      <c r="D294" s="257">
        <v>4</v>
      </c>
      <c r="E294" s="183">
        <v>71</v>
      </c>
      <c r="F294" s="257">
        <v>21</v>
      </c>
      <c r="G294" s="257">
        <v>11</v>
      </c>
      <c r="L294" s="257">
        <v>5</v>
      </c>
      <c r="N294" s="257">
        <v>3.91</v>
      </c>
      <c r="O294" s="159">
        <v>42191</v>
      </c>
      <c r="T294" s="257">
        <v>10.99</v>
      </c>
      <c r="U294" s="256">
        <v>42200</v>
      </c>
      <c r="V294" s="145">
        <v>18.5</v>
      </c>
      <c r="W294" s="159">
        <v>42191</v>
      </c>
      <c r="AD294" s="145">
        <f>(N294/V294)*(((100-CD294)/100)*((100-2)/100))*100</f>
        <v>18.951875675675677</v>
      </c>
      <c r="AF294" s="257">
        <f>(N294/V294)*(((100-CD294)/(100-9))*100)</f>
        <v>21.251262251262251</v>
      </c>
      <c r="AG294" s="159">
        <v>42191</v>
      </c>
      <c r="AJ294" s="257">
        <v>125</v>
      </c>
      <c r="AN294" s="257">
        <v>107</v>
      </c>
      <c r="BB294" s="257">
        <v>9</v>
      </c>
      <c r="BN294" s="251">
        <v>63.408000000000001</v>
      </c>
      <c r="BO294" s="256">
        <v>42200</v>
      </c>
      <c r="BT294" s="251">
        <v>50.741954803466797</v>
      </c>
      <c r="BU294" s="256">
        <v>42200</v>
      </c>
      <c r="BV294" s="251">
        <v>16.728818893432617</v>
      </c>
      <c r="BW294" s="256">
        <v>42200</v>
      </c>
      <c r="BX294" s="251">
        <v>20.125</v>
      </c>
      <c r="BY294" s="256">
        <v>42200</v>
      </c>
      <c r="CD294" s="257">
        <v>8.5</v>
      </c>
      <c r="CE294" s="159">
        <v>42191</v>
      </c>
      <c r="CM294" s="255">
        <v>1</v>
      </c>
      <c r="CN294" s="256">
        <v>42180</v>
      </c>
      <c r="CO294" s="140" t="s">
        <v>8447</v>
      </c>
    </row>
    <row r="295" spans="1:93" ht="15" customHeight="1">
      <c r="A295" s="124" t="s">
        <v>7680</v>
      </c>
      <c r="B295" s="161" t="s">
        <v>261</v>
      </c>
      <c r="C295" s="268" t="s">
        <v>267</v>
      </c>
      <c r="D295" s="257">
        <v>4</v>
      </c>
      <c r="E295" s="183">
        <v>94</v>
      </c>
      <c r="F295" s="257">
        <v>21</v>
      </c>
      <c r="G295" s="257">
        <v>27</v>
      </c>
      <c r="L295" s="257">
        <v>8</v>
      </c>
      <c r="N295" s="257">
        <v>3.95</v>
      </c>
      <c r="O295" s="159">
        <v>42191</v>
      </c>
      <c r="T295" s="257">
        <v>11.34</v>
      </c>
      <c r="U295" s="256">
        <v>42200</v>
      </c>
      <c r="V295" s="145">
        <v>18.5</v>
      </c>
      <c r="W295" s="159">
        <v>42191</v>
      </c>
      <c r="AD295" s="145">
        <f>(N295/V295)*(((100-CD295)/100)*((100-2)/100))*100</f>
        <v>18.957437837837837</v>
      </c>
      <c r="AF295" s="257">
        <v>21.67</v>
      </c>
      <c r="AG295" s="159">
        <v>42191</v>
      </c>
      <c r="AJ295" s="257">
        <v>110</v>
      </c>
      <c r="AN295" s="257">
        <v>100</v>
      </c>
      <c r="BB295" s="257">
        <v>7</v>
      </c>
      <c r="BN295" s="251">
        <v>63.173999999999999</v>
      </c>
      <c r="BO295" s="256">
        <v>42200</v>
      </c>
      <c r="BT295" s="251">
        <v>52.336315155029297</v>
      </c>
      <c r="BU295" s="256">
        <v>42200</v>
      </c>
      <c r="BV295" s="251">
        <v>16.779411315917969</v>
      </c>
      <c r="BW295" s="256">
        <v>42200</v>
      </c>
      <c r="BX295" s="251">
        <v>14.378</v>
      </c>
      <c r="BY295" s="256">
        <v>42200</v>
      </c>
      <c r="CD295" s="257">
        <v>9.4</v>
      </c>
      <c r="CE295" s="159">
        <v>42191</v>
      </c>
      <c r="CM295" s="255">
        <v>3</v>
      </c>
      <c r="CN295" s="256">
        <v>42180</v>
      </c>
      <c r="CO295" s="140" t="s">
        <v>8447</v>
      </c>
    </row>
    <row r="296" spans="1:93" ht="15" customHeight="1">
      <c r="A296" s="124" t="s">
        <v>7600</v>
      </c>
      <c r="B296" s="161" t="s">
        <v>7456</v>
      </c>
      <c r="C296" s="268" t="s">
        <v>269</v>
      </c>
      <c r="D296" s="257">
        <v>2</v>
      </c>
      <c r="E296" s="183">
        <v>14</v>
      </c>
      <c r="F296" s="257">
        <v>12</v>
      </c>
      <c r="G296" s="257">
        <v>5</v>
      </c>
      <c r="J296" s="266"/>
      <c r="L296" s="257">
        <v>9</v>
      </c>
      <c r="N296" s="257">
        <v>3.84</v>
      </c>
      <c r="O296" s="159">
        <v>42191</v>
      </c>
      <c r="P296" s="144"/>
      <c r="R296" s="145"/>
      <c r="T296" s="257">
        <v>10.71</v>
      </c>
      <c r="U296" s="256">
        <v>42200</v>
      </c>
      <c r="V296" s="145">
        <v>18.5</v>
      </c>
      <c r="W296" s="159">
        <v>42191</v>
      </c>
      <c r="X296" s="145"/>
      <c r="Z296" s="145"/>
      <c r="AB296" s="145"/>
      <c r="AD296" s="145">
        <f>(N296/V296)*(((100-CD296)/100)*((100-2)/100))*100</f>
        <v>18.978732972972971</v>
      </c>
      <c r="AF296" s="257">
        <v>21.7</v>
      </c>
      <c r="AG296" s="159">
        <v>42191</v>
      </c>
      <c r="AJ296" s="257">
        <v>110</v>
      </c>
      <c r="AL296" s="145"/>
      <c r="AN296" s="257">
        <v>103</v>
      </c>
      <c r="BB296" s="257">
        <v>9</v>
      </c>
      <c r="BN296" s="251">
        <v>66.307000000000002</v>
      </c>
      <c r="BO296" s="256">
        <v>42200</v>
      </c>
      <c r="BT296" s="251">
        <v>49.335395812988281</v>
      </c>
      <c r="BU296" s="256">
        <v>42200</v>
      </c>
      <c r="BV296" s="251">
        <v>20.238584518432617</v>
      </c>
      <c r="BW296" s="256">
        <v>42200</v>
      </c>
      <c r="BX296" s="251">
        <v>58.412999999999997</v>
      </c>
      <c r="BY296" s="256">
        <v>42200</v>
      </c>
      <c r="CD296" s="257">
        <v>6.7</v>
      </c>
      <c r="CE296" s="159">
        <v>42191</v>
      </c>
      <c r="CM296" s="255">
        <v>5</v>
      </c>
      <c r="CN296" s="256">
        <v>42180</v>
      </c>
      <c r="CO296" s="140" t="s">
        <v>8448</v>
      </c>
    </row>
    <row r="297" spans="1:93" ht="15" customHeight="1">
      <c r="A297" s="124" t="s">
        <v>7745</v>
      </c>
      <c r="B297" s="161" t="s">
        <v>7569</v>
      </c>
      <c r="C297" s="268" t="s">
        <v>267</v>
      </c>
      <c r="D297" s="257">
        <v>3</v>
      </c>
      <c r="E297" s="183">
        <v>159</v>
      </c>
      <c r="F297" s="257">
        <v>13</v>
      </c>
      <c r="G297" s="257">
        <v>2</v>
      </c>
      <c r="L297" s="257">
        <v>3</v>
      </c>
      <c r="N297" s="257">
        <v>3.93</v>
      </c>
      <c r="O297" s="159">
        <v>42191</v>
      </c>
      <c r="T297" s="257">
        <v>10.78</v>
      </c>
      <c r="U297" s="256">
        <v>42200</v>
      </c>
      <c r="V297" s="145">
        <v>18.5</v>
      </c>
      <c r="W297" s="159">
        <v>42191</v>
      </c>
      <c r="AD297" s="145">
        <f>(N297/V297)*(((100-CD297)/100)*((100-2)/100))*100</f>
        <v>18.986361081081078</v>
      </c>
      <c r="AF297" s="257">
        <v>21.7</v>
      </c>
      <c r="AG297" s="159">
        <v>42191</v>
      </c>
      <c r="AJ297" s="257">
        <v>120</v>
      </c>
      <c r="AN297" s="257">
        <v>106</v>
      </c>
      <c r="BB297" s="257">
        <v>9</v>
      </c>
      <c r="BN297" s="251">
        <v>62.005000000000003</v>
      </c>
      <c r="BO297" s="256">
        <v>42200</v>
      </c>
      <c r="BT297" s="251">
        <v>49.656436920166016</v>
      </c>
      <c r="BU297" s="256">
        <v>42200</v>
      </c>
      <c r="BV297" s="251">
        <v>16.846189498901367</v>
      </c>
      <c r="BW297" s="256">
        <v>42200</v>
      </c>
      <c r="BX297" s="251">
        <v>17.196000000000002</v>
      </c>
      <c r="BY297" s="256">
        <v>42200</v>
      </c>
      <c r="CD297" s="257">
        <v>8.8000000000000007</v>
      </c>
      <c r="CE297" s="159">
        <v>42191</v>
      </c>
      <c r="CM297" s="255">
        <v>3</v>
      </c>
      <c r="CN297" s="256">
        <v>42180</v>
      </c>
      <c r="CO297" s="140" t="s">
        <v>8447</v>
      </c>
    </row>
    <row r="298" spans="1:93" ht="15">
      <c r="A298" s="124" t="s">
        <v>7700</v>
      </c>
      <c r="B298" s="161" t="s">
        <v>7546</v>
      </c>
      <c r="C298" s="268" t="s">
        <v>269</v>
      </c>
      <c r="D298" s="243">
        <v>2</v>
      </c>
      <c r="E298" s="183">
        <v>114</v>
      </c>
      <c r="F298" s="244">
        <v>12</v>
      </c>
      <c r="G298" s="245">
        <v>6</v>
      </c>
      <c r="L298" s="254">
        <v>3</v>
      </c>
      <c r="N298" s="246">
        <v>3.85</v>
      </c>
      <c r="O298" s="159">
        <v>42191</v>
      </c>
      <c r="T298" s="247">
        <v>10.71</v>
      </c>
      <c r="U298" s="256">
        <v>42200</v>
      </c>
      <c r="V298" s="145">
        <v>18.5</v>
      </c>
      <c r="W298" s="159">
        <v>42191</v>
      </c>
      <c r="AD298" s="145">
        <f>(N298/V298)*(((100-CD298)/100)*((100-2)/100))*100</f>
        <v>18.987367567567567</v>
      </c>
      <c r="AF298" s="248">
        <v>21.71</v>
      </c>
      <c r="AG298" s="159">
        <v>42191</v>
      </c>
      <c r="AJ298" s="249">
        <v>125</v>
      </c>
      <c r="AN298" s="250">
        <v>105</v>
      </c>
      <c r="BB298" s="257">
        <v>7</v>
      </c>
      <c r="BN298" s="251">
        <v>61.649000000000001</v>
      </c>
      <c r="BO298" s="256">
        <v>42200</v>
      </c>
      <c r="BT298" s="251">
        <v>49.309341430664063</v>
      </c>
      <c r="BU298" s="256">
        <v>42200</v>
      </c>
      <c r="BV298" s="251">
        <v>17.967134475708008</v>
      </c>
      <c r="BW298" s="256">
        <v>42200</v>
      </c>
      <c r="BX298" s="251">
        <v>21.873999999999999</v>
      </c>
      <c r="BY298" s="256">
        <v>42200</v>
      </c>
      <c r="CD298" s="253">
        <v>6.9</v>
      </c>
      <c r="CE298" s="159">
        <v>42191</v>
      </c>
      <c r="CM298" s="255">
        <v>5</v>
      </c>
      <c r="CN298" s="256">
        <v>42180</v>
      </c>
      <c r="CO298" s="140" t="s">
        <v>8448</v>
      </c>
    </row>
    <row r="299" spans="1:93" ht="15" customHeight="1">
      <c r="A299" s="137" t="s">
        <v>8469</v>
      </c>
      <c r="B299" s="161" t="s">
        <v>8492</v>
      </c>
      <c r="C299" s="268" t="s">
        <v>269</v>
      </c>
      <c r="D299" s="269">
        <v>2</v>
      </c>
      <c r="E299" s="280">
        <v>20</v>
      </c>
      <c r="F299" s="269"/>
      <c r="G299" s="269"/>
      <c r="H299" s="271">
        <v>11</v>
      </c>
      <c r="I299" s="271">
        <v>1</v>
      </c>
      <c r="J299" s="282"/>
      <c r="K299" s="273"/>
      <c r="L299" s="269">
        <v>5</v>
      </c>
      <c r="M299" s="274"/>
      <c r="N299" s="269">
        <v>3.89</v>
      </c>
      <c r="O299" s="274">
        <v>42191</v>
      </c>
      <c r="P299" s="272"/>
      <c r="Q299" s="274"/>
      <c r="R299" s="275"/>
      <c r="S299" s="274"/>
      <c r="T299" s="269">
        <v>10.86</v>
      </c>
      <c r="U299" s="276">
        <v>42200</v>
      </c>
      <c r="V299" s="275">
        <v>18.5</v>
      </c>
      <c r="W299" s="274">
        <v>42191</v>
      </c>
      <c r="X299" s="275"/>
      <c r="Y299" s="274"/>
      <c r="Z299" s="275"/>
      <c r="AA299" s="274"/>
      <c r="AB299" s="275"/>
      <c r="AC299" s="274"/>
      <c r="AD299" s="145">
        <f>(N299/V299)*(((100-CD299)/100)*((100-2)/100))*100</f>
        <v>18.999180540540543</v>
      </c>
      <c r="AE299" s="274"/>
      <c r="AF299" s="269">
        <v>21.72</v>
      </c>
      <c r="AG299" s="274">
        <v>42191</v>
      </c>
      <c r="AH299" s="274"/>
      <c r="AI299" s="274"/>
      <c r="AJ299" s="269">
        <v>140</v>
      </c>
      <c r="AK299" s="274"/>
      <c r="AL299" s="275"/>
      <c r="AM299" s="274"/>
      <c r="AN299" s="269">
        <v>107</v>
      </c>
      <c r="AO299" s="274"/>
      <c r="AP299" s="275"/>
      <c r="AQ299" s="275"/>
      <c r="AR299" s="275"/>
      <c r="AS299" s="275"/>
      <c r="AT299" s="275"/>
      <c r="AU299" s="275"/>
      <c r="AV299" s="275"/>
      <c r="AW299" s="275"/>
      <c r="AX299" s="275"/>
      <c r="AY299" s="275"/>
      <c r="AZ299" s="275"/>
      <c r="BA299" s="275"/>
      <c r="BB299" s="269">
        <v>5</v>
      </c>
      <c r="BC299" s="275"/>
      <c r="BD299" s="275"/>
      <c r="BE299" s="275"/>
      <c r="BF299" s="272"/>
      <c r="BG299" s="272"/>
      <c r="BH299" s="272"/>
      <c r="BI299" s="272"/>
      <c r="BJ299" s="272"/>
      <c r="BK299" s="272"/>
      <c r="BL299" s="272"/>
      <c r="BM299" s="272"/>
      <c r="BN299" s="284">
        <v>67.718000000000004</v>
      </c>
      <c r="BO299" s="276">
        <v>42200</v>
      </c>
      <c r="BP299" s="272"/>
      <c r="BQ299" s="272"/>
      <c r="BR299" s="272"/>
      <c r="BS299" s="272"/>
      <c r="BT299" s="284">
        <v>50.02</v>
      </c>
      <c r="BU299" s="276">
        <v>42200</v>
      </c>
      <c r="BV299" s="284">
        <v>20.876911163330078</v>
      </c>
      <c r="BW299" s="276">
        <v>42200</v>
      </c>
      <c r="BX299" s="284">
        <v>63.097000000000001</v>
      </c>
      <c r="BY299" s="276">
        <v>42200</v>
      </c>
      <c r="BZ299" s="272"/>
      <c r="CA299" s="272"/>
      <c r="CB299" s="272"/>
      <c r="CC299" s="272"/>
      <c r="CD299" s="269">
        <v>7.8</v>
      </c>
      <c r="CE299" s="274">
        <v>42191</v>
      </c>
      <c r="CF299" s="272"/>
      <c r="CG299" s="272"/>
      <c r="CH299" s="272"/>
      <c r="CI299" s="272"/>
      <c r="CJ299" s="272"/>
      <c r="CK299" s="272"/>
      <c r="CL299" s="272"/>
      <c r="CM299" s="278">
        <v>3</v>
      </c>
      <c r="CN299" s="276">
        <v>42180</v>
      </c>
      <c r="CO299" s="272" t="s">
        <v>8447</v>
      </c>
    </row>
    <row r="300" spans="1:93" ht="15" customHeight="1">
      <c r="A300" s="124" t="s">
        <v>7619</v>
      </c>
      <c r="B300" s="161" t="s">
        <v>7473</v>
      </c>
      <c r="C300" s="268" t="s">
        <v>269</v>
      </c>
      <c r="D300" s="257">
        <v>2</v>
      </c>
      <c r="E300" s="183">
        <v>33</v>
      </c>
      <c r="F300" s="257">
        <v>11</v>
      </c>
      <c r="G300" s="257">
        <v>9</v>
      </c>
      <c r="L300" s="257">
        <v>8</v>
      </c>
      <c r="N300" s="257">
        <v>3.85</v>
      </c>
      <c r="O300" s="159">
        <v>42191</v>
      </c>
      <c r="T300" s="257">
        <v>10.57</v>
      </c>
      <c r="U300" s="256">
        <v>42200</v>
      </c>
      <c r="V300" s="145">
        <v>18.5</v>
      </c>
      <c r="W300" s="159">
        <v>42191</v>
      </c>
      <c r="AD300" s="145">
        <f>(N300/V300)*(((100-CD300)/100)*((100-2)/100))*100</f>
        <v>19.028156756756758</v>
      </c>
      <c r="AF300" s="257">
        <v>21.75</v>
      </c>
      <c r="AG300" s="159">
        <v>42191</v>
      </c>
      <c r="AJ300" s="257">
        <v>140</v>
      </c>
      <c r="AN300" s="257">
        <v>106</v>
      </c>
      <c r="BB300" s="257">
        <v>7</v>
      </c>
      <c r="BN300" s="251">
        <v>63.097000000000001</v>
      </c>
      <c r="BO300" s="256">
        <v>42200</v>
      </c>
      <c r="BT300" s="251">
        <v>48.612869262695313</v>
      </c>
      <c r="BU300" s="256">
        <v>42200</v>
      </c>
      <c r="BV300" s="251">
        <v>17.782833099365234</v>
      </c>
      <c r="BW300" s="256">
        <v>42200</v>
      </c>
      <c r="BX300" s="251">
        <v>51.225000000000001</v>
      </c>
      <c r="BY300" s="256">
        <v>42200</v>
      </c>
      <c r="CD300" s="257">
        <v>6.7</v>
      </c>
      <c r="CE300" s="159">
        <v>42191</v>
      </c>
      <c r="CM300" s="255">
        <v>5</v>
      </c>
      <c r="CN300" s="256">
        <v>42180</v>
      </c>
      <c r="CO300" s="140" t="s">
        <v>8448</v>
      </c>
    </row>
    <row r="301" spans="1:93" ht="15">
      <c r="A301" s="124" t="s">
        <v>7624</v>
      </c>
      <c r="B301" s="161" t="s">
        <v>7477</v>
      </c>
      <c r="C301" s="268" t="s">
        <v>267</v>
      </c>
      <c r="D301" s="243">
        <v>3</v>
      </c>
      <c r="E301" s="183">
        <v>38</v>
      </c>
      <c r="F301" s="244">
        <v>14</v>
      </c>
      <c r="G301" s="245">
        <v>6</v>
      </c>
      <c r="L301" s="254">
        <v>8</v>
      </c>
      <c r="N301" s="246">
        <v>3.92</v>
      </c>
      <c r="O301" s="159">
        <v>42191</v>
      </c>
      <c r="T301" s="247">
        <v>10.75</v>
      </c>
      <c r="U301" s="256">
        <v>42200</v>
      </c>
      <c r="V301" s="145">
        <v>18.5</v>
      </c>
      <c r="W301" s="159">
        <v>42191</v>
      </c>
      <c r="AD301" s="145">
        <f>(N301/V301)*(((100-CD301)/100)*((100-2)/100))*100</f>
        <v>19.041876756756757</v>
      </c>
      <c r="AF301" s="248">
        <f>(N301/V301)*(((100-CD301)/(100-9))*100)</f>
        <v>21.352182952182954</v>
      </c>
      <c r="AG301" s="159">
        <v>42191</v>
      </c>
      <c r="AJ301" s="249">
        <v>130</v>
      </c>
      <c r="AN301" s="250">
        <v>104</v>
      </c>
      <c r="BB301" s="257">
        <v>7</v>
      </c>
      <c r="BN301" s="251">
        <v>61.238999999999997</v>
      </c>
      <c r="BO301" s="256">
        <v>42200</v>
      </c>
      <c r="BT301" s="251">
        <v>49.394550323486328</v>
      </c>
      <c r="BU301" s="256">
        <v>42200</v>
      </c>
      <c r="BV301" s="251">
        <v>18.686733245849609</v>
      </c>
      <c r="BW301" s="256">
        <v>42200</v>
      </c>
      <c r="BX301" s="251">
        <v>52.177999999999997</v>
      </c>
      <c r="BY301" s="256">
        <v>42200</v>
      </c>
      <c r="CD301" s="253">
        <v>8.3000000000000007</v>
      </c>
      <c r="CE301" s="159">
        <v>42191</v>
      </c>
      <c r="CM301" s="255">
        <v>1</v>
      </c>
      <c r="CN301" s="256">
        <v>42180</v>
      </c>
      <c r="CO301" s="140" t="s">
        <v>8447</v>
      </c>
    </row>
    <row r="302" spans="1:93" ht="15">
      <c r="A302" s="124" t="s">
        <v>7592</v>
      </c>
      <c r="B302" s="161" t="s">
        <v>7770</v>
      </c>
      <c r="C302" s="268" t="s">
        <v>267</v>
      </c>
      <c r="D302" s="243">
        <v>4</v>
      </c>
      <c r="E302" s="183">
        <v>6</v>
      </c>
      <c r="F302" s="244">
        <v>21</v>
      </c>
      <c r="G302" s="245">
        <v>29</v>
      </c>
      <c r="J302" s="266"/>
      <c r="L302" s="254">
        <v>9</v>
      </c>
      <c r="N302" s="246">
        <v>3.89</v>
      </c>
      <c r="O302" s="159">
        <v>42191</v>
      </c>
      <c r="P302" s="144"/>
      <c r="R302" s="145"/>
      <c r="T302" s="247">
        <v>10.88</v>
      </c>
      <c r="U302" s="256">
        <v>42200</v>
      </c>
      <c r="V302" s="145">
        <v>18.5</v>
      </c>
      <c r="W302" s="159">
        <v>42191</v>
      </c>
      <c r="X302" s="145"/>
      <c r="Z302" s="145"/>
      <c r="AB302" s="145"/>
      <c r="AD302" s="145">
        <f>(N302/V302)*(((100-CD302)/100)*((100-2)/100))*100</f>
        <v>19.122819459459457</v>
      </c>
      <c r="AF302" s="248">
        <v>21.86</v>
      </c>
      <c r="AG302" s="159">
        <v>42191</v>
      </c>
      <c r="AJ302" s="249">
        <v>130</v>
      </c>
      <c r="AL302" s="145"/>
      <c r="AN302" s="250">
        <v>105</v>
      </c>
      <c r="BB302" s="257">
        <v>7</v>
      </c>
      <c r="BN302" s="251">
        <v>67.061999999999998</v>
      </c>
      <c r="BO302" s="256">
        <v>42200</v>
      </c>
      <c r="BT302" s="251">
        <v>49.793312072753906</v>
      </c>
      <c r="BU302" s="256">
        <v>42200</v>
      </c>
      <c r="BV302" s="251">
        <v>19.003734588623047</v>
      </c>
      <c r="BW302" s="256">
        <v>42200</v>
      </c>
      <c r="BX302" s="251">
        <v>62.268999999999998</v>
      </c>
      <c r="BY302" s="256">
        <v>42200</v>
      </c>
      <c r="CD302" s="253">
        <v>7.2</v>
      </c>
      <c r="CE302" s="159">
        <v>42191</v>
      </c>
      <c r="CM302" s="255">
        <v>5</v>
      </c>
      <c r="CN302" s="256">
        <v>42180</v>
      </c>
      <c r="CO302" s="140" t="s">
        <v>8447</v>
      </c>
    </row>
    <row r="303" spans="1:93" ht="15" customHeight="1">
      <c r="A303" s="124" t="s">
        <v>7612</v>
      </c>
      <c r="B303" s="161" t="s">
        <v>7467</v>
      </c>
      <c r="C303" s="268" t="s">
        <v>267</v>
      </c>
      <c r="D303" s="257">
        <v>4</v>
      </c>
      <c r="E303" s="183">
        <v>26</v>
      </c>
      <c r="F303" s="257">
        <v>24</v>
      </c>
      <c r="G303" s="257">
        <v>28</v>
      </c>
      <c r="L303" s="257">
        <v>8</v>
      </c>
      <c r="N303" s="257">
        <v>3.87</v>
      </c>
      <c r="O303" s="159">
        <v>42191</v>
      </c>
      <c r="T303" s="257">
        <v>10.8</v>
      </c>
      <c r="U303" s="256">
        <v>42200</v>
      </c>
      <c r="V303" s="145">
        <v>18.5</v>
      </c>
      <c r="W303" s="159">
        <v>42191</v>
      </c>
      <c r="AD303" s="145">
        <f>(N303/V303)*(((100-CD303)/100)*((100-2)/100))*100</f>
        <v>19.147504864864864</v>
      </c>
      <c r="AF303" s="257">
        <v>21.89</v>
      </c>
      <c r="AG303" s="159">
        <v>42191</v>
      </c>
      <c r="AJ303" s="257">
        <v>120</v>
      </c>
      <c r="AN303" s="257">
        <v>106</v>
      </c>
      <c r="BB303" s="257">
        <v>7</v>
      </c>
      <c r="BN303" s="251">
        <v>59.993000000000002</v>
      </c>
      <c r="BO303" s="256">
        <v>42200</v>
      </c>
      <c r="BT303" s="251">
        <v>49.345840454101563</v>
      </c>
      <c r="BU303" s="256">
        <v>42200</v>
      </c>
      <c r="BV303" s="251">
        <v>19.576742172241211</v>
      </c>
      <c r="BW303" s="256">
        <v>42200</v>
      </c>
      <c r="BX303" s="251">
        <v>55.95</v>
      </c>
      <c r="BY303" s="256">
        <v>42200</v>
      </c>
      <c r="CD303" s="257">
        <v>6.6</v>
      </c>
      <c r="CE303" s="159">
        <v>42191</v>
      </c>
      <c r="CM303" s="255">
        <v>5</v>
      </c>
      <c r="CN303" s="256">
        <v>42180</v>
      </c>
      <c r="CO303" s="140" t="s">
        <v>8447</v>
      </c>
    </row>
    <row r="304" spans="1:93" ht="15">
      <c r="A304" s="124" t="s">
        <v>7738</v>
      </c>
      <c r="B304" s="161" t="s">
        <v>7562</v>
      </c>
      <c r="C304" s="268" t="s">
        <v>269</v>
      </c>
      <c r="D304" s="243">
        <v>2</v>
      </c>
      <c r="E304" s="183">
        <v>152</v>
      </c>
      <c r="F304" s="244">
        <v>11</v>
      </c>
      <c r="G304" s="245">
        <v>6</v>
      </c>
      <c r="L304" s="254">
        <v>5</v>
      </c>
      <c r="N304" s="246">
        <v>3.89</v>
      </c>
      <c r="O304" s="159">
        <v>42191</v>
      </c>
      <c r="T304" s="247">
        <v>11.47</v>
      </c>
      <c r="U304" s="256">
        <v>42200</v>
      </c>
      <c r="V304" s="145">
        <v>18.5</v>
      </c>
      <c r="W304" s="159">
        <v>42191</v>
      </c>
      <c r="AD304" s="145">
        <f>(N304/V304)*(((100-CD304)/100)*((100-2)/100))*100</f>
        <v>19.164032432432435</v>
      </c>
      <c r="AF304" s="248">
        <v>21.91</v>
      </c>
      <c r="AG304" s="159">
        <v>42191</v>
      </c>
      <c r="AJ304" s="249">
        <v>125</v>
      </c>
      <c r="AN304" s="250">
        <v>101</v>
      </c>
      <c r="BB304" s="257">
        <v>7</v>
      </c>
      <c r="BN304" s="251">
        <v>63.444000000000003</v>
      </c>
      <c r="BO304" s="256">
        <v>42200</v>
      </c>
      <c r="BT304" s="251">
        <v>52.362567901611328</v>
      </c>
      <c r="BU304" s="256">
        <v>42200</v>
      </c>
      <c r="BV304" s="251">
        <v>16.583339691162109</v>
      </c>
      <c r="BW304" s="256">
        <v>42200</v>
      </c>
      <c r="BX304" s="251">
        <v>12.166</v>
      </c>
      <c r="BY304" s="256">
        <v>42200</v>
      </c>
      <c r="CD304" s="253">
        <v>7</v>
      </c>
      <c r="CE304" s="159">
        <v>42191</v>
      </c>
      <c r="CM304" s="255">
        <v>3</v>
      </c>
      <c r="CN304" s="256">
        <v>42180</v>
      </c>
      <c r="CO304" s="140" t="s">
        <v>8448</v>
      </c>
    </row>
    <row r="305" spans="1:93" ht="15">
      <c r="A305" s="124" t="s">
        <v>7674</v>
      </c>
      <c r="B305" s="161" t="s">
        <v>7523</v>
      </c>
      <c r="C305" s="268" t="s">
        <v>269</v>
      </c>
      <c r="D305" s="243">
        <v>2</v>
      </c>
      <c r="E305" s="183">
        <v>88</v>
      </c>
      <c r="F305" s="244">
        <v>8</v>
      </c>
      <c r="G305" s="245">
        <v>1</v>
      </c>
      <c r="L305" s="254">
        <v>8</v>
      </c>
      <c r="N305" s="246">
        <v>3.89</v>
      </c>
      <c r="O305" s="159">
        <v>42191</v>
      </c>
      <c r="T305" s="247">
        <v>11</v>
      </c>
      <c r="U305" s="256">
        <v>42200</v>
      </c>
      <c r="V305" s="145">
        <v>18.5</v>
      </c>
      <c r="W305" s="159">
        <v>42191</v>
      </c>
      <c r="AD305" s="145">
        <f>(N305/V305)*(((100-CD305)/100)*((100-2)/100))*100</f>
        <v>19.184638918918921</v>
      </c>
      <c r="AF305" s="248">
        <v>21.93</v>
      </c>
      <c r="AG305" s="159">
        <v>42191</v>
      </c>
      <c r="AJ305" s="249">
        <v>145</v>
      </c>
      <c r="AN305" s="250">
        <v>101</v>
      </c>
      <c r="BB305" s="257">
        <v>7</v>
      </c>
      <c r="BN305" s="251">
        <v>61.78</v>
      </c>
      <c r="BO305" s="256">
        <v>42200</v>
      </c>
      <c r="BT305" s="251">
        <v>50.182193756103516</v>
      </c>
      <c r="BU305" s="256">
        <v>42200</v>
      </c>
      <c r="BV305" s="251">
        <v>16.690118789672852</v>
      </c>
      <c r="BW305" s="256">
        <v>42200</v>
      </c>
      <c r="BX305" s="251">
        <v>23.251000000000001</v>
      </c>
      <c r="BY305" s="256">
        <v>42200</v>
      </c>
      <c r="CD305" s="253">
        <v>6.9</v>
      </c>
      <c r="CE305" s="159">
        <v>42191</v>
      </c>
      <c r="CM305" s="255">
        <v>5</v>
      </c>
      <c r="CN305" s="256">
        <v>42180</v>
      </c>
      <c r="CO305" s="140" t="s">
        <v>8448</v>
      </c>
    </row>
    <row r="306" spans="1:93" ht="15" customHeight="1">
      <c r="A306" s="124" t="s">
        <v>7744</v>
      </c>
      <c r="B306" s="161" t="s">
        <v>7568</v>
      </c>
      <c r="C306" s="268" t="s">
        <v>267</v>
      </c>
      <c r="D306" s="257">
        <v>3</v>
      </c>
      <c r="E306" s="183">
        <v>158</v>
      </c>
      <c r="F306" s="257">
        <v>14</v>
      </c>
      <c r="G306" s="257">
        <v>24</v>
      </c>
      <c r="L306" s="257">
        <v>5</v>
      </c>
      <c r="N306" s="257">
        <v>3.91</v>
      </c>
      <c r="O306" s="159">
        <v>42191</v>
      </c>
      <c r="T306" s="257">
        <v>10.91</v>
      </c>
      <c r="U306" s="256">
        <v>42200</v>
      </c>
      <c r="V306" s="145">
        <v>18.5</v>
      </c>
      <c r="W306" s="159">
        <v>42191</v>
      </c>
      <c r="AD306" s="145">
        <f>(N306/V306)*(((100-CD306)/100)*((100-2)/100))*100</f>
        <v>19.221137297297297</v>
      </c>
      <c r="AF306" s="257">
        <v>21.97</v>
      </c>
      <c r="AG306" s="159">
        <v>42191</v>
      </c>
      <c r="AJ306" s="257">
        <v>100</v>
      </c>
      <c r="AN306" s="257">
        <v>104</v>
      </c>
      <c r="BB306" s="257">
        <v>7</v>
      </c>
      <c r="BN306" s="251">
        <v>65.322999999999993</v>
      </c>
      <c r="BO306" s="256">
        <v>42200</v>
      </c>
      <c r="BT306" s="251">
        <v>49.643581390380859</v>
      </c>
      <c r="BU306" s="256">
        <v>42200</v>
      </c>
      <c r="BV306" s="251">
        <v>17.162490844726562</v>
      </c>
      <c r="BW306" s="256">
        <v>42200</v>
      </c>
      <c r="BX306" s="251">
        <v>17.114999999999998</v>
      </c>
      <c r="BY306" s="256">
        <v>42200</v>
      </c>
      <c r="CD306" s="257">
        <v>7.2</v>
      </c>
      <c r="CE306" s="159">
        <v>42191</v>
      </c>
      <c r="CM306" s="255">
        <v>5</v>
      </c>
      <c r="CN306" s="256">
        <v>42180</v>
      </c>
      <c r="CO306" s="140" t="s">
        <v>8447</v>
      </c>
    </row>
    <row r="307" spans="1:93" ht="15">
      <c r="A307" s="124" t="s">
        <v>7700</v>
      </c>
      <c r="B307" s="161" t="s">
        <v>7546</v>
      </c>
      <c r="C307" s="268" t="s">
        <v>267</v>
      </c>
      <c r="D307" s="243">
        <v>4</v>
      </c>
      <c r="E307" s="183">
        <v>114</v>
      </c>
      <c r="F307" s="244">
        <v>22</v>
      </c>
      <c r="G307" s="245">
        <v>15</v>
      </c>
      <c r="L307" s="254">
        <v>3</v>
      </c>
      <c r="N307" s="246">
        <v>3.91</v>
      </c>
      <c r="O307" s="159">
        <v>42191</v>
      </c>
      <c r="T307" s="247">
        <v>11.33</v>
      </c>
      <c r="U307" s="256">
        <v>42200</v>
      </c>
      <c r="V307" s="145">
        <v>18.5</v>
      </c>
      <c r="W307" s="159">
        <v>42191</v>
      </c>
      <c r="AD307" s="145">
        <f>(N307/V307)*(((100-CD307)/100)*((100-2)/100))*100</f>
        <v>19.221137297297297</v>
      </c>
      <c r="AF307" s="248">
        <v>21.97</v>
      </c>
      <c r="AG307" s="159">
        <v>42191</v>
      </c>
      <c r="AJ307" s="249">
        <v>135</v>
      </c>
      <c r="AN307" s="250">
        <v>106</v>
      </c>
      <c r="BB307" s="257">
        <v>9</v>
      </c>
      <c r="BN307" s="251">
        <v>62.188000000000002</v>
      </c>
      <c r="BO307" s="256">
        <v>42200</v>
      </c>
      <c r="BT307" s="251">
        <v>51.577430725097656</v>
      </c>
      <c r="BU307" s="256">
        <v>42200</v>
      </c>
      <c r="BV307" s="251">
        <v>16.165645599365234</v>
      </c>
      <c r="BW307" s="256">
        <v>42200</v>
      </c>
      <c r="BX307" s="251">
        <v>19.655999999999999</v>
      </c>
      <c r="BY307" s="256">
        <v>42200</v>
      </c>
      <c r="CD307" s="253">
        <v>7.2</v>
      </c>
      <c r="CE307" s="159">
        <v>42191</v>
      </c>
      <c r="CM307" s="255">
        <v>3</v>
      </c>
      <c r="CN307" s="256">
        <v>42180</v>
      </c>
      <c r="CO307" s="140" t="s">
        <v>8447</v>
      </c>
    </row>
    <row r="308" spans="1:93" ht="15" customHeight="1">
      <c r="A308" s="124" t="s">
        <v>7623</v>
      </c>
      <c r="B308" s="161" t="s">
        <v>7476</v>
      </c>
      <c r="C308" s="268" t="s">
        <v>269</v>
      </c>
      <c r="D308" s="257">
        <v>1</v>
      </c>
      <c r="E308" s="183">
        <v>37</v>
      </c>
      <c r="F308" s="257">
        <v>4</v>
      </c>
      <c r="G308" s="257">
        <v>31</v>
      </c>
      <c r="L308" s="257">
        <v>9</v>
      </c>
      <c r="N308" s="257">
        <v>3.9</v>
      </c>
      <c r="O308" s="159">
        <v>42191</v>
      </c>
      <c r="T308" s="257">
        <v>10.32</v>
      </c>
      <c r="U308" s="256">
        <v>42200</v>
      </c>
      <c r="V308" s="145">
        <v>18.5</v>
      </c>
      <c r="W308" s="159">
        <v>42191</v>
      </c>
      <c r="AD308" s="145">
        <f>(N308/V308)*(((100-CD308)/100)*((100-2)/100))*100</f>
        <v>19.254616216216217</v>
      </c>
      <c r="AF308" s="257">
        <f>(N308/V308)*(((100-CD308)/(100-9))*100)</f>
        <v>21.590733590733592</v>
      </c>
      <c r="AG308" s="159">
        <v>42191</v>
      </c>
      <c r="AJ308" s="257">
        <v>165</v>
      </c>
      <c r="AN308" s="257">
        <v>101</v>
      </c>
      <c r="BB308" s="257">
        <v>7</v>
      </c>
      <c r="BN308" s="251">
        <v>59.850999999999999</v>
      </c>
      <c r="BO308" s="256">
        <v>42200</v>
      </c>
      <c r="BT308" s="251">
        <v>46.872150421142578</v>
      </c>
      <c r="BU308" s="256">
        <v>42200</v>
      </c>
      <c r="BV308" s="251">
        <v>19.999517440795898</v>
      </c>
      <c r="BW308" s="256">
        <v>42200</v>
      </c>
      <c r="BX308" s="251">
        <v>30.928000000000001</v>
      </c>
      <c r="BY308" s="256">
        <v>42200</v>
      </c>
      <c r="CD308" s="257">
        <v>6.8</v>
      </c>
      <c r="CE308" s="159">
        <v>42191</v>
      </c>
      <c r="CM308" s="255">
        <v>1</v>
      </c>
      <c r="CN308" s="256">
        <v>42180</v>
      </c>
      <c r="CO308" s="140" t="s">
        <v>8447</v>
      </c>
    </row>
    <row r="309" spans="1:93" ht="15">
      <c r="A309" s="124" t="s">
        <v>7613</v>
      </c>
      <c r="B309" s="161" t="s">
        <v>7773</v>
      </c>
      <c r="C309" s="268" t="s">
        <v>267</v>
      </c>
      <c r="D309" s="243">
        <v>4</v>
      </c>
      <c r="E309" s="183">
        <v>27</v>
      </c>
      <c r="F309" s="244">
        <v>22</v>
      </c>
      <c r="G309" s="245">
        <v>3</v>
      </c>
      <c r="L309" s="254">
        <v>6</v>
      </c>
      <c r="N309" s="246">
        <v>3.96</v>
      </c>
      <c r="O309" s="159">
        <v>42191</v>
      </c>
      <c r="T309" s="247">
        <v>11.33</v>
      </c>
      <c r="U309" s="256">
        <v>42200</v>
      </c>
      <c r="V309" s="145">
        <v>18.5</v>
      </c>
      <c r="W309" s="159">
        <v>42191</v>
      </c>
      <c r="AD309" s="145">
        <f>(N309/V309)*(((100-CD309)/100)*((100-2)/100))*100</f>
        <v>19.278136216216215</v>
      </c>
      <c r="AF309" s="248">
        <f>(N309/V309)*(((100-CD309)/(100-9))*100)</f>
        <v>21.617107217107215</v>
      </c>
      <c r="AG309" s="159">
        <v>42191</v>
      </c>
      <c r="AJ309" s="249">
        <v>135</v>
      </c>
      <c r="AN309" s="250">
        <v>101</v>
      </c>
      <c r="BB309" s="257">
        <v>7</v>
      </c>
      <c r="BN309" s="251">
        <v>61.197000000000003</v>
      </c>
      <c r="BO309" s="256">
        <v>42200</v>
      </c>
      <c r="BT309" s="251">
        <v>51.402732849121094</v>
      </c>
      <c r="BU309" s="256">
        <v>42200</v>
      </c>
      <c r="BV309" s="251">
        <v>16.959245681762695</v>
      </c>
      <c r="BW309" s="256">
        <v>42200</v>
      </c>
      <c r="BX309" s="251">
        <v>48.822000000000003</v>
      </c>
      <c r="BY309" s="256">
        <v>42200</v>
      </c>
      <c r="CD309" s="253">
        <v>8.1</v>
      </c>
      <c r="CE309" s="159">
        <v>42191</v>
      </c>
      <c r="CM309" s="255">
        <v>1</v>
      </c>
      <c r="CN309" s="256">
        <v>42180</v>
      </c>
      <c r="CO309" s="140" t="s">
        <v>8447</v>
      </c>
    </row>
    <row r="310" spans="1:93" ht="15" customHeight="1">
      <c r="A310" s="124" t="s">
        <v>7593</v>
      </c>
      <c r="B310" s="161" t="s">
        <v>7451</v>
      </c>
      <c r="C310" s="268" t="s">
        <v>267</v>
      </c>
      <c r="D310" s="257">
        <v>4</v>
      </c>
      <c r="E310" s="183">
        <v>7</v>
      </c>
      <c r="F310" s="257">
        <v>20</v>
      </c>
      <c r="G310" s="257">
        <v>14</v>
      </c>
      <c r="J310" s="266"/>
      <c r="L310" s="257">
        <v>9</v>
      </c>
      <c r="N310" s="257">
        <v>3.92</v>
      </c>
      <c r="O310" s="159">
        <v>42191</v>
      </c>
      <c r="P310" s="144"/>
      <c r="R310" s="145"/>
      <c r="T310" s="257">
        <v>10.93</v>
      </c>
      <c r="U310" s="256">
        <v>42200</v>
      </c>
      <c r="V310" s="145">
        <v>18.5</v>
      </c>
      <c r="W310" s="159">
        <v>42191</v>
      </c>
      <c r="X310" s="145"/>
      <c r="Z310" s="145"/>
      <c r="AB310" s="145"/>
      <c r="AD310" s="145">
        <f>(N310/V310)*(((100-CD310)/100)*((100-2)/100))*100</f>
        <v>19.291061621621623</v>
      </c>
      <c r="AF310" s="257">
        <v>22.05</v>
      </c>
      <c r="AG310" s="159">
        <v>42191</v>
      </c>
      <c r="AJ310" s="257">
        <v>105</v>
      </c>
      <c r="AL310" s="145"/>
      <c r="AN310" s="257">
        <v>101</v>
      </c>
      <c r="BB310" s="257">
        <v>7</v>
      </c>
      <c r="BN310" s="251">
        <v>66.491</v>
      </c>
      <c r="BO310" s="256">
        <v>42200</v>
      </c>
      <c r="BT310" s="251">
        <v>49.572593688964844</v>
      </c>
      <c r="BU310" s="256">
        <v>42200</v>
      </c>
      <c r="BV310" s="251">
        <v>19.863979339599609</v>
      </c>
      <c r="BW310" s="256">
        <v>42200</v>
      </c>
      <c r="BX310" s="251">
        <v>64.971999999999994</v>
      </c>
      <c r="BY310" s="256">
        <v>42200</v>
      </c>
      <c r="CD310" s="257">
        <v>7.1</v>
      </c>
      <c r="CE310" s="159">
        <v>42191</v>
      </c>
      <c r="CM310" s="255">
        <v>5</v>
      </c>
      <c r="CN310" s="256">
        <v>42180</v>
      </c>
      <c r="CO310" s="140" t="s">
        <v>8447</v>
      </c>
    </row>
    <row r="311" spans="1:93" ht="15" customHeight="1">
      <c r="A311" s="137" t="s">
        <v>8456</v>
      </c>
      <c r="B311" s="161" t="s">
        <v>8479</v>
      </c>
      <c r="C311" s="268" t="s">
        <v>267</v>
      </c>
      <c r="D311" s="269">
        <v>3</v>
      </c>
      <c r="E311" s="280">
        <v>7</v>
      </c>
      <c r="F311" s="269"/>
      <c r="G311" s="269"/>
      <c r="H311" s="271">
        <v>13</v>
      </c>
      <c r="I311" s="271">
        <v>2</v>
      </c>
      <c r="J311" s="282"/>
      <c r="K311" s="273"/>
      <c r="L311" s="269">
        <v>9</v>
      </c>
      <c r="M311" s="274"/>
      <c r="N311" s="269">
        <v>3.95</v>
      </c>
      <c r="O311" s="274">
        <v>42191</v>
      </c>
      <c r="P311" s="272"/>
      <c r="Q311" s="274"/>
      <c r="R311" s="275"/>
      <c r="S311" s="274"/>
      <c r="T311" s="269">
        <v>10.5</v>
      </c>
      <c r="U311" s="276">
        <v>42200</v>
      </c>
      <c r="V311" s="275">
        <v>18.5</v>
      </c>
      <c r="W311" s="274">
        <v>42191</v>
      </c>
      <c r="X311" s="275"/>
      <c r="Y311" s="274"/>
      <c r="Z311" s="275"/>
      <c r="AA311" s="274"/>
      <c r="AB311" s="275"/>
      <c r="AC311" s="274"/>
      <c r="AD311" s="145">
        <f>(N311/V311)*(((100-CD311)/100)*((100-2)/100))*100</f>
        <v>19.292227027027028</v>
      </c>
      <c r="AE311" s="274"/>
      <c r="AF311" s="269">
        <v>22.05</v>
      </c>
      <c r="AG311" s="274">
        <v>42191</v>
      </c>
      <c r="AH311" s="274"/>
      <c r="AI311" s="274"/>
      <c r="AJ311" s="269">
        <v>115</v>
      </c>
      <c r="AK311" s="274"/>
      <c r="AL311" s="275"/>
      <c r="AM311" s="274"/>
      <c r="AN311" s="269">
        <v>98</v>
      </c>
      <c r="AO311" s="274"/>
      <c r="AP311" s="275"/>
      <c r="AQ311" s="275"/>
      <c r="AR311" s="275"/>
      <c r="AS311" s="275"/>
      <c r="AT311" s="275"/>
      <c r="AU311" s="275"/>
      <c r="AV311" s="275"/>
      <c r="AW311" s="275"/>
      <c r="AX311" s="275"/>
      <c r="AY311" s="275"/>
      <c r="AZ311" s="275"/>
      <c r="BA311" s="275"/>
      <c r="BB311" s="269">
        <v>5</v>
      </c>
      <c r="BC311" s="275"/>
      <c r="BD311" s="275"/>
      <c r="BE311" s="275"/>
      <c r="BF311" s="272"/>
      <c r="BG311" s="272"/>
      <c r="BH311" s="272"/>
      <c r="BI311" s="272"/>
      <c r="BJ311" s="272"/>
      <c r="BK311" s="272"/>
      <c r="BL311" s="272"/>
      <c r="BM311" s="272"/>
      <c r="BN311" s="284">
        <v>64.796000000000006</v>
      </c>
      <c r="BO311" s="276">
        <v>42200</v>
      </c>
      <c r="BP311" s="272"/>
      <c r="BQ311" s="272"/>
      <c r="BR311" s="272"/>
      <c r="BS311" s="272"/>
      <c r="BT311" s="284">
        <v>47.62</v>
      </c>
      <c r="BU311" s="276">
        <v>42200</v>
      </c>
      <c r="BV311" s="284">
        <v>20.411806106567383</v>
      </c>
      <c r="BW311" s="276">
        <v>42200</v>
      </c>
      <c r="BX311" s="284">
        <v>65.209000000000003</v>
      </c>
      <c r="BY311" s="276">
        <v>42200</v>
      </c>
      <c r="BZ311" s="272"/>
      <c r="CA311" s="272"/>
      <c r="CB311" s="272"/>
      <c r="CC311" s="272"/>
      <c r="CD311" s="269">
        <v>7.8</v>
      </c>
      <c r="CE311" s="274">
        <v>42191</v>
      </c>
      <c r="CF311" s="272"/>
      <c r="CG311" s="272"/>
      <c r="CH311" s="272"/>
      <c r="CI311" s="272"/>
      <c r="CJ311" s="272"/>
      <c r="CK311" s="272"/>
      <c r="CL311" s="272"/>
      <c r="CM311" s="278">
        <v>3</v>
      </c>
      <c r="CN311" s="276">
        <v>42180</v>
      </c>
      <c r="CO311" s="272" t="s">
        <v>8447</v>
      </c>
    </row>
    <row r="312" spans="1:93" ht="15">
      <c r="A312" s="124" t="s">
        <v>7636</v>
      </c>
      <c r="B312" s="161" t="s">
        <v>7488</v>
      </c>
      <c r="C312" s="268" t="s">
        <v>267</v>
      </c>
      <c r="D312" s="243">
        <v>4</v>
      </c>
      <c r="E312" s="183">
        <v>50</v>
      </c>
      <c r="F312" s="244">
        <v>20</v>
      </c>
      <c r="G312" s="245">
        <v>5</v>
      </c>
      <c r="L312" s="254">
        <v>9</v>
      </c>
      <c r="N312" s="246">
        <v>4</v>
      </c>
      <c r="O312" s="159">
        <v>42191</v>
      </c>
      <c r="T312" s="247">
        <v>11.49</v>
      </c>
      <c r="U312" s="256">
        <v>42200</v>
      </c>
      <c r="V312" s="145">
        <v>18.5</v>
      </c>
      <c r="W312" s="159">
        <v>42191</v>
      </c>
      <c r="AD312" s="145">
        <f>(N312/V312)*(((100-CD312)/100)*((100-2)/100))*100</f>
        <v>19.324540540540543</v>
      </c>
      <c r="AF312" s="248">
        <f>(N312/V312)*(((100-CD312)/(100-9))*100)</f>
        <v>21.66914166914167</v>
      </c>
      <c r="AG312" s="159">
        <v>42191</v>
      </c>
      <c r="AJ312" s="249">
        <v>120</v>
      </c>
      <c r="AN312" s="250">
        <v>105</v>
      </c>
      <c r="BB312" s="257">
        <v>9</v>
      </c>
      <c r="BN312" s="251">
        <v>64.706999999999994</v>
      </c>
      <c r="BO312" s="256">
        <v>42200</v>
      </c>
      <c r="BT312" s="251">
        <v>52.024070739746094</v>
      </c>
      <c r="BU312" s="256">
        <v>42200</v>
      </c>
      <c r="BV312" s="251">
        <v>16.872945785522461</v>
      </c>
      <c r="BW312" s="256">
        <v>42200</v>
      </c>
      <c r="BX312" s="251">
        <v>14.603999999999999</v>
      </c>
      <c r="BY312" s="256">
        <v>42200</v>
      </c>
      <c r="CD312" s="253">
        <v>8.8000000000000007</v>
      </c>
      <c r="CE312" s="159">
        <v>42191</v>
      </c>
      <c r="CM312" s="255">
        <v>1</v>
      </c>
      <c r="CN312" s="256">
        <v>42180</v>
      </c>
      <c r="CO312" s="140" t="s">
        <v>8447</v>
      </c>
    </row>
    <row r="313" spans="1:93" ht="15" customHeight="1">
      <c r="A313" s="124" t="s">
        <v>7612</v>
      </c>
      <c r="B313" s="161" t="s">
        <v>7467</v>
      </c>
      <c r="C313" s="268" t="s">
        <v>267</v>
      </c>
      <c r="D313" s="257">
        <v>3</v>
      </c>
      <c r="E313" s="183">
        <v>26</v>
      </c>
      <c r="F313" s="257">
        <v>13</v>
      </c>
      <c r="G313" s="257">
        <v>4</v>
      </c>
      <c r="L313" s="257">
        <v>9</v>
      </c>
      <c r="N313" s="257">
        <v>4</v>
      </c>
      <c r="O313" s="159">
        <v>42191</v>
      </c>
      <c r="T313" s="257">
        <v>10.75</v>
      </c>
      <c r="U313" s="256">
        <v>42200</v>
      </c>
      <c r="V313" s="145">
        <v>18.5</v>
      </c>
      <c r="W313" s="159">
        <v>42191</v>
      </c>
      <c r="AD313" s="145">
        <f>(N313/V313)*(((100-CD313)/100)*((100-2)/100))*100</f>
        <v>19.345729729729726</v>
      </c>
      <c r="AF313" s="257">
        <v>22.11</v>
      </c>
      <c r="AG313" s="159">
        <v>42191</v>
      </c>
      <c r="AJ313" s="257">
        <v>140</v>
      </c>
      <c r="AN313" s="257">
        <v>106</v>
      </c>
      <c r="BB313" s="257">
        <v>7</v>
      </c>
      <c r="BN313" s="251">
        <v>59.125</v>
      </c>
      <c r="BO313" s="256">
        <v>42200</v>
      </c>
      <c r="BT313" s="251">
        <v>48.59918212890625</v>
      </c>
      <c r="BU313" s="256">
        <v>42200</v>
      </c>
      <c r="BV313" s="251">
        <v>20.743183135986328</v>
      </c>
      <c r="BW313" s="256">
        <v>42200</v>
      </c>
      <c r="BX313" s="251">
        <v>69.225999999999999</v>
      </c>
      <c r="BY313" s="256">
        <v>42200</v>
      </c>
      <c r="CD313" s="257">
        <v>8.6999999999999993</v>
      </c>
      <c r="CE313" s="159">
        <v>42191</v>
      </c>
      <c r="CM313" s="255">
        <v>3</v>
      </c>
      <c r="CN313" s="256">
        <v>42180</v>
      </c>
      <c r="CO313" s="140" t="s">
        <v>8447</v>
      </c>
    </row>
    <row r="314" spans="1:93" ht="15">
      <c r="A314" s="124" t="s">
        <v>7668</v>
      </c>
      <c r="B314" s="161" t="s">
        <v>7517</v>
      </c>
      <c r="C314" s="268" t="s">
        <v>267</v>
      </c>
      <c r="D314" s="243">
        <v>4</v>
      </c>
      <c r="E314" s="183">
        <v>82</v>
      </c>
      <c r="F314" s="244">
        <v>21</v>
      </c>
      <c r="G314" s="245">
        <v>1</v>
      </c>
      <c r="L314" s="254">
        <v>7</v>
      </c>
      <c r="N314" s="246">
        <v>4</v>
      </c>
      <c r="O314" s="159">
        <v>42191</v>
      </c>
      <c r="T314" s="247">
        <v>11.2</v>
      </c>
      <c r="U314" s="256">
        <v>42200</v>
      </c>
      <c r="V314" s="145">
        <v>18.5</v>
      </c>
      <c r="W314" s="159">
        <v>42191</v>
      </c>
      <c r="AD314" s="145">
        <f>(N314/V314)*(((100-CD314)/100)*((100-2)/100))*100</f>
        <v>19.345729729729726</v>
      </c>
      <c r="AF314" s="248">
        <v>22.11</v>
      </c>
      <c r="AG314" s="159">
        <v>42191</v>
      </c>
      <c r="AJ314" s="249">
        <v>120</v>
      </c>
      <c r="AN314" s="250">
        <v>107</v>
      </c>
      <c r="BB314" s="257">
        <v>9</v>
      </c>
      <c r="BN314" s="251">
        <v>63.975000000000001</v>
      </c>
      <c r="BO314" s="256">
        <v>42200</v>
      </c>
      <c r="BT314" s="251">
        <v>50.669933319091797</v>
      </c>
      <c r="BU314" s="256">
        <v>42200</v>
      </c>
      <c r="BV314" s="251">
        <v>17.589088439941406</v>
      </c>
      <c r="BW314" s="256">
        <v>42200</v>
      </c>
      <c r="BX314" s="251">
        <v>17.239999999999998</v>
      </c>
      <c r="BY314" s="256">
        <v>42200</v>
      </c>
      <c r="CD314" s="253">
        <v>8.6999999999999993</v>
      </c>
      <c r="CE314" s="159">
        <v>42191</v>
      </c>
      <c r="CM314" s="255">
        <v>3</v>
      </c>
      <c r="CN314" s="256">
        <v>42180</v>
      </c>
      <c r="CO314" s="140" t="s">
        <v>8447</v>
      </c>
    </row>
    <row r="315" spans="1:93" ht="15" customHeight="1">
      <c r="A315" s="124" t="s">
        <v>7643</v>
      </c>
      <c r="B315" s="161" t="s">
        <v>7495</v>
      </c>
      <c r="C315" s="268" t="s">
        <v>267</v>
      </c>
      <c r="D315" s="257">
        <v>4</v>
      </c>
      <c r="E315" s="183">
        <v>57</v>
      </c>
      <c r="F315" s="257">
        <v>21</v>
      </c>
      <c r="G315" s="257">
        <v>24</v>
      </c>
      <c r="L315" s="257">
        <v>9</v>
      </c>
      <c r="N315" s="257">
        <v>4.04</v>
      </c>
      <c r="O315" s="159">
        <v>42191</v>
      </c>
      <c r="T315" s="257">
        <v>11.19</v>
      </c>
      <c r="U315" s="256">
        <v>42200</v>
      </c>
      <c r="V315" s="145">
        <v>18.5</v>
      </c>
      <c r="W315" s="159">
        <v>42191</v>
      </c>
      <c r="AD315" s="145">
        <f>(N315/V315)*(((100-CD315)/100)*((100-2)/100))*100</f>
        <v>19.346577297297294</v>
      </c>
      <c r="AF315" s="257">
        <v>22.12</v>
      </c>
      <c r="AG315" s="159">
        <v>42191</v>
      </c>
      <c r="AJ315" s="257">
        <v>110</v>
      </c>
      <c r="AN315" s="257">
        <v>106</v>
      </c>
      <c r="BB315" s="257">
        <v>7</v>
      </c>
      <c r="BN315" s="251">
        <v>66.36</v>
      </c>
      <c r="BO315" s="256">
        <v>42200</v>
      </c>
      <c r="BT315" s="251">
        <v>50.577583312988281</v>
      </c>
      <c r="BU315" s="256">
        <v>42200</v>
      </c>
      <c r="BV315" s="251">
        <v>17.674976348876953</v>
      </c>
      <c r="BW315" s="256">
        <v>42200</v>
      </c>
      <c r="BX315" s="251">
        <v>18.209</v>
      </c>
      <c r="BY315" s="256">
        <v>42200</v>
      </c>
      <c r="CD315" s="257">
        <v>9.6</v>
      </c>
      <c r="CE315" s="159">
        <v>42191</v>
      </c>
      <c r="CM315" s="255">
        <v>5</v>
      </c>
      <c r="CN315" s="256">
        <v>42180</v>
      </c>
      <c r="CO315" s="140" t="s">
        <v>8447</v>
      </c>
    </row>
    <row r="316" spans="1:93" ht="15" customHeight="1">
      <c r="A316" s="137" t="s">
        <v>8468</v>
      </c>
      <c r="B316" s="161" t="s">
        <v>8491</v>
      </c>
      <c r="C316" s="268" t="s">
        <v>267</v>
      </c>
      <c r="D316" s="269">
        <v>4</v>
      </c>
      <c r="E316" s="280">
        <v>19</v>
      </c>
      <c r="F316" s="269"/>
      <c r="G316" s="269"/>
      <c r="H316" s="271">
        <v>20</v>
      </c>
      <c r="I316" s="271">
        <v>4</v>
      </c>
      <c r="J316" s="282"/>
      <c r="K316" s="273"/>
      <c r="L316" s="269">
        <v>8</v>
      </c>
      <c r="M316" s="274"/>
      <c r="N316" s="269">
        <v>3.94</v>
      </c>
      <c r="O316" s="274">
        <v>42191</v>
      </c>
      <c r="P316" s="272"/>
      <c r="Q316" s="274"/>
      <c r="R316" s="275"/>
      <c r="S316" s="274"/>
      <c r="T316" s="269">
        <v>10.91</v>
      </c>
      <c r="U316" s="276">
        <v>42200</v>
      </c>
      <c r="V316" s="275">
        <v>18.5</v>
      </c>
      <c r="W316" s="274">
        <v>42191</v>
      </c>
      <c r="X316" s="275"/>
      <c r="Y316" s="274"/>
      <c r="Z316" s="275"/>
      <c r="AA316" s="274"/>
      <c r="AB316" s="275"/>
      <c r="AC316" s="274"/>
      <c r="AD316" s="145">
        <f>(N316/V316)*(((100-CD316)/100)*((100-2)/100))*100</f>
        <v>19.347742702702703</v>
      </c>
      <c r="AE316" s="274"/>
      <c r="AF316" s="269">
        <v>22.12</v>
      </c>
      <c r="AG316" s="274">
        <v>42191</v>
      </c>
      <c r="AH316" s="274"/>
      <c r="AI316" s="274"/>
      <c r="AJ316" s="269">
        <v>110</v>
      </c>
      <c r="AK316" s="274"/>
      <c r="AL316" s="275"/>
      <c r="AM316" s="274"/>
      <c r="AN316" s="269">
        <v>98</v>
      </c>
      <c r="AO316" s="274"/>
      <c r="AP316" s="275"/>
      <c r="AQ316" s="275"/>
      <c r="AR316" s="275"/>
      <c r="AS316" s="275"/>
      <c r="AT316" s="275"/>
      <c r="AU316" s="275"/>
      <c r="AV316" s="275"/>
      <c r="AW316" s="275"/>
      <c r="AX316" s="275"/>
      <c r="AY316" s="275"/>
      <c r="AZ316" s="275"/>
      <c r="BA316" s="275"/>
      <c r="BB316" s="269">
        <v>5</v>
      </c>
      <c r="BC316" s="275"/>
      <c r="BD316" s="275"/>
      <c r="BE316" s="275"/>
      <c r="BF316" s="272"/>
      <c r="BG316" s="272"/>
      <c r="BH316" s="272"/>
      <c r="BI316" s="272"/>
      <c r="BJ316" s="272"/>
      <c r="BK316" s="272"/>
      <c r="BL316" s="272"/>
      <c r="BM316" s="272"/>
      <c r="BN316" s="284">
        <v>64.837999999999994</v>
      </c>
      <c r="BO316" s="276">
        <v>42200</v>
      </c>
      <c r="BP316" s="272"/>
      <c r="BQ316" s="272"/>
      <c r="BR316" s="272"/>
      <c r="BS316" s="272"/>
      <c r="BT316" s="284">
        <v>49.31</v>
      </c>
      <c r="BU316" s="276">
        <v>42200</v>
      </c>
      <c r="BV316" s="284">
        <v>21.391017913818359</v>
      </c>
      <c r="BW316" s="276">
        <v>42200</v>
      </c>
      <c r="BX316" s="284">
        <v>78.531000000000006</v>
      </c>
      <c r="BY316" s="276">
        <v>42200</v>
      </c>
      <c r="BZ316" s="272"/>
      <c r="CA316" s="272"/>
      <c r="CB316" s="272"/>
      <c r="CC316" s="272"/>
      <c r="CD316" s="269">
        <v>7.3</v>
      </c>
      <c r="CE316" s="274">
        <v>42191</v>
      </c>
      <c r="CF316" s="272"/>
      <c r="CG316" s="272"/>
      <c r="CH316" s="272"/>
      <c r="CI316" s="272"/>
      <c r="CJ316" s="272"/>
      <c r="CK316" s="272"/>
      <c r="CL316" s="272"/>
      <c r="CM316" s="278">
        <v>5</v>
      </c>
      <c r="CN316" s="276">
        <v>42180</v>
      </c>
      <c r="CO316" s="272" t="s">
        <v>8447</v>
      </c>
    </row>
    <row r="317" spans="1:93" ht="15">
      <c r="A317" s="124" t="s">
        <v>7645</v>
      </c>
      <c r="B317" s="161" t="s">
        <v>260</v>
      </c>
      <c r="C317" s="268" t="s">
        <v>267</v>
      </c>
      <c r="D317" s="243">
        <v>3</v>
      </c>
      <c r="E317" s="183">
        <v>59</v>
      </c>
      <c r="F317" s="244">
        <v>15</v>
      </c>
      <c r="G317" s="245">
        <v>28</v>
      </c>
      <c r="L317" s="254">
        <v>8</v>
      </c>
      <c r="N317" s="246">
        <v>3.93</v>
      </c>
      <c r="O317" s="159">
        <v>42191</v>
      </c>
      <c r="T317" s="247">
        <v>11.11</v>
      </c>
      <c r="U317" s="256">
        <v>42200</v>
      </c>
      <c r="V317" s="145">
        <v>18.5</v>
      </c>
      <c r="W317" s="159">
        <v>42191</v>
      </c>
      <c r="AD317" s="145">
        <f>(N317/V317)*(((100-CD317)/100)*((100-2)/100))*100</f>
        <v>19.361091891891892</v>
      </c>
      <c r="AF317" s="248">
        <v>22.13</v>
      </c>
      <c r="AG317" s="159">
        <v>42191</v>
      </c>
      <c r="AJ317" s="249">
        <v>125</v>
      </c>
      <c r="AN317" s="250">
        <v>101</v>
      </c>
      <c r="BB317" s="257">
        <v>7</v>
      </c>
      <c r="BN317" s="242">
        <v>64.97</v>
      </c>
      <c r="BO317" s="256">
        <v>42200</v>
      </c>
      <c r="BT317" s="242">
        <v>50.189811706542969</v>
      </c>
      <c r="BU317" s="256">
        <v>42200</v>
      </c>
      <c r="BV317" s="242">
        <v>19.00660514831543</v>
      </c>
      <c r="BW317" s="256">
        <v>42200</v>
      </c>
      <c r="BX317" s="242">
        <v>18.710999999999999</v>
      </c>
      <c r="BY317" s="256">
        <v>42200</v>
      </c>
      <c r="CD317" s="253">
        <v>7</v>
      </c>
      <c r="CE317" s="159">
        <v>42191</v>
      </c>
      <c r="CM317" s="255">
        <v>3</v>
      </c>
      <c r="CN317" s="256">
        <v>42180</v>
      </c>
      <c r="CO317" s="140" t="s">
        <v>8447</v>
      </c>
    </row>
    <row r="318" spans="1:93" ht="15" customHeight="1">
      <c r="A318" s="124" t="s">
        <v>7632</v>
      </c>
      <c r="B318" s="161" t="s">
        <v>7485</v>
      </c>
      <c r="C318" s="268" t="s">
        <v>269</v>
      </c>
      <c r="D318" s="257">
        <v>2</v>
      </c>
      <c r="E318" s="183">
        <v>46</v>
      </c>
      <c r="F318" s="257">
        <v>11</v>
      </c>
      <c r="G318" s="257">
        <v>28</v>
      </c>
      <c r="L318" s="257">
        <v>6</v>
      </c>
      <c r="N318" s="257">
        <v>3.92</v>
      </c>
      <c r="O318" s="159">
        <v>42191</v>
      </c>
      <c r="T318" s="257">
        <v>11.59</v>
      </c>
      <c r="U318" s="256">
        <v>42200</v>
      </c>
      <c r="V318" s="145">
        <v>18.5</v>
      </c>
      <c r="W318" s="159">
        <v>42191</v>
      </c>
      <c r="AD318" s="145">
        <f>(N318/V318)*(((100-CD318)/100)*((100-2)/100))*100</f>
        <v>19.37412324324324</v>
      </c>
      <c r="AF318" s="257">
        <v>22.15</v>
      </c>
      <c r="AG318" s="159">
        <v>42191</v>
      </c>
      <c r="AJ318" s="257">
        <v>130</v>
      </c>
      <c r="AN318" s="257">
        <v>101</v>
      </c>
      <c r="BB318" s="257">
        <v>7</v>
      </c>
      <c r="BN318" s="251">
        <v>64.442999999999998</v>
      </c>
      <c r="BO318" s="256">
        <v>42200</v>
      </c>
      <c r="BT318" s="251">
        <v>52.314476013183594</v>
      </c>
      <c r="BU318" s="256">
        <v>42200</v>
      </c>
      <c r="BV318" s="251">
        <v>15.801223754882813</v>
      </c>
      <c r="BW318" s="256">
        <v>42200</v>
      </c>
      <c r="BX318" s="251">
        <v>16.829000000000001</v>
      </c>
      <c r="BY318" s="256">
        <v>42200</v>
      </c>
      <c r="CD318" s="257">
        <v>6.7</v>
      </c>
      <c r="CE318" s="159">
        <v>42191</v>
      </c>
      <c r="CM318" s="255">
        <v>3</v>
      </c>
      <c r="CN318" s="256">
        <v>42180</v>
      </c>
      <c r="CO318" s="140" t="s">
        <v>8448</v>
      </c>
    </row>
    <row r="319" spans="1:93" ht="15">
      <c r="A319" s="124" t="s">
        <v>7654</v>
      </c>
      <c r="B319" s="161" t="s">
        <v>264</v>
      </c>
      <c r="C319" s="268" t="s">
        <v>267</v>
      </c>
      <c r="D319" s="243">
        <v>4</v>
      </c>
      <c r="E319" s="183">
        <v>68</v>
      </c>
      <c r="F319" s="244">
        <v>20</v>
      </c>
      <c r="G319" s="245">
        <v>26</v>
      </c>
      <c r="L319" s="254">
        <v>5</v>
      </c>
      <c r="N319" s="246">
        <v>4</v>
      </c>
      <c r="O319" s="159">
        <v>42191</v>
      </c>
      <c r="T319" s="247">
        <v>11.13</v>
      </c>
      <c r="U319" s="256">
        <v>42200</v>
      </c>
      <c r="V319" s="145">
        <v>18.5</v>
      </c>
      <c r="W319" s="159">
        <v>42191</v>
      </c>
      <c r="AD319" s="145">
        <f>(N319/V319)*(((100-CD319)/100)*((100-2)/100))*100</f>
        <v>19.409297297297297</v>
      </c>
      <c r="AF319" s="248">
        <v>22.19</v>
      </c>
      <c r="AG319" s="159">
        <v>42191</v>
      </c>
      <c r="AJ319" s="249">
        <v>105</v>
      </c>
      <c r="AN319" s="250">
        <v>101</v>
      </c>
      <c r="BB319" s="257">
        <v>5</v>
      </c>
      <c r="BN319" s="251">
        <v>64.585999999999999</v>
      </c>
      <c r="BO319" s="256">
        <v>42200</v>
      </c>
      <c r="BT319" s="251">
        <v>50.178054809570312</v>
      </c>
      <c r="BU319" s="256">
        <v>42200</v>
      </c>
      <c r="BV319" s="251">
        <v>18.307226181030273</v>
      </c>
      <c r="BW319" s="256">
        <v>42200</v>
      </c>
      <c r="BX319" s="251">
        <v>22.585999999999999</v>
      </c>
      <c r="BY319" s="256">
        <v>42200</v>
      </c>
      <c r="CD319" s="253">
        <v>8.4</v>
      </c>
      <c r="CE319" s="159">
        <v>42191</v>
      </c>
      <c r="CM319" s="255">
        <v>3</v>
      </c>
      <c r="CN319" s="256">
        <v>42180</v>
      </c>
      <c r="CO319" s="140" t="s">
        <v>8447</v>
      </c>
    </row>
    <row r="320" spans="1:93" ht="15">
      <c r="A320" s="124" t="s">
        <v>7681</v>
      </c>
      <c r="B320" s="161" t="s">
        <v>7528</v>
      </c>
      <c r="C320" s="268" t="s">
        <v>267</v>
      </c>
      <c r="D320" s="243">
        <v>3</v>
      </c>
      <c r="E320" s="183">
        <v>95</v>
      </c>
      <c r="F320" s="244">
        <v>16</v>
      </c>
      <c r="G320" s="245">
        <v>24</v>
      </c>
      <c r="L320" s="254">
        <v>3</v>
      </c>
      <c r="N320" s="246">
        <v>3.94</v>
      </c>
      <c r="O320" s="159">
        <v>42191</v>
      </c>
      <c r="T320" s="247">
        <v>10.79</v>
      </c>
      <c r="U320" s="256">
        <v>42200</v>
      </c>
      <c r="V320" s="145">
        <v>18.5</v>
      </c>
      <c r="W320" s="159">
        <v>42191</v>
      </c>
      <c r="AD320" s="145">
        <f>(N320/V320)*(((100-CD320)/100)*((100-2)/100))*100</f>
        <v>19.431228108108105</v>
      </c>
      <c r="AF320" s="248">
        <v>22.21</v>
      </c>
      <c r="AG320" s="159">
        <v>42191</v>
      </c>
      <c r="AJ320" s="249">
        <v>130</v>
      </c>
      <c r="AN320" s="250">
        <v>101</v>
      </c>
      <c r="BB320" s="257">
        <v>5</v>
      </c>
      <c r="BN320" s="251">
        <v>64.150000000000006</v>
      </c>
      <c r="BO320" s="256">
        <v>42200</v>
      </c>
      <c r="BT320" s="251">
        <v>48.569068908691406</v>
      </c>
      <c r="BU320" s="256">
        <v>42200</v>
      </c>
      <c r="BV320" s="251">
        <v>18.668855667114258</v>
      </c>
      <c r="BW320" s="256">
        <v>42200</v>
      </c>
      <c r="BX320" s="251">
        <v>28.367000000000001</v>
      </c>
      <c r="BY320" s="256">
        <v>42200</v>
      </c>
      <c r="CD320" s="253">
        <v>6.9</v>
      </c>
      <c r="CE320" s="159">
        <v>42191</v>
      </c>
      <c r="CM320" s="255">
        <v>3</v>
      </c>
      <c r="CN320" s="256">
        <v>42180</v>
      </c>
      <c r="CO320" s="140" t="s">
        <v>8447</v>
      </c>
    </row>
    <row r="321" spans="1:93" ht="15">
      <c r="A321" s="124" t="s">
        <v>7610</v>
      </c>
      <c r="B321" s="161" t="s">
        <v>7465</v>
      </c>
      <c r="C321" s="268" t="s">
        <v>267</v>
      </c>
      <c r="D321" s="243">
        <v>3</v>
      </c>
      <c r="E321" s="183">
        <v>24</v>
      </c>
      <c r="F321" s="244">
        <v>15</v>
      </c>
      <c r="G321" s="245">
        <v>20</v>
      </c>
      <c r="L321" s="254">
        <v>9</v>
      </c>
      <c r="N321" s="246">
        <v>3.95</v>
      </c>
      <c r="O321" s="159">
        <v>42191</v>
      </c>
      <c r="T321" s="247">
        <v>10.49</v>
      </c>
      <c r="U321" s="256">
        <v>42200</v>
      </c>
      <c r="V321" s="145">
        <v>18.5</v>
      </c>
      <c r="W321" s="159">
        <v>42191</v>
      </c>
      <c r="AD321" s="145">
        <f>(N321/V321)*(((100-CD321)/100)*((100-2)/100))*100</f>
        <v>19.438697297297299</v>
      </c>
      <c r="AF321" s="248">
        <v>22.22</v>
      </c>
      <c r="AG321" s="159">
        <v>42191</v>
      </c>
      <c r="AJ321" s="249">
        <v>120</v>
      </c>
      <c r="AN321" s="250">
        <v>105</v>
      </c>
      <c r="BB321" s="257">
        <v>5</v>
      </c>
      <c r="BN321" s="251">
        <v>65.388000000000005</v>
      </c>
      <c r="BO321" s="256">
        <v>42200</v>
      </c>
      <c r="BT321" s="251">
        <v>47.195606231689453</v>
      </c>
      <c r="BU321" s="256">
        <v>42200</v>
      </c>
      <c r="BV321" s="251">
        <v>20.431777954101563</v>
      </c>
      <c r="BW321" s="256">
        <v>42200</v>
      </c>
      <c r="BX321" s="251">
        <v>60.027999999999999</v>
      </c>
      <c r="BY321" s="256">
        <v>42200</v>
      </c>
      <c r="CD321" s="253">
        <v>7.1</v>
      </c>
      <c r="CE321" s="159">
        <v>42191</v>
      </c>
      <c r="CM321" s="255">
        <v>7</v>
      </c>
      <c r="CN321" s="256">
        <v>42180</v>
      </c>
      <c r="CO321" s="140" t="s">
        <v>8447</v>
      </c>
    </row>
    <row r="322" spans="1:93" ht="15" customHeight="1">
      <c r="A322" s="137" t="s">
        <v>8455</v>
      </c>
      <c r="B322" s="161" t="s">
        <v>8478</v>
      </c>
      <c r="C322" s="268" t="s">
        <v>269</v>
      </c>
      <c r="D322" s="269">
        <v>1</v>
      </c>
      <c r="E322" s="280">
        <v>6</v>
      </c>
      <c r="F322" s="269"/>
      <c r="G322" s="269"/>
      <c r="H322" s="271">
        <v>3</v>
      </c>
      <c r="I322" s="271">
        <v>1</v>
      </c>
      <c r="J322" s="282"/>
      <c r="K322" s="273"/>
      <c r="L322" s="269">
        <v>8</v>
      </c>
      <c r="M322" s="274"/>
      <c r="N322" s="269">
        <v>3.99</v>
      </c>
      <c r="O322" s="274">
        <v>42191</v>
      </c>
      <c r="P322" s="272"/>
      <c r="Q322" s="274"/>
      <c r="R322" s="275"/>
      <c r="S322" s="274"/>
      <c r="T322" s="269">
        <v>10.66</v>
      </c>
      <c r="U322" s="276">
        <v>42200</v>
      </c>
      <c r="V322" s="275">
        <v>18.5</v>
      </c>
      <c r="W322" s="274">
        <v>42191</v>
      </c>
      <c r="X322" s="275"/>
      <c r="Y322" s="274"/>
      <c r="Z322" s="275"/>
      <c r="AA322" s="274"/>
      <c r="AB322" s="275"/>
      <c r="AC322" s="274"/>
      <c r="AD322" s="145">
        <f>(N322/V322)*(((100-CD322)/100)*((100-2)/100))*100</f>
        <v>19.445318918918922</v>
      </c>
      <c r="AE322" s="274"/>
      <c r="AF322" s="269">
        <v>22.23</v>
      </c>
      <c r="AG322" s="274">
        <v>42191</v>
      </c>
      <c r="AH322" s="274"/>
      <c r="AI322" s="274"/>
      <c r="AJ322" s="269">
        <v>150</v>
      </c>
      <c r="AK322" s="274"/>
      <c r="AL322" s="275"/>
      <c r="AM322" s="274"/>
      <c r="AN322" s="269">
        <v>101</v>
      </c>
      <c r="AO322" s="274"/>
      <c r="AP322" s="275"/>
      <c r="AQ322" s="275"/>
      <c r="AR322" s="275"/>
      <c r="AS322" s="275"/>
      <c r="AT322" s="275"/>
      <c r="AU322" s="275"/>
      <c r="AV322" s="275"/>
      <c r="AW322" s="275"/>
      <c r="AX322" s="275"/>
      <c r="AY322" s="275"/>
      <c r="AZ322" s="275"/>
      <c r="BA322" s="275"/>
      <c r="BB322" s="269">
        <v>5</v>
      </c>
      <c r="BC322" s="275"/>
      <c r="BD322" s="275"/>
      <c r="BE322" s="275"/>
      <c r="BF322" s="272"/>
      <c r="BG322" s="272"/>
      <c r="BH322" s="272"/>
      <c r="BI322" s="272"/>
      <c r="BJ322" s="272"/>
      <c r="BK322" s="272"/>
      <c r="BL322" s="272"/>
      <c r="BM322" s="272"/>
      <c r="BN322" s="284">
        <v>64.98</v>
      </c>
      <c r="BO322" s="276">
        <v>42200</v>
      </c>
      <c r="BP322" s="272"/>
      <c r="BQ322" s="272"/>
      <c r="BR322" s="272"/>
      <c r="BS322" s="272"/>
      <c r="BT322" s="284">
        <v>47.94</v>
      </c>
      <c r="BU322" s="276">
        <v>42200</v>
      </c>
      <c r="BV322" s="284">
        <v>20.804866790771484</v>
      </c>
      <c r="BW322" s="276">
        <v>42200</v>
      </c>
      <c r="BX322" s="284">
        <v>80.216999999999999</v>
      </c>
      <c r="BY322" s="276">
        <v>42200</v>
      </c>
      <c r="BZ322" s="272"/>
      <c r="CA322" s="272"/>
      <c r="CB322" s="272"/>
      <c r="CC322" s="272"/>
      <c r="CD322" s="269">
        <v>8</v>
      </c>
      <c r="CE322" s="274">
        <v>42191</v>
      </c>
      <c r="CF322" s="272"/>
      <c r="CG322" s="272"/>
      <c r="CH322" s="272"/>
      <c r="CI322" s="272"/>
      <c r="CJ322" s="272"/>
      <c r="CK322" s="272"/>
      <c r="CL322" s="272"/>
      <c r="CM322" s="278">
        <v>9</v>
      </c>
      <c r="CN322" s="276">
        <v>42180</v>
      </c>
      <c r="CO322" s="140" t="s">
        <v>8448</v>
      </c>
    </row>
    <row r="323" spans="1:93" ht="15" customHeight="1">
      <c r="A323" s="124" t="s">
        <v>7630</v>
      </c>
      <c r="B323" s="161" t="s">
        <v>7483</v>
      </c>
      <c r="C323" s="268" t="s">
        <v>267</v>
      </c>
      <c r="D323" s="257">
        <v>3</v>
      </c>
      <c r="E323" s="183">
        <v>44</v>
      </c>
      <c r="F323" s="257">
        <v>14</v>
      </c>
      <c r="G323" s="257">
        <v>3</v>
      </c>
      <c r="L323" s="257">
        <v>8</v>
      </c>
      <c r="N323" s="257">
        <v>4</v>
      </c>
      <c r="O323" s="159">
        <v>42191</v>
      </c>
      <c r="T323" s="257">
        <v>10.44</v>
      </c>
      <c r="U323" s="256">
        <v>42200</v>
      </c>
      <c r="V323" s="145">
        <v>18.5</v>
      </c>
      <c r="W323" s="159">
        <v>42191</v>
      </c>
      <c r="AD323" s="145">
        <f>(N323/V323)*(((100-CD323)/100)*((100-2)/100))*100</f>
        <v>19.451675675675677</v>
      </c>
      <c r="AF323" s="257">
        <f>(N323/V323)*(((100-CD323)/(100-9))*100)</f>
        <v>21.811701811701813</v>
      </c>
      <c r="AG323" s="159">
        <v>42191</v>
      </c>
      <c r="AJ323" s="257">
        <v>150</v>
      </c>
      <c r="AN323" s="257">
        <v>108</v>
      </c>
      <c r="BB323" s="257">
        <v>7</v>
      </c>
      <c r="BN323" s="251">
        <v>61.518999999999998</v>
      </c>
      <c r="BO323" s="256">
        <v>42200</v>
      </c>
      <c r="BT323" s="251">
        <v>46.9305419921875</v>
      </c>
      <c r="BU323" s="256">
        <v>42200</v>
      </c>
      <c r="BV323" s="251">
        <v>18.934440612792969</v>
      </c>
      <c r="BW323" s="256">
        <v>42200</v>
      </c>
      <c r="BX323" s="251">
        <v>22.501999999999999</v>
      </c>
      <c r="BY323" s="256">
        <v>42200</v>
      </c>
      <c r="CD323" s="257">
        <v>8.1999999999999993</v>
      </c>
      <c r="CE323" s="159">
        <v>42191</v>
      </c>
      <c r="CM323" s="255">
        <v>1</v>
      </c>
      <c r="CN323" s="256">
        <v>42180</v>
      </c>
      <c r="CO323" s="140" t="s">
        <v>8447</v>
      </c>
    </row>
    <row r="324" spans="1:93" ht="15">
      <c r="A324" s="124" t="s">
        <v>7675</v>
      </c>
      <c r="B324" s="161" t="s">
        <v>7524</v>
      </c>
      <c r="C324" s="268" t="s">
        <v>267</v>
      </c>
      <c r="D324" s="243">
        <v>4</v>
      </c>
      <c r="E324" s="183">
        <v>89</v>
      </c>
      <c r="F324" s="244">
        <v>20</v>
      </c>
      <c r="G324" s="245">
        <v>6</v>
      </c>
      <c r="L324" s="254">
        <v>7</v>
      </c>
      <c r="N324" s="246">
        <v>4</v>
      </c>
      <c r="O324" s="159">
        <v>42191</v>
      </c>
      <c r="T324" s="247">
        <v>11.1</v>
      </c>
      <c r="U324" s="256">
        <v>42200</v>
      </c>
      <c r="V324" s="145">
        <v>18.5</v>
      </c>
      <c r="W324" s="159">
        <v>42191</v>
      </c>
      <c r="AD324" s="145">
        <f>(N324/V324)*(((100-CD324)/100)*((100-2)/100))*100</f>
        <v>19.451675675675677</v>
      </c>
      <c r="AF324" s="248">
        <f>(N324/V324)*(((100-CD324)/(100-9))*100)</f>
        <v>21.811701811701813</v>
      </c>
      <c r="AG324" s="159">
        <v>42191</v>
      </c>
      <c r="AJ324" s="249">
        <v>105</v>
      </c>
      <c r="AN324" s="250">
        <v>102</v>
      </c>
      <c r="BB324" s="257">
        <v>7</v>
      </c>
      <c r="BN324" s="251">
        <v>65.572000000000003</v>
      </c>
      <c r="BO324" s="256">
        <v>42200</v>
      </c>
      <c r="BT324" s="251">
        <v>49.910133361816406</v>
      </c>
      <c r="BU324" s="256">
        <v>42200</v>
      </c>
      <c r="BV324" s="251">
        <v>19.498712539672852</v>
      </c>
      <c r="BW324" s="256">
        <v>42200</v>
      </c>
      <c r="BX324" s="251">
        <v>14.895</v>
      </c>
      <c r="BY324" s="256">
        <v>42200</v>
      </c>
      <c r="CD324" s="253">
        <v>8.1999999999999993</v>
      </c>
      <c r="CE324" s="159">
        <v>42191</v>
      </c>
      <c r="CM324" s="255">
        <v>1</v>
      </c>
      <c r="CN324" s="256">
        <v>42180</v>
      </c>
      <c r="CO324" s="140" t="s">
        <v>8447</v>
      </c>
    </row>
    <row r="325" spans="1:93" ht="15" customHeight="1">
      <c r="A325" s="124" t="s">
        <v>7629</v>
      </c>
      <c r="B325" s="161" t="s">
        <v>7482</v>
      </c>
      <c r="C325" s="268" t="s">
        <v>267</v>
      </c>
      <c r="D325" s="257">
        <v>4</v>
      </c>
      <c r="E325" s="183">
        <v>43</v>
      </c>
      <c r="F325" s="257">
        <v>24</v>
      </c>
      <c r="G325" s="257">
        <v>30</v>
      </c>
      <c r="L325" s="257">
        <v>5</v>
      </c>
      <c r="N325" s="257">
        <v>3.94</v>
      </c>
      <c r="O325" s="159">
        <v>42191</v>
      </c>
      <c r="T325" s="257">
        <v>11.46</v>
      </c>
      <c r="U325" s="256">
        <v>42200</v>
      </c>
      <c r="V325" s="145">
        <v>18.5</v>
      </c>
      <c r="W325" s="159">
        <v>42191</v>
      </c>
      <c r="AD325" s="145">
        <f>(N325/V325)*(((100-CD325)/100)*((100-2)/100))*100</f>
        <v>19.472970810810807</v>
      </c>
      <c r="AF325" s="257">
        <v>22.26</v>
      </c>
      <c r="AG325" s="159">
        <v>42191</v>
      </c>
      <c r="AJ325" s="257">
        <v>140</v>
      </c>
      <c r="AN325" s="257">
        <v>106</v>
      </c>
      <c r="BB325" s="257">
        <v>7</v>
      </c>
      <c r="BN325" s="251">
        <v>63.219000000000001</v>
      </c>
      <c r="BO325" s="256">
        <v>42200</v>
      </c>
      <c r="BT325" s="251">
        <v>51.482135772705078</v>
      </c>
      <c r="BU325" s="256">
        <v>42200</v>
      </c>
      <c r="BV325" s="251">
        <v>17.211034774780273</v>
      </c>
      <c r="BW325" s="256">
        <v>42200</v>
      </c>
      <c r="BX325" s="251">
        <v>16.765999999999998</v>
      </c>
      <c r="BY325" s="256">
        <v>42200</v>
      </c>
      <c r="CD325" s="257">
        <v>6.7</v>
      </c>
      <c r="CE325" s="159">
        <v>42191</v>
      </c>
      <c r="CM325" s="255">
        <v>3</v>
      </c>
      <c r="CN325" s="256">
        <v>42180</v>
      </c>
      <c r="CO325" s="140" t="s">
        <v>8447</v>
      </c>
    </row>
    <row r="326" spans="1:93" ht="15" customHeight="1">
      <c r="A326" s="124" t="s">
        <v>7600</v>
      </c>
      <c r="B326" s="161" t="s">
        <v>7456</v>
      </c>
      <c r="C326" s="268" t="s">
        <v>267</v>
      </c>
      <c r="D326" s="257">
        <v>4</v>
      </c>
      <c r="E326" s="183">
        <v>14</v>
      </c>
      <c r="F326" s="257">
        <v>23</v>
      </c>
      <c r="G326" s="257">
        <v>23</v>
      </c>
      <c r="J326" s="266"/>
      <c r="L326" s="257">
        <v>8</v>
      </c>
      <c r="N326" s="257">
        <v>3.95</v>
      </c>
      <c r="O326" s="159">
        <v>42191</v>
      </c>
      <c r="P326" s="144"/>
      <c r="R326" s="145"/>
      <c r="T326" s="257">
        <v>10.69</v>
      </c>
      <c r="U326" s="256">
        <v>42200</v>
      </c>
      <c r="V326" s="145">
        <v>18.5</v>
      </c>
      <c r="W326" s="159">
        <v>42191</v>
      </c>
      <c r="X326" s="145"/>
      <c r="Z326" s="145"/>
      <c r="AB326" s="145"/>
      <c r="AD326" s="145">
        <f>(N326/V326)*(((100-CD326)/100)*((100-2)/100))*100</f>
        <v>19.480545945945945</v>
      </c>
      <c r="AF326" s="257">
        <v>22.27</v>
      </c>
      <c r="AG326" s="159">
        <v>42191</v>
      </c>
      <c r="AJ326" s="257">
        <v>125</v>
      </c>
      <c r="AL326" s="145"/>
      <c r="AN326" s="257">
        <v>104</v>
      </c>
      <c r="BB326" s="257">
        <v>7</v>
      </c>
      <c r="BN326" s="251">
        <v>64.822999999999993</v>
      </c>
      <c r="BO326" s="256">
        <v>42200</v>
      </c>
      <c r="BT326" s="251">
        <v>47.986236572265625</v>
      </c>
      <c r="BU326" s="256">
        <v>42200</v>
      </c>
      <c r="BV326" s="251">
        <v>20.658849716186523</v>
      </c>
      <c r="BW326" s="256">
        <v>42200</v>
      </c>
      <c r="BX326" s="251">
        <v>60.923000000000002</v>
      </c>
      <c r="BY326" s="256">
        <v>42200</v>
      </c>
      <c r="CD326" s="257">
        <v>6.9</v>
      </c>
      <c r="CE326" s="159">
        <v>42191</v>
      </c>
      <c r="CM326" s="255">
        <v>5</v>
      </c>
      <c r="CN326" s="256">
        <v>42180</v>
      </c>
      <c r="CO326" s="140" t="s">
        <v>8447</v>
      </c>
    </row>
    <row r="327" spans="1:93" ht="15" customHeight="1">
      <c r="A327" s="124" t="s">
        <v>7637</v>
      </c>
      <c r="B327" s="161" t="s">
        <v>7489</v>
      </c>
      <c r="C327" s="268" t="s">
        <v>267</v>
      </c>
      <c r="D327" s="257">
        <v>4</v>
      </c>
      <c r="E327" s="183">
        <v>51</v>
      </c>
      <c r="F327" s="257">
        <v>24</v>
      </c>
      <c r="G327" s="257">
        <v>26</v>
      </c>
      <c r="L327" s="257">
        <v>5</v>
      </c>
      <c r="N327" s="257">
        <v>3.95</v>
      </c>
      <c r="O327" s="159">
        <v>42191</v>
      </c>
      <c r="T327" s="257">
        <v>11.46</v>
      </c>
      <c r="U327" s="256">
        <v>42200</v>
      </c>
      <c r="V327" s="145">
        <v>18.5</v>
      </c>
      <c r="W327" s="159">
        <v>42191</v>
      </c>
      <c r="AD327" s="145">
        <f>(N327/V327)*(((100-CD327)/100)*((100-2)/100))*100</f>
        <v>19.480545945945945</v>
      </c>
      <c r="AF327" s="257">
        <f>(N327/V327)*(((100-CD327)/(100-9))*100)</f>
        <v>21.844074844074843</v>
      </c>
      <c r="AG327" s="159">
        <v>42191</v>
      </c>
      <c r="AJ327" s="257">
        <v>140</v>
      </c>
      <c r="AN327" s="257">
        <v>103</v>
      </c>
      <c r="BB327" s="257">
        <v>7</v>
      </c>
      <c r="BN327" s="251">
        <v>65.215000000000003</v>
      </c>
      <c r="BO327" s="256">
        <v>42200</v>
      </c>
      <c r="BT327" s="251">
        <v>51.450950622558594</v>
      </c>
      <c r="BU327" s="256">
        <v>42200</v>
      </c>
      <c r="BV327" s="251">
        <v>18.000629425048828</v>
      </c>
      <c r="BW327" s="256">
        <v>42200</v>
      </c>
      <c r="BX327" s="251">
        <v>19.611999999999998</v>
      </c>
      <c r="BY327" s="256">
        <v>42200</v>
      </c>
      <c r="CD327" s="257">
        <v>6.9</v>
      </c>
      <c r="CE327" s="159">
        <v>42191</v>
      </c>
      <c r="CM327" s="255">
        <v>1</v>
      </c>
      <c r="CN327" s="256">
        <v>42180</v>
      </c>
      <c r="CO327" s="140" t="s">
        <v>8447</v>
      </c>
    </row>
    <row r="328" spans="1:93" ht="15" customHeight="1">
      <c r="A328" s="124" t="s">
        <v>7524</v>
      </c>
      <c r="B328" s="161" t="s">
        <v>7524</v>
      </c>
      <c r="C328" s="268" t="s">
        <v>267</v>
      </c>
      <c r="D328" s="257">
        <v>4</v>
      </c>
      <c r="E328" s="191">
        <v>188</v>
      </c>
      <c r="F328" s="257">
        <v>21</v>
      </c>
      <c r="G328" s="257">
        <v>25</v>
      </c>
      <c r="L328" s="257">
        <v>6</v>
      </c>
      <c r="N328" s="257">
        <v>4</v>
      </c>
      <c r="O328" s="159">
        <v>42191</v>
      </c>
      <c r="T328" s="257">
        <v>11.4</v>
      </c>
      <c r="U328" s="256">
        <v>42200</v>
      </c>
      <c r="V328" s="145">
        <v>18.5</v>
      </c>
      <c r="W328" s="159">
        <v>42191</v>
      </c>
      <c r="AD328" s="145">
        <f>(N328/V328)*(((100-CD328)/100)*((100-2)/100))*100</f>
        <v>19.494054054054054</v>
      </c>
      <c r="AF328" s="257">
        <v>22.28</v>
      </c>
      <c r="AG328" s="159">
        <v>42191</v>
      </c>
      <c r="AJ328" s="257">
        <v>105</v>
      </c>
      <c r="AN328" s="257">
        <v>100</v>
      </c>
      <c r="BB328" s="257">
        <v>7</v>
      </c>
      <c r="BN328" s="251">
        <v>64.055999999999997</v>
      </c>
      <c r="BO328" s="256">
        <v>42200</v>
      </c>
      <c r="BT328" s="251">
        <v>51.1712646484375</v>
      </c>
      <c r="BU328" s="256">
        <v>42200</v>
      </c>
      <c r="BV328" s="251">
        <v>18.456367492675781</v>
      </c>
      <c r="BW328" s="256">
        <v>42200</v>
      </c>
      <c r="BX328" s="251">
        <v>15.009</v>
      </c>
      <c r="BY328" s="256">
        <v>42200</v>
      </c>
      <c r="CD328" s="257">
        <v>8</v>
      </c>
      <c r="CE328" s="159">
        <v>42191</v>
      </c>
      <c r="CM328" s="255">
        <v>1</v>
      </c>
      <c r="CN328" s="256">
        <v>42180</v>
      </c>
      <c r="CO328" s="140" t="s">
        <v>8447</v>
      </c>
    </row>
    <row r="329" spans="1:93" ht="15" customHeight="1">
      <c r="A329" s="124" t="s">
        <v>7648</v>
      </c>
      <c r="B329" s="161" t="s">
        <v>7498</v>
      </c>
      <c r="C329" s="268" t="s">
        <v>267</v>
      </c>
      <c r="D329" s="257">
        <v>3</v>
      </c>
      <c r="E329" s="183">
        <v>62</v>
      </c>
      <c r="F329" s="257">
        <v>14</v>
      </c>
      <c r="G329" s="257">
        <v>11</v>
      </c>
      <c r="L329" s="257">
        <v>9</v>
      </c>
      <c r="N329" s="257">
        <v>4.01</v>
      </c>
      <c r="O329" s="159">
        <v>42191</v>
      </c>
      <c r="T329" s="257">
        <v>10.84</v>
      </c>
      <c r="U329" s="256">
        <v>42200</v>
      </c>
      <c r="V329" s="145">
        <v>18.5</v>
      </c>
      <c r="W329" s="159">
        <v>42191</v>
      </c>
      <c r="AD329" s="145">
        <f>(N329/V329)*(((100-CD329)/100)*((100-2)/100))*100</f>
        <v>19.500304864864859</v>
      </c>
      <c r="AF329" s="257">
        <v>22.29</v>
      </c>
      <c r="AG329" s="159">
        <v>42191</v>
      </c>
      <c r="AJ329" s="257">
        <v>120</v>
      </c>
      <c r="AN329" s="257">
        <v>106</v>
      </c>
      <c r="BB329" s="257">
        <v>7</v>
      </c>
      <c r="BN329" s="251">
        <v>60.715000000000003</v>
      </c>
      <c r="BO329" s="256">
        <v>42200</v>
      </c>
      <c r="BT329" s="251">
        <v>48.618240356445313</v>
      </c>
      <c r="BU329" s="256">
        <v>42200</v>
      </c>
      <c r="BV329" s="251">
        <v>17.855379104614258</v>
      </c>
      <c r="BW329" s="256">
        <v>42200</v>
      </c>
      <c r="BX329" s="251">
        <v>34.262</v>
      </c>
      <c r="BY329" s="256">
        <v>42200</v>
      </c>
      <c r="CD329" s="257">
        <v>8.1999999999999993</v>
      </c>
      <c r="CE329" s="159">
        <v>42191</v>
      </c>
      <c r="CM329" s="255">
        <v>3</v>
      </c>
      <c r="CN329" s="256">
        <v>42180</v>
      </c>
      <c r="CO329" s="140" t="s">
        <v>8447</v>
      </c>
    </row>
    <row r="330" spans="1:93" ht="15" customHeight="1">
      <c r="A330" s="124" t="s">
        <v>7611</v>
      </c>
      <c r="B330" s="161" t="s">
        <v>7466</v>
      </c>
      <c r="C330" s="268" t="s">
        <v>267</v>
      </c>
      <c r="D330" s="257">
        <v>4</v>
      </c>
      <c r="E330" s="183">
        <v>25</v>
      </c>
      <c r="F330" s="257">
        <v>19</v>
      </c>
      <c r="G330" s="257">
        <v>29</v>
      </c>
      <c r="L330" s="257">
        <v>8</v>
      </c>
      <c r="N330" s="257">
        <v>3.96</v>
      </c>
      <c r="O330" s="159">
        <v>42191</v>
      </c>
      <c r="T330" s="257">
        <v>10.53</v>
      </c>
      <c r="U330" s="256">
        <v>42200</v>
      </c>
      <c r="V330" s="145">
        <v>18.5</v>
      </c>
      <c r="W330" s="159">
        <v>42191</v>
      </c>
      <c r="AD330" s="145">
        <f>(N330/V330)*(((100-CD330)/100)*((100-2)/100))*100</f>
        <v>19.508886486486489</v>
      </c>
      <c r="AF330" s="257">
        <v>22.3</v>
      </c>
      <c r="AG330" s="159">
        <v>42191</v>
      </c>
      <c r="AJ330" s="257">
        <v>135</v>
      </c>
      <c r="AN330" s="257">
        <v>104</v>
      </c>
      <c r="BB330" s="257">
        <v>7</v>
      </c>
      <c r="BN330" s="251">
        <v>61.066000000000003</v>
      </c>
      <c r="BO330" s="256">
        <v>42200</v>
      </c>
      <c r="BT330" s="251">
        <v>47.197052001953125</v>
      </c>
      <c r="BU330" s="256">
        <v>42200</v>
      </c>
      <c r="BV330" s="251">
        <v>20.546503067016602</v>
      </c>
      <c r="BW330" s="256">
        <v>42200</v>
      </c>
      <c r="BX330" s="251">
        <v>68.772000000000006</v>
      </c>
      <c r="BY330" s="256">
        <v>42200</v>
      </c>
      <c r="CD330" s="257">
        <v>7</v>
      </c>
      <c r="CE330" s="159">
        <v>42191</v>
      </c>
      <c r="CM330" s="255">
        <v>5</v>
      </c>
      <c r="CN330" s="256">
        <v>42180</v>
      </c>
      <c r="CO330" s="140" t="s">
        <v>8447</v>
      </c>
    </row>
    <row r="331" spans="1:93" ht="15">
      <c r="A331" s="124" t="s">
        <v>7665</v>
      </c>
      <c r="B331" s="161" t="s">
        <v>7514</v>
      </c>
      <c r="C331" s="268" t="s">
        <v>267</v>
      </c>
      <c r="D331" s="243">
        <v>4</v>
      </c>
      <c r="E331" s="183">
        <v>79</v>
      </c>
      <c r="F331" s="244">
        <v>20</v>
      </c>
      <c r="G331" s="245">
        <v>11</v>
      </c>
      <c r="L331" s="254">
        <v>9</v>
      </c>
      <c r="N331" s="246">
        <v>4</v>
      </c>
      <c r="O331" s="159">
        <v>42191</v>
      </c>
      <c r="T331" s="247">
        <v>10.67</v>
      </c>
      <c r="U331" s="256">
        <v>42200</v>
      </c>
      <c r="V331" s="145">
        <v>18.5</v>
      </c>
      <c r="W331" s="159">
        <v>42191</v>
      </c>
      <c r="AD331" s="145">
        <f>(N331/V331)*(((100-CD331)/100)*((100-2)/100))*100</f>
        <v>19.557621621621621</v>
      </c>
      <c r="AF331" s="248">
        <v>22.36</v>
      </c>
      <c r="AG331" s="159">
        <v>42191</v>
      </c>
      <c r="AJ331" s="249">
        <v>110</v>
      </c>
      <c r="AN331" s="250">
        <v>103</v>
      </c>
      <c r="BB331" s="257">
        <v>7</v>
      </c>
      <c r="BN331" s="251">
        <v>63.241999999999997</v>
      </c>
      <c r="BO331" s="256">
        <v>42200</v>
      </c>
      <c r="BT331" s="251">
        <v>47.72930908203125</v>
      </c>
      <c r="BU331" s="256">
        <v>42200</v>
      </c>
      <c r="BV331" s="251">
        <v>19.620410919189453</v>
      </c>
      <c r="BW331" s="256">
        <v>42200</v>
      </c>
      <c r="BX331" s="251">
        <v>18.942</v>
      </c>
      <c r="BY331" s="256">
        <v>42200</v>
      </c>
      <c r="CD331" s="253">
        <v>7.7</v>
      </c>
      <c r="CE331" s="159">
        <v>42191</v>
      </c>
      <c r="CM331" s="255">
        <v>3</v>
      </c>
      <c r="CN331" s="256">
        <v>42180</v>
      </c>
      <c r="CO331" s="140" t="s">
        <v>8447</v>
      </c>
    </row>
    <row r="332" spans="1:93" ht="15" customHeight="1">
      <c r="A332" s="137" t="s">
        <v>8468</v>
      </c>
      <c r="B332" s="161" t="s">
        <v>8491</v>
      </c>
      <c r="C332" s="268" t="s">
        <v>269</v>
      </c>
      <c r="D332" s="269">
        <v>1</v>
      </c>
      <c r="E332" s="280">
        <v>19</v>
      </c>
      <c r="F332" s="269"/>
      <c r="G332" s="269"/>
      <c r="H332" s="271">
        <v>4</v>
      </c>
      <c r="I332" s="271">
        <v>1</v>
      </c>
      <c r="J332" s="282"/>
      <c r="K332" s="273"/>
      <c r="L332" s="269">
        <v>7</v>
      </c>
      <c r="M332" s="274"/>
      <c r="N332" s="269">
        <v>4</v>
      </c>
      <c r="O332" s="274">
        <v>42191</v>
      </c>
      <c r="P332" s="272"/>
      <c r="Q332" s="274"/>
      <c r="R332" s="275"/>
      <c r="S332" s="274"/>
      <c r="T332" s="269">
        <v>11.43</v>
      </c>
      <c r="U332" s="276">
        <v>42200</v>
      </c>
      <c r="V332" s="275">
        <v>18.5</v>
      </c>
      <c r="W332" s="274">
        <v>42191</v>
      </c>
      <c r="X332" s="275"/>
      <c r="Y332" s="274"/>
      <c r="Z332" s="275"/>
      <c r="AA332" s="274"/>
      <c r="AB332" s="275"/>
      <c r="AC332" s="274"/>
      <c r="AD332" s="145">
        <f>(N332/V332)*(((100-CD332)/100)*((100-2)/100))*100</f>
        <v>19.557621621621621</v>
      </c>
      <c r="AE332" s="274"/>
      <c r="AF332" s="269">
        <v>22.36</v>
      </c>
      <c r="AG332" s="274">
        <v>42191</v>
      </c>
      <c r="AH332" s="274"/>
      <c r="AI332" s="274"/>
      <c r="AJ332" s="269">
        <v>135</v>
      </c>
      <c r="AK332" s="274"/>
      <c r="AL332" s="275"/>
      <c r="AM332" s="274"/>
      <c r="AN332" s="269">
        <v>98</v>
      </c>
      <c r="AO332" s="274"/>
      <c r="AP332" s="275"/>
      <c r="AQ332" s="275"/>
      <c r="AR332" s="275"/>
      <c r="AS332" s="275"/>
      <c r="AT332" s="275"/>
      <c r="AU332" s="275"/>
      <c r="AV332" s="275"/>
      <c r="AW332" s="275"/>
      <c r="AX332" s="275"/>
      <c r="AY332" s="275"/>
      <c r="AZ332" s="275"/>
      <c r="BA332" s="275"/>
      <c r="BB332" s="269">
        <v>5</v>
      </c>
      <c r="BC332" s="275"/>
      <c r="BD332" s="275"/>
      <c r="BE332" s="275"/>
      <c r="BF332" s="272"/>
      <c r="BG332" s="272"/>
      <c r="BH332" s="272"/>
      <c r="BI332" s="272"/>
      <c r="BJ332" s="272"/>
      <c r="BK332" s="272"/>
      <c r="BL332" s="272"/>
      <c r="BM332" s="272"/>
      <c r="BN332" s="284">
        <v>64.841999999999999</v>
      </c>
      <c r="BO332" s="276">
        <v>42200</v>
      </c>
      <c r="BP332" s="272"/>
      <c r="BQ332" s="272"/>
      <c r="BR332" s="272"/>
      <c r="BS332" s="272"/>
      <c r="BT332" s="284">
        <v>51.1</v>
      </c>
      <c r="BU332" s="276">
        <v>42200</v>
      </c>
      <c r="BV332" s="284">
        <v>19.104621887207031</v>
      </c>
      <c r="BW332" s="276">
        <v>42200</v>
      </c>
      <c r="BX332" s="284">
        <v>73.293000000000006</v>
      </c>
      <c r="BY332" s="276">
        <v>42200</v>
      </c>
      <c r="BZ332" s="272"/>
      <c r="CA332" s="272"/>
      <c r="CB332" s="272"/>
      <c r="CC332" s="272"/>
      <c r="CD332" s="269">
        <v>7.7</v>
      </c>
      <c r="CE332" s="274">
        <v>42191</v>
      </c>
      <c r="CF332" s="272"/>
      <c r="CG332" s="272"/>
      <c r="CH332" s="272"/>
      <c r="CI332" s="272"/>
      <c r="CJ332" s="272"/>
      <c r="CK332" s="272"/>
      <c r="CL332" s="272"/>
      <c r="CM332" s="278">
        <v>7</v>
      </c>
      <c r="CN332" s="276">
        <v>42180</v>
      </c>
      <c r="CO332" s="272" t="s">
        <v>8447</v>
      </c>
    </row>
    <row r="333" spans="1:93" ht="15" customHeight="1">
      <c r="A333" s="124" t="s">
        <v>7709</v>
      </c>
      <c r="B333" s="161" t="s">
        <v>7548</v>
      </c>
      <c r="C333" s="268" t="s">
        <v>269</v>
      </c>
      <c r="D333" s="257">
        <v>1</v>
      </c>
      <c r="E333" s="183">
        <v>123</v>
      </c>
      <c r="F333" s="257">
        <v>1</v>
      </c>
      <c r="G333" s="257">
        <v>17</v>
      </c>
      <c r="L333" s="257">
        <v>6</v>
      </c>
      <c r="N333" s="257">
        <v>3.96</v>
      </c>
      <c r="O333" s="159">
        <v>42191</v>
      </c>
      <c r="T333" s="257">
        <v>11.25</v>
      </c>
      <c r="U333" s="256">
        <v>42200</v>
      </c>
      <c r="V333" s="145">
        <v>18.5</v>
      </c>
      <c r="W333" s="159">
        <v>42191</v>
      </c>
      <c r="AD333" s="145">
        <f>(N333/V333)*(((100-CD333)/100)*((100-2)/100))*100</f>
        <v>19.571818378378378</v>
      </c>
      <c r="AF333" s="257">
        <f>(N333/V333)*(((100-CD333)/(100-9))*100)</f>
        <v>21.946421146421148</v>
      </c>
      <c r="AG333" s="159">
        <v>42191</v>
      </c>
      <c r="AJ333" s="257">
        <v>160</v>
      </c>
      <c r="AN333" s="257">
        <v>106</v>
      </c>
      <c r="BB333" s="257">
        <v>7</v>
      </c>
      <c r="BN333" s="251">
        <v>64.561999999999998</v>
      </c>
      <c r="BO333" s="256">
        <v>42200</v>
      </c>
      <c r="BT333" s="251">
        <v>50.28265380859375</v>
      </c>
      <c r="BU333" s="256">
        <v>42200</v>
      </c>
      <c r="BV333" s="251">
        <v>17.810791015625</v>
      </c>
      <c r="BW333" s="256">
        <v>42200</v>
      </c>
      <c r="BX333" s="251">
        <v>43.252000000000002</v>
      </c>
      <c r="BY333" s="256">
        <v>42200</v>
      </c>
      <c r="CD333" s="257">
        <v>6.7</v>
      </c>
      <c r="CE333" s="159">
        <v>42191</v>
      </c>
      <c r="CM333" s="255">
        <v>1</v>
      </c>
      <c r="CN333" s="256">
        <v>42180</v>
      </c>
      <c r="CO333" s="140" t="s">
        <v>8447</v>
      </c>
    </row>
    <row r="334" spans="1:93" ht="15" customHeight="1">
      <c r="A334" s="124" t="s">
        <v>7686</v>
      </c>
      <c r="B334" s="161" t="s">
        <v>7533</v>
      </c>
      <c r="C334" s="268" t="s">
        <v>267</v>
      </c>
      <c r="D334" s="257">
        <v>3</v>
      </c>
      <c r="E334" s="183">
        <v>100</v>
      </c>
      <c r="F334" s="257">
        <v>14</v>
      </c>
      <c r="G334" s="257">
        <v>13</v>
      </c>
      <c r="L334" s="257">
        <v>7</v>
      </c>
      <c r="N334" s="257">
        <v>4.03</v>
      </c>
      <c r="O334" s="159">
        <v>42191</v>
      </c>
      <c r="T334" s="257">
        <v>11.02</v>
      </c>
      <c r="U334" s="256">
        <v>42200</v>
      </c>
      <c r="V334" s="145">
        <v>18.5</v>
      </c>
      <c r="W334" s="159">
        <v>42191</v>
      </c>
      <c r="AD334" s="145">
        <f>(N334/V334)*(((100-CD334)/100)*((100-2)/100))*100</f>
        <v>19.57621513513514</v>
      </c>
      <c r="AF334" s="257">
        <v>22.38</v>
      </c>
      <c r="AG334" s="159">
        <v>42191</v>
      </c>
      <c r="AJ334" s="257">
        <v>125</v>
      </c>
      <c r="AN334" s="257">
        <v>101</v>
      </c>
      <c r="BB334" s="257">
        <v>7</v>
      </c>
      <c r="BN334" s="251">
        <v>63.673000000000002</v>
      </c>
      <c r="BO334" s="256">
        <v>42200</v>
      </c>
      <c r="BT334" s="251">
        <v>49.257476806640625</v>
      </c>
      <c r="BU334" s="256">
        <v>42200</v>
      </c>
      <c r="BV334" s="251">
        <v>18.359289169311523</v>
      </c>
      <c r="BW334" s="256">
        <v>42200</v>
      </c>
      <c r="BX334" s="251">
        <v>13.321999999999999</v>
      </c>
      <c r="BY334" s="256">
        <v>42200</v>
      </c>
      <c r="CD334" s="257">
        <v>8.3000000000000007</v>
      </c>
      <c r="CE334" s="159">
        <v>42191</v>
      </c>
      <c r="CM334" s="255">
        <v>3</v>
      </c>
      <c r="CN334" s="256">
        <v>42180</v>
      </c>
      <c r="CO334" s="140" t="s">
        <v>8447</v>
      </c>
    </row>
    <row r="335" spans="1:93" ht="15" customHeight="1">
      <c r="A335" s="124" t="s">
        <v>7670</v>
      </c>
      <c r="B335" s="161" t="s">
        <v>7519</v>
      </c>
      <c r="C335" s="268" t="s">
        <v>267</v>
      </c>
      <c r="D335" s="257">
        <v>4</v>
      </c>
      <c r="E335" s="183">
        <v>84</v>
      </c>
      <c r="F335" s="257">
        <v>23</v>
      </c>
      <c r="G335" s="257">
        <v>17</v>
      </c>
      <c r="L335" s="257">
        <v>5</v>
      </c>
      <c r="N335" s="257">
        <v>4.03</v>
      </c>
      <c r="O335" s="159">
        <v>42191</v>
      </c>
      <c r="T335" s="257">
        <v>11.19</v>
      </c>
      <c r="U335" s="256">
        <v>42200</v>
      </c>
      <c r="V335" s="145">
        <v>18.5</v>
      </c>
      <c r="W335" s="159">
        <v>42191</v>
      </c>
      <c r="AD335" s="145">
        <f>(N335/V335)*(((100-CD335)/100)*((100-2)/100))*100</f>
        <v>19.618911351351354</v>
      </c>
      <c r="AF335" s="257">
        <v>22.43</v>
      </c>
      <c r="AG335" s="159">
        <v>42191</v>
      </c>
      <c r="AJ335" s="257">
        <v>110</v>
      </c>
      <c r="AN335" s="257">
        <v>107</v>
      </c>
      <c r="BB335" s="257">
        <v>9</v>
      </c>
      <c r="BN335" s="251">
        <v>64.861999999999995</v>
      </c>
      <c r="BO335" s="256">
        <v>42200</v>
      </c>
      <c r="BT335" s="251">
        <v>49.878059387207031</v>
      </c>
      <c r="BU335" s="256">
        <v>42200</v>
      </c>
      <c r="BV335" s="251">
        <v>17.084907531738281</v>
      </c>
      <c r="BW335" s="256">
        <v>42200</v>
      </c>
      <c r="BX335" s="251">
        <v>13.951000000000001</v>
      </c>
      <c r="BY335" s="256">
        <v>42200</v>
      </c>
      <c r="CD335" s="257">
        <v>8.1</v>
      </c>
      <c r="CE335" s="159">
        <v>42191</v>
      </c>
      <c r="CM335" s="255">
        <v>3</v>
      </c>
      <c r="CN335" s="256">
        <v>42180</v>
      </c>
      <c r="CO335" s="140" t="s">
        <v>8447</v>
      </c>
    </row>
    <row r="336" spans="1:93" ht="15" customHeight="1">
      <c r="A336" s="124" t="s">
        <v>7676</v>
      </c>
      <c r="B336" s="161" t="s">
        <v>7525</v>
      </c>
      <c r="C336" s="268" t="s">
        <v>267</v>
      </c>
      <c r="D336" s="257">
        <v>4</v>
      </c>
      <c r="E336" s="183">
        <v>90</v>
      </c>
      <c r="F336" s="257">
        <v>22</v>
      </c>
      <c r="G336" s="257">
        <v>29</v>
      </c>
      <c r="L336" s="257">
        <v>3</v>
      </c>
      <c r="N336" s="257">
        <v>4.03</v>
      </c>
      <c r="O336" s="159">
        <v>42191</v>
      </c>
      <c r="T336" s="257">
        <v>10.34</v>
      </c>
      <c r="U336" s="256">
        <v>42200</v>
      </c>
      <c r="V336" s="145">
        <v>18.5</v>
      </c>
      <c r="W336" s="159">
        <v>42191</v>
      </c>
      <c r="AD336" s="145">
        <f>(N336/V336)*(((100-CD336)/100)*((100-2)/100))*100</f>
        <v>19.618911351351354</v>
      </c>
      <c r="AF336" s="257">
        <v>22.43</v>
      </c>
      <c r="AG336" s="159">
        <v>42191</v>
      </c>
      <c r="AJ336" s="257">
        <v>110</v>
      </c>
      <c r="AN336" s="257">
        <v>106</v>
      </c>
      <c r="BB336" s="257">
        <v>9</v>
      </c>
      <c r="BN336" s="251">
        <v>66.652000000000001</v>
      </c>
      <c r="BO336" s="256">
        <v>42200</v>
      </c>
      <c r="BT336" s="251">
        <v>46.098518371582031</v>
      </c>
      <c r="BU336" s="256">
        <v>42200</v>
      </c>
      <c r="BV336" s="251">
        <v>19.206422805786133</v>
      </c>
      <c r="BW336" s="256">
        <v>42200</v>
      </c>
      <c r="BX336" s="251">
        <v>21.231000000000002</v>
      </c>
      <c r="BY336" s="256">
        <v>42200</v>
      </c>
      <c r="CD336" s="257">
        <v>8.1</v>
      </c>
      <c r="CE336" s="159">
        <v>42191</v>
      </c>
      <c r="CM336" s="255">
        <v>3</v>
      </c>
      <c r="CN336" s="256">
        <v>42180</v>
      </c>
      <c r="CO336" s="140" t="s">
        <v>8447</v>
      </c>
    </row>
    <row r="337" spans="1:93" ht="15" customHeight="1">
      <c r="A337" s="124" t="s">
        <v>7617</v>
      </c>
      <c r="B337" s="161" t="s">
        <v>7471</v>
      </c>
      <c r="C337" s="268" t="s">
        <v>269</v>
      </c>
      <c r="D337" s="257">
        <v>2</v>
      </c>
      <c r="E337" s="183">
        <v>31</v>
      </c>
      <c r="F337" s="257">
        <v>11</v>
      </c>
      <c r="G337" s="257">
        <v>4</v>
      </c>
      <c r="L337" s="257">
        <v>6</v>
      </c>
      <c r="N337" s="257">
        <v>3.97</v>
      </c>
      <c r="O337" s="159">
        <v>42191</v>
      </c>
      <c r="T337" s="257">
        <v>11.15</v>
      </c>
      <c r="U337" s="256">
        <v>42200</v>
      </c>
      <c r="V337" s="145">
        <v>18.5</v>
      </c>
      <c r="W337" s="159">
        <v>42191</v>
      </c>
      <c r="AD337" s="145">
        <f>(N337/V337)*(((100-CD337)/100)*((100-2)/100))*100</f>
        <v>19.621242162162162</v>
      </c>
      <c r="AF337" s="257">
        <v>22.43</v>
      </c>
      <c r="AG337" s="159">
        <v>42191</v>
      </c>
      <c r="AJ337" s="257">
        <v>125</v>
      </c>
      <c r="AN337" s="257">
        <v>102</v>
      </c>
      <c r="BB337" s="257">
        <v>7</v>
      </c>
      <c r="BN337" s="251">
        <v>61.853999999999999</v>
      </c>
      <c r="BO337" s="256">
        <v>42200</v>
      </c>
      <c r="BT337" s="251">
        <v>49.713249206542969</v>
      </c>
      <c r="BU337" s="256">
        <v>42200</v>
      </c>
      <c r="BV337" s="251">
        <v>18.26678466796875</v>
      </c>
      <c r="BW337" s="256">
        <v>42200</v>
      </c>
      <c r="BX337" s="251">
        <v>50.2</v>
      </c>
      <c r="BY337" s="256">
        <v>42200</v>
      </c>
      <c r="CD337" s="257">
        <v>6.7</v>
      </c>
      <c r="CE337" s="159">
        <v>42191</v>
      </c>
      <c r="CM337" s="255">
        <v>5</v>
      </c>
      <c r="CN337" s="256">
        <v>42180</v>
      </c>
      <c r="CO337" s="140" t="s">
        <v>8448</v>
      </c>
    </row>
    <row r="338" spans="1:93" ht="15">
      <c r="A338" s="124" t="s">
        <v>7620</v>
      </c>
      <c r="B338" s="161" t="s">
        <v>7474</v>
      </c>
      <c r="C338" s="268" t="s">
        <v>267</v>
      </c>
      <c r="D338" s="243">
        <v>4</v>
      </c>
      <c r="E338" s="183">
        <v>34</v>
      </c>
      <c r="F338" s="244">
        <v>22</v>
      </c>
      <c r="G338" s="245">
        <v>21</v>
      </c>
      <c r="L338" s="254">
        <v>6</v>
      </c>
      <c r="N338" s="246">
        <v>4.04</v>
      </c>
      <c r="O338" s="159">
        <v>42191</v>
      </c>
      <c r="T338" s="247">
        <v>10.74</v>
      </c>
      <c r="U338" s="256">
        <v>42200</v>
      </c>
      <c r="V338" s="145">
        <v>18.5</v>
      </c>
      <c r="W338" s="159">
        <v>42191</v>
      </c>
      <c r="AD338" s="145">
        <f>(N338/V338)*(((100-CD338)/100)*((100-2)/100))*100</f>
        <v>19.646192432432429</v>
      </c>
      <c r="AF338" s="248">
        <v>22.46</v>
      </c>
      <c r="AG338" s="159">
        <v>42191</v>
      </c>
      <c r="AJ338" s="249">
        <v>135</v>
      </c>
      <c r="AN338" s="250">
        <v>103</v>
      </c>
      <c r="BB338" s="257">
        <v>5</v>
      </c>
      <c r="BN338" s="251">
        <v>62.45</v>
      </c>
      <c r="BO338" s="256">
        <v>42200</v>
      </c>
      <c r="BT338" s="251">
        <v>47.815689086914063</v>
      </c>
      <c r="BU338" s="256">
        <v>42200</v>
      </c>
      <c r="BV338" s="251">
        <v>18.493278503417969</v>
      </c>
      <c r="BW338" s="256">
        <v>42200</v>
      </c>
      <c r="BX338" s="251">
        <v>62.94</v>
      </c>
      <c r="BY338" s="256">
        <v>42200</v>
      </c>
      <c r="CD338" s="253">
        <v>8.1999999999999993</v>
      </c>
      <c r="CE338" s="159">
        <v>42191</v>
      </c>
      <c r="CM338" s="255">
        <v>3</v>
      </c>
      <c r="CN338" s="256">
        <v>42180</v>
      </c>
      <c r="CO338" s="140" t="s">
        <v>8447</v>
      </c>
    </row>
    <row r="339" spans="1:93" ht="15" customHeight="1">
      <c r="A339" s="124" t="s">
        <v>7694</v>
      </c>
      <c r="B339" s="161" t="s">
        <v>7540</v>
      </c>
      <c r="C339" s="268" t="s">
        <v>267</v>
      </c>
      <c r="D339" s="257">
        <v>4</v>
      </c>
      <c r="E339" s="183">
        <v>108</v>
      </c>
      <c r="F339" s="257">
        <v>24</v>
      </c>
      <c r="G339" s="257">
        <v>3</v>
      </c>
      <c r="L339" s="257">
        <v>8</v>
      </c>
      <c r="N339" s="257">
        <v>4.0199999999999996</v>
      </c>
      <c r="O339" s="159">
        <v>42191</v>
      </c>
      <c r="T339" s="257">
        <v>11.48</v>
      </c>
      <c r="U339" s="256">
        <v>42200</v>
      </c>
      <c r="V339" s="145">
        <v>18.5</v>
      </c>
      <c r="W339" s="159">
        <v>42191</v>
      </c>
      <c r="AD339" s="145">
        <f>(N339/V339)*(((100-CD339)/100)*((100-2)/100))*100</f>
        <v>19.655409729729726</v>
      </c>
      <c r="AF339" s="257">
        <v>22.47</v>
      </c>
      <c r="AG339" s="159">
        <v>42191</v>
      </c>
      <c r="AJ339" s="257">
        <v>125</v>
      </c>
      <c r="AN339" s="257">
        <v>102</v>
      </c>
      <c r="BB339" s="257">
        <v>7</v>
      </c>
      <c r="BN339" s="251">
        <v>64.331999999999994</v>
      </c>
      <c r="BO339" s="256">
        <v>42200</v>
      </c>
      <c r="BT339" s="251">
        <v>51.067527770996094</v>
      </c>
      <c r="BU339" s="256">
        <v>42200</v>
      </c>
      <c r="BV339" s="251">
        <v>18.552642822265625</v>
      </c>
      <c r="BW339" s="256">
        <v>42200</v>
      </c>
      <c r="BX339" s="251">
        <v>21.484000000000002</v>
      </c>
      <c r="BY339" s="256">
        <v>42200</v>
      </c>
      <c r="CD339" s="257">
        <v>7.7</v>
      </c>
      <c r="CE339" s="159">
        <v>42191</v>
      </c>
      <c r="CM339" s="255">
        <v>5</v>
      </c>
      <c r="CN339" s="256">
        <v>42180</v>
      </c>
      <c r="CO339" s="140" t="s">
        <v>8447</v>
      </c>
    </row>
    <row r="340" spans="1:93" ht="15" customHeight="1">
      <c r="A340" s="124" t="s">
        <v>7631</v>
      </c>
      <c r="B340" s="161" t="s">
        <v>7484</v>
      </c>
      <c r="C340" s="268" t="s">
        <v>269</v>
      </c>
      <c r="D340" s="257">
        <v>2</v>
      </c>
      <c r="E340" s="183">
        <v>45</v>
      </c>
      <c r="F340" s="257">
        <v>10</v>
      </c>
      <c r="G340" s="257">
        <v>7</v>
      </c>
      <c r="L340" s="257">
        <v>8</v>
      </c>
      <c r="N340" s="257">
        <v>4</v>
      </c>
      <c r="O340" s="159">
        <v>42191</v>
      </c>
      <c r="T340" s="257">
        <v>11.52</v>
      </c>
      <c r="U340" s="256">
        <v>42200</v>
      </c>
      <c r="V340" s="145">
        <v>18.5</v>
      </c>
      <c r="W340" s="159">
        <v>42191</v>
      </c>
      <c r="AD340" s="145">
        <f>(N340/V340)*(((100-CD340)/100)*((100-2)/100))*100</f>
        <v>19.663567567567565</v>
      </c>
      <c r="AF340" s="257">
        <v>22.48</v>
      </c>
      <c r="AG340" s="159">
        <v>42191</v>
      </c>
      <c r="AJ340" s="257">
        <v>130</v>
      </c>
      <c r="AN340" s="257">
        <v>102</v>
      </c>
      <c r="BB340" s="257">
        <v>7</v>
      </c>
      <c r="BN340" s="251">
        <v>65.644999999999996</v>
      </c>
      <c r="BO340" s="256">
        <v>42200</v>
      </c>
      <c r="BT340" s="251">
        <v>51.244674682617188</v>
      </c>
      <c r="BU340" s="256">
        <v>42200</v>
      </c>
      <c r="BV340" s="251">
        <v>17.915538787841797</v>
      </c>
      <c r="BW340" s="256">
        <v>42200</v>
      </c>
      <c r="BX340" s="251">
        <v>22.99</v>
      </c>
      <c r="BY340" s="256">
        <v>42200</v>
      </c>
      <c r="CD340" s="257">
        <v>7.2</v>
      </c>
      <c r="CE340" s="159">
        <v>42191</v>
      </c>
      <c r="CM340" s="255">
        <v>3</v>
      </c>
      <c r="CN340" s="256">
        <v>42180</v>
      </c>
      <c r="CO340" s="140" t="s">
        <v>8448</v>
      </c>
    </row>
    <row r="341" spans="1:93" ht="15">
      <c r="A341" s="124" t="s">
        <v>7700</v>
      </c>
      <c r="B341" s="161" t="s">
        <v>7546</v>
      </c>
      <c r="C341" s="268" t="s">
        <v>267</v>
      </c>
      <c r="D341" s="243">
        <v>3</v>
      </c>
      <c r="E341" s="183">
        <v>114</v>
      </c>
      <c r="F341" s="244">
        <v>17</v>
      </c>
      <c r="G341" s="245">
        <v>17</v>
      </c>
      <c r="L341" s="254">
        <v>3</v>
      </c>
      <c r="N341" s="246">
        <v>4.04</v>
      </c>
      <c r="O341" s="159">
        <v>42191</v>
      </c>
      <c r="T341" s="247">
        <v>11.28</v>
      </c>
      <c r="U341" s="256">
        <v>42200</v>
      </c>
      <c r="V341" s="145">
        <v>18.5</v>
      </c>
      <c r="W341" s="159">
        <v>42191</v>
      </c>
      <c r="AD341" s="145">
        <f>(N341/V341)*(((100-CD341)/100)*((100-2)/100))*100</f>
        <v>19.688994594594593</v>
      </c>
      <c r="AF341" s="248">
        <v>22.51</v>
      </c>
      <c r="AG341" s="159">
        <v>42191</v>
      </c>
      <c r="AJ341" s="249">
        <v>115</v>
      </c>
      <c r="AN341" s="250">
        <v>106</v>
      </c>
      <c r="BB341" s="257">
        <v>7</v>
      </c>
      <c r="BN341" s="251">
        <v>60.414000000000001</v>
      </c>
      <c r="BO341" s="256">
        <v>42200</v>
      </c>
      <c r="BT341" s="251">
        <v>50.115684509277344</v>
      </c>
      <c r="BU341" s="256">
        <v>42200</v>
      </c>
      <c r="BV341" s="251">
        <v>17.487016677856445</v>
      </c>
      <c r="BW341" s="256">
        <v>42200</v>
      </c>
      <c r="BX341" s="251">
        <v>18.876999999999999</v>
      </c>
      <c r="BY341" s="256">
        <v>42200</v>
      </c>
      <c r="CD341" s="253">
        <v>8</v>
      </c>
      <c r="CE341" s="159">
        <v>42191</v>
      </c>
      <c r="CM341" s="255">
        <v>7</v>
      </c>
      <c r="CN341" s="256">
        <v>42180</v>
      </c>
      <c r="CO341" s="140" t="s">
        <v>8447</v>
      </c>
    </row>
    <row r="342" spans="1:93" ht="15">
      <c r="A342" s="124" t="s">
        <v>7596</v>
      </c>
      <c r="B342" s="161" t="s">
        <v>7454</v>
      </c>
      <c r="C342" s="268" t="s">
        <v>267</v>
      </c>
      <c r="D342" s="243">
        <v>3</v>
      </c>
      <c r="E342" s="183">
        <v>10</v>
      </c>
      <c r="F342" s="244">
        <v>18</v>
      </c>
      <c r="G342" s="245">
        <v>24</v>
      </c>
      <c r="J342" s="266"/>
      <c r="L342" s="254">
        <v>9</v>
      </c>
      <c r="N342" s="246">
        <v>4</v>
      </c>
      <c r="O342" s="159">
        <v>42191</v>
      </c>
      <c r="P342" s="144"/>
      <c r="R342" s="145"/>
      <c r="T342" s="247">
        <v>11.01</v>
      </c>
      <c r="U342" s="256">
        <v>42200</v>
      </c>
      <c r="V342" s="145">
        <v>18.5</v>
      </c>
      <c r="W342" s="159">
        <v>42191</v>
      </c>
      <c r="X342" s="145"/>
      <c r="Z342" s="145"/>
      <c r="AB342" s="145"/>
      <c r="AD342" s="145">
        <f>(N342/V342)*(((100-CD342)/100)*((100-2)/100))*100</f>
        <v>19.705945945945945</v>
      </c>
      <c r="AF342" s="248">
        <v>22.53</v>
      </c>
      <c r="AG342" s="159">
        <v>42191</v>
      </c>
      <c r="AJ342" s="249">
        <v>100</v>
      </c>
      <c r="AL342" s="145"/>
      <c r="AN342" s="250">
        <v>100</v>
      </c>
      <c r="BB342" s="257">
        <v>5</v>
      </c>
      <c r="BN342" s="251">
        <v>63.070999999999998</v>
      </c>
      <c r="BO342" s="256">
        <v>42200</v>
      </c>
      <c r="BT342" s="251">
        <v>48.880298614501953</v>
      </c>
      <c r="BU342" s="256">
        <v>42200</v>
      </c>
      <c r="BV342" s="251">
        <v>20.083887100219727</v>
      </c>
      <c r="BW342" s="256">
        <v>42200</v>
      </c>
      <c r="BX342" s="251">
        <v>68.087000000000003</v>
      </c>
      <c r="BY342" s="256">
        <v>42200</v>
      </c>
      <c r="CD342" s="253">
        <v>7</v>
      </c>
      <c r="CE342" s="159">
        <v>42191</v>
      </c>
      <c r="CM342" s="255">
        <v>5</v>
      </c>
      <c r="CN342" s="256">
        <v>42180</v>
      </c>
      <c r="CO342" s="140" t="s">
        <v>8447</v>
      </c>
    </row>
    <row r="343" spans="1:93" ht="15" customHeight="1">
      <c r="A343" s="124" t="s">
        <v>7661</v>
      </c>
      <c r="B343" s="161" t="s">
        <v>7510</v>
      </c>
      <c r="C343" s="268" t="s">
        <v>267</v>
      </c>
      <c r="D343" s="257">
        <v>4</v>
      </c>
      <c r="E343" s="183">
        <v>75</v>
      </c>
      <c r="F343" s="257">
        <v>20</v>
      </c>
      <c r="G343" s="257">
        <v>31</v>
      </c>
      <c r="L343" s="257">
        <v>8</v>
      </c>
      <c r="N343" s="257">
        <v>4</v>
      </c>
      <c r="O343" s="159">
        <v>42191</v>
      </c>
      <c r="T343" s="257">
        <v>11.22</v>
      </c>
      <c r="U343" s="256">
        <v>42200</v>
      </c>
      <c r="V343" s="145">
        <v>18.5</v>
      </c>
      <c r="W343" s="159">
        <v>42191</v>
      </c>
      <c r="AD343" s="145">
        <f>(N343/V343)*(((100-CD343)/100)*((100-2)/100))*100</f>
        <v>19.705945945945945</v>
      </c>
      <c r="AF343" s="257">
        <f>(N343/V343)*(((100-CD343)/(100-9))*100)</f>
        <v>22.096822096822095</v>
      </c>
      <c r="AG343" s="159">
        <v>42191</v>
      </c>
      <c r="AJ343" s="257">
        <v>110</v>
      </c>
      <c r="AN343" s="257">
        <v>101</v>
      </c>
      <c r="BB343" s="257">
        <v>7</v>
      </c>
      <c r="BN343" s="251">
        <v>63.283000000000001</v>
      </c>
      <c r="BO343" s="256">
        <v>42200</v>
      </c>
      <c r="BT343" s="251">
        <v>49.803131103515625</v>
      </c>
      <c r="BU343" s="256">
        <v>42200</v>
      </c>
      <c r="BV343" s="251">
        <v>18.96742057800293</v>
      </c>
      <c r="BW343" s="256">
        <v>42200</v>
      </c>
      <c r="BX343" s="251">
        <v>19.512</v>
      </c>
      <c r="BY343" s="256">
        <v>42200</v>
      </c>
      <c r="CD343" s="257">
        <v>7</v>
      </c>
      <c r="CE343" s="159">
        <v>42191</v>
      </c>
      <c r="CM343" s="255">
        <v>1</v>
      </c>
      <c r="CN343" s="256">
        <v>42180</v>
      </c>
      <c r="CO343" s="140" t="s">
        <v>8447</v>
      </c>
    </row>
    <row r="344" spans="1:93" ht="15" customHeight="1">
      <c r="A344" s="124" t="s">
        <v>7747</v>
      </c>
      <c r="B344" s="161" t="s">
        <v>7571</v>
      </c>
      <c r="C344" s="268" t="s">
        <v>267</v>
      </c>
      <c r="D344" s="257">
        <v>4</v>
      </c>
      <c r="E344" s="183">
        <v>161</v>
      </c>
      <c r="F344" s="257">
        <v>22</v>
      </c>
      <c r="G344" s="257">
        <v>23</v>
      </c>
      <c r="L344" s="257">
        <v>3</v>
      </c>
      <c r="N344" s="257">
        <v>4.13</v>
      </c>
      <c r="O344" s="159">
        <v>42191</v>
      </c>
      <c r="T344" s="257">
        <v>11.1</v>
      </c>
      <c r="U344" s="256">
        <v>42200</v>
      </c>
      <c r="V344" s="145">
        <v>18.5</v>
      </c>
      <c r="W344" s="159">
        <v>42191</v>
      </c>
      <c r="AD344" s="145">
        <f>(N344/V344)*(((100-CD344)/100)*((100-2)/100))*100</f>
        <v>19.71193189189189</v>
      </c>
      <c r="AF344" s="257">
        <v>22.53</v>
      </c>
      <c r="AG344" s="159">
        <v>42191</v>
      </c>
      <c r="AJ344" s="257">
        <v>125</v>
      </c>
      <c r="AN344" s="257">
        <v>105</v>
      </c>
      <c r="BB344" s="257">
        <v>7</v>
      </c>
      <c r="BN344" s="251">
        <v>65.694000000000003</v>
      </c>
      <c r="BO344" s="256">
        <v>42200</v>
      </c>
      <c r="BT344" s="251">
        <v>49.255950927734375</v>
      </c>
      <c r="BU344" s="256">
        <v>42200</v>
      </c>
      <c r="BV344" s="251">
        <v>19.075582504272461</v>
      </c>
      <c r="BW344" s="256">
        <v>42200</v>
      </c>
      <c r="BX344" s="251">
        <v>16.867999999999999</v>
      </c>
      <c r="BY344" s="256">
        <v>42200</v>
      </c>
      <c r="CD344" s="257">
        <v>9.9</v>
      </c>
      <c r="CE344" s="159">
        <v>42191</v>
      </c>
      <c r="CM344" s="255">
        <v>3</v>
      </c>
      <c r="CN344" s="256">
        <v>42180</v>
      </c>
      <c r="CO344" s="140" t="s">
        <v>8447</v>
      </c>
    </row>
    <row r="345" spans="1:93" ht="15" customHeight="1">
      <c r="A345" s="124" t="s">
        <v>7633</v>
      </c>
      <c r="B345" s="161" t="s">
        <v>7486</v>
      </c>
      <c r="C345" s="268" t="s">
        <v>267</v>
      </c>
      <c r="D345" s="257">
        <v>4</v>
      </c>
      <c r="E345" s="183">
        <v>47</v>
      </c>
      <c r="F345" s="257">
        <v>19</v>
      </c>
      <c r="G345" s="257">
        <v>32</v>
      </c>
      <c r="L345" s="257">
        <v>9</v>
      </c>
      <c r="N345" s="257">
        <v>4</v>
      </c>
      <c r="O345" s="159">
        <v>42191</v>
      </c>
      <c r="T345" s="257">
        <v>11.62</v>
      </c>
      <c r="U345" s="256">
        <v>42200</v>
      </c>
      <c r="V345" s="145">
        <v>18.5</v>
      </c>
      <c r="W345" s="159">
        <v>42191</v>
      </c>
      <c r="AD345" s="145">
        <f>(N345/V345)*(((100-CD345)/100)*((100-2)/100))*100</f>
        <v>19.727135135135136</v>
      </c>
      <c r="AF345" s="257">
        <v>22.55</v>
      </c>
      <c r="AG345" s="159">
        <v>42191</v>
      </c>
      <c r="AJ345" s="257">
        <v>105</v>
      </c>
      <c r="AN345" s="257">
        <v>103</v>
      </c>
      <c r="BB345" s="257">
        <v>7</v>
      </c>
      <c r="BN345" s="251">
        <v>63.134</v>
      </c>
      <c r="BO345" s="256">
        <v>42200</v>
      </c>
      <c r="BT345" s="251">
        <v>51.507633209228516</v>
      </c>
      <c r="BU345" s="256">
        <v>42200</v>
      </c>
      <c r="BV345" s="251">
        <v>17.987924575805664</v>
      </c>
      <c r="BW345" s="256">
        <v>42200</v>
      </c>
      <c r="BX345" s="251">
        <v>18.603999999999999</v>
      </c>
      <c r="BY345" s="256">
        <v>42200</v>
      </c>
      <c r="CD345" s="257">
        <v>6.9</v>
      </c>
      <c r="CE345" s="159">
        <v>42191</v>
      </c>
      <c r="CM345" s="255">
        <v>3</v>
      </c>
      <c r="CN345" s="256">
        <v>42180</v>
      </c>
      <c r="CO345" s="140" t="s">
        <v>8447</v>
      </c>
    </row>
    <row r="346" spans="1:93" ht="15">
      <c r="A346" s="124" t="s">
        <v>7623</v>
      </c>
      <c r="B346" s="161" t="s">
        <v>7476</v>
      </c>
      <c r="C346" s="268" t="s">
        <v>269</v>
      </c>
      <c r="D346" s="243">
        <v>2</v>
      </c>
      <c r="E346" s="183">
        <v>37</v>
      </c>
      <c r="F346" s="244">
        <v>12</v>
      </c>
      <c r="G346" s="245">
        <v>12</v>
      </c>
      <c r="L346" s="254">
        <v>8</v>
      </c>
      <c r="N346" s="246">
        <v>4</v>
      </c>
      <c r="O346" s="159">
        <v>42191</v>
      </c>
      <c r="T346" s="247">
        <v>10.53</v>
      </c>
      <c r="U346" s="256">
        <v>42200</v>
      </c>
      <c r="V346" s="145">
        <v>18.5</v>
      </c>
      <c r="W346" s="159">
        <v>42191</v>
      </c>
      <c r="AD346" s="145">
        <f>(N346/V346)*(((100-CD346)/100)*((100-2)/100))*100</f>
        <v>19.769513513513512</v>
      </c>
      <c r="AF346" s="248">
        <v>22.6</v>
      </c>
      <c r="AG346" s="159">
        <v>42191</v>
      </c>
      <c r="AJ346" s="249">
        <v>140</v>
      </c>
      <c r="AN346" s="250">
        <v>102</v>
      </c>
      <c r="BB346" s="257">
        <v>7</v>
      </c>
      <c r="BN346" s="251">
        <v>59.587000000000003</v>
      </c>
      <c r="BO346" s="256">
        <v>42200</v>
      </c>
      <c r="BT346" s="251">
        <v>46.604400634765625</v>
      </c>
      <c r="BU346" s="256">
        <v>42200</v>
      </c>
      <c r="BV346" s="251">
        <v>20.680234909057617</v>
      </c>
      <c r="BW346" s="256">
        <v>42200</v>
      </c>
      <c r="BX346" s="251">
        <v>26.675999999999998</v>
      </c>
      <c r="BY346" s="256">
        <v>42200</v>
      </c>
      <c r="CD346" s="253">
        <v>6.7</v>
      </c>
      <c r="CE346" s="159">
        <v>42191</v>
      </c>
      <c r="CM346" s="255">
        <v>5</v>
      </c>
      <c r="CN346" s="256">
        <v>42180</v>
      </c>
      <c r="CO346" s="140" t="s">
        <v>8448</v>
      </c>
    </row>
    <row r="347" spans="1:93" ht="15">
      <c r="A347" s="124" t="s">
        <v>7645</v>
      </c>
      <c r="B347" s="161" t="s">
        <v>260</v>
      </c>
      <c r="C347" s="268" t="s">
        <v>269</v>
      </c>
      <c r="D347" s="243">
        <v>2</v>
      </c>
      <c r="E347" s="183">
        <v>59</v>
      </c>
      <c r="F347" s="244">
        <v>8</v>
      </c>
      <c r="G347" s="245">
        <v>13</v>
      </c>
      <c r="L347" s="254">
        <v>7</v>
      </c>
      <c r="N347" s="246">
        <v>4.0199999999999996</v>
      </c>
      <c r="O347" s="159">
        <v>42191</v>
      </c>
      <c r="T347" s="247">
        <v>11.38</v>
      </c>
      <c r="U347" s="256">
        <v>42200</v>
      </c>
      <c r="V347" s="145">
        <v>18.5</v>
      </c>
      <c r="W347" s="159">
        <v>42191</v>
      </c>
      <c r="AD347" s="145">
        <f>(N347/V347)*(((100-CD347)/100)*((100-2)/100))*100</f>
        <v>19.783180540540538</v>
      </c>
      <c r="AF347" s="248">
        <v>22.61</v>
      </c>
      <c r="AG347" s="159">
        <v>42191</v>
      </c>
      <c r="AJ347" s="249">
        <v>135</v>
      </c>
      <c r="AN347" s="250">
        <v>101</v>
      </c>
      <c r="BB347" s="257">
        <v>7</v>
      </c>
      <c r="BN347" s="251">
        <v>62.432000000000002</v>
      </c>
      <c r="BO347" s="256">
        <v>42200</v>
      </c>
      <c r="BT347" s="251">
        <v>50.308822631835937</v>
      </c>
      <c r="BU347" s="256">
        <v>42200</v>
      </c>
      <c r="BV347" s="251">
        <v>17.528177261352539</v>
      </c>
      <c r="BW347" s="256">
        <v>42200</v>
      </c>
      <c r="BX347" s="251">
        <v>18.837</v>
      </c>
      <c r="BY347" s="256">
        <v>42200</v>
      </c>
      <c r="CD347" s="253">
        <v>7.1</v>
      </c>
      <c r="CE347" s="159">
        <v>42191</v>
      </c>
      <c r="CM347" s="255">
        <v>3</v>
      </c>
      <c r="CN347" s="256">
        <v>42180</v>
      </c>
      <c r="CO347" s="140" t="s">
        <v>8448</v>
      </c>
    </row>
    <row r="348" spans="1:93" ht="15" customHeight="1">
      <c r="A348" s="137" t="s">
        <v>8460</v>
      </c>
      <c r="B348" s="161" t="s">
        <v>8483</v>
      </c>
      <c r="C348" s="268" t="s">
        <v>267</v>
      </c>
      <c r="D348" s="269">
        <v>4</v>
      </c>
      <c r="E348" s="280">
        <v>11</v>
      </c>
      <c r="F348" s="269"/>
      <c r="G348" s="269"/>
      <c r="H348" s="271">
        <v>20</v>
      </c>
      <c r="I348" s="271">
        <v>1</v>
      </c>
      <c r="J348" s="282"/>
      <c r="K348" s="273"/>
      <c r="L348" s="269">
        <v>9</v>
      </c>
      <c r="M348" s="274"/>
      <c r="N348" s="269">
        <v>4.07</v>
      </c>
      <c r="O348" s="274">
        <v>42191</v>
      </c>
      <c r="P348" s="272"/>
      <c r="Q348" s="274"/>
      <c r="R348" s="275"/>
      <c r="S348" s="274"/>
      <c r="T348" s="269">
        <v>10.56</v>
      </c>
      <c r="U348" s="276">
        <v>42200</v>
      </c>
      <c r="V348" s="275">
        <v>18.5</v>
      </c>
      <c r="W348" s="274">
        <v>42191</v>
      </c>
      <c r="X348" s="275"/>
      <c r="Y348" s="274"/>
      <c r="Z348" s="275"/>
      <c r="AA348" s="274"/>
      <c r="AB348" s="275"/>
      <c r="AC348" s="274"/>
      <c r="AD348" s="145">
        <f>(N348/V348)*(((100-CD348)/100)*((100-2)/100))*100</f>
        <v>19.792080000000002</v>
      </c>
      <c r="AE348" s="274"/>
      <c r="AF348" s="269">
        <v>22.63</v>
      </c>
      <c r="AG348" s="274">
        <v>42191</v>
      </c>
      <c r="AH348" s="274"/>
      <c r="AI348" s="274"/>
      <c r="AJ348" s="269">
        <v>115</v>
      </c>
      <c r="AK348" s="274"/>
      <c r="AL348" s="275"/>
      <c r="AM348" s="274"/>
      <c r="AN348" s="269">
        <v>102</v>
      </c>
      <c r="AO348" s="274"/>
      <c r="AP348" s="275"/>
      <c r="AQ348" s="275"/>
      <c r="AR348" s="275"/>
      <c r="AS348" s="275"/>
      <c r="AT348" s="275"/>
      <c r="AU348" s="275"/>
      <c r="AV348" s="275"/>
      <c r="AW348" s="275"/>
      <c r="AX348" s="275"/>
      <c r="AY348" s="275"/>
      <c r="AZ348" s="275"/>
      <c r="BA348" s="275"/>
      <c r="BB348" s="269">
        <v>7</v>
      </c>
      <c r="BC348" s="275"/>
      <c r="BD348" s="275"/>
      <c r="BE348" s="275"/>
      <c r="BF348" s="272"/>
      <c r="BG348" s="272"/>
      <c r="BH348" s="272"/>
      <c r="BI348" s="272"/>
      <c r="BJ348" s="272"/>
      <c r="BK348" s="272"/>
      <c r="BL348" s="272"/>
      <c r="BM348" s="272"/>
      <c r="BN348" s="284">
        <v>61.024999999999999</v>
      </c>
      <c r="BO348" s="276">
        <v>42200</v>
      </c>
      <c r="BP348" s="272"/>
      <c r="BQ348" s="272"/>
      <c r="BR348" s="272"/>
      <c r="BS348" s="272"/>
      <c r="BT348" s="284">
        <v>46.66</v>
      </c>
      <c r="BU348" s="276">
        <v>42200</v>
      </c>
      <c r="BV348" s="284">
        <v>21.443401336669922</v>
      </c>
      <c r="BW348" s="276">
        <v>42200</v>
      </c>
      <c r="BX348" s="284">
        <v>63.753</v>
      </c>
      <c r="BY348" s="276">
        <v>42200</v>
      </c>
      <c r="BZ348" s="272"/>
      <c r="CA348" s="272"/>
      <c r="CB348" s="272"/>
      <c r="CC348" s="272"/>
      <c r="CD348" s="269">
        <v>8.1999999999999993</v>
      </c>
      <c r="CE348" s="274">
        <v>42191</v>
      </c>
      <c r="CF348" s="272"/>
      <c r="CG348" s="272"/>
      <c r="CH348" s="272"/>
      <c r="CI348" s="272"/>
      <c r="CJ348" s="272"/>
      <c r="CK348" s="272"/>
      <c r="CL348" s="272"/>
      <c r="CM348" s="278">
        <v>7</v>
      </c>
      <c r="CN348" s="276">
        <v>42180</v>
      </c>
      <c r="CO348" s="272" t="s">
        <v>8447</v>
      </c>
    </row>
    <row r="349" spans="1:93" ht="15">
      <c r="A349" s="124" t="s">
        <v>7621</v>
      </c>
      <c r="B349" s="161" t="s">
        <v>262</v>
      </c>
      <c r="C349" s="268" t="s">
        <v>269</v>
      </c>
      <c r="D349" s="243">
        <v>2</v>
      </c>
      <c r="E349" s="183">
        <v>35</v>
      </c>
      <c r="F349" s="244">
        <v>11</v>
      </c>
      <c r="G349" s="245">
        <v>20</v>
      </c>
      <c r="L349" s="254">
        <v>7</v>
      </c>
      <c r="N349" s="246">
        <v>4</v>
      </c>
      <c r="O349" s="159">
        <v>42191</v>
      </c>
      <c r="T349" s="247">
        <v>12.1</v>
      </c>
      <c r="U349" s="256">
        <v>42200</v>
      </c>
      <c r="V349" s="145">
        <v>18.5</v>
      </c>
      <c r="W349" s="159">
        <v>42191</v>
      </c>
      <c r="AD349" s="145">
        <f>(N349/V349)*(((100-CD349)/100)*((100-2)/100))*100</f>
        <v>19.811891891891893</v>
      </c>
      <c r="AF349" s="248">
        <f>(N349/V349)*(((100-CD349)/(100-9))*100)</f>
        <v>22.215622215622215</v>
      </c>
      <c r="AG349" s="159">
        <v>42191</v>
      </c>
      <c r="AJ349" s="249">
        <v>120</v>
      </c>
      <c r="AN349" s="250">
        <v>101</v>
      </c>
      <c r="BB349" s="257">
        <v>7</v>
      </c>
      <c r="BN349" s="251">
        <v>61.631999999999998</v>
      </c>
      <c r="BO349" s="256">
        <v>42200</v>
      </c>
      <c r="BT349" s="251">
        <v>53.40509033203125</v>
      </c>
      <c r="BU349" s="256">
        <v>42200</v>
      </c>
      <c r="BV349" s="251">
        <v>16.515432357788086</v>
      </c>
      <c r="BW349" s="256">
        <v>42200</v>
      </c>
      <c r="BX349" s="251">
        <v>50.2</v>
      </c>
      <c r="BY349" s="256">
        <v>42200</v>
      </c>
      <c r="CD349" s="253">
        <v>6.5</v>
      </c>
      <c r="CE349" s="159">
        <v>42191</v>
      </c>
      <c r="CM349" s="255">
        <v>1</v>
      </c>
      <c r="CN349" s="256">
        <v>42180</v>
      </c>
      <c r="CO349" s="140" t="s">
        <v>8448</v>
      </c>
    </row>
    <row r="350" spans="1:93" ht="15">
      <c r="A350" s="124" t="s">
        <v>7730</v>
      </c>
      <c r="B350" s="161" t="s">
        <v>8247</v>
      </c>
      <c r="C350" s="268" t="s">
        <v>267</v>
      </c>
      <c r="D350" s="243">
        <v>3</v>
      </c>
      <c r="E350" s="183">
        <v>144</v>
      </c>
      <c r="F350" s="244">
        <v>15</v>
      </c>
      <c r="G350" s="245">
        <v>7</v>
      </c>
      <c r="L350" s="254">
        <v>7</v>
      </c>
      <c r="N350" s="246">
        <v>4.05</v>
      </c>
      <c r="O350" s="159">
        <v>42191</v>
      </c>
      <c r="T350" s="247">
        <v>11.07</v>
      </c>
      <c r="U350" s="256">
        <v>42200</v>
      </c>
      <c r="V350" s="145">
        <v>18.5</v>
      </c>
      <c r="W350" s="159">
        <v>42191</v>
      </c>
      <c r="AD350" s="145">
        <f>(N350/V350)*(((100-CD350)/100)*((100-2)/100))*100</f>
        <v>19.823545945945945</v>
      </c>
      <c r="AF350" s="248">
        <v>22.66</v>
      </c>
      <c r="AG350" s="159">
        <v>42191</v>
      </c>
      <c r="AJ350" s="249">
        <v>115</v>
      </c>
      <c r="AN350" s="250">
        <v>105</v>
      </c>
      <c r="BB350" s="257">
        <v>7</v>
      </c>
      <c r="BN350" s="251">
        <v>62.63</v>
      </c>
      <c r="BO350" s="256">
        <v>42200</v>
      </c>
      <c r="BT350" s="251">
        <v>48.846916198730469</v>
      </c>
      <c r="BU350" s="256">
        <v>42200</v>
      </c>
      <c r="BV350" s="251">
        <v>18.814426422119141</v>
      </c>
      <c r="BW350" s="256">
        <v>42200</v>
      </c>
      <c r="BX350" s="251">
        <v>16.960999999999999</v>
      </c>
      <c r="BY350" s="256">
        <v>42200</v>
      </c>
      <c r="CD350" s="253">
        <v>7.6</v>
      </c>
      <c r="CE350" s="159">
        <v>42191</v>
      </c>
      <c r="CM350" s="255">
        <v>3</v>
      </c>
      <c r="CN350" s="256">
        <v>42180</v>
      </c>
      <c r="CO350" s="140" t="s">
        <v>8447</v>
      </c>
    </row>
    <row r="351" spans="1:93" ht="15">
      <c r="A351" s="124" t="s">
        <v>7593</v>
      </c>
      <c r="B351" s="161" t="s">
        <v>7451</v>
      </c>
      <c r="C351" s="268" t="s">
        <v>267</v>
      </c>
      <c r="D351" s="243">
        <v>3</v>
      </c>
      <c r="E351" s="183">
        <v>7</v>
      </c>
      <c r="F351" s="244">
        <v>13</v>
      </c>
      <c r="G351" s="245">
        <v>32</v>
      </c>
      <c r="J351" s="266"/>
      <c r="L351" s="254">
        <v>9</v>
      </c>
      <c r="N351" s="246">
        <v>4.0199999999999996</v>
      </c>
      <c r="O351" s="159">
        <v>42191</v>
      </c>
      <c r="P351" s="144"/>
      <c r="R351" s="145"/>
      <c r="T351" s="247">
        <v>11.69</v>
      </c>
      <c r="U351" s="256">
        <v>42200</v>
      </c>
      <c r="V351" s="145">
        <v>18.5</v>
      </c>
      <c r="W351" s="159">
        <v>42191</v>
      </c>
      <c r="X351" s="145"/>
      <c r="Z351" s="145"/>
      <c r="AB351" s="145"/>
      <c r="AD351" s="145">
        <f>(N351/V351)*(((100-CD351)/100)*((100-2)/100))*100</f>
        <v>19.847065945945943</v>
      </c>
      <c r="AF351" s="248">
        <v>22.69</v>
      </c>
      <c r="AG351" s="159">
        <v>42191</v>
      </c>
      <c r="AJ351" s="249">
        <v>120</v>
      </c>
      <c r="AL351" s="145"/>
      <c r="AN351" s="250">
        <v>102</v>
      </c>
      <c r="BB351" s="257">
        <v>5</v>
      </c>
      <c r="BN351" s="251">
        <v>66.421000000000006</v>
      </c>
      <c r="BO351" s="256">
        <v>42200</v>
      </c>
      <c r="BT351" s="251">
        <v>51.533897399902344</v>
      </c>
      <c r="BU351" s="256">
        <v>42200</v>
      </c>
      <c r="BV351" s="251">
        <v>18.30824089050293</v>
      </c>
      <c r="BW351" s="256">
        <v>42200</v>
      </c>
      <c r="BX351" s="251">
        <v>59.529000000000003</v>
      </c>
      <c r="BY351" s="256">
        <v>42200</v>
      </c>
      <c r="CD351" s="253">
        <v>6.8</v>
      </c>
      <c r="CE351" s="159">
        <v>42191</v>
      </c>
      <c r="CM351" s="255">
        <v>3</v>
      </c>
      <c r="CN351" s="256">
        <v>42180</v>
      </c>
      <c r="CO351" s="140" t="s">
        <v>8447</v>
      </c>
    </row>
    <row r="352" spans="1:93" ht="15" customHeight="1">
      <c r="A352" s="124" t="s">
        <v>7615</v>
      </c>
      <c r="B352" s="161" t="s">
        <v>7469</v>
      </c>
      <c r="C352" s="268" t="s">
        <v>269</v>
      </c>
      <c r="D352" s="257">
        <v>1</v>
      </c>
      <c r="E352" s="183">
        <v>29</v>
      </c>
      <c r="F352" s="257">
        <v>1</v>
      </c>
      <c r="G352" s="257">
        <v>32</v>
      </c>
      <c r="L352" s="257">
        <v>8</v>
      </c>
      <c r="N352" s="257">
        <v>4.0199999999999996</v>
      </c>
      <c r="O352" s="159">
        <v>42191</v>
      </c>
      <c r="T352" s="257">
        <v>11.34</v>
      </c>
      <c r="U352" s="256">
        <v>42200</v>
      </c>
      <c r="V352" s="145">
        <v>18.5</v>
      </c>
      <c r="W352" s="159">
        <v>42191</v>
      </c>
      <c r="AD352" s="145">
        <f>(N352/V352)*(((100-CD352)/100)*((100-2)/100))*100</f>
        <v>19.889656216216213</v>
      </c>
      <c r="AF352" s="257">
        <f>(N352/V352)*(((100-CD352)/(100-9))*100)</f>
        <v>22.302821502821505</v>
      </c>
      <c r="AG352" s="159">
        <v>42191</v>
      </c>
      <c r="AJ352" s="257">
        <v>160</v>
      </c>
      <c r="AN352" s="257">
        <v>99</v>
      </c>
      <c r="BB352" s="257">
        <v>5</v>
      </c>
      <c r="BN352" s="251">
        <v>61.203000000000003</v>
      </c>
      <c r="BO352" s="256">
        <v>42200</v>
      </c>
      <c r="BT352" s="251">
        <v>49.877182006835938</v>
      </c>
      <c r="BU352" s="256">
        <v>42200</v>
      </c>
      <c r="BV352" s="251">
        <v>19.321538925170898</v>
      </c>
      <c r="BW352" s="256">
        <v>42200</v>
      </c>
      <c r="BX352" s="251">
        <v>66.974000000000004</v>
      </c>
      <c r="BY352" s="256">
        <v>42200</v>
      </c>
      <c r="CD352" s="257">
        <v>6.6</v>
      </c>
      <c r="CE352" s="159">
        <v>42191</v>
      </c>
      <c r="CM352" s="255">
        <v>1</v>
      </c>
      <c r="CN352" s="256">
        <v>42180</v>
      </c>
      <c r="CO352" s="140" t="s">
        <v>8447</v>
      </c>
    </row>
    <row r="353" spans="1:93" ht="15">
      <c r="A353" s="124" t="s">
        <v>7624</v>
      </c>
      <c r="B353" s="161" t="s">
        <v>7477</v>
      </c>
      <c r="C353" s="268" t="s">
        <v>267</v>
      </c>
      <c r="D353" s="243">
        <v>4</v>
      </c>
      <c r="E353" s="183">
        <v>38</v>
      </c>
      <c r="F353" s="244">
        <v>21</v>
      </c>
      <c r="G353" s="245">
        <v>31</v>
      </c>
      <c r="L353" s="254">
        <v>9</v>
      </c>
      <c r="N353" s="246">
        <v>4.0599999999999996</v>
      </c>
      <c r="O353" s="159">
        <v>42191</v>
      </c>
      <c r="T353" s="247">
        <v>11.25</v>
      </c>
      <c r="U353" s="256">
        <v>42200</v>
      </c>
      <c r="V353" s="145">
        <v>18.5</v>
      </c>
      <c r="W353" s="159">
        <v>42191</v>
      </c>
      <c r="AD353" s="145">
        <f>(N353/V353)*(((100-CD353)/100)*((100-2)/100))*100</f>
        <v>19.915507027027026</v>
      </c>
      <c r="AF353" s="248">
        <v>22.77</v>
      </c>
      <c r="AG353" s="159">
        <v>42191</v>
      </c>
      <c r="AJ353" s="249">
        <v>115</v>
      </c>
      <c r="AN353" s="250">
        <v>104</v>
      </c>
      <c r="BB353" s="257">
        <v>7</v>
      </c>
      <c r="BN353" s="251">
        <v>64.039000000000001</v>
      </c>
      <c r="BO353" s="256">
        <v>42200</v>
      </c>
      <c r="BT353" s="251">
        <v>49.424209594726563</v>
      </c>
      <c r="BU353" s="256">
        <v>42200</v>
      </c>
      <c r="BV353" s="251">
        <v>18.556619644165039</v>
      </c>
      <c r="BW353" s="256">
        <v>42200</v>
      </c>
      <c r="BX353" s="251">
        <v>50.555999999999997</v>
      </c>
      <c r="BY353" s="256">
        <v>42200</v>
      </c>
      <c r="CD353" s="253">
        <v>7.4</v>
      </c>
      <c r="CE353" s="159">
        <v>42191</v>
      </c>
      <c r="CM353" s="255">
        <v>3</v>
      </c>
      <c r="CN353" s="256">
        <v>42180</v>
      </c>
      <c r="CO353" s="140" t="s">
        <v>8447</v>
      </c>
    </row>
    <row r="354" spans="1:93" ht="15">
      <c r="A354" s="124" t="s">
        <v>7646</v>
      </c>
      <c r="B354" s="161" t="s">
        <v>263</v>
      </c>
      <c r="C354" s="268" t="s">
        <v>269</v>
      </c>
      <c r="D354" s="243">
        <v>1</v>
      </c>
      <c r="E354" s="183">
        <v>60</v>
      </c>
      <c r="F354" s="244">
        <v>4</v>
      </c>
      <c r="G354" s="245">
        <v>11</v>
      </c>
      <c r="L354" s="254">
        <v>5</v>
      </c>
      <c r="N354" s="246">
        <v>4.0599999999999996</v>
      </c>
      <c r="O354" s="159">
        <v>42191</v>
      </c>
      <c r="T354" s="247">
        <v>11.34</v>
      </c>
      <c r="U354" s="256">
        <v>42200</v>
      </c>
      <c r="V354" s="145">
        <v>18.5</v>
      </c>
      <c r="W354" s="159">
        <v>42191</v>
      </c>
      <c r="AD354" s="145">
        <f>(N354/V354)*(((100-CD354)/100)*((100-2)/100))*100</f>
        <v>19.915507027027026</v>
      </c>
      <c r="AF354" s="248">
        <v>22.77</v>
      </c>
      <c r="AG354" s="159">
        <v>42191</v>
      </c>
      <c r="AJ354" s="249">
        <v>150</v>
      </c>
      <c r="AN354" s="250">
        <v>108</v>
      </c>
      <c r="BB354" s="257">
        <v>7</v>
      </c>
      <c r="BN354" s="251">
        <v>70.796999999999997</v>
      </c>
      <c r="BO354" s="256">
        <v>42200</v>
      </c>
      <c r="BT354" s="251">
        <v>49.801345825195313</v>
      </c>
      <c r="BU354" s="256">
        <v>42200</v>
      </c>
      <c r="BV354" s="251">
        <v>18.717082977294922</v>
      </c>
      <c r="BW354" s="256">
        <v>42200</v>
      </c>
      <c r="BX354" s="251">
        <v>20.263999999999999</v>
      </c>
      <c r="BY354" s="256">
        <v>42200</v>
      </c>
      <c r="CD354" s="253">
        <v>7.4</v>
      </c>
      <c r="CE354" s="159">
        <v>42191</v>
      </c>
      <c r="CM354" s="255">
        <v>3</v>
      </c>
      <c r="CN354" s="256">
        <v>42180</v>
      </c>
      <c r="CO354" s="140" t="s">
        <v>8447</v>
      </c>
    </row>
    <row r="355" spans="1:93" ht="15">
      <c r="A355" s="124" t="s">
        <v>7618</v>
      </c>
      <c r="B355" s="161" t="s">
        <v>7472</v>
      </c>
      <c r="C355" s="268" t="s">
        <v>269</v>
      </c>
      <c r="D355" s="243">
        <v>1</v>
      </c>
      <c r="E355" s="183">
        <v>32</v>
      </c>
      <c r="F355" s="244">
        <v>3</v>
      </c>
      <c r="G355" s="245">
        <v>22</v>
      </c>
      <c r="L355" s="254">
        <v>6</v>
      </c>
      <c r="N355" s="246">
        <v>4.03</v>
      </c>
      <c r="O355" s="159">
        <v>42191</v>
      </c>
      <c r="T355" s="247">
        <v>10.57</v>
      </c>
      <c r="U355" s="256">
        <v>42200</v>
      </c>
      <c r="V355" s="145">
        <v>18.5</v>
      </c>
      <c r="W355" s="159">
        <v>42191</v>
      </c>
      <c r="AD355" s="145">
        <f>(N355/V355)*(((100-CD355)/100)*((100-2)/100))*100</f>
        <v>19.939132972972974</v>
      </c>
      <c r="AF355" s="248">
        <v>22.79</v>
      </c>
      <c r="AG355" s="159">
        <v>42191</v>
      </c>
      <c r="AJ355" s="249">
        <v>170</v>
      </c>
      <c r="AN355" s="250">
        <v>103</v>
      </c>
      <c r="BB355" s="257">
        <v>7</v>
      </c>
      <c r="BN355" s="251">
        <v>58.776000000000003</v>
      </c>
      <c r="BO355" s="256">
        <v>42200</v>
      </c>
      <c r="BT355" s="251">
        <v>46.381523132324219</v>
      </c>
      <c r="BU355" s="256">
        <v>42200</v>
      </c>
      <c r="BV355" s="251">
        <v>20.796342849731445</v>
      </c>
      <c r="BW355" s="256">
        <v>42200</v>
      </c>
      <c r="BX355" s="251">
        <v>20.329999999999998</v>
      </c>
      <c r="BY355" s="256">
        <v>42200</v>
      </c>
      <c r="CD355" s="253">
        <v>6.6</v>
      </c>
      <c r="CE355" s="159">
        <v>42191</v>
      </c>
      <c r="CM355" s="255">
        <v>3</v>
      </c>
      <c r="CN355" s="256">
        <v>42180</v>
      </c>
      <c r="CO355" s="140" t="s">
        <v>8447</v>
      </c>
    </row>
    <row r="356" spans="1:93" ht="15" customHeight="1">
      <c r="A356" s="124" t="s">
        <v>7640</v>
      </c>
      <c r="B356" s="161" t="s">
        <v>7492</v>
      </c>
      <c r="C356" s="268" t="s">
        <v>267</v>
      </c>
      <c r="D356" s="257">
        <v>3</v>
      </c>
      <c r="E356" s="183">
        <v>54</v>
      </c>
      <c r="F356" s="257">
        <v>14</v>
      </c>
      <c r="G356" s="257">
        <v>28</v>
      </c>
      <c r="L356" s="257">
        <v>6</v>
      </c>
      <c r="N356" s="257">
        <v>4.05</v>
      </c>
      <c r="O356" s="159">
        <v>42191</v>
      </c>
      <c r="T356" s="257">
        <v>11.11</v>
      </c>
      <c r="U356" s="256">
        <v>42200</v>
      </c>
      <c r="V356" s="145">
        <v>18.5</v>
      </c>
      <c r="W356" s="159">
        <v>42191</v>
      </c>
      <c r="AD356" s="145">
        <f>(N356/V356)*(((100-CD356)/100)*((100-2)/100))*100</f>
        <v>19.952270270270269</v>
      </c>
      <c r="AF356" s="257">
        <v>22.81</v>
      </c>
      <c r="AG356" s="159">
        <v>42191</v>
      </c>
      <c r="AJ356" s="257">
        <v>90</v>
      </c>
      <c r="AN356" s="257">
        <v>106</v>
      </c>
      <c r="BB356" s="257">
        <v>5</v>
      </c>
      <c r="BN356" s="251">
        <v>62.649000000000001</v>
      </c>
      <c r="BO356" s="256">
        <v>42200</v>
      </c>
      <c r="BT356" s="251">
        <v>48.711868286132813</v>
      </c>
      <c r="BU356" s="256">
        <v>42200</v>
      </c>
      <c r="BV356" s="251">
        <v>18.382583618164063</v>
      </c>
      <c r="BW356" s="256">
        <v>42200</v>
      </c>
      <c r="BX356" s="251">
        <v>20.385999999999999</v>
      </c>
      <c r="BY356" s="256">
        <v>42200</v>
      </c>
      <c r="CD356" s="257">
        <v>7</v>
      </c>
      <c r="CE356" s="159">
        <v>42191</v>
      </c>
      <c r="CM356" s="255">
        <v>5</v>
      </c>
      <c r="CN356" s="256">
        <v>42180</v>
      </c>
      <c r="CO356" s="140" t="s">
        <v>8447</v>
      </c>
    </row>
    <row r="357" spans="1:93" ht="15">
      <c r="A357" s="124" t="s">
        <v>7626</v>
      </c>
      <c r="B357" s="161" t="s">
        <v>7479</v>
      </c>
      <c r="C357" s="268" t="s">
        <v>267</v>
      </c>
      <c r="D357" s="243">
        <v>3</v>
      </c>
      <c r="E357" s="183">
        <v>40</v>
      </c>
      <c r="F357" s="244">
        <v>13</v>
      </c>
      <c r="G357" s="245">
        <v>24</v>
      </c>
      <c r="L357" s="254">
        <v>7</v>
      </c>
      <c r="N357" s="246">
        <v>4.08</v>
      </c>
      <c r="O357" s="159">
        <v>42191</v>
      </c>
      <c r="T357" s="247">
        <v>11.35</v>
      </c>
      <c r="U357" s="256">
        <v>42200</v>
      </c>
      <c r="V357" s="145">
        <v>18.5</v>
      </c>
      <c r="W357" s="159">
        <v>42191</v>
      </c>
      <c r="AD357" s="145">
        <f>(N357/V357)*(((100-CD357)/100)*((100-2)/100))*100</f>
        <v>20.035225945945946</v>
      </c>
      <c r="AF357" s="248">
        <v>22.9</v>
      </c>
      <c r="AG357" s="159">
        <v>42191</v>
      </c>
      <c r="AJ357" s="249">
        <v>130</v>
      </c>
      <c r="AN357" s="250">
        <v>105</v>
      </c>
      <c r="BB357" s="257">
        <v>7</v>
      </c>
      <c r="BN357" s="251">
        <v>62.718000000000004</v>
      </c>
      <c r="BO357" s="256">
        <v>42200</v>
      </c>
      <c r="BT357" s="251">
        <v>49.553382873535156</v>
      </c>
      <c r="BU357" s="256">
        <v>42200</v>
      </c>
      <c r="BV357" s="251">
        <v>17.547767639160156</v>
      </c>
      <c r="BW357" s="256">
        <v>42200</v>
      </c>
      <c r="BX357" s="251">
        <v>20.015999999999998</v>
      </c>
      <c r="BY357" s="256">
        <v>42200</v>
      </c>
      <c r="CD357" s="253">
        <v>7.3</v>
      </c>
      <c r="CE357" s="159">
        <v>42191</v>
      </c>
      <c r="CM357" s="255">
        <v>3</v>
      </c>
      <c r="CN357" s="256">
        <v>42180</v>
      </c>
      <c r="CO357" s="140" t="s">
        <v>8447</v>
      </c>
    </row>
    <row r="358" spans="1:93" ht="15">
      <c r="A358" s="124" t="s">
        <v>7524</v>
      </c>
      <c r="B358" s="161" t="s">
        <v>7524</v>
      </c>
      <c r="C358" s="268" t="s">
        <v>267</v>
      </c>
      <c r="D358" s="243">
        <v>3</v>
      </c>
      <c r="E358" s="191">
        <v>185</v>
      </c>
      <c r="F358" s="244">
        <v>14</v>
      </c>
      <c r="G358" s="245">
        <v>14</v>
      </c>
      <c r="L358" s="254">
        <v>5</v>
      </c>
      <c r="N358" s="246">
        <v>4.0999999999999996</v>
      </c>
      <c r="O358" s="159">
        <v>42191</v>
      </c>
      <c r="T358" s="247">
        <v>11.39</v>
      </c>
      <c r="U358" s="256">
        <v>42200</v>
      </c>
      <c r="V358" s="145">
        <v>18.5</v>
      </c>
      <c r="W358" s="159">
        <v>42191</v>
      </c>
      <c r="AD358" s="145">
        <f>(N358/V358)*(((100-CD358)/100)*((100-2)/100))*100</f>
        <v>20.068281081081079</v>
      </c>
      <c r="AF358" s="248">
        <v>22.94</v>
      </c>
      <c r="AG358" s="159">
        <v>42191</v>
      </c>
      <c r="AJ358" s="249">
        <v>115</v>
      </c>
      <c r="AN358" s="250">
        <v>100</v>
      </c>
      <c r="BB358" s="257">
        <v>9</v>
      </c>
      <c r="BN358" s="251">
        <v>64.06</v>
      </c>
      <c r="BO358" s="256">
        <v>42200</v>
      </c>
      <c r="BT358" s="251">
        <v>49.639003753662109</v>
      </c>
      <c r="BU358" s="256">
        <v>42200</v>
      </c>
      <c r="BV358" s="251">
        <v>18.755311965942383</v>
      </c>
      <c r="BW358" s="256">
        <v>42200</v>
      </c>
      <c r="BX358" s="251">
        <v>12.725</v>
      </c>
      <c r="BY358" s="256">
        <v>42200</v>
      </c>
      <c r="CD358" s="253">
        <v>7.6</v>
      </c>
      <c r="CE358" s="159">
        <v>42191</v>
      </c>
      <c r="CM358" s="255">
        <v>3</v>
      </c>
      <c r="CN358" s="256">
        <v>42180</v>
      </c>
      <c r="CO358" s="140" t="s">
        <v>8447</v>
      </c>
    </row>
    <row r="359" spans="1:93" ht="15">
      <c r="A359" s="124" t="s">
        <v>7644</v>
      </c>
      <c r="B359" s="161" t="s">
        <v>7496</v>
      </c>
      <c r="C359" s="268" t="s">
        <v>267</v>
      </c>
      <c r="D359" s="243">
        <v>3</v>
      </c>
      <c r="E359" s="183">
        <v>58</v>
      </c>
      <c r="F359" s="244">
        <v>17</v>
      </c>
      <c r="G359" s="245">
        <v>3</v>
      </c>
      <c r="L359" s="254">
        <v>5</v>
      </c>
      <c r="N359" s="246">
        <v>4.21</v>
      </c>
      <c r="O359" s="159">
        <v>42191</v>
      </c>
      <c r="T359" s="247">
        <v>11.43</v>
      </c>
      <c r="U359" s="256">
        <v>42200</v>
      </c>
      <c r="V359" s="145">
        <v>18.5</v>
      </c>
      <c r="W359" s="159">
        <v>42191</v>
      </c>
      <c r="AD359" s="145">
        <f>(N359/V359)*(((100-CD359)/100)*((100-2)/100))*100</f>
        <v>20.071459459459458</v>
      </c>
      <c r="AF359" s="248">
        <v>22.94</v>
      </c>
      <c r="AG359" s="159">
        <v>42191</v>
      </c>
      <c r="AJ359" s="249">
        <v>90</v>
      </c>
      <c r="AN359" s="250">
        <v>106</v>
      </c>
      <c r="BB359" s="257">
        <v>7</v>
      </c>
      <c r="BN359" s="251">
        <v>62.655999999999999</v>
      </c>
      <c r="BO359" s="256">
        <v>42200</v>
      </c>
      <c r="BT359" s="251">
        <v>49.844650268554687</v>
      </c>
      <c r="BU359" s="256">
        <v>42200</v>
      </c>
      <c r="BV359" s="251">
        <v>17.81378173828125</v>
      </c>
      <c r="BW359" s="256">
        <v>42200</v>
      </c>
      <c r="BX359" s="251">
        <v>22.173999999999999</v>
      </c>
      <c r="BY359" s="256">
        <v>42200</v>
      </c>
      <c r="CD359" s="253">
        <v>10</v>
      </c>
      <c r="CE359" s="159">
        <v>42191</v>
      </c>
      <c r="CM359" s="255">
        <v>5</v>
      </c>
      <c r="CN359" s="256">
        <v>42180</v>
      </c>
      <c r="CO359" s="140" t="s">
        <v>8447</v>
      </c>
    </row>
    <row r="360" spans="1:93" ht="15">
      <c r="A360" s="124" t="s">
        <v>8329</v>
      </c>
      <c r="B360" s="161" t="s">
        <v>8329</v>
      </c>
      <c r="C360" s="268" t="s">
        <v>269</v>
      </c>
      <c r="D360" s="243">
        <v>2</v>
      </c>
      <c r="E360" s="191">
        <v>191</v>
      </c>
      <c r="F360" s="244">
        <v>11</v>
      </c>
      <c r="G360" s="245">
        <v>5</v>
      </c>
      <c r="L360" s="254">
        <v>5</v>
      </c>
      <c r="N360" s="246">
        <v>4.07</v>
      </c>
      <c r="O360" s="159">
        <v>42191</v>
      </c>
      <c r="T360" s="247">
        <v>12.35</v>
      </c>
      <c r="U360" s="256">
        <v>42200</v>
      </c>
      <c r="V360" s="145">
        <v>18.5</v>
      </c>
      <c r="W360" s="159">
        <v>42191</v>
      </c>
      <c r="AD360" s="145">
        <f>(N360/V360)*(((100-CD360)/100)*((100-2)/100))*100</f>
        <v>20.115480000000002</v>
      </c>
      <c r="AF360" s="248">
        <v>22.99</v>
      </c>
      <c r="AG360" s="159">
        <v>42191</v>
      </c>
      <c r="AJ360" s="249">
        <v>130</v>
      </c>
      <c r="AN360" s="250">
        <v>100</v>
      </c>
      <c r="BB360" s="257">
        <v>7</v>
      </c>
      <c r="BN360" s="251">
        <v>64.313999999999993</v>
      </c>
      <c r="BO360" s="256">
        <v>42200</v>
      </c>
      <c r="BT360" s="251">
        <v>53.71514892578125</v>
      </c>
      <c r="BU360" s="256">
        <v>42200</v>
      </c>
      <c r="BV360" s="251">
        <v>15.158658981323242</v>
      </c>
      <c r="BW360" s="256">
        <v>42200</v>
      </c>
      <c r="BX360" s="251">
        <v>18.798999999999999</v>
      </c>
      <c r="BY360" s="256">
        <v>42200</v>
      </c>
      <c r="CD360" s="253">
        <v>6.7</v>
      </c>
      <c r="CE360" s="159">
        <v>42191</v>
      </c>
      <c r="CM360" s="255">
        <v>3</v>
      </c>
      <c r="CN360" s="256">
        <v>42180</v>
      </c>
      <c r="CO360" s="140" t="s">
        <v>8448</v>
      </c>
    </row>
    <row r="361" spans="1:93" ht="15">
      <c r="A361" s="124" t="s">
        <v>7754</v>
      </c>
      <c r="B361" s="161" t="s">
        <v>7578</v>
      </c>
      <c r="C361" s="268" t="s">
        <v>269</v>
      </c>
      <c r="D361" s="243">
        <v>2</v>
      </c>
      <c r="E361" s="183">
        <v>168</v>
      </c>
      <c r="F361" s="244">
        <v>9</v>
      </c>
      <c r="G361" s="245">
        <v>31</v>
      </c>
      <c r="L361" s="254">
        <v>6</v>
      </c>
      <c r="N361" s="246">
        <v>4.08</v>
      </c>
      <c r="O361" s="159">
        <v>42191</v>
      </c>
      <c r="T361" s="247">
        <v>11.44</v>
      </c>
      <c r="U361" s="256">
        <v>42200</v>
      </c>
      <c r="V361" s="145">
        <v>18.5</v>
      </c>
      <c r="W361" s="159">
        <v>42191</v>
      </c>
      <c r="AD361" s="145">
        <f>(N361/V361)*(((100-CD361)/100)*((100-2)/100))*100</f>
        <v>20.121677837837836</v>
      </c>
      <c r="AF361" s="248">
        <f>(N361/V361)*(((100-CD361)/(100-9))*100)</f>
        <v>22.562993762993759</v>
      </c>
      <c r="AG361" s="159">
        <v>42191</v>
      </c>
      <c r="AJ361" s="249">
        <v>120</v>
      </c>
      <c r="AN361" s="250">
        <v>102</v>
      </c>
      <c r="BB361" s="257">
        <v>7</v>
      </c>
      <c r="BN361" s="251">
        <v>64.694000000000003</v>
      </c>
      <c r="BO361" s="256">
        <v>42200</v>
      </c>
      <c r="BT361" s="251">
        <v>49.75390625</v>
      </c>
      <c r="BU361" s="256">
        <v>42200</v>
      </c>
      <c r="BV361" s="251">
        <v>18.582311630249023</v>
      </c>
      <c r="BW361" s="256">
        <v>42200</v>
      </c>
      <c r="BX361" s="251">
        <v>18.02</v>
      </c>
      <c r="BY361" s="256">
        <v>42200</v>
      </c>
      <c r="CD361" s="253">
        <v>6.9</v>
      </c>
      <c r="CE361" s="159">
        <v>42191</v>
      </c>
      <c r="CM361" s="255">
        <v>1</v>
      </c>
      <c r="CN361" s="256">
        <v>42180</v>
      </c>
      <c r="CO361" s="140" t="s">
        <v>8448</v>
      </c>
    </row>
    <row r="362" spans="1:93" ht="15">
      <c r="A362" s="124" t="s">
        <v>7594</v>
      </c>
      <c r="B362" s="161" t="s">
        <v>7452</v>
      </c>
      <c r="C362" s="268" t="s">
        <v>267</v>
      </c>
      <c r="D362" s="243">
        <v>3</v>
      </c>
      <c r="E362" s="183">
        <v>8</v>
      </c>
      <c r="F362" s="244">
        <v>15</v>
      </c>
      <c r="G362" s="245">
        <v>21</v>
      </c>
      <c r="J362" s="266"/>
      <c r="L362" s="254">
        <v>9</v>
      </c>
      <c r="N362" s="246">
        <v>4.08</v>
      </c>
      <c r="O362" s="159">
        <v>42191</v>
      </c>
      <c r="P362" s="144"/>
      <c r="R362" s="145"/>
      <c r="T362" s="247">
        <v>11.72</v>
      </c>
      <c r="U362" s="256">
        <v>42200</v>
      </c>
      <c r="V362" s="145">
        <v>18.5</v>
      </c>
      <c r="W362" s="159">
        <v>42191</v>
      </c>
      <c r="X362" s="145"/>
      <c r="Z362" s="145"/>
      <c r="AB362" s="145"/>
      <c r="AD362" s="145">
        <f>(N362/V362)*(((100-CD362)/100)*((100-2)/100))*100</f>
        <v>20.121677837837836</v>
      </c>
      <c r="AF362" s="248">
        <v>23</v>
      </c>
      <c r="AG362" s="159">
        <v>42191</v>
      </c>
      <c r="AJ362" s="249">
        <v>120</v>
      </c>
      <c r="AL362" s="145"/>
      <c r="AN362" s="250">
        <v>108</v>
      </c>
      <c r="BB362" s="257">
        <v>9</v>
      </c>
      <c r="BN362" s="251">
        <v>65.415000000000006</v>
      </c>
      <c r="BO362" s="256">
        <v>42200</v>
      </c>
      <c r="BT362" s="251">
        <v>50.954032897949219</v>
      </c>
      <c r="BU362" s="256">
        <v>42200</v>
      </c>
      <c r="BV362" s="251">
        <v>18.159502029418945</v>
      </c>
      <c r="BW362" s="256">
        <v>42200</v>
      </c>
      <c r="BX362" s="251">
        <v>51.664999999999999</v>
      </c>
      <c r="BY362" s="256">
        <v>42200</v>
      </c>
      <c r="CD362" s="253">
        <v>6.9</v>
      </c>
      <c r="CE362" s="159">
        <v>42191</v>
      </c>
      <c r="CM362" s="255">
        <v>5</v>
      </c>
      <c r="CN362" s="256">
        <v>42180</v>
      </c>
      <c r="CO362" s="140" t="s">
        <v>8447</v>
      </c>
    </row>
    <row r="363" spans="1:93" ht="15" customHeight="1">
      <c r="A363" s="124" t="s">
        <v>7709</v>
      </c>
      <c r="B363" s="161" t="s">
        <v>7548</v>
      </c>
      <c r="C363" s="268" t="s">
        <v>267</v>
      </c>
      <c r="D363" s="257">
        <v>4</v>
      </c>
      <c r="E363" s="183">
        <v>123</v>
      </c>
      <c r="F363" s="257">
        <v>21</v>
      </c>
      <c r="G363" s="257">
        <v>8</v>
      </c>
      <c r="L363" s="257">
        <v>9</v>
      </c>
      <c r="N363" s="257">
        <v>4.1500000000000004</v>
      </c>
      <c r="O363" s="159">
        <v>42191</v>
      </c>
      <c r="T363" s="257">
        <v>11.21</v>
      </c>
      <c r="U363" s="256">
        <v>42200</v>
      </c>
      <c r="V363" s="145">
        <v>18.5</v>
      </c>
      <c r="W363" s="159">
        <v>42191</v>
      </c>
      <c r="AD363" s="145">
        <f>(N363/V363)*(((100-CD363)/100)*((100-2)/100))*100</f>
        <v>20.137145945945946</v>
      </c>
      <c r="AF363" s="257">
        <v>23.02</v>
      </c>
      <c r="AG363" s="159">
        <v>42191</v>
      </c>
      <c r="AJ363" s="257">
        <v>125</v>
      </c>
      <c r="AN363" s="257">
        <v>107</v>
      </c>
      <c r="BB363" s="257">
        <v>7</v>
      </c>
      <c r="BN363" s="251">
        <v>62.241999999999997</v>
      </c>
      <c r="BO363" s="256">
        <v>42200</v>
      </c>
      <c r="BT363" s="251">
        <v>48.714908599853516</v>
      </c>
      <c r="BU363" s="256">
        <v>42200</v>
      </c>
      <c r="BV363" s="251">
        <v>19.187679290771484</v>
      </c>
      <c r="BW363" s="256">
        <v>42200</v>
      </c>
      <c r="BX363" s="251">
        <v>47.73</v>
      </c>
      <c r="BY363" s="256">
        <v>42200</v>
      </c>
      <c r="CD363" s="257">
        <v>8.4</v>
      </c>
      <c r="CE363" s="159">
        <v>42191</v>
      </c>
      <c r="CM363" s="255">
        <v>3</v>
      </c>
      <c r="CN363" s="256">
        <v>42180</v>
      </c>
      <c r="CO363" s="140" t="s">
        <v>8447</v>
      </c>
    </row>
    <row r="364" spans="1:93" ht="15" customHeight="1">
      <c r="A364" s="124" t="s">
        <v>7716</v>
      </c>
      <c r="B364" s="161" t="s">
        <v>7553</v>
      </c>
      <c r="C364" s="268" t="s">
        <v>269</v>
      </c>
      <c r="D364" s="257">
        <v>2</v>
      </c>
      <c r="E364" s="183">
        <v>130</v>
      </c>
      <c r="F364" s="257">
        <v>9</v>
      </c>
      <c r="G364" s="257">
        <v>17</v>
      </c>
      <c r="L364" s="257">
        <v>5</v>
      </c>
      <c r="N364" s="257">
        <v>4.09</v>
      </c>
      <c r="O364" s="159">
        <v>42191</v>
      </c>
      <c r="T364" s="257">
        <v>11.53</v>
      </c>
      <c r="U364" s="256">
        <v>42200</v>
      </c>
      <c r="V364" s="145">
        <v>18.5</v>
      </c>
      <c r="W364" s="159">
        <v>42191</v>
      </c>
      <c r="AD364" s="145">
        <f>(N364/V364)*(((100-CD364)/100)*((100-2)/100))*100</f>
        <v>20.149329729729729</v>
      </c>
      <c r="AF364" s="257">
        <f>(N364/V364)*(((100-CD364)/(100-9))*100)</f>
        <v>22.59400059400059</v>
      </c>
      <c r="AG364" s="159">
        <v>42191</v>
      </c>
      <c r="AJ364" s="257">
        <v>125</v>
      </c>
      <c r="AN364" s="257">
        <v>104</v>
      </c>
      <c r="BB364" s="257">
        <v>9</v>
      </c>
      <c r="BN364" s="251">
        <v>63.963000000000001</v>
      </c>
      <c r="BO364" s="256">
        <v>42200</v>
      </c>
      <c r="BT364" s="251">
        <v>50.062591552734375</v>
      </c>
      <c r="BU364" s="256">
        <v>42200</v>
      </c>
      <c r="BV364" s="251">
        <v>18.578239440917969</v>
      </c>
      <c r="BW364" s="256">
        <v>42200</v>
      </c>
      <c r="BX364" s="251">
        <v>25.972999999999999</v>
      </c>
      <c r="BY364" s="256">
        <v>42200</v>
      </c>
      <c r="CD364" s="257">
        <v>7</v>
      </c>
      <c r="CE364" s="159">
        <v>42191</v>
      </c>
      <c r="CM364" s="255">
        <v>1</v>
      </c>
      <c r="CN364" s="256">
        <v>42180</v>
      </c>
      <c r="CO364" s="140" t="s">
        <v>8448</v>
      </c>
    </row>
    <row r="365" spans="1:93" ht="15">
      <c r="A365" s="124" t="s">
        <v>7602</v>
      </c>
      <c r="B365" s="161" t="s">
        <v>7458</v>
      </c>
      <c r="C365" s="268" t="s">
        <v>267</v>
      </c>
      <c r="D365" s="243">
        <v>4</v>
      </c>
      <c r="E365" s="183">
        <v>16</v>
      </c>
      <c r="F365" s="244">
        <v>19</v>
      </c>
      <c r="G365" s="245">
        <v>28</v>
      </c>
      <c r="J365" s="266"/>
      <c r="L365" s="254">
        <v>9</v>
      </c>
      <c r="N365" s="246">
        <v>4.0999999999999996</v>
      </c>
      <c r="O365" s="159">
        <v>42191</v>
      </c>
      <c r="P365" s="144"/>
      <c r="R365" s="145"/>
      <c r="T365" s="247">
        <v>10.96</v>
      </c>
      <c r="U365" s="256">
        <v>42200</v>
      </c>
      <c r="V365" s="145">
        <v>18.5</v>
      </c>
      <c r="W365" s="159">
        <v>42191</v>
      </c>
      <c r="X365" s="145"/>
      <c r="Z365" s="145"/>
      <c r="AB365" s="145"/>
      <c r="AD365" s="145">
        <f>(N365/V365)*(((100-CD365)/100)*((100-2)/100))*100</f>
        <v>20.176875675675674</v>
      </c>
      <c r="AF365" s="248">
        <v>23.07</v>
      </c>
      <c r="AG365" s="159">
        <v>42191</v>
      </c>
      <c r="AJ365" s="249">
        <v>135</v>
      </c>
      <c r="AL365" s="145"/>
      <c r="AN365" s="250">
        <v>102</v>
      </c>
      <c r="BB365" s="257">
        <v>7</v>
      </c>
      <c r="BN365" s="251">
        <v>65.349999999999994</v>
      </c>
      <c r="BO365" s="256">
        <v>42200</v>
      </c>
      <c r="BT365" s="251">
        <v>47.489986419677734</v>
      </c>
      <c r="BU365" s="256">
        <v>42200</v>
      </c>
      <c r="BV365" s="251">
        <v>19.671716690063477</v>
      </c>
      <c r="BW365" s="256">
        <v>42200</v>
      </c>
      <c r="BX365" s="251">
        <v>59.56</v>
      </c>
      <c r="BY365" s="256">
        <v>42200</v>
      </c>
      <c r="CD365" s="253">
        <v>7.1</v>
      </c>
      <c r="CE365" s="159">
        <v>42191</v>
      </c>
      <c r="CM365" s="255">
        <v>5</v>
      </c>
      <c r="CN365" s="256">
        <v>42180</v>
      </c>
      <c r="CO365" s="140" t="s">
        <v>8447</v>
      </c>
    </row>
    <row r="366" spans="1:93" ht="15">
      <c r="A366" s="124" t="s">
        <v>7598</v>
      </c>
      <c r="B366" s="161" t="s">
        <v>7455</v>
      </c>
      <c r="C366" s="268" t="s">
        <v>269</v>
      </c>
      <c r="D366" s="243">
        <v>2</v>
      </c>
      <c r="E366" s="183">
        <v>12</v>
      </c>
      <c r="F366" s="244">
        <v>12</v>
      </c>
      <c r="G366" s="245">
        <v>2</v>
      </c>
      <c r="J366" s="266"/>
      <c r="L366" s="254">
        <v>8</v>
      </c>
      <c r="N366" s="246">
        <v>4.09</v>
      </c>
      <c r="O366" s="159">
        <v>42191</v>
      </c>
      <c r="P366" s="144"/>
      <c r="R366" s="145"/>
      <c r="T366" s="247">
        <v>10.89</v>
      </c>
      <c r="U366" s="256">
        <v>42200</v>
      </c>
      <c r="V366" s="145">
        <v>18.5</v>
      </c>
      <c r="W366" s="159">
        <v>42191</v>
      </c>
      <c r="X366" s="145"/>
      <c r="Z366" s="145"/>
      <c r="AB366" s="145"/>
      <c r="AD366" s="145">
        <f>(N366/V366)*(((100-CD366)/100)*((100-2)/100))*100</f>
        <v>20.192661621621621</v>
      </c>
      <c r="AF366" s="248">
        <v>23.08</v>
      </c>
      <c r="AG366" s="159">
        <v>42191</v>
      </c>
      <c r="AJ366" s="249">
        <v>125</v>
      </c>
      <c r="AL366" s="145"/>
      <c r="AN366" s="250">
        <v>101</v>
      </c>
      <c r="BB366" s="257">
        <v>9</v>
      </c>
      <c r="BN366" s="251">
        <v>61.298000000000002</v>
      </c>
      <c r="BO366" s="256">
        <v>42200</v>
      </c>
      <c r="BT366" s="251">
        <v>47.191177368164063</v>
      </c>
      <c r="BU366" s="256">
        <v>42200</v>
      </c>
      <c r="BV366" s="251">
        <v>19.56273078918457</v>
      </c>
      <c r="BW366" s="256">
        <v>42200</v>
      </c>
      <c r="BX366" s="251">
        <v>64.688000000000002</v>
      </c>
      <c r="BY366" s="256">
        <v>42200</v>
      </c>
      <c r="CD366" s="253">
        <v>6.8</v>
      </c>
      <c r="CE366" s="159">
        <v>42191</v>
      </c>
      <c r="CM366" s="255">
        <v>3</v>
      </c>
      <c r="CN366" s="256">
        <v>42180</v>
      </c>
      <c r="CO366" s="140" t="s">
        <v>8448</v>
      </c>
    </row>
    <row r="367" spans="1:93" ht="15">
      <c r="A367" s="124" t="s">
        <v>7524</v>
      </c>
      <c r="B367" s="161" t="s">
        <v>7524</v>
      </c>
      <c r="C367" s="268" t="s">
        <v>269</v>
      </c>
      <c r="D367" s="243">
        <v>2</v>
      </c>
      <c r="E367" s="191">
        <v>185</v>
      </c>
      <c r="F367" s="244">
        <v>12</v>
      </c>
      <c r="G367" s="245">
        <v>3</v>
      </c>
      <c r="L367" s="254">
        <v>9</v>
      </c>
      <c r="N367" s="246">
        <v>4.1100000000000003</v>
      </c>
      <c r="O367" s="159">
        <v>42191</v>
      </c>
      <c r="T367" s="247">
        <v>11.64</v>
      </c>
      <c r="U367" s="256">
        <v>42200</v>
      </c>
      <c r="V367" s="145">
        <v>18.5</v>
      </c>
      <c r="W367" s="159">
        <v>42191</v>
      </c>
      <c r="AD367" s="145">
        <f>(N367/V367)*(((100-CD367)/100)*((100-2)/100))*100</f>
        <v>20.204315675675673</v>
      </c>
      <c r="AF367" s="248">
        <f>(N367/V367)*(((100-CD367)/(100-9))*100)</f>
        <v>22.655657855657854</v>
      </c>
      <c r="AG367" s="159">
        <v>42191</v>
      </c>
      <c r="AJ367" s="249">
        <v>115</v>
      </c>
      <c r="AN367" s="250">
        <v>101</v>
      </c>
      <c r="BB367" s="257">
        <v>7</v>
      </c>
      <c r="BN367" s="251">
        <v>65.111999999999995</v>
      </c>
      <c r="BO367" s="256">
        <v>42200</v>
      </c>
      <c r="BT367" s="251">
        <v>50.403682708740234</v>
      </c>
      <c r="BU367" s="256">
        <v>42200</v>
      </c>
      <c r="BV367" s="251">
        <v>18.479598999023438</v>
      </c>
      <c r="BW367" s="256">
        <v>42200</v>
      </c>
      <c r="BX367" s="251">
        <v>12.566000000000001</v>
      </c>
      <c r="BY367" s="256">
        <v>42200</v>
      </c>
      <c r="CD367" s="253">
        <v>7.2</v>
      </c>
      <c r="CE367" s="159">
        <v>42191</v>
      </c>
      <c r="CM367" s="255">
        <v>1</v>
      </c>
      <c r="CN367" s="256">
        <v>42180</v>
      </c>
      <c r="CO367" s="140" t="s">
        <v>8448</v>
      </c>
    </row>
    <row r="368" spans="1:93" ht="15" customHeight="1">
      <c r="A368" s="124" t="s">
        <v>7667</v>
      </c>
      <c r="B368" s="161" t="s">
        <v>7516</v>
      </c>
      <c r="C368" s="268" t="s">
        <v>267</v>
      </c>
      <c r="D368" s="257">
        <v>3</v>
      </c>
      <c r="E368" s="183">
        <v>81</v>
      </c>
      <c r="F368" s="257">
        <v>13</v>
      </c>
      <c r="G368" s="257">
        <v>27</v>
      </c>
      <c r="L368" s="257">
        <v>3</v>
      </c>
      <c r="N368" s="257">
        <v>4.12</v>
      </c>
      <c r="O368" s="159">
        <v>42191</v>
      </c>
      <c r="T368" s="257">
        <v>11.56</v>
      </c>
      <c r="U368" s="256">
        <v>42200</v>
      </c>
      <c r="V368" s="145">
        <v>18.5</v>
      </c>
      <c r="W368" s="159">
        <v>42191</v>
      </c>
      <c r="AD368" s="145">
        <f>(N368/V368)*(((100-CD368)/100)*((100-2)/100))*100</f>
        <v>20.209824864864864</v>
      </c>
      <c r="AF368" s="257">
        <v>23.1</v>
      </c>
      <c r="AG368" s="159">
        <v>42191</v>
      </c>
      <c r="AJ368" s="257">
        <v>110</v>
      </c>
      <c r="AN368" s="257">
        <v>101</v>
      </c>
      <c r="BB368" s="257">
        <v>7</v>
      </c>
      <c r="BN368" s="251">
        <v>68.296000000000006</v>
      </c>
      <c r="BO368" s="256">
        <v>42200</v>
      </c>
      <c r="BT368" s="251">
        <v>50.044345855712891</v>
      </c>
      <c r="BU368" s="256">
        <v>42200</v>
      </c>
      <c r="BV368" s="251">
        <v>18.842788696289063</v>
      </c>
      <c r="BW368" s="256">
        <v>42200</v>
      </c>
      <c r="BX368" s="251">
        <v>11.914</v>
      </c>
      <c r="BY368" s="256">
        <v>42200</v>
      </c>
      <c r="CD368" s="257">
        <v>7.4</v>
      </c>
      <c r="CE368" s="159">
        <v>42191</v>
      </c>
      <c r="CM368" s="255">
        <v>5</v>
      </c>
      <c r="CN368" s="256">
        <v>42180</v>
      </c>
      <c r="CO368" s="140" t="s">
        <v>8447</v>
      </c>
    </row>
    <row r="369" spans="1:93" ht="15" customHeight="1">
      <c r="A369" s="137" t="s">
        <v>8458</v>
      </c>
      <c r="B369" s="161" t="s">
        <v>8481</v>
      </c>
      <c r="C369" s="268" t="s">
        <v>269</v>
      </c>
      <c r="D369" s="269">
        <v>2</v>
      </c>
      <c r="E369" s="280">
        <v>9</v>
      </c>
      <c r="F369" s="269"/>
      <c r="G369" s="269"/>
      <c r="H369" s="271">
        <v>9</v>
      </c>
      <c r="I369" s="271">
        <v>3</v>
      </c>
      <c r="J369" s="282"/>
      <c r="K369" s="273"/>
      <c r="L369" s="269">
        <v>9</v>
      </c>
      <c r="M369" s="274"/>
      <c r="N369" s="269">
        <v>4.16</v>
      </c>
      <c r="O369" s="274">
        <v>42191</v>
      </c>
      <c r="P369" s="272"/>
      <c r="Q369" s="274"/>
      <c r="R369" s="275"/>
      <c r="S369" s="274"/>
      <c r="T369" s="269">
        <v>11.09</v>
      </c>
      <c r="U369" s="276">
        <v>42200</v>
      </c>
      <c r="V369" s="275">
        <v>18.5</v>
      </c>
      <c r="W369" s="274">
        <v>42191</v>
      </c>
      <c r="X369" s="275"/>
      <c r="Y369" s="274"/>
      <c r="Z369" s="275"/>
      <c r="AA369" s="274"/>
      <c r="AB369" s="275"/>
      <c r="AC369" s="274"/>
      <c r="AD369" s="145">
        <f>(N369/V369)*(((100-CD369)/100)*((100-2)/100))*100</f>
        <v>20.25177945945946</v>
      </c>
      <c r="AE369" s="274"/>
      <c r="AF369" s="269">
        <v>23.15</v>
      </c>
      <c r="AG369" s="274">
        <v>42191</v>
      </c>
      <c r="AH369" s="274"/>
      <c r="AI369" s="274"/>
      <c r="AJ369" s="269">
        <v>150</v>
      </c>
      <c r="AK369" s="274"/>
      <c r="AL369" s="275"/>
      <c r="AM369" s="274"/>
      <c r="AN369" s="269">
        <v>106</v>
      </c>
      <c r="AO369" s="274"/>
      <c r="AP369" s="275"/>
      <c r="AQ369" s="275"/>
      <c r="AR369" s="275"/>
      <c r="AS369" s="275"/>
      <c r="AT369" s="275"/>
      <c r="AU369" s="275"/>
      <c r="AV369" s="275"/>
      <c r="AW369" s="275"/>
      <c r="AX369" s="275"/>
      <c r="AY369" s="275"/>
      <c r="AZ369" s="275"/>
      <c r="BA369" s="275"/>
      <c r="BB369" s="269">
        <v>7</v>
      </c>
      <c r="BC369" s="275"/>
      <c r="BD369" s="275"/>
      <c r="BE369" s="275"/>
      <c r="BF369" s="272"/>
      <c r="BG369" s="272"/>
      <c r="BH369" s="272"/>
      <c r="BI369" s="272"/>
      <c r="BJ369" s="272"/>
      <c r="BK369" s="272"/>
      <c r="BL369" s="272"/>
      <c r="BM369" s="272"/>
      <c r="BN369" s="284">
        <v>59.481000000000002</v>
      </c>
      <c r="BO369" s="276">
        <v>42200</v>
      </c>
      <c r="BP369" s="272"/>
      <c r="BQ369" s="272"/>
      <c r="BR369" s="272"/>
      <c r="BS369" s="272"/>
      <c r="BT369" s="284">
        <v>47.92</v>
      </c>
      <c r="BU369" s="276">
        <v>42200</v>
      </c>
      <c r="BV369" s="284">
        <v>21.405651092529297</v>
      </c>
      <c r="BW369" s="276">
        <v>42200</v>
      </c>
      <c r="BX369" s="284">
        <v>67.506</v>
      </c>
      <c r="BY369" s="276">
        <v>42200</v>
      </c>
      <c r="BZ369" s="272"/>
      <c r="CA369" s="272"/>
      <c r="CB369" s="272"/>
      <c r="CC369" s="272"/>
      <c r="CD369" s="269">
        <v>8.1</v>
      </c>
      <c r="CE369" s="274">
        <v>42191</v>
      </c>
      <c r="CF369" s="272"/>
      <c r="CG369" s="272"/>
      <c r="CH369" s="272"/>
      <c r="CI369" s="272"/>
      <c r="CJ369" s="272"/>
      <c r="CK369" s="272"/>
      <c r="CL369" s="272"/>
      <c r="CM369" s="278">
        <v>5</v>
      </c>
      <c r="CN369" s="276">
        <v>42180</v>
      </c>
      <c r="CO369" s="272" t="s">
        <v>8447</v>
      </c>
    </row>
    <row r="370" spans="1:93" ht="15" customHeight="1">
      <c r="A370" s="124" t="s">
        <v>7620</v>
      </c>
      <c r="B370" s="161" t="s">
        <v>7474</v>
      </c>
      <c r="C370" s="268" t="s">
        <v>267</v>
      </c>
      <c r="D370" s="257">
        <v>3</v>
      </c>
      <c r="E370" s="183">
        <v>34</v>
      </c>
      <c r="F370" s="257">
        <v>13</v>
      </c>
      <c r="G370" s="257">
        <v>10</v>
      </c>
      <c r="L370" s="257">
        <v>9</v>
      </c>
      <c r="N370" s="257">
        <v>4.1500000000000004</v>
      </c>
      <c r="O370" s="159">
        <v>42191</v>
      </c>
      <c r="T370" s="257">
        <v>10.98</v>
      </c>
      <c r="U370" s="256">
        <v>42200</v>
      </c>
      <c r="V370" s="145">
        <v>18.5</v>
      </c>
      <c r="W370" s="159">
        <v>42191</v>
      </c>
      <c r="AD370" s="145">
        <f>(N370/V370)*(((100-CD370)/100)*((100-2)/100))*100</f>
        <v>20.291032432432431</v>
      </c>
      <c r="AF370" s="257">
        <f>(N370/V370)*(((100-CD370)/(100-9))*100)</f>
        <v>22.75289575289575</v>
      </c>
      <c r="AG370" s="159">
        <v>42191</v>
      </c>
      <c r="AJ370" s="257">
        <v>140</v>
      </c>
      <c r="AN370" s="257">
        <v>102</v>
      </c>
      <c r="BB370" s="257">
        <v>5</v>
      </c>
      <c r="BN370" s="251">
        <v>60.356000000000002</v>
      </c>
      <c r="BO370" s="256">
        <v>42200</v>
      </c>
      <c r="BT370" s="251">
        <v>47.328636169433594</v>
      </c>
      <c r="BU370" s="256">
        <v>42200</v>
      </c>
      <c r="BV370" s="251">
        <v>19.753326416015625</v>
      </c>
      <c r="BW370" s="256">
        <v>42200</v>
      </c>
      <c r="BX370" s="251">
        <v>60.497999999999998</v>
      </c>
      <c r="BY370" s="256">
        <v>42200</v>
      </c>
      <c r="CD370" s="257">
        <v>7.7</v>
      </c>
      <c r="CE370" s="159">
        <v>42191</v>
      </c>
      <c r="CM370" s="255">
        <v>1</v>
      </c>
      <c r="CN370" s="256">
        <v>42180</v>
      </c>
      <c r="CO370" s="140" t="s">
        <v>8447</v>
      </c>
    </row>
    <row r="371" spans="1:93" ht="15">
      <c r="A371" s="124" t="s">
        <v>7591</v>
      </c>
      <c r="B371" s="161" t="s">
        <v>7769</v>
      </c>
      <c r="C371" s="268" t="s">
        <v>269</v>
      </c>
      <c r="D371" s="243">
        <v>1</v>
      </c>
      <c r="E371" s="183">
        <v>5</v>
      </c>
      <c r="F371" s="244">
        <v>1</v>
      </c>
      <c r="G371" s="245">
        <v>18</v>
      </c>
      <c r="J371" s="266"/>
      <c r="L371" s="254">
        <v>9</v>
      </c>
      <c r="N371" s="246">
        <v>4.0999999999999996</v>
      </c>
      <c r="O371" s="159">
        <v>42191</v>
      </c>
      <c r="P371" s="144"/>
      <c r="R371" s="145"/>
      <c r="T371" s="247">
        <v>11.35</v>
      </c>
      <c r="U371" s="256">
        <v>42200</v>
      </c>
      <c r="V371" s="145">
        <v>18.5</v>
      </c>
      <c r="W371" s="159">
        <v>42191</v>
      </c>
      <c r="X371" s="145"/>
      <c r="Z371" s="145"/>
      <c r="AB371" s="145"/>
      <c r="AD371" s="145">
        <f>(N371/V371)*(((100-CD371)/100)*((100-2)/100))*100</f>
        <v>20.307189189189188</v>
      </c>
      <c r="AF371" s="248">
        <v>23.21</v>
      </c>
      <c r="AG371" s="159">
        <v>42191</v>
      </c>
      <c r="AJ371" s="249">
        <v>155</v>
      </c>
      <c r="AL371" s="145"/>
      <c r="AN371" s="250">
        <v>95</v>
      </c>
      <c r="BB371" s="257">
        <v>3</v>
      </c>
      <c r="BN371" s="251">
        <v>63.209000000000003</v>
      </c>
      <c r="BO371" s="256">
        <v>42200</v>
      </c>
      <c r="BT371" s="251">
        <v>48.91864013671875</v>
      </c>
      <c r="BU371" s="256">
        <v>42200</v>
      </c>
      <c r="BV371" s="251">
        <v>19.017023086547852</v>
      </c>
      <c r="BW371" s="256">
        <v>42200</v>
      </c>
      <c r="BX371" s="251">
        <v>68.253</v>
      </c>
      <c r="BY371" s="256">
        <v>42200</v>
      </c>
      <c r="CD371" s="253">
        <v>6.5</v>
      </c>
      <c r="CE371" s="159">
        <v>42191</v>
      </c>
      <c r="CM371" s="255">
        <v>7</v>
      </c>
      <c r="CN371" s="256">
        <v>42180</v>
      </c>
      <c r="CO371" s="140" t="s">
        <v>8447</v>
      </c>
    </row>
    <row r="372" spans="1:93" ht="15" customHeight="1">
      <c r="A372" s="124" t="s">
        <v>7636</v>
      </c>
      <c r="B372" s="161" t="s">
        <v>7488</v>
      </c>
      <c r="C372" s="268" t="s">
        <v>267</v>
      </c>
      <c r="D372" s="257">
        <v>3</v>
      </c>
      <c r="E372" s="183">
        <v>50</v>
      </c>
      <c r="F372" s="257">
        <v>14</v>
      </c>
      <c r="G372" s="257">
        <v>20</v>
      </c>
      <c r="L372" s="257">
        <v>5</v>
      </c>
      <c r="N372" s="257">
        <v>4.12</v>
      </c>
      <c r="O372" s="159">
        <v>42191</v>
      </c>
      <c r="T372" s="257">
        <v>11.65</v>
      </c>
      <c r="U372" s="256">
        <v>42200</v>
      </c>
      <c r="V372" s="145">
        <v>18.5</v>
      </c>
      <c r="W372" s="159">
        <v>42191</v>
      </c>
      <c r="AD372" s="145">
        <f>(N372/V372)*(((100-CD372)/100)*((100-2)/100))*100</f>
        <v>20.340774054054055</v>
      </c>
      <c r="AF372" s="257">
        <v>23.25</v>
      </c>
      <c r="AG372" s="159">
        <v>42191</v>
      </c>
      <c r="AJ372" s="257">
        <v>105</v>
      </c>
      <c r="AN372" s="257">
        <v>105</v>
      </c>
      <c r="BB372" s="257">
        <v>7</v>
      </c>
      <c r="BN372" s="251">
        <v>65.161000000000001</v>
      </c>
      <c r="BO372" s="256">
        <v>42200</v>
      </c>
      <c r="BT372" s="251">
        <v>50.118228912353516</v>
      </c>
      <c r="BU372" s="256">
        <v>42200</v>
      </c>
      <c r="BV372" s="251">
        <v>17.202487945556641</v>
      </c>
      <c r="BW372" s="256">
        <v>42200</v>
      </c>
      <c r="BX372" s="251">
        <v>23.016999999999999</v>
      </c>
      <c r="BY372" s="256">
        <v>42200</v>
      </c>
      <c r="CD372" s="257">
        <v>6.8</v>
      </c>
      <c r="CE372" s="159">
        <v>42191</v>
      </c>
      <c r="CM372" s="255">
        <v>5</v>
      </c>
      <c r="CN372" s="256">
        <v>42180</v>
      </c>
      <c r="CO372" s="140" t="s">
        <v>8447</v>
      </c>
    </row>
    <row r="373" spans="1:93" ht="15">
      <c r="A373" s="124" t="s">
        <v>7722</v>
      </c>
      <c r="B373" s="161" t="s">
        <v>7554</v>
      </c>
      <c r="C373" s="268" t="s">
        <v>267</v>
      </c>
      <c r="D373" s="243">
        <v>3</v>
      </c>
      <c r="E373" s="183">
        <v>136</v>
      </c>
      <c r="F373" s="244">
        <v>15</v>
      </c>
      <c r="G373" s="245">
        <v>24</v>
      </c>
      <c r="L373" s="254">
        <v>9</v>
      </c>
      <c r="N373" s="246">
        <v>4.1500000000000004</v>
      </c>
      <c r="O373" s="159">
        <v>42191</v>
      </c>
      <c r="T373" s="247">
        <v>11.8</v>
      </c>
      <c r="U373" s="256">
        <v>42200</v>
      </c>
      <c r="V373" s="145">
        <v>18.5</v>
      </c>
      <c r="W373" s="159">
        <v>42191</v>
      </c>
      <c r="AD373" s="145">
        <f>(N373/V373)*(((100-CD373)/100)*((100-2)/100))*100</f>
        <v>20.400951351351353</v>
      </c>
      <c r="AF373" s="248">
        <v>23.32</v>
      </c>
      <c r="AG373" s="159">
        <v>42191</v>
      </c>
      <c r="AJ373" s="249">
        <v>115</v>
      </c>
      <c r="AN373" s="250">
        <v>106</v>
      </c>
      <c r="BB373" s="257">
        <v>9</v>
      </c>
      <c r="BN373" s="251">
        <v>65.915999999999997</v>
      </c>
      <c r="BO373" s="256">
        <v>42200</v>
      </c>
      <c r="BT373" s="251">
        <v>50.601615905761719</v>
      </c>
      <c r="BU373" s="256">
        <v>42200</v>
      </c>
      <c r="BV373" s="251">
        <v>16.436313629150391</v>
      </c>
      <c r="BW373" s="256">
        <v>42200</v>
      </c>
      <c r="BX373" s="251">
        <v>20.367000000000001</v>
      </c>
      <c r="BY373" s="256">
        <v>42200</v>
      </c>
      <c r="CD373" s="253">
        <v>7.2</v>
      </c>
      <c r="CE373" s="159">
        <v>42191</v>
      </c>
      <c r="CM373" s="255">
        <v>3</v>
      </c>
      <c r="CN373" s="256">
        <v>42180</v>
      </c>
      <c r="CO373" s="140" t="s">
        <v>8447</v>
      </c>
    </row>
    <row r="374" spans="1:93" ht="15">
      <c r="A374" s="124" t="s">
        <v>7687</v>
      </c>
      <c r="B374" s="161" t="s">
        <v>7534</v>
      </c>
      <c r="C374" s="268" t="s">
        <v>267</v>
      </c>
      <c r="D374" s="243">
        <v>3</v>
      </c>
      <c r="E374" s="183">
        <v>101</v>
      </c>
      <c r="F374" s="244">
        <v>18</v>
      </c>
      <c r="G374" s="245">
        <v>2</v>
      </c>
      <c r="L374" s="254">
        <v>7</v>
      </c>
      <c r="N374" s="246">
        <v>4.21</v>
      </c>
      <c r="O374" s="159">
        <v>42191</v>
      </c>
      <c r="T374" s="247">
        <v>11.65</v>
      </c>
      <c r="U374" s="256">
        <v>42200</v>
      </c>
      <c r="V374" s="145">
        <v>18.5</v>
      </c>
      <c r="W374" s="159">
        <v>42191</v>
      </c>
      <c r="AD374" s="145">
        <f>(N374/V374)*(((100-CD374)/100)*((100-2)/100))*100</f>
        <v>20.405983783783785</v>
      </c>
      <c r="AF374" s="248">
        <v>23.33</v>
      </c>
      <c r="AG374" s="159">
        <v>42191</v>
      </c>
      <c r="AJ374" s="249">
        <v>115</v>
      </c>
      <c r="AN374" s="250">
        <v>101</v>
      </c>
      <c r="BB374" s="257">
        <v>5</v>
      </c>
      <c r="BN374" s="251">
        <v>64.171999999999997</v>
      </c>
      <c r="BO374" s="256">
        <v>42200</v>
      </c>
      <c r="BT374" s="251">
        <v>49.928947448730469</v>
      </c>
      <c r="BU374" s="256">
        <v>42200</v>
      </c>
      <c r="BV374" s="251">
        <v>18.386833190917969</v>
      </c>
      <c r="BW374" s="256">
        <v>42200</v>
      </c>
      <c r="BX374" s="251">
        <v>15.912000000000001</v>
      </c>
      <c r="BY374" s="256">
        <v>42200</v>
      </c>
      <c r="CD374" s="253">
        <v>8.5</v>
      </c>
      <c r="CE374" s="159">
        <v>42191</v>
      </c>
      <c r="CM374" s="255">
        <v>3</v>
      </c>
      <c r="CN374" s="256">
        <v>42180</v>
      </c>
      <c r="CO374" s="140" t="s">
        <v>8447</v>
      </c>
    </row>
    <row r="375" spans="1:93" ht="15">
      <c r="A375" s="124" t="s">
        <v>7598</v>
      </c>
      <c r="B375" s="161" t="s">
        <v>7455</v>
      </c>
      <c r="C375" s="268" t="s">
        <v>267</v>
      </c>
      <c r="D375" s="243">
        <v>3</v>
      </c>
      <c r="E375" s="183">
        <v>12</v>
      </c>
      <c r="F375" s="244">
        <v>18</v>
      </c>
      <c r="G375" s="245">
        <v>31</v>
      </c>
      <c r="J375" s="266"/>
      <c r="L375" s="254">
        <v>8</v>
      </c>
      <c r="N375" s="246">
        <v>4.12</v>
      </c>
      <c r="O375" s="159">
        <v>42191</v>
      </c>
      <c r="P375" s="144"/>
      <c r="R375" s="145"/>
      <c r="T375" s="247">
        <v>11.27</v>
      </c>
      <c r="U375" s="256">
        <v>42200</v>
      </c>
      <c r="V375" s="145">
        <v>18.5</v>
      </c>
      <c r="W375" s="159">
        <v>42191</v>
      </c>
      <c r="X375" s="145"/>
      <c r="Z375" s="145"/>
      <c r="AB375" s="145"/>
      <c r="AD375" s="145">
        <f>(N375/V375)*(((100-CD375)/100)*((100-2)/100))*100</f>
        <v>20.406248648648649</v>
      </c>
      <c r="AF375" s="248">
        <v>23.33</v>
      </c>
      <c r="AG375" s="159">
        <v>42191</v>
      </c>
      <c r="AJ375" s="249">
        <v>105</v>
      </c>
      <c r="AL375" s="145"/>
      <c r="AN375" s="250">
        <v>101</v>
      </c>
      <c r="BB375" s="257">
        <v>7</v>
      </c>
      <c r="BN375" s="251">
        <v>64.143000000000001</v>
      </c>
      <c r="BO375" s="256">
        <v>42200</v>
      </c>
      <c r="BT375" s="251">
        <v>48.287906646728516</v>
      </c>
      <c r="BU375" s="256">
        <v>42200</v>
      </c>
      <c r="BV375" s="251">
        <v>19.574827194213867</v>
      </c>
      <c r="BW375" s="256">
        <v>42200</v>
      </c>
      <c r="BX375" s="251">
        <v>59.207999999999998</v>
      </c>
      <c r="BY375" s="256">
        <v>42200</v>
      </c>
      <c r="CD375" s="253">
        <v>6.5</v>
      </c>
      <c r="CE375" s="159">
        <v>42191</v>
      </c>
      <c r="CM375" s="255">
        <v>5</v>
      </c>
      <c r="CN375" s="256">
        <v>42180</v>
      </c>
      <c r="CO375" s="140" t="s">
        <v>8447</v>
      </c>
    </row>
    <row r="376" spans="1:93" ht="15" customHeight="1">
      <c r="A376" s="137" t="s">
        <v>8452</v>
      </c>
      <c r="B376" s="161" t="s">
        <v>8475</v>
      </c>
      <c r="C376" s="268" t="s">
        <v>269</v>
      </c>
      <c r="D376" s="269">
        <v>2</v>
      </c>
      <c r="E376" s="280">
        <v>3</v>
      </c>
      <c r="F376" s="269"/>
      <c r="G376" s="269"/>
      <c r="H376" s="271">
        <v>12</v>
      </c>
      <c r="I376" s="271">
        <v>2</v>
      </c>
      <c r="J376" s="282"/>
      <c r="K376" s="273"/>
      <c r="L376" s="269">
        <v>8</v>
      </c>
      <c r="M376" s="274"/>
      <c r="N376" s="269">
        <v>4.1900000000000004</v>
      </c>
      <c r="O376" s="274">
        <v>42191</v>
      </c>
      <c r="P376" s="272"/>
      <c r="Q376" s="274"/>
      <c r="R376" s="275"/>
      <c r="S376" s="274"/>
      <c r="T376" s="269">
        <v>11.31</v>
      </c>
      <c r="U376" s="276">
        <v>42200</v>
      </c>
      <c r="V376" s="275">
        <v>18.5</v>
      </c>
      <c r="W376" s="274">
        <v>42191</v>
      </c>
      <c r="X376" s="275"/>
      <c r="Y376" s="274"/>
      <c r="Z376" s="275"/>
      <c r="AA376" s="274"/>
      <c r="AB376" s="275"/>
      <c r="AC376" s="274"/>
      <c r="AD376" s="145">
        <f>(N376/V376)*(((100-CD376)/100)*((100-2)/100))*100</f>
        <v>20.420021621621625</v>
      </c>
      <c r="AE376" s="274"/>
      <c r="AF376" s="269">
        <v>23.34</v>
      </c>
      <c r="AG376" s="274">
        <v>42191</v>
      </c>
      <c r="AH376" s="274"/>
      <c r="AI376" s="274"/>
      <c r="AJ376" s="269">
        <v>130</v>
      </c>
      <c r="AK376" s="274"/>
      <c r="AL376" s="275"/>
      <c r="AM376" s="274"/>
      <c r="AN376" s="269">
        <v>98</v>
      </c>
      <c r="AO376" s="274"/>
      <c r="AP376" s="275"/>
      <c r="AQ376" s="275"/>
      <c r="AR376" s="275"/>
      <c r="AS376" s="275"/>
      <c r="AT376" s="275"/>
      <c r="AU376" s="275"/>
      <c r="AV376" s="275"/>
      <c r="AW376" s="275"/>
      <c r="AX376" s="275"/>
      <c r="AY376" s="275"/>
      <c r="AZ376" s="275"/>
      <c r="BA376" s="275"/>
      <c r="BB376" s="269">
        <v>3</v>
      </c>
      <c r="BC376" s="275"/>
      <c r="BD376" s="275"/>
      <c r="BE376" s="275"/>
      <c r="BF376" s="272"/>
      <c r="BG376" s="272"/>
      <c r="BH376" s="272"/>
      <c r="BI376" s="272"/>
      <c r="BJ376" s="272"/>
      <c r="BK376" s="272"/>
      <c r="BL376" s="272"/>
      <c r="BM376" s="272"/>
      <c r="BN376" s="284">
        <v>67.063999999999993</v>
      </c>
      <c r="BO376" s="276">
        <v>42200</v>
      </c>
      <c r="BP376" s="272"/>
      <c r="BQ376" s="272"/>
      <c r="BR376" s="272"/>
      <c r="BS376" s="272"/>
      <c r="BT376" s="284">
        <v>48.44</v>
      </c>
      <c r="BU376" s="276">
        <v>42200</v>
      </c>
      <c r="BV376" s="284">
        <v>20.701715469360352</v>
      </c>
      <c r="BW376" s="276">
        <v>42200</v>
      </c>
      <c r="BX376" s="284">
        <v>63.664000000000001</v>
      </c>
      <c r="BY376" s="276">
        <v>42200</v>
      </c>
      <c r="BZ376" s="272"/>
      <c r="CA376" s="272"/>
      <c r="CB376" s="272"/>
      <c r="CC376" s="272"/>
      <c r="CD376" s="269">
        <v>8</v>
      </c>
      <c r="CE376" s="274">
        <v>42191</v>
      </c>
      <c r="CF376" s="272"/>
      <c r="CG376" s="272"/>
      <c r="CH376" s="272"/>
      <c r="CI376" s="272"/>
      <c r="CJ376" s="272"/>
      <c r="CK376" s="272"/>
      <c r="CL376" s="272"/>
      <c r="CM376" s="278">
        <v>3</v>
      </c>
      <c r="CN376" s="276">
        <v>42180</v>
      </c>
      <c r="CO376" s="272" t="s">
        <v>8447</v>
      </c>
    </row>
    <row r="377" spans="1:93" ht="15" customHeight="1">
      <c r="A377" s="124" t="s">
        <v>7653</v>
      </c>
      <c r="B377" s="161" t="s">
        <v>7503</v>
      </c>
      <c r="C377" s="268" t="s">
        <v>267</v>
      </c>
      <c r="D377" s="257">
        <v>3</v>
      </c>
      <c r="E377" s="183">
        <v>67</v>
      </c>
      <c r="F377" s="257">
        <v>17</v>
      </c>
      <c r="G377" s="257">
        <v>30</v>
      </c>
      <c r="L377" s="257">
        <v>5</v>
      </c>
      <c r="N377" s="257">
        <v>4.1500000000000004</v>
      </c>
      <c r="O377" s="159">
        <v>42191</v>
      </c>
      <c r="T377" s="257">
        <v>11.57</v>
      </c>
      <c r="U377" s="256">
        <v>42200</v>
      </c>
      <c r="V377" s="145">
        <v>18.5</v>
      </c>
      <c r="W377" s="159">
        <v>42191</v>
      </c>
      <c r="AD377" s="145">
        <f>(N377/V377)*(((100-CD377)/100)*((100-2)/100))*100</f>
        <v>20.444918918918919</v>
      </c>
      <c r="AF377" s="257">
        <v>23.37</v>
      </c>
      <c r="AG377" s="159">
        <v>42191</v>
      </c>
      <c r="AJ377" s="257">
        <v>115</v>
      </c>
      <c r="AN377" s="257">
        <v>102</v>
      </c>
      <c r="BB377" s="257">
        <v>7</v>
      </c>
      <c r="BN377" s="251">
        <v>65.688000000000002</v>
      </c>
      <c r="BO377" s="256">
        <v>42200</v>
      </c>
      <c r="BT377" s="251">
        <v>49.515892028808594</v>
      </c>
      <c r="BU377" s="256">
        <v>42200</v>
      </c>
      <c r="BV377" s="251">
        <v>19.004684448242187</v>
      </c>
      <c r="BW377" s="256">
        <v>42200</v>
      </c>
      <c r="BX377" s="251">
        <v>20.51</v>
      </c>
      <c r="BY377" s="256">
        <v>42200</v>
      </c>
      <c r="CD377" s="257">
        <v>7</v>
      </c>
      <c r="CE377" s="159">
        <v>42191</v>
      </c>
      <c r="CM377" s="255">
        <v>5</v>
      </c>
      <c r="CN377" s="256">
        <v>42180</v>
      </c>
      <c r="CO377" s="140" t="s">
        <v>8447</v>
      </c>
    </row>
    <row r="378" spans="1:93" ht="15">
      <c r="A378" s="124" t="s">
        <v>7658</v>
      </c>
      <c r="B378" s="161" t="s">
        <v>7507</v>
      </c>
      <c r="C378" s="268" t="s">
        <v>269</v>
      </c>
      <c r="D378" s="243">
        <v>2</v>
      </c>
      <c r="E378" s="183">
        <v>72</v>
      </c>
      <c r="F378" s="244">
        <v>12</v>
      </c>
      <c r="G378" s="245">
        <v>9</v>
      </c>
      <c r="L378" s="254">
        <v>6</v>
      </c>
      <c r="N378" s="246">
        <v>4.1500000000000004</v>
      </c>
      <c r="O378" s="159">
        <v>42191</v>
      </c>
      <c r="T378" s="247">
        <v>11.66</v>
      </c>
      <c r="U378" s="256">
        <v>42200</v>
      </c>
      <c r="V378" s="145">
        <v>18.5</v>
      </c>
      <c r="W378" s="159">
        <v>42191</v>
      </c>
      <c r="AD378" s="145">
        <f>(N378/V378)*(((100-CD378)/100)*((100-2)/100))*100</f>
        <v>20.466902702702701</v>
      </c>
      <c r="AF378" s="248">
        <f>(N378/V378)*(((100-CD378)/(100-9))*100)</f>
        <v>22.950103950103948</v>
      </c>
      <c r="AG378" s="159">
        <v>42191</v>
      </c>
      <c r="AJ378" s="249">
        <v>120</v>
      </c>
      <c r="AN378" s="250">
        <v>101</v>
      </c>
      <c r="BB378" s="257">
        <v>7</v>
      </c>
      <c r="BN378" s="251">
        <v>64.152000000000001</v>
      </c>
      <c r="BO378" s="256">
        <v>42200</v>
      </c>
      <c r="BT378" s="251">
        <v>49.851539611816406</v>
      </c>
      <c r="BU378" s="256">
        <v>42200</v>
      </c>
      <c r="BV378" s="251">
        <v>19.209892272949219</v>
      </c>
      <c r="BW378" s="256">
        <v>42200</v>
      </c>
      <c r="BX378" s="251">
        <v>19.303999999999998</v>
      </c>
      <c r="BY378" s="256">
        <v>42200</v>
      </c>
      <c r="CD378" s="253">
        <v>6.9</v>
      </c>
      <c r="CE378" s="159">
        <v>42191</v>
      </c>
      <c r="CM378" s="255">
        <v>1</v>
      </c>
      <c r="CN378" s="256">
        <v>42180</v>
      </c>
      <c r="CO378" s="140" t="s">
        <v>8448</v>
      </c>
    </row>
    <row r="379" spans="1:93" ht="15">
      <c r="A379" s="124" t="s">
        <v>7743</v>
      </c>
      <c r="B379" s="161" t="s">
        <v>7567</v>
      </c>
      <c r="C379" s="268" t="s">
        <v>267</v>
      </c>
      <c r="D379" s="243">
        <v>4</v>
      </c>
      <c r="E379" s="183">
        <v>157</v>
      </c>
      <c r="F379" s="244">
        <v>23</v>
      </c>
      <c r="G379" s="245">
        <v>9</v>
      </c>
      <c r="L379" s="254">
        <v>5</v>
      </c>
      <c r="N379" s="246">
        <v>4.22</v>
      </c>
      <c r="O379" s="159">
        <v>42191</v>
      </c>
      <c r="T379" s="247">
        <v>11.84</v>
      </c>
      <c r="U379" s="256">
        <v>42200</v>
      </c>
      <c r="V379" s="145">
        <v>18.5</v>
      </c>
      <c r="W379" s="159">
        <v>42191</v>
      </c>
      <c r="AD379" s="145">
        <f>(N379/V379)*(((100-CD379)/100)*((100-2)/100))*100</f>
        <v>20.476808648648646</v>
      </c>
      <c r="AF379" s="248">
        <v>23.41</v>
      </c>
      <c r="AG379" s="159">
        <v>42191</v>
      </c>
      <c r="AJ379" s="249">
        <v>130</v>
      </c>
      <c r="AN379" s="250">
        <v>106</v>
      </c>
      <c r="BB379" s="257">
        <v>7</v>
      </c>
      <c r="BN379" s="251">
        <v>63.081000000000003</v>
      </c>
      <c r="BO379" s="256">
        <v>42200</v>
      </c>
      <c r="BT379" s="251">
        <v>50.587593078613281</v>
      </c>
      <c r="BU379" s="256">
        <v>42200</v>
      </c>
      <c r="BV379" s="251">
        <v>17.70246696472168</v>
      </c>
      <c r="BW379" s="256">
        <v>42200</v>
      </c>
      <c r="BX379" s="251">
        <v>15.092000000000001</v>
      </c>
      <c r="BY379" s="256">
        <v>42200</v>
      </c>
      <c r="CD379" s="253">
        <v>8.4</v>
      </c>
      <c r="CE379" s="159">
        <v>42191</v>
      </c>
      <c r="CM379" s="255">
        <v>3</v>
      </c>
      <c r="CN379" s="256">
        <v>42180</v>
      </c>
      <c r="CO379" s="140" t="s">
        <v>8447</v>
      </c>
    </row>
    <row r="380" spans="1:93" ht="15">
      <c r="A380" s="124" t="s">
        <v>7628</v>
      </c>
      <c r="B380" s="161" t="s">
        <v>7481</v>
      </c>
      <c r="C380" s="268" t="s">
        <v>267</v>
      </c>
      <c r="D380" s="243">
        <v>4</v>
      </c>
      <c r="E380" s="183">
        <v>42</v>
      </c>
      <c r="F380" s="244">
        <v>23</v>
      </c>
      <c r="G380" s="245">
        <v>15</v>
      </c>
      <c r="L380" s="254">
        <v>6</v>
      </c>
      <c r="N380" s="246">
        <v>4.17</v>
      </c>
      <c r="O380" s="159">
        <v>42191</v>
      </c>
      <c r="T380" s="247">
        <v>11.97</v>
      </c>
      <c r="U380" s="256">
        <v>42200</v>
      </c>
      <c r="V380" s="145">
        <v>18.5</v>
      </c>
      <c r="W380" s="159">
        <v>42191</v>
      </c>
      <c r="AD380" s="145">
        <f>(N380/V380)*(((100-CD380)/100)*((100-2)/100))*100</f>
        <v>20.47717945945946</v>
      </c>
      <c r="AF380" s="248">
        <v>23.41</v>
      </c>
      <c r="AG380" s="159">
        <v>42191</v>
      </c>
      <c r="AJ380" s="249">
        <v>130</v>
      </c>
      <c r="AN380" s="250">
        <v>106</v>
      </c>
      <c r="BB380" s="257">
        <v>7</v>
      </c>
      <c r="BN380" s="251">
        <v>63.738999999999997</v>
      </c>
      <c r="BO380" s="256">
        <v>42200</v>
      </c>
      <c r="BT380" s="251">
        <v>51.1468505859375</v>
      </c>
      <c r="BU380" s="256">
        <v>42200</v>
      </c>
      <c r="BV380" s="251">
        <v>17.083690643310547</v>
      </c>
      <c r="BW380" s="256">
        <v>42200</v>
      </c>
      <c r="BX380" s="251">
        <v>15.137</v>
      </c>
      <c r="BY380" s="256">
        <v>42200</v>
      </c>
      <c r="CD380" s="253">
        <v>7.3</v>
      </c>
      <c r="CE380" s="159">
        <v>42191</v>
      </c>
      <c r="CM380" s="255">
        <v>3</v>
      </c>
      <c r="CN380" s="256">
        <v>42180</v>
      </c>
      <c r="CO380" s="140" t="s">
        <v>8447</v>
      </c>
    </row>
    <row r="381" spans="1:93" ht="15">
      <c r="A381" s="124" t="s">
        <v>7617</v>
      </c>
      <c r="B381" s="161" t="s">
        <v>7471</v>
      </c>
      <c r="C381" s="268" t="s">
        <v>267</v>
      </c>
      <c r="D381" s="243">
        <v>3</v>
      </c>
      <c r="E381" s="183">
        <v>31</v>
      </c>
      <c r="F381" s="244">
        <v>16</v>
      </c>
      <c r="G381" s="245">
        <v>30</v>
      </c>
      <c r="L381" s="254">
        <v>3</v>
      </c>
      <c r="N381" s="246">
        <v>4.1500000000000004</v>
      </c>
      <c r="O381" s="159">
        <v>42191</v>
      </c>
      <c r="T381" s="247">
        <v>10.94</v>
      </c>
      <c r="U381" s="256">
        <v>42200</v>
      </c>
      <c r="V381" s="145">
        <v>18.5</v>
      </c>
      <c r="W381" s="159">
        <v>42191</v>
      </c>
      <c r="AD381" s="145">
        <f>(N381/V381)*(((100-CD381)/100)*((100-2)/100))*100</f>
        <v>20.510870270270271</v>
      </c>
      <c r="AF381" s="248">
        <f>(N381/V381)*(((100-CD381)/(100-9))*100)</f>
        <v>22.999405999406001</v>
      </c>
      <c r="AG381" s="159">
        <v>42191</v>
      </c>
      <c r="AJ381" s="249">
        <v>115</v>
      </c>
      <c r="AN381" s="250">
        <v>104</v>
      </c>
      <c r="BB381" s="257">
        <v>7</v>
      </c>
      <c r="BN381" s="251">
        <v>62.01</v>
      </c>
      <c r="BO381" s="256">
        <v>42200</v>
      </c>
      <c r="BT381" s="251">
        <v>46.644893646240234</v>
      </c>
      <c r="BU381" s="256">
        <v>42200</v>
      </c>
      <c r="BV381" s="251">
        <v>19.702947616577148</v>
      </c>
      <c r="BW381" s="256">
        <v>42200</v>
      </c>
      <c r="BX381" s="251">
        <v>54.597999999999999</v>
      </c>
      <c r="BY381" s="256">
        <v>42200</v>
      </c>
      <c r="CD381" s="253">
        <v>6.7</v>
      </c>
      <c r="CE381" s="159">
        <v>42191</v>
      </c>
      <c r="CM381" s="255">
        <v>1</v>
      </c>
      <c r="CN381" s="256">
        <v>42180</v>
      </c>
      <c r="CO381" s="140" t="s">
        <v>8447</v>
      </c>
    </row>
    <row r="382" spans="1:93" ht="15" customHeight="1">
      <c r="A382" s="124" t="s">
        <v>7618</v>
      </c>
      <c r="B382" s="161" t="s">
        <v>7472</v>
      </c>
      <c r="C382" s="268" t="s">
        <v>269</v>
      </c>
      <c r="D382" s="257">
        <v>2</v>
      </c>
      <c r="E382" s="183">
        <v>32</v>
      </c>
      <c r="F382" s="257">
        <v>10</v>
      </c>
      <c r="G382" s="257">
        <v>12</v>
      </c>
      <c r="L382" s="257">
        <v>9</v>
      </c>
      <c r="N382" s="257">
        <v>4.17</v>
      </c>
      <c r="O382" s="159">
        <v>42191</v>
      </c>
      <c r="T382" s="257">
        <v>11.22</v>
      </c>
      <c r="U382" s="256">
        <v>42200</v>
      </c>
      <c r="V382" s="145">
        <v>18.5</v>
      </c>
      <c r="W382" s="159">
        <v>42191</v>
      </c>
      <c r="AD382" s="145">
        <f>(N382/V382)*(((100-CD382)/100)*((100-2)/100))*100</f>
        <v>20.609717837837838</v>
      </c>
      <c r="AF382" s="257">
        <v>23.56</v>
      </c>
      <c r="AG382" s="159">
        <v>42191</v>
      </c>
      <c r="AJ382" s="257">
        <v>120</v>
      </c>
      <c r="AN382" s="257">
        <v>104</v>
      </c>
      <c r="BB382" s="257">
        <v>7</v>
      </c>
      <c r="BN382" s="251">
        <v>59.924999999999997</v>
      </c>
      <c r="BO382" s="256">
        <v>42200</v>
      </c>
      <c r="BT382" s="251">
        <v>47.63128662109375</v>
      </c>
      <c r="BU382" s="256">
        <v>42200</v>
      </c>
      <c r="BV382" s="251">
        <v>19.393659591674805</v>
      </c>
      <c r="BW382" s="256">
        <v>42200</v>
      </c>
      <c r="BX382" s="251">
        <v>23.245999999999999</v>
      </c>
      <c r="BY382" s="256">
        <v>42200</v>
      </c>
      <c r="CD382" s="257">
        <v>6.7</v>
      </c>
      <c r="CE382" s="159">
        <v>42191</v>
      </c>
      <c r="CM382" s="255">
        <v>5</v>
      </c>
      <c r="CN382" s="256">
        <v>42180</v>
      </c>
      <c r="CO382" s="140" t="s">
        <v>8448</v>
      </c>
    </row>
    <row r="383" spans="1:93" ht="15" customHeight="1">
      <c r="A383" s="124" t="s">
        <v>7660</v>
      </c>
      <c r="B383" s="161" t="s">
        <v>7509</v>
      </c>
      <c r="C383" s="268" t="s">
        <v>267</v>
      </c>
      <c r="D383" s="257">
        <v>3</v>
      </c>
      <c r="E383" s="183">
        <v>74</v>
      </c>
      <c r="F383" s="257">
        <v>18</v>
      </c>
      <c r="G383" s="257">
        <v>26</v>
      </c>
      <c r="L383" s="257">
        <v>7</v>
      </c>
      <c r="N383" s="257">
        <v>4.2</v>
      </c>
      <c r="O383" s="159">
        <v>42191</v>
      </c>
      <c r="T383" s="257">
        <v>11.47</v>
      </c>
      <c r="U383" s="256">
        <v>42200</v>
      </c>
      <c r="V383" s="145">
        <v>18.5</v>
      </c>
      <c r="W383" s="159">
        <v>42191</v>
      </c>
      <c r="AD383" s="145">
        <f>(N383/V383)*(((100-CD383)/100)*((100-2)/100))*100</f>
        <v>20.6244972972973</v>
      </c>
      <c r="AF383" s="257">
        <v>23.58</v>
      </c>
      <c r="AG383" s="159">
        <v>42191</v>
      </c>
      <c r="AJ383" s="257">
        <v>125</v>
      </c>
      <c r="AN383" s="257">
        <v>103</v>
      </c>
      <c r="BB383" s="257">
        <v>9</v>
      </c>
      <c r="BN383" s="251">
        <v>64.878</v>
      </c>
      <c r="BO383" s="256">
        <v>42200</v>
      </c>
      <c r="BT383" s="251">
        <v>48.638412475585938</v>
      </c>
      <c r="BU383" s="256">
        <v>42200</v>
      </c>
      <c r="BV383" s="251">
        <v>19.426944732666016</v>
      </c>
      <c r="BW383" s="256">
        <v>42200</v>
      </c>
      <c r="BX383" s="251">
        <v>17.917999999999999</v>
      </c>
      <c r="BY383" s="256">
        <v>42200</v>
      </c>
      <c r="CD383" s="257">
        <v>7.3</v>
      </c>
      <c r="CE383" s="159">
        <v>42191</v>
      </c>
      <c r="CM383" s="255">
        <v>3</v>
      </c>
      <c r="CN383" s="256">
        <v>42180</v>
      </c>
      <c r="CO383" s="140" t="s">
        <v>8447</v>
      </c>
    </row>
    <row r="384" spans="1:93" ht="15" customHeight="1">
      <c r="A384" s="124" t="s">
        <v>7612</v>
      </c>
      <c r="B384" s="161" t="s">
        <v>7467</v>
      </c>
      <c r="C384" s="268" t="s">
        <v>269</v>
      </c>
      <c r="D384" s="257">
        <v>1</v>
      </c>
      <c r="E384" s="183">
        <v>26</v>
      </c>
      <c r="F384" s="257">
        <v>2</v>
      </c>
      <c r="G384" s="257">
        <v>12</v>
      </c>
      <c r="L384" s="257">
        <v>9</v>
      </c>
      <c r="N384" s="257">
        <v>4.17</v>
      </c>
      <c r="O384" s="159">
        <v>42191</v>
      </c>
      <c r="T384" s="257">
        <v>11.26</v>
      </c>
      <c r="U384" s="256">
        <v>42200</v>
      </c>
      <c r="V384" s="145">
        <v>18.5</v>
      </c>
      <c r="W384" s="159">
        <v>42191</v>
      </c>
      <c r="AD384" s="145">
        <f>(N384/V384)*(((100-CD384)/100)*((100-2)/100))*100</f>
        <v>20.631807567567567</v>
      </c>
      <c r="AF384" s="257">
        <v>23.59</v>
      </c>
      <c r="AG384" s="159">
        <v>42191</v>
      </c>
      <c r="AJ384" s="257">
        <v>160</v>
      </c>
      <c r="AN384" s="257">
        <v>106</v>
      </c>
      <c r="BB384" s="257">
        <v>7</v>
      </c>
      <c r="BN384" s="251">
        <v>58.689</v>
      </c>
      <c r="BO384" s="256">
        <v>42200</v>
      </c>
      <c r="BT384" s="251">
        <v>47.750778198242188</v>
      </c>
      <c r="BU384" s="256">
        <v>42200</v>
      </c>
      <c r="BV384" s="251">
        <v>21.101606369018555</v>
      </c>
      <c r="BW384" s="256">
        <v>42200</v>
      </c>
      <c r="BX384" s="251">
        <v>72.736999999999995</v>
      </c>
      <c r="BY384" s="256">
        <v>42200</v>
      </c>
      <c r="CD384" s="257">
        <v>6.6</v>
      </c>
      <c r="CE384" s="159">
        <v>42191</v>
      </c>
      <c r="CM384" s="255">
        <v>3</v>
      </c>
      <c r="CN384" s="256">
        <v>42180</v>
      </c>
      <c r="CO384" s="140" t="s">
        <v>8447</v>
      </c>
    </row>
    <row r="385" spans="1:93" ht="15">
      <c r="A385" s="124" t="s">
        <v>7641</v>
      </c>
      <c r="B385" s="161" t="s">
        <v>7493</v>
      </c>
      <c r="C385" s="268" t="s">
        <v>269</v>
      </c>
      <c r="D385" s="243">
        <v>2</v>
      </c>
      <c r="E385" s="241">
        <v>55</v>
      </c>
      <c r="F385" s="244">
        <v>11</v>
      </c>
      <c r="G385" s="245">
        <v>10</v>
      </c>
      <c r="L385" s="254">
        <v>5</v>
      </c>
      <c r="N385" s="246">
        <v>4.18</v>
      </c>
      <c r="O385" s="159">
        <v>42191</v>
      </c>
      <c r="T385" s="247">
        <v>12.67</v>
      </c>
      <c r="U385" s="256">
        <v>42200</v>
      </c>
      <c r="V385" s="145">
        <v>18.5</v>
      </c>
      <c r="W385" s="159">
        <v>42191</v>
      </c>
      <c r="AD385" s="145">
        <f>(N385/V385)*(((100-CD385)/100)*((100-2)/100))*100</f>
        <v>20.63699891891892</v>
      </c>
      <c r="AF385" s="248">
        <v>23.59</v>
      </c>
      <c r="AG385" s="159">
        <v>42191</v>
      </c>
      <c r="AJ385" s="249">
        <v>130</v>
      </c>
      <c r="AN385" s="250">
        <v>106</v>
      </c>
      <c r="BB385" s="257">
        <v>7</v>
      </c>
      <c r="BN385" s="251">
        <v>64.512</v>
      </c>
      <c r="BO385" s="256">
        <v>42200</v>
      </c>
      <c r="BT385" s="251">
        <v>53.713310241699219</v>
      </c>
      <c r="BU385" s="256">
        <v>42200</v>
      </c>
      <c r="BV385" s="251">
        <v>14.852480888366699</v>
      </c>
      <c r="BW385" s="256">
        <v>42200</v>
      </c>
      <c r="BX385" s="251">
        <v>19.733000000000001</v>
      </c>
      <c r="BY385" s="256">
        <v>42200</v>
      </c>
      <c r="CD385" s="253">
        <v>6.8</v>
      </c>
      <c r="CE385" s="159">
        <v>42191</v>
      </c>
      <c r="CM385" s="255">
        <v>3</v>
      </c>
      <c r="CN385" s="256">
        <v>42180</v>
      </c>
      <c r="CO385" s="140" t="s">
        <v>8448</v>
      </c>
    </row>
    <row r="386" spans="1:93" ht="15" customHeight="1">
      <c r="A386" s="267" t="s">
        <v>8462</v>
      </c>
      <c r="B386" s="161" t="s">
        <v>8485</v>
      </c>
      <c r="C386" s="268" t="s">
        <v>267</v>
      </c>
      <c r="D386" s="269">
        <v>3</v>
      </c>
      <c r="E386" s="270">
        <v>13</v>
      </c>
      <c r="F386" s="269"/>
      <c r="G386" s="269"/>
      <c r="H386" s="271">
        <v>14</v>
      </c>
      <c r="I386" s="271">
        <v>1</v>
      </c>
      <c r="J386" s="282"/>
      <c r="K386" s="273"/>
      <c r="L386" s="269">
        <v>7</v>
      </c>
      <c r="M386" s="274"/>
      <c r="N386" s="269">
        <v>4.26</v>
      </c>
      <c r="O386" s="274">
        <v>42191</v>
      </c>
      <c r="P386" s="272"/>
      <c r="Q386" s="274"/>
      <c r="R386" s="275"/>
      <c r="S386" s="274"/>
      <c r="T386" s="269">
        <v>11.3</v>
      </c>
      <c r="U386" s="276">
        <v>42200</v>
      </c>
      <c r="V386" s="275">
        <v>18.5</v>
      </c>
      <c r="W386" s="274">
        <v>42191</v>
      </c>
      <c r="X386" s="275"/>
      <c r="Y386" s="274"/>
      <c r="Z386" s="275"/>
      <c r="AA386" s="274"/>
      <c r="AB386" s="275"/>
      <c r="AC386" s="274"/>
      <c r="AD386" s="145">
        <f>(N386/V386)*(((100-CD386)/100)*((100-2)/100))*100</f>
        <v>20.648335135135135</v>
      </c>
      <c r="AE386" s="274"/>
      <c r="AF386" s="269">
        <v>23.6</v>
      </c>
      <c r="AG386" s="274">
        <v>42191</v>
      </c>
      <c r="AH386" s="274"/>
      <c r="AI386" s="274"/>
      <c r="AJ386" s="269">
        <v>120</v>
      </c>
      <c r="AK386" s="274"/>
      <c r="AL386" s="275"/>
      <c r="AM386" s="274"/>
      <c r="AN386" s="269">
        <v>106</v>
      </c>
      <c r="AO386" s="274"/>
      <c r="AP386" s="275"/>
      <c r="AQ386" s="275"/>
      <c r="AR386" s="275"/>
      <c r="AS386" s="275"/>
      <c r="AT386" s="275"/>
      <c r="AU386" s="275"/>
      <c r="AV386" s="275"/>
      <c r="AW386" s="275"/>
      <c r="AX386" s="275"/>
      <c r="AY386" s="275"/>
      <c r="AZ386" s="275"/>
      <c r="BA386" s="275"/>
      <c r="BB386" s="269">
        <v>7</v>
      </c>
      <c r="BC386" s="275"/>
      <c r="BD386" s="275"/>
      <c r="BE386" s="275"/>
      <c r="BF386" s="272"/>
      <c r="BG386" s="272"/>
      <c r="BH386" s="272"/>
      <c r="BI386" s="272"/>
      <c r="BJ386" s="272"/>
      <c r="BK386" s="272"/>
      <c r="BL386" s="272"/>
      <c r="BM386" s="272"/>
      <c r="BN386" s="284">
        <v>63.073999999999998</v>
      </c>
      <c r="BO386" s="276">
        <v>42200</v>
      </c>
      <c r="BP386" s="272"/>
      <c r="BQ386" s="272"/>
      <c r="BR386" s="272"/>
      <c r="BS386" s="272"/>
      <c r="BT386" s="284">
        <v>47.88</v>
      </c>
      <c r="BU386" s="276">
        <v>42200</v>
      </c>
      <c r="BV386" s="284">
        <v>19.262355804443359</v>
      </c>
      <c r="BW386" s="276">
        <v>42200</v>
      </c>
      <c r="BX386" s="284">
        <v>25.106000000000002</v>
      </c>
      <c r="BY386" s="276">
        <v>42200</v>
      </c>
      <c r="BZ386" s="272"/>
      <c r="CA386" s="272"/>
      <c r="CB386" s="272"/>
      <c r="CC386" s="272"/>
      <c r="CD386" s="269">
        <v>8.5</v>
      </c>
      <c r="CE386" s="274">
        <v>42191</v>
      </c>
      <c r="CF386" s="272"/>
      <c r="CG386" s="272"/>
      <c r="CH386" s="272"/>
      <c r="CI386" s="272"/>
      <c r="CJ386" s="272"/>
      <c r="CK386" s="272"/>
      <c r="CL386" s="272"/>
      <c r="CM386" s="278">
        <v>7</v>
      </c>
      <c r="CN386" s="276">
        <v>42180</v>
      </c>
      <c r="CO386" s="272" t="s">
        <v>8447</v>
      </c>
    </row>
    <row r="387" spans="1:93" ht="15">
      <c r="A387" s="124" t="s">
        <v>7744</v>
      </c>
      <c r="B387" s="161" t="s">
        <v>7568</v>
      </c>
      <c r="C387" s="268" t="s">
        <v>267</v>
      </c>
      <c r="D387" s="243">
        <v>4</v>
      </c>
      <c r="E387" s="183">
        <v>158</v>
      </c>
      <c r="F387" s="244">
        <v>21</v>
      </c>
      <c r="G387" s="245">
        <v>13</v>
      </c>
      <c r="L387" s="254">
        <v>8</v>
      </c>
      <c r="N387" s="246">
        <v>4.24</v>
      </c>
      <c r="O387" s="159">
        <v>42191</v>
      </c>
      <c r="T387" s="247">
        <v>12.01</v>
      </c>
      <c r="U387" s="256">
        <v>42200</v>
      </c>
      <c r="V387" s="145">
        <v>18.5</v>
      </c>
      <c r="W387" s="159">
        <v>42191</v>
      </c>
      <c r="AD387" s="145">
        <f>(N387/V387)*(((100-CD387)/100)*((100-2)/100))*100</f>
        <v>20.663697297297301</v>
      </c>
      <c r="AF387" s="248">
        <v>23.62</v>
      </c>
      <c r="AG387" s="159">
        <v>42191</v>
      </c>
      <c r="AJ387" s="249">
        <v>120</v>
      </c>
      <c r="AN387" s="250">
        <v>102</v>
      </c>
      <c r="BB387" s="257">
        <v>7</v>
      </c>
      <c r="BN387" s="251">
        <v>63.755000000000003</v>
      </c>
      <c r="BO387" s="256">
        <v>42200</v>
      </c>
      <c r="BT387" s="251">
        <v>50.840850830078125</v>
      </c>
      <c r="BU387" s="256">
        <v>42200</v>
      </c>
      <c r="BV387" s="251">
        <v>17.064546585083008</v>
      </c>
      <c r="BW387" s="256">
        <v>42200</v>
      </c>
      <c r="BX387" s="251">
        <v>18.376000000000001</v>
      </c>
      <c r="BY387" s="256">
        <v>42200</v>
      </c>
      <c r="CD387" s="253">
        <v>8</v>
      </c>
      <c r="CE387" s="159">
        <v>42191</v>
      </c>
      <c r="CM387" s="255">
        <v>3</v>
      </c>
      <c r="CN387" s="256">
        <v>42180</v>
      </c>
      <c r="CO387" s="140" t="s">
        <v>8447</v>
      </c>
    </row>
    <row r="388" spans="1:93" ht="15">
      <c r="A388" s="124" t="s">
        <v>7621</v>
      </c>
      <c r="B388" s="161" t="s">
        <v>262</v>
      </c>
      <c r="C388" s="268" t="s">
        <v>267</v>
      </c>
      <c r="D388" s="243">
        <v>4</v>
      </c>
      <c r="E388" s="183">
        <v>35</v>
      </c>
      <c r="F388" s="244">
        <v>21</v>
      </c>
      <c r="G388" s="245">
        <v>3</v>
      </c>
      <c r="L388" s="254">
        <v>8</v>
      </c>
      <c r="N388" s="246">
        <v>4.26</v>
      </c>
      <c r="O388" s="159">
        <v>42191</v>
      </c>
      <c r="T388" s="247">
        <v>12.38</v>
      </c>
      <c r="U388" s="256">
        <v>42200</v>
      </c>
      <c r="V388" s="145">
        <v>18.5</v>
      </c>
      <c r="W388" s="159">
        <v>42191</v>
      </c>
      <c r="AD388" s="145">
        <f>(N388/V388)*(((100-CD388)/100)*((100-2)/100))*100</f>
        <v>20.693468108108107</v>
      </c>
      <c r="AF388" s="248">
        <f>(N388/V388)*(((100-CD388)/(100-9))*100)</f>
        <v>23.204158004158003</v>
      </c>
      <c r="AG388" s="159">
        <v>42191</v>
      </c>
      <c r="AJ388" s="249">
        <v>110</v>
      </c>
      <c r="AN388" s="250">
        <v>102</v>
      </c>
      <c r="BB388" s="257">
        <v>7</v>
      </c>
      <c r="BN388" s="251">
        <v>61.362000000000002</v>
      </c>
      <c r="BO388" s="256">
        <v>42200</v>
      </c>
      <c r="BT388" s="251">
        <v>52.334568023681641</v>
      </c>
      <c r="BU388" s="256">
        <v>42200</v>
      </c>
      <c r="BV388" s="251">
        <v>18.091655731201172</v>
      </c>
      <c r="BW388" s="256">
        <v>42200</v>
      </c>
      <c r="BX388" s="251">
        <v>53.052</v>
      </c>
      <c r="BY388" s="256">
        <v>42200</v>
      </c>
      <c r="CD388" s="253">
        <v>8.3000000000000007</v>
      </c>
      <c r="CE388" s="159">
        <v>42191</v>
      </c>
      <c r="CM388" s="255">
        <v>1</v>
      </c>
      <c r="CN388" s="256">
        <v>42180</v>
      </c>
      <c r="CO388" s="140" t="s">
        <v>8447</v>
      </c>
    </row>
    <row r="389" spans="1:93" ht="15" customHeight="1">
      <c r="A389" s="124" t="s">
        <v>7615</v>
      </c>
      <c r="B389" s="161" t="s">
        <v>7469</v>
      </c>
      <c r="C389" s="268" t="s">
        <v>269</v>
      </c>
      <c r="D389" s="257">
        <v>2</v>
      </c>
      <c r="E389" s="183">
        <v>29</v>
      </c>
      <c r="F389" s="257">
        <v>9</v>
      </c>
      <c r="G389" s="257">
        <v>14</v>
      </c>
      <c r="L389" s="257">
        <v>7</v>
      </c>
      <c r="N389" s="257">
        <v>4.1900000000000004</v>
      </c>
      <c r="O389" s="159">
        <v>42191</v>
      </c>
      <c r="T389" s="257">
        <v>11.35</v>
      </c>
      <c r="U389" s="256">
        <v>42200</v>
      </c>
      <c r="V389" s="145">
        <v>18.5</v>
      </c>
      <c r="W389" s="159">
        <v>42191</v>
      </c>
      <c r="AD389" s="145">
        <f>(N389/V389)*(((100-CD389)/100)*((100-2)/100))*100</f>
        <v>20.730761081081084</v>
      </c>
      <c r="AF389" s="257">
        <f>(N389/V389)*(((100-CD389)/(100-9))*100)</f>
        <v>23.245975645975651</v>
      </c>
      <c r="AG389" s="159">
        <v>42191</v>
      </c>
      <c r="AJ389" s="257">
        <v>145</v>
      </c>
      <c r="AN389" s="257">
        <v>101</v>
      </c>
      <c r="BB389" s="257">
        <v>7</v>
      </c>
      <c r="BN389" s="251">
        <v>60.914999999999999</v>
      </c>
      <c r="BO389" s="256">
        <v>42200</v>
      </c>
      <c r="BT389" s="251">
        <v>47.902210235595703</v>
      </c>
      <c r="BU389" s="256">
        <v>42200</v>
      </c>
      <c r="BV389" s="251">
        <v>21.532800674438477</v>
      </c>
      <c r="BW389" s="256">
        <v>42200</v>
      </c>
      <c r="BX389" s="251">
        <v>72.453000000000003</v>
      </c>
      <c r="BY389" s="256">
        <v>42200</v>
      </c>
      <c r="CD389" s="257">
        <v>6.6</v>
      </c>
      <c r="CE389" s="159">
        <v>42191</v>
      </c>
      <c r="CM389" s="255">
        <v>1</v>
      </c>
      <c r="CN389" s="256">
        <v>42180</v>
      </c>
      <c r="CO389" s="140" t="s">
        <v>8448</v>
      </c>
    </row>
    <row r="390" spans="1:93" ht="15" customHeight="1">
      <c r="A390" s="124" t="s">
        <v>7682</v>
      </c>
      <c r="B390" s="161" t="s">
        <v>7529</v>
      </c>
      <c r="C390" s="268" t="s">
        <v>269</v>
      </c>
      <c r="D390" s="257">
        <v>2</v>
      </c>
      <c r="E390" s="183">
        <v>96</v>
      </c>
      <c r="F390" s="257">
        <v>11</v>
      </c>
      <c r="G390" s="257">
        <v>23</v>
      </c>
      <c r="L390" s="257">
        <v>6</v>
      </c>
      <c r="N390" s="257">
        <v>4.2</v>
      </c>
      <c r="O390" s="159">
        <v>42191</v>
      </c>
      <c r="T390" s="257">
        <v>12.07</v>
      </c>
      <c r="U390" s="256">
        <v>42200</v>
      </c>
      <c r="V390" s="145">
        <v>18.5</v>
      </c>
      <c r="W390" s="159">
        <v>42191</v>
      </c>
      <c r="AD390" s="145">
        <f>(N390/V390)*(((100-CD390)/100)*((100-2)/100))*100</f>
        <v>20.735740540540544</v>
      </c>
      <c r="AF390" s="257">
        <v>23.7</v>
      </c>
      <c r="AG390" s="159">
        <v>42191</v>
      </c>
      <c r="AJ390" s="257">
        <v>125</v>
      </c>
      <c r="AN390" s="257">
        <v>102</v>
      </c>
      <c r="BB390" s="257">
        <v>7</v>
      </c>
      <c r="BN390" s="251">
        <v>66.697999999999993</v>
      </c>
      <c r="BO390" s="256">
        <v>42200</v>
      </c>
      <c r="BT390" s="251">
        <v>50.905242919921875</v>
      </c>
      <c r="BU390" s="256">
        <v>42200</v>
      </c>
      <c r="BV390" s="251">
        <v>16.574653625488281</v>
      </c>
      <c r="BW390" s="256">
        <v>42200</v>
      </c>
      <c r="BX390" s="251">
        <v>18.536000000000001</v>
      </c>
      <c r="BY390" s="256">
        <v>42200</v>
      </c>
      <c r="CD390" s="257">
        <v>6.8</v>
      </c>
      <c r="CE390" s="159">
        <v>42191</v>
      </c>
      <c r="CM390" s="255">
        <v>3</v>
      </c>
      <c r="CN390" s="256">
        <v>42180</v>
      </c>
      <c r="CO390" s="140" t="s">
        <v>8448</v>
      </c>
    </row>
    <row r="391" spans="1:93" ht="15" customHeight="1">
      <c r="A391" s="137" t="s">
        <v>8462</v>
      </c>
      <c r="B391" s="161" t="s">
        <v>8485</v>
      </c>
      <c r="C391" s="268" t="s">
        <v>267</v>
      </c>
      <c r="D391" s="269">
        <v>4</v>
      </c>
      <c r="E391" s="280">
        <v>13</v>
      </c>
      <c r="F391" s="269"/>
      <c r="G391" s="269"/>
      <c r="H391" s="271">
        <v>23</v>
      </c>
      <c r="I391" s="271">
        <v>4</v>
      </c>
      <c r="J391" s="282"/>
      <c r="K391" s="273"/>
      <c r="L391" s="269">
        <v>8</v>
      </c>
      <c r="M391" s="274"/>
      <c r="N391" s="269">
        <v>4.26</v>
      </c>
      <c r="O391" s="274">
        <v>42191</v>
      </c>
      <c r="P391" s="272"/>
      <c r="Q391" s="274"/>
      <c r="R391" s="275"/>
      <c r="S391" s="274"/>
      <c r="T391" s="269">
        <v>11.33</v>
      </c>
      <c r="U391" s="276">
        <v>42200</v>
      </c>
      <c r="V391" s="275">
        <v>18.5</v>
      </c>
      <c r="W391" s="274">
        <v>42191</v>
      </c>
      <c r="X391" s="275"/>
      <c r="Y391" s="274"/>
      <c r="Z391" s="275"/>
      <c r="AA391" s="274"/>
      <c r="AB391" s="275"/>
      <c r="AC391" s="274"/>
      <c r="AD391" s="145">
        <f>(N391/V391)*(((100-CD391)/100)*((100-2)/100))*100</f>
        <v>20.738601081081079</v>
      </c>
      <c r="AE391" s="274"/>
      <c r="AF391" s="269">
        <v>23.71</v>
      </c>
      <c r="AG391" s="274">
        <v>42191</v>
      </c>
      <c r="AH391" s="274"/>
      <c r="AI391" s="274"/>
      <c r="AJ391" s="269">
        <v>125</v>
      </c>
      <c r="AK391" s="274"/>
      <c r="AL391" s="275"/>
      <c r="AM391" s="274"/>
      <c r="AN391" s="269">
        <v>104</v>
      </c>
      <c r="AO391" s="274"/>
      <c r="AP391" s="275"/>
      <c r="AQ391" s="275"/>
      <c r="AR391" s="275"/>
      <c r="AS391" s="275"/>
      <c r="AT391" s="275"/>
      <c r="AU391" s="275"/>
      <c r="AV391" s="275"/>
      <c r="AW391" s="275"/>
      <c r="AX391" s="275"/>
      <c r="AY391" s="275"/>
      <c r="AZ391" s="275"/>
      <c r="BA391" s="275"/>
      <c r="BB391" s="269">
        <v>7</v>
      </c>
      <c r="BC391" s="275"/>
      <c r="BD391" s="275"/>
      <c r="BE391" s="275"/>
      <c r="BF391" s="272"/>
      <c r="BG391" s="272"/>
      <c r="BH391" s="272"/>
      <c r="BI391" s="272"/>
      <c r="BJ391" s="272"/>
      <c r="BK391" s="272"/>
      <c r="BL391" s="272"/>
      <c r="BM391" s="272"/>
      <c r="BN391" s="284">
        <v>63.438000000000002</v>
      </c>
      <c r="BO391" s="276">
        <v>42200</v>
      </c>
      <c r="BP391" s="272"/>
      <c r="BQ391" s="272"/>
      <c r="BR391" s="272"/>
      <c r="BS391" s="272"/>
      <c r="BT391" s="284">
        <v>47.79</v>
      </c>
      <c r="BU391" s="276">
        <v>42200</v>
      </c>
      <c r="BV391" s="284">
        <v>18.501640319824219</v>
      </c>
      <c r="BW391" s="276">
        <v>42200</v>
      </c>
      <c r="BX391" s="284">
        <v>22.823</v>
      </c>
      <c r="BY391" s="276">
        <v>42200</v>
      </c>
      <c r="BZ391" s="272"/>
      <c r="CA391" s="272"/>
      <c r="CB391" s="272"/>
      <c r="CC391" s="272"/>
      <c r="CD391" s="269">
        <v>8.1</v>
      </c>
      <c r="CE391" s="274">
        <v>42191</v>
      </c>
      <c r="CF391" s="272"/>
      <c r="CG391" s="272"/>
      <c r="CH391" s="272"/>
      <c r="CI391" s="272"/>
      <c r="CJ391" s="272"/>
      <c r="CK391" s="272"/>
      <c r="CL391" s="272"/>
      <c r="CM391" s="278">
        <v>5</v>
      </c>
      <c r="CN391" s="276">
        <v>42180</v>
      </c>
      <c r="CO391" s="272" t="s">
        <v>8447</v>
      </c>
    </row>
    <row r="392" spans="1:93" ht="15">
      <c r="A392" s="124" t="s">
        <v>7602</v>
      </c>
      <c r="B392" s="161" t="s">
        <v>7458</v>
      </c>
      <c r="C392" s="268" t="s">
        <v>267</v>
      </c>
      <c r="D392" s="243">
        <v>3</v>
      </c>
      <c r="E392" s="183">
        <v>16</v>
      </c>
      <c r="F392" s="244">
        <v>14</v>
      </c>
      <c r="G392" s="245">
        <v>8</v>
      </c>
      <c r="J392" s="266"/>
      <c r="L392" s="254">
        <v>9</v>
      </c>
      <c r="N392" s="246">
        <v>4.2699999999999996</v>
      </c>
      <c r="O392" s="159">
        <v>42191</v>
      </c>
      <c r="P392" s="144"/>
      <c r="R392" s="145"/>
      <c r="T392" s="247">
        <v>11.61</v>
      </c>
      <c r="U392" s="256">
        <v>42200</v>
      </c>
      <c r="V392" s="145">
        <v>18.5</v>
      </c>
      <c r="W392" s="159">
        <v>42191</v>
      </c>
      <c r="X392" s="145"/>
      <c r="Z392" s="145"/>
      <c r="AB392" s="145"/>
      <c r="AD392" s="145">
        <f>(N392/V392)*(((100-CD392)/100)*((100-2)/100))*100</f>
        <v>20.742044324324322</v>
      </c>
      <c r="AF392" s="248">
        <v>23.71</v>
      </c>
      <c r="AG392" s="159">
        <v>42191</v>
      </c>
      <c r="AJ392" s="249">
        <v>130</v>
      </c>
      <c r="AL392" s="145"/>
      <c r="AN392" s="250">
        <v>101</v>
      </c>
      <c r="BB392" s="257">
        <v>9</v>
      </c>
      <c r="BN392" s="251">
        <v>67.012</v>
      </c>
      <c r="BO392" s="256">
        <v>42200</v>
      </c>
      <c r="BT392" s="251">
        <v>48.948467254638672</v>
      </c>
      <c r="BU392" s="256">
        <v>42200</v>
      </c>
      <c r="BV392" s="251">
        <v>18.728504180908203</v>
      </c>
      <c r="BW392" s="256">
        <v>42200</v>
      </c>
      <c r="BX392" s="251">
        <v>57.758000000000003</v>
      </c>
      <c r="BY392" s="256">
        <v>42200</v>
      </c>
      <c r="CD392" s="253">
        <v>8.3000000000000007</v>
      </c>
      <c r="CE392" s="159">
        <v>42191</v>
      </c>
      <c r="CM392" s="255">
        <v>5</v>
      </c>
      <c r="CN392" s="256">
        <v>42180</v>
      </c>
      <c r="CO392" s="140" t="s">
        <v>8447</v>
      </c>
    </row>
    <row r="393" spans="1:93" ht="15">
      <c r="A393" s="124" t="s">
        <v>7675</v>
      </c>
      <c r="B393" s="161" t="s">
        <v>7524</v>
      </c>
      <c r="C393" s="268" t="s">
        <v>269</v>
      </c>
      <c r="D393" s="243">
        <v>2</v>
      </c>
      <c r="E393" s="183">
        <v>89</v>
      </c>
      <c r="F393" s="244">
        <v>7</v>
      </c>
      <c r="G393" s="245">
        <v>8</v>
      </c>
      <c r="L393" s="254">
        <v>9</v>
      </c>
      <c r="N393" s="246">
        <v>4.21</v>
      </c>
      <c r="O393" s="159">
        <v>42191</v>
      </c>
      <c r="T393" s="247">
        <v>12.57</v>
      </c>
      <c r="U393" s="256">
        <v>42200</v>
      </c>
      <c r="V393" s="145">
        <v>18.5</v>
      </c>
      <c r="W393" s="159">
        <v>42191</v>
      </c>
      <c r="AD393" s="145">
        <f>(N393/V393)*(((100-CD393)/100)*((100-2)/100))*100</f>
        <v>20.762809729729732</v>
      </c>
      <c r="AF393" s="248">
        <f>(N393/V393)*(((100-CD393)/(100-9))*100)</f>
        <v>23.281912681912679</v>
      </c>
      <c r="AG393" s="159">
        <v>42191</v>
      </c>
      <c r="AJ393" s="249">
        <v>125</v>
      </c>
      <c r="AN393" s="250">
        <v>100</v>
      </c>
      <c r="BB393" s="257">
        <v>5</v>
      </c>
      <c r="BN393" s="251">
        <v>64.245999999999995</v>
      </c>
      <c r="BO393" s="256">
        <v>42200</v>
      </c>
      <c r="BT393" s="251">
        <v>52.974136352539062</v>
      </c>
      <c r="BU393" s="256">
        <v>42200</v>
      </c>
      <c r="BV393" s="251">
        <v>16.717988967895508</v>
      </c>
      <c r="BW393" s="256">
        <v>42200</v>
      </c>
      <c r="BX393" s="251">
        <v>10.895</v>
      </c>
      <c r="BY393" s="256">
        <v>42200</v>
      </c>
      <c r="CD393" s="253">
        <v>6.9</v>
      </c>
      <c r="CE393" s="159">
        <v>42191</v>
      </c>
      <c r="CM393" s="255">
        <v>1</v>
      </c>
      <c r="CN393" s="256">
        <v>42180</v>
      </c>
      <c r="CO393" s="140" t="s">
        <v>8448</v>
      </c>
    </row>
    <row r="394" spans="1:93" ht="15" customHeight="1">
      <c r="A394" s="137" t="s">
        <v>8460</v>
      </c>
      <c r="B394" s="161" t="s">
        <v>8483</v>
      </c>
      <c r="C394" s="268" t="s">
        <v>267</v>
      </c>
      <c r="D394" s="269">
        <v>3</v>
      </c>
      <c r="E394" s="280">
        <v>11</v>
      </c>
      <c r="F394" s="269"/>
      <c r="G394" s="269"/>
      <c r="H394" s="271">
        <v>16</v>
      </c>
      <c r="I394" s="271">
        <v>1</v>
      </c>
      <c r="J394" s="282"/>
      <c r="K394" s="273"/>
      <c r="L394" s="269">
        <v>9</v>
      </c>
      <c r="M394" s="274"/>
      <c r="N394" s="269">
        <v>4.29</v>
      </c>
      <c r="O394" s="274">
        <v>42191</v>
      </c>
      <c r="P394" s="272"/>
      <c r="Q394" s="274"/>
      <c r="R394" s="275"/>
      <c r="S394" s="274"/>
      <c r="T394" s="269">
        <v>11.02</v>
      </c>
      <c r="U394" s="276">
        <v>42200</v>
      </c>
      <c r="V394" s="275">
        <v>18.5</v>
      </c>
      <c r="W394" s="274">
        <v>42191</v>
      </c>
      <c r="X394" s="275"/>
      <c r="Y394" s="274"/>
      <c r="Z394" s="275"/>
      <c r="AA394" s="274"/>
      <c r="AB394" s="275"/>
      <c r="AC394" s="274"/>
      <c r="AD394" s="145">
        <f>(N394/V394)*(((100-CD394)/100)*((100-2)/100))*100</f>
        <v>20.77102054054054</v>
      </c>
      <c r="AE394" s="274"/>
      <c r="AF394" s="269">
        <v>23.74</v>
      </c>
      <c r="AG394" s="274">
        <v>42191</v>
      </c>
      <c r="AH394" s="274"/>
      <c r="AI394" s="274"/>
      <c r="AJ394" s="269">
        <v>125</v>
      </c>
      <c r="AK394" s="274"/>
      <c r="AL394" s="275"/>
      <c r="AM394" s="274"/>
      <c r="AN394" s="269">
        <v>101</v>
      </c>
      <c r="AO394" s="274"/>
      <c r="AP394" s="275"/>
      <c r="AQ394" s="275"/>
      <c r="AR394" s="275"/>
      <c r="AS394" s="275"/>
      <c r="AT394" s="275"/>
      <c r="AU394" s="275"/>
      <c r="AV394" s="275"/>
      <c r="AW394" s="275"/>
      <c r="AX394" s="275"/>
      <c r="AY394" s="275"/>
      <c r="AZ394" s="275"/>
      <c r="BA394" s="275"/>
      <c r="BB394" s="269">
        <v>7</v>
      </c>
      <c r="BC394" s="275"/>
      <c r="BD394" s="275"/>
      <c r="BE394" s="275"/>
      <c r="BF394" s="272"/>
      <c r="BG394" s="272"/>
      <c r="BH394" s="272"/>
      <c r="BI394" s="272"/>
      <c r="BJ394" s="272"/>
      <c r="BK394" s="272"/>
      <c r="BL394" s="272"/>
      <c r="BM394" s="272"/>
      <c r="BN394" s="284">
        <v>60.393000000000001</v>
      </c>
      <c r="BO394" s="276">
        <v>42200</v>
      </c>
      <c r="BP394" s="272"/>
      <c r="BQ394" s="272"/>
      <c r="BR394" s="272"/>
      <c r="BS394" s="272"/>
      <c r="BT394" s="284">
        <v>46.44</v>
      </c>
      <c r="BU394" s="276">
        <v>42200</v>
      </c>
      <c r="BV394" s="284">
        <v>20.494649887084961</v>
      </c>
      <c r="BW394" s="276">
        <v>42200</v>
      </c>
      <c r="BX394" s="284">
        <v>60.661000000000001</v>
      </c>
      <c r="BY394" s="276">
        <v>42200</v>
      </c>
      <c r="BZ394" s="272"/>
      <c r="CA394" s="272"/>
      <c r="CB394" s="272"/>
      <c r="CC394" s="272"/>
      <c r="CD394" s="269">
        <v>8.6</v>
      </c>
      <c r="CE394" s="274">
        <v>42191</v>
      </c>
      <c r="CF394" s="272"/>
      <c r="CG394" s="272"/>
      <c r="CH394" s="272"/>
      <c r="CI394" s="272"/>
      <c r="CJ394" s="272"/>
      <c r="CK394" s="272"/>
      <c r="CL394" s="272"/>
      <c r="CM394" s="278">
        <v>5</v>
      </c>
      <c r="CN394" s="276">
        <v>42180</v>
      </c>
      <c r="CO394" s="272" t="s">
        <v>8447</v>
      </c>
    </row>
    <row r="395" spans="1:93" ht="15">
      <c r="A395" s="124" t="s">
        <v>7708</v>
      </c>
      <c r="B395" s="161" t="s">
        <v>7783</v>
      </c>
      <c r="C395" s="268" t="s">
        <v>269</v>
      </c>
      <c r="D395" s="243">
        <v>2</v>
      </c>
      <c r="E395" s="183">
        <v>122</v>
      </c>
      <c r="F395" s="244">
        <v>9</v>
      </c>
      <c r="G395" s="245">
        <v>16</v>
      </c>
      <c r="L395" s="254">
        <v>9</v>
      </c>
      <c r="N395" s="246">
        <v>4.21</v>
      </c>
      <c r="O395" s="159">
        <v>42191</v>
      </c>
      <c r="T395" s="247">
        <v>11.3</v>
      </c>
      <c r="U395" s="256">
        <v>42200</v>
      </c>
      <c r="V395" s="145">
        <v>18.5</v>
      </c>
      <c r="W395" s="159">
        <v>42191</v>
      </c>
      <c r="AD395" s="145">
        <f>(N395/V395)*(((100-CD395)/100)*((100-2)/100))*100</f>
        <v>20.807412972972973</v>
      </c>
      <c r="AF395" s="248">
        <v>23.79</v>
      </c>
      <c r="AG395" s="159">
        <v>42191</v>
      </c>
      <c r="AJ395" s="249">
        <v>150</v>
      </c>
      <c r="AN395" s="250">
        <v>107</v>
      </c>
      <c r="BB395" s="257">
        <v>5</v>
      </c>
      <c r="BN395" s="251">
        <v>63.66</v>
      </c>
      <c r="BO395" s="256">
        <v>42200</v>
      </c>
      <c r="BT395" s="251">
        <v>47.480461120605469</v>
      </c>
      <c r="BU395" s="256">
        <v>42200</v>
      </c>
      <c r="BV395" s="251">
        <v>20.307373046875</v>
      </c>
      <c r="BW395" s="256">
        <v>42200</v>
      </c>
      <c r="BX395" s="251">
        <v>60.823</v>
      </c>
      <c r="BY395" s="256">
        <v>42200</v>
      </c>
      <c r="CD395" s="253">
        <v>6.7</v>
      </c>
      <c r="CE395" s="159">
        <v>42191</v>
      </c>
      <c r="CM395" s="255">
        <v>3</v>
      </c>
      <c r="CN395" s="256">
        <v>42180</v>
      </c>
      <c r="CO395" s="140" t="s">
        <v>8448</v>
      </c>
    </row>
    <row r="396" spans="1:93" ht="15">
      <c r="A396" s="124" t="s">
        <v>7605</v>
      </c>
      <c r="B396" s="161" t="s">
        <v>7460</v>
      </c>
      <c r="C396" s="268" t="s">
        <v>269</v>
      </c>
      <c r="D396" s="243">
        <v>1</v>
      </c>
      <c r="E396" s="183">
        <v>19</v>
      </c>
      <c r="F396" s="244">
        <v>2</v>
      </c>
      <c r="G396" s="245">
        <v>23</v>
      </c>
      <c r="J396" s="266"/>
      <c r="L396" s="254">
        <v>9</v>
      </c>
      <c r="N396" s="246">
        <v>4.24</v>
      </c>
      <c r="O396" s="159">
        <v>42191</v>
      </c>
      <c r="P396" s="144"/>
      <c r="R396" s="145"/>
      <c r="T396" s="247">
        <v>11.32</v>
      </c>
      <c r="U396" s="256">
        <v>42200</v>
      </c>
      <c r="V396" s="145">
        <v>18.5</v>
      </c>
      <c r="W396" s="159">
        <v>42191</v>
      </c>
      <c r="X396" s="145"/>
      <c r="Z396" s="145"/>
      <c r="AB396" s="145"/>
      <c r="AD396" s="145">
        <f>(N396/V396)*(((100-CD396)/100)*((100-2)/100))*100</f>
        <v>20.843381621621621</v>
      </c>
      <c r="AF396" s="248">
        <v>23.83</v>
      </c>
      <c r="AG396" s="159">
        <v>42191</v>
      </c>
      <c r="AJ396" s="249">
        <v>165</v>
      </c>
      <c r="AL396" s="145"/>
      <c r="AN396" s="250">
        <v>106</v>
      </c>
      <c r="BB396" s="257">
        <v>7</v>
      </c>
      <c r="BN396" s="251">
        <v>63.643000000000001</v>
      </c>
      <c r="BO396" s="256">
        <v>42200</v>
      </c>
      <c r="BT396" s="251">
        <v>47.518028259277344</v>
      </c>
      <c r="BU396" s="256">
        <v>42200</v>
      </c>
      <c r="BV396" s="251">
        <v>19.640161514282227</v>
      </c>
      <c r="BW396" s="256">
        <v>42200</v>
      </c>
      <c r="BX396" s="251">
        <v>57.862000000000002</v>
      </c>
      <c r="BY396" s="256">
        <v>42200</v>
      </c>
      <c r="CD396" s="253">
        <v>7.2</v>
      </c>
      <c r="CE396" s="159">
        <v>42191</v>
      </c>
      <c r="CM396" s="255">
        <v>3</v>
      </c>
      <c r="CN396" s="256">
        <v>42180</v>
      </c>
      <c r="CO396" s="140" t="s">
        <v>8447</v>
      </c>
    </row>
    <row r="397" spans="1:93" ht="15" customHeight="1">
      <c r="A397" s="124" t="s">
        <v>7663</v>
      </c>
      <c r="B397" s="161" t="s">
        <v>7512</v>
      </c>
      <c r="C397" s="268" t="s">
        <v>267</v>
      </c>
      <c r="D397" s="257">
        <v>4</v>
      </c>
      <c r="E397" s="183">
        <v>77</v>
      </c>
      <c r="F397" s="257">
        <v>23</v>
      </c>
      <c r="G397" s="257">
        <v>8</v>
      </c>
      <c r="L397" s="257">
        <v>6</v>
      </c>
      <c r="N397" s="257">
        <v>4.33</v>
      </c>
      <c r="O397" s="159">
        <v>42191</v>
      </c>
      <c r="T397" s="257">
        <v>12.4</v>
      </c>
      <c r="U397" s="256">
        <v>42200</v>
      </c>
      <c r="V397" s="145">
        <v>18.5</v>
      </c>
      <c r="W397" s="159">
        <v>42191</v>
      </c>
      <c r="AD397" s="145">
        <f>(N397/V397)*(((100-CD397)/100)*((100-2)/100))*100</f>
        <v>20.87294054054054</v>
      </c>
      <c r="AF397" s="257">
        <v>23.86</v>
      </c>
      <c r="AG397" s="159">
        <v>42191</v>
      </c>
      <c r="AJ397" s="257">
        <v>110</v>
      </c>
      <c r="AN397" s="257">
        <v>107</v>
      </c>
      <c r="BB397" s="257">
        <v>9</v>
      </c>
      <c r="BN397" s="251">
        <v>62.796999999999997</v>
      </c>
      <c r="BO397" s="256">
        <v>42200</v>
      </c>
      <c r="BT397" s="251">
        <v>51.963394165039063</v>
      </c>
      <c r="BU397" s="256">
        <v>42200</v>
      </c>
      <c r="BV397" s="251">
        <v>15.680389404296875</v>
      </c>
      <c r="BW397" s="256">
        <v>42200</v>
      </c>
      <c r="BX397" s="251">
        <v>17.513000000000002</v>
      </c>
      <c r="BY397" s="256">
        <v>42200</v>
      </c>
      <c r="CD397" s="257">
        <v>9</v>
      </c>
      <c r="CE397" s="159">
        <v>42191</v>
      </c>
      <c r="CM397" s="255">
        <v>5</v>
      </c>
      <c r="CN397" s="256">
        <v>42180</v>
      </c>
      <c r="CO397" s="140" t="s">
        <v>8447</v>
      </c>
    </row>
    <row r="398" spans="1:93" ht="15" customHeight="1">
      <c r="A398" s="124" t="s">
        <v>7630</v>
      </c>
      <c r="B398" s="161" t="s">
        <v>7483</v>
      </c>
      <c r="C398" s="268" t="s">
        <v>269</v>
      </c>
      <c r="D398" s="257">
        <v>1</v>
      </c>
      <c r="E398" s="183">
        <v>44</v>
      </c>
      <c r="F398" s="257">
        <v>4</v>
      </c>
      <c r="G398" s="257">
        <v>9</v>
      </c>
      <c r="L398" s="257">
        <v>9</v>
      </c>
      <c r="N398" s="257">
        <v>4.25</v>
      </c>
      <c r="O398" s="159">
        <v>42191</v>
      </c>
      <c r="T398" s="257">
        <v>11.55</v>
      </c>
      <c r="U398" s="256">
        <v>42200</v>
      </c>
      <c r="V398" s="145">
        <v>18.5</v>
      </c>
      <c r="W398" s="159">
        <v>42191</v>
      </c>
      <c r="AD398" s="145">
        <f>(N398/V398)*(((100-CD398)/100)*((100-2)/100))*100</f>
        <v>20.892540540540537</v>
      </c>
      <c r="AF398" s="257">
        <f>(N398/V398)*(((100-CD398)/(100-9))*100)</f>
        <v>23.427383427383425</v>
      </c>
      <c r="AG398" s="159">
        <v>42191</v>
      </c>
      <c r="AJ398" s="257">
        <v>155</v>
      </c>
      <c r="AN398" s="257">
        <v>108</v>
      </c>
      <c r="BB398" s="257">
        <v>7</v>
      </c>
      <c r="BN398" s="251">
        <v>59.829000000000001</v>
      </c>
      <c r="BO398" s="256">
        <v>42200</v>
      </c>
      <c r="BT398" s="251">
        <v>48.384208679199219</v>
      </c>
      <c r="BU398" s="256">
        <v>42200</v>
      </c>
      <c r="BV398" s="251">
        <v>17.482309341430664</v>
      </c>
      <c r="BW398" s="256">
        <v>42200</v>
      </c>
      <c r="BX398" s="251">
        <v>15.922000000000001</v>
      </c>
      <c r="BY398" s="256">
        <v>42200</v>
      </c>
      <c r="CD398" s="257">
        <v>7.2</v>
      </c>
      <c r="CE398" s="159">
        <v>42191</v>
      </c>
      <c r="CM398" s="255">
        <v>1</v>
      </c>
      <c r="CN398" s="256">
        <v>42180</v>
      </c>
      <c r="CO398" s="140" t="s">
        <v>8447</v>
      </c>
    </row>
    <row r="399" spans="1:93" ht="15" customHeight="1">
      <c r="A399" s="124" t="s">
        <v>7694</v>
      </c>
      <c r="B399" s="161" t="s">
        <v>7540</v>
      </c>
      <c r="C399" s="268" t="s">
        <v>267</v>
      </c>
      <c r="D399" s="257">
        <v>3</v>
      </c>
      <c r="E399" s="183">
        <v>108</v>
      </c>
      <c r="F399" s="257">
        <v>15</v>
      </c>
      <c r="G399" s="257">
        <v>30</v>
      </c>
      <c r="L399" s="257">
        <v>6</v>
      </c>
      <c r="N399" s="257">
        <v>4.2300000000000004</v>
      </c>
      <c r="O399" s="159">
        <v>42191</v>
      </c>
      <c r="T399" s="257">
        <v>12.38</v>
      </c>
      <c r="U399" s="256">
        <v>42200</v>
      </c>
      <c r="V399" s="145">
        <v>18.5</v>
      </c>
      <c r="W399" s="159">
        <v>42191</v>
      </c>
      <c r="AD399" s="145">
        <f>(N399/V399)*(((100-CD399)/100)*((100-2)/100))*100</f>
        <v>20.90626054054054</v>
      </c>
      <c r="AF399" s="257">
        <v>23.9</v>
      </c>
      <c r="AG399" s="159">
        <v>42191</v>
      </c>
      <c r="AJ399" s="257">
        <v>130</v>
      </c>
      <c r="AN399" s="257">
        <v>100</v>
      </c>
      <c r="BB399" s="257">
        <v>7</v>
      </c>
      <c r="BN399" s="251">
        <v>64.111999999999995</v>
      </c>
      <c r="BO399" s="256">
        <v>42200</v>
      </c>
      <c r="BT399" s="251">
        <v>51.780117034912109</v>
      </c>
      <c r="BU399" s="256">
        <v>42200</v>
      </c>
      <c r="BV399" s="251">
        <v>18.103387832641602</v>
      </c>
      <c r="BW399" s="256">
        <v>42200</v>
      </c>
      <c r="BX399" s="251">
        <v>25.207000000000001</v>
      </c>
      <c r="BY399" s="256">
        <v>42200</v>
      </c>
      <c r="CD399" s="257">
        <v>6.7</v>
      </c>
      <c r="CE399" s="159">
        <v>42191</v>
      </c>
      <c r="CM399" s="255">
        <v>3</v>
      </c>
      <c r="CN399" s="256">
        <v>42180</v>
      </c>
      <c r="CO399" s="140" t="s">
        <v>8447</v>
      </c>
    </row>
    <row r="400" spans="1:93" ht="15">
      <c r="A400" s="124" t="s">
        <v>7594</v>
      </c>
      <c r="B400" s="161" t="s">
        <v>7452</v>
      </c>
      <c r="C400" s="268" t="s">
        <v>267</v>
      </c>
      <c r="D400" s="243">
        <v>4</v>
      </c>
      <c r="E400" s="183">
        <v>8</v>
      </c>
      <c r="F400" s="244">
        <v>24</v>
      </c>
      <c r="G400" s="245">
        <v>8</v>
      </c>
      <c r="J400" s="266"/>
      <c r="L400" s="254">
        <v>9</v>
      </c>
      <c r="N400" s="246">
        <v>4.29</v>
      </c>
      <c r="O400" s="159">
        <v>42191</v>
      </c>
      <c r="P400" s="144"/>
      <c r="R400" s="145"/>
      <c r="T400" s="247">
        <v>12.59</v>
      </c>
      <c r="U400" s="256">
        <v>42200</v>
      </c>
      <c r="V400" s="145">
        <v>18.5</v>
      </c>
      <c r="W400" s="159">
        <v>42191</v>
      </c>
      <c r="X400" s="145"/>
      <c r="Z400" s="145"/>
      <c r="AB400" s="145"/>
      <c r="AD400" s="145">
        <f>(N400/V400)*(((100-CD400)/100)*((100-2)/100))*100</f>
        <v>20.907372972972972</v>
      </c>
      <c r="AF400" s="248">
        <v>23.9</v>
      </c>
      <c r="AG400" s="159">
        <v>42191</v>
      </c>
      <c r="AJ400" s="249">
        <v>140</v>
      </c>
      <c r="AL400" s="145"/>
      <c r="AN400" s="250">
        <v>109</v>
      </c>
      <c r="BB400" s="257">
        <v>9</v>
      </c>
      <c r="BN400" s="251">
        <v>66.052999999999997</v>
      </c>
      <c r="BO400" s="256">
        <v>42200</v>
      </c>
      <c r="BT400" s="251">
        <v>52.668769836425781</v>
      </c>
      <c r="BU400" s="256">
        <v>42200</v>
      </c>
      <c r="BV400" s="251">
        <v>16.768390655517578</v>
      </c>
      <c r="BW400" s="256">
        <v>42200</v>
      </c>
      <c r="BX400" s="251">
        <v>57.566000000000003</v>
      </c>
      <c r="BY400" s="256">
        <v>42200</v>
      </c>
      <c r="CD400" s="253">
        <v>8</v>
      </c>
      <c r="CE400" s="159">
        <v>42191</v>
      </c>
      <c r="CM400" s="255">
        <v>3</v>
      </c>
      <c r="CN400" s="256">
        <v>42180</v>
      </c>
      <c r="CO400" s="140" t="s">
        <v>8447</v>
      </c>
    </row>
    <row r="401" spans="1:93" ht="15">
      <c r="A401" s="124" t="s">
        <v>7683</v>
      </c>
      <c r="B401" s="161" t="s">
        <v>7530</v>
      </c>
      <c r="C401" s="268" t="s">
        <v>269</v>
      </c>
      <c r="D401" s="243">
        <v>2</v>
      </c>
      <c r="E401" s="183">
        <v>97</v>
      </c>
      <c r="F401" s="244">
        <v>8</v>
      </c>
      <c r="G401" s="245">
        <v>3</v>
      </c>
      <c r="L401" s="254">
        <v>9</v>
      </c>
      <c r="N401" s="246">
        <v>4.24</v>
      </c>
      <c r="O401" s="159">
        <v>42191</v>
      </c>
      <c r="T401" s="247">
        <v>12.31</v>
      </c>
      <c r="U401" s="256">
        <v>42200</v>
      </c>
      <c r="V401" s="145">
        <v>18.5</v>
      </c>
      <c r="W401" s="159">
        <v>42191</v>
      </c>
      <c r="AD401" s="145">
        <f>(N401/V401)*(((100-CD401)/100)*((100-2)/100))*100</f>
        <v>20.910763243243245</v>
      </c>
      <c r="AF401" s="248">
        <v>23.9</v>
      </c>
      <c r="AG401" s="159">
        <v>42191</v>
      </c>
      <c r="AJ401" s="249">
        <v>140</v>
      </c>
      <c r="AN401" s="250">
        <v>101</v>
      </c>
      <c r="BB401" s="257">
        <v>5</v>
      </c>
      <c r="BN401" s="251">
        <v>60.512999999999998</v>
      </c>
      <c r="BO401" s="256">
        <v>42200</v>
      </c>
      <c r="BT401" s="251">
        <v>51.500301361083984</v>
      </c>
      <c r="BU401" s="256">
        <v>42200</v>
      </c>
      <c r="BV401" s="251">
        <v>15.119001388549805</v>
      </c>
      <c r="BW401" s="256">
        <v>42200</v>
      </c>
      <c r="BX401" s="251">
        <v>16.594999999999999</v>
      </c>
      <c r="BY401" s="256">
        <v>42200</v>
      </c>
      <c r="CD401" s="253">
        <v>6.9</v>
      </c>
      <c r="CE401" s="159">
        <v>42191</v>
      </c>
      <c r="CM401" s="255">
        <v>3</v>
      </c>
      <c r="CN401" s="256">
        <v>42180</v>
      </c>
      <c r="CO401" s="140" t="s">
        <v>8448</v>
      </c>
    </row>
    <row r="402" spans="1:93" ht="15">
      <c r="A402" s="124" t="s">
        <v>7589</v>
      </c>
      <c r="B402" s="161" t="s">
        <v>7449</v>
      </c>
      <c r="C402" s="268" t="s">
        <v>269</v>
      </c>
      <c r="D402" s="243">
        <v>2</v>
      </c>
      <c r="E402" s="183">
        <v>3</v>
      </c>
      <c r="F402" s="244">
        <v>7</v>
      </c>
      <c r="G402" s="245">
        <v>3</v>
      </c>
      <c r="J402" s="266"/>
      <c r="L402" s="254">
        <v>9</v>
      </c>
      <c r="N402" s="246">
        <v>4.24</v>
      </c>
      <c r="O402" s="159">
        <v>42191</v>
      </c>
      <c r="P402" s="144"/>
      <c r="R402" s="145"/>
      <c r="T402" s="247">
        <v>12.28</v>
      </c>
      <c r="U402" s="256">
        <v>42200</v>
      </c>
      <c r="V402" s="145">
        <v>18.5</v>
      </c>
      <c r="W402" s="159">
        <v>42191</v>
      </c>
      <c r="X402" s="145"/>
      <c r="Z402" s="145"/>
      <c r="AB402" s="145"/>
      <c r="AD402" s="145">
        <f>(N402/V402)*(((100-CD402)/100)*((100-2)/100))*100</f>
        <v>20.933223783783784</v>
      </c>
      <c r="AF402" s="248">
        <f>(N402/V402)*(((100-CD402)/(100-9))*100)</f>
        <v>23.473002673002679</v>
      </c>
      <c r="AG402" s="159">
        <v>42191</v>
      </c>
      <c r="AJ402" s="249">
        <v>145</v>
      </c>
      <c r="AL402" s="145"/>
      <c r="AN402" s="250">
        <v>106</v>
      </c>
      <c r="BB402" s="257">
        <v>7</v>
      </c>
      <c r="BN402" s="251">
        <v>64.429000000000002</v>
      </c>
      <c r="BO402" s="256">
        <v>42200</v>
      </c>
      <c r="BT402" s="251">
        <v>51.307945251464844</v>
      </c>
      <c r="BU402" s="256">
        <v>42200</v>
      </c>
      <c r="BV402" s="251">
        <v>16.661344528198242</v>
      </c>
      <c r="BW402" s="256">
        <v>42200</v>
      </c>
      <c r="BX402" s="251">
        <v>71.355000000000004</v>
      </c>
      <c r="BY402" s="256">
        <v>42200</v>
      </c>
      <c r="CD402" s="253">
        <v>6.8</v>
      </c>
      <c r="CE402" s="159">
        <v>42191</v>
      </c>
      <c r="CM402" s="255">
        <v>1</v>
      </c>
      <c r="CN402" s="256">
        <v>42180</v>
      </c>
      <c r="CO402" s="140" t="s">
        <v>8448</v>
      </c>
    </row>
    <row r="403" spans="1:93" ht="15" customHeight="1">
      <c r="A403" s="124" t="s">
        <v>7674</v>
      </c>
      <c r="B403" s="161" t="s">
        <v>7523</v>
      </c>
      <c r="C403" s="268" t="s">
        <v>267</v>
      </c>
      <c r="D403" s="257">
        <v>4</v>
      </c>
      <c r="E403" s="183">
        <v>88</v>
      </c>
      <c r="F403" s="257">
        <v>24</v>
      </c>
      <c r="G403" s="257">
        <v>24</v>
      </c>
      <c r="L403" s="257">
        <v>8</v>
      </c>
      <c r="N403" s="257">
        <v>4.26</v>
      </c>
      <c r="O403" s="159">
        <v>42191</v>
      </c>
      <c r="T403" s="257">
        <v>11.78</v>
      </c>
      <c r="U403" s="256">
        <v>42200</v>
      </c>
      <c r="V403" s="145">
        <v>18.5</v>
      </c>
      <c r="W403" s="159">
        <v>42191</v>
      </c>
      <c r="AD403" s="145">
        <f>(N403/V403)*(((100-CD403)/100)*((100-2)/100))*100</f>
        <v>20.941699459459457</v>
      </c>
      <c r="AF403" s="257">
        <v>23.94</v>
      </c>
      <c r="AG403" s="159">
        <v>42191</v>
      </c>
      <c r="AJ403" s="257">
        <v>140</v>
      </c>
      <c r="AN403" s="257">
        <v>102</v>
      </c>
      <c r="BB403" s="257">
        <v>7</v>
      </c>
      <c r="BN403" s="251">
        <v>63.764000000000003</v>
      </c>
      <c r="BO403" s="256">
        <v>42200</v>
      </c>
      <c r="BT403" s="251">
        <v>49.216354370117188</v>
      </c>
      <c r="BU403" s="256">
        <v>42200</v>
      </c>
      <c r="BV403" s="251">
        <v>18.493810653686523</v>
      </c>
      <c r="BW403" s="256">
        <v>42200</v>
      </c>
      <c r="BX403" s="251">
        <v>16.597999999999999</v>
      </c>
      <c r="BY403" s="256">
        <v>42200</v>
      </c>
      <c r="CD403" s="257">
        <v>7.2</v>
      </c>
      <c r="CE403" s="159">
        <v>42191</v>
      </c>
      <c r="CM403" s="255">
        <v>3</v>
      </c>
      <c r="CN403" s="256">
        <v>42180</v>
      </c>
      <c r="CO403" s="140" t="s">
        <v>8447</v>
      </c>
    </row>
    <row r="404" spans="1:93" ht="15" customHeight="1">
      <c r="A404" s="124" t="s">
        <v>7698</v>
      </c>
      <c r="B404" s="161" t="s">
        <v>7544</v>
      </c>
      <c r="C404" s="268" t="s">
        <v>267</v>
      </c>
      <c r="D404" s="257">
        <v>4</v>
      </c>
      <c r="E404" s="183">
        <v>112</v>
      </c>
      <c r="F404" s="257">
        <v>20</v>
      </c>
      <c r="G404" s="257">
        <v>24</v>
      </c>
      <c r="L404" s="257">
        <v>9</v>
      </c>
      <c r="N404" s="257">
        <v>4.3099999999999996</v>
      </c>
      <c r="O404" s="159">
        <v>42191</v>
      </c>
      <c r="T404" s="257">
        <v>11.62</v>
      </c>
      <c r="U404" s="256">
        <v>42200</v>
      </c>
      <c r="V404" s="145">
        <v>18.5</v>
      </c>
      <c r="W404" s="159">
        <v>42191</v>
      </c>
      <c r="AD404" s="145">
        <f>(N404/V404)*(((100-CD404)/100)*((100-2)/100))*100</f>
        <v>20.98201189189189</v>
      </c>
      <c r="AF404" s="257">
        <v>23.99</v>
      </c>
      <c r="AG404" s="159">
        <v>42191</v>
      </c>
      <c r="AJ404" s="257">
        <v>110</v>
      </c>
      <c r="AN404" s="257">
        <v>103</v>
      </c>
      <c r="BB404" s="257">
        <v>5</v>
      </c>
      <c r="BN404" s="251">
        <v>62.96</v>
      </c>
      <c r="BO404" s="256">
        <v>42200</v>
      </c>
      <c r="BT404" s="251">
        <v>48.420494079589844</v>
      </c>
      <c r="BU404" s="256">
        <v>42200</v>
      </c>
      <c r="BV404" s="251">
        <v>18.008277893066406</v>
      </c>
      <c r="BW404" s="256">
        <v>42200</v>
      </c>
      <c r="BX404" s="251">
        <v>19.434000000000001</v>
      </c>
      <c r="BY404" s="256">
        <v>42200</v>
      </c>
      <c r="CD404" s="257">
        <v>8.1</v>
      </c>
      <c r="CE404" s="159">
        <v>42191</v>
      </c>
      <c r="CM404" s="255">
        <v>3</v>
      </c>
      <c r="CN404" s="256">
        <v>42180</v>
      </c>
      <c r="CO404" s="140" t="s">
        <v>8447</v>
      </c>
    </row>
    <row r="405" spans="1:93" ht="15">
      <c r="A405" s="124" t="s">
        <v>7598</v>
      </c>
      <c r="B405" s="161" t="s">
        <v>7455</v>
      </c>
      <c r="C405" s="268" t="s">
        <v>267</v>
      </c>
      <c r="D405" s="243">
        <v>4</v>
      </c>
      <c r="E405" s="183">
        <v>12</v>
      </c>
      <c r="F405" s="244">
        <v>24</v>
      </c>
      <c r="G405" s="245">
        <v>16</v>
      </c>
      <c r="J405" s="266"/>
      <c r="L405" s="254">
        <v>9</v>
      </c>
      <c r="N405" s="246">
        <v>4.2699999999999996</v>
      </c>
      <c r="O405" s="159">
        <v>42191</v>
      </c>
      <c r="P405" s="144"/>
      <c r="R405" s="145"/>
      <c r="T405" s="247">
        <v>11.61</v>
      </c>
      <c r="U405" s="256">
        <v>42200</v>
      </c>
      <c r="V405" s="145">
        <v>18.5</v>
      </c>
      <c r="W405" s="159">
        <v>42191</v>
      </c>
      <c r="X405" s="145"/>
      <c r="Z405" s="145"/>
      <c r="AB405" s="145"/>
      <c r="AD405" s="145">
        <f>(N405/V405)*(((100-CD405)/100)*((100-2)/100))*100</f>
        <v>21.013477837837836</v>
      </c>
      <c r="AF405" s="248">
        <f>(N405/V405)*(((100-CD405)/(100-9))*100)</f>
        <v>23.562993762993763</v>
      </c>
      <c r="AG405" s="159">
        <v>42191</v>
      </c>
      <c r="AJ405" s="249">
        <v>140</v>
      </c>
      <c r="AL405" s="145"/>
      <c r="AN405" s="250">
        <v>101</v>
      </c>
      <c r="BB405" s="257">
        <v>7</v>
      </c>
      <c r="BN405" s="251">
        <v>63.664999999999999</v>
      </c>
      <c r="BO405" s="256">
        <v>42200</v>
      </c>
      <c r="BT405" s="251">
        <v>48.35321044921875</v>
      </c>
      <c r="BU405" s="256">
        <v>42200</v>
      </c>
      <c r="BV405" s="251">
        <v>19.60331916809082</v>
      </c>
      <c r="BW405" s="256">
        <v>42200</v>
      </c>
      <c r="BX405" s="251">
        <v>61.954999999999998</v>
      </c>
      <c r="BY405" s="256">
        <v>42200</v>
      </c>
      <c r="CD405" s="253">
        <v>7.1</v>
      </c>
      <c r="CE405" s="159">
        <v>42191</v>
      </c>
      <c r="CM405" s="255">
        <v>1</v>
      </c>
      <c r="CN405" s="256">
        <v>42180</v>
      </c>
      <c r="CO405" s="140" t="s">
        <v>8447</v>
      </c>
    </row>
    <row r="406" spans="1:93" ht="15">
      <c r="A406" s="124" t="s">
        <v>7669</v>
      </c>
      <c r="B406" s="161" t="s">
        <v>7518</v>
      </c>
      <c r="C406" s="268" t="s">
        <v>267</v>
      </c>
      <c r="D406" s="243">
        <v>4</v>
      </c>
      <c r="E406" s="183">
        <v>83</v>
      </c>
      <c r="F406" s="244">
        <v>23</v>
      </c>
      <c r="G406" s="245">
        <v>3</v>
      </c>
      <c r="L406" s="254">
        <v>8</v>
      </c>
      <c r="N406" s="246">
        <v>4.3600000000000003</v>
      </c>
      <c r="O406" s="159">
        <v>42191</v>
      </c>
      <c r="T406" s="247">
        <v>12.31</v>
      </c>
      <c r="U406" s="256">
        <v>42200</v>
      </c>
      <c r="V406" s="145">
        <v>18.5</v>
      </c>
      <c r="W406" s="159">
        <v>42191</v>
      </c>
      <c r="AD406" s="145">
        <f>(N406/V406)*(((100-CD406)/100)*((100-2)/100))*100</f>
        <v>21.017556756756758</v>
      </c>
      <c r="AF406" s="248">
        <v>24.03</v>
      </c>
      <c r="AG406" s="159">
        <v>42191</v>
      </c>
      <c r="AJ406" s="249">
        <v>120</v>
      </c>
      <c r="AN406" s="250">
        <v>107</v>
      </c>
      <c r="BB406" s="257">
        <v>7</v>
      </c>
      <c r="BN406" s="251">
        <v>65.305999999999997</v>
      </c>
      <c r="BO406" s="256">
        <v>42200</v>
      </c>
      <c r="BT406" s="251">
        <v>51.215091705322266</v>
      </c>
      <c r="BU406" s="256">
        <v>42200</v>
      </c>
      <c r="BV406" s="251">
        <v>16.288547515869141</v>
      </c>
      <c r="BW406" s="256">
        <v>42200</v>
      </c>
      <c r="BX406" s="251">
        <v>17.207000000000001</v>
      </c>
      <c r="BY406" s="256">
        <v>42200</v>
      </c>
      <c r="CD406" s="253">
        <v>9</v>
      </c>
      <c r="CE406" s="159">
        <v>42191</v>
      </c>
      <c r="CM406" s="255">
        <v>3</v>
      </c>
      <c r="CN406" s="256">
        <v>42180</v>
      </c>
      <c r="CO406" s="140" t="s">
        <v>8447</v>
      </c>
    </row>
    <row r="407" spans="1:93" ht="15">
      <c r="A407" s="124" t="s">
        <v>7682</v>
      </c>
      <c r="B407" s="161" t="s">
        <v>7529</v>
      </c>
      <c r="C407" s="268" t="s">
        <v>267</v>
      </c>
      <c r="D407" s="243">
        <v>4</v>
      </c>
      <c r="E407" s="183">
        <v>96</v>
      </c>
      <c r="F407" s="244">
        <v>23</v>
      </c>
      <c r="G407" s="245">
        <v>13</v>
      </c>
      <c r="L407" s="254">
        <v>7</v>
      </c>
      <c r="N407" s="246">
        <v>4.32</v>
      </c>
      <c r="O407" s="159">
        <v>42191</v>
      </c>
      <c r="T407" s="247">
        <v>11.88</v>
      </c>
      <c r="U407" s="256">
        <v>42200</v>
      </c>
      <c r="V407" s="145">
        <v>18.5</v>
      </c>
      <c r="W407" s="159">
        <v>42191</v>
      </c>
      <c r="AD407" s="145">
        <f>(N407/V407)*(((100-CD407)/100)*((100-2)/100))*100</f>
        <v>21.030694054054052</v>
      </c>
      <c r="AF407" s="248">
        <v>24.04</v>
      </c>
      <c r="AG407" s="159">
        <v>42191</v>
      </c>
      <c r="AJ407" s="249">
        <v>120</v>
      </c>
      <c r="AN407" s="250">
        <v>103</v>
      </c>
      <c r="BB407" s="257">
        <v>9</v>
      </c>
      <c r="BN407" s="251">
        <v>65.915000000000006</v>
      </c>
      <c r="BO407" s="256">
        <v>42200</v>
      </c>
      <c r="BT407" s="251">
        <v>49.427825927734375</v>
      </c>
      <c r="BU407" s="256">
        <v>42200</v>
      </c>
      <c r="BV407" s="251">
        <v>17.401172637939453</v>
      </c>
      <c r="BW407" s="256">
        <v>42200</v>
      </c>
      <c r="BX407" s="251">
        <v>21.337</v>
      </c>
      <c r="BY407" s="256">
        <v>42200</v>
      </c>
      <c r="CD407" s="253">
        <v>8.1</v>
      </c>
      <c r="CE407" s="159">
        <v>42191</v>
      </c>
      <c r="CM407" s="255">
        <v>3</v>
      </c>
      <c r="CN407" s="256">
        <v>42180</v>
      </c>
      <c r="CO407" s="140" t="s">
        <v>8447</v>
      </c>
    </row>
    <row r="408" spans="1:93" ht="15">
      <c r="A408" s="124" t="s">
        <v>7640</v>
      </c>
      <c r="B408" s="161" t="s">
        <v>7492</v>
      </c>
      <c r="C408" s="268" t="s">
        <v>267</v>
      </c>
      <c r="D408" s="243">
        <v>4</v>
      </c>
      <c r="E408" s="183">
        <v>54</v>
      </c>
      <c r="F408" s="244">
        <v>24</v>
      </c>
      <c r="G408" s="245">
        <v>10</v>
      </c>
      <c r="L408" s="254">
        <v>8</v>
      </c>
      <c r="N408" s="246">
        <v>4.32</v>
      </c>
      <c r="O408" s="159">
        <v>42191</v>
      </c>
      <c r="T408" s="247">
        <v>12.21</v>
      </c>
      <c r="U408" s="256">
        <v>42200</v>
      </c>
      <c r="V408" s="145">
        <v>18.5</v>
      </c>
      <c r="W408" s="159">
        <v>42191</v>
      </c>
      <c r="AD408" s="145">
        <f>(N408/V408)*(((100-CD408)/100)*((100-2)/100))*100</f>
        <v>21.053578378378379</v>
      </c>
      <c r="AF408" s="248">
        <f>(N408/V408)*(((100-CD408)/(100-9))*100)</f>
        <v>23.607959607959607</v>
      </c>
      <c r="AG408" s="159">
        <v>42191</v>
      </c>
      <c r="AJ408" s="249">
        <v>140</v>
      </c>
      <c r="AN408" s="250">
        <v>106</v>
      </c>
      <c r="BB408" s="257">
        <v>7</v>
      </c>
      <c r="BN408" s="251">
        <v>60.878</v>
      </c>
      <c r="BO408" s="256">
        <v>42200</v>
      </c>
      <c r="BT408" s="251">
        <v>50.744758605957031</v>
      </c>
      <c r="BU408" s="256">
        <v>42200</v>
      </c>
      <c r="BV408" s="251">
        <v>17.179744720458984</v>
      </c>
      <c r="BW408" s="256">
        <v>42200</v>
      </c>
      <c r="BX408" s="251">
        <v>20.539000000000001</v>
      </c>
      <c r="BY408" s="256">
        <v>42200</v>
      </c>
      <c r="CD408" s="253">
        <v>8</v>
      </c>
      <c r="CE408" s="159">
        <v>42191</v>
      </c>
      <c r="CM408" s="255">
        <v>1</v>
      </c>
      <c r="CN408" s="256">
        <v>42180</v>
      </c>
      <c r="CO408" s="140" t="s">
        <v>8447</v>
      </c>
    </row>
    <row r="409" spans="1:93" ht="15">
      <c r="A409" s="124" t="s">
        <v>7616</v>
      </c>
      <c r="B409" s="161" t="s">
        <v>7470</v>
      </c>
      <c r="C409" s="268" t="s">
        <v>269</v>
      </c>
      <c r="D409" s="243">
        <v>1</v>
      </c>
      <c r="E409" s="183">
        <v>30</v>
      </c>
      <c r="F409" s="244">
        <v>4</v>
      </c>
      <c r="G409" s="245">
        <v>1</v>
      </c>
      <c r="L409" s="254">
        <v>9</v>
      </c>
      <c r="N409" s="246">
        <v>4.29</v>
      </c>
      <c r="O409" s="159">
        <v>42191</v>
      </c>
      <c r="T409" s="247">
        <v>11.31</v>
      </c>
      <c r="U409" s="256">
        <v>42200</v>
      </c>
      <c r="V409" s="145">
        <v>18.5</v>
      </c>
      <c r="W409" s="159">
        <v>42191</v>
      </c>
      <c r="AD409" s="145">
        <f>(N409/V409)*(((100-CD409)/100)*((100-2)/100))*100</f>
        <v>21.06645081081081</v>
      </c>
      <c r="AF409" s="248">
        <v>24.08</v>
      </c>
      <c r="AG409" s="159">
        <v>42191</v>
      </c>
      <c r="AJ409" s="249">
        <v>175</v>
      </c>
      <c r="AN409" s="250">
        <v>103</v>
      </c>
      <c r="BB409" s="257">
        <v>7</v>
      </c>
      <c r="BN409" s="251">
        <v>61.926000000000002</v>
      </c>
      <c r="BO409" s="256">
        <v>42200</v>
      </c>
      <c r="BT409" s="251">
        <v>46.972335815429687</v>
      </c>
      <c r="BU409" s="256">
        <v>42200</v>
      </c>
      <c r="BV409" s="251">
        <v>19.552682876586914</v>
      </c>
      <c r="BW409" s="256">
        <v>42200</v>
      </c>
      <c r="BX409" s="251">
        <v>63.95</v>
      </c>
      <c r="BY409" s="256">
        <v>42200</v>
      </c>
      <c r="CD409" s="253">
        <v>7.3</v>
      </c>
      <c r="CE409" s="159">
        <v>42191</v>
      </c>
      <c r="CM409" s="255">
        <v>3</v>
      </c>
      <c r="CN409" s="256">
        <v>42180</v>
      </c>
      <c r="CO409" s="140" t="s">
        <v>8447</v>
      </c>
    </row>
    <row r="410" spans="1:93" ht="15">
      <c r="A410" s="124" t="s">
        <v>7746</v>
      </c>
      <c r="B410" s="161" t="s">
        <v>7570</v>
      </c>
      <c r="C410" s="268" t="s">
        <v>267</v>
      </c>
      <c r="D410" s="243">
        <v>4</v>
      </c>
      <c r="E410" s="183">
        <v>160</v>
      </c>
      <c r="F410" s="244">
        <v>20</v>
      </c>
      <c r="G410" s="245">
        <v>19</v>
      </c>
      <c r="L410" s="254">
        <v>8</v>
      </c>
      <c r="N410" s="246">
        <v>4.29</v>
      </c>
      <c r="O410" s="159">
        <v>42191</v>
      </c>
      <c r="T410" s="247">
        <v>11.82</v>
      </c>
      <c r="U410" s="256">
        <v>42200</v>
      </c>
      <c r="V410" s="145">
        <v>18.5</v>
      </c>
      <c r="W410" s="159">
        <v>42191</v>
      </c>
      <c r="AD410" s="145">
        <f>(N410/V410)*(((100-CD410)/100)*((100-2)/100))*100</f>
        <v>21.089176216216213</v>
      </c>
      <c r="AF410" s="248">
        <v>24.11</v>
      </c>
      <c r="AG410" s="159">
        <v>42191</v>
      </c>
      <c r="AJ410" s="249">
        <v>125</v>
      </c>
      <c r="AN410" s="250">
        <v>103</v>
      </c>
      <c r="BB410" s="257">
        <v>7</v>
      </c>
      <c r="BN410" s="251">
        <v>63.51</v>
      </c>
      <c r="BO410" s="256">
        <v>42200</v>
      </c>
      <c r="BT410" s="251">
        <v>49.006248474121094</v>
      </c>
      <c r="BU410" s="256">
        <v>42200</v>
      </c>
      <c r="BV410" s="251">
        <v>17.483768463134766</v>
      </c>
      <c r="BW410" s="256">
        <v>42200</v>
      </c>
      <c r="BX410" s="251">
        <v>15.092000000000001</v>
      </c>
      <c r="BY410" s="256">
        <v>42200</v>
      </c>
      <c r="CD410" s="253">
        <v>7.2</v>
      </c>
      <c r="CE410" s="159">
        <v>42191</v>
      </c>
      <c r="CM410" s="255">
        <v>3</v>
      </c>
      <c r="CN410" s="256">
        <v>42180</v>
      </c>
      <c r="CO410" s="140" t="s">
        <v>8447</v>
      </c>
    </row>
    <row r="411" spans="1:93" ht="15">
      <c r="A411" s="124" t="s">
        <v>7589</v>
      </c>
      <c r="B411" s="161" t="s">
        <v>7449</v>
      </c>
      <c r="C411" s="268" t="s">
        <v>267</v>
      </c>
      <c r="D411" s="243">
        <v>4</v>
      </c>
      <c r="E411" s="183">
        <v>3</v>
      </c>
      <c r="F411" s="244">
        <v>20</v>
      </c>
      <c r="G411" s="245">
        <v>12</v>
      </c>
      <c r="J411" s="266"/>
      <c r="L411" s="254">
        <v>9</v>
      </c>
      <c r="N411" s="246">
        <v>4.3099999999999996</v>
      </c>
      <c r="O411" s="159">
        <v>42191</v>
      </c>
      <c r="P411" s="144"/>
      <c r="R411" s="145"/>
      <c r="T411" s="247">
        <v>11.76</v>
      </c>
      <c r="U411" s="256">
        <v>42200</v>
      </c>
      <c r="V411" s="145">
        <v>18.5</v>
      </c>
      <c r="W411" s="159">
        <v>42191</v>
      </c>
      <c r="X411" s="145"/>
      <c r="Z411" s="145"/>
      <c r="AB411" s="145"/>
      <c r="AD411" s="145">
        <f>(N411/V411)*(((100-CD411)/100)*((100-2)/100))*100</f>
        <v>21.119</v>
      </c>
      <c r="AF411" s="248">
        <v>24.14</v>
      </c>
      <c r="AG411" s="159">
        <v>42191</v>
      </c>
      <c r="AJ411" s="249">
        <v>120</v>
      </c>
      <c r="AL411" s="145"/>
      <c r="AN411" s="250">
        <v>106</v>
      </c>
      <c r="BB411" s="257">
        <v>7</v>
      </c>
      <c r="BN411" s="251">
        <v>63.091999999999999</v>
      </c>
      <c r="BO411" s="256">
        <v>42200</v>
      </c>
      <c r="BT411" s="251">
        <v>48.732139587402344</v>
      </c>
      <c r="BU411" s="256">
        <v>42200</v>
      </c>
      <c r="BV411" s="251">
        <v>19.394493103027344</v>
      </c>
      <c r="BW411" s="256">
        <v>42200</v>
      </c>
      <c r="BX411" s="251">
        <v>66.742999999999995</v>
      </c>
      <c r="BY411" s="256">
        <v>42200</v>
      </c>
      <c r="CD411" s="253">
        <v>7.5</v>
      </c>
      <c r="CE411" s="159">
        <v>42191</v>
      </c>
      <c r="CM411" s="255">
        <v>3</v>
      </c>
      <c r="CN411" s="256">
        <v>42180</v>
      </c>
      <c r="CO411" s="140" t="s">
        <v>8447</v>
      </c>
    </row>
    <row r="412" spans="1:93" ht="15">
      <c r="A412" s="124" t="s">
        <v>7671</v>
      </c>
      <c r="B412" s="161" t="s">
        <v>7520</v>
      </c>
      <c r="C412" s="268" t="s">
        <v>267</v>
      </c>
      <c r="D412" s="243">
        <v>4</v>
      </c>
      <c r="E412" s="183">
        <v>85</v>
      </c>
      <c r="F412" s="244">
        <v>21</v>
      </c>
      <c r="G412" s="245">
        <v>21</v>
      </c>
      <c r="L412" s="254">
        <v>7</v>
      </c>
      <c r="N412" s="246">
        <v>4.32</v>
      </c>
      <c r="O412" s="159">
        <v>42191</v>
      </c>
      <c r="T412" s="247">
        <v>12.09</v>
      </c>
      <c r="U412" s="256">
        <v>42200</v>
      </c>
      <c r="V412" s="145">
        <v>18.5</v>
      </c>
      <c r="W412" s="159">
        <v>42191</v>
      </c>
      <c r="AD412" s="145">
        <f>(N412/V412)*(((100-CD412)/100)*((100-2)/100))*100</f>
        <v>21.167999999999999</v>
      </c>
      <c r="AF412" s="248">
        <v>24.2</v>
      </c>
      <c r="AG412" s="159">
        <v>42191</v>
      </c>
      <c r="AJ412" s="249">
        <v>130</v>
      </c>
      <c r="AN412" s="250">
        <v>102</v>
      </c>
      <c r="BB412" s="257">
        <v>7</v>
      </c>
      <c r="BN412" s="251">
        <v>63.341000000000001</v>
      </c>
      <c r="BO412" s="256">
        <v>42200</v>
      </c>
      <c r="BT412" s="251">
        <v>49.962619781494141</v>
      </c>
      <c r="BU412" s="256">
        <v>42200</v>
      </c>
      <c r="BV412" s="251">
        <v>18.869174957275391</v>
      </c>
      <c r="BW412" s="256">
        <v>42200</v>
      </c>
      <c r="BX412" s="251">
        <v>16.317</v>
      </c>
      <c r="BY412" s="256">
        <v>42200</v>
      </c>
      <c r="CD412" s="253">
        <v>7.5</v>
      </c>
      <c r="CE412" s="159">
        <v>42191</v>
      </c>
      <c r="CM412" s="255">
        <v>5</v>
      </c>
      <c r="CN412" s="256">
        <v>42180</v>
      </c>
      <c r="CO412" s="140" t="s">
        <v>8447</v>
      </c>
    </row>
    <row r="413" spans="1:93" ht="15" customHeight="1">
      <c r="A413" s="124" t="s">
        <v>7617</v>
      </c>
      <c r="B413" s="161" t="s">
        <v>7471</v>
      </c>
      <c r="C413" s="268" t="s">
        <v>267</v>
      </c>
      <c r="D413" s="257">
        <v>4</v>
      </c>
      <c r="E413" s="183">
        <v>31</v>
      </c>
      <c r="F413" s="257">
        <v>19</v>
      </c>
      <c r="G413" s="257">
        <v>2</v>
      </c>
      <c r="L413" s="257">
        <v>9</v>
      </c>
      <c r="N413" s="257">
        <v>4.34</v>
      </c>
      <c r="O413" s="159">
        <v>42191</v>
      </c>
      <c r="T413" s="257">
        <v>11.74</v>
      </c>
      <c r="U413" s="256">
        <v>42200</v>
      </c>
      <c r="V413" s="145">
        <v>18.5</v>
      </c>
      <c r="W413" s="159">
        <v>42191</v>
      </c>
      <c r="AD413" s="145">
        <f>(N413/V413)*(((100-CD413)/100)*((100-2)/100))*100</f>
        <v>21.197029189189191</v>
      </c>
      <c r="AF413" s="257">
        <v>24.23</v>
      </c>
      <c r="AG413" s="159">
        <v>42191</v>
      </c>
      <c r="AJ413" s="257">
        <v>105</v>
      </c>
      <c r="AN413" s="257">
        <v>102</v>
      </c>
      <c r="BB413" s="257">
        <v>7</v>
      </c>
      <c r="BN413" s="251">
        <v>62.588999999999999</v>
      </c>
      <c r="BO413" s="256">
        <v>42200</v>
      </c>
      <c r="BT413" s="251">
        <v>48.46612548828125</v>
      </c>
      <c r="BU413" s="256">
        <v>42200</v>
      </c>
      <c r="BV413" s="251">
        <v>18.504301071166992</v>
      </c>
      <c r="BW413" s="256">
        <v>42200</v>
      </c>
      <c r="BX413" s="251">
        <v>53.686999999999998</v>
      </c>
      <c r="BY413" s="256">
        <v>42200</v>
      </c>
      <c r="CD413" s="257">
        <v>7.8</v>
      </c>
      <c r="CE413" s="159">
        <v>42191</v>
      </c>
      <c r="CM413" s="255">
        <v>3</v>
      </c>
      <c r="CN413" s="256">
        <v>42180</v>
      </c>
      <c r="CO413" s="140" t="s">
        <v>8447</v>
      </c>
    </row>
    <row r="414" spans="1:93" ht="15">
      <c r="A414" s="124" t="s">
        <v>7718</v>
      </c>
      <c r="B414" s="161" t="s">
        <v>7785</v>
      </c>
      <c r="C414" s="268" t="s">
        <v>267</v>
      </c>
      <c r="D414" s="243">
        <v>3</v>
      </c>
      <c r="E414" s="183">
        <v>132</v>
      </c>
      <c r="F414" s="244">
        <v>14</v>
      </c>
      <c r="G414" s="245">
        <v>25</v>
      </c>
      <c r="L414" s="254">
        <v>8</v>
      </c>
      <c r="N414" s="246">
        <v>4.32</v>
      </c>
      <c r="O414" s="159">
        <v>42191</v>
      </c>
      <c r="T414" s="247">
        <v>12.59</v>
      </c>
      <c r="U414" s="256">
        <v>42200</v>
      </c>
      <c r="V414" s="145">
        <v>18.5</v>
      </c>
      <c r="W414" s="159">
        <v>42191</v>
      </c>
      <c r="AD414" s="145">
        <f>(N414/V414)*(((100-CD414)/100)*((100-2)/100))*100</f>
        <v>21.213768648648649</v>
      </c>
      <c r="AF414" s="248">
        <v>24.25</v>
      </c>
      <c r="AG414" s="159">
        <v>42191</v>
      </c>
      <c r="AJ414" s="249">
        <v>110</v>
      </c>
      <c r="AN414" s="250">
        <v>101</v>
      </c>
      <c r="BB414" s="257">
        <v>5</v>
      </c>
      <c r="BN414" s="251">
        <v>67.289000000000001</v>
      </c>
      <c r="BO414" s="256">
        <v>42200</v>
      </c>
      <c r="BT414" s="251">
        <v>51.896858215332031</v>
      </c>
      <c r="BU414" s="256">
        <v>42200</v>
      </c>
      <c r="BV414" s="251">
        <v>17.186084747314453</v>
      </c>
      <c r="BW414" s="256">
        <v>42200</v>
      </c>
      <c r="BX414" s="251">
        <v>14.342000000000001</v>
      </c>
      <c r="BY414" s="256">
        <v>42200</v>
      </c>
      <c r="CD414" s="253">
        <v>7.3</v>
      </c>
      <c r="CE414" s="159">
        <v>42191</v>
      </c>
      <c r="CM414" s="255">
        <v>5</v>
      </c>
      <c r="CN414" s="256">
        <v>42180</v>
      </c>
      <c r="CO414" s="140" t="s">
        <v>8447</v>
      </c>
    </row>
    <row r="415" spans="1:93" ht="15">
      <c r="A415" s="124" t="s">
        <v>7609</v>
      </c>
      <c r="B415" s="161" t="s">
        <v>7464</v>
      </c>
      <c r="C415" s="268" t="s">
        <v>267</v>
      </c>
      <c r="D415" s="243">
        <v>4</v>
      </c>
      <c r="E415" s="183">
        <v>23</v>
      </c>
      <c r="F415" s="244">
        <v>19</v>
      </c>
      <c r="G415" s="245">
        <v>17</v>
      </c>
      <c r="L415" s="254">
        <v>9</v>
      </c>
      <c r="N415" s="246">
        <v>4.34</v>
      </c>
      <c r="O415" s="159">
        <v>42191</v>
      </c>
      <c r="T415" s="247">
        <v>12.33</v>
      </c>
      <c r="U415" s="256">
        <v>42200</v>
      </c>
      <c r="V415" s="145">
        <v>18.5</v>
      </c>
      <c r="W415" s="159">
        <v>42191</v>
      </c>
      <c r="AD415" s="145">
        <f>(N415/V415)*(((100-CD415)/100)*((100-2)/100))*100</f>
        <v>21.220019459459454</v>
      </c>
      <c r="AF415" s="248">
        <v>24.26</v>
      </c>
      <c r="AG415" s="159">
        <v>42191</v>
      </c>
      <c r="AJ415" s="249">
        <v>130</v>
      </c>
      <c r="AN415" s="250">
        <v>106</v>
      </c>
      <c r="BB415" s="257">
        <v>9</v>
      </c>
      <c r="BN415" s="251">
        <v>64.052000000000007</v>
      </c>
      <c r="BO415" s="256">
        <v>42200</v>
      </c>
      <c r="BT415" s="251">
        <v>50.828147888183594</v>
      </c>
      <c r="BU415" s="256">
        <v>42200</v>
      </c>
      <c r="BV415" s="251">
        <v>18.485614776611328</v>
      </c>
      <c r="BW415" s="256">
        <v>42200</v>
      </c>
      <c r="BX415" s="251">
        <v>46.603000000000002</v>
      </c>
      <c r="BY415" s="256">
        <v>42200</v>
      </c>
      <c r="CD415" s="253">
        <v>7.7</v>
      </c>
      <c r="CE415" s="159">
        <v>42191</v>
      </c>
      <c r="CM415" s="255">
        <v>5</v>
      </c>
      <c r="CN415" s="256">
        <v>42180</v>
      </c>
      <c r="CO415" s="140" t="s">
        <v>8447</v>
      </c>
    </row>
    <row r="416" spans="1:93" ht="15">
      <c r="A416" s="124" t="s">
        <v>7681</v>
      </c>
      <c r="B416" s="161" t="s">
        <v>7528</v>
      </c>
      <c r="C416" s="268" t="s">
        <v>267</v>
      </c>
      <c r="D416" s="243">
        <v>4</v>
      </c>
      <c r="E416" s="183">
        <v>95</v>
      </c>
      <c r="F416" s="244">
        <v>23</v>
      </c>
      <c r="G416" s="245">
        <v>7</v>
      </c>
      <c r="L416" s="254">
        <v>7</v>
      </c>
      <c r="N416" s="246">
        <v>4.34</v>
      </c>
      <c r="O416" s="159">
        <v>42191</v>
      </c>
      <c r="T416" s="247">
        <v>12.29</v>
      </c>
      <c r="U416" s="256">
        <v>42200</v>
      </c>
      <c r="V416" s="145">
        <v>18.5</v>
      </c>
      <c r="W416" s="159">
        <v>42191</v>
      </c>
      <c r="AD416" s="145">
        <f>(N416/V416)*(((100-CD416)/100)*((100-2)/100))*100</f>
        <v>21.243009729729728</v>
      </c>
      <c r="AF416" s="248">
        <v>24.28</v>
      </c>
      <c r="AG416" s="159">
        <v>42191</v>
      </c>
      <c r="AJ416" s="249">
        <v>120</v>
      </c>
      <c r="AN416" s="250">
        <v>102</v>
      </c>
      <c r="BB416" s="257">
        <v>7</v>
      </c>
      <c r="BN416" s="251">
        <v>63.396999999999998</v>
      </c>
      <c r="BO416" s="256">
        <v>42200</v>
      </c>
      <c r="BT416" s="251">
        <v>50.623908996582031</v>
      </c>
      <c r="BU416" s="256">
        <v>42200</v>
      </c>
      <c r="BV416" s="251">
        <v>17.493556976318359</v>
      </c>
      <c r="BW416" s="256">
        <v>42200</v>
      </c>
      <c r="BX416" s="251">
        <v>25.501000000000001</v>
      </c>
      <c r="BY416" s="256">
        <v>42200</v>
      </c>
      <c r="CD416" s="253">
        <v>7.6</v>
      </c>
      <c r="CE416" s="159">
        <v>42191</v>
      </c>
      <c r="CM416" s="255">
        <v>5</v>
      </c>
      <c r="CN416" s="256">
        <v>42180</v>
      </c>
      <c r="CO416" s="140" t="s">
        <v>8447</v>
      </c>
    </row>
    <row r="417" spans="1:93" ht="15">
      <c r="A417" s="124" t="s">
        <v>7757</v>
      </c>
      <c r="B417" s="161" t="s">
        <v>7581</v>
      </c>
      <c r="C417" s="268" t="s">
        <v>269</v>
      </c>
      <c r="D417" s="243">
        <v>2</v>
      </c>
      <c r="E417" s="183">
        <v>171</v>
      </c>
      <c r="F417" s="244">
        <v>7</v>
      </c>
      <c r="G417" s="245">
        <v>10</v>
      </c>
      <c r="L417" s="254">
        <v>8</v>
      </c>
      <c r="N417" s="246">
        <v>4.3</v>
      </c>
      <c r="O417" s="159">
        <v>42191</v>
      </c>
      <c r="T417" s="247">
        <v>13.26</v>
      </c>
      <c r="U417" s="256">
        <v>42200</v>
      </c>
      <c r="V417" s="145">
        <v>18.5</v>
      </c>
      <c r="W417" s="159">
        <v>42191</v>
      </c>
      <c r="AD417" s="145">
        <f>(N417/V417)*(((100-CD417)/100)*((100-2)/100))*100</f>
        <v>21.252227027027022</v>
      </c>
      <c r="AF417" s="248">
        <v>24.29</v>
      </c>
      <c r="AG417" s="159">
        <v>42191</v>
      </c>
      <c r="AJ417" s="249">
        <v>135</v>
      </c>
      <c r="AN417" s="250">
        <v>101</v>
      </c>
      <c r="BB417" s="257">
        <v>7</v>
      </c>
      <c r="BN417" s="251">
        <v>63.673999999999999</v>
      </c>
      <c r="BO417" s="256">
        <v>42200</v>
      </c>
      <c r="BT417" s="251">
        <v>54.583702087402344</v>
      </c>
      <c r="BU417" s="256">
        <v>42200</v>
      </c>
      <c r="BV417" s="251">
        <v>15.609406471252441</v>
      </c>
      <c r="BW417" s="256">
        <v>42200</v>
      </c>
      <c r="BX417" s="251">
        <v>14.2</v>
      </c>
      <c r="BY417" s="256">
        <v>42200</v>
      </c>
      <c r="CD417" s="253">
        <v>6.7</v>
      </c>
      <c r="CE417" s="159">
        <v>42191</v>
      </c>
      <c r="CM417" s="255">
        <v>3</v>
      </c>
      <c r="CN417" s="256">
        <v>42180</v>
      </c>
      <c r="CO417" s="140" t="s">
        <v>8448</v>
      </c>
    </row>
    <row r="418" spans="1:93" ht="15" customHeight="1">
      <c r="A418" s="124" t="s">
        <v>7629</v>
      </c>
      <c r="B418" s="161" t="s">
        <v>7482</v>
      </c>
      <c r="C418" s="268" t="s">
        <v>267</v>
      </c>
      <c r="D418" s="257">
        <v>3</v>
      </c>
      <c r="E418" s="183">
        <v>43</v>
      </c>
      <c r="F418" s="257">
        <v>15</v>
      </c>
      <c r="G418" s="257">
        <v>5</v>
      </c>
      <c r="L418" s="257">
        <v>8</v>
      </c>
      <c r="N418" s="257">
        <v>4.38</v>
      </c>
      <c r="O418" s="159">
        <v>42191</v>
      </c>
      <c r="T418" s="257">
        <v>11.59</v>
      </c>
      <c r="U418" s="256">
        <v>42200</v>
      </c>
      <c r="V418" s="145">
        <v>18.5</v>
      </c>
      <c r="W418" s="159">
        <v>42191</v>
      </c>
      <c r="AD418" s="145">
        <f>(N418/V418)*(((100-CD418)/100)*((100-2)/100))*100</f>
        <v>21.253180540540541</v>
      </c>
      <c r="AF418" s="257">
        <f>(N418/V418)*(((100-CD418)/(100-9))*100)</f>
        <v>23.831779031779032</v>
      </c>
      <c r="AG418" s="159">
        <v>42191</v>
      </c>
      <c r="AJ418" s="257">
        <v>130</v>
      </c>
      <c r="AN418" s="257">
        <v>106</v>
      </c>
      <c r="BB418" s="257">
        <v>7</v>
      </c>
      <c r="BN418" s="251">
        <v>61.179000000000002</v>
      </c>
      <c r="BO418" s="256">
        <v>42200</v>
      </c>
      <c r="BT418" s="251">
        <v>47.699813842773438</v>
      </c>
      <c r="BU418" s="256">
        <v>42200</v>
      </c>
      <c r="BV418" s="251">
        <v>18.396640777587891</v>
      </c>
      <c r="BW418" s="256">
        <v>42200</v>
      </c>
      <c r="BX418" s="251">
        <v>16.844999999999999</v>
      </c>
      <c r="BY418" s="256">
        <v>42200</v>
      </c>
      <c r="CD418" s="257">
        <v>8.4</v>
      </c>
      <c r="CE418" s="159">
        <v>42191</v>
      </c>
      <c r="CM418" s="255">
        <v>1</v>
      </c>
      <c r="CN418" s="256">
        <v>42180</v>
      </c>
      <c r="CO418" s="140" t="s">
        <v>8447</v>
      </c>
    </row>
    <row r="419" spans="1:93" ht="15">
      <c r="A419" s="124" t="s">
        <v>7690</v>
      </c>
      <c r="B419" s="161" t="s">
        <v>7537</v>
      </c>
      <c r="C419" s="268" t="s">
        <v>269</v>
      </c>
      <c r="D419" s="243">
        <v>2</v>
      </c>
      <c r="E419" s="183">
        <v>104</v>
      </c>
      <c r="F419" s="244">
        <v>9</v>
      </c>
      <c r="G419" s="245">
        <v>6</v>
      </c>
      <c r="L419" s="254">
        <v>5</v>
      </c>
      <c r="N419" s="246">
        <v>4.3099999999999996</v>
      </c>
      <c r="O419" s="159">
        <v>42191</v>
      </c>
      <c r="T419" s="247">
        <v>11.82</v>
      </c>
      <c r="U419" s="256">
        <v>42200</v>
      </c>
      <c r="V419" s="145">
        <v>18.5</v>
      </c>
      <c r="W419" s="159">
        <v>42191</v>
      </c>
      <c r="AD419" s="145">
        <f>(N419/V419)*(((100-CD419)/100)*((100-2)/100))*100</f>
        <v>21.255988108108106</v>
      </c>
      <c r="AF419" s="248">
        <f>(N419/V419)*(((100-CD419)/(100-9))*100)</f>
        <v>23.834927234927228</v>
      </c>
      <c r="AG419" s="159">
        <v>42191</v>
      </c>
      <c r="AJ419" s="249">
        <v>140</v>
      </c>
      <c r="AN419" s="250">
        <v>103</v>
      </c>
      <c r="BB419" s="257">
        <v>7</v>
      </c>
      <c r="BN419" s="251">
        <v>63.27</v>
      </c>
      <c r="BO419" s="256">
        <v>42200</v>
      </c>
      <c r="BT419" s="251">
        <v>48.659000396728516</v>
      </c>
      <c r="BU419" s="256">
        <v>42200</v>
      </c>
      <c r="BV419" s="251">
        <v>18.972551345825195</v>
      </c>
      <c r="BW419" s="256">
        <v>42200</v>
      </c>
      <c r="BX419" s="251">
        <v>19.559999999999999</v>
      </c>
      <c r="BY419" s="256">
        <v>42200</v>
      </c>
      <c r="CD419" s="253">
        <v>6.9</v>
      </c>
      <c r="CE419" s="159">
        <v>42191</v>
      </c>
      <c r="CM419" s="255">
        <v>1</v>
      </c>
      <c r="CN419" s="256">
        <v>42180</v>
      </c>
      <c r="CO419" s="140" t="s">
        <v>8448</v>
      </c>
    </row>
    <row r="420" spans="1:93" ht="15">
      <c r="A420" s="124" t="s">
        <v>7604</v>
      </c>
      <c r="B420" s="161" t="s">
        <v>7459</v>
      </c>
      <c r="C420" s="268" t="s">
        <v>269</v>
      </c>
      <c r="D420" s="243">
        <v>1</v>
      </c>
      <c r="E420" s="183">
        <v>18</v>
      </c>
      <c r="F420" s="244">
        <v>4</v>
      </c>
      <c r="G420" s="245">
        <v>27</v>
      </c>
      <c r="J420" s="266"/>
      <c r="L420" s="254">
        <v>7</v>
      </c>
      <c r="N420" s="246">
        <v>4.3099999999999996</v>
      </c>
      <c r="O420" s="159">
        <v>42191</v>
      </c>
      <c r="P420" s="144"/>
      <c r="R420" s="145"/>
      <c r="T420" s="247">
        <v>12.01</v>
      </c>
      <c r="U420" s="256">
        <v>42200</v>
      </c>
      <c r="V420" s="145">
        <v>18.5</v>
      </c>
      <c r="W420" s="159">
        <v>42191</v>
      </c>
      <c r="X420" s="145"/>
      <c r="Z420" s="145"/>
      <c r="AB420" s="145"/>
      <c r="AD420" s="145">
        <f>(N420/V420)*(((100-CD420)/100)*((100-2)/100))*100</f>
        <v>21.255988108108106</v>
      </c>
      <c r="AF420" s="248">
        <f>(N420/V420)*(((100-CD420)/(100-9))*100)</f>
        <v>23.834927234927228</v>
      </c>
      <c r="AG420" s="159">
        <v>42191</v>
      </c>
      <c r="AJ420" s="249">
        <v>150</v>
      </c>
      <c r="AL420" s="145"/>
      <c r="AN420" s="250">
        <v>100</v>
      </c>
      <c r="BB420" s="257">
        <v>5</v>
      </c>
      <c r="BN420" s="251">
        <v>63.97</v>
      </c>
      <c r="BO420" s="256">
        <v>42200</v>
      </c>
      <c r="BT420" s="251">
        <v>49.416229248046875</v>
      </c>
      <c r="BU420" s="256">
        <v>42200</v>
      </c>
      <c r="BV420" s="251">
        <v>18.931381225585938</v>
      </c>
      <c r="BW420" s="256">
        <v>42200</v>
      </c>
      <c r="BX420" s="251">
        <v>52.155000000000001</v>
      </c>
      <c r="BY420" s="256">
        <v>42200</v>
      </c>
      <c r="CD420" s="253">
        <v>6.9</v>
      </c>
      <c r="CE420" s="159">
        <v>42191</v>
      </c>
      <c r="CM420" s="255">
        <v>1</v>
      </c>
      <c r="CN420" s="256">
        <v>42180</v>
      </c>
      <c r="CO420" s="140" t="s">
        <v>8447</v>
      </c>
    </row>
    <row r="421" spans="1:93" ht="15">
      <c r="A421" s="124" t="s">
        <v>7643</v>
      </c>
      <c r="B421" s="161" t="s">
        <v>7495</v>
      </c>
      <c r="C421" s="268" t="s">
        <v>267</v>
      </c>
      <c r="D421" s="243">
        <v>3</v>
      </c>
      <c r="E421" s="183">
        <v>57</v>
      </c>
      <c r="F421" s="244">
        <v>18</v>
      </c>
      <c r="G421" s="245">
        <v>5</v>
      </c>
      <c r="L421" s="254">
        <v>8</v>
      </c>
      <c r="N421" s="246">
        <v>4.4000000000000004</v>
      </c>
      <c r="O421" s="159">
        <v>42191</v>
      </c>
      <c r="T421" s="247">
        <v>12.37</v>
      </c>
      <c r="U421" s="256">
        <v>42200</v>
      </c>
      <c r="V421" s="145">
        <v>18.5</v>
      </c>
      <c r="W421" s="159">
        <v>42191</v>
      </c>
      <c r="AD421" s="145">
        <f>(N421/V421)*(((100-CD421)/100)*((100-2)/100))*100</f>
        <v>21.256994594594598</v>
      </c>
      <c r="AF421" s="248">
        <v>24.3</v>
      </c>
      <c r="AG421" s="159">
        <v>42191</v>
      </c>
      <c r="AJ421" s="249">
        <v>120</v>
      </c>
      <c r="AN421" s="250">
        <v>107</v>
      </c>
      <c r="BB421" s="257">
        <v>7</v>
      </c>
      <c r="BN421" s="251">
        <v>65.772999999999996</v>
      </c>
      <c r="BO421" s="256">
        <v>42200</v>
      </c>
      <c r="BT421" s="251">
        <v>50.920028686523437</v>
      </c>
      <c r="BU421" s="256">
        <v>42200</v>
      </c>
      <c r="BV421" s="251">
        <v>17.694652557373047</v>
      </c>
      <c r="BW421" s="256">
        <v>42200</v>
      </c>
      <c r="BX421" s="251">
        <v>21.585999999999999</v>
      </c>
      <c r="BY421" s="256">
        <v>42200</v>
      </c>
      <c r="CD421" s="253">
        <v>8.8000000000000007</v>
      </c>
      <c r="CE421" s="159">
        <v>42191</v>
      </c>
      <c r="CM421" s="255">
        <v>3</v>
      </c>
      <c r="CN421" s="256">
        <v>42180</v>
      </c>
      <c r="CO421" s="140" t="s">
        <v>8447</v>
      </c>
    </row>
    <row r="422" spans="1:93" ht="15">
      <c r="A422" s="124" t="s">
        <v>7616</v>
      </c>
      <c r="B422" s="161" t="s">
        <v>7470</v>
      </c>
      <c r="C422" s="268" t="s">
        <v>267</v>
      </c>
      <c r="D422" s="243">
        <v>4</v>
      </c>
      <c r="E422" s="183">
        <v>30</v>
      </c>
      <c r="F422" s="244">
        <v>20</v>
      </c>
      <c r="G422" s="245">
        <v>16</v>
      </c>
      <c r="L422" s="254">
        <v>9</v>
      </c>
      <c r="N422" s="246">
        <v>4.34</v>
      </c>
      <c r="O422" s="159">
        <v>42191</v>
      </c>
      <c r="T422" s="247">
        <v>11.16</v>
      </c>
      <c r="U422" s="256">
        <v>42200</v>
      </c>
      <c r="V422" s="145">
        <v>18.5</v>
      </c>
      <c r="W422" s="159">
        <v>42191</v>
      </c>
      <c r="AD422" s="145">
        <f>(N422/V422)*(((100-CD422)/100)*((100-2)/100))*100</f>
        <v>21.265999999999998</v>
      </c>
      <c r="AF422" s="248">
        <v>24.31</v>
      </c>
      <c r="AG422" s="159">
        <v>42191</v>
      </c>
      <c r="AJ422" s="249">
        <v>130</v>
      </c>
      <c r="AN422" s="250">
        <v>103</v>
      </c>
      <c r="BB422" s="257">
        <v>9</v>
      </c>
      <c r="BN422" s="251">
        <v>61.963000000000001</v>
      </c>
      <c r="BO422" s="256">
        <v>42200</v>
      </c>
      <c r="BT422" s="251">
        <v>45.9097900390625</v>
      </c>
      <c r="BU422" s="256">
        <v>42200</v>
      </c>
      <c r="BV422" s="251">
        <v>19.998989105224609</v>
      </c>
      <c r="BW422" s="256">
        <v>42200</v>
      </c>
      <c r="BX422" s="251">
        <v>59.927999999999997</v>
      </c>
      <c r="BY422" s="256">
        <v>42200</v>
      </c>
      <c r="CD422" s="253">
        <v>7.5</v>
      </c>
      <c r="CE422" s="159">
        <v>42191</v>
      </c>
      <c r="CM422" s="255">
        <v>3</v>
      </c>
      <c r="CN422" s="256">
        <v>42180</v>
      </c>
      <c r="CO422" s="140" t="s">
        <v>8447</v>
      </c>
    </row>
    <row r="423" spans="1:93" ht="15">
      <c r="A423" s="124" t="s">
        <v>7616</v>
      </c>
      <c r="B423" s="161" t="s">
        <v>7470</v>
      </c>
      <c r="C423" s="268" t="s">
        <v>267</v>
      </c>
      <c r="D423" s="243">
        <v>3</v>
      </c>
      <c r="E423" s="183">
        <v>30</v>
      </c>
      <c r="F423" s="244">
        <v>16</v>
      </c>
      <c r="G423" s="245">
        <v>23</v>
      </c>
      <c r="L423" s="254">
        <v>5</v>
      </c>
      <c r="N423" s="246">
        <v>4.3499999999999996</v>
      </c>
      <c r="O423" s="159">
        <v>42191</v>
      </c>
      <c r="T423" s="247">
        <v>10.85</v>
      </c>
      <c r="U423" s="256">
        <v>42200</v>
      </c>
      <c r="V423" s="145">
        <v>18.5</v>
      </c>
      <c r="W423" s="159">
        <v>42191</v>
      </c>
      <c r="AD423" s="145">
        <f>(N423/V423)*(((100-CD423)/100)*((100-2)/100))*100</f>
        <v>21.291956756756754</v>
      </c>
      <c r="AF423" s="248">
        <v>24.34</v>
      </c>
      <c r="AG423" s="159">
        <v>42191</v>
      </c>
      <c r="AJ423" s="249">
        <v>140</v>
      </c>
      <c r="AN423" s="250">
        <v>105</v>
      </c>
      <c r="BB423" s="257">
        <v>7</v>
      </c>
      <c r="BN423" s="251">
        <v>61.274000000000001</v>
      </c>
      <c r="BO423" s="256">
        <v>42200</v>
      </c>
      <c r="BT423" s="251">
        <v>44.577407836914063</v>
      </c>
      <c r="BU423" s="256">
        <v>42200</v>
      </c>
      <c r="BV423" s="251">
        <v>21.342254638671875</v>
      </c>
      <c r="BW423" s="256">
        <v>42200</v>
      </c>
      <c r="BX423" s="251">
        <v>64.081000000000003</v>
      </c>
      <c r="BY423" s="256">
        <v>42200</v>
      </c>
      <c r="CD423" s="253">
        <v>7.6</v>
      </c>
      <c r="CE423" s="159">
        <v>42191</v>
      </c>
      <c r="CM423" s="255">
        <v>3</v>
      </c>
      <c r="CN423" s="256">
        <v>42180</v>
      </c>
      <c r="CO423" s="140" t="s">
        <v>8447</v>
      </c>
    </row>
    <row r="424" spans="1:93" ht="15">
      <c r="A424" s="124" t="s">
        <v>7702</v>
      </c>
      <c r="B424" s="161" t="s">
        <v>7777</v>
      </c>
      <c r="C424" s="268" t="s">
        <v>269</v>
      </c>
      <c r="D424" s="243">
        <v>1</v>
      </c>
      <c r="E424" s="183">
        <v>116</v>
      </c>
      <c r="F424" s="244">
        <v>2</v>
      </c>
      <c r="G424" s="245">
        <v>31</v>
      </c>
      <c r="L424" s="254">
        <v>9</v>
      </c>
      <c r="N424" s="246">
        <v>4.32</v>
      </c>
      <c r="O424" s="159">
        <v>42191</v>
      </c>
      <c r="T424" s="247">
        <v>11.28</v>
      </c>
      <c r="U424" s="256">
        <v>42200</v>
      </c>
      <c r="V424" s="145">
        <v>18.5</v>
      </c>
      <c r="W424" s="159">
        <v>42191</v>
      </c>
      <c r="AD424" s="145">
        <f>(N424/V424)*(((100-CD424)/100)*((100-2)/100))*100</f>
        <v>21.305305945945946</v>
      </c>
      <c r="AF424" s="248">
        <v>24.35</v>
      </c>
      <c r="AG424" s="159">
        <v>42191</v>
      </c>
      <c r="AJ424" s="249">
        <v>150</v>
      </c>
      <c r="AN424" s="250">
        <v>107</v>
      </c>
      <c r="BB424" s="257">
        <v>7</v>
      </c>
      <c r="BN424" s="251">
        <v>65.173000000000002</v>
      </c>
      <c r="BO424" s="256">
        <v>42200</v>
      </c>
      <c r="BT424" s="251">
        <v>46.33880615234375</v>
      </c>
      <c r="BU424" s="256">
        <v>42200</v>
      </c>
      <c r="BV424" s="251">
        <v>19.306163787841797</v>
      </c>
      <c r="BW424" s="256">
        <v>42200</v>
      </c>
      <c r="BX424" s="251">
        <v>63.92</v>
      </c>
      <c r="BY424" s="256">
        <v>42200</v>
      </c>
      <c r="CD424" s="253">
        <v>6.9</v>
      </c>
      <c r="CE424" s="159">
        <v>42191</v>
      </c>
      <c r="CM424" s="255">
        <v>5</v>
      </c>
      <c r="CN424" s="256">
        <v>42180</v>
      </c>
      <c r="CO424" s="140" t="s">
        <v>8447</v>
      </c>
    </row>
    <row r="425" spans="1:93" ht="15">
      <c r="A425" s="124" t="s">
        <v>7731</v>
      </c>
      <c r="B425" s="161" t="s">
        <v>8250</v>
      </c>
      <c r="C425" s="268" t="s">
        <v>267</v>
      </c>
      <c r="D425" s="243">
        <v>3</v>
      </c>
      <c r="E425" s="183">
        <v>145</v>
      </c>
      <c r="F425" s="244">
        <v>14</v>
      </c>
      <c r="G425" s="245">
        <v>23</v>
      </c>
      <c r="L425" s="254">
        <v>5</v>
      </c>
      <c r="N425" s="246">
        <v>4.3499999999999996</v>
      </c>
      <c r="O425" s="159">
        <v>42191</v>
      </c>
      <c r="T425" s="247">
        <v>12.04</v>
      </c>
      <c r="U425" s="256">
        <v>42200</v>
      </c>
      <c r="V425" s="145">
        <v>18.5</v>
      </c>
      <c r="W425" s="159">
        <v>42191</v>
      </c>
      <c r="AD425" s="145">
        <f>(N425/V425)*(((100-CD425)/100)*((100-2)/100))*100</f>
        <v>21.314999999999998</v>
      </c>
      <c r="AF425" s="248">
        <v>24.37</v>
      </c>
      <c r="AG425" s="159">
        <v>42191</v>
      </c>
      <c r="AJ425" s="249">
        <v>110</v>
      </c>
      <c r="AN425" s="250">
        <v>103</v>
      </c>
      <c r="BB425" s="257">
        <v>7</v>
      </c>
      <c r="BN425" s="251">
        <v>60.27</v>
      </c>
      <c r="BO425" s="256">
        <v>42200</v>
      </c>
      <c r="BT425" s="251">
        <v>49.404850006103516</v>
      </c>
      <c r="BU425" s="256">
        <v>42200</v>
      </c>
      <c r="BV425" s="251">
        <v>15.95570182800293</v>
      </c>
      <c r="BW425" s="256">
        <v>42200</v>
      </c>
      <c r="BX425" s="251">
        <v>13.06</v>
      </c>
      <c r="BY425" s="256">
        <v>42200</v>
      </c>
      <c r="CD425" s="253">
        <v>7.5</v>
      </c>
      <c r="CE425" s="159">
        <v>42191</v>
      </c>
      <c r="CM425" s="255">
        <v>5</v>
      </c>
      <c r="CN425" s="256">
        <v>42180</v>
      </c>
      <c r="CO425" s="140" t="s">
        <v>8447</v>
      </c>
    </row>
    <row r="426" spans="1:93" ht="15">
      <c r="A426" s="124" t="s">
        <v>7711</v>
      </c>
      <c r="B426" s="161" t="s">
        <v>7550</v>
      </c>
      <c r="C426" s="268" t="s">
        <v>267</v>
      </c>
      <c r="D426" s="243">
        <v>3</v>
      </c>
      <c r="E426" s="183">
        <v>125</v>
      </c>
      <c r="F426" s="244">
        <v>18</v>
      </c>
      <c r="G426" s="245">
        <v>29</v>
      </c>
      <c r="L426" s="254">
        <v>9</v>
      </c>
      <c r="N426" s="246">
        <v>4.33</v>
      </c>
      <c r="O426" s="159">
        <v>42191</v>
      </c>
      <c r="T426" s="247">
        <v>11.89</v>
      </c>
      <c r="U426" s="256">
        <v>42200</v>
      </c>
      <c r="V426" s="145">
        <v>18.5</v>
      </c>
      <c r="W426" s="159">
        <v>42191</v>
      </c>
      <c r="AD426" s="145">
        <f>(N426/V426)*(((100-CD426)/100)*((100-2)/100))*100</f>
        <v>21.331686486486486</v>
      </c>
      <c r="AF426" s="248">
        <v>24.39</v>
      </c>
      <c r="AG426" s="159">
        <v>42191</v>
      </c>
      <c r="AJ426" s="249">
        <v>120</v>
      </c>
      <c r="AN426" s="250">
        <v>106</v>
      </c>
      <c r="BB426" s="257">
        <v>7</v>
      </c>
      <c r="BN426" s="251">
        <v>62.146999999999998</v>
      </c>
      <c r="BO426" s="256">
        <v>42200</v>
      </c>
      <c r="BT426" s="251">
        <v>48.736618041992188</v>
      </c>
      <c r="BU426" s="256">
        <v>42200</v>
      </c>
      <c r="BV426" s="251">
        <v>19.79278564453125</v>
      </c>
      <c r="BW426" s="256">
        <v>42200</v>
      </c>
      <c r="BX426" s="251">
        <v>17.088000000000001</v>
      </c>
      <c r="BY426" s="256">
        <v>42200</v>
      </c>
      <c r="CD426" s="253">
        <v>7</v>
      </c>
      <c r="CE426" s="159">
        <v>42191</v>
      </c>
      <c r="CM426" s="255">
        <v>3</v>
      </c>
      <c r="CN426" s="256">
        <v>42180</v>
      </c>
      <c r="CO426" s="140" t="s">
        <v>8447</v>
      </c>
    </row>
    <row r="427" spans="1:93" ht="15">
      <c r="A427" s="124" t="s">
        <v>7688</v>
      </c>
      <c r="B427" s="161" t="s">
        <v>7535</v>
      </c>
      <c r="C427" s="268" t="s">
        <v>269</v>
      </c>
      <c r="D427" s="243">
        <v>1</v>
      </c>
      <c r="E427" s="183">
        <v>102</v>
      </c>
      <c r="F427" s="244">
        <v>4</v>
      </c>
      <c r="G427" s="245">
        <v>3</v>
      </c>
      <c r="L427" s="254">
        <v>8</v>
      </c>
      <c r="N427" s="246">
        <v>4.3499999999999996</v>
      </c>
      <c r="O427" s="159">
        <v>42191</v>
      </c>
      <c r="T427" s="247">
        <v>12.42</v>
      </c>
      <c r="U427" s="256">
        <v>42200</v>
      </c>
      <c r="V427" s="145">
        <v>18.5</v>
      </c>
      <c r="W427" s="159">
        <v>42191</v>
      </c>
      <c r="AD427" s="145">
        <f>(N427/V427)*(((100-CD427)/100)*((100-2)/100))*100</f>
        <v>21.361086486486485</v>
      </c>
      <c r="AF427" s="248">
        <f>(N427/V427)*(((100-CD427)/(100-9))*100)</f>
        <v>23.952776952776947</v>
      </c>
      <c r="AG427" s="159">
        <v>42191</v>
      </c>
      <c r="AJ427" s="249">
        <v>155</v>
      </c>
      <c r="AN427" s="250">
        <v>102</v>
      </c>
      <c r="BB427" s="257">
        <v>5</v>
      </c>
      <c r="BN427" s="251">
        <v>62.603000000000002</v>
      </c>
      <c r="BO427" s="256">
        <v>42200</v>
      </c>
      <c r="BT427" s="251">
        <v>50.846797943115234</v>
      </c>
      <c r="BU427" s="256">
        <v>42200</v>
      </c>
      <c r="BV427" s="251">
        <v>16.340877532958984</v>
      </c>
      <c r="BW427" s="256">
        <v>42200</v>
      </c>
      <c r="BX427" s="251">
        <v>20.184000000000001</v>
      </c>
      <c r="BY427" s="256">
        <v>42200</v>
      </c>
      <c r="CD427" s="253">
        <v>7.3</v>
      </c>
      <c r="CE427" s="159">
        <v>42191</v>
      </c>
      <c r="CM427" s="255">
        <v>1</v>
      </c>
      <c r="CN427" s="256">
        <v>42180</v>
      </c>
      <c r="CO427" s="140" t="s">
        <v>8447</v>
      </c>
    </row>
    <row r="428" spans="1:93" ht="15">
      <c r="A428" s="124" t="s">
        <v>7745</v>
      </c>
      <c r="B428" s="161" t="s">
        <v>7569</v>
      </c>
      <c r="C428" s="268" t="s">
        <v>269</v>
      </c>
      <c r="D428" s="243">
        <v>1</v>
      </c>
      <c r="E428" s="183">
        <v>159</v>
      </c>
      <c r="F428" s="244">
        <v>5</v>
      </c>
      <c r="G428" s="245">
        <v>8</v>
      </c>
      <c r="L428" s="254">
        <v>3</v>
      </c>
      <c r="N428" s="246">
        <v>4.3499999999999996</v>
      </c>
      <c r="O428" s="159">
        <v>42191</v>
      </c>
      <c r="T428" s="247">
        <v>12.06</v>
      </c>
      <c r="U428" s="256">
        <v>42200</v>
      </c>
      <c r="V428" s="145">
        <v>18.5</v>
      </c>
      <c r="W428" s="159">
        <v>42191</v>
      </c>
      <c r="AD428" s="145">
        <f>(N428/V428)*(((100-CD428)/100)*((100-2)/100))*100</f>
        <v>21.361086486486485</v>
      </c>
      <c r="AF428" s="248">
        <v>24.42</v>
      </c>
      <c r="AG428" s="159">
        <v>42191</v>
      </c>
      <c r="AJ428" s="249">
        <v>145</v>
      </c>
      <c r="AN428" s="250">
        <v>106</v>
      </c>
      <c r="BB428" s="257">
        <v>9</v>
      </c>
      <c r="BN428" s="251">
        <v>62.383000000000003</v>
      </c>
      <c r="BO428" s="256">
        <v>42200</v>
      </c>
      <c r="BT428" s="251">
        <v>49.381797790527344</v>
      </c>
      <c r="BU428" s="256">
        <v>42200</v>
      </c>
      <c r="BV428" s="251">
        <v>16.463459014892578</v>
      </c>
      <c r="BW428" s="256">
        <v>42200</v>
      </c>
      <c r="BX428" s="251">
        <v>14.622999999999999</v>
      </c>
      <c r="BY428" s="256">
        <v>42200</v>
      </c>
      <c r="CD428" s="253">
        <v>7.3</v>
      </c>
      <c r="CE428" s="159">
        <v>42191</v>
      </c>
      <c r="CM428" s="255">
        <v>1</v>
      </c>
      <c r="CN428" s="256">
        <v>42180</v>
      </c>
      <c r="CO428" s="140" t="s">
        <v>8447</v>
      </c>
    </row>
    <row r="429" spans="1:93" ht="15">
      <c r="A429" s="124" t="s">
        <v>7648</v>
      </c>
      <c r="B429" s="161" t="s">
        <v>7498</v>
      </c>
      <c r="C429" s="268" t="s">
        <v>267</v>
      </c>
      <c r="D429" s="243">
        <v>4</v>
      </c>
      <c r="E429" s="183">
        <v>62</v>
      </c>
      <c r="F429" s="244">
        <v>24</v>
      </c>
      <c r="G429" s="245">
        <v>19</v>
      </c>
      <c r="L429" s="254">
        <v>8</v>
      </c>
      <c r="N429" s="246">
        <v>4.3499999999999996</v>
      </c>
      <c r="O429" s="159">
        <v>42191</v>
      </c>
      <c r="T429" s="247">
        <v>11.92</v>
      </c>
      <c r="U429" s="256">
        <v>42200</v>
      </c>
      <c r="V429" s="145">
        <v>18.5</v>
      </c>
      <c r="W429" s="159">
        <v>42191</v>
      </c>
      <c r="AD429" s="145">
        <f>(N429/V429)*(((100-CD429)/100)*((100-2)/100))*100</f>
        <v>21.384129729729725</v>
      </c>
      <c r="AF429" s="248">
        <f>(N429/V429)*(((100-CD429)/(100-9))*100)</f>
        <v>23.978615978615977</v>
      </c>
      <c r="AG429" s="159">
        <v>42191</v>
      </c>
      <c r="AJ429" s="249">
        <v>135</v>
      </c>
      <c r="AN429" s="250">
        <v>106</v>
      </c>
      <c r="BB429" s="257">
        <v>7</v>
      </c>
      <c r="BN429" s="251">
        <v>61.103999999999999</v>
      </c>
      <c r="BO429" s="256">
        <v>42200</v>
      </c>
      <c r="BT429" s="251">
        <v>48.746612548828125</v>
      </c>
      <c r="BU429" s="256">
        <v>42200</v>
      </c>
      <c r="BV429" s="251">
        <v>17.967147827148438</v>
      </c>
      <c r="BW429" s="256">
        <v>42200</v>
      </c>
      <c r="BX429" s="251">
        <v>30.393999999999998</v>
      </c>
      <c r="BY429" s="256">
        <v>42200</v>
      </c>
      <c r="CD429" s="253">
        <v>7.2</v>
      </c>
      <c r="CE429" s="159">
        <v>42191</v>
      </c>
      <c r="CM429" s="255">
        <v>1</v>
      </c>
      <c r="CN429" s="256">
        <v>42180</v>
      </c>
      <c r="CO429" s="140" t="s">
        <v>8447</v>
      </c>
    </row>
    <row r="430" spans="1:93" ht="15" customHeight="1">
      <c r="A430" s="137" t="s">
        <v>8460</v>
      </c>
      <c r="B430" s="161" t="s">
        <v>8483</v>
      </c>
      <c r="C430" s="268" t="s">
        <v>269</v>
      </c>
      <c r="D430" s="269">
        <v>2</v>
      </c>
      <c r="E430" s="280">
        <v>11</v>
      </c>
      <c r="F430" s="269"/>
      <c r="G430" s="269"/>
      <c r="H430" s="271">
        <v>8</v>
      </c>
      <c r="I430" s="271">
        <v>4</v>
      </c>
      <c r="J430" s="282"/>
      <c r="K430" s="273"/>
      <c r="L430" s="269">
        <v>7</v>
      </c>
      <c r="M430" s="274"/>
      <c r="N430" s="269">
        <v>4.37</v>
      </c>
      <c r="O430" s="274">
        <v>42191</v>
      </c>
      <c r="P430" s="272"/>
      <c r="Q430" s="274"/>
      <c r="R430" s="275"/>
      <c r="S430" s="274"/>
      <c r="T430" s="269"/>
      <c r="U430" s="276">
        <v>42200</v>
      </c>
      <c r="V430" s="275">
        <v>18.5</v>
      </c>
      <c r="W430" s="274">
        <v>42191</v>
      </c>
      <c r="X430" s="275"/>
      <c r="Y430" s="274"/>
      <c r="Z430" s="275"/>
      <c r="AA430" s="274"/>
      <c r="AB430" s="275"/>
      <c r="AC430" s="274"/>
      <c r="AD430" s="145">
        <f>(N430/V430)*(((100-CD430)/100)*((100-2)/100))*100</f>
        <v>21.389850810810813</v>
      </c>
      <c r="AE430" s="274"/>
      <c r="AF430" s="269">
        <v>24.45</v>
      </c>
      <c r="AG430" s="274">
        <v>42191</v>
      </c>
      <c r="AH430" s="274"/>
      <c r="AI430" s="274"/>
      <c r="AJ430" s="269">
        <v>140</v>
      </c>
      <c r="AK430" s="274"/>
      <c r="AL430" s="275"/>
      <c r="AM430" s="274"/>
      <c r="AN430" s="269">
        <v>101</v>
      </c>
      <c r="AO430" s="274"/>
      <c r="AP430" s="275"/>
      <c r="AQ430" s="275"/>
      <c r="AR430" s="275"/>
      <c r="AS430" s="275"/>
      <c r="AT430" s="275"/>
      <c r="AU430" s="275"/>
      <c r="AV430" s="275"/>
      <c r="AW430" s="275"/>
      <c r="AX430" s="275"/>
      <c r="AY430" s="275"/>
      <c r="AZ430" s="275"/>
      <c r="BA430" s="275"/>
      <c r="BB430" s="269">
        <v>7</v>
      </c>
      <c r="BC430" s="275"/>
      <c r="BD430" s="275"/>
      <c r="BE430" s="275"/>
      <c r="BF430" s="272"/>
      <c r="BG430" s="272"/>
      <c r="BH430" s="272"/>
      <c r="BI430" s="272"/>
      <c r="BJ430" s="272"/>
      <c r="BK430" s="272"/>
      <c r="BL430" s="272"/>
      <c r="BM430" s="272"/>
      <c r="BN430" s="284"/>
      <c r="BO430" s="276">
        <v>42200</v>
      </c>
      <c r="BP430" s="272"/>
      <c r="BQ430" s="272"/>
      <c r="BR430" s="272"/>
      <c r="BS430" s="272"/>
      <c r="BT430" s="284"/>
      <c r="BU430" s="276">
        <v>42200</v>
      </c>
      <c r="BV430" s="284"/>
      <c r="BW430" s="276">
        <v>42200</v>
      </c>
      <c r="BX430" s="284"/>
      <c r="BY430" s="276">
        <v>42200</v>
      </c>
      <c r="BZ430" s="272"/>
      <c r="CA430" s="272"/>
      <c r="CB430" s="272"/>
      <c r="CC430" s="272"/>
      <c r="CD430" s="269">
        <v>7.6</v>
      </c>
      <c r="CE430" s="274">
        <v>42191</v>
      </c>
      <c r="CF430" s="272"/>
      <c r="CG430" s="272"/>
      <c r="CH430" s="272"/>
      <c r="CI430" s="272"/>
      <c r="CJ430" s="272"/>
      <c r="CK430" s="272"/>
      <c r="CL430" s="272"/>
      <c r="CM430" s="278">
        <v>5</v>
      </c>
      <c r="CN430" s="276">
        <v>42180</v>
      </c>
      <c r="CO430" s="272" t="s">
        <v>8447</v>
      </c>
    </row>
    <row r="431" spans="1:93" ht="15">
      <c r="A431" s="124" t="s">
        <v>7592</v>
      </c>
      <c r="B431" s="161" t="s">
        <v>7770</v>
      </c>
      <c r="C431" s="268" t="s">
        <v>267</v>
      </c>
      <c r="D431" s="243">
        <v>3</v>
      </c>
      <c r="E431" s="183">
        <v>6</v>
      </c>
      <c r="F431" s="244">
        <v>16</v>
      </c>
      <c r="G431" s="245">
        <v>2</v>
      </c>
      <c r="J431" s="266"/>
      <c r="L431" s="254">
        <v>9</v>
      </c>
      <c r="N431" s="246">
        <v>4.38</v>
      </c>
      <c r="O431" s="159">
        <v>42191</v>
      </c>
      <c r="P431" s="144"/>
      <c r="R431" s="145"/>
      <c r="T431" s="247">
        <v>11.76</v>
      </c>
      <c r="U431" s="256">
        <v>42200</v>
      </c>
      <c r="V431" s="145">
        <v>18.5</v>
      </c>
      <c r="W431" s="159">
        <v>42191</v>
      </c>
      <c r="X431" s="145"/>
      <c r="Z431" s="145"/>
      <c r="AB431" s="145"/>
      <c r="AD431" s="145">
        <f>(N431/V431)*(((100-CD431)/100)*((100-2)/100))*100</f>
        <v>21.392393513513515</v>
      </c>
      <c r="AF431" s="248">
        <v>24.45</v>
      </c>
      <c r="AG431" s="159">
        <v>42191</v>
      </c>
      <c r="AJ431" s="249">
        <v>120</v>
      </c>
      <c r="AL431" s="145"/>
      <c r="AN431" s="250">
        <v>106</v>
      </c>
      <c r="BB431" s="257">
        <v>7</v>
      </c>
      <c r="BN431" s="251">
        <v>65.718000000000004</v>
      </c>
      <c r="BO431" s="256">
        <v>42200</v>
      </c>
      <c r="BT431" s="251">
        <v>48.094051361083984</v>
      </c>
      <c r="BU431" s="256">
        <v>42200</v>
      </c>
      <c r="BV431" s="251">
        <v>20.177898406982422</v>
      </c>
      <c r="BW431" s="256">
        <v>42200</v>
      </c>
      <c r="BX431" s="251">
        <v>74.576999999999998</v>
      </c>
      <c r="BY431" s="256">
        <v>42200</v>
      </c>
      <c r="CD431" s="253">
        <v>7.8</v>
      </c>
      <c r="CE431" s="159">
        <v>42191</v>
      </c>
      <c r="CM431" s="255">
        <v>5</v>
      </c>
      <c r="CN431" s="256">
        <v>42180</v>
      </c>
      <c r="CO431" s="140" t="s">
        <v>8447</v>
      </c>
    </row>
    <row r="432" spans="1:93" ht="15" customHeight="1">
      <c r="A432" s="124" t="s">
        <v>7694</v>
      </c>
      <c r="B432" s="161" t="s">
        <v>7540</v>
      </c>
      <c r="C432" s="268" t="s">
        <v>269</v>
      </c>
      <c r="D432" s="257">
        <v>1</v>
      </c>
      <c r="E432" s="183">
        <v>108</v>
      </c>
      <c r="F432" s="257">
        <v>5</v>
      </c>
      <c r="G432" s="257">
        <v>32</v>
      </c>
      <c r="L432" s="257">
        <v>5</v>
      </c>
      <c r="N432" s="257">
        <v>4.33</v>
      </c>
      <c r="O432" s="159">
        <v>42191</v>
      </c>
      <c r="T432" s="257">
        <v>13.11</v>
      </c>
      <c r="U432" s="256">
        <v>42200</v>
      </c>
      <c r="V432" s="145">
        <v>18.5</v>
      </c>
      <c r="W432" s="159">
        <v>42191</v>
      </c>
      <c r="AD432" s="145">
        <f>(N432/V432)*(((100-CD432)/100)*((100-2)/100))*100</f>
        <v>21.400498378378376</v>
      </c>
      <c r="AF432" s="257">
        <f>(N432/V432)*(((100-CD432)/(100-9))*100)</f>
        <v>23.996970596970595</v>
      </c>
      <c r="AG432" s="159">
        <v>42191</v>
      </c>
      <c r="AJ432" s="257">
        <v>155</v>
      </c>
      <c r="AN432" s="257">
        <v>100</v>
      </c>
      <c r="BB432" s="257">
        <v>7</v>
      </c>
      <c r="BN432" s="251">
        <v>64.42</v>
      </c>
      <c r="BO432" s="256">
        <v>42200</v>
      </c>
      <c r="BT432" s="251">
        <v>53.609817504882813</v>
      </c>
      <c r="BU432" s="256">
        <v>42200</v>
      </c>
      <c r="BV432" s="251">
        <v>16.433347702026367</v>
      </c>
      <c r="BW432" s="256">
        <v>42200</v>
      </c>
      <c r="BX432" s="251">
        <v>19.757999999999999</v>
      </c>
      <c r="BY432" s="256">
        <v>42200</v>
      </c>
      <c r="CD432" s="257">
        <v>6.7</v>
      </c>
      <c r="CE432" s="159">
        <v>42191</v>
      </c>
      <c r="CM432" s="255">
        <v>1</v>
      </c>
      <c r="CN432" s="256">
        <v>42180</v>
      </c>
      <c r="CO432" s="140" t="s">
        <v>8447</v>
      </c>
    </row>
    <row r="433" spans="1:93" ht="15">
      <c r="A433" s="124" t="s">
        <v>7609</v>
      </c>
      <c r="B433" s="161" t="s">
        <v>7464</v>
      </c>
      <c r="C433" s="268" t="s">
        <v>267</v>
      </c>
      <c r="D433" s="243">
        <v>3</v>
      </c>
      <c r="E433" s="183">
        <v>23</v>
      </c>
      <c r="F433" s="244">
        <v>17</v>
      </c>
      <c r="G433" s="245">
        <v>9</v>
      </c>
      <c r="J433" s="266"/>
      <c r="L433" s="254">
        <v>8</v>
      </c>
      <c r="N433" s="246">
        <v>4.3</v>
      </c>
      <c r="O433" s="159">
        <v>42191</v>
      </c>
      <c r="P433" s="144"/>
      <c r="R433" s="145"/>
      <c r="T433" s="247">
        <v>13.02</v>
      </c>
      <c r="U433" s="256">
        <v>42200</v>
      </c>
      <c r="V433" s="145">
        <v>18.5</v>
      </c>
      <c r="W433" s="159">
        <v>42191</v>
      </c>
      <c r="X433" s="145"/>
      <c r="Z433" s="145"/>
      <c r="AB433" s="145"/>
      <c r="AD433" s="145">
        <f>(N433/V433)*(((100-CD433)/100)*((100-2)/100))*100</f>
        <v>21.411675675675674</v>
      </c>
      <c r="AF433" s="248">
        <v>24.48</v>
      </c>
      <c r="AG433" s="159">
        <v>42191</v>
      </c>
      <c r="AJ433" s="249">
        <v>115</v>
      </c>
      <c r="AL433" s="145"/>
      <c r="AN433" s="250">
        <v>107</v>
      </c>
      <c r="BB433" s="257">
        <v>7</v>
      </c>
      <c r="BN433" s="251">
        <v>65.322999999999993</v>
      </c>
      <c r="BO433" s="256">
        <v>42200</v>
      </c>
      <c r="BT433" s="251">
        <v>53.187187194824219</v>
      </c>
      <c r="BU433" s="256">
        <v>42200</v>
      </c>
      <c r="BV433" s="251">
        <v>17.166145324707031</v>
      </c>
      <c r="BW433" s="256">
        <v>42200</v>
      </c>
      <c r="BX433" s="251">
        <v>47.735999999999997</v>
      </c>
      <c r="BY433" s="256">
        <v>42200</v>
      </c>
      <c r="CD433" s="253">
        <v>6</v>
      </c>
      <c r="CE433" s="159">
        <v>42191</v>
      </c>
      <c r="CM433" s="255">
        <v>7</v>
      </c>
      <c r="CN433" s="256">
        <v>42180</v>
      </c>
      <c r="CO433" s="140" t="s">
        <v>8447</v>
      </c>
    </row>
    <row r="434" spans="1:93" ht="15" customHeight="1">
      <c r="A434" s="124" t="s">
        <v>7644</v>
      </c>
      <c r="B434" s="161" t="s">
        <v>7496</v>
      </c>
      <c r="C434" s="268" t="s">
        <v>267</v>
      </c>
      <c r="D434" s="257">
        <v>4</v>
      </c>
      <c r="E434" s="183">
        <v>58</v>
      </c>
      <c r="F434" s="257">
        <v>21</v>
      </c>
      <c r="G434" s="257">
        <v>23</v>
      </c>
      <c r="L434" s="257">
        <v>9</v>
      </c>
      <c r="N434" s="257">
        <v>4.4000000000000004</v>
      </c>
      <c r="O434" s="159">
        <v>42191</v>
      </c>
      <c r="T434" s="257">
        <v>12.5</v>
      </c>
      <c r="U434" s="256">
        <v>42200</v>
      </c>
      <c r="V434" s="145">
        <v>18.5</v>
      </c>
      <c r="W434" s="159">
        <v>42191</v>
      </c>
      <c r="AD434" s="145">
        <f>(N434/V434)*(((100-CD434)/100)*((100-2)/100))*100</f>
        <v>21.42015135135135</v>
      </c>
      <c r="AF434" s="257">
        <v>24.49</v>
      </c>
      <c r="AG434" s="159">
        <v>42191</v>
      </c>
      <c r="AJ434" s="257">
        <v>105</v>
      </c>
      <c r="AN434" s="257">
        <v>101</v>
      </c>
      <c r="BB434" s="257">
        <v>5</v>
      </c>
      <c r="BN434" s="251">
        <v>64.811000000000007</v>
      </c>
      <c r="BO434" s="256">
        <v>42200</v>
      </c>
      <c r="BT434" s="251">
        <v>51.043655395507813</v>
      </c>
      <c r="BU434" s="256">
        <v>42200</v>
      </c>
      <c r="BV434" s="251">
        <v>18.134008407592773</v>
      </c>
      <c r="BW434" s="256">
        <v>42200</v>
      </c>
      <c r="BX434" s="251">
        <v>18.542000000000002</v>
      </c>
      <c r="BY434" s="256">
        <v>42200</v>
      </c>
      <c r="CD434" s="257">
        <v>8.1</v>
      </c>
      <c r="CE434" s="159">
        <v>42191</v>
      </c>
      <c r="CM434" s="255">
        <v>3</v>
      </c>
      <c r="CN434" s="256">
        <v>42180</v>
      </c>
      <c r="CO434" s="140" t="s">
        <v>8447</v>
      </c>
    </row>
    <row r="435" spans="1:93" ht="15" customHeight="1">
      <c r="A435" s="124" t="s">
        <v>8329</v>
      </c>
      <c r="B435" s="161" t="s">
        <v>8329</v>
      </c>
      <c r="C435" s="268" t="s">
        <v>267</v>
      </c>
      <c r="D435" s="257">
        <v>3</v>
      </c>
      <c r="E435" s="191">
        <v>189</v>
      </c>
      <c r="F435" s="257">
        <v>13</v>
      </c>
      <c r="G435" s="257">
        <v>28</v>
      </c>
      <c r="L435" s="257">
        <v>5</v>
      </c>
      <c r="N435" s="257">
        <v>4.3499999999999996</v>
      </c>
      <c r="O435" s="159">
        <v>42191</v>
      </c>
      <c r="T435" s="257">
        <v>12.71</v>
      </c>
      <c r="U435" s="256">
        <v>42200</v>
      </c>
      <c r="V435" s="145">
        <v>18.5</v>
      </c>
      <c r="W435" s="159">
        <v>42191</v>
      </c>
      <c r="AD435" s="145">
        <f>(N435/V435)*(((100-CD435)/100)*((100-2)/100))*100</f>
        <v>21.430216216216213</v>
      </c>
      <c r="AF435" s="257">
        <v>24.5</v>
      </c>
      <c r="AG435" s="159">
        <v>42191</v>
      </c>
      <c r="AJ435" s="257">
        <v>120</v>
      </c>
      <c r="AN435" s="257">
        <v>101</v>
      </c>
      <c r="BB435" s="257">
        <v>9</v>
      </c>
      <c r="BN435" s="251">
        <v>64.548000000000002</v>
      </c>
      <c r="BO435" s="256">
        <v>42200</v>
      </c>
      <c r="BT435" s="251">
        <v>51.862953186035156</v>
      </c>
      <c r="BU435" s="256">
        <v>42200</v>
      </c>
      <c r="BV435" s="251">
        <v>16.410018920898437</v>
      </c>
      <c r="BW435" s="256">
        <v>42200</v>
      </c>
      <c r="BX435" s="251">
        <v>18.521000000000001</v>
      </c>
      <c r="BY435" s="256">
        <v>42200</v>
      </c>
      <c r="CD435" s="257">
        <v>7</v>
      </c>
      <c r="CE435" s="159">
        <v>42191</v>
      </c>
      <c r="CM435" s="255">
        <v>7</v>
      </c>
      <c r="CN435" s="256">
        <v>42180</v>
      </c>
      <c r="CO435" s="140" t="s">
        <v>8447</v>
      </c>
    </row>
    <row r="436" spans="1:93" ht="15" customHeight="1">
      <c r="A436" s="124" t="s">
        <v>7626</v>
      </c>
      <c r="B436" s="161" t="s">
        <v>7479</v>
      </c>
      <c r="C436" s="268" t="s">
        <v>267</v>
      </c>
      <c r="D436" s="257">
        <v>4</v>
      </c>
      <c r="E436" s="183">
        <v>40</v>
      </c>
      <c r="F436" s="257">
        <v>19</v>
      </c>
      <c r="G436" s="257">
        <v>16</v>
      </c>
      <c r="L436" s="257">
        <v>9</v>
      </c>
      <c r="N436" s="257">
        <v>4.3899999999999997</v>
      </c>
      <c r="O436" s="159">
        <v>42191</v>
      </c>
      <c r="T436" s="257">
        <v>11.8</v>
      </c>
      <c r="U436" s="256">
        <v>42200</v>
      </c>
      <c r="V436" s="145">
        <v>18.5</v>
      </c>
      <c r="W436" s="159">
        <v>42191</v>
      </c>
      <c r="AD436" s="145">
        <f>(N436/V436)*(((100-CD436)/100)*((100-2)/100))*100</f>
        <v>21.441234594594594</v>
      </c>
      <c r="AF436" s="257">
        <v>24.51</v>
      </c>
      <c r="AG436" s="159">
        <v>42191</v>
      </c>
      <c r="AJ436" s="257">
        <v>125</v>
      </c>
      <c r="AN436" s="257">
        <v>106</v>
      </c>
      <c r="BB436" s="257">
        <v>9</v>
      </c>
      <c r="BN436" s="251">
        <v>62.731999999999999</v>
      </c>
      <c r="BO436" s="256">
        <v>42200</v>
      </c>
      <c r="BT436" s="251">
        <v>48.157135009765625</v>
      </c>
      <c r="BU436" s="256">
        <v>42200</v>
      </c>
      <c r="BV436" s="251">
        <v>18.940578460693359</v>
      </c>
      <c r="BW436" s="256">
        <v>42200</v>
      </c>
      <c r="BX436" s="251">
        <v>26.37</v>
      </c>
      <c r="BY436" s="256">
        <v>42200</v>
      </c>
      <c r="CD436" s="257">
        <v>7.8</v>
      </c>
      <c r="CE436" s="159">
        <v>42191</v>
      </c>
      <c r="CM436" s="255">
        <v>3</v>
      </c>
      <c r="CN436" s="256">
        <v>42180</v>
      </c>
      <c r="CO436" s="140" t="s">
        <v>8447</v>
      </c>
    </row>
    <row r="437" spans="1:93" ht="15" customHeight="1">
      <c r="A437" s="124" t="s">
        <v>7666</v>
      </c>
      <c r="B437" s="161" t="s">
        <v>7515</v>
      </c>
      <c r="C437" s="268" t="s">
        <v>269</v>
      </c>
      <c r="D437" s="257">
        <v>2</v>
      </c>
      <c r="E437" s="183">
        <v>80</v>
      </c>
      <c r="F437" s="257">
        <v>11</v>
      </c>
      <c r="G437" s="257">
        <v>27</v>
      </c>
      <c r="L437" s="257">
        <v>6</v>
      </c>
      <c r="N437" s="257">
        <v>4.34</v>
      </c>
      <c r="O437" s="159">
        <v>42191</v>
      </c>
      <c r="T437" s="257">
        <v>12.61</v>
      </c>
      <c r="U437" s="256">
        <v>42200</v>
      </c>
      <c r="V437" s="145">
        <v>18.5</v>
      </c>
      <c r="W437" s="159">
        <v>42191</v>
      </c>
      <c r="AD437" s="145">
        <f>(N437/V437)*(((100-CD437)/100)*((100-2)/100))*100</f>
        <v>21.44992216216216</v>
      </c>
      <c r="AF437" s="257">
        <v>24.52</v>
      </c>
      <c r="AG437" s="159">
        <v>42191</v>
      </c>
      <c r="AJ437" s="257">
        <v>135</v>
      </c>
      <c r="AN437" s="257">
        <v>108</v>
      </c>
      <c r="BB437" s="257">
        <v>9</v>
      </c>
      <c r="BN437" s="251">
        <v>61.655000000000001</v>
      </c>
      <c r="BO437" s="256">
        <v>42200</v>
      </c>
      <c r="BT437" s="251">
        <v>51.412387847900391</v>
      </c>
      <c r="BU437" s="256">
        <v>42200</v>
      </c>
      <c r="BV437" s="251">
        <v>16.008956909179688</v>
      </c>
      <c r="BW437" s="256">
        <v>42200</v>
      </c>
      <c r="BX437" s="251">
        <v>17.766999999999999</v>
      </c>
      <c r="BY437" s="256">
        <v>42200</v>
      </c>
      <c r="CD437" s="257">
        <v>6.7</v>
      </c>
      <c r="CE437" s="159">
        <v>42191</v>
      </c>
      <c r="CM437" s="255">
        <v>3</v>
      </c>
      <c r="CN437" s="256">
        <v>42180</v>
      </c>
      <c r="CO437" s="140" t="s">
        <v>8448</v>
      </c>
    </row>
    <row r="438" spans="1:93" ht="15" customHeight="1">
      <c r="A438" s="124" t="s">
        <v>7524</v>
      </c>
      <c r="B438" s="161" t="s">
        <v>7524</v>
      </c>
      <c r="C438" s="268" t="s">
        <v>267</v>
      </c>
      <c r="D438" s="257">
        <v>4</v>
      </c>
      <c r="E438" s="191">
        <v>186</v>
      </c>
      <c r="F438" s="257">
        <v>19</v>
      </c>
      <c r="G438" s="257">
        <v>1</v>
      </c>
      <c r="L438" s="257">
        <v>8</v>
      </c>
      <c r="N438" s="257">
        <v>4.4400000000000004</v>
      </c>
      <c r="O438" s="159">
        <v>42191</v>
      </c>
      <c r="T438" s="257">
        <v>12.16</v>
      </c>
      <c r="U438" s="256">
        <v>42200</v>
      </c>
      <c r="V438" s="145">
        <v>18.5</v>
      </c>
      <c r="W438" s="159">
        <v>42191</v>
      </c>
      <c r="AD438" s="145">
        <f>(N438/V438)*(((100-CD438)/100)*((100-2)/100))*100</f>
        <v>21.450240000000001</v>
      </c>
      <c r="AF438" s="257">
        <v>24.52</v>
      </c>
      <c r="AG438" s="159">
        <v>42191</v>
      </c>
      <c r="AJ438" s="257">
        <v>100</v>
      </c>
      <c r="AN438" s="257">
        <v>100</v>
      </c>
      <c r="BB438" s="257">
        <v>7</v>
      </c>
      <c r="BN438" s="251">
        <v>63.868000000000002</v>
      </c>
      <c r="BO438" s="256">
        <v>42200</v>
      </c>
      <c r="BT438" s="251">
        <v>49.596176147460938</v>
      </c>
      <c r="BU438" s="256">
        <v>42200</v>
      </c>
      <c r="BV438" s="251">
        <v>18.743412017822266</v>
      </c>
      <c r="BW438" s="256">
        <v>42200</v>
      </c>
      <c r="BX438" s="251">
        <v>15.794</v>
      </c>
      <c r="BY438" s="256">
        <v>42200</v>
      </c>
      <c r="CD438" s="257">
        <v>8.8000000000000007</v>
      </c>
      <c r="CE438" s="159">
        <v>42191</v>
      </c>
      <c r="CM438" s="255">
        <v>1</v>
      </c>
      <c r="CN438" s="256">
        <v>42180</v>
      </c>
      <c r="CO438" s="140" t="s">
        <v>8447</v>
      </c>
    </row>
    <row r="439" spans="1:93" ht="15" customHeight="1">
      <c r="A439" s="124" t="s">
        <v>7707</v>
      </c>
      <c r="B439" s="161" t="s">
        <v>7782</v>
      </c>
      <c r="C439" s="268" t="s">
        <v>269</v>
      </c>
      <c r="D439" s="257">
        <v>1</v>
      </c>
      <c r="E439" s="183">
        <v>121</v>
      </c>
      <c r="F439" s="257">
        <v>5</v>
      </c>
      <c r="G439" s="257">
        <v>19</v>
      </c>
      <c r="L439" s="257">
        <v>8</v>
      </c>
      <c r="N439" s="257">
        <v>4.3499999999999996</v>
      </c>
      <c r="O439" s="159">
        <v>42191</v>
      </c>
      <c r="T439" s="257">
        <v>11.99</v>
      </c>
      <c r="U439" s="256">
        <v>42200</v>
      </c>
      <c r="V439" s="145">
        <v>18.5</v>
      </c>
      <c r="W439" s="159">
        <v>42191</v>
      </c>
      <c r="AD439" s="145">
        <f>(N439/V439)*(((100-CD439)/100)*((100-2)/100))*100</f>
        <v>21.453259459459456</v>
      </c>
      <c r="AF439" s="257">
        <v>24.52</v>
      </c>
      <c r="AG439" s="159">
        <v>42191</v>
      </c>
      <c r="AJ439" s="257">
        <v>160</v>
      </c>
      <c r="AN439" s="257">
        <v>107</v>
      </c>
      <c r="BB439" s="257">
        <v>7</v>
      </c>
      <c r="BN439" s="251">
        <v>64.867000000000004</v>
      </c>
      <c r="BO439" s="256">
        <v>42200</v>
      </c>
      <c r="BT439" s="251">
        <v>48.876365661621094</v>
      </c>
      <c r="BU439" s="256">
        <v>42200</v>
      </c>
      <c r="BV439" s="251">
        <v>20.120748519897461</v>
      </c>
      <c r="BW439" s="256">
        <v>42200</v>
      </c>
      <c r="BX439" s="251">
        <v>75.185000000000002</v>
      </c>
      <c r="BY439" s="256">
        <v>42200</v>
      </c>
      <c r="CD439" s="257">
        <v>6.9</v>
      </c>
      <c r="CE439" s="159">
        <v>42191</v>
      </c>
      <c r="CM439" s="255">
        <v>5</v>
      </c>
      <c r="CN439" s="256">
        <v>42180</v>
      </c>
      <c r="CO439" s="140" t="s">
        <v>8447</v>
      </c>
    </row>
    <row r="440" spans="1:93" ht="15" customHeight="1">
      <c r="A440" s="124" t="s">
        <v>7616</v>
      </c>
      <c r="B440" s="161" t="s">
        <v>7470</v>
      </c>
      <c r="C440" s="268" t="s">
        <v>269</v>
      </c>
      <c r="D440" s="257">
        <v>2</v>
      </c>
      <c r="E440" s="183">
        <v>30</v>
      </c>
      <c r="F440" s="257">
        <v>9</v>
      </c>
      <c r="G440" s="257">
        <v>20</v>
      </c>
      <c r="L440" s="257">
        <v>9</v>
      </c>
      <c r="N440" s="257">
        <v>4.37</v>
      </c>
      <c r="O440" s="159">
        <v>42191</v>
      </c>
      <c r="T440" s="257">
        <v>10.82</v>
      </c>
      <c r="U440" s="256">
        <v>42200</v>
      </c>
      <c r="V440" s="145">
        <v>18.5</v>
      </c>
      <c r="W440" s="159">
        <v>42191</v>
      </c>
      <c r="AD440" s="145">
        <f>(N440/V440)*(((100-CD440)/100)*((100-2)/100))*100</f>
        <v>21.459298378378381</v>
      </c>
      <c r="AF440" s="257">
        <v>24.53</v>
      </c>
      <c r="AG440" s="159">
        <v>42191</v>
      </c>
      <c r="AJ440" s="257">
        <v>140</v>
      </c>
      <c r="AN440" s="257">
        <v>106</v>
      </c>
      <c r="BB440" s="257">
        <v>7</v>
      </c>
      <c r="BN440" s="251">
        <v>62.344000000000001</v>
      </c>
      <c r="BO440" s="256">
        <v>42200</v>
      </c>
      <c r="BT440" s="251">
        <v>44.116855621337891</v>
      </c>
      <c r="BU440" s="256">
        <v>42200</v>
      </c>
      <c r="BV440" s="251">
        <v>21.593465805053711</v>
      </c>
      <c r="BW440" s="256">
        <v>42200</v>
      </c>
      <c r="BX440" s="251">
        <v>66.460999999999999</v>
      </c>
      <c r="BY440" s="256">
        <v>42200</v>
      </c>
      <c r="CD440" s="257">
        <v>7.3</v>
      </c>
      <c r="CE440" s="159">
        <v>42191</v>
      </c>
      <c r="CM440" s="255">
        <v>5</v>
      </c>
      <c r="CN440" s="256">
        <v>42180</v>
      </c>
      <c r="CO440" s="140" t="s">
        <v>8448</v>
      </c>
    </row>
    <row r="441" spans="1:93" ht="15" customHeight="1">
      <c r="A441" s="124" t="s">
        <v>7607</v>
      </c>
      <c r="B441" s="161" t="s">
        <v>7462</v>
      </c>
      <c r="C441" s="268" t="s">
        <v>269</v>
      </c>
      <c r="D441" s="257">
        <v>1</v>
      </c>
      <c r="E441" s="183">
        <v>21</v>
      </c>
      <c r="F441" s="257">
        <v>4</v>
      </c>
      <c r="G441" s="257">
        <v>15</v>
      </c>
      <c r="J441" s="266"/>
      <c r="L441" s="257">
        <v>9</v>
      </c>
      <c r="N441" s="257">
        <v>4.38</v>
      </c>
      <c r="O441" s="159">
        <v>42191</v>
      </c>
      <c r="P441" s="144"/>
      <c r="R441" s="145"/>
      <c r="T441" s="257">
        <v>12.48</v>
      </c>
      <c r="U441" s="256">
        <v>42200</v>
      </c>
      <c r="V441" s="145">
        <v>18.5</v>
      </c>
      <c r="W441" s="159">
        <v>42191</v>
      </c>
      <c r="X441" s="145"/>
      <c r="Z441" s="145"/>
      <c r="AB441" s="145"/>
      <c r="AD441" s="145">
        <f>(N441/V441)*(((100-CD441)/100)*((100-2)/100))*100</f>
        <v>21.554808648648649</v>
      </c>
      <c r="AF441" s="257">
        <v>24.64</v>
      </c>
      <c r="AG441" s="159">
        <v>42191</v>
      </c>
      <c r="AJ441" s="257">
        <v>165</v>
      </c>
      <c r="AL441" s="145"/>
      <c r="AN441" s="257">
        <v>106</v>
      </c>
      <c r="BB441" s="257">
        <v>7</v>
      </c>
      <c r="BN441" s="251">
        <v>65.44</v>
      </c>
      <c r="BO441" s="256">
        <v>42200</v>
      </c>
      <c r="BT441" s="251">
        <v>50.655158996582031</v>
      </c>
      <c r="BU441" s="256">
        <v>42200</v>
      </c>
      <c r="BV441" s="251">
        <v>17.744163513183594</v>
      </c>
      <c r="BW441" s="256">
        <v>42200</v>
      </c>
      <c r="BX441" s="251">
        <v>57.930999999999997</v>
      </c>
      <c r="BY441" s="256">
        <v>42200</v>
      </c>
      <c r="CD441" s="257">
        <v>7.1</v>
      </c>
      <c r="CE441" s="159">
        <v>42191</v>
      </c>
      <c r="CM441" s="255">
        <v>3</v>
      </c>
      <c r="CN441" s="256">
        <v>42180</v>
      </c>
      <c r="CO441" s="140" t="s">
        <v>8447</v>
      </c>
    </row>
    <row r="442" spans="1:93" ht="15" customHeight="1">
      <c r="A442" s="124" t="s">
        <v>7713</v>
      </c>
      <c r="B442" s="161" t="s">
        <v>7552</v>
      </c>
      <c r="C442" s="268" t="s">
        <v>267</v>
      </c>
      <c r="D442" s="257">
        <v>4</v>
      </c>
      <c r="E442" s="183">
        <v>127</v>
      </c>
      <c r="F442" s="257">
        <v>23</v>
      </c>
      <c r="G442" s="257">
        <v>21</v>
      </c>
      <c r="L442" s="257">
        <v>5</v>
      </c>
      <c r="N442" s="257">
        <v>4.4000000000000004</v>
      </c>
      <c r="O442" s="159">
        <v>42191</v>
      </c>
      <c r="T442" s="257">
        <v>12.12</v>
      </c>
      <c r="U442" s="256">
        <v>42200</v>
      </c>
      <c r="V442" s="145">
        <v>18.5</v>
      </c>
      <c r="W442" s="159">
        <v>42191</v>
      </c>
      <c r="AD442" s="145">
        <f>(N442/V442)*(((100-CD442)/100)*((100-2)/100))*100</f>
        <v>21.560000000000002</v>
      </c>
      <c r="AF442" s="257">
        <v>24.65</v>
      </c>
      <c r="AG442" s="159">
        <v>42191</v>
      </c>
      <c r="AJ442" s="257">
        <v>130</v>
      </c>
      <c r="AN442" s="257">
        <v>105</v>
      </c>
      <c r="BB442" s="257">
        <v>7</v>
      </c>
      <c r="BN442" s="251">
        <v>63.475999999999999</v>
      </c>
      <c r="BO442" s="256">
        <v>42200</v>
      </c>
      <c r="BT442" s="251">
        <v>49.163818359375</v>
      </c>
      <c r="BU442" s="256">
        <v>42200</v>
      </c>
      <c r="BV442" s="251">
        <v>19.082237243652344</v>
      </c>
      <c r="BW442" s="256">
        <v>42200</v>
      </c>
      <c r="BX442" s="251">
        <v>56.978999999999999</v>
      </c>
      <c r="BY442" s="256">
        <v>42200</v>
      </c>
      <c r="CD442" s="257">
        <v>7.5</v>
      </c>
      <c r="CE442" s="159">
        <v>42191</v>
      </c>
      <c r="CM442" s="255">
        <v>3</v>
      </c>
      <c r="CN442" s="256">
        <v>42180</v>
      </c>
      <c r="CO442" s="140" t="s">
        <v>8447</v>
      </c>
    </row>
    <row r="443" spans="1:93" ht="15" customHeight="1">
      <c r="A443" s="124" t="s">
        <v>7691</v>
      </c>
      <c r="B443" s="161" t="s">
        <v>7538</v>
      </c>
      <c r="C443" s="268" t="s">
        <v>267</v>
      </c>
      <c r="D443" s="257">
        <v>3</v>
      </c>
      <c r="E443" s="183">
        <v>105</v>
      </c>
      <c r="F443" s="257">
        <v>14</v>
      </c>
      <c r="G443" s="257">
        <v>9</v>
      </c>
      <c r="L443" s="257">
        <v>9</v>
      </c>
      <c r="N443" s="257">
        <v>4.4400000000000004</v>
      </c>
      <c r="O443" s="159">
        <v>42191</v>
      </c>
      <c r="T443" s="257">
        <v>12.18</v>
      </c>
      <c r="U443" s="256">
        <v>42200</v>
      </c>
      <c r="V443" s="145">
        <v>18.5</v>
      </c>
      <c r="W443" s="159">
        <v>42191</v>
      </c>
      <c r="AD443" s="145">
        <f>(N443/V443)*(((100-CD443)/100)*((100-2)/100))*100</f>
        <v>21.56784</v>
      </c>
      <c r="AF443" s="257">
        <v>24.66</v>
      </c>
      <c r="AG443" s="159">
        <v>42191</v>
      </c>
      <c r="AJ443" s="257">
        <v>130</v>
      </c>
      <c r="AN443" s="257">
        <v>105</v>
      </c>
      <c r="BB443" s="257">
        <v>5</v>
      </c>
      <c r="BN443" s="251">
        <v>61.691000000000003</v>
      </c>
      <c r="BO443" s="256">
        <v>42200</v>
      </c>
      <c r="BT443" s="251">
        <v>49.381698608398437</v>
      </c>
      <c r="BU443" s="256">
        <v>42200</v>
      </c>
      <c r="BV443" s="251">
        <v>18.55103874206543</v>
      </c>
      <c r="BW443" s="256">
        <v>42200</v>
      </c>
      <c r="BX443" s="251">
        <v>19.466999999999999</v>
      </c>
      <c r="BY443" s="256">
        <v>42200</v>
      </c>
      <c r="CD443" s="257">
        <v>8.3000000000000007</v>
      </c>
      <c r="CE443" s="159">
        <v>42191</v>
      </c>
      <c r="CM443" s="255">
        <v>3</v>
      </c>
      <c r="CN443" s="256">
        <v>42180</v>
      </c>
      <c r="CO443" s="140" t="s">
        <v>8447</v>
      </c>
    </row>
    <row r="444" spans="1:93" ht="15" customHeight="1">
      <c r="A444" s="124" t="s">
        <v>7625</v>
      </c>
      <c r="B444" s="161" t="s">
        <v>7478</v>
      </c>
      <c r="C444" s="268" t="s">
        <v>267</v>
      </c>
      <c r="D444" s="257">
        <v>4</v>
      </c>
      <c r="E444" s="183">
        <v>39</v>
      </c>
      <c r="F444" s="257">
        <v>22</v>
      </c>
      <c r="G444" s="257">
        <v>17</v>
      </c>
      <c r="L444" s="257">
        <v>5</v>
      </c>
      <c r="N444" s="257">
        <v>4.4400000000000004</v>
      </c>
      <c r="O444" s="159">
        <v>42191</v>
      </c>
      <c r="T444" s="257">
        <v>12.86</v>
      </c>
      <c r="U444" s="256">
        <v>42200</v>
      </c>
      <c r="V444" s="145">
        <v>18.5</v>
      </c>
      <c r="W444" s="159">
        <v>42191</v>
      </c>
      <c r="AD444" s="145">
        <f>(N444/V444)*(((100-CD444)/100)*((100-2)/100))*100</f>
        <v>21.591359999999998</v>
      </c>
      <c r="AF444" s="257">
        <f>(N444/V444)*(((100-CD444)/(100-9))*100)</f>
        <v>24.210989010989014</v>
      </c>
      <c r="AG444" s="159">
        <v>42191</v>
      </c>
      <c r="AJ444" s="257">
        <v>130</v>
      </c>
      <c r="AN444" s="257">
        <v>105</v>
      </c>
      <c r="BB444" s="257">
        <v>9</v>
      </c>
      <c r="BN444" s="251">
        <v>66.992000000000004</v>
      </c>
      <c r="BO444" s="256">
        <v>42200</v>
      </c>
      <c r="BT444" s="251">
        <v>52.117404937744141</v>
      </c>
      <c r="BU444" s="256">
        <v>42200</v>
      </c>
      <c r="BV444" s="251">
        <v>16.795124053955078</v>
      </c>
      <c r="BW444" s="256">
        <v>42200</v>
      </c>
      <c r="BX444" s="251">
        <v>14.62</v>
      </c>
      <c r="BY444" s="256">
        <v>42200</v>
      </c>
      <c r="CD444" s="257">
        <v>8.1999999999999993</v>
      </c>
      <c r="CE444" s="159">
        <v>42191</v>
      </c>
      <c r="CM444" s="255">
        <v>1</v>
      </c>
      <c r="CN444" s="256">
        <v>42180</v>
      </c>
      <c r="CO444" s="140" t="s">
        <v>8447</v>
      </c>
    </row>
    <row r="445" spans="1:93" ht="15" customHeight="1">
      <c r="A445" s="124" t="s">
        <v>7654</v>
      </c>
      <c r="B445" s="161" t="s">
        <v>264</v>
      </c>
      <c r="C445" s="268" t="s">
        <v>269</v>
      </c>
      <c r="D445" s="257">
        <v>1</v>
      </c>
      <c r="E445" s="183">
        <v>68</v>
      </c>
      <c r="F445" s="257">
        <v>6</v>
      </c>
      <c r="G445" s="257">
        <v>28</v>
      </c>
      <c r="L445" s="257">
        <v>8</v>
      </c>
      <c r="N445" s="257">
        <v>4.3899999999999997</v>
      </c>
      <c r="O445" s="159">
        <v>42191</v>
      </c>
      <c r="T445" s="257">
        <v>12.68</v>
      </c>
      <c r="U445" s="256">
        <v>42200</v>
      </c>
      <c r="V445" s="145">
        <v>18.5</v>
      </c>
      <c r="W445" s="159">
        <v>42191</v>
      </c>
      <c r="AD445" s="145">
        <f>(N445/V445)*(((100-CD445)/100)*((100-2)/100))*100</f>
        <v>21.604020540540539</v>
      </c>
      <c r="AF445" s="257">
        <v>24.7</v>
      </c>
      <c r="AG445" s="159">
        <v>42191</v>
      </c>
      <c r="AJ445" s="257">
        <v>120</v>
      </c>
      <c r="AN445" s="257">
        <v>101</v>
      </c>
      <c r="BB445" s="257">
        <v>3</v>
      </c>
      <c r="BN445" s="251">
        <v>63.649000000000001</v>
      </c>
      <c r="BO445" s="256">
        <v>42200</v>
      </c>
      <c r="BT445" s="251">
        <v>51.320289611816406</v>
      </c>
      <c r="BU445" s="256">
        <v>42200</v>
      </c>
      <c r="BV445" s="251">
        <v>17.371223449707031</v>
      </c>
      <c r="BW445" s="256">
        <v>42200</v>
      </c>
      <c r="BX445" s="251">
        <v>18.491</v>
      </c>
      <c r="BY445" s="256">
        <v>42200</v>
      </c>
      <c r="CD445" s="257">
        <v>7.1</v>
      </c>
      <c r="CE445" s="159">
        <v>42191</v>
      </c>
      <c r="CM445" s="255">
        <v>3</v>
      </c>
      <c r="CN445" s="256">
        <v>42180</v>
      </c>
      <c r="CO445" s="140" t="s">
        <v>8447</v>
      </c>
    </row>
    <row r="446" spans="1:93" ht="15" customHeight="1">
      <c r="A446" s="124" t="s">
        <v>7603</v>
      </c>
      <c r="B446" s="161" t="s">
        <v>7772</v>
      </c>
      <c r="C446" s="268" t="s">
        <v>269</v>
      </c>
      <c r="D446" s="257">
        <v>1</v>
      </c>
      <c r="E446" s="183">
        <v>17</v>
      </c>
      <c r="F446" s="257">
        <v>6</v>
      </c>
      <c r="G446" s="257">
        <v>10</v>
      </c>
      <c r="J446" s="266"/>
      <c r="L446" s="257">
        <v>8</v>
      </c>
      <c r="N446" s="257">
        <v>4.3899999999999997</v>
      </c>
      <c r="O446" s="159">
        <v>42191</v>
      </c>
      <c r="P446" s="144"/>
      <c r="R446" s="145"/>
      <c r="T446" s="257">
        <v>12.59</v>
      </c>
      <c r="U446" s="256">
        <v>42200</v>
      </c>
      <c r="V446" s="145">
        <v>18.5</v>
      </c>
      <c r="W446" s="159">
        <v>42191</v>
      </c>
      <c r="X446" s="145"/>
      <c r="Z446" s="145"/>
      <c r="AB446" s="145"/>
      <c r="AD446" s="145">
        <f>(N446/V446)*(((100-CD446)/100)*((100-2)/100))*100</f>
        <v>21.627275675675676</v>
      </c>
      <c r="AF446" s="257">
        <v>24.72</v>
      </c>
      <c r="AG446" s="159">
        <v>42191</v>
      </c>
      <c r="AJ446" s="257">
        <v>165</v>
      </c>
      <c r="AL446" s="145"/>
      <c r="AN446" s="257">
        <v>103</v>
      </c>
      <c r="BB446" s="257">
        <v>7</v>
      </c>
      <c r="BN446" s="251">
        <v>65.302999999999997</v>
      </c>
      <c r="BO446" s="256">
        <v>42200</v>
      </c>
      <c r="BT446" s="251">
        <v>50.952285766601563</v>
      </c>
      <c r="BU446" s="256">
        <v>42200</v>
      </c>
      <c r="BV446" s="251">
        <v>17.066366195678711</v>
      </c>
      <c r="BW446" s="256">
        <v>42200</v>
      </c>
      <c r="BX446" s="251">
        <v>63.874000000000002</v>
      </c>
      <c r="BY446" s="256">
        <v>42200</v>
      </c>
      <c r="CD446" s="257">
        <v>7</v>
      </c>
      <c r="CE446" s="159">
        <v>42191</v>
      </c>
      <c r="CM446" s="255">
        <v>3</v>
      </c>
      <c r="CN446" s="256">
        <v>42180</v>
      </c>
      <c r="CO446" s="140" t="s">
        <v>8447</v>
      </c>
    </row>
    <row r="447" spans="1:93" ht="15" customHeight="1">
      <c r="A447" s="124" t="s">
        <v>7629</v>
      </c>
      <c r="B447" s="161" t="s">
        <v>7482</v>
      </c>
      <c r="C447" s="268" t="s">
        <v>269</v>
      </c>
      <c r="D447" s="257">
        <v>2</v>
      </c>
      <c r="E447" s="183">
        <v>43</v>
      </c>
      <c r="F447" s="257">
        <v>12</v>
      </c>
      <c r="G447" s="257">
        <v>4</v>
      </c>
      <c r="L447" s="257">
        <v>8</v>
      </c>
      <c r="N447" s="257">
        <v>4.38</v>
      </c>
      <c r="O447" s="159">
        <v>42191</v>
      </c>
      <c r="T447" s="257">
        <v>11.81</v>
      </c>
      <c r="U447" s="256">
        <v>42200</v>
      </c>
      <c r="V447" s="145">
        <v>18.5</v>
      </c>
      <c r="W447" s="159">
        <v>42191</v>
      </c>
      <c r="AD447" s="145">
        <f>(N447/V447)*(((100-CD447)/100)*((100-2)/100))*100</f>
        <v>21.647617297297295</v>
      </c>
      <c r="AF447" s="257">
        <v>24.75</v>
      </c>
      <c r="AG447" s="159">
        <v>42191</v>
      </c>
      <c r="AJ447" s="257">
        <v>125</v>
      </c>
      <c r="AN447" s="257">
        <v>107</v>
      </c>
      <c r="BB447" s="257">
        <v>7</v>
      </c>
      <c r="BN447" s="251">
        <v>63.146000000000001</v>
      </c>
      <c r="BO447" s="256">
        <v>42200</v>
      </c>
      <c r="BT447" s="251">
        <v>47.715610504150391</v>
      </c>
      <c r="BU447" s="256">
        <v>42200</v>
      </c>
      <c r="BV447" s="251">
        <v>18.853277206420898</v>
      </c>
      <c r="BW447" s="256">
        <v>42200</v>
      </c>
      <c r="BX447" s="251">
        <v>15.05</v>
      </c>
      <c r="BY447" s="256">
        <v>42200</v>
      </c>
      <c r="CD447" s="257">
        <v>6.7</v>
      </c>
      <c r="CE447" s="159">
        <v>42191</v>
      </c>
      <c r="CM447" s="255">
        <v>3</v>
      </c>
      <c r="CN447" s="256">
        <v>42180</v>
      </c>
      <c r="CO447" s="140" t="s">
        <v>8448</v>
      </c>
    </row>
    <row r="448" spans="1:93" ht="15" customHeight="1">
      <c r="A448" s="124" t="s">
        <v>7524</v>
      </c>
      <c r="B448" s="161" t="s">
        <v>7524</v>
      </c>
      <c r="C448" s="268" t="s">
        <v>267</v>
      </c>
      <c r="D448" s="257">
        <v>3</v>
      </c>
      <c r="E448" s="191">
        <v>186</v>
      </c>
      <c r="F448" s="257">
        <v>14</v>
      </c>
      <c r="G448" s="257">
        <v>27</v>
      </c>
      <c r="L448" s="257">
        <v>6</v>
      </c>
      <c r="N448" s="257">
        <v>4.4000000000000004</v>
      </c>
      <c r="O448" s="159">
        <v>42191</v>
      </c>
      <c r="T448" s="257">
        <v>12.79</v>
      </c>
      <c r="U448" s="256">
        <v>42200</v>
      </c>
      <c r="V448" s="145">
        <v>18.5</v>
      </c>
      <c r="W448" s="159">
        <v>42191</v>
      </c>
      <c r="AD448" s="145">
        <f>(N448/V448)*(((100-CD448)/100)*((100-2)/100))*100</f>
        <v>21.653232432432436</v>
      </c>
      <c r="AF448" s="257">
        <v>24.75</v>
      </c>
      <c r="AG448" s="159">
        <v>42191</v>
      </c>
      <c r="AJ448" s="257">
        <v>90</v>
      </c>
      <c r="AN448" s="257">
        <v>102</v>
      </c>
      <c r="BB448" s="257">
        <v>3</v>
      </c>
      <c r="BN448" s="251">
        <v>64.244</v>
      </c>
      <c r="BO448" s="256">
        <v>42200</v>
      </c>
      <c r="BT448" s="251">
        <v>51.682693481445313</v>
      </c>
      <c r="BU448" s="256">
        <v>42200</v>
      </c>
      <c r="BV448" s="251">
        <v>17.855846405029297</v>
      </c>
      <c r="BW448" s="256">
        <v>42200</v>
      </c>
      <c r="BX448" s="251">
        <v>12.847</v>
      </c>
      <c r="BY448" s="256">
        <v>42200</v>
      </c>
      <c r="CD448" s="257">
        <v>7.1</v>
      </c>
      <c r="CE448" s="159">
        <v>42191</v>
      </c>
      <c r="CM448" s="255">
        <v>7</v>
      </c>
      <c r="CN448" s="256">
        <v>42180</v>
      </c>
      <c r="CO448" s="140" t="s">
        <v>8447</v>
      </c>
    </row>
    <row r="449" spans="1:93" ht="15" customHeight="1">
      <c r="A449" s="124" t="s">
        <v>7647</v>
      </c>
      <c r="B449" s="161" t="s">
        <v>7497</v>
      </c>
      <c r="C449" s="268" t="s">
        <v>269</v>
      </c>
      <c r="D449" s="257">
        <v>2</v>
      </c>
      <c r="E449" s="183">
        <v>61</v>
      </c>
      <c r="F449" s="257">
        <v>7</v>
      </c>
      <c r="G449" s="257">
        <v>7</v>
      </c>
      <c r="L449" s="257">
        <v>8</v>
      </c>
      <c r="N449" s="257">
        <v>4.3899999999999997</v>
      </c>
      <c r="O449" s="159">
        <v>42191</v>
      </c>
      <c r="T449" s="257">
        <v>13.34</v>
      </c>
      <c r="U449" s="256">
        <v>42200</v>
      </c>
      <c r="V449" s="145">
        <v>18.5</v>
      </c>
      <c r="W449" s="159">
        <v>42191</v>
      </c>
      <c r="AD449" s="145">
        <f>(N449/V449)*(((100-CD449)/100)*((100-2)/100))*100</f>
        <v>21.673785945945948</v>
      </c>
      <c r="AF449" s="257">
        <v>24.78</v>
      </c>
      <c r="AG449" s="159">
        <v>42191</v>
      </c>
      <c r="AJ449" s="257">
        <v>130</v>
      </c>
      <c r="AN449" s="257">
        <v>102</v>
      </c>
      <c r="BB449" s="257">
        <v>5</v>
      </c>
      <c r="BN449" s="251">
        <v>65.239999999999995</v>
      </c>
      <c r="BO449" s="256">
        <v>42200</v>
      </c>
      <c r="BT449" s="251">
        <v>53.829902648925781</v>
      </c>
      <c r="BU449" s="256">
        <v>42200</v>
      </c>
      <c r="BV449" s="251">
        <v>14.928798675537109</v>
      </c>
      <c r="BW449" s="256">
        <v>42200</v>
      </c>
      <c r="BX449" s="251">
        <v>20.739000000000001</v>
      </c>
      <c r="BY449" s="256">
        <v>42200</v>
      </c>
      <c r="CD449" s="257">
        <v>6.8</v>
      </c>
      <c r="CE449" s="159">
        <v>42191</v>
      </c>
      <c r="CM449" s="255">
        <v>3</v>
      </c>
      <c r="CN449" s="256">
        <v>42180</v>
      </c>
      <c r="CO449" s="140" t="s">
        <v>8448</v>
      </c>
    </row>
    <row r="450" spans="1:93" ht="15" customHeight="1">
      <c r="A450" s="124" t="s">
        <v>7622</v>
      </c>
      <c r="B450" s="161" t="s">
        <v>7475</v>
      </c>
      <c r="C450" s="268" t="s">
        <v>269</v>
      </c>
      <c r="D450" s="257">
        <v>1</v>
      </c>
      <c r="E450" s="183">
        <v>36</v>
      </c>
      <c r="F450" s="257">
        <v>1</v>
      </c>
      <c r="G450" s="257">
        <v>22</v>
      </c>
      <c r="L450" s="257">
        <v>9</v>
      </c>
      <c r="N450" s="257">
        <v>4.3899999999999997</v>
      </c>
      <c r="O450" s="159">
        <v>42191</v>
      </c>
      <c r="T450" s="257">
        <v>12.1</v>
      </c>
      <c r="U450" s="256">
        <v>42200</v>
      </c>
      <c r="V450" s="145">
        <v>18.5</v>
      </c>
      <c r="W450" s="159">
        <v>42191</v>
      </c>
      <c r="AD450" s="145">
        <f>(N450/V450)*(((100-CD450)/100)*((100-2)/100))*100</f>
        <v>21.673785945945948</v>
      </c>
      <c r="AF450" s="257">
        <f>(N450/V450)*(((100-CD450)/(100-9))*100)</f>
        <v>24.303415503415508</v>
      </c>
      <c r="AG450" s="159">
        <v>42191</v>
      </c>
      <c r="AJ450" s="257">
        <v>155</v>
      </c>
      <c r="AN450" s="257">
        <v>101</v>
      </c>
      <c r="BB450" s="257">
        <v>7</v>
      </c>
      <c r="BN450" s="251">
        <v>62.905000000000001</v>
      </c>
      <c r="BO450" s="256">
        <v>42200</v>
      </c>
      <c r="BT450" s="251">
        <v>48.817367553710937</v>
      </c>
      <c r="BU450" s="256">
        <v>42200</v>
      </c>
      <c r="BV450" s="251">
        <v>19.036947250366211</v>
      </c>
      <c r="BW450" s="256">
        <v>42200</v>
      </c>
      <c r="BX450" s="251">
        <v>61.808</v>
      </c>
      <c r="BY450" s="256">
        <v>42200</v>
      </c>
      <c r="CD450" s="257">
        <v>6.8</v>
      </c>
      <c r="CE450" s="159">
        <v>42191</v>
      </c>
      <c r="CM450" s="255">
        <v>1</v>
      </c>
      <c r="CN450" s="256">
        <v>42180</v>
      </c>
      <c r="CO450" s="140" t="s">
        <v>8447</v>
      </c>
    </row>
    <row r="451" spans="1:93" ht="15" customHeight="1">
      <c r="A451" s="124" t="s">
        <v>7625</v>
      </c>
      <c r="B451" s="161" t="s">
        <v>7478</v>
      </c>
      <c r="C451" s="268" t="s">
        <v>269</v>
      </c>
      <c r="D451" s="257">
        <v>2</v>
      </c>
      <c r="E451" s="183">
        <v>39</v>
      </c>
      <c r="F451" s="257">
        <v>9</v>
      </c>
      <c r="G451" s="257">
        <v>29</v>
      </c>
      <c r="L451" s="257">
        <v>5</v>
      </c>
      <c r="N451" s="257">
        <v>4.4000000000000004</v>
      </c>
      <c r="O451" s="159">
        <v>42191</v>
      </c>
      <c r="T451" s="257">
        <v>12.66</v>
      </c>
      <c r="U451" s="256">
        <v>42200</v>
      </c>
      <c r="V451" s="145">
        <v>18.5</v>
      </c>
      <c r="W451" s="159">
        <v>42191</v>
      </c>
      <c r="AD451" s="145">
        <f>(N451/V451)*(((100-CD451)/100)*((100-2)/100))*100</f>
        <v>21.676540540540543</v>
      </c>
      <c r="AF451" s="257">
        <v>24.78</v>
      </c>
      <c r="AG451" s="159">
        <v>42191</v>
      </c>
      <c r="AJ451" s="257">
        <v>120</v>
      </c>
      <c r="AN451" s="257">
        <v>105</v>
      </c>
      <c r="BB451" s="257">
        <v>7</v>
      </c>
      <c r="BN451" s="251">
        <v>67.198999999999998</v>
      </c>
      <c r="BO451" s="256">
        <v>42200</v>
      </c>
      <c r="BT451" s="251">
        <v>51.093414306640625</v>
      </c>
      <c r="BU451" s="256">
        <v>42200</v>
      </c>
      <c r="BV451" s="251">
        <v>17.590139389038086</v>
      </c>
      <c r="BW451" s="256">
        <v>42200</v>
      </c>
      <c r="BX451" s="251">
        <v>14.141</v>
      </c>
      <c r="BY451" s="256">
        <v>42200</v>
      </c>
      <c r="CD451" s="257">
        <v>7</v>
      </c>
      <c r="CE451" s="159">
        <v>42191</v>
      </c>
      <c r="CM451" s="255">
        <v>3</v>
      </c>
      <c r="CN451" s="256">
        <v>42180</v>
      </c>
      <c r="CO451" s="140" t="s">
        <v>8448</v>
      </c>
    </row>
    <row r="452" spans="1:93" ht="15" customHeight="1">
      <c r="A452" s="124" t="s">
        <v>7661</v>
      </c>
      <c r="B452" s="161" t="s">
        <v>7510</v>
      </c>
      <c r="C452" s="268" t="s">
        <v>269</v>
      </c>
      <c r="D452" s="257">
        <v>1</v>
      </c>
      <c r="E452" s="183">
        <v>75</v>
      </c>
      <c r="F452" s="257">
        <v>1</v>
      </c>
      <c r="G452" s="257">
        <v>3</v>
      </c>
      <c r="L452" s="257">
        <v>5</v>
      </c>
      <c r="N452" s="257">
        <v>4.42</v>
      </c>
      <c r="O452" s="159">
        <v>42191</v>
      </c>
      <c r="T452" s="257">
        <v>12.38</v>
      </c>
      <c r="U452" s="256">
        <v>42200</v>
      </c>
      <c r="V452" s="145">
        <v>18.5</v>
      </c>
      <c r="W452" s="159">
        <v>42191</v>
      </c>
      <c r="AD452" s="145">
        <f>(N452/V452)*(((100-CD452)/100)*((100-2)/100))*100</f>
        <v>21.70482810810811</v>
      </c>
      <c r="AF452" s="257">
        <f>(N452/V452)*(((100-CD452)/(100-9))*100)</f>
        <v>24.338223938223937</v>
      </c>
      <c r="AG452" s="159">
        <v>42191</v>
      </c>
      <c r="AJ452" s="257">
        <v>125</v>
      </c>
      <c r="AN452" s="257">
        <v>100</v>
      </c>
      <c r="BB452" s="257">
        <v>7</v>
      </c>
      <c r="BN452" s="251">
        <v>61.941000000000003</v>
      </c>
      <c r="BO452" s="256">
        <v>42200</v>
      </c>
      <c r="BT452" s="251">
        <v>49.878108978271484</v>
      </c>
      <c r="BU452" s="256">
        <v>42200</v>
      </c>
      <c r="BV452" s="251">
        <v>18.856454849243164</v>
      </c>
      <c r="BW452" s="256">
        <v>42200</v>
      </c>
      <c r="BX452" s="251">
        <v>16.395</v>
      </c>
      <c r="BY452" s="256">
        <v>42200</v>
      </c>
      <c r="CD452" s="257">
        <v>7.3</v>
      </c>
      <c r="CE452" s="159">
        <v>42191</v>
      </c>
      <c r="CM452" s="255">
        <v>1</v>
      </c>
      <c r="CN452" s="256">
        <v>42180</v>
      </c>
      <c r="CO452" s="140" t="s">
        <v>8447</v>
      </c>
    </row>
    <row r="453" spans="1:93" ht="15" customHeight="1">
      <c r="A453" s="124" t="s">
        <v>7666</v>
      </c>
      <c r="B453" s="161" t="s">
        <v>7515</v>
      </c>
      <c r="C453" s="268" t="s">
        <v>267</v>
      </c>
      <c r="D453" s="257">
        <v>4</v>
      </c>
      <c r="E453" s="183">
        <v>80</v>
      </c>
      <c r="F453" s="257">
        <v>21</v>
      </c>
      <c r="G453" s="257">
        <v>6</v>
      </c>
      <c r="L453" s="257">
        <v>8</v>
      </c>
      <c r="N453" s="257">
        <v>4.46</v>
      </c>
      <c r="O453" s="159">
        <v>42191</v>
      </c>
      <c r="T453" s="257">
        <v>12.81</v>
      </c>
      <c r="U453" s="256">
        <v>42200</v>
      </c>
      <c r="V453" s="145">
        <v>18.5</v>
      </c>
      <c r="W453" s="159">
        <v>42191</v>
      </c>
      <c r="AD453" s="145">
        <f>(N453/V453)*(((100-CD453)/100)*((100-2)/100))*100</f>
        <v>21.712244324324324</v>
      </c>
      <c r="AF453" s="257">
        <v>24.82</v>
      </c>
      <c r="AG453" s="159">
        <v>42191</v>
      </c>
      <c r="AJ453" s="257">
        <v>135</v>
      </c>
      <c r="AN453" s="257">
        <v>111</v>
      </c>
      <c r="BB453" s="257">
        <v>9</v>
      </c>
      <c r="BN453" s="251">
        <v>64.665000000000006</v>
      </c>
      <c r="BO453" s="256">
        <v>42200</v>
      </c>
      <c r="BT453" s="251">
        <v>51.628585815429688</v>
      </c>
      <c r="BU453" s="256">
        <v>42200</v>
      </c>
      <c r="BV453" s="251">
        <v>16.377836227416992</v>
      </c>
      <c r="BW453" s="256">
        <v>42200</v>
      </c>
      <c r="BX453" s="251">
        <v>15.788</v>
      </c>
      <c r="BY453" s="256">
        <v>42200</v>
      </c>
      <c r="CD453" s="257">
        <v>8.1</v>
      </c>
      <c r="CE453" s="159">
        <v>42191</v>
      </c>
      <c r="CM453" s="255">
        <v>5</v>
      </c>
      <c r="CN453" s="256">
        <v>42180</v>
      </c>
      <c r="CO453" s="140" t="s">
        <v>8447</v>
      </c>
    </row>
    <row r="454" spans="1:93" ht="15" customHeight="1">
      <c r="A454" s="124" t="s">
        <v>7737</v>
      </c>
      <c r="B454" s="161" t="s">
        <v>7561</v>
      </c>
      <c r="C454" s="268" t="s">
        <v>269</v>
      </c>
      <c r="D454" s="257">
        <v>2</v>
      </c>
      <c r="E454" s="183">
        <v>151</v>
      </c>
      <c r="F454" s="257">
        <v>10</v>
      </c>
      <c r="G454" s="257">
        <v>16</v>
      </c>
      <c r="L454" s="257">
        <v>6</v>
      </c>
      <c r="N454" s="257">
        <v>4.4000000000000004</v>
      </c>
      <c r="O454" s="159">
        <v>42191</v>
      </c>
      <c r="T454" s="257">
        <v>12.45</v>
      </c>
      <c r="U454" s="256">
        <v>42200</v>
      </c>
      <c r="V454" s="145">
        <v>18.5</v>
      </c>
      <c r="W454" s="159">
        <v>42191</v>
      </c>
      <c r="AD454" s="145">
        <f>(N454/V454)*(((100-CD454)/100)*((100-2)/100))*100</f>
        <v>21.723156756756758</v>
      </c>
      <c r="AF454" s="257">
        <f>(N454/V454)*(((100-CD454)/(100-9))*100)</f>
        <v>24.358776358776364</v>
      </c>
      <c r="AG454" s="159">
        <v>42191</v>
      </c>
      <c r="AJ454" s="257">
        <v>130</v>
      </c>
      <c r="AN454" s="257">
        <v>102</v>
      </c>
      <c r="BB454" s="257">
        <v>7</v>
      </c>
      <c r="BN454" s="251">
        <v>66.805999999999997</v>
      </c>
      <c r="BO454" s="256">
        <v>42200</v>
      </c>
      <c r="BT454" s="251">
        <v>50.163021087646484</v>
      </c>
      <c r="BU454" s="256">
        <v>42200</v>
      </c>
      <c r="BV454" s="251">
        <v>18.521228790283203</v>
      </c>
      <c r="BW454" s="256">
        <v>42200</v>
      </c>
      <c r="BX454" s="251">
        <v>17.577999999999999</v>
      </c>
      <c r="BY454" s="256">
        <v>42200</v>
      </c>
      <c r="CD454" s="257">
        <v>6.8</v>
      </c>
      <c r="CE454" s="159">
        <v>42191</v>
      </c>
      <c r="CM454" s="255">
        <v>1</v>
      </c>
      <c r="CN454" s="256">
        <v>42180</v>
      </c>
      <c r="CO454" s="140" t="s">
        <v>8448</v>
      </c>
    </row>
    <row r="455" spans="1:93" ht="15" customHeight="1">
      <c r="A455" s="124" t="s">
        <v>7611</v>
      </c>
      <c r="B455" s="161" t="s">
        <v>7466</v>
      </c>
      <c r="C455" s="268" t="s">
        <v>269</v>
      </c>
      <c r="D455" s="257">
        <v>2</v>
      </c>
      <c r="E455" s="183">
        <v>25</v>
      </c>
      <c r="F455" s="257">
        <v>9</v>
      </c>
      <c r="G455" s="257">
        <v>21</v>
      </c>
      <c r="L455" s="257">
        <v>7</v>
      </c>
      <c r="N455" s="257">
        <v>4.42</v>
      </c>
      <c r="O455" s="159">
        <v>42191</v>
      </c>
      <c r="T455" s="257">
        <v>11.4</v>
      </c>
      <c r="U455" s="256">
        <v>42200</v>
      </c>
      <c r="V455" s="145">
        <v>18.5</v>
      </c>
      <c r="W455" s="159">
        <v>42191</v>
      </c>
      <c r="AD455" s="145">
        <f>(N455/V455)*(((100-CD455)/100)*((100-2)/100))*100</f>
        <v>21.751656216216215</v>
      </c>
      <c r="AF455" s="257">
        <v>24.87</v>
      </c>
      <c r="AG455" s="159">
        <v>42191</v>
      </c>
      <c r="AJ455" s="257">
        <v>140</v>
      </c>
      <c r="AN455" s="257">
        <v>107</v>
      </c>
      <c r="BB455" s="257">
        <v>7</v>
      </c>
      <c r="BN455" s="251">
        <v>61.514000000000003</v>
      </c>
      <c r="BO455" s="256">
        <v>42200</v>
      </c>
      <c r="BT455" s="251">
        <v>45.839771270751953</v>
      </c>
      <c r="BU455" s="256">
        <v>42200</v>
      </c>
      <c r="BV455" s="251">
        <v>21.591026306152344</v>
      </c>
      <c r="BW455" s="256">
        <v>42200</v>
      </c>
      <c r="BX455" s="251">
        <v>65.816999999999993</v>
      </c>
      <c r="BY455" s="256">
        <v>42200</v>
      </c>
      <c r="CD455" s="257">
        <v>7.1</v>
      </c>
      <c r="CE455" s="159">
        <v>42191</v>
      </c>
      <c r="CM455" s="255">
        <v>3</v>
      </c>
      <c r="CN455" s="256">
        <v>42180</v>
      </c>
      <c r="CO455" s="140" t="s">
        <v>8448</v>
      </c>
    </row>
    <row r="456" spans="1:93" ht="15" customHeight="1">
      <c r="A456" s="124" t="s">
        <v>7598</v>
      </c>
      <c r="B456" s="161" t="s">
        <v>7455</v>
      </c>
      <c r="C456" s="268" t="s">
        <v>269</v>
      </c>
      <c r="D456" s="257">
        <v>1</v>
      </c>
      <c r="E456" s="183">
        <v>12</v>
      </c>
      <c r="F456" s="257">
        <v>4</v>
      </c>
      <c r="G456" s="257">
        <v>26</v>
      </c>
      <c r="J456" s="266"/>
      <c r="L456" s="257">
        <v>8</v>
      </c>
      <c r="N456" s="257">
        <v>4.4000000000000004</v>
      </c>
      <c r="O456" s="159">
        <v>42191</v>
      </c>
      <c r="P456" s="144"/>
      <c r="R456" s="145"/>
      <c r="T456" s="257">
        <v>12.27</v>
      </c>
      <c r="U456" s="256">
        <v>42200</v>
      </c>
      <c r="V456" s="145">
        <v>18.5</v>
      </c>
      <c r="W456" s="159">
        <v>42191</v>
      </c>
      <c r="X456" s="145"/>
      <c r="Z456" s="145"/>
      <c r="AB456" s="145"/>
      <c r="AD456" s="145">
        <f>(N456/V456)*(((100-CD456)/100)*((100-2)/100))*100</f>
        <v>21.769772972972977</v>
      </c>
      <c r="AF456" s="257">
        <f>(N456/V456)*(((100-CD456)/(100-9))*100)</f>
        <v>24.411048411048416</v>
      </c>
      <c r="AG456" s="159">
        <v>42191</v>
      </c>
      <c r="AJ456" s="257">
        <v>135</v>
      </c>
      <c r="AL456" s="145"/>
      <c r="AN456" s="257">
        <v>100</v>
      </c>
      <c r="BB456" s="257">
        <v>3</v>
      </c>
      <c r="BN456" s="251">
        <v>63.171999999999997</v>
      </c>
      <c r="BO456" s="256">
        <v>42200</v>
      </c>
      <c r="BT456" s="251">
        <v>49.314403533935547</v>
      </c>
      <c r="BU456" s="256">
        <v>42200</v>
      </c>
      <c r="BV456" s="251">
        <v>18.672979354858398</v>
      </c>
      <c r="BW456" s="256">
        <v>42200</v>
      </c>
      <c r="BX456" s="251">
        <v>63.124000000000002</v>
      </c>
      <c r="BY456" s="256">
        <v>42200</v>
      </c>
      <c r="CD456" s="257">
        <v>6.6</v>
      </c>
      <c r="CE456" s="159">
        <v>42191</v>
      </c>
      <c r="CM456" s="255">
        <v>1</v>
      </c>
      <c r="CN456" s="256">
        <v>42180</v>
      </c>
      <c r="CO456" s="140" t="s">
        <v>8447</v>
      </c>
    </row>
    <row r="457" spans="1:93" ht="15" customHeight="1">
      <c r="A457" s="124" t="s">
        <v>7715</v>
      </c>
      <c r="B457" s="161" t="s">
        <v>8216</v>
      </c>
      <c r="C457" s="268" t="s">
        <v>267</v>
      </c>
      <c r="D457" s="257">
        <v>3</v>
      </c>
      <c r="E457" s="183">
        <v>129</v>
      </c>
      <c r="F457" s="257">
        <v>13</v>
      </c>
      <c r="G457" s="257">
        <v>26</v>
      </c>
      <c r="L457" s="257">
        <v>7</v>
      </c>
      <c r="N457" s="257">
        <v>4.43</v>
      </c>
      <c r="O457" s="159">
        <v>42191</v>
      </c>
      <c r="T457" s="257">
        <v>12.21</v>
      </c>
      <c r="U457" s="256">
        <v>42200</v>
      </c>
      <c r="V457" s="145">
        <v>18.5</v>
      </c>
      <c r="W457" s="159">
        <v>42191</v>
      </c>
      <c r="AD457" s="145">
        <f>(N457/V457)*(((100-CD457)/100)*((100-2)/100))*100</f>
        <v>21.777401081081081</v>
      </c>
      <c r="AF457" s="257">
        <v>24.89</v>
      </c>
      <c r="AG457" s="159">
        <v>42191</v>
      </c>
      <c r="AJ457" s="257">
        <v>120</v>
      </c>
      <c r="AN457" s="257">
        <v>103</v>
      </c>
      <c r="BB457" s="257">
        <v>7</v>
      </c>
      <c r="BN457" s="251">
        <v>61.106999999999999</v>
      </c>
      <c r="BO457" s="256">
        <v>42200</v>
      </c>
      <c r="BT457" s="251">
        <v>49.055606842041016</v>
      </c>
      <c r="BU457" s="256">
        <v>42200</v>
      </c>
      <c r="BV457" s="251">
        <v>18.173017501831055</v>
      </c>
      <c r="BW457" s="256">
        <v>42200</v>
      </c>
      <c r="BX457" s="251">
        <v>25.736000000000001</v>
      </c>
      <c r="BY457" s="256">
        <v>42200</v>
      </c>
      <c r="CD457" s="257">
        <v>7.2</v>
      </c>
      <c r="CE457" s="159">
        <v>42191</v>
      </c>
      <c r="CM457" s="255">
        <v>3</v>
      </c>
      <c r="CN457" s="256">
        <v>42180</v>
      </c>
      <c r="CO457" s="140" t="s">
        <v>8447</v>
      </c>
    </row>
    <row r="458" spans="1:93" ht="15">
      <c r="A458" s="124" t="s">
        <v>7722</v>
      </c>
      <c r="B458" s="161" t="s">
        <v>7554</v>
      </c>
      <c r="C458" s="268" t="s">
        <v>269</v>
      </c>
      <c r="D458" s="243">
        <v>1</v>
      </c>
      <c r="E458" s="183">
        <v>136</v>
      </c>
      <c r="F458" s="244">
        <v>3</v>
      </c>
      <c r="G458" s="245">
        <v>23</v>
      </c>
      <c r="L458" s="254">
        <v>6</v>
      </c>
      <c r="N458" s="246">
        <v>4.4400000000000004</v>
      </c>
      <c r="O458" s="159">
        <v>42191</v>
      </c>
      <c r="T458" s="247">
        <v>12.07</v>
      </c>
      <c r="U458" s="256">
        <v>42200</v>
      </c>
      <c r="V458" s="145">
        <v>18.5</v>
      </c>
      <c r="W458" s="159">
        <v>42191</v>
      </c>
      <c r="AD458" s="145">
        <f>(N458/V458)*(((100-CD458)/100)*((100-2)/100))*100</f>
        <v>21.779519999999998</v>
      </c>
      <c r="AF458" s="248">
        <f>(N458/V458)*(((100-CD458)/(100-9))*100)</f>
        <v>24.421978021978024</v>
      </c>
      <c r="AG458" s="159">
        <v>42191</v>
      </c>
      <c r="AJ458" s="249">
        <v>135</v>
      </c>
      <c r="AN458" s="250">
        <v>108</v>
      </c>
      <c r="BB458" s="257">
        <v>7</v>
      </c>
      <c r="BN458" s="251">
        <v>65.606999999999999</v>
      </c>
      <c r="BO458" s="256">
        <v>42200</v>
      </c>
      <c r="BT458" s="251">
        <v>48.482025146484375</v>
      </c>
      <c r="BU458" s="256">
        <v>42200</v>
      </c>
      <c r="BV458" s="251">
        <v>18.219980239868164</v>
      </c>
      <c r="BW458" s="256">
        <v>42200</v>
      </c>
      <c r="BX458" s="251">
        <v>21.821999999999999</v>
      </c>
      <c r="BY458" s="256">
        <v>42200</v>
      </c>
      <c r="CD458" s="253">
        <v>7.4</v>
      </c>
      <c r="CE458" s="159">
        <v>42191</v>
      </c>
      <c r="CM458" s="255">
        <v>1</v>
      </c>
      <c r="CN458" s="256">
        <v>42180</v>
      </c>
      <c r="CO458" s="140" t="s">
        <v>8447</v>
      </c>
    </row>
    <row r="459" spans="1:93" ht="15" customHeight="1">
      <c r="A459" s="124" t="s">
        <v>7606</v>
      </c>
      <c r="B459" s="161" t="s">
        <v>7461</v>
      </c>
      <c r="C459" s="268" t="s">
        <v>267</v>
      </c>
      <c r="D459" s="257">
        <v>4</v>
      </c>
      <c r="E459" s="183">
        <v>20</v>
      </c>
      <c r="F459" s="257">
        <v>24</v>
      </c>
      <c r="G459" s="257">
        <v>25</v>
      </c>
      <c r="J459" s="266"/>
      <c r="L459" s="257">
        <v>9</v>
      </c>
      <c r="N459" s="257">
        <v>4.4400000000000004</v>
      </c>
      <c r="O459" s="159">
        <v>42191</v>
      </c>
      <c r="P459" s="144"/>
      <c r="R459" s="145"/>
      <c r="T459" s="257">
        <v>11.91</v>
      </c>
      <c r="U459" s="256">
        <v>42200</v>
      </c>
      <c r="V459" s="145">
        <v>18.5</v>
      </c>
      <c r="W459" s="159">
        <v>42191</v>
      </c>
      <c r="X459" s="145"/>
      <c r="Z459" s="145"/>
      <c r="AB459" s="145"/>
      <c r="AD459" s="145">
        <f>(N459/V459)*(((100-CD459)/100)*((100-2)/100))*100</f>
        <v>21.826560000000001</v>
      </c>
      <c r="AF459" s="257">
        <f>(N459/V459)*(((100-CD459)/(100-9))*100)</f>
        <v>24.474725274725277</v>
      </c>
      <c r="AG459" s="159">
        <v>42191</v>
      </c>
      <c r="AJ459" s="257">
        <v>155</v>
      </c>
      <c r="AL459" s="145"/>
      <c r="AN459" s="257">
        <v>106</v>
      </c>
      <c r="BB459" s="257">
        <v>9</v>
      </c>
      <c r="BN459" s="251">
        <v>64.850999999999999</v>
      </c>
      <c r="BO459" s="256">
        <v>42200</v>
      </c>
      <c r="BT459" s="251">
        <v>47.726947784423828</v>
      </c>
      <c r="BU459" s="256">
        <v>42200</v>
      </c>
      <c r="BV459" s="251">
        <v>20.841310501098633</v>
      </c>
      <c r="BW459" s="256">
        <v>42200</v>
      </c>
      <c r="BX459" s="251">
        <v>64.272000000000006</v>
      </c>
      <c r="BY459" s="256">
        <v>42200</v>
      </c>
      <c r="CD459" s="257">
        <v>7.2</v>
      </c>
      <c r="CE459" s="159">
        <v>42191</v>
      </c>
      <c r="CM459" s="255">
        <v>1</v>
      </c>
      <c r="CN459" s="256">
        <v>42180</v>
      </c>
      <c r="CO459" s="140" t="s">
        <v>8447</v>
      </c>
    </row>
    <row r="460" spans="1:93" ht="15">
      <c r="A460" s="124" t="s">
        <v>7662</v>
      </c>
      <c r="B460" s="161" t="s">
        <v>7511</v>
      </c>
      <c r="C460" s="268" t="s">
        <v>267</v>
      </c>
      <c r="D460" s="243">
        <v>3</v>
      </c>
      <c r="E460" s="183">
        <v>76</v>
      </c>
      <c r="F460" s="244">
        <v>15</v>
      </c>
      <c r="G460" s="245">
        <v>26</v>
      </c>
      <c r="L460" s="254">
        <v>3</v>
      </c>
      <c r="N460" s="246">
        <v>4.4400000000000004</v>
      </c>
      <c r="O460" s="159">
        <v>42191</v>
      </c>
      <c r="T460" s="247">
        <v>12.11</v>
      </c>
      <c r="U460" s="256">
        <v>42200</v>
      </c>
      <c r="V460" s="145">
        <v>18.5</v>
      </c>
      <c r="W460" s="159">
        <v>42191</v>
      </c>
      <c r="AD460" s="145">
        <f>(N460/V460)*(((100-CD460)/100)*((100-2)/100))*100</f>
        <v>21.826560000000001</v>
      </c>
      <c r="AF460" s="248">
        <v>24.95</v>
      </c>
      <c r="AG460" s="159">
        <v>42191</v>
      </c>
      <c r="AJ460" s="249">
        <v>115</v>
      </c>
      <c r="AN460" s="250">
        <v>103</v>
      </c>
      <c r="BB460" s="257">
        <v>9</v>
      </c>
      <c r="BN460" s="251">
        <v>67.495000000000005</v>
      </c>
      <c r="BO460" s="256">
        <v>42200</v>
      </c>
      <c r="BT460" s="251">
        <v>48.533103942871094</v>
      </c>
      <c r="BU460" s="256">
        <v>42200</v>
      </c>
      <c r="BV460" s="251">
        <v>17.92169189453125</v>
      </c>
      <c r="BW460" s="256">
        <v>42200</v>
      </c>
      <c r="BX460" s="251">
        <v>23.887</v>
      </c>
      <c r="BY460" s="256">
        <v>42200</v>
      </c>
      <c r="CD460" s="253">
        <v>7.2</v>
      </c>
      <c r="CE460" s="159">
        <v>42191</v>
      </c>
      <c r="CM460" s="255">
        <v>3</v>
      </c>
      <c r="CN460" s="256">
        <v>42180</v>
      </c>
      <c r="CO460" s="140" t="s">
        <v>8447</v>
      </c>
    </row>
    <row r="461" spans="1:93" ht="15">
      <c r="A461" s="124" t="s">
        <v>7680</v>
      </c>
      <c r="B461" s="161" t="s">
        <v>261</v>
      </c>
      <c r="C461" s="268" t="s">
        <v>267</v>
      </c>
      <c r="D461" s="243">
        <v>3</v>
      </c>
      <c r="E461" s="183">
        <v>94</v>
      </c>
      <c r="F461" s="244">
        <v>18</v>
      </c>
      <c r="G461" s="245">
        <v>14</v>
      </c>
      <c r="L461" s="254">
        <v>8</v>
      </c>
      <c r="N461" s="246">
        <v>4.4800000000000004</v>
      </c>
      <c r="O461" s="159">
        <v>42191</v>
      </c>
      <c r="T461" s="247">
        <v>12.74</v>
      </c>
      <c r="U461" s="256">
        <v>42200</v>
      </c>
      <c r="V461" s="145">
        <v>18.5</v>
      </c>
      <c r="W461" s="159">
        <v>42191</v>
      </c>
      <c r="AD461" s="145">
        <f>(N461/V461)*(((100-CD461)/100)*((100-2)/100))*100</f>
        <v>21.857072432432435</v>
      </c>
      <c r="AF461" s="248">
        <v>24.99</v>
      </c>
      <c r="AG461" s="159">
        <v>42191</v>
      </c>
      <c r="AJ461" s="249">
        <v>105</v>
      </c>
      <c r="AN461" s="250">
        <v>101</v>
      </c>
      <c r="BB461" s="257">
        <v>7</v>
      </c>
      <c r="BN461" s="251">
        <v>62.378</v>
      </c>
      <c r="BO461" s="256">
        <v>42200</v>
      </c>
      <c r="BT461" s="251">
        <v>50.983955383300781</v>
      </c>
      <c r="BU461" s="256">
        <v>42200</v>
      </c>
      <c r="BV461" s="251">
        <v>18.058750152587891</v>
      </c>
      <c r="BW461" s="256">
        <v>42200</v>
      </c>
      <c r="BX461" s="251">
        <v>12.003</v>
      </c>
      <c r="BY461" s="256">
        <v>42200</v>
      </c>
      <c r="CD461" s="253">
        <v>7.9</v>
      </c>
      <c r="CE461" s="159">
        <v>42191</v>
      </c>
      <c r="CM461" s="255">
        <v>3</v>
      </c>
      <c r="CN461" s="256">
        <v>42180</v>
      </c>
      <c r="CO461" s="140" t="s">
        <v>8447</v>
      </c>
    </row>
    <row r="462" spans="1:93" ht="15">
      <c r="A462" s="124" t="s">
        <v>7672</v>
      </c>
      <c r="B462" s="161" t="s">
        <v>7521</v>
      </c>
      <c r="C462" s="268" t="s">
        <v>267</v>
      </c>
      <c r="D462" s="243">
        <v>3</v>
      </c>
      <c r="E462" s="183">
        <v>86</v>
      </c>
      <c r="F462" s="244">
        <v>16</v>
      </c>
      <c r="G462" s="245">
        <v>13</v>
      </c>
      <c r="L462" s="254">
        <v>3</v>
      </c>
      <c r="N462" s="246">
        <v>4.4800000000000004</v>
      </c>
      <c r="O462" s="159">
        <v>42191</v>
      </c>
      <c r="T462" s="247">
        <v>12.45</v>
      </c>
      <c r="U462" s="256">
        <v>42200</v>
      </c>
      <c r="V462" s="145">
        <v>18.5</v>
      </c>
      <c r="W462" s="159">
        <v>42191</v>
      </c>
      <c r="AD462" s="145">
        <f>(N462/V462)*(((100-CD462)/100)*((100-2)/100))*100</f>
        <v>21.904536216216215</v>
      </c>
      <c r="AF462" s="248">
        <v>25.04</v>
      </c>
      <c r="AG462" s="159">
        <v>42191</v>
      </c>
      <c r="AJ462" s="249">
        <v>125</v>
      </c>
      <c r="AN462" s="250">
        <v>106</v>
      </c>
      <c r="BB462" s="257">
        <v>9</v>
      </c>
      <c r="BN462" s="251">
        <v>64.218000000000004</v>
      </c>
      <c r="BO462" s="256">
        <v>42200</v>
      </c>
      <c r="BT462" s="251">
        <v>49.733680725097656</v>
      </c>
      <c r="BU462" s="256">
        <v>42200</v>
      </c>
      <c r="BV462" s="251">
        <v>18.447381973266602</v>
      </c>
      <c r="BW462" s="256">
        <v>42200</v>
      </c>
      <c r="BX462" s="251">
        <v>21.741</v>
      </c>
      <c r="BY462" s="256">
        <v>42200</v>
      </c>
      <c r="CD462" s="253">
        <v>7.7</v>
      </c>
      <c r="CE462" s="159">
        <v>42191</v>
      </c>
      <c r="CM462" s="255">
        <v>3</v>
      </c>
      <c r="CN462" s="256">
        <v>42180</v>
      </c>
      <c r="CO462" s="140" t="s">
        <v>8447</v>
      </c>
    </row>
    <row r="463" spans="1:93" ht="15">
      <c r="A463" s="124" t="s">
        <v>7631</v>
      </c>
      <c r="B463" s="161" t="s">
        <v>7484</v>
      </c>
      <c r="C463" s="268" t="s">
        <v>267</v>
      </c>
      <c r="D463" s="243">
        <v>3</v>
      </c>
      <c r="E463" s="183">
        <v>45</v>
      </c>
      <c r="F463" s="244">
        <v>14</v>
      </c>
      <c r="G463" s="245">
        <v>1</v>
      </c>
      <c r="L463" s="254">
        <v>7</v>
      </c>
      <c r="N463" s="246">
        <v>4.5199999999999996</v>
      </c>
      <c r="O463" s="159">
        <v>42191</v>
      </c>
      <c r="T463" s="247">
        <v>12.83</v>
      </c>
      <c r="U463" s="256">
        <v>42200</v>
      </c>
      <c r="V463" s="145">
        <v>18.5</v>
      </c>
      <c r="W463" s="159">
        <v>42191</v>
      </c>
      <c r="AD463" s="145">
        <f>(N463/V463)*(((100-CD463)/100)*((100-2)/100))*100</f>
        <v>21.932505945945945</v>
      </c>
      <c r="AF463" s="248">
        <v>25.07</v>
      </c>
      <c r="AG463" s="159">
        <v>42191</v>
      </c>
      <c r="AJ463" s="249">
        <v>140</v>
      </c>
      <c r="AN463" s="250">
        <v>102</v>
      </c>
      <c r="BB463" s="257">
        <v>9</v>
      </c>
      <c r="BN463" s="251">
        <v>66.884</v>
      </c>
      <c r="BO463" s="256">
        <v>42200</v>
      </c>
      <c r="BT463" s="251">
        <v>51.182106018066406</v>
      </c>
      <c r="BU463" s="256">
        <v>42200</v>
      </c>
      <c r="BV463" s="251">
        <v>18.176731109619141</v>
      </c>
      <c r="BW463" s="256">
        <v>42200</v>
      </c>
      <c r="BX463" s="251">
        <v>20.352</v>
      </c>
      <c r="BY463" s="256">
        <v>42200</v>
      </c>
      <c r="CD463" s="253">
        <v>8.4</v>
      </c>
      <c r="CE463" s="159">
        <v>42191</v>
      </c>
      <c r="CM463" s="255">
        <v>3</v>
      </c>
      <c r="CN463" s="256">
        <v>42180</v>
      </c>
      <c r="CO463" s="140" t="s">
        <v>8447</v>
      </c>
    </row>
    <row r="464" spans="1:93" ht="15">
      <c r="A464" s="124" t="s">
        <v>7711</v>
      </c>
      <c r="B464" s="161" t="s">
        <v>7550</v>
      </c>
      <c r="C464" s="268" t="s">
        <v>269</v>
      </c>
      <c r="D464" s="243">
        <v>2</v>
      </c>
      <c r="E464" s="183">
        <v>125</v>
      </c>
      <c r="F464" s="244">
        <v>12</v>
      </c>
      <c r="G464" s="245">
        <v>20</v>
      </c>
      <c r="L464" s="254">
        <v>9</v>
      </c>
      <c r="N464" s="246">
        <v>4.4400000000000004</v>
      </c>
      <c r="O464" s="159">
        <v>42191</v>
      </c>
      <c r="T464" s="247">
        <v>12.39</v>
      </c>
      <c r="U464" s="256">
        <v>42200</v>
      </c>
      <c r="V464" s="145">
        <v>18.5</v>
      </c>
      <c r="W464" s="159">
        <v>42191</v>
      </c>
      <c r="AD464" s="145">
        <f>(N464/V464)*(((100-CD464)/100)*((100-2)/100))*100</f>
        <v>21.94416</v>
      </c>
      <c r="AF464" s="248">
        <f>(N464/V464)*(((100-CD464)/(100-9))*100)</f>
        <v>24.606593406593408</v>
      </c>
      <c r="AG464" s="159">
        <v>42191</v>
      </c>
      <c r="AJ464" s="249">
        <v>150</v>
      </c>
      <c r="AN464" s="250">
        <v>107</v>
      </c>
      <c r="BB464" s="257">
        <v>7</v>
      </c>
      <c r="BN464" s="251">
        <v>62.152000000000001</v>
      </c>
      <c r="BO464" s="256">
        <v>42200</v>
      </c>
      <c r="BT464" s="251">
        <v>49.385368347167969</v>
      </c>
      <c r="BU464" s="256">
        <v>42200</v>
      </c>
      <c r="BV464" s="251">
        <v>19.063272476196289</v>
      </c>
      <c r="BW464" s="256">
        <v>42200</v>
      </c>
      <c r="BX464" s="251">
        <v>16.356000000000002</v>
      </c>
      <c r="BY464" s="256">
        <v>42200</v>
      </c>
      <c r="CD464" s="253">
        <v>6.7</v>
      </c>
      <c r="CE464" s="159">
        <v>42191</v>
      </c>
      <c r="CM464" s="255">
        <v>1</v>
      </c>
      <c r="CN464" s="256">
        <v>42180</v>
      </c>
      <c r="CO464" s="140" t="s">
        <v>8448</v>
      </c>
    </row>
    <row r="465" spans="1:93" ht="15">
      <c r="A465" s="124" t="s">
        <v>7733</v>
      </c>
      <c r="B465" s="161" t="s">
        <v>8255</v>
      </c>
      <c r="C465" s="268" t="s">
        <v>267</v>
      </c>
      <c r="D465" s="243">
        <v>3</v>
      </c>
      <c r="E465" s="183">
        <v>147</v>
      </c>
      <c r="F465" s="244">
        <v>15</v>
      </c>
      <c r="G465" s="245">
        <v>18</v>
      </c>
      <c r="L465" s="254">
        <v>7</v>
      </c>
      <c r="N465" s="246">
        <v>4.45</v>
      </c>
      <c r="O465" s="159">
        <v>42191</v>
      </c>
      <c r="T465" s="247">
        <v>12.79</v>
      </c>
      <c r="U465" s="256">
        <v>42200</v>
      </c>
      <c r="V465" s="145">
        <v>18.5</v>
      </c>
      <c r="W465" s="159">
        <v>42191</v>
      </c>
      <c r="AD465" s="145">
        <f>(N465/V465)*(((100-CD465)/100)*((100-2)/100))*100</f>
        <v>21.946437837837838</v>
      </c>
      <c r="AF465" s="248">
        <v>25.09</v>
      </c>
      <c r="AG465" s="159">
        <v>42191</v>
      </c>
      <c r="AJ465" s="249">
        <v>115</v>
      </c>
      <c r="AN465" s="250">
        <v>103</v>
      </c>
      <c r="BB465" s="257">
        <v>7</v>
      </c>
      <c r="BN465" s="251">
        <v>64.423000000000002</v>
      </c>
      <c r="BO465" s="256">
        <v>42200</v>
      </c>
      <c r="BT465" s="251">
        <v>50.963027954101562</v>
      </c>
      <c r="BU465" s="256">
        <v>42200</v>
      </c>
      <c r="BV465" s="251">
        <v>16.779647827148437</v>
      </c>
      <c r="BW465" s="256">
        <v>42200</v>
      </c>
      <c r="BX465" s="251">
        <v>15.186</v>
      </c>
      <c r="BY465" s="256">
        <v>42200</v>
      </c>
      <c r="CD465" s="253">
        <v>6.9</v>
      </c>
      <c r="CE465" s="159">
        <v>42191</v>
      </c>
      <c r="CM465" s="255">
        <v>5</v>
      </c>
      <c r="CN465" s="256">
        <v>42180</v>
      </c>
      <c r="CO465" s="140" t="s">
        <v>8447</v>
      </c>
    </row>
    <row r="466" spans="1:93" ht="15" customHeight="1">
      <c r="A466" s="137" t="s">
        <v>8462</v>
      </c>
      <c r="B466" s="161" t="s">
        <v>8485</v>
      </c>
      <c r="C466" s="268" t="s">
        <v>269</v>
      </c>
      <c r="D466" s="269">
        <v>2</v>
      </c>
      <c r="E466" s="280">
        <v>13</v>
      </c>
      <c r="F466" s="269"/>
      <c r="G466" s="269"/>
      <c r="H466" s="271">
        <v>9</v>
      </c>
      <c r="I466" s="271">
        <v>1</v>
      </c>
      <c r="J466" s="282"/>
      <c r="K466" s="273"/>
      <c r="L466" s="269">
        <v>6</v>
      </c>
      <c r="M466" s="274"/>
      <c r="N466" s="269">
        <v>4.54</v>
      </c>
      <c r="O466" s="274">
        <v>42191</v>
      </c>
      <c r="P466" s="272"/>
      <c r="Q466" s="274"/>
      <c r="R466" s="275"/>
      <c r="S466" s="274"/>
      <c r="T466" s="269">
        <v>11.52</v>
      </c>
      <c r="U466" s="276">
        <v>42200</v>
      </c>
      <c r="V466" s="275">
        <v>18.5</v>
      </c>
      <c r="W466" s="274">
        <v>42191</v>
      </c>
      <c r="X466" s="275"/>
      <c r="Y466" s="274"/>
      <c r="Z466" s="275"/>
      <c r="AA466" s="274"/>
      <c r="AB466" s="275"/>
      <c r="AC466" s="274"/>
      <c r="AD466" s="145">
        <f>(N466/V466)*(((100-CD466)/100)*((100-2)/100))*100</f>
        <v>21.957403243243238</v>
      </c>
      <c r="AE466" s="274"/>
      <c r="AF466" s="269">
        <v>25.1</v>
      </c>
      <c r="AG466" s="274">
        <v>42191</v>
      </c>
      <c r="AH466" s="274"/>
      <c r="AI466" s="274"/>
      <c r="AJ466" s="269">
        <v>145</v>
      </c>
      <c r="AK466" s="274"/>
      <c r="AL466" s="275"/>
      <c r="AM466" s="274"/>
      <c r="AN466" s="269">
        <v>104</v>
      </c>
      <c r="AO466" s="274"/>
      <c r="AP466" s="275"/>
      <c r="AQ466" s="275"/>
      <c r="AR466" s="275"/>
      <c r="AS466" s="275"/>
      <c r="AT466" s="275"/>
      <c r="AU466" s="275"/>
      <c r="AV466" s="275"/>
      <c r="AW466" s="275"/>
      <c r="AX466" s="275"/>
      <c r="AY466" s="275"/>
      <c r="AZ466" s="275"/>
      <c r="BA466" s="275"/>
      <c r="BB466" s="269">
        <v>9</v>
      </c>
      <c r="BC466" s="275"/>
      <c r="BD466" s="275"/>
      <c r="BE466" s="275"/>
      <c r="BF466" s="272"/>
      <c r="BG466" s="272"/>
      <c r="BH466" s="272"/>
      <c r="BI466" s="272"/>
      <c r="BJ466" s="272"/>
      <c r="BK466" s="272"/>
      <c r="BL466" s="272"/>
      <c r="BM466" s="272"/>
      <c r="BN466" s="284">
        <v>63.594999999999999</v>
      </c>
      <c r="BO466" s="276">
        <v>42200</v>
      </c>
      <c r="BP466" s="272"/>
      <c r="BQ466" s="272"/>
      <c r="BR466" s="272"/>
      <c r="BS466" s="272"/>
      <c r="BT466" s="284">
        <v>45.9</v>
      </c>
      <c r="BU466" s="276">
        <v>42200</v>
      </c>
      <c r="BV466" s="284">
        <v>20.8216552734375</v>
      </c>
      <c r="BW466" s="276">
        <v>42200</v>
      </c>
      <c r="BX466" s="284">
        <v>31.584</v>
      </c>
      <c r="BY466" s="276">
        <v>42200</v>
      </c>
      <c r="BZ466" s="272"/>
      <c r="CA466" s="272"/>
      <c r="CB466" s="272"/>
      <c r="CC466" s="272"/>
      <c r="CD466" s="269">
        <v>8.6999999999999993</v>
      </c>
      <c r="CE466" s="274">
        <v>42191</v>
      </c>
      <c r="CF466" s="272"/>
      <c r="CG466" s="272"/>
      <c r="CH466" s="272"/>
      <c r="CI466" s="272"/>
      <c r="CJ466" s="272"/>
      <c r="CK466" s="272"/>
      <c r="CL466" s="272"/>
      <c r="CM466" s="278">
        <v>7</v>
      </c>
      <c r="CN466" s="276">
        <v>42180</v>
      </c>
      <c r="CO466" s="272" t="s">
        <v>8447</v>
      </c>
    </row>
    <row r="467" spans="1:93" ht="15">
      <c r="A467" s="124" t="s">
        <v>7635</v>
      </c>
      <c r="B467" s="161" t="s">
        <v>7487</v>
      </c>
      <c r="C467" s="268" t="s">
        <v>267</v>
      </c>
      <c r="D467" s="243">
        <v>3</v>
      </c>
      <c r="E467" s="183">
        <v>49</v>
      </c>
      <c r="F467" s="244">
        <v>15</v>
      </c>
      <c r="G467" s="245">
        <v>8</v>
      </c>
      <c r="L467" s="254">
        <v>9</v>
      </c>
      <c r="N467" s="246">
        <v>4.5199999999999996</v>
      </c>
      <c r="O467" s="159">
        <v>42191</v>
      </c>
      <c r="T467" s="247">
        <v>12.82</v>
      </c>
      <c r="U467" s="256">
        <v>42200</v>
      </c>
      <c r="V467" s="145">
        <v>18.5</v>
      </c>
      <c r="W467" s="159">
        <v>42191</v>
      </c>
      <c r="AD467" s="145">
        <f>(N467/V467)*(((100-CD467)/100)*((100-2)/100))*100</f>
        <v>22.004337297297294</v>
      </c>
      <c r="AF467" s="248">
        <v>25.15</v>
      </c>
      <c r="AG467" s="159">
        <v>42191</v>
      </c>
      <c r="AJ467" s="249">
        <v>115</v>
      </c>
      <c r="AN467" s="250">
        <v>103</v>
      </c>
      <c r="BB467" s="257">
        <v>7</v>
      </c>
      <c r="BN467" s="251">
        <v>66.563000000000002</v>
      </c>
      <c r="BO467" s="256">
        <v>42200</v>
      </c>
      <c r="BT467" s="251">
        <v>50.980171203613281</v>
      </c>
      <c r="BU467" s="256">
        <v>42200</v>
      </c>
      <c r="BV467" s="251">
        <v>18.304426193237305</v>
      </c>
      <c r="BW467" s="256">
        <v>42200</v>
      </c>
      <c r="BX467" s="251">
        <v>22.986999999999998</v>
      </c>
      <c r="BY467" s="256">
        <v>42200</v>
      </c>
      <c r="CD467" s="253">
        <v>8.1</v>
      </c>
      <c r="CE467" s="159">
        <v>42191</v>
      </c>
      <c r="CM467" s="255">
        <v>3</v>
      </c>
      <c r="CN467" s="256">
        <v>42180</v>
      </c>
      <c r="CO467" s="140" t="s">
        <v>8447</v>
      </c>
    </row>
    <row r="468" spans="1:93" ht="15">
      <c r="A468" s="124" t="s">
        <v>7681</v>
      </c>
      <c r="B468" s="161" t="s">
        <v>7528</v>
      </c>
      <c r="C468" s="268" t="s">
        <v>269</v>
      </c>
      <c r="D468" s="243">
        <v>1</v>
      </c>
      <c r="E468" s="183">
        <v>95</v>
      </c>
      <c r="F468" s="244">
        <v>6</v>
      </c>
      <c r="G468" s="245">
        <v>23</v>
      </c>
      <c r="L468" s="254">
        <v>6</v>
      </c>
      <c r="N468" s="246">
        <v>4.45</v>
      </c>
      <c r="O468" s="159">
        <v>42191</v>
      </c>
      <c r="T468" s="247">
        <v>12.51</v>
      </c>
      <c r="U468" s="256">
        <v>42200</v>
      </c>
      <c r="V468" s="145">
        <v>18.5</v>
      </c>
      <c r="W468" s="159">
        <v>42191</v>
      </c>
      <c r="AD468" s="145">
        <f>(N468/V468)*(((100-CD468)/100)*((100-2)/100))*100</f>
        <v>22.017156756756759</v>
      </c>
      <c r="AF468" s="248">
        <v>25.17</v>
      </c>
      <c r="AG468" s="159">
        <v>42191</v>
      </c>
      <c r="AJ468" s="249">
        <v>130</v>
      </c>
      <c r="AN468" s="250">
        <v>102</v>
      </c>
      <c r="BB468" s="257">
        <v>3</v>
      </c>
      <c r="BN468" s="251">
        <v>63.009</v>
      </c>
      <c r="BO468" s="256">
        <v>42200</v>
      </c>
      <c r="BT468" s="251">
        <v>49.715412139892578</v>
      </c>
      <c r="BU468" s="256">
        <v>42200</v>
      </c>
      <c r="BV468" s="251">
        <v>18.432712554931641</v>
      </c>
      <c r="BW468" s="256">
        <v>42200</v>
      </c>
      <c r="BX468" s="251">
        <v>23.727</v>
      </c>
      <c r="BY468" s="256">
        <v>42200</v>
      </c>
      <c r="CD468" s="253">
        <v>6.6</v>
      </c>
      <c r="CE468" s="159">
        <v>42191</v>
      </c>
      <c r="CM468" s="255">
        <v>5</v>
      </c>
      <c r="CN468" s="256">
        <v>42180</v>
      </c>
      <c r="CO468" s="140" t="s">
        <v>8447</v>
      </c>
    </row>
    <row r="469" spans="1:93" ht="15">
      <c r="A469" s="124" t="s">
        <v>7740</v>
      </c>
      <c r="B469" s="161" t="s">
        <v>7564</v>
      </c>
      <c r="C469" s="268" t="s">
        <v>267</v>
      </c>
      <c r="D469" s="243">
        <v>4</v>
      </c>
      <c r="E469" s="183">
        <v>154</v>
      </c>
      <c r="F469" s="244">
        <v>20</v>
      </c>
      <c r="G469" s="245">
        <v>18</v>
      </c>
      <c r="L469" s="254">
        <v>8</v>
      </c>
      <c r="N469" s="246">
        <v>4.51</v>
      </c>
      <c r="O469" s="159">
        <v>42191</v>
      </c>
      <c r="T469" s="247">
        <v>12.16</v>
      </c>
      <c r="U469" s="256">
        <v>42200</v>
      </c>
      <c r="V469" s="145">
        <v>18.5</v>
      </c>
      <c r="W469" s="159">
        <v>42191</v>
      </c>
      <c r="AD469" s="145">
        <f>(N469/V469)*(((100-CD469)/100)*((100-2)/100))*100</f>
        <v>22.051218378378373</v>
      </c>
      <c r="AF469" s="248">
        <v>25.21</v>
      </c>
      <c r="AG469" s="159">
        <v>42191</v>
      </c>
      <c r="AJ469" s="249">
        <v>115</v>
      </c>
      <c r="AN469" s="250">
        <v>101</v>
      </c>
      <c r="BB469" s="257">
        <v>9</v>
      </c>
      <c r="BN469" s="251">
        <v>61.420999999999999</v>
      </c>
      <c r="BO469" s="256">
        <v>42200</v>
      </c>
      <c r="BT469" s="251">
        <v>48.238822937011719</v>
      </c>
      <c r="BU469" s="256">
        <v>42200</v>
      </c>
      <c r="BV469" s="251">
        <v>18.003582000732422</v>
      </c>
      <c r="BW469" s="256">
        <v>42200</v>
      </c>
      <c r="BX469" s="251">
        <v>18.806000000000001</v>
      </c>
      <c r="BY469" s="256">
        <v>42200</v>
      </c>
      <c r="CD469" s="253">
        <v>7.7</v>
      </c>
      <c r="CE469" s="159">
        <v>42191</v>
      </c>
      <c r="CM469" s="255">
        <v>3</v>
      </c>
      <c r="CN469" s="256">
        <v>42180</v>
      </c>
      <c r="CO469" s="140" t="s">
        <v>8447</v>
      </c>
    </row>
    <row r="470" spans="1:93" ht="15">
      <c r="A470" s="124" t="s">
        <v>7642</v>
      </c>
      <c r="B470" s="161" t="s">
        <v>7494</v>
      </c>
      <c r="C470" s="268" t="s">
        <v>267</v>
      </c>
      <c r="D470" s="243">
        <v>3</v>
      </c>
      <c r="E470" s="183">
        <v>56</v>
      </c>
      <c r="F470" s="244">
        <v>18</v>
      </c>
      <c r="G470" s="245">
        <v>8</v>
      </c>
      <c r="L470" s="254">
        <v>9</v>
      </c>
      <c r="N470" s="246">
        <v>4.54</v>
      </c>
      <c r="O470" s="159">
        <v>42191</v>
      </c>
      <c r="T470" s="247">
        <v>12.6</v>
      </c>
      <c r="U470" s="256">
        <v>42200</v>
      </c>
      <c r="V470" s="145">
        <v>18.5</v>
      </c>
      <c r="W470" s="159">
        <v>42191</v>
      </c>
      <c r="AD470" s="145">
        <f>(N470/V470)*(((100-CD470)/100)*((100-2)/100))*100</f>
        <v>22.07765189189189</v>
      </c>
      <c r="AF470" s="248">
        <f>(N470/V470)*(((100-CD470)/(100-9))*100)</f>
        <v>24.756281556281554</v>
      </c>
      <c r="AG470" s="159">
        <v>42191</v>
      </c>
      <c r="AJ470" s="249">
        <v>105</v>
      </c>
      <c r="AN470" s="250">
        <v>101</v>
      </c>
      <c r="BB470" s="257">
        <v>3</v>
      </c>
      <c r="BN470" s="251">
        <v>61.600999999999999</v>
      </c>
      <c r="BO470" s="256">
        <v>42200</v>
      </c>
      <c r="BT470" s="251">
        <v>49.941581726074219</v>
      </c>
      <c r="BU470" s="256">
        <v>42200</v>
      </c>
      <c r="BV470" s="251">
        <v>17.856693267822266</v>
      </c>
      <c r="BW470" s="256">
        <v>42200</v>
      </c>
      <c r="BX470" s="251">
        <v>18.22</v>
      </c>
      <c r="BY470" s="256">
        <v>42200</v>
      </c>
      <c r="CD470" s="253">
        <v>8.1999999999999993</v>
      </c>
      <c r="CE470" s="159">
        <v>42191</v>
      </c>
      <c r="CM470" s="255">
        <v>1</v>
      </c>
      <c r="CN470" s="256">
        <v>42180</v>
      </c>
      <c r="CO470" s="140" t="s">
        <v>8447</v>
      </c>
    </row>
    <row r="471" spans="1:93" ht="15">
      <c r="A471" s="124" t="s">
        <v>7653</v>
      </c>
      <c r="B471" s="161" t="s">
        <v>7503</v>
      </c>
      <c r="C471" s="268" t="s">
        <v>269</v>
      </c>
      <c r="D471" s="243">
        <v>2</v>
      </c>
      <c r="E471" s="183">
        <v>67</v>
      </c>
      <c r="F471" s="244">
        <v>9</v>
      </c>
      <c r="G471" s="245">
        <v>28</v>
      </c>
      <c r="L471" s="254">
        <v>7</v>
      </c>
      <c r="N471" s="246">
        <v>4.49</v>
      </c>
      <c r="O471" s="159">
        <v>42191</v>
      </c>
      <c r="T471" s="247">
        <v>12.36</v>
      </c>
      <c r="U471" s="256">
        <v>42200</v>
      </c>
      <c r="V471" s="145">
        <v>18.5</v>
      </c>
      <c r="W471" s="159">
        <v>42191</v>
      </c>
      <c r="AD471" s="145">
        <f>(N471/V471)*(((100-CD471)/100)*((100-2)/100))*100</f>
        <v>22.167494054054057</v>
      </c>
      <c r="AF471" s="248">
        <f>(N471/V471)*(((100-CD471)/(100-9))*100)</f>
        <v>24.857024057024063</v>
      </c>
      <c r="AG471" s="159">
        <v>42191</v>
      </c>
      <c r="AJ471" s="249">
        <v>125</v>
      </c>
      <c r="AN471" s="250">
        <v>103</v>
      </c>
      <c r="BB471" s="257">
        <v>7</v>
      </c>
      <c r="BN471" s="251">
        <v>64.813999999999993</v>
      </c>
      <c r="BO471" s="256">
        <v>42200</v>
      </c>
      <c r="BT471" s="251">
        <v>48.764053344726563</v>
      </c>
      <c r="BU471" s="256">
        <v>42200</v>
      </c>
      <c r="BV471" s="251">
        <v>19.181373596191406</v>
      </c>
      <c r="BW471" s="256">
        <v>42200</v>
      </c>
      <c r="BX471" s="251">
        <v>19.498000000000001</v>
      </c>
      <c r="BY471" s="256">
        <v>42200</v>
      </c>
      <c r="CD471" s="253">
        <v>6.8</v>
      </c>
      <c r="CE471" s="159">
        <v>42191</v>
      </c>
      <c r="CM471" s="255">
        <v>1</v>
      </c>
      <c r="CN471" s="256">
        <v>42180</v>
      </c>
      <c r="CO471" s="140" t="s">
        <v>8448</v>
      </c>
    </row>
    <row r="472" spans="1:93" ht="15">
      <c r="A472" s="124" t="s">
        <v>7678</v>
      </c>
      <c r="B472" s="161" t="s">
        <v>7526</v>
      </c>
      <c r="C472" s="268" t="s">
        <v>267</v>
      </c>
      <c r="D472" s="243">
        <v>3</v>
      </c>
      <c r="E472" s="183">
        <v>92</v>
      </c>
      <c r="F472" s="244">
        <v>15</v>
      </c>
      <c r="G472" s="245">
        <v>29</v>
      </c>
      <c r="L472" s="254">
        <v>3</v>
      </c>
      <c r="N472" s="246">
        <v>4.5</v>
      </c>
      <c r="O472" s="159">
        <v>42191</v>
      </c>
      <c r="T472" s="247">
        <v>12.98</v>
      </c>
      <c r="U472" s="256">
        <v>42200</v>
      </c>
      <c r="V472" s="145">
        <v>18.5</v>
      </c>
      <c r="W472" s="159">
        <v>42191</v>
      </c>
      <c r="AD472" s="145">
        <f>(N472/V472)*(((100-CD472)/100)*((100-2)/100))*100</f>
        <v>22.16918918918919</v>
      </c>
      <c r="AF472" s="248">
        <v>25.34</v>
      </c>
      <c r="AG472" s="159">
        <v>42191</v>
      </c>
      <c r="AJ472" s="249">
        <v>120</v>
      </c>
      <c r="AN472" s="250">
        <v>101</v>
      </c>
      <c r="BB472" s="257">
        <v>7</v>
      </c>
      <c r="BN472" s="251">
        <v>66.926000000000002</v>
      </c>
      <c r="BO472" s="256">
        <v>42200</v>
      </c>
      <c r="BT472" s="251">
        <v>51.217964172363281</v>
      </c>
      <c r="BU472" s="256">
        <v>42200</v>
      </c>
      <c r="BV472" s="251">
        <v>17.662343978881836</v>
      </c>
      <c r="BW472" s="256">
        <v>42200</v>
      </c>
      <c r="BX472" s="251">
        <v>15.185</v>
      </c>
      <c r="BY472" s="256">
        <v>42200</v>
      </c>
      <c r="CD472" s="253">
        <v>7</v>
      </c>
      <c r="CE472" s="159">
        <v>42191</v>
      </c>
      <c r="CM472" s="255">
        <v>3</v>
      </c>
      <c r="CN472" s="256">
        <v>42180</v>
      </c>
      <c r="CO472" s="140" t="s">
        <v>8447</v>
      </c>
    </row>
    <row r="473" spans="1:93" ht="15" customHeight="1">
      <c r="A473" s="124" t="s">
        <v>7680</v>
      </c>
      <c r="B473" s="161" t="s">
        <v>261</v>
      </c>
      <c r="C473" s="268" t="s">
        <v>269</v>
      </c>
      <c r="D473" s="257">
        <v>1</v>
      </c>
      <c r="E473" s="183">
        <v>94</v>
      </c>
      <c r="F473" s="257">
        <v>4</v>
      </c>
      <c r="G473" s="257">
        <v>23</v>
      </c>
      <c r="L473" s="257">
        <v>7</v>
      </c>
      <c r="N473" s="257">
        <v>4.5</v>
      </c>
      <c r="O473" s="159">
        <v>42191</v>
      </c>
      <c r="T473" s="257">
        <v>13.45</v>
      </c>
      <c r="U473" s="256">
        <v>42200</v>
      </c>
      <c r="V473" s="145">
        <v>18.5</v>
      </c>
      <c r="W473" s="159">
        <v>42191</v>
      </c>
      <c r="AD473" s="145">
        <f>(N473/V473)*(((100-CD473)/100)*((100-2)/100))*100</f>
        <v>22.16918918918919</v>
      </c>
      <c r="AF473" s="257">
        <f>(N473/V473)*(((100-CD473)/(100-9))*100)</f>
        <v>24.858924858924858</v>
      </c>
      <c r="AG473" s="159">
        <v>42191</v>
      </c>
      <c r="AJ473" s="257">
        <v>150</v>
      </c>
      <c r="AN473" s="257">
        <v>98</v>
      </c>
      <c r="BB473" s="257">
        <v>5</v>
      </c>
      <c r="BN473" s="251">
        <v>64.397000000000006</v>
      </c>
      <c r="BO473" s="256">
        <v>42200</v>
      </c>
      <c r="BT473" s="251">
        <v>53.069953918457031</v>
      </c>
      <c r="BU473" s="256">
        <v>42200</v>
      </c>
      <c r="BV473" s="251">
        <v>15.89533805847168</v>
      </c>
      <c r="BW473" s="256">
        <v>42200</v>
      </c>
      <c r="BX473" s="251">
        <v>14.86</v>
      </c>
      <c r="BY473" s="256">
        <v>42200</v>
      </c>
      <c r="CD473" s="257">
        <v>7</v>
      </c>
      <c r="CE473" s="159">
        <v>42191</v>
      </c>
      <c r="CM473" s="255">
        <v>1</v>
      </c>
      <c r="CN473" s="256">
        <v>42180</v>
      </c>
      <c r="CO473" s="140" t="s">
        <v>8447</v>
      </c>
    </row>
    <row r="474" spans="1:93" ht="15">
      <c r="A474" s="124" t="s">
        <v>7642</v>
      </c>
      <c r="B474" s="161" t="s">
        <v>7494</v>
      </c>
      <c r="C474" s="268" t="s">
        <v>267</v>
      </c>
      <c r="D474" s="243">
        <v>4</v>
      </c>
      <c r="E474" s="183">
        <v>56</v>
      </c>
      <c r="F474" s="244">
        <v>21</v>
      </c>
      <c r="G474" s="245">
        <v>22</v>
      </c>
      <c r="L474" s="254">
        <v>9</v>
      </c>
      <c r="N474" s="246">
        <v>4.5199999999999996</v>
      </c>
      <c r="O474" s="159">
        <v>42191</v>
      </c>
      <c r="T474" s="247">
        <v>12.67</v>
      </c>
      <c r="U474" s="256">
        <v>42200</v>
      </c>
      <c r="V474" s="145">
        <v>18.5</v>
      </c>
      <c r="W474" s="159">
        <v>42191</v>
      </c>
      <c r="AD474" s="145">
        <f>(N474/V474)*(((100-CD474)/100)*((100-2)/100))*100</f>
        <v>22.243775135135131</v>
      </c>
      <c r="AF474" s="248">
        <v>25.43</v>
      </c>
      <c r="AG474" s="159">
        <v>42191</v>
      </c>
      <c r="AJ474" s="249">
        <v>120</v>
      </c>
      <c r="AN474" s="250">
        <v>101</v>
      </c>
      <c r="BB474" s="257">
        <v>5</v>
      </c>
      <c r="BN474" s="251">
        <v>60.566000000000003</v>
      </c>
      <c r="BO474" s="256">
        <v>42200</v>
      </c>
      <c r="BT474" s="251">
        <v>49.833358764648438</v>
      </c>
      <c r="BU474" s="256">
        <v>42200</v>
      </c>
      <c r="BV474" s="251">
        <v>17.560146331787109</v>
      </c>
      <c r="BW474" s="256">
        <v>42200</v>
      </c>
      <c r="BX474" s="251">
        <v>15.427</v>
      </c>
      <c r="BY474" s="256">
        <v>42200</v>
      </c>
      <c r="CD474" s="253">
        <v>7.1</v>
      </c>
      <c r="CE474" s="159">
        <v>42191</v>
      </c>
      <c r="CM474" s="255">
        <v>3</v>
      </c>
      <c r="CN474" s="256">
        <v>42180</v>
      </c>
      <c r="CO474" s="140" t="s">
        <v>8447</v>
      </c>
    </row>
    <row r="475" spans="1:93" ht="15">
      <c r="A475" s="124" t="s">
        <v>8329</v>
      </c>
      <c r="B475" s="161" t="s">
        <v>8329</v>
      </c>
      <c r="C475" s="268" t="s">
        <v>267</v>
      </c>
      <c r="D475" s="243">
        <v>4</v>
      </c>
      <c r="E475" s="191">
        <v>189</v>
      </c>
      <c r="F475" s="244">
        <v>19</v>
      </c>
      <c r="G475" s="245">
        <v>13</v>
      </c>
      <c r="L475" s="254">
        <v>8</v>
      </c>
      <c r="N475" s="246">
        <v>4.54</v>
      </c>
      <c r="O475" s="159">
        <v>42191</v>
      </c>
      <c r="T475" s="247">
        <v>12.98</v>
      </c>
      <c r="U475" s="256">
        <v>42200</v>
      </c>
      <c r="V475" s="145">
        <v>18.5</v>
      </c>
      <c r="W475" s="159">
        <v>42191</v>
      </c>
      <c r="AD475" s="145">
        <f>(N475/V475)*(((100-CD475)/100)*((100-2)/100))*100</f>
        <v>22.245999999999999</v>
      </c>
      <c r="AF475" s="248">
        <v>25.43</v>
      </c>
      <c r="AG475" s="159">
        <v>42191</v>
      </c>
      <c r="AJ475" s="249">
        <v>130</v>
      </c>
      <c r="AN475" s="250">
        <v>101</v>
      </c>
      <c r="BB475" s="257">
        <v>9</v>
      </c>
      <c r="BN475" s="251">
        <v>65.97</v>
      </c>
      <c r="BO475" s="256">
        <v>42200</v>
      </c>
      <c r="BT475" s="251">
        <v>51.050529479980469</v>
      </c>
      <c r="BU475" s="256">
        <v>42200</v>
      </c>
      <c r="BV475" s="251">
        <v>16.668926239013672</v>
      </c>
      <c r="BW475" s="256">
        <v>42200</v>
      </c>
      <c r="BX475" s="251">
        <v>19.510000000000002</v>
      </c>
      <c r="BY475" s="256">
        <v>42200</v>
      </c>
      <c r="CD475" s="253">
        <v>7.5</v>
      </c>
      <c r="CE475" s="159">
        <v>42191</v>
      </c>
      <c r="CM475" s="255">
        <v>3</v>
      </c>
      <c r="CN475" s="256">
        <v>42180</v>
      </c>
      <c r="CO475" s="140" t="s">
        <v>8447</v>
      </c>
    </row>
    <row r="476" spans="1:93" ht="15" customHeight="1">
      <c r="A476" s="124" t="s">
        <v>7524</v>
      </c>
      <c r="B476" s="161" t="s">
        <v>7524</v>
      </c>
      <c r="C476" s="268" t="s">
        <v>267</v>
      </c>
      <c r="D476" s="257">
        <v>4</v>
      </c>
      <c r="E476" s="191">
        <v>187</v>
      </c>
      <c r="F476" s="257">
        <v>21</v>
      </c>
      <c r="G476" s="257">
        <v>30</v>
      </c>
      <c r="L476" s="257">
        <v>6</v>
      </c>
      <c r="N476" s="257">
        <v>4.54</v>
      </c>
      <c r="O476" s="159">
        <v>42191</v>
      </c>
      <c r="T476" s="257">
        <v>12.76</v>
      </c>
      <c r="U476" s="256">
        <v>42200</v>
      </c>
      <c r="V476" s="145">
        <v>18.5</v>
      </c>
      <c r="W476" s="159">
        <v>42191</v>
      </c>
      <c r="AD476" s="145">
        <f>(N476/V476)*(((100-CD476)/100)*((100-2)/100))*100</f>
        <v>22.245999999999999</v>
      </c>
      <c r="AF476" s="257">
        <v>25.43</v>
      </c>
      <c r="AG476" s="159">
        <v>42191</v>
      </c>
      <c r="AJ476" s="257">
        <v>105</v>
      </c>
      <c r="AN476" s="257">
        <v>100</v>
      </c>
      <c r="BB476" s="257">
        <v>7</v>
      </c>
      <c r="BN476" s="251">
        <v>65.007999999999996</v>
      </c>
      <c r="BO476" s="256">
        <v>42200</v>
      </c>
      <c r="BT476" s="251">
        <v>50.159942626953125</v>
      </c>
      <c r="BU476" s="256">
        <v>42200</v>
      </c>
      <c r="BV476" s="251">
        <v>18.496559143066406</v>
      </c>
      <c r="BW476" s="256">
        <v>42200</v>
      </c>
      <c r="BX476" s="251">
        <v>15.004</v>
      </c>
      <c r="BY476" s="256">
        <v>42200</v>
      </c>
      <c r="CD476" s="257">
        <v>7.5</v>
      </c>
      <c r="CE476" s="159">
        <v>42191</v>
      </c>
      <c r="CM476" s="255">
        <v>1</v>
      </c>
      <c r="CN476" s="256">
        <v>42180</v>
      </c>
      <c r="CO476" s="140" t="s">
        <v>8447</v>
      </c>
    </row>
    <row r="477" spans="1:93" ht="15">
      <c r="A477" s="124" t="s">
        <v>8329</v>
      </c>
      <c r="B477" s="161" t="s">
        <v>8329</v>
      </c>
      <c r="C477" s="268" t="s">
        <v>267</v>
      </c>
      <c r="D477" s="243">
        <v>3</v>
      </c>
      <c r="E477" s="191">
        <v>192</v>
      </c>
      <c r="F477" s="244">
        <v>14</v>
      </c>
      <c r="G477" s="245">
        <v>31</v>
      </c>
      <c r="L477" s="254">
        <v>5</v>
      </c>
      <c r="N477" s="246">
        <v>4.51</v>
      </c>
      <c r="O477" s="159">
        <v>42191</v>
      </c>
      <c r="T477" s="247">
        <v>13.39</v>
      </c>
      <c r="U477" s="256">
        <v>42200</v>
      </c>
      <c r="V477" s="145">
        <v>18.5</v>
      </c>
      <c r="W477" s="159">
        <v>42191</v>
      </c>
      <c r="AD477" s="145">
        <f>(N477/V477)*(((100-CD477)/100)*((100-2)/100))*100</f>
        <v>22.314017297297294</v>
      </c>
      <c r="AF477" s="248">
        <v>25.51</v>
      </c>
      <c r="AG477" s="159">
        <v>42191</v>
      </c>
      <c r="AJ477" s="249">
        <v>105</v>
      </c>
      <c r="AN477" s="250">
        <v>101</v>
      </c>
      <c r="BB477" s="257">
        <v>9</v>
      </c>
      <c r="BN477" s="251">
        <v>65.566999999999993</v>
      </c>
      <c r="BO477" s="256">
        <v>42200</v>
      </c>
      <c r="BT477" s="251">
        <v>52.494758605957031</v>
      </c>
      <c r="BU477" s="256">
        <v>42200</v>
      </c>
      <c r="BV477" s="251">
        <v>17.057153701782227</v>
      </c>
      <c r="BW477" s="256">
        <v>42200</v>
      </c>
      <c r="BX477" s="251">
        <v>23.202000000000002</v>
      </c>
      <c r="BY477" s="256">
        <v>42200</v>
      </c>
      <c r="CD477" s="253">
        <v>6.6</v>
      </c>
      <c r="CE477" s="159">
        <v>42191</v>
      </c>
      <c r="CM477" s="255">
        <v>5</v>
      </c>
      <c r="CN477" s="256">
        <v>42180</v>
      </c>
      <c r="CO477" s="140" t="s">
        <v>8447</v>
      </c>
    </row>
    <row r="478" spans="1:93" ht="15" customHeight="1">
      <c r="A478" s="124" t="s">
        <v>7713</v>
      </c>
      <c r="B478" s="161" t="s">
        <v>7552</v>
      </c>
      <c r="C478" s="268" t="s">
        <v>269</v>
      </c>
      <c r="D478" s="257">
        <v>2</v>
      </c>
      <c r="E478" s="183">
        <v>127</v>
      </c>
      <c r="F478" s="257">
        <v>10</v>
      </c>
      <c r="G478" s="257">
        <v>26</v>
      </c>
      <c r="L478" s="257">
        <v>7</v>
      </c>
      <c r="N478" s="257">
        <v>4.5199999999999996</v>
      </c>
      <c r="O478" s="159">
        <v>42191</v>
      </c>
      <c r="T478" s="257">
        <v>12.48</v>
      </c>
      <c r="U478" s="256">
        <v>42200</v>
      </c>
      <c r="V478" s="145">
        <v>18.5</v>
      </c>
      <c r="W478" s="159">
        <v>42191</v>
      </c>
      <c r="AD478" s="145">
        <f>(N478/V478)*(((100-CD478)/100)*((100-2)/100))*100</f>
        <v>22.315606486486487</v>
      </c>
      <c r="AF478" s="257">
        <v>25.51</v>
      </c>
      <c r="AG478" s="159">
        <v>42191</v>
      </c>
      <c r="AJ478" s="257">
        <v>130</v>
      </c>
      <c r="AN478" s="257">
        <v>106</v>
      </c>
      <c r="BB478" s="257">
        <v>7</v>
      </c>
      <c r="BN478" s="251">
        <v>63.027000000000001</v>
      </c>
      <c r="BO478" s="256">
        <v>42200</v>
      </c>
      <c r="BT478" s="251">
        <v>48.939060211181641</v>
      </c>
      <c r="BU478" s="256">
        <v>42200</v>
      </c>
      <c r="BV478" s="251">
        <v>19.370882034301758</v>
      </c>
      <c r="BW478" s="256">
        <v>42200</v>
      </c>
      <c r="BX478" s="251">
        <v>57.033000000000001</v>
      </c>
      <c r="BY478" s="256">
        <v>42200</v>
      </c>
      <c r="CD478" s="257">
        <v>6.8</v>
      </c>
      <c r="CE478" s="159">
        <v>42191</v>
      </c>
      <c r="CM478" s="255">
        <v>5</v>
      </c>
      <c r="CN478" s="256">
        <v>42180</v>
      </c>
      <c r="CO478" s="140" t="s">
        <v>8448</v>
      </c>
    </row>
    <row r="479" spans="1:93" ht="15">
      <c r="A479" s="124" t="s">
        <v>7713</v>
      </c>
      <c r="B479" s="161" t="s">
        <v>7552</v>
      </c>
      <c r="C479" s="268" t="s">
        <v>269</v>
      </c>
      <c r="D479" s="243">
        <v>1</v>
      </c>
      <c r="E479" s="183">
        <v>127</v>
      </c>
      <c r="F479" s="244">
        <v>2</v>
      </c>
      <c r="G479" s="245">
        <v>3</v>
      </c>
      <c r="L479" s="254">
        <v>9</v>
      </c>
      <c r="N479" s="246">
        <v>4.55</v>
      </c>
      <c r="O479" s="159">
        <v>42191</v>
      </c>
      <c r="T479" s="247">
        <v>12.93</v>
      </c>
      <c r="U479" s="256">
        <v>42200</v>
      </c>
      <c r="V479" s="145">
        <v>18.5</v>
      </c>
      <c r="W479" s="159">
        <v>42191</v>
      </c>
      <c r="AD479" s="145">
        <f>(N479/V479)*(((100-CD479)/100)*((100-2)/100))*100</f>
        <v>22.3191027027027</v>
      </c>
      <c r="AF479" s="248">
        <v>25.51</v>
      </c>
      <c r="AG479" s="159">
        <v>42191</v>
      </c>
      <c r="AJ479" s="249">
        <v>145</v>
      </c>
      <c r="AN479" s="250">
        <v>105</v>
      </c>
      <c r="BB479" s="257">
        <v>7</v>
      </c>
      <c r="BN479" s="251">
        <v>63.395000000000003</v>
      </c>
      <c r="BO479" s="256">
        <v>42200</v>
      </c>
      <c r="BT479" s="251">
        <v>50.665836334228516</v>
      </c>
      <c r="BU479" s="256">
        <v>42200</v>
      </c>
      <c r="BV479" s="251">
        <v>18.097658157348633</v>
      </c>
      <c r="BW479" s="256">
        <v>42200</v>
      </c>
      <c r="BX479" s="251">
        <v>55.198</v>
      </c>
      <c r="BY479" s="256">
        <v>42200</v>
      </c>
      <c r="CD479" s="253">
        <v>7.4</v>
      </c>
      <c r="CE479" s="159">
        <v>42191</v>
      </c>
      <c r="CM479" s="255">
        <v>3</v>
      </c>
      <c r="CN479" s="256">
        <v>42180</v>
      </c>
      <c r="CO479" s="140" t="s">
        <v>8447</v>
      </c>
    </row>
    <row r="480" spans="1:93" ht="15">
      <c r="A480" s="124" t="s">
        <v>7747</v>
      </c>
      <c r="B480" s="161" t="s">
        <v>7571</v>
      </c>
      <c r="C480" s="268" t="s">
        <v>267</v>
      </c>
      <c r="D480" s="243">
        <v>3</v>
      </c>
      <c r="E480" s="183">
        <v>161</v>
      </c>
      <c r="F480" s="244">
        <v>16</v>
      </c>
      <c r="G480" s="245">
        <v>15</v>
      </c>
      <c r="L480" s="254">
        <v>3</v>
      </c>
      <c r="N480" s="246">
        <v>4.55</v>
      </c>
      <c r="O480" s="159">
        <v>42191</v>
      </c>
      <c r="T480" s="247">
        <v>12.51</v>
      </c>
      <c r="U480" s="256">
        <v>42200</v>
      </c>
      <c r="V480" s="145">
        <v>18.5</v>
      </c>
      <c r="W480" s="159">
        <v>42191</v>
      </c>
      <c r="AD480" s="145">
        <f>(N480/V480)*(((100-CD480)/100)*((100-2)/100))*100</f>
        <v>22.3191027027027</v>
      </c>
      <c r="AF480" s="248">
        <v>25.51</v>
      </c>
      <c r="AG480" s="159">
        <v>42191</v>
      </c>
      <c r="AJ480" s="249">
        <v>120</v>
      </c>
      <c r="AN480" s="250">
        <v>105</v>
      </c>
      <c r="BB480" s="257">
        <v>5</v>
      </c>
      <c r="BN480" s="251">
        <v>63.555</v>
      </c>
      <c r="BO480" s="256">
        <v>42200</v>
      </c>
      <c r="BT480" s="251">
        <v>49.016487121582031</v>
      </c>
      <c r="BU480" s="256">
        <v>42200</v>
      </c>
      <c r="BV480" s="251">
        <v>19.505233764648438</v>
      </c>
      <c r="BW480" s="256">
        <v>42200</v>
      </c>
      <c r="BX480" s="251">
        <v>28.359000000000002</v>
      </c>
      <c r="BY480" s="256">
        <v>42200</v>
      </c>
      <c r="CD480" s="253">
        <v>7.4</v>
      </c>
      <c r="CE480" s="159">
        <v>42191</v>
      </c>
      <c r="CM480" s="255">
        <v>5</v>
      </c>
      <c r="CN480" s="256">
        <v>42180</v>
      </c>
      <c r="CO480" s="140" t="s">
        <v>8447</v>
      </c>
    </row>
    <row r="481" spans="1:93" ht="15">
      <c r="A481" s="124" t="s">
        <v>7678</v>
      </c>
      <c r="B481" s="161" t="s">
        <v>7526</v>
      </c>
      <c r="C481" s="268" t="s">
        <v>267</v>
      </c>
      <c r="D481" s="243">
        <v>4</v>
      </c>
      <c r="E481" s="183">
        <v>92</v>
      </c>
      <c r="F481" s="244">
        <v>22</v>
      </c>
      <c r="G481" s="245">
        <v>13</v>
      </c>
      <c r="L481" s="254">
        <v>5</v>
      </c>
      <c r="N481" s="246">
        <v>4.58</v>
      </c>
      <c r="O481" s="159">
        <v>42191</v>
      </c>
      <c r="T481" s="247">
        <v>13.14</v>
      </c>
      <c r="U481" s="256">
        <v>42200</v>
      </c>
      <c r="V481" s="145">
        <v>18.5</v>
      </c>
      <c r="W481" s="159">
        <v>42191</v>
      </c>
      <c r="AD481" s="145">
        <f>(N481/V481)*(((100-CD481)/100)*((100-2)/100))*100</f>
        <v>22.369215135135136</v>
      </c>
      <c r="AF481" s="248">
        <v>25.57</v>
      </c>
      <c r="AG481" s="159">
        <v>42191</v>
      </c>
      <c r="AJ481" s="249">
        <v>120</v>
      </c>
      <c r="AN481" s="250">
        <v>103</v>
      </c>
      <c r="BB481" s="257">
        <v>9</v>
      </c>
      <c r="BN481" s="251">
        <v>65.546000000000006</v>
      </c>
      <c r="BO481" s="256">
        <v>42200</v>
      </c>
      <c r="BT481" s="251">
        <v>51.375778198242187</v>
      </c>
      <c r="BU481" s="256">
        <v>42200</v>
      </c>
      <c r="BV481" s="251">
        <v>17.707807540893555</v>
      </c>
      <c r="BW481" s="256">
        <v>42200</v>
      </c>
      <c r="BX481" s="251">
        <v>19.009</v>
      </c>
      <c r="BY481" s="256">
        <v>42200</v>
      </c>
      <c r="CD481" s="253">
        <v>7.8</v>
      </c>
      <c r="CE481" s="159">
        <v>42191</v>
      </c>
      <c r="CM481" s="255">
        <v>3</v>
      </c>
      <c r="CN481" s="256">
        <v>42180</v>
      </c>
      <c r="CO481" s="140" t="s">
        <v>8447</v>
      </c>
    </row>
    <row r="482" spans="1:93" ht="15">
      <c r="A482" s="124" t="s">
        <v>7551</v>
      </c>
      <c r="B482" s="161" t="s">
        <v>7551</v>
      </c>
      <c r="C482" s="268" t="s">
        <v>267</v>
      </c>
      <c r="D482" s="243">
        <v>3</v>
      </c>
      <c r="E482" s="191">
        <v>181</v>
      </c>
      <c r="F482" s="244">
        <v>14</v>
      </c>
      <c r="G482" s="245">
        <v>12</v>
      </c>
      <c r="L482" s="254">
        <v>8</v>
      </c>
      <c r="N482" s="246">
        <v>4.62</v>
      </c>
      <c r="O482" s="159">
        <v>42191</v>
      </c>
      <c r="T482" s="247">
        <v>12.72</v>
      </c>
      <c r="U482" s="256">
        <v>42200</v>
      </c>
      <c r="V482" s="145">
        <v>18.5</v>
      </c>
      <c r="W482" s="159">
        <v>42191</v>
      </c>
      <c r="AD482" s="145">
        <f>(N482/V482)*(((100-CD482)/100)*((100-2)/100))*100</f>
        <v>22.393264864864868</v>
      </c>
      <c r="AF482" s="248">
        <v>25.6</v>
      </c>
      <c r="AG482" s="159">
        <v>42191</v>
      </c>
      <c r="AJ482" s="249">
        <v>130</v>
      </c>
      <c r="AN482" s="250">
        <v>103</v>
      </c>
      <c r="BB482" s="257">
        <v>7</v>
      </c>
      <c r="BN482" s="251">
        <v>59.942</v>
      </c>
      <c r="BO482" s="256">
        <v>42200</v>
      </c>
      <c r="BT482" s="251">
        <v>49.687656402587891</v>
      </c>
      <c r="BU482" s="256">
        <v>42200</v>
      </c>
      <c r="BV482" s="251">
        <v>18.217203140258789</v>
      </c>
      <c r="BW482" s="256">
        <v>42200</v>
      </c>
      <c r="BX482" s="251">
        <v>18.010999999999999</v>
      </c>
      <c r="BY482" s="256">
        <v>42200</v>
      </c>
      <c r="CD482" s="253">
        <v>8.5</v>
      </c>
      <c r="CE482" s="159">
        <v>42191</v>
      </c>
      <c r="CM482" s="255">
        <v>1</v>
      </c>
      <c r="CN482" s="256">
        <v>42180</v>
      </c>
      <c r="CO482" s="140" t="s">
        <v>8447</v>
      </c>
    </row>
    <row r="483" spans="1:93" ht="15" customHeight="1">
      <c r="A483" s="137" t="s">
        <v>7551</v>
      </c>
      <c r="B483" s="279" t="s">
        <v>7551</v>
      </c>
      <c r="C483" s="268" t="s">
        <v>269</v>
      </c>
      <c r="D483" s="269">
        <v>2</v>
      </c>
      <c r="E483" s="280">
        <v>24</v>
      </c>
      <c r="F483" s="269"/>
      <c r="G483" s="269"/>
      <c r="H483" s="271">
        <v>8</v>
      </c>
      <c r="I483" s="271">
        <v>2</v>
      </c>
      <c r="J483" s="282"/>
      <c r="K483" s="273"/>
      <c r="L483" s="269">
        <v>8</v>
      </c>
      <c r="M483" s="274"/>
      <c r="N483" s="269">
        <v>4.63</v>
      </c>
      <c r="O483" s="274">
        <v>42191</v>
      </c>
      <c r="P483" s="272"/>
      <c r="Q483" s="274"/>
      <c r="R483" s="275"/>
      <c r="S483" s="274"/>
      <c r="T483" s="269">
        <v>12.92</v>
      </c>
      <c r="U483" s="276">
        <v>42200</v>
      </c>
      <c r="V483" s="275">
        <v>18.5</v>
      </c>
      <c r="W483" s="274">
        <v>42191</v>
      </c>
      <c r="X483" s="275"/>
      <c r="Y483" s="274"/>
      <c r="Z483" s="275"/>
      <c r="AA483" s="274"/>
      <c r="AB483" s="275"/>
      <c r="AC483" s="274"/>
      <c r="AD483" s="145">
        <f>(N483/V483)*(((100-CD483)/100)*((100-2)/100))*100</f>
        <v>22.41720864864865</v>
      </c>
      <c r="AE483" s="274"/>
      <c r="AF483" s="269">
        <v>25.63</v>
      </c>
      <c r="AG483" s="274">
        <v>42191</v>
      </c>
      <c r="AH483" s="274"/>
      <c r="AI483" s="274"/>
      <c r="AJ483" s="269">
        <v>125</v>
      </c>
      <c r="AK483" s="274"/>
      <c r="AL483" s="275"/>
      <c r="AM483" s="274"/>
      <c r="AN483" s="269">
        <v>101</v>
      </c>
      <c r="AO483" s="274"/>
      <c r="AP483" s="275"/>
      <c r="AQ483" s="275"/>
      <c r="AR483" s="275"/>
      <c r="AS483" s="275"/>
      <c r="AT483" s="275"/>
      <c r="AU483" s="275"/>
      <c r="AV483" s="275"/>
      <c r="AW483" s="275"/>
      <c r="AX483" s="275"/>
      <c r="AY483" s="275"/>
      <c r="AZ483" s="275"/>
      <c r="BA483" s="275"/>
      <c r="BB483" s="269">
        <v>7</v>
      </c>
      <c r="BC483" s="275"/>
      <c r="BD483" s="275"/>
      <c r="BE483" s="275"/>
      <c r="BF483" s="272"/>
      <c r="BG483" s="272"/>
      <c r="BH483" s="272"/>
      <c r="BI483" s="272"/>
      <c r="BJ483" s="272"/>
      <c r="BK483" s="272"/>
      <c r="BL483" s="272"/>
      <c r="BM483" s="272"/>
      <c r="BN483" s="284">
        <v>62.277000000000001</v>
      </c>
      <c r="BO483" s="276">
        <v>42200</v>
      </c>
      <c r="BP483" s="272"/>
      <c r="BQ483" s="272"/>
      <c r="BR483" s="272"/>
      <c r="BS483" s="272"/>
      <c r="BT483" s="284">
        <v>50.42</v>
      </c>
      <c r="BU483" s="276">
        <v>42200</v>
      </c>
      <c r="BV483" s="284">
        <v>18.388216018676758</v>
      </c>
      <c r="BW483" s="276">
        <v>42200</v>
      </c>
      <c r="BX483" s="284">
        <v>15.148999999999999</v>
      </c>
      <c r="BY483" s="276">
        <v>42200</v>
      </c>
      <c r="BZ483" s="272"/>
      <c r="CA483" s="272"/>
      <c r="CB483" s="272"/>
      <c r="CC483" s="272"/>
      <c r="CD483" s="269">
        <v>8.6</v>
      </c>
      <c r="CE483" s="274">
        <v>42191</v>
      </c>
      <c r="CF483" s="272"/>
      <c r="CG483" s="272"/>
      <c r="CH483" s="272"/>
      <c r="CI483" s="272"/>
      <c r="CJ483" s="272"/>
      <c r="CK483" s="272"/>
      <c r="CL483" s="272"/>
      <c r="CM483" s="278">
        <v>7</v>
      </c>
      <c r="CN483" s="276">
        <v>42180</v>
      </c>
      <c r="CO483" s="272" t="s">
        <v>8447</v>
      </c>
    </row>
    <row r="484" spans="1:93" ht="15">
      <c r="A484" s="124" t="s">
        <v>7676</v>
      </c>
      <c r="B484" s="161" t="s">
        <v>7525</v>
      </c>
      <c r="C484" s="268" t="s">
        <v>267</v>
      </c>
      <c r="D484" s="243">
        <v>3</v>
      </c>
      <c r="E484" s="183">
        <v>90</v>
      </c>
      <c r="F484" s="244">
        <v>18</v>
      </c>
      <c r="G484" s="245">
        <v>9</v>
      </c>
      <c r="L484" s="254">
        <v>7</v>
      </c>
      <c r="N484" s="246">
        <v>4.62</v>
      </c>
      <c r="O484" s="159">
        <v>42191</v>
      </c>
      <c r="T484" s="247">
        <v>12.76</v>
      </c>
      <c r="U484" s="256">
        <v>42200</v>
      </c>
      <c r="V484" s="145">
        <v>18.5</v>
      </c>
      <c r="W484" s="159">
        <v>42191</v>
      </c>
      <c r="AD484" s="145">
        <f>(N484/V484)*(((100-CD484)/100)*((100-2)/100))*100</f>
        <v>22.417738378378377</v>
      </c>
      <c r="AF484" s="248">
        <v>25.63</v>
      </c>
      <c r="AG484" s="159">
        <v>42191</v>
      </c>
      <c r="AJ484" s="249">
        <v>105</v>
      </c>
      <c r="AN484" s="250">
        <v>104</v>
      </c>
      <c r="BB484" s="257">
        <v>7</v>
      </c>
      <c r="BN484" s="251">
        <v>63.561</v>
      </c>
      <c r="BO484" s="256">
        <v>42200</v>
      </c>
      <c r="BT484" s="251">
        <v>49.783298492431641</v>
      </c>
      <c r="BU484" s="256">
        <v>42200</v>
      </c>
      <c r="BV484" s="251">
        <v>17.421768188476563</v>
      </c>
      <c r="BW484" s="256">
        <v>42200</v>
      </c>
      <c r="BX484" s="251">
        <v>18.268999999999998</v>
      </c>
      <c r="BY484" s="256">
        <v>42200</v>
      </c>
      <c r="CD484" s="253">
        <v>8.4</v>
      </c>
      <c r="CE484" s="159">
        <v>42191</v>
      </c>
      <c r="CM484" s="255">
        <v>3</v>
      </c>
      <c r="CN484" s="256">
        <v>42180</v>
      </c>
      <c r="CO484" s="140" t="s">
        <v>8447</v>
      </c>
    </row>
    <row r="485" spans="1:93" ht="15">
      <c r="A485" s="124" t="s">
        <v>7669</v>
      </c>
      <c r="B485" s="161" t="s">
        <v>7518</v>
      </c>
      <c r="C485" s="268" t="s">
        <v>267</v>
      </c>
      <c r="D485" s="243">
        <v>3</v>
      </c>
      <c r="E485" s="183">
        <v>83</v>
      </c>
      <c r="F485" s="244">
        <v>18</v>
      </c>
      <c r="G485" s="245">
        <v>19</v>
      </c>
      <c r="L485" s="254">
        <v>7</v>
      </c>
      <c r="N485" s="246">
        <v>4.57</v>
      </c>
      <c r="O485" s="159">
        <v>42191</v>
      </c>
      <c r="T485" s="247">
        <v>12.65</v>
      </c>
      <c r="U485" s="256">
        <v>42200</v>
      </c>
      <c r="V485" s="145">
        <v>18.5</v>
      </c>
      <c r="W485" s="159">
        <v>42191</v>
      </c>
      <c r="AD485" s="145">
        <f>(N485/V485)*(((100-CD485)/100)*((100-2)/100))*100</f>
        <v>22.441417297297299</v>
      </c>
      <c r="AF485" s="248">
        <v>25.65</v>
      </c>
      <c r="AG485" s="159">
        <v>42191</v>
      </c>
      <c r="AJ485" s="249">
        <v>110</v>
      </c>
      <c r="AN485" s="250">
        <v>106</v>
      </c>
      <c r="BB485" s="257">
        <v>7</v>
      </c>
      <c r="BN485" s="251">
        <v>64.156999999999996</v>
      </c>
      <c r="BO485" s="256">
        <v>42200</v>
      </c>
      <c r="BT485" s="251">
        <v>49.334770202636719</v>
      </c>
      <c r="BU485" s="256">
        <v>42200</v>
      </c>
      <c r="BV485" s="251">
        <v>18.318817138671875</v>
      </c>
      <c r="BW485" s="256">
        <v>42200</v>
      </c>
      <c r="BX485" s="251">
        <v>22.164999999999999</v>
      </c>
      <c r="BY485" s="256">
        <v>42200</v>
      </c>
      <c r="CD485" s="253">
        <v>7.3</v>
      </c>
      <c r="CE485" s="159">
        <v>42191</v>
      </c>
      <c r="CM485" s="255">
        <v>5</v>
      </c>
      <c r="CN485" s="256">
        <v>42180</v>
      </c>
      <c r="CO485" s="140" t="s">
        <v>8447</v>
      </c>
    </row>
    <row r="486" spans="1:93" ht="15">
      <c r="A486" s="124" t="s">
        <v>7632</v>
      </c>
      <c r="B486" s="161" t="s">
        <v>7485</v>
      </c>
      <c r="C486" s="268" t="s">
        <v>267</v>
      </c>
      <c r="D486" s="243">
        <v>4</v>
      </c>
      <c r="E486" s="183">
        <v>46</v>
      </c>
      <c r="F486" s="244">
        <v>19</v>
      </c>
      <c r="G486" s="245">
        <v>7</v>
      </c>
      <c r="L486" s="254">
        <v>8</v>
      </c>
      <c r="N486" s="246">
        <v>4.6500000000000004</v>
      </c>
      <c r="O486" s="159">
        <v>42191</v>
      </c>
      <c r="T486" s="247">
        <v>13.15</v>
      </c>
      <c r="U486" s="256">
        <v>42200</v>
      </c>
      <c r="V486" s="145">
        <v>18.5</v>
      </c>
      <c r="W486" s="159">
        <v>42191</v>
      </c>
      <c r="AD486" s="145">
        <f>(N486/V486)*(((100-CD486)/100)*((100-2)/100))*100</f>
        <v>22.464778378378384</v>
      </c>
      <c r="AF486" s="248">
        <v>25.68</v>
      </c>
      <c r="AG486" s="159">
        <v>42191</v>
      </c>
      <c r="AJ486" s="249">
        <v>100</v>
      </c>
      <c r="AN486" s="250">
        <v>103</v>
      </c>
      <c r="BB486" s="257">
        <v>7</v>
      </c>
      <c r="BN486" s="251">
        <v>64.834999999999994</v>
      </c>
      <c r="BO486" s="256">
        <v>42200</v>
      </c>
      <c r="BT486" s="251">
        <v>51.195472717285156</v>
      </c>
      <c r="BU486" s="256">
        <v>42200</v>
      </c>
      <c r="BV486" s="251">
        <v>17.727249145507813</v>
      </c>
      <c r="BW486" s="256">
        <v>42200</v>
      </c>
      <c r="BX486" s="251">
        <v>18.405000000000001</v>
      </c>
      <c r="BY486" s="256">
        <v>42200</v>
      </c>
      <c r="CD486" s="253">
        <v>8.8000000000000007</v>
      </c>
      <c r="CE486" s="159">
        <v>42191</v>
      </c>
      <c r="CM486" s="255">
        <v>3</v>
      </c>
      <c r="CN486" s="256">
        <v>42180</v>
      </c>
      <c r="CO486" s="140" t="s">
        <v>8447</v>
      </c>
    </row>
    <row r="487" spans="1:93" ht="15">
      <c r="A487" s="124" t="s">
        <v>7608</v>
      </c>
      <c r="B487" s="161" t="s">
        <v>7463</v>
      </c>
      <c r="C487" s="268" t="s">
        <v>267</v>
      </c>
      <c r="D487" s="243">
        <v>4</v>
      </c>
      <c r="E487" s="183">
        <v>22</v>
      </c>
      <c r="F487" s="244">
        <v>22</v>
      </c>
      <c r="G487" s="245">
        <v>7</v>
      </c>
      <c r="J487" s="266"/>
      <c r="L487" s="254">
        <v>8</v>
      </c>
      <c r="N487" s="246">
        <v>4.59</v>
      </c>
      <c r="O487" s="159">
        <v>42191</v>
      </c>
      <c r="P487" s="144"/>
      <c r="R487" s="145"/>
      <c r="T487" s="247">
        <v>13.82</v>
      </c>
      <c r="U487" s="256">
        <v>42200</v>
      </c>
      <c r="V487" s="145">
        <v>18.5</v>
      </c>
      <c r="W487" s="159">
        <v>42191</v>
      </c>
      <c r="X487" s="145"/>
      <c r="Z487" s="145"/>
      <c r="AB487" s="145"/>
      <c r="AD487" s="145">
        <f>(N487/V487)*(((100-CD487)/100)*((100-2)/100))*100</f>
        <v>22.466685405405403</v>
      </c>
      <c r="AF487" s="248">
        <v>25.68</v>
      </c>
      <c r="AG487" s="159">
        <v>42191</v>
      </c>
      <c r="AJ487" s="249">
        <v>135</v>
      </c>
      <c r="AL487" s="145"/>
      <c r="AN487" s="250">
        <v>103</v>
      </c>
      <c r="BB487" s="257">
        <v>7</v>
      </c>
      <c r="BN487" s="251">
        <v>66.948999999999998</v>
      </c>
      <c r="BO487" s="256">
        <v>42200</v>
      </c>
      <c r="BT487" s="251">
        <v>53.795516967773438</v>
      </c>
      <c r="BU487" s="256">
        <v>42200</v>
      </c>
      <c r="BV487" s="251">
        <v>17.047401428222656</v>
      </c>
      <c r="BW487" s="256">
        <v>42200</v>
      </c>
      <c r="BX487" s="251">
        <v>19.184999999999999</v>
      </c>
      <c r="BY487" s="256">
        <v>42200</v>
      </c>
      <c r="CD487" s="253">
        <v>7.6</v>
      </c>
      <c r="CE487" s="159">
        <v>42191</v>
      </c>
      <c r="CM487" s="255">
        <v>3</v>
      </c>
      <c r="CN487" s="256">
        <v>42180</v>
      </c>
      <c r="CO487" s="140" t="s">
        <v>8447</v>
      </c>
    </row>
    <row r="488" spans="1:93" ht="15" customHeight="1">
      <c r="A488" s="124" t="s">
        <v>7749</v>
      </c>
      <c r="B488" s="161" t="s">
        <v>7573</v>
      </c>
      <c r="C488" s="268" t="s">
        <v>267</v>
      </c>
      <c r="D488" s="257">
        <v>3</v>
      </c>
      <c r="E488" s="183">
        <v>163</v>
      </c>
      <c r="F488" s="257">
        <v>16</v>
      </c>
      <c r="G488" s="257">
        <v>12</v>
      </c>
      <c r="L488" s="257">
        <v>5</v>
      </c>
      <c r="N488" s="257">
        <v>4.5999999999999996</v>
      </c>
      <c r="O488" s="159">
        <v>42191</v>
      </c>
      <c r="T488" s="257">
        <v>13.25</v>
      </c>
      <c r="U488" s="256">
        <v>42200</v>
      </c>
      <c r="V488" s="145">
        <v>18.5</v>
      </c>
      <c r="W488" s="159">
        <v>42191</v>
      </c>
      <c r="AD488" s="145">
        <f>(N488/V488)*(((100-CD488)/100)*((100-2)/100))*100</f>
        <v>22.49126486486486</v>
      </c>
      <c r="AF488" s="257">
        <v>25.71</v>
      </c>
      <c r="AG488" s="159">
        <v>42191</v>
      </c>
      <c r="AJ488" s="257">
        <v>125</v>
      </c>
      <c r="AN488" s="257">
        <v>104</v>
      </c>
      <c r="BB488" s="257">
        <v>7</v>
      </c>
      <c r="BN488" s="251">
        <v>62.970999999999997</v>
      </c>
      <c r="BO488" s="256">
        <v>42200</v>
      </c>
      <c r="BT488" s="251">
        <v>51.522899627685547</v>
      </c>
      <c r="BU488" s="256">
        <v>42200</v>
      </c>
      <c r="BV488" s="251">
        <v>16.590465545654297</v>
      </c>
      <c r="BW488" s="256">
        <v>42200</v>
      </c>
      <c r="BX488" s="251">
        <v>15.177</v>
      </c>
      <c r="BY488" s="256">
        <v>42200</v>
      </c>
      <c r="CD488" s="257">
        <v>7.7</v>
      </c>
      <c r="CE488" s="159">
        <v>42191</v>
      </c>
      <c r="CM488" s="255">
        <v>3</v>
      </c>
      <c r="CN488" s="256">
        <v>42180</v>
      </c>
      <c r="CO488" s="140" t="s">
        <v>8447</v>
      </c>
    </row>
    <row r="489" spans="1:93" ht="15">
      <c r="A489" s="124" t="s">
        <v>7653</v>
      </c>
      <c r="B489" s="161" t="s">
        <v>7503</v>
      </c>
      <c r="C489" s="268" t="s">
        <v>267</v>
      </c>
      <c r="D489" s="243">
        <v>4</v>
      </c>
      <c r="E489" s="183">
        <v>67</v>
      </c>
      <c r="F489" s="244">
        <v>20</v>
      </c>
      <c r="G489" s="245">
        <v>13</v>
      </c>
      <c r="L489" s="254">
        <v>8</v>
      </c>
      <c r="N489" s="246">
        <v>4.6100000000000003</v>
      </c>
      <c r="O489" s="159">
        <v>42191</v>
      </c>
      <c r="T489" s="247">
        <v>13</v>
      </c>
      <c r="U489" s="256">
        <v>42200</v>
      </c>
      <c r="V489" s="145">
        <v>18.5</v>
      </c>
      <c r="W489" s="159">
        <v>42191</v>
      </c>
      <c r="AD489" s="145">
        <f>(N489/V489)*(((100-CD489)/100)*((100-2)/100))*100</f>
        <v>22.51573837837838</v>
      </c>
      <c r="AF489" s="248">
        <v>25.74</v>
      </c>
      <c r="AG489" s="159">
        <v>42191</v>
      </c>
      <c r="AJ489" s="249">
        <v>115</v>
      </c>
      <c r="AN489" s="250">
        <v>101</v>
      </c>
      <c r="BB489" s="257">
        <v>7</v>
      </c>
      <c r="BN489" s="251">
        <v>63.213000000000001</v>
      </c>
      <c r="BO489" s="256">
        <v>42200</v>
      </c>
      <c r="BT489" s="251">
        <v>50.5179443359375</v>
      </c>
      <c r="BU489" s="256">
        <v>42200</v>
      </c>
      <c r="BV489" s="251">
        <v>19.085657119750977</v>
      </c>
      <c r="BW489" s="256">
        <v>42200</v>
      </c>
      <c r="BX489" s="251">
        <v>20.189</v>
      </c>
      <c r="BY489" s="256">
        <v>42200</v>
      </c>
      <c r="CD489" s="253">
        <v>7.8</v>
      </c>
      <c r="CE489" s="159">
        <v>42191</v>
      </c>
      <c r="CM489" s="255">
        <v>3</v>
      </c>
      <c r="CN489" s="256">
        <v>42180</v>
      </c>
      <c r="CO489" s="140" t="s">
        <v>8447</v>
      </c>
    </row>
    <row r="490" spans="1:93" ht="15">
      <c r="A490" s="124" t="s">
        <v>7551</v>
      </c>
      <c r="B490" s="161" t="s">
        <v>7551</v>
      </c>
      <c r="C490" s="268" t="s">
        <v>267</v>
      </c>
      <c r="D490" s="243">
        <v>3</v>
      </c>
      <c r="E490" s="191">
        <v>184</v>
      </c>
      <c r="F490" s="244">
        <v>17</v>
      </c>
      <c r="G490" s="245">
        <v>26</v>
      </c>
      <c r="L490" s="254">
        <v>3</v>
      </c>
      <c r="N490" s="246">
        <v>4.6100000000000003</v>
      </c>
      <c r="O490" s="159">
        <v>42191</v>
      </c>
      <c r="T490" s="247">
        <v>12.32</v>
      </c>
      <c r="U490" s="256">
        <v>42200</v>
      </c>
      <c r="V490" s="145">
        <v>18.5</v>
      </c>
      <c r="W490" s="159">
        <v>42191</v>
      </c>
      <c r="AD490" s="145">
        <f>(N490/V490)*(((100-CD490)/100)*((100-2)/100))*100</f>
        <v>22.564579459459459</v>
      </c>
      <c r="AF490" s="248">
        <v>25.79</v>
      </c>
      <c r="AG490" s="159">
        <v>42191</v>
      </c>
      <c r="AJ490" s="249">
        <v>120</v>
      </c>
      <c r="AN490" s="250">
        <v>105</v>
      </c>
      <c r="BB490" s="257">
        <v>7</v>
      </c>
      <c r="BN490" s="251">
        <v>61.997999999999998</v>
      </c>
      <c r="BO490" s="256">
        <v>42200</v>
      </c>
      <c r="BT490" s="251">
        <v>47.784549713134766</v>
      </c>
      <c r="BU490" s="256">
        <v>42200</v>
      </c>
      <c r="BV490" s="251">
        <v>19.090530395507813</v>
      </c>
      <c r="BW490" s="256">
        <v>42200</v>
      </c>
      <c r="BX490" s="251">
        <v>17.010999999999999</v>
      </c>
      <c r="BY490" s="256">
        <v>42200</v>
      </c>
      <c r="CD490" s="253">
        <v>7.6</v>
      </c>
      <c r="CE490" s="159">
        <v>42191</v>
      </c>
      <c r="CM490" s="255">
        <v>1</v>
      </c>
      <c r="CN490" s="256">
        <v>42180</v>
      </c>
      <c r="CO490" s="140" t="s">
        <v>8447</v>
      </c>
    </row>
    <row r="491" spans="1:93" ht="15">
      <c r="A491" s="124" t="s">
        <v>7551</v>
      </c>
      <c r="B491" s="161" t="s">
        <v>7551</v>
      </c>
      <c r="C491" s="268" t="s">
        <v>269</v>
      </c>
      <c r="D491" s="243">
        <v>2</v>
      </c>
      <c r="E491" s="191">
        <v>181</v>
      </c>
      <c r="F491" s="244">
        <v>12</v>
      </c>
      <c r="G491" s="245">
        <v>16</v>
      </c>
      <c r="L491" s="254">
        <v>9</v>
      </c>
      <c r="N491" s="246">
        <v>4.58</v>
      </c>
      <c r="O491" s="159">
        <v>42191</v>
      </c>
      <c r="T491" s="247">
        <v>12.96</v>
      </c>
      <c r="U491" s="256">
        <v>42200</v>
      </c>
      <c r="V491" s="145">
        <v>18.5</v>
      </c>
      <c r="W491" s="159">
        <v>42191</v>
      </c>
      <c r="AD491" s="145">
        <f>(N491/V491)*(((100-CD491)/100)*((100-2)/100))*100</f>
        <v>22.587569729729729</v>
      </c>
      <c r="AF491" s="248">
        <f>(N491/V491)*(((100-CD491)/(100-9))*100)</f>
        <v>25.328066528066525</v>
      </c>
      <c r="AG491" s="159">
        <v>42191</v>
      </c>
      <c r="AJ491" s="249">
        <v>140</v>
      </c>
      <c r="AN491" s="250">
        <v>102</v>
      </c>
      <c r="BB491" s="257">
        <v>7</v>
      </c>
      <c r="BN491" s="251">
        <v>62.180999999999997</v>
      </c>
      <c r="BO491" s="256">
        <v>42200</v>
      </c>
      <c r="BT491" s="251">
        <v>50.190849304199219</v>
      </c>
      <c r="BU491" s="256">
        <v>42200</v>
      </c>
      <c r="BV491" s="251">
        <v>18.87812614440918</v>
      </c>
      <c r="BW491" s="256">
        <v>42200</v>
      </c>
      <c r="BX491" s="251">
        <v>15.881</v>
      </c>
      <c r="BY491" s="256">
        <v>42200</v>
      </c>
      <c r="CD491" s="253">
        <v>6.9</v>
      </c>
      <c r="CE491" s="159">
        <v>42191</v>
      </c>
      <c r="CM491" s="255">
        <v>1</v>
      </c>
      <c r="CN491" s="256">
        <v>42180</v>
      </c>
      <c r="CO491" s="140" t="s">
        <v>8448</v>
      </c>
    </row>
    <row r="492" spans="1:93" ht="15">
      <c r="A492" s="124" t="s">
        <v>7691</v>
      </c>
      <c r="B492" s="161" t="s">
        <v>7538</v>
      </c>
      <c r="C492" s="268" t="s">
        <v>267</v>
      </c>
      <c r="D492" s="243">
        <v>4</v>
      </c>
      <c r="E492" s="183">
        <v>105</v>
      </c>
      <c r="F492" s="244">
        <v>24</v>
      </c>
      <c r="G492" s="245">
        <v>22</v>
      </c>
      <c r="L492" s="254">
        <v>7</v>
      </c>
      <c r="N492" s="246">
        <v>4.59</v>
      </c>
      <c r="O492" s="159">
        <v>42191</v>
      </c>
      <c r="T492" s="247">
        <v>12.77</v>
      </c>
      <c r="U492" s="256">
        <v>42200</v>
      </c>
      <c r="V492" s="145">
        <v>18.5</v>
      </c>
      <c r="W492" s="159">
        <v>42191</v>
      </c>
      <c r="AD492" s="145">
        <f>(N492/V492)*(((100-CD492)/100)*((100-2)/100))*100</f>
        <v>22.588258378378377</v>
      </c>
      <c r="AF492" s="248">
        <v>25.82</v>
      </c>
      <c r="AG492" s="159">
        <v>42191</v>
      </c>
      <c r="AJ492" s="249">
        <v>130</v>
      </c>
      <c r="AN492" s="250">
        <v>105</v>
      </c>
      <c r="BB492" s="257">
        <v>7</v>
      </c>
      <c r="BN492" s="251">
        <v>60.67</v>
      </c>
      <c r="BO492" s="256">
        <v>42200</v>
      </c>
      <c r="BT492" s="251">
        <v>49.447105407714844</v>
      </c>
      <c r="BU492" s="256">
        <v>42200</v>
      </c>
      <c r="BV492" s="251">
        <v>18.94774055480957</v>
      </c>
      <c r="BW492" s="256">
        <v>42200</v>
      </c>
      <c r="BX492" s="251">
        <v>18.120999999999999</v>
      </c>
      <c r="BY492" s="256">
        <v>42200</v>
      </c>
      <c r="CD492" s="253">
        <v>7.1</v>
      </c>
      <c r="CE492" s="159">
        <v>42191</v>
      </c>
      <c r="CM492" s="255">
        <v>5</v>
      </c>
      <c r="CN492" s="256">
        <v>42180</v>
      </c>
      <c r="CO492" s="140" t="s">
        <v>8447</v>
      </c>
    </row>
    <row r="493" spans="1:93" ht="15">
      <c r="A493" s="124" t="s">
        <v>7742</v>
      </c>
      <c r="B493" s="161" t="s">
        <v>7566</v>
      </c>
      <c r="C493" s="268" t="s">
        <v>267</v>
      </c>
      <c r="D493" s="243">
        <v>4</v>
      </c>
      <c r="E493" s="183">
        <v>156</v>
      </c>
      <c r="F493" s="244">
        <v>21</v>
      </c>
      <c r="G493" s="245">
        <v>15</v>
      </c>
      <c r="L493" s="254">
        <v>8</v>
      </c>
      <c r="N493" s="246">
        <v>4.62</v>
      </c>
      <c r="O493" s="159">
        <v>42191</v>
      </c>
      <c r="T493" s="247">
        <v>13.09</v>
      </c>
      <c r="U493" s="256">
        <v>42200</v>
      </c>
      <c r="V493" s="145">
        <v>18.5</v>
      </c>
      <c r="W493" s="159">
        <v>42191</v>
      </c>
      <c r="AD493" s="145">
        <f>(N493/V493)*(((100-CD493)/100)*((100-2)/100))*100</f>
        <v>22.589052972972969</v>
      </c>
      <c r="AF493" s="248">
        <f>(N493/V493)*(((100-CD493)/(100-9))*100)</f>
        <v>25.329729729729728</v>
      </c>
      <c r="AG493" s="159">
        <v>42191</v>
      </c>
      <c r="AJ493" s="249">
        <v>120</v>
      </c>
      <c r="AN493" s="250">
        <v>101</v>
      </c>
      <c r="BB493" s="257">
        <v>7</v>
      </c>
      <c r="BN493" s="251">
        <v>63.441000000000003</v>
      </c>
      <c r="BO493" s="256">
        <v>42200</v>
      </c>
      <c r="BT493" s="251">
        <v>50.693275451660156</v>
      </c>
      <c r="BU493" s="256">
        <v>42200</v>
      </c>
      <c r="BV493" s="251">
        <v>18.552536010742188</v>
      </c>
      <c r="BW493" s="256">
        <v>42200</v>
      </c>
      <c r="BX493" s="251">
        <v>16.841000000000001</v>
      </c>
      <c r="BY493" s="256">
        <v>42200</v>
      </c>
      <c r="CD493" s="253">
        <v>7.7</v>
      </c>
      <c r="CE493" s="159">
        <v>42191</v>
      </c>
      <c r="CM493" s="255">
        <v>1</v>
      </c>
      <c r="CN493" s="256">
        <v>42180</v>
      </c>
      <c r="CO493" s="140" t="s">
        <v>8447</v>
      </c>
    </row>
    <row r="494" spans="1:93" ht="15">
      <c r="A494" s="124" t="s">
        <v>7740</v>
      </c>
      <c r="B494" s="161" t="s">
        <v>7564</v>
      </c>
      <c r="C494" s="268" t="s">
        <v>267</v>
      </c>
      <c r="D494" s="243">
        <v>3</v>
      </c>
      <c r="E494" s="183">
        <v>154</v>
      </c>
      <c r="F494" s="244">
        <v>17</v>
      </c>
      <c r="G494" s="245">
        <v>10</v>
      </c>
      <c r="L494" s="254">
        <v>5</v>
      </c>
      <c r="N494" s="246">
        <v>4.67</v>
      </c>
      <c r="O494" s="159">
        <v>42191</v>
      </c>
      <c r="T494" s="247">
        <v>13.06</v>
      </c>
      <c r="U494" s="256">
        <v>42200</v>
      </c>
      <c r="V494" s="145">
        <v>18.5</v>
      </c>
      <c r="W494" s="159">
        <v>42191</v>
      </c>
      <c r="AD494" s="145">
        <f>(N494/V494)*(((100-CD494)/100)*((100-2)/100))*100</f>
        <v>22.610877837837837</v>
      </c>
      <c r="AF494" s="248">
        <v>25.85</v>
      </c>
      <c r="AG494" s="159">
        <v>42191</v>
      </c>
      <c r="AJ494" s="249">
        <v>120</v>
      </c>
      <c r="AN494" s="250">
        <v>104</v>
      </c>
      <c r="BB494" s="257">
        <v>9</v>
      </c>
      <c r="BN494" s="251">
        <v>65.016999999999996</v>
      </c>
      <c r="BO494" s="256">
        <v>42200</v>
      </c>
      <c r="BT494" s="251">
        <v>50.53558349609375</v>
      </c>
      <c r="BU494" s="256">
        <v>42200</v>
      </c>
      <c r="BV494" s="251">
        <v>16.336643218994141</v>
      </c>
      <c r="BW494" s="256">
        <v>42200</v>
      </c>
      <c r="BX494" s="251">
        <v>27.2</v>
      </c>
      <c r="BY494" s="256">
        <v>42200</v>
      </c>
      <c r="CD494" s="253">
        <v>8.6</v>
      </c>
      <c r="CE494" s="159">
        <v>42191</v>
      </c>
      <c r="CM494" s="255">
        <v>5</v>
      </c>
      <c r="CN494" s="256">
        <v>42180</v>
      </c>
      <c r="CO494" s="140" t="s">
        <v>8447</v>
      </c>
    </row>
    <row r="495" spans="1:93" ht="15">
      <c r="A495" s="124" t="s">
        <v>7668</v>
      </c>
      <c r="B495" s="161" t="s">
        <v>7517</v>
      </c>
      <c r="C495" s="268" t="s">
        <v>267</v>
      </c>
      <c r="D495" s="243">
        <v>3</v>
      </c>
      <c r="E495" s="183">
        <v>82</v>
      </c>
      <c r="F495" s="244">
        <v>13</v>
      </c>
      <c r="G495" s="245">
        <v>22</v>
      </c>
      <c r="L495" s="254">
        <v>9</v>
      </c>
      <c r="N495" s="246">
        <v>4.59</v>
      </c>
      <c r="O495" s="159">
        <v>42191</v>
      </c>
      <c r="T495" s="247">
        <v>12.73</v>
      </c>
      <c r="U495" s="256">
        <v>42200</v>
      </c>
      <c r="V495" s="145">
        <v>18.5</v>
      </c>
      <c r="W495" s="159">
        <v>42191</v>
      </c>
      <c r="AD495" s="145">
        <f>(N495/V495)*(((100-CD495)/100)*((100-2)/100))*100</f>
        <v>22.612572972972973</v>
      </c>
      <c r="AF495" s="248">
        <v>25.85</v>
      </c>
      <c r="AG495" s="159">
        <v>42191</v>
      </c>
      <c r="AJ495" s="249">
        <v>130</v>
      </c>
      <c r="AN495" s="250">
        <v>106</v>
      </c>
      <c r="BB495" s="257">
        <v>7</v>
      </c>
      <c r="BN495" s="251">
        <v>64.256</v>
      </c>
      <c r="BO495" s="256">
        <v>42200</v>
      </c>
      <c r="BT495" s="251">
        <v>49.257526397705078</v>
      </c>
      <c r="BU495" s="256">
        <v>42200</v>
      </c>
      <c r="BV495" s="251">
        <v>18.125057220458984</v>
      </c>
      <c r="BW495" s="256">
        <v>42200</v>
      </c>
      <c r="BX495" s="251">
        <v>19.88</v>
      </c>
      <c r="BY495" s="256">
        <v>42200</v>
      </c>
      <c r="CD495" s="253">
        <v>7</v>
      </c>
      <c r="CE495" s="159">
        <v>42191</v>
      </c>
      <c r="CM495" s="255">
        <v>5</v>
      </c>
      <c r="CN495" s="256">
        <v>42180</v>
      </c>
      <c r="CO495" s="140" t="s">
        <v>8447</v>
      </c>
    </row>
    <row r="496" spans="1:93" ht="15">
      <c r="A496" s="124" t="s">
        <v>7711</v>
      </c>
      <c r="B496" s="161" t="s">
        <v>7550</v>
      </c>
      <c r="C496" s="268" t="s">
        <v>267</v>
      </c>
      <c r="D496" s="243">
        <v>4</v>
      </c>
      <c r="E496" s="183">
        <v>125</v>
      </c>
      <c r="F496" s="244">
        <v>24</v>
      </c>
      <c r="G496" s="245">
        <v>15</v>
      </c>
      <c r="L496" s="254">
        <v>9</v>
      </c>
      <c r="N496" s="246">
        <v>4.5999999999999996</v>
      </c>
      <c r="O496" s="159">
        <v>42191</v>
      </c>
      <c r="T496" s="247">
        <v>12.78</v>
      </c>
      <c r="U496" s="256">
        <v>42200</v>
      </c>
      <c r="V496" s="145">
        <v>18.5</v>
      </c>
      <c r="W496" s="159">
        <v>42191</v>
      </c>
      <c r="AD496" s="145">
        <f>(N496/V496)*(((100-CD496)/100)*((100-2)/100))*100</f>
        <v>22.613102702702701</v>
      </c>
      <c r="AF496" s="248">
        <v>25.85</v>
      </c>
      <c r="AG496" s="159">
        <v>42191</v>
      </c>
      <c r="AJ496" s="249">
        <v>135</v>
      </c>
      <c r="AN496" s="250">
        <v>106</v>
      </c>
      <c r="BB496" s="257">
        <v>7</v>
      </c>
      <c r="BN496" s="251">
        <v>62.588999999999999</v>
      </c>
      <c r="BO496" s="256">
        <v>42200</v>
      </c>
      <c r="BT496" s="251">
        <v>49.427234649658203</v>
      </c>
      <c r="BU496" s="256">
        <v>42200</v>
      </c>
      <c r="BV496" s="251">
        <v>18.808422088623047</v>
      </c>
      <c r="BW496" s="256">
        <v>42200</v>
      </c>
      <c r="BX496" s="251">
        <v>15.028</v>
      </c>
      <c r="BY496" s="256">
        <v>42200</v>
      </c>
      <c r="CD496" s="253">
        <v>7.2</v>
      </c>
      <c r="CE496" s="159">
        <v>42191</v>
      </c>
      <c r="CM496" s="255">
        <v>3</v>
      </c>
      <c r="CN496" s="256">
        <v>42180</v>
      </c>
      <c r="CO496" s="140" t="s">
        <v>8447</v>
      </c>
    </row>
    <row r="497" spans="1:93" ht="15">
      <c r="A497" s="124" t="s">
        <v>7678</v>
      </c>
      <c r="B497" s="161" t="s">
        <v>7526</v>
      </c>
      <c r="C497" s="268" t="s">
        <v>269</v>
      </c>
      <c r="D497" s="243">
        <v>1</v>
      </c>
      <c r="E497" s="183">
        <v>92</v>
      </c>
      <c r="F497" s="244">
        <v>6</v>
      </c>
      <c r="G497" s="245">
        <v>19</v>
      </c>
      <c r="L497" s="254">
        <v>7</v>
      </c>
      <c r="N497" s="246">
        <v>4.59</v>
      </c>
      <c r="O497" s="159">
        <v>42191</v>
      </c>
      <c r="T497" s="247">
        <v>13.92</v>
      </c>
      <c r="U497" s="256">
        <v>42200</v>
      </c>
      <c r="V497" s="145">
        <v>18.5</v>
      </c>
      <c r="W497" s="159">
        <v>42191</v>
      </c>
      <c r="AD497" s="145">
        <f>(N497/V497)*(((100-CD497)/100)*((100-2)/100))*100</f>
        <v>22.636887567567566</v>
      </c>
      <c r="AF497" s="248">
        <f>(N497/V497)*(((100-CD497)/(100-9))*100)</f>
        <v>25.383367983367979</v>
      </c>
      <c r="AG497" s="159">
        <v>42191</v>
      </c>
      <c r="AJ497" s="249">
        <v>130</v>
      </c>
      <c r="AN497" s="250">
        <v>101</v>
      </c>
      <c r="BB497" s="257">
        <v>7</v>
      </c>
      <c r="BN497" s="251">
        <v>66.864999999999995</v>
      </c>
      <c r="BO497" s="256">
        <v>42200</v>
      </c>
      <c r="BT497" s="251">
        <v>53.777946472167969</v>
      </c>
      <c r="BU497" s="256">
        <v>42200</v>
      </c>
      <c r="BV497" s="251">
        <v>15.80610466003418</v>
      </c>
      <c r="BW497" s="256">
        <v>42200</v>
      </c>
      <c r="BX497" s="251">
        <v>23.399000000000001</v>
      </c>
      <c r="BY497" s="256">
        <v>42200</v>
      </c>
      <c r="CD497" s="253">
        <v>6.9</v>
      </c>
      <c r="CE497" s="159">
        <v>42191</v>
      </c>
      <c r="CM497" s="255">
        <v>1</v>
      </c>
      <c r="CN497" s="256">
        <v>42180</v>
      </c>
      <c r="CO497" s="140" t="s">
        <v>8447</v>
      </c>
    </row>
    <row r="498" spans="1:93" ht="15" customHeight="1">
      <c r="A498" s="124" t="s">
        <v>7667</v>
      </c>
      <c r="B498" s="161" t="s">
        <v>7516</v>
      </c>
      <c r="C498" s="268" t="s">
        <v>267</v>
      </c>
      <c r="D498" s="257">
        <v>4</v>
      </c>
      <c r="E498" s="183">
        <v>81</v>
      </c>
      <c r="F498" s="257">
        <v>20</v>
      </c>
      <c r="G498" s="257">
        <v>9</v>
      </c>
      <c r="L498" s="257">
        <v>8</v>
      </c>
      <c r="N498" s="257">
        <v>4.6399999999999997</v>
      </c>
      <c r="O498" s="159">
        <v>42191</v>
      </c>
      <c r="T498" s="257">
        <v>13.55</v>
      </c>
      <c r="U498" s="256">
        <v>42200</v>
      </c>
      <c r="V498" s="145">
        <v>18.5</v>
      </c>
      <c r="W498" s="159">
        <v>42191</v>
      </c>
      <c r="AD498" s="145">
        <f>(N498/V498)*(((100-CD498)/100)*((100-2)/100))*100</f>
        <v>22.662261621621621</v>
      </c>
      <c r="AF498" s="257">
        <v>25.91</v>
      </c>
      <c r="AG498" s="159">
        <v>42191</v>
      </c>
      <c r="AJ498" s="257">
        <v>110</v>
      </c>
      <c r="AN498" s="257">
        <v>101</v>
      </c>
      <c r="BB498" s="257">
        <v>5</v>
      </c>
      <c r="BN498" s="251">
        <v>65.83</v>
      </c>
      <c r="BO498" s="256">
        <v>42200</v>
      </c>
      <c r="BT498" s="251">
        <v>52.295303344726563</v>
      </c>
      <c r="BU498" s="256">
        <v>42200</v>
      </c>
      <c r="BV498" s="251">
        <v>17.906486511230469</v>
      </c>
      <c r="BW498" s="256">
        <v>42200</v>
      </c>
      <c r="BX498" s="251">
        <v>13.329000000000001</v>
      </c>
      <c r="BY498" s="256">
        <v>42200</v>
      </c>
      <c r="CD498" s="257">
        <v>7.8</v>
      </c>
      <c r="CE498" s="159">
        <v>42191</v>
      </c>
      <c r="CM498" s="255">
        <v>3</v>
      </c>
      <c r="CN498" s="256">
        <v>42180</v>
      </c>
      <c r="CO498" s="140" t="s">
        <v>8447</v>
      </c>
    </row>
    <row r="499" spans="1:93" ht="15">
      <c r="A499" s="124" t="s">
        <v>7721</v>
      </c>
      <c r="B499" s="161" t="s">
        <v>7788</v>
      </c>
      <c r="C499" s="268" t="s">
        <v>267</v>
      </c>
      <c r="D499" s="243">
        <v>4</v>
      </c>
      <c r="E499" s="183">
        <v>135</v>
      </c>
      <c r="F499" s="244">
        <v>24</v>
      </c>
      <c r="G499" s="245">
        <v>1</v>
      </c>
      <c r="L499" s="254">
        <v>8</v>
      </c>
      <c r="N499" s="246">
        <v>4.6900000000000004</v>
      </c>
      <c r="O499" s="159">
        <v>42191</v>
      </c>
      <c r="T499" s="247">
        <v>13.3</v>
      </c>
      <c r="U499" s="256">
        <v>42200</v>
      </c>
      <c r="V499" s="145">
        <v>18.5</v>
      </c>
      <c r="W499" s="159">
        <v>42191</v>
      </c>
      <c r="AD499" s="145">
        <f>(N499/V499)*(((100-CD499)/100)*((100-2)/100))*100</f>
        <v>22.682868108108106</v>
      </c>
      <c r="AF499" s="248">
        <v>25.93</v>
      </c>
      <c r="AG499" s="159">
        <v>42191</v>
      </c>
      <c r="AJ499" s="249">
        <v>110</v>
      </c>
      <c r="AN499" s="250">
        <v>101</v>
      </c>
      <c r="BB499" s="257">
        <v>7</v>
      </c>
      <c r="BN499" s="251">
        <v>61.389000000000003</v>
      </c>
      <c r="BO499" s="256">
        <v>42200</v>
      </c>
      <c r="BT499" s="251">
        <v>51.313201904296875</v>
      </c>
      <c r="BU499" s="256">
        <v>42200</v>
      </c>
      <c r="BV499" s="251">
        <v>17.399297714233398</v>
      </c>
      <c r="BW499" s="256">
        <v>42200</v>
      </c>
      <c r="BX499" s="251">
        <v>12.566000000000001</v>
      </c>
      <c r="BY499" s="256">
        <v>42200</v>
      </c>
      <c r="CD499" s="253">
        <v>8.6999999999999993</v>
      </c>
      <c r="CE499" s="159">
        <v>42191</v>
      </c>
      <c r="CM499" s="255">
        <v>3</v>
      </c>
      <c r="CN499" s="256">
        <v>42180</v>
      </c>
      <c r="CO499" s="140" t="s">
        <v>8447</v>
      </c>
    </row>
    <row r="500" spans="1:93" ht="15">
      <c r="A500" s="124" t="s">
        <v>7729</v>
      </c>
      <c r="B500" s="161" t="s">
        <v>8244</v>
      </c>
      <c r="C500" s="268" t="s">
        <v>269</v>
      </c>
      <c r="D500" s="243">
        <v>2</v>
      </c>
      <c r="E500" s="183">
        <v>143</v>
      </c>
      <c r="F500" s="244">
        <v>8</v>
      </c>
      <c r="G500" s="245">
        <v>11</v>
      </c>
      <c r="L500" s="254">
        <v>8</v>
      </c>
      <c r="N500" s="246">
        <v>4.6100000000000003</v>
      </c>
      <c r="O500" s="159">
        <v>42191</v>
      </c>
      <c r="T500" s="247">
        <v>13.97</v>
      </c>
      <c r="U500" s="256">
        <v>42200</v>
      </c>
      <c r="V500" s="145">
        <v>18.5</v>
      </c>
      <c r="W500" s="159">
        <v>42191</v>
      </c>
      <c r="AD500" s="145">
        <f>(N500/V500)*(((100-CD500)/100)*((100-2)/100))*100</f>
        <v>22.711102702702703</v>
      </c>
      <c r="AF500" s="248">
        <f>(N500/V500)*(((100-CD500)/(100-9))*100)</f>
        <v>25.466587466587466</v>
      </c>
      <c r="AG500" s="159">
        <v>42191</v>
      </c>
      <c r="AJ500" s="249">
        <v>140</v>
      </c>
      <c r="AN500" s="250">
        <v>105</v>
      </c>
      <c r="BB500" s="257">
        <v>7</v>
      </c>
      <c r="BN500" s="251">
        <v>66.168000000000006</v>
      </c>
      <c r="BO500" s="256">
        <v>42200</v>
      </c>
      <c r="BT500" s="251">
        <v>53.797027587890625</v>
      </c>
      <c r="BU500" s="256">
        <v>42200</v>
      </c>
      <c r="BV500" s="251">
        <v>14.927047729492188</v>
      </c>
      <c r="BW500" s="256">
        <v>42200</v>
      </c>
      <c r="BX500" s="251">
        <v>15.106</v>
      </c>
      <c r="BY500" s="256">
        <v>42200</v>
      </c>
      <c r="CD500" s="253">
        <v>7</v>
      </c>
      <c r="CE500" s="159">
        <v>42191</v>
      </c>
      <c r="CM500" s="255">
        <v>1</v>
      </c>
      <c r="CN500" s="256">
        <v>42180</v>
      </c>
      <c r="CO500" s="140" t="s">
        <v>8448</v>
      </c>
    </row>
    <row r="501" spans="1:93" ht="15">
      <c r="A501" s="124" t="s">
        <v>7670</v>
      </c>
      <c r="B501" s="161" t="s">
        <v>7519</v>
      </c>
      <c r="C501" s="268" t="s">
        <v>267</v>
      </c>
      <c r="D501" s="243">
        <v>3</v>
      </c>
      <c r="E501" s="183">
        <v>84</v>
      </c>
      <c r="F501" s="244">
        <v>15</v>
      </c>
      <c r="G501" s="245">
        <v>4</v>
      </c>
      <c r="L501" s="254">
        <v>9</v>
      </c>
      <c r="N501" s="246">
        <v>4.71</v>
      </c>
      <c r="O501" s="159">
        <v>42191</v>
      </c>
      <c r="T501" s="247">
        <v>12.48</v>
      </c>
      <c r="U501" s="256">
        <v>42200</v>
      </c>
      <c r="V501" s="145">
        <v>18.5</v>
      </c>
      <c r="W501" s="159">
        <v>42191</v>
      </c>
      <c r="AD501" s="145">
        <f>(N501/V501)*(((100-CD501)/100)*((100-2)/100))*100</f>
        <v>22.729696216216215</v>
      </c>
      <c r="AF501" s="248">
        <v>25.98</v>
      </c>
      <c r="AG501" s="159">
        <v>42191</v>
      </c>
      <c r="AJ501" s="249">
        <v>125</v>
      </c>
      <c r="AN501" s="250">
        <v>106</v>
      </c>
      <c r="BB501" s="257">
        <v>9</v>
      </c>
      <c r="BN501" s="251">
        <v>64.097999999999999</v>
      </c>
      <c r="BO501" s="256">
        <v>42200</v>
      </c>
      <c r="BT501" s="251">
        <v>48.047981262207031</v>
      </c>
      <c r="BU501" s="256">
        <v>42200</v>
      </c>
      <c r="BV501" s="251">
        <v>18.458236694335938</v>
      </c>
      <c r="BW501" s="256">
        <v>42200</v>
      </c>
      <c r="BX501" s="251">
        <v>20.974</v>
      </c>
      <c r="BY501" s="256">
        <v>42200</v>
      </c>
      <c r="CD501" s="253">
        <v>8.9</v>
      </c>
      <c r="CE501" s="159">
        <v>42191</v>
      </c>
      <c r="CM501" s="255">
        <v>3</v>
      </c>
      <c r="CN501" s="256">
        <v>42180</v>
      </c>
      <c r="CO501" s="140" t="s">
        <v>8447</v>
      </c>
    </row>
    <row r="502" spans="1:93" ht="15">
      <c r="A502" s="124" t="s">
        <v>7726</v>
      </c>
      <c r="B502" s="161" t="s">
        <v>7792</v>
      </c>
      <c r="C502" s="268" t="s">
        <v>269</v>
      </c>
      <c r="D502" s="243">
        <v>2</v>
      </c>
      <c r="E502" s="183">
        <v>140</v>
      </c>
      <c r="F502" s="244">
        <v>10</v>
      </c>
      <c r="G502" s="245">
        <v>6</v>
      </c>
      <c r="L502" s="254">
        <v>6</v>
      </c>
      <c r="N502" s="246">
        <v>4.6100000000000003</v>
      </c>
      <c r="O502" s="159">
        <v>42191</v>
      </c>
      <c r="T502" s="247">
        <v>12.82</v>
      </c>
      <c r="U502" s="256">
        <v>42200</v>
      </c>
      <c r="V502" s="145">
        <v>18.5</v>
      </c>
      <c r="W502" s="159">
        <v>42191</v>
      </c>
      <c r="AD502" s="145">
        <f>(N502/V502)*(((100-CD502)/100)*((100-2)/100))*100</f>
        <v>22.759943783783786</v>
      </c>
      <c r="AF502" s="248">
        <v>26.02</v>
      </c>
      <c r="AG502" s="159">
        <v>42191</v>
      </c>
      <c r="AJ502" s="249">
        <v>115</v>
      </c>
      <c r="AN502" s="250">
        <v>103</v>
      </c>
      <c r="BB502" s="257">
        <v>7</v>
      </c>
      <c r="BN502" s="251">
        <v>60.271000000000001</v>
      </c>
      <c r="BO502" s="256">
        <v>42200</v>
      </c>
      <c r="BT502" s="251">
        <v>49.277580261230469</v>
      </c>
      <c r="BU502" s="256">
        <v>42200</v>
      </c>
      <c r="BV502" s="251">
        <v>17.540935516357422</v>
      </c>
      <c r="BW502" s="256">
        <v>42200</v>
      </c>
      <c r="BX502" s="251">
        <v>16.774000000000001</v>
      </c>
      <c r="BY502" s="256">
        <v>42200</v>
      </c>
      <c r="CD502" s="253">
        <v>6.8</v>
      </c>
      <c r="CE502" s="159">
        <v>42191</v>
      </c>
      <c r="CM502" s="255">
        <v>3</v>
      </c>
      <c r="CN502" s="256">
        <v>42180</v>
      </c>
      <c r="CO502" s="140" t="s">
        <v>8448</v>
      </c>
    </row>
    <row r="503" spans="1:93" ht="15">
      <c r="A503" s="124" t="s">
        <v>7716</v>
      </c>
      <c r="B503" s="161" t="s">
        <v>7553</v>
      </c>
      <c r="C503" s="268" t="s">
        <v>267</v>
      </c>
      <c r="D503" s="243">
        <v>3</v>
      </c>
      <c r="E503" s="183">
        <v>130</v>
      </c>
      <c r="F503" s="244">
        <v>15</v>
      </c>
      <c r="G503" s="245">
        <v>22</v>
      </c>
      <c r="L503" s="254">
        <v>7</v>
      </c>
      <c r="N503" s="246">
        <v>4.63</v>
      </c>
      <c r="O503" s="159">
        <v>42191</v>
      </c>
      <c r="T503" s="247">
        <v>13.21</v>
      </c>
      <c r="U503" s="256">
        <v>42200</v>
      </c>
      <c r="V503" s="145">
        <v>18.5</v>
      </c>
      <c r="W503" s="159">
        <v>42191</v>
      </c>
      <c r="AD503" s="145">
        <f>(N503/V503)*(((100-CD503)/100)*((100-2)/100))*100</f>
        <v>22.760579459459457</v>
      </c>
      <c r="AF503" s="248">
        <v>26.02</v>
      </c>
      <c r="AG503" s="159">
        <v>42191</v>
      </c>
      <c r="AJ503" s="249">
        <v>110</v>
      </c>
      <c r="AN503" s="250">
        <v>105</v>
      </c>
      <c r="BB503" s="257">
        <v>9</v>
      </c>
      <c r="BN503" s="251">
        <v>63.85</v>
      </c>
      <c r="BO503" s="256">
        <v>42200</v>
      </c>
      <c r="BT503" s="251">
        <v>50.776954650878906</v>
      </c>
      <c r="BU503" s="256">
        <v>42200</v>
      </c>
      <c r="BV503" s="251">
        <v>17.622676849365234</v>
      </c>
      <c r="BW503" s="256">
        <v>42200</v>
      </c>
      <c r="BX503" s="251">
        <v>18.416</v>
      </c>
      <c r="BY503" s="256">
        <v>42200</v>
      </c>
      <c r="CD503" s="253">
        <v>7.2</v>
      </c>
      <c r="CE503" s="159">
        <v>42191</v>
      </c>
      <c r="CM503" s="255">
        <v>3</v>
      </c>
      <c r="CN503" s="256">
        <v>42180</v>
      </c>
      <c r="CO503" s="140" t="s">
        <v>8447</v>
      </c>
    </row>
    <row r="504" spans="1:93" ht="15">
      <c r="A504" s="124" t="s">
        <v>7697</v>
      </c>
      <c r="B504" s="161" t="s">
        <v>7543</v>
      </c>
      <c r="C504" s="268" t="s">
        <v>269</v>
      </c>
      <c r="D504" s="243">
        <v>1</v>
      </c>
      <c r="E504" s="183">
        <v>111</v>
      </c>
      <c r="F504" s="244">
        <v>4</v>
      </c>
      <c r="G504" s="245">
        <v>21</v>
      </c>
      <c r="L504" s="254">
        <v>5</v>
      </c>
      <c r="N504" s="246">
        <v>4.63</v>
      </c>
      <c r="O504" s="159">
        <v>42191</v>
      </c>
      <c r="T504" s="247">
        <v>13.68</v>
      </c>
      <c r="U504" s="256">
        <v>42200</v>
      </c>
      <c r="V504" s="145">
        <v>18.5</v>
      </c>
      <c r="W504" s="159">
        <v>42191</v>
      </c>
      <c r="AD504" s="145">
        <f>(N504/V504)*(((100-CD504)/100)*((100-2)/100))*100</f>
        <v>22.834158918918916</v>
      </c>
      <c r="AF504" s="248">
        <f>(N504/V504)*(((100-CD504)/(100-9))*100)</f>
        <v>25.6045738045738</v>
      </c>
      <c r="AG504" s="159">
        <v>42191</v>
      </c>
      <c r="AJ504" s="249">
        <v>155</v>
      </c>
      <c r="AN504" s="250">
        <v>100</v>
      </c>
      <c r="BB504" s="257">
        <v>7</v>
      </c>
      <c r="BN504" s="251">
        <v>62.545999999999999</v>
      </c>
      <c r="BO504" s="256">
        <v>42200</v>
      </c>
      <c r="BT504" s="251">
        <v>52.417461395263672</v>
      </c>
      <c r="BU504" s="256">
        <v>42200</v>
      </c>
      <c r="BV504" s="251">
        <v>16.848682403564453</v>
      </c>
      <c r="BW504" s="256">
        <v>42200</v>
      </c>
      <c r="BX504" s="251">
        <v>16.738</v>
      </c>
      <c r="BY504" s="256">
        <v>42200</v>
      </c>
      <c r="CD504" s="253">
        <v>6.9</v>
      </c>
      <c r="CE504" s="159">
        <v>42191</v>
      </c>
      <c r="CM504" s="255">
        <v>1</v>
      </c>
      <c r="CN504" s="256">
        <v>42180</v>
      </c>
      <c r="CO504" s="140" t="s">
        <v>8447</v>
      </c>
    </row>
    <row r="505" spans="1:93" ht="15">
      <c r="A505" s="124" t="s">
        <v>7662</v>
      </c>
      <c r="B505" s="161" t="s">
        <v>7511</v>
      </c>
      <c r="C505" s="268" t="s">
        <v>267</v>
      </c>
      <c r="D505" s="243">
        <v>4</v>
      </c>
      <c r="E505" s="183">
        <v>76</v>
      </c>
      <c r="F505" s="244">
        <v>22</v>
      </c>
      <c r="G505" s="245">
        <v>10</v>
      </c>
      <c r="L505" s="254">
        <v>3</v>
      </c>
      <c r="N505" s="246">
        <v>4.7300000000000004</v>
      </c>
      <c r="O505" s="159">
        <v>42191</v>
      </c>
      <c r="T505" s="247">
        <v>12.37</v>
      </c>
      <c r="U505" s="256">
        <v>42200</v>
      </c>
      <c r="V505" s="145">
        <v>18.5</v>
      </c>
      <c r="W505" s="159">
        <v>42191</v>
      </c>
      <c r="AD505" s="145">
        <f>(N505/V505)*(((100-CD505)/100)*((100-2)/100))*100</f>
        <v>22.876325405405399</v>
      </c>
      <c r="AF505" s="248">
        <f>(N505/V505)*(((100-CD505)/(100-9))*100)</f>
        <v>25.651856251856252</v>
      </c>
      <c r="AG505" s="159">
        <v>42191</v>
      </c>
      <c r="AJ505" s="249">
        <v>125</v>
      </c>
      <c r="AN505" s="250">
        <v>106</v>
      </c>
      <c r="BB505" s="257">
        <v>9</v>
      </c>
      <c r="BN505" s="251">
        <v>64.522999999999996</v>
      </c>
      <c r="BO505" s="256">
        <v>42200</v>
      </c>
      <c r="BT505" s="251">
        <v>47.320388793945313</v>
      </c>
      <c r="BU505" s="256">
        <v>42200</v>
      </c>
      <c r="BV505" s="251">
        <v>18.422262191772461</v>
      </c>
      <c r="BW505" s="256">
        <v>42200</v>
      </c>
      <c r="BX505" s="251">
        <v>17.888000000000002</v>
      </c>
      <c r="BY505" s="256">
        <v>42200</v>
      </c>
      <c r="CD505" s="253">
        <v>8.6999999999999993</v>
      </c>
      <c r="CE505" s="159">
        <v>42191</v>
      </c>
      <c r="CM505" s="255">
        <v>1</v>
      </c>
      <c r="CN505" s="256">
        <v>42180</v>
      </c>
      <c r="CO505" s="140" t="s">
        <v>8447</v>
      </c>
    </row>
    <row r="506" spans="1:93" ht="15">
      <c r="A506" s="124" t="s">
        <v>7647</v>
      </c>
      <c r="B506" s="161" t="s">
        <v>7497</v>
      </c>
      <c r="C506" s="268" t="s">
        <v>267</v>
      </c>
      <c r="D506" s="243">
        <v>3</v>
      </c>
      <c r="E506" s="183">
        <v>61</v>
      </c>
      <c r="F506" s="244">
        <v>15</v>
      </c>
      <c r="G506" s="245">
        <v>11</v>
      </c>
      <c r="L506" s="254">
        <v>8</v>
      </c>
      <c r="N506" s="246">
        <v>4.68</v>
      </c>
      <c r="O506" s="159">
        <v>42191</v>
      </c>
      <c r="T506" s="247">
        <v>13.52</v>
      </c>
      <c r="U506" s="256">
        <v>42200</v>
      </c>
      <c r="V506" s="145">
        <v>18.5</v>
      </c>
      <c r="W506" s="159">
        <v>42191</v>
      </c>
      <c r="AD506" s="145">
        <f>(N506/V506)*(((100-CD506)/100)*((100-2)/100))*100</f>
        <v>22.882417297297291</v>
      </c>
      <c r="AF506" s="248">
        <v>26.16</v>
      </c>
      <c r="AG506" s="159">
        <v>42191</v>
      </c>
      <c r="AJ506" s="249">
        <v>100</v>
      </c>
      <c r="AN506" s="250">
        <v>103</v>
      </c>
      <c r="BB506" s="257">
        <v>7</v>
      </c>
      <c r="BN506" s="251">
        <v>63.362000000000002</v>
      </c>
      <c r="BO506" s="256">
        <v>42200</v>
      </c>
      <c r="BT506" s="251">
        <v>51.700927734375</v>
      </c>
      <c r="BU506" s="256">
        <v>42200</v>
      </c>
      <c r="BV506" s="251">
        <v>16.820858001708984</v>
      </c>
      <c r="BW506" s="256">
        <v>42200</v>
      </c>
      <c r="BX506" s="251">
        <v>16.454000000000001</v>
      </c>
      <c r="BY506" s="256">
        <v>42200</v>
      </c>
      <c r="CD506" s="253">
        <v>7.7</v>
      </c>
      <c r="CE506" s="159">
        <v>42191</v>
      </c>
      <c r="CM506" s="255">
        <v>5</v>
      </c>
      <c r="CN506" s="256">
        <v>42180</v>
      </c>
      <c r="CO506" s="140" t="s">
        <v>8447</v>
      </c>
    </row>
    <row r="507" spans="1:93" ht="15">
      <c r="A507" s="124" t="s">
        <v>7736</v>
      </c>
      <c r="B507" s="161" t="s">
        <v>7560</v>
      </c>
      <c r="C507" s="268" t="s">
        <v>269</v>
      </c>
      <c r="D507" s="243">
        <v>2</v>
      </c>
      <c r="E507" s="183">
        <v>150</v>
      </c>
      <c r="F507" s="244">
        <v>11</v>
      </c>
      <c r="G507" s="245">
        <v>26</v>
      </c>
      <c r="L507" s="254">
        <v>5</v>
      </c>
      <c r="N507" s="246">
        <v>4.6399999999999997</v>
      </c>
      <c r="O507" s="159">
        <v>42191</v>
      </c>
      <c r="T507" s="247">
        <v>13.92</v>
      </c>
      <c r="U507" s="256">
        <v>42200</v>
      </c>
      <c r="V507" s="145">
        <v>18.5</v>
      </c>
      <c r="W507" s="159">
        <v>42191</v>
      </c>
      <c r="AD507" s="145">
        <f>(N507/V507)*(((100-CD507)/100)*((100-2)/100))*100</f>
        <v>22.883476756756753</v>
      </c>
      <c r="AF507" s="248">
        <f>(N507/V507)*(((100-CD507)/(100-9))*100)</f>
        <v>25.659875259875257</v>
      </c>
      <c r="AG507" s="159">
        <v>42191</v>
      </c>
      <c r="AJ507" s="249">
        <v>135</v>
      </c>
      <c r="AN507" s="250">
        <v>101</v>
      </c>
      <c r="BB507" s="257">
        <v>7</v>
      </c>
      <c r="BN507" s="251">
        <v>62.664000000000001</v>
      </c>
      <c r="BO507" s="256">
        <v>42200</v>
      </c>
      <c r="BT507" s="251">
        <v>53.226802825927734</v>
      </c>
      <c r="BU507" s="256">
        <v>42200</v>
      </c>
      <c r="BV507" s="251">
        <v>15.275317192077637</v>
      </c>
      <c r="BW507" s="256">
        <v>42200</v>
      </c>
      <c r="BX507" s="251">
        <v>14.72</v>
      </c>
      <c r="BY507" s="256">
        <v>42200</v>
      </c>
      <c r="CD507" s="253">
        <v>6.9</v>
      </c>
      <c r="CE507" s="159">
        <v>42191</v>
      </c>
      <c r="CM507" s="255">
        <v>1</v>
      </c>
      <c r="CN507" s="256">
        <v>42180</v>
      </c>
      <c r="CO507" s="140" t="s">
        <v>8448</v>
      </c>
    </row>
    <row r="508" spans="1:93" ht="15">
      <c r="A508" s="124" t="s">
        <v>7701</v>
      </c>
      <c r="B508" s="161" t="s">
        <v>7547</v>
      </c>
      <c r="C508" s="268" t="s">
        <v>267</v>
      </c>
      <c r="D508" s="243">
        <v>4</v>
      </c>
      <c r="E508" s="183">
        <v>115</v>
      </c>
      <c r="F508" s="244">
        <v>22</v>
      </c>
      <c r="G508" s="245">
        <v>4</v>
      </c>
      <c r="L508" s="254">
        <v>9</v>
      </c>
      <c r="N508" s="246">
        <v>4.7</v>
      </c>
      <c r="O508" s="159">
        <v>42191</v>
      </c>
      <c r="T508" s="247">
        <v>12.97</v>
      </c>
      <c r="U508" s="256">
        <v>42200</v>
      </c>
      <c r="V508" s="145">
        <v>18.5</v>
      </c>
      <c r="W508" s="159">
        <v>42191</v>
      </c>
      <c r="AD508" s="145">
        <f>(N508/V508)*(((100-CD508)/100)*((100-2)/100))*100</f>
        <v>22.905513513513519</v>
      </c>
      <c r="AF508" s="248">
        <v>26.18</v>
      </c>
      <c r="AG508" s="159">
        <v>42191</v>
      </c>
      <c r="AJ508" s="249">
        <v>130</v>
      </c>
      <c r="AN508" s="250">
        <v>105</v>
      </c>
      <c r="BB508" s="257">
        <v>7</v>
      </c>
      <c r="BN508" s="251">
        <v>65.22</v>
      </c>
      <c r="BO508" s="256">
        <v>42200</v>
      </c>
      <c r="BT508" s="251">
        <v>49.552204132080078</v>
      </c>
      <c r="BU508" s="256">
        <v>42200</v>
      </c>
      <c r="BV508" s="251">
        <v>18.927518844604492</v>
      </c>
      <c r="BW508" s="256">
        <v>42200</v>
      </c>
      <c r="BX508" s="251">
        <v>60.28</v>
      </c>
      <c r="BY508" s="256">
        <v>42200</v>
      </c>
      <c r="CD508" s="253">
        <v>8</v>
      </c>
      <c r="CE508" s="159">
        <v>42191</v>
      </c>
      <c r="CM508" s="255">
        <v>3</v>
      </c>
      <c r="CN508" s="256">
        <v>42180</v>
      </c>
      <c r="CO508" s="140" t="s">
        <v>8447</v>
      </c>
    </row>
    <row r="509" spans="1:93" ht="15" customHeight="1">
      <c r="A509" s="137" t="s">
        <v>8469</v>
      </c>
      <c r="B509" s="161" t="s">
        <v>8492</v>
      </c>
      <c r="C509" s="268" t="s">
        <v>269</v>
      </c>
      <c r="D509" s="269">
        <v>1</v>
      </c>
      <c r="E509" s="280">
        <v>20</v>
      </c>
      <c r="F509" s="269"/>
      <c r="G509" s="269"/>
      <c r="H509" s="271">
        <v>2</v>
      </c>
      <c r="I509" s="271">
        <v>1</v>
      </c>
      <c r="J509" s="282"/>
      <c r="K509" s="273"/>
      <c r="L509" s="269">
        <v>8</v>
      </c>
      <c r="M509" s="274"/>
      <c r="N509" s="269">
        <v>4.74</v>
      </c>
      <c r="O509" s="274">
        <v>42191</v>
      </c>
      <c r="P509" s="272"/>
      <c r="Q509" s="274"/>
      <c r="R509" s="275"/>
      <c r="S509" s="274"/>
      <c r="T509" s="269">
        <v>13.28</v>
      </c>
      <c r="U509" s="276">
        <v>42200</v>
      </c>
      <c r="V509" s="275">
        <v>18.5</v>
      </c>
      <c r="W509" s="274">
        <v>42191</v>
      </c>
      <c r="X509" s="275"/>
      <c r="Y509" s="274"/>
      <c r="Z509" s="275"/>
      <c r="AA509" s="274"/>
      <c r="AB509" s="275"/>
      <c r="AC509" s="274"/>
      <c r="AD509" s="145">
        <f>(N509/V509)*(((100-CD509)/100)*((100-2)/100))*100</f>
        <v>22.924689729729725</v>
      </c>
      <c r="AE509" s="274"/>
      <c r="AF509" s="269">
        <v>26.21</v>
      </c>
      <c r="AG509" s="274">
        <v>42191</v>
      </c>
      <c r="AH509" s="274"/>
      <c r="AI509" s="274"/>
      <c r="AJ509" s="269">
        <v>155</v>
      </c>
      <c r="AK509" s="274"/>
      <c r="AL509" s="275"/>
      <c r="AM509" s="274"/>
      <c r="AN509" s="269">
        <v>103</v>
      </c>
      <c r="AO509" s="274"/>
      <c r="AP509" s="275"/>
      <c r="AQ509" s="275"/>
      <c r="AR509" s="275"/>
      <c r="AS509" s="275"/>
      <c r="AT509" s="275"/>
      <c r="AU509" s="275"/>
      <c r="AV509" s="275"/>
      <c r="AW509" s="275"/>
      <c r="AX509" s="275"/>
      <c r="AY509" s="275"/>
      <c r="AZ509" s="275"/>
      <c r="BA509" s="275"/>
      <c r="BB509" s="269">
        <v>7</v>
      </c>
      <c r="BC509" s="275"/>
      <c r="BD509" s="275"/>
      <c r="BE509" s="275"/>
      <c r="BF509" s="272"/>
      <c r="BG509" s="272"/>
      <c r="BH509" s="272"/>
      <c r="BI509" s="272"/>
      <c r="BJ509" s="272"/>
      <c r="BK509" s="272"/>
      <c r="BL509" s="272"/>
      <c r="BM509" s="272"/>
      <c r="BN509" s="284">
        <v>65.552000000000007</v>
      </c>
      <c r="BO509" s="276">
        <v>42200</v>
      </c>
      <c r="BP509" s="272"/>
      <c r="BQ509" s="272"/>
      <c r="BR509" s="272"/>
      <c r="BS509" s="272"/>
      <c r="BT509" s="284">
        <v>50.67</v>
      </c>
      <c r="BU509" s="276">
        <v>42200</v>
      </c>
      <c r="BV509" s="284">
        <v>21.391794204711914</v>
      </c>
      <c r="BW509" s="276">
        <v>42200</v>
      </c>
      <c r="BX509" s="284">
        <v>66.685000000000002</v>
      </c>
      <c r="BY509" s="276">
        <v>42200</v>
      </c>
      <c r="BZ509" s="272"/>
      <c r="CA509" s="272"/>
      <c r="CB509" s="272"/>
      <c r="CC509" s="272"/>
      <c r="CD509" s="269">
        <v>8.6999999999999993</v>
      </c>
      <c r="CE509" s="274">
        <v>42191</v>
      </c>
      <c r="CF509" s="272"/>
      <c r="CG509" s="272"/>
      <c r="CH509" s="272"/>
      <c r="CI509" s="272"/>
      <c r="CJ509" s="272"/>
      <c r="CK509" s="272"/>
      <c r="CL509" s="272"/>
      <c r="CM509" s="278">
        <v>7</v>
      </c>
      <c r="CN509" s="276">
        <v>42180</v>
      </c>
      <c r="CO509" s="272" t="s">
        <v>8447</v>
      </c>
    </row>
    <row r="510" spans="1:93" ht="15">
      <c r="A510" s="124" t="s">
        <v>7608</v>
      </c>
      <c r="B510" s="161" t="s">
        <v>7463</v>
      </c>
      <c r="C510" s="268" t="s">
        <v>269</v>
      </c>
      <c r="D510" s="243">
        <v>2</v>
      </c>
      <c r="E510" s="183">
        <v>22</v>
      </c>
      <c r="F510" s="244">
        <v>12</v>
      </c>
      <c r="G510" s="245">
        <v>28</v>
      </c>
      <c r="J510" s="266"/>
      <c r="L510" s="254">
        <v>8</v>
      </c>
      <c r="N510" s="246">
        <v>4.6399999999999997</v>
      </c>
      <c r="O510" s="159">
        <v>42191</v>
      </c>
      <c r="P510" s="144"/>
      <c r="R510" s="145"/>
      <c r="T510" s="247">
        <v>14.14</v>
      </c>
      <c r="U510" s="256">
        <v>42200</v>
      </c>
      <c r="V510" s="145">
        <v>18.5</v>
      </c>
      <c r="W510" s="159">
        <v>42191</v>
      </c>
      <c r="X510" s="145"/>
      <c r="Z510" s="145"/>
      <c r="AB510" s="145"/>
      <c r="AD510" s="145">
        <f>(N510/V510)*(((100-CD510)/100)*((100-2)/100))*100</f>
        <v>22.957215135135133</v>
      </c>
      <c r="AF510" s="248">
        <f>(N510/V510)*(((100-CD510)/(100-9))*100)</f>
        <v>25.742560142560148</v>
      </c>
      <c r="AG510" s="159">
        <v>42191</v>
      </c>
      <c r="AJ510" s="249">
        <v>135</v>
      </c>
      <c r="AL510" s="145"/>
      <c r="AN510" s="250">
        <v>101</v>
      </c>
      <c r="BB510" s="257">
        <v>7</v>
      </c>
      <c r="BN510" s="251">
        <v>68.003</v>
      </c>
      <c r="BO510" s="256">
        <v>42200</v>
      </c>
      <c r="BT510" s="251">
        <v>53.873710632324219</v>
      </c>
      <c r="BU510" s="256">
        <v>42200</v>
      </c>
      <c r="BV510" s="251">
        <v>17.171247482299805</v>
      </c>
      <c r="BW510" s="256">
        <v>42200</v>
      </c>
      <c r="BX510" s="251">
        <v>13.302</v>
      </c>
      <c r="BY510" s="256">
        <v>42200</v>
      </c>
      <c r="CD510" s="253">
        <v>6.6</v>
      </c>
      <c r="CE510" s="159">
        <v>42191</v>
      </c>
      <c r="CM510" s="255">
        <v>1</v>
      </c>
      <c r="CN510" s="256">
        <v>42180</v>
      </c>
      <c r="CO510" s="140" t="s">
        <v>8448</v>
      </c>
    </row>
    <row r="511" spans="1:93" ht="15">
      <c r="A511" s="124" t="s">
        <v>7740</v>
      </c>
      <c r="B511" s="161" t="s">
        <v>7564</v>
      </c>
      <c r="C511" s="268" t="s">
        <v>269</v>
      </c>
      <c r="D511" s="243">
        <v>2</v>
      </c>
      <c r="E511" s="183">
        <v>154</v>
      </c>
      <c r="F511" s="244">
        <v>7</v>
      </c>
      <c r="G511" s="245">
        <v>2</v>
      </c>
      <c r="L511" s="254">
        <v>7</v>
      </c>
      <c r="N511" s="246">
        <v>4.66</v>
      </c>
      <c r="O511" s="159">
        <v>42191</v>
      </c>
      <c r="T511" s="247">
        <v>13.87</v>
      </c>
      <c r="U511" s="256">
        <v>42200</v>
      </c>
      <c r="V511" s="145">
        <v>18.5</v>
      </c>
      <c r="W511" s="159">
        <v>42191</v>
      </c>
      <c r="AD511" s="145">
        <f>(N511/V511)*(((100-CD511)/100)*((100-2)/100))*100</f>
        <v>22.957427027027023</v>
      </c>
      <c r="AF511" s="248">
        <v>26.24</v>
      </c>
      <c r="AG511" s="159">
        <v>42191</v>
      </c>
      <c r="AJ511" s="249">
        <v>155</v>
      </c>
      <c r="AN511" s="250">
        <v>100</v>
      </c>
      <c r="BB511" s="257">
        <v>9</v>
      </c>
      <c r="BN511" s="251">
        <v>63.354999999999997</v>
      </c>
      <c r="BO511" s="256">
        <v>42200</v>
      </c>
      <c r="BT511" s="251">
        <v>52.846916198730469</v>
      </c>
      <c r="BU511" s="256">
        <v>42200</v>
      </c>
      <c r="BV511" s="251">
        <v>14.888096809387207</v>
      </c>
      <c r="BW511" s="256">
        <v>42200</v>
      </c>
      <c r="BX511" s="251">
        <v>19.259</v>
      </c>
      <c r="BY511" s="256">
        <v>42200</v>
      </c>
      <c r="CD511" s="253">
        <v>7</v>
      </c>
      <c r="CE511" s="159">
        <v>42191</v>
      </c>
      <c r="CM511" s="255">
        <v>3</v>
      </c>
      <c r="CN511" s="256">
        <v>42180</v>
      </c>
      <c r="CO511" s="140" t="s">
        <v>8448</v>
      </c>
    </row>
    <row r="512" spans="1:93" ht="15">
      <c r="A512" s="124" t="s">
        <v>7593</v>
      </c>
      <c r="B512" s="161" t="s">
        <v>7451</v>
      </c>
      <c r="C512" s="268" t="s">
        <v>269</v>
      </c>
      <c r="D512" s="243">
        <v>1</v>
      </c>
      <c r="E512" s="183">
        <v>7</v>
      </c>
      <c r="F512" s="244">
        <v>5</v>
      </c>
      <c r="G512" s="245">
        <v>14</v>
      </c>
      <c r="J512" s="266"/>
      <c r="L512" s="254">
        <v>9</v>
      </c>
      <c r="N512" s="246">
        <v>4.6500000000000004</v>
      </c>
      <c r="O512" s="159">
        <v>42191</v>
      </c>
      <c r="P512" s="144"/>
      <c r="R512" s="145"/>
      <c r="T512" s="247">
        <v>13.58</v>
      </c>
      <c r="U512" s="256">
        <v>42200</v>
      </c>
      <c r="V512" s="145">
        <v>18.5</v>
      </c>
      <c r="W512" s="159">
        <v>42191</v>
      </c>
      <c r="X512" s="145"/>
      <c r="Z512" s="145"/>
      <c r="AB512" s="145"/>
      <c r="AD512" s="145">
        <f>(N512/V512)*(((100-CD512)/100)*((100-2)/100))*100</f>
        <v>22.957427027027034</v>
      </c>
      <c r="AF512" s="248">
        <v>26.24</v>
      </c>
      <c r="AG512" s="159">
        <v>42191</v>
      </c>
      <c r="AJ512" s="249">
        <v>155</v>
      </c>
      <c r="AL512" s="145"/>
      <c r="AN512" s="250">
        <v>101</v>
      </c>
      <c r="BB512" s="257">
        <v>5</v>
      </c>
      <c r="BN512" s="251">
        <v>65.674999999999997</v>
      </c>
      <c r="BO512" s="256">
        <v>42200</v>
      </c>
      <c r="BT512" s="251">
        <v>51.740447998046875</v>
      </c>
      <c r="BU512" s="256">
        <v>42200</v>
      </c>
      <c r="BV512" s="251">
        <v>18.110343933105469</v>
      </c>
      <c r="BW512" s="256">
        <v>42200</v>
      </c>
      <c r="BX512" s="251">
        <v>57.923000000000002</v>
      </c>
      <c r="BY512" s="256">
        <v>42200</v>
      </c>
      <c r="CD512" s="253">
        <v>6.8</v>
      </c>
      <c r="CE512" s="159">
        <v>42191</v>
      </c>
      <c r="CM512" s="255">
        <v>3</v>
      </c>
      <c r="CN512" s="256">
        <v>42180</v>
      </c>
      <c r="CO512" s="140" t="s">
        <v>8447</v>
      </c>
    </row>
    <row r="513" spans="1:93" ht="15" customHeight="1">
      <c r="A513" s="124" t="s">
        <v>7551</v>
      </c>
      <c r="B513" s="161" t="s">
        <v>7551</v>
      </c>
      <c r="C513" s="268" t="s">
        <v>267</v>
      </c>
      <c r="D513" s="257">
        <v>4</v>
      </c>
      <c r="E513" s="191">
        <v>184</v>
      </c>
      <c r="F513" s="257">
        <v>21</v>
      </c>
      <c r="G513" s="257">
        <v>16</v>
      </c>
      <c r="L513" s="257">
        <v>8</v>
      </c>
      <c r="N513" s="257">
        <v>4.71</v>
      </c>
      <c r="O513" s="159">
        <v>42191</v>
      </c>
      <c r="T513" s="257">
        <v>13.35</v>
      </c>
      <c r="U513" s="256">
        <v>42200</v>
      </c>
      <c r="V513" s="145">
        <v>18.5</v>
      </c>
      <c r="W513" s="159">
        <v>42191</v>
      </c>
      <c r="AD513" s="145">
        <f>(N513/V513)*(((100-CD513)/100)*((100-2)/100))*100</f>
        <v>22.979198918918918</v>
      </c>
      <c r="AF513" s="257">
        <v>26.27</v>
      </c>
      <c r="AG513" s="159">
        <v>42191</v>
      </c>
      <c r="AJ513" s="257">
        <v>120</v>
      </c>
      <c r="AN513" s="257">
        <v>103</v>
      </c>
      <c r="BB513" s="257">
        <v>7</v>
      </c>
      <c r="BN513" s="251">
        <v>63.109000000000002</v>
      </c>
      <c r="BO513" s="256">
        <v>42200</v>
      </c>
      <c r="BT513" s="251">
        <v>50.834686279296875</v>
      </c>
      <c r="BU513" s="256">
        <v>42200</v>
      </c>
      <c r="BV513" s="251">
        <v>17.987720489501953</v>
      </c>
      <c r="BW513" s="256">
        <v>42200</v>
      </c>
      <c r="BX513" s="251">
        <v>15.224</v>
      </c>
      <c r="BY513" s="256">
        <v>42200</v>
      </c>
      <c r="CD513" s="257">
        <v>7.9</v>
      </c>
      <c r="CE513" s="159">
        <v>42191</v>
      </c>
      <c r="CM513" s="255">
        <v>1</v>
      </c>
      <c r="CN513" s="256">
        <v>42180</v>
      </c>
      <c r="CO513" s="140" t="s">
        <v>8447</v>
      </c>
    </row>
    <row r="514" spans="1:93" ht="15" customHeight="1">
      <c r="A514" s="137" t="s">
        <v>8452</v>
      </c>
      <c r="B514" s="161" t="s">
        <v>8475</v>
      </c>
      <c r="C514" s="268" t="s">
        <v>269</v>
      </c>
      <c r="D514" s="269">
        <v>1</v>
      </c>
      <c r="E514" s="280">
        <v>3</v>
      </c>
      <c r="F514" s="269"/>
      <c r="G514" s="269"/>
      <c r="H514" s="271">
        <v>1</v>
      </c>
      <c r="I514" s="271">
        <v>2</v>
      </c>
      <c r="J514" s="282"/>
      <c r="K514" s="273"/>
      <c r="L514" s="269">
        <v>7</v>
      </c>
      <c r="M514" s="274"/>
      <c r="N514" s="269">
        <v>4.6900000000000004</v>
      </c>
      <c r="O514" s="274">
        <v>42191</v>
      </c>
      <c r="P514" s="272"/>
      <c r="Q514" s="274"/>
      <c r="R514" s="275"/>
      <c r="S514" s="274"/>
      <c r="T514" s="269"/>
      <c r="U514" s="276">
        <v>42200</v>
      </c>
      <c r="V514" s="275">
        <v>18.5</v>
      </c>
      <c r="W514" s="274">
        <v>42191</v>
      </c>
      <c r="X514" s="275"/>
      <c r="Y514" s="274"/>
      <c r="Z514" s="275"/>
      <c r="AA514" s="274"/>
      <c r="AB514" s="275"/>
      <c r="AC514" s="274"/>
      <c r="AD514" s="145">
        <f>(N514/V514)*(((100-CD514)/100)*((100-2)/100))*100</f>
        <v>22.981000000000002</v>
      </c>
      <c r="AE514" s="274"/>
      <c r="AF514" s="269">
        <v>26.27</v>
      </c>
      <c r="AG514" s="274">
        <v>42191</v>
      </c>
      <c r="AH514" s="274"/>
      <c r="AI514" s="274"/>
      <c r="AJ514" s="269">
        <v>150</v>
      </c>
      <c r="AK514" s="274"/>
      <c r="AL514" s="275"/>
      <c r="AM514" s="274"/>
      <c r="AN514" s="269">
        <v>95</v>
      </c>
      <c r="AO514" s="274"/>
      <c r="AP514" s="275"/>
      <c r="AQ514" s="275"/>
      <c r="AR514" s="275"/>
      <c r="AS514" s="275"/>
      <c r="AT514" s="275"/>
      <c r="AU514" s="275"/>
      <c r="AV514" s="275"/>
      <c r="AW514" s="275"/>
      <c r="AX514" s="275"/>
      <c r="AY514" s="275"/>
      <c r="AZ514" s="275"/>
      <c r="BA514" s="275"/>
      <c r="BB514" s="269">
        <v>1</v>
      </c>
      <c r="BC514" s="275"/>
      <c r="BD514" s="275"/>
      <c r="BE514" s="275"/>
      <c r="BF514" s="272"/>
      <c r="BG514" s="272"/>
      <c r="BH514" s="272"/>
      <c r="BI514" s="272"/>
      <c r="BJ514" s="272"/>
      <c r="BK514" s="272"/>
      <c r="BL514" s="272"/>
      <c r="BM514" s="272"/>
      <c r="BN514" s="284"/>
      <c r="BO514" s="276">
        <v>42200</v>
      </c>
      <c r="BP514" s="272"/>
      <c r="BQ514" s="272"/>
      <c r="BR514" s="272"/>
      <c r="BS514" s="272"/>
      <c r="BT514" s="284"/>
      <c r="BU514" s="276">
        <v>42200</v>
      </c>
      <c r="BV514" s="284"/>
      <c r="BW514" s="276">
        <v>42200</v>
      </c>
      <c r="BX514" s="284"/>
      <c r="BY514" s="276">
        <v>42200</v>
      </c>
      <c r="BZ514" s="272"/>
      <c r="CA514" s="272"/>
      <c r="CB514" s="272"/>
      <c r="CC514" s="272"/>
      <c r="CD514" s="269">
        <v>7.5</v>
      </c>
      <c r="CE514" s="274">
        <v>42191</v>
      </c>
      <c r="CF514" s="272"/>
      <c r="CG514" s="272"/>
      <c r="CH514" s="272"/>
      <c r="CI514" s="272"/>
      <c r="CJ514" s="272"/>
      <c r="CK514" s="272"/>
      <c r="CL514" s="272"/>
      <c r="CM514" s="278">
        <v>7</v>
      </c>
      <c r="CN514" s="276">
        <v>42180</v>
      </c>
      <c r="CO514" s="272" t="s">
        <v>8447</v>
      </c>
    </row>
    <row r="515" spans="1:93" ht="15">
      <c r="A515" s="124" t="s">
        <v>7665</v>
      </c>
      <c r="B515" s="161" t="s">
        <v>7514</v>
      </c>
      <c r="C515" s="268" t="s">
        <v>269</v>
      </c>
      <c r="D515" s="243">
        <v>1</v>
      </c>
      <c r="E515" s="183">
        <v>79</v>
      </c>
      <c r="F515" s="244">
        <v>4</v>
      </c>
      <c r="G515" s="245">
        <v>12</v>
      </c>
      <c r="L515" s="254">
        <v>9</v>
      </c>
      <c r="N515" s="246">
        <v>4.6500000000000004</v>
      </c>
      <c r="O515" s="159">
        <v>42191</v>
      </c>
      <c r="T515" s="247">
        <v>13.08</v>
      </c>
      <c r="U515" s="256">
        <v>42200</v>
      </c>
      <c r="V515" s="145">
        <v>18.5</v>
      </c>
      <c r="W515" s="159">
        <v>42191</v>
      </c>
      <c r="AD515" s="145">
        <f>(N515/V515)*(((100-CD515)/100)*((100-2)/100))*100</f>
        <v>22.98205945945946</v>
      </c>
      <c r="AF515" s="248">
        <v>26.27</v>
      </c>
      <c r="AG515" s="159">
        <v>42191</v>
      </c>
      <c r="AJ515" s="249">
        <v>150</v>
      </c>
      <c r="AN515" s="250">
        <v>102</v>
      </c>
      <c r="BB515" s="257">
        <v>5</v>
      </c>
      <c r="BN515" s="251">
        <v>63.978000000000002</v>
      </c>
      <c r="BO515" s="256">
        <v>42200</v>
      </c>
      <c r="BT515" s="251">
        <v>49.803497314453125</v>
      </c>
      <c r="BU515" s="256">
        <v>42200</v>
      </c>
      <c r="BV515" s="251">
        <v>17.915151596069336</v>
      </c>
      <c r="BW515" s="256">
        <v>42200</v>
      </c>
      <c r="BX515" s="251">
        <v>20.437999999999999</v>
      </c>
      <c r="BY515" s="256">
        <v>42200</v>
      </c>
      <c r="CD515" s="253">
        <v>6.7</v>
      </c>
      <c r="CE515" s="159">
        <v>42191</v>
      </c>
      <c r="CM515" s="255">
        <v>3</v>
      </c>
      <c r="CN515" s="256">
        <v>42180</v>
      </c>
      <c r="CO515" s="140" t="s">
        <v>8447</v>
      </c>
    </row>
    <row r="516" spans="1:93" ht="15">
      <c r="A516" s="124" t="s">
        <v>7766</v>
      </c>
      <c r="B516" s="161" t="s">
        <v>7586</v>
      </c>
      <c r="C516" s="268" t="s">
        <v>267</v>
      </c>
      <c r="D516" s="243">
        <v>4</v>
      </c>
      <c r="E516" s="183">
        <v>180</v>
      </c>
      <c r="F516" s="244">
        <v>24</v>
      </c>
      <c r="G516" s="245">
        <v>12</v>
      </c>
      <c r="L516" s="254">
        <v>9</v>
      </c>
      <c r="N516" s="246">
        <v>4.7300000000000004</v>
      </c>
      <c r="O516" s="159">
        <v>42191</v>
      </c>
      <c r="T516" s="247">
        <v>13.43</v>
      </c>
      <c r="U516" s="256">
        <v>42200</v>
      </c>
      <c r="V516" s="145">
        <v>18.5</v>
      </c>
      <c r="W516" s="159">
        <v>42191</v>
      </c>
      <c r="AD516" s="145">
        <f>(N516/V516)*(((100-CD516)/100)*((100-2)/100))*100</f>
        <v>23.026662702702701</v>
      </c>
      <c r="AF516" s="248">
        <v>26.32</v>
      </c>
      <c r="AG516" s="159">
        <v>42191</v>
      </c>
      <c r="AJ516" s="249">
        <v>140</v>
      </c>
      <c r="AN516" s="250">
        <v>103</v>
      </c>
      <c r="BB516" s="257">
        <v>7</v>
      </c>
      <c r="BN516" s="251">
        <v>63.066000000000003</v>
      </c>
      <c r="BO516" s="256">
        <v>42200</v>
      </c>
      <c r="BT516" s="251">
        <v>51.038436889648438</v>
      </c>
      <c r="BU516" s="256">
        <v>42200</v>
      </c>
      <c r="BV516" s="251">
        <v>15.780513763427734</v>
      </c>
      <c r="BW516" s="256">
        <v>42200</v>
      </c>
      <c r="BX516" s="251">
        <v>17.309000000000001</v>
      </c>
      <c r="BY516" s="256">
        <v>42200</v>
      </c>
      <c r="CD516" s="253">
        <v>8.1</v>
      </c>
      <c r="CE516" s="159">
        <v>42191</v>
      </c>
      <c r="CM516" s="255">
        <v>1</v>
      </c>
      <c r="CN516" s="256">
        <v>42180</v>
      </c>
      <c r="CO516" s="140" t="s">
        <v>8447</v>
      </c>
    </row>
    <row r="517" spans="1:93" ht="15">
      <c r="A517" s="124" t="s">
        <v>7663</v>
      </c>
      <c r="B517" s="161" t="s">
        <v>7512</v>
      </c>
      <c r="C517" s="268" t="s">
        <v>269</v>
      </c>
      <c r="D517" s="243">
        <v>1</v>
      </c>
      <c r="E517" s="183">
        <v>77</v>
      </c>
      <c r="F517" s="244">
        <v>3</v>
      </c>
      <c r="G517" s="245">
        <v>6</v>
      </c>
      <c r="L517" s="254">
        <v>6</v>
      </c>
      <c r="N517" s="246">
        <v>4.68</v>
      </c>
      <c r="O517" s="159">
        <v>42191</v>
      </c>
      <c r="T517" s="247">
        <v>13.87</v>
      </c>
      <c r="U517" s="256">
        <v>42200</v>
      </c>
      <c r="V517" s="145">
        <v>18.5</v>
      </c>
      <c r="W517" s="159">
        <v>42191</v>
      </c>
      <c r="AD517" s="145">
        <f>(N517/V517)*(((100-CD517)/100)*((100-2)/100))*100</f>
        <v>23.031165405405403</v>
      </c>
      <c r="AF517" s="248">
        <f>(N517/V517)*(((100-CD517)/(100-9))*100)</f>
        <v>25.825482625482625</v>
      </c>
      <c r="AG517" s="159">
        <v>42191</v>
      </c>
      <c r="AJ517" s="249">
        <v>150</v>
      </c>
      <c r="AN517" s="250">
        <v>107</v>
      </c>
      <c r="BB517" s="257">
        <v>7</v>
      </c>
      <c r="BN517" s="251">
        <v>63.542000000000002</v>
      </c>
      <c r="BO517" s="256">
        <v>42200</v>
      </c>
      <c r="BT517" s="251">
        <v>52.690200805664063</v>
      </c>
      <c r="BU517" s="256">
        <v>42200</v>
      </c>
      <c r="BV517" s="251">
        <v>15.172122955322266</v>
      </c>
      <c r="BW517" s="256">
        <v>42200</v>
      </c>
      <c r="BX517" s="251">
        <v>11.73</v>
      </c>
      <c r="BY517" s="256">
        <v>42200</v>
      </c>
      <c r="CD517" s="253">
        <v>7.1</v>
      </c>
      <c r="CE517" s="159">
        <v>42191</v>
      </c>
      <c r="CM517" s="255">
        <v>1</v>
      </c>
      <c r="CN517" s="256">
        <v>42180</v>
      </c>
      <c r="CO517" s="140" t="s">
        <v>8447</v>
      </c>
    </row>
    <row r="518" spans="1:93" ht="15">
      <c r="A518" s="124" t="s">
        <v>7596</v>
      </c>
      <c r="B518" s="161" t="s">
        <v>7454</v>
      </c>
      <c r="C518" s="268" t="s">
        <v>269</v>
      </c>
      <c r="D518" s="243">
        <v>1</v>
      </c>
      <c r="E518" s="183">
        <v>10</v>
      </c>
      <c r="F518" s="244">
        <v>3</v>
      </c>
      <c r="G518" s="245">
        <v>13</v>
      </c>
      <c r="J518" s="266"/>
      <c r="L518" s="254">
        <v>8</v>
      </c>
      <c r="N518" s="246">
        <v>4.67</v>
      </c>
      <c r="O518" s="159">
        <v>42191</v>
      </c>
      <c r="P518" s="144"/>
      <c r="R518" s="145"/>
      <c r="T518" s="247">
        <v>13.23</v>
      </c>
      <c r="U518" s="256">
        <v>42200</v>
      </c>
      <c r="V518" s="145">
        <v>18.5</v>
      </c>
      <c r="W518" s="159">
        <v>42191</v>
      </c>
      <c r="X518" s="145"/>
      <c r="Z518" s="145"/>
      <c r="AB518" s="145"/>
      <c r="AD518" s="145">
        <f>(N518/V518)*(((100-CD518)/100)*((100-2)/100))*100</f>
        <v>23.031430270270267</v>
      </c>
      <c r="AF518" s="248">
        <f>(N518/V518)*(((100-CD518)/(100-9))*100)</f>
        <v>25.825779625779621</v>
      </c>
      <c r="AG518" s="159">
        <v>42191</v>
      </c>
      <c r="AJ518" s="249">
        <v>140</v>
      </c>
      <c r="AL518" s="145"/>
      <c r="AN518" s="250">
        <v>96</v>
      </c>
      <c r="BB518" s="257">
        <v>5</v>
      </c>
      <c r="BN518" s="251">
        <v>62.606000000000002</v>
      </c>
      <c r="BO518" s="256">
        <v>42200</v>
      </c>
      <c r="BT518" s="251">
        <v>50.234375</v>
      </c>
      <c r="BU518" s="256">
        <v>42200</v>
      </c>
      <c r="BV518" s="251">
        <v>19.224058151245117</v>
      </c>
      <c r="BW518" s="256">
        <v>42200</v>
      </c>
      <c r="BX518" s="251">
        <v>60.798999999999999</v>
      </c>
      <c r="BY518" s="256">
        <v>42200</v>
      </c>
      <c r="CD518" s="253">
        <v>6.9</v>
      </c>
      <c r="CE518" s="159">
        <v>42191</v>
      </c>
      <c r="CM518" s="255">
        <v>1</v>
      </c>
      <c r="CN518" s="256">
        <v>42180</v>
      </c>
      <c r="CO518" s="140" t="s">
        <v>8447</v>
      </c>
    </row>
    <row r="519" spans="1:93" ht="15">
      <c r="A519" s="124" t="s">
        <v>7722</v>
      </c>
      <c r="B519" s="161" t="s">
        <v>7554</v>
      </c>
      <c r="C519" s="268" t="s">
        <v>267</v>
      </c>
      <c r="D519" s="243">
        <v>4</v>
      </c>
      <c r="E519" s="183">
        <v>136</v>
      </c>
      <c r="F519" s="244">
        <v>20</v>
      </c>
      <c r="G519" s="245">
        <v>1</v>
      </c>
      <c r="L519" s="254">
        <v>8</v>
      </c>
      <c r="N519" s="246">
        <v>4.79</v>
      </c>
      <c r="O519" s="159">
        <v>42191</v>
      </c>
      <c r="T519" s="247">
        <v>13.4</v>
      </c>
      <c r="U519" s="256">
        <v>42200</v>
      </c>
      <c r="V519" s="145">
        <v>18.5</v>
      </c>
      <c r="W519" s="159">
        <v>42191</v>
      </c>
      <c r="AD519" s="145">
        <f>(N519/V519)*(((100-CD519)/100)*((100-2)/100))*100</f>
        <v>23.065015135135138</v>
      </c>
      <c r="AF519" s="248">
        <f>(N519/V519)*(((100-CD519)/(100-9))*100)</f>
        <v>25.863439263439268</v>
      </c>
      <c r="AG519" s="159">
        <v>42191</v>
      </c>
      <c r="AJ519" s="249">
        <v>105</v>
      </c>
      <c r="AN519" s="250">
        <v>107</v>
      </c>
      <c r="BB519" s="257">
        <v>9</v>
      </c>
      <c r="BN519" s="251">
        <v>66.284000000000006</v>
      </c>
      <c r="BO519" s="256">
        <v>42200</v>
      </c>
      <c r="BT519" s="251">
        <v>50.797523498535156</v>
      </c>
      <c r="BU519" s="256">
        <v>42200</v>
      </c>
      <c r="BV519" s="251">
        <v>16.509456634521484</v>
      </c>
      <c r="BW519" s="256">
        <v>42200</v>
      </c>
      <c r="BX519" s="251">
        <v>18.731999999999999</v>
      </c>
      <c r="BY519" s="256">
        <v>42200</v>
      </c>
      <c r="CD519" s="253">
        <v>9.1</v>
      </c>
      <c r="CE519" s="159">
        <v>42191</v>
      </c>
      <c r="CM519" s="255">
        <v>1</v>
      </c>
      <c r="CN519" s="256">
        <v>42180</v>
      </c>
      <c r="CO519" s="140" t="s">
        <v>8447</v>
      </c>
    </row>
    <row r="520" spans="1:93" ht="15">
      <c r="A520" s="124" t="s">
        <v>7524</v>
      </c>
      <c r="B520" s="161" t="s">
        <v>7524</v>
      </c>
      <c r="C520" s="268" t="s">
        <v>269</v>
      </c>
      <c r="D520" s="243">
        <v>2</v>
      </c>
      <c r="E520" s="191">
        <v>186</v>
      </c>
      <c r="F520" s="244">
        <v>9</v>
      </c>
      <c r="G520" s="245">
        <v>22</v>
      </c>
      <c r="L520" s="254">
        <v>7</v>
      </c>
      <c r="N520" s="246">
        <v>4.6900000000000004</v>
      </c>
      <c r="O520" s="159">
        <v>42191</v>
      </c>
      <c r="T520" s="247">
        <v>13.09</v>
      </c>
      <c r="U520" s="256">
        <v>42200</v>
      </c>
      <c r="V520" s="145">
        <v>18.5</v>
      </c>
      <c r="W520" s="159">
        <v>42191</v>
      </c>
      <c r="AD520" s="145">
        <f>(N520/V520)*(((100-CD520)/100)*((100-2)/100))*100</f>
        <v>23.0803772972973</v>
      </c>
      <c r="AF520" s="248">
        <v>26.38</v>
      </c>
      <c r="AG520" s="159">
        <v>42191</v>
      </c>
      <c r="AJ520" s="249">
        <v>115</v>
      </c>
      <c r="AN520" s="250">
        <v>100</v>
      </c>
      <c r="BB520" s="257">
        <v>9</v>
      </c>
      <c r="BN520" s="251">
        <v>64.36</v>
      </c>
      <c r="BO520" s="256">
        <v>42200</v>
      </c>
      <c r="BT520" s="251">
        <v>49.621322631835938</v>
      </c>
      <c r="BU520" s="256">
        <v>42200</v>
      </c>
      <c r="BV520" s="251">
        <v>19.106496810913086</v>
      </c>
      <c r="BW520" s="256">
        <v>42200</v>
      </c>
      <c r="BX520" s="251">
        <v>15.891999999999999</v>
      </c>
      <c r="BY520" s="256">
        <v>42200</v>
      </c>
      <c r="CD520" s="253">
        <v>7.1</v>
      </c>
      <c r="CE520" s="159">
        <v>42191</v>
      </c>
      <c r="CM520" s="255">
        <v>3</v>
      </c>
      <c r="CN520" s="256">
        <v>42180</v>
      </c>
      <c r="CO520" s="140" t="s">
        <v>8448</v>
      </c>
    </row>
    <row r="521" spans="1:93" ht="15">
      <c r="A521" s="124" t="s">
        <v>7699</v>
      </c>
      <c r="B521" s="161" t="s">
        <v>7545</v>
      </c>
      <c r="C521" s="268" t="s">
        <v>269</v>
      </c>
      <c r="D521" s="243">
        <v>2</v>
      </c>
      <c r="E521" s="183">
        <v>113</v>
      </c>
      <c r="F521" s="244">
        <v>10</v>
      </c>
      <c r="G521" s="245">
        <v>2</v>
      </c>
      <c r="L521" s="254">
        <v>6</v>
      </c>
      <c r="N521" s="246">
        <v>4.6900000000000004</v>
      </c>
      <c r="O521" s="159">
        <v>42191</v>
      </c>
      <c r="T521" s="247">
        <v>12.86</v>
      </c>
      <c r="U521" s="256">
        <v>42200</v>
      </c>
      <c r="V521" s="145">
        <v>18.5</v>
      </c>
      <c r="W521" s="159">
        <v>42191</v>
      </c>
      <c r="AD521" s="145">
        <f>(N521/V521)*(((100-CD521)/100)*((100-2)/100))*100</f>
        <v>23.0803772972973</v>
      </c>
      <c r="AF521" s="248">
        <f>(N521/V521)*(((100-CD521)/(100-9))*100)</f>
        <v>25.880665280665287</v>
      </c>
      <c r="AG521" s="159">
        <v>42191</v>
      </c>
      <c r="AJ521" s="249">
        <v>135</v>
      </c>
      <c r="AN521" s="250">
        <v>106</v>
      </c>
      <c r="BB521" s="257">
        <v>7</v>
      </c>
      <c r="BN521" s="251">
        <v>62.137</v>
      </c>
      <c r="BO521" s="256">
        <v>42200</v>
      </c>
      <c r="BT521" s="251">
        <v>48.738540649414063</v>
      </c>
      <c r="BU521" s="256">
        <v>42200</v>
      </c>
      <c r="BV521" s="251">
        <v>18.208652496337891</v>
      </c>
      <c r="BW521" s="256">
        <v>42200</v>
      </c>
      <c r="BX521" s="251">
        <v>21.754999999999999</v>
      </c>
      <c r="BY521" s="256">
        <v>42200</v>
      </c>
      <c r="CD521" s="253">
        <v>7.1</v>
      </c>
      <c r="CE521" s="159">
        <v>42191</v>
      </c>
      <c r="CM521" s="255">
        <v>1</v>
      </c>
      <c r="CN521" s="256">
        <v>42180</v>
      </c>
      <c r="CO521" s="140" t="s">
        <v>8448</v>
      </c>
    </row>
    <row r="522" spans="1:93" ht="15">
      <c r="A522" s="124" t="s">
        <v>7682</v>
      </c>
      <c r="B522" s="161" t="s">
        <v>7529</v>
      </c>
      <c r="C522" s="268" t="s">
        <v>269</v>
      </c>
      <c r="D522" s="243">
        <v>1</v>
      </c>
      <c r="E522" s="183">
        <v>96</v>
      </c>
      <c r="F522" s="244">
        <v>5</v>
      </c>
      <c r="G522" s="245">
        <v>10</v>
      </c>
      <c r="L522" s="254">
        <v>8</v>
      </c>
      <c r="N522" s="246">
        <v>4.6900000000000004</v>
      </c>
      <c r="O522" s="159">
        <v>42191</v>
      </c>
      <c r="T522" s="247">
        <v>13.62</v>
      </c>
      <c r="U522" s="256">
        <v>42200</v>
      </c>
      <c r="V522" s="145">
        <v>18.5</v>
      </c>
      <c r="W522" s="159">
        <v>42191</v>
      </c>
      <c r="AD522" s="145">
        <f>(N522/V522)*(((100-CD522)/100)*((100-2)/100))*100</f>
        <v>23.0803772972973</v>
      </c>
      <c r="AF522" s="248">
        <f>(N522/V522)*(((100-CD522)/(100-9))*100)</f>
        <v>25.880665280665287</v>
      </c>
      <c r="AG522" s="159">
        <v>42191</v>
      </c>
      <c r="AJ522" s="249">
        <v>140</v>
      </c>
      <c r="AN522" s="250">
        <v>103</v>
      </c>
      <c r="BB522" s="257">
        <v>7</v>
      </c>
      <c r="BN522" s="251">
        <v>64.900999999999996</v>
      </c>
      <c r="BO522" s="256">
        <v>42200</v>
      </c>
      <c r="BT522" s="251">
        <v>51.615032196044922</v>
      </c>
      <c r="BU522" s="256">
        <v>42200</v>
      </c>
      <c r="BV522" s="251">
        <v>15.764096260070801</v>
      </c>
      <c r="BW522" s="256">
        <v>42200</v>
      </c>
      <c r="BX522" s="251">
        <v>18.419</v>
      </c>
      <c r="BY522" s="256">
        <v>42200</v>
      </c>
      <c r="CD522" s="253">
        <v>7.1</v>
      </c>
      <c r="CE522" s="159">
        <v>42191</v>
      </c>
      <c r="CM522" s="255">
        <v>1</v>
      </c>
      <c r="CN522" s="256">
        <v>42180</v>
      </c>
      <c r="CO522" s="140" t="s">
        <v>8447</v>
      </c>
    </row>
    <row r="523" spans="1:93" ht="15">
      <c r="A523" s="124" t="s">
        <v>7752</v>
      </c>
      <c r="B523" s="161" t="s">
        <v>7576</v>
      </c>
      <c r="C523" s="268" t="s">
        <v>267</v>
      </c>
      <c r="D523" s="243">
        <v>3</v>
      </c>
      <c r="E523" s="183">
        <v>166</v>
      </c>
      <c r="F523" s="244">
        <v>17</v>
      </c>
      <c r="G523" s="245">
        <v>27</v>
      </c>
      <c r="L523" s="254">
        <v>3</v>
      </c>
      <c r="N523" s="246">
        <v>4.7</v>
      </c>
      <c r="O523" s="159">
        <v>42191</v>
      </c>
      <c r="T523" s="247">
        <v>13.17</v>
      </c>
      <c r="U523" s="256">
        <v>42200</v>
      </c>
      <c r="V523" s="145">
        <v>18.5</v>
      </c>
      <c r="W523" s="159">
        <v>42191</v>
      </c>
      <c r="AD523" s="145">
        <f>(N523/V523)*(((100-CD523)/100)*((100-2)/100))*100</f>
        <v>23.104691891891889</v>
      </c>
      <c r="AF523" s="248">
        <v>26.41</v>
      </c>
      <c r="AG523" s="159">
        <v>42191</v>
      </c>
      <c r="AJ523" s="249">
        <v>115</v>
      </c>
      <c r="AN523" s="250">
        <v>102</v>
      </c>
      <c r="BB523" s="257">
        <v>7</v>
      </c>
      <c r="BN523" s="251">
        <v>66.299000000000007</v>
      </c>
      <c r="BO523" s="256">
        <v>42200</v>
      </c>
      <c r="BT523" s="251">
        <v>49.875732421875</v>
      </c>
      <c r="BU523" s="256">
        <v>42200</v>
      </c>
      <c r="BV523" s="251">
        <v>17.853839874267578</v>
      </c>
      <c r="BW523" s="256">
        <v>42200</v>
      </c>
      <c r="BX523" s="251">
        <v>13.91</v>
      </c>
      <c r="BY523" s="256">
        <v>42200</v>
      </c>
      <c r="CD523" s="253">
        <v>7.2</v>
      </c>
      <c r="CE523" s="159">
        <v>42191</v>
      </c>
      <c r="CM523" s="255">
        <v>3</v>
      </c>
      <c r="CN523" s="256">
        <v>42180</v>
      </c>
      <c r="CO523" s="140" t="s">
        <v>8447</v>
      </c>
    </row>
    <row r="524" spans="1:93" ht="15" customHeight="1">
      <c r="A524" s="137" t="s">
        <v>7551</v>
      </c>
      <c r="B524" s="279" t="s">
        <v>7551</v>
      </c>
      <c r="C524" s="268" t="s">
        <v>267</v>
      </c>
      <c r="D524" s="269">
        <v>3</v>
      </c>
      <c r="E524" s="280">
        <v>24</v>
      </c>
      <c r="F524" s="269"/>
      <c r="G524" s="269"/>
      <c r="H524" s="271">
        <v>14</v>
      </c>
      <c r="I524" s="271">
        <v>4</v>
      </c>
      <c r="J524" s="282"/>
      <c r="K524" s="273"/>
      <c r="L524" s="269">
        <v>8</v>
      </c>
      <c r="M524" s="274"/>
      <c r="N524" s="269">
        <v>4.7699999999999996</v>
      </c>
      <c r="O524" s="274">
        <v>42191</v>
      </c>
      <c r="P524" s="272"/>
      <c r="Q524" s="274"/>
      <c r="R524" s="275"/>
      <c r="S524" s="274"/>
      <c r="T524" s="269">
        <v>13.05</v>
      </c>
      <c r="U524" s="276">
        <v>42200</v>
      </c>
      <c r="V524" s="275">
        <v>18.5</v>
      </c>
      <c r="W524" s="274">
        <v>42191</v>
      </c>
      <c r="X524" s="275"/>
      <c r="Y524" s="274"/>
      <c r="Z524" s="275"/>
      <c r="AA524" s="274"/>
      <c r="AB524" s="275"/>
      <c r="AC524" s="274"/>
      <c r="AD524" s="145">
        <f>(N524/V524)*(((100-CD524)/100)*((100-2)/100))*100</f>
        <v>23.120318918918915</v>
      </c>
      <c r="AE524" s="274"/>
      <c r="AF524" s="269">
        <v>26.43</v>
      </c>
      <c r="AG524" s="274">
        <v>42191</v>
      </c>
      <c r="AH524" s="274"/>
      <c r="AI524" s="274"/>
      <c r="AJ524" s="269">
        <v>130</v>
      </c>
      <c r="AK524" s="274"/>
      <c r="AL524" s="275"/>
      <c r="AM524" s="274"/>
      <c r="AN524" s="269">
        <v>102</v>
      </c>
      <c r="AO524" s="274"/>
      <c r="AP524" s="275"/>
      <c r="AQ524" s="275"/>
      <c r="AR524" s="275"/>
      <c r="AS524" s="275"/>
      <c r="AT524" s="275"/>
      <c r="AU524" s="275"/>
      <c r="AV524" s="275"/>
      <c r="AW524" s="275"/>
      <c r="AX524" s="275"/>
      <c r="AY524" s="275"/>
      <c r="AZ524" s="275"/>
      <c r="BA524" s="275"/>
      <c r="BB524" s="269">
        <v>5</v>
      </c>
      <c r="BC524" s="275"/>
      <c r="BD524" s="275"/>
      <c r="BE524" s="275"/>
      <c r="BF524" s="272"/>
      <c r="BG524" s="272"/>
      <c r="BH524" s="272"/>
      <c r="BI524" s="272"/>
      <c r="BJ524" s="272"/>
      <c r="BK524" s="272"/>
      <c r="BL524" s="272"/>
      <c r="BM524" s="272"/>
      <c r="BN524" s="284">
        <v>60.91</v>
      </c>
      <c r="BO524" s="276">
        <v>42200</v>
      </c>
      <c r="BP524" s="272"/>
      <c r="BQ524" s="272"/>
      <c r="BR524" s="272"/>
      <c r="BS524" s="272"/>
      <c r="BT524" s="284">
        <v>49.39</v>
      </c>
      <c r="BU524" s="276">
        <v>42200</v>
      </c>
      <c r="BV524" s="284">
        <v>18.399261474609375</v>
      </c>
      <c r="BW524" s="276">
        <v>42200</v>
      </c>
      <c r="BX524" s="284">
        <v>21.696999999999999</v>
      </c>
      <c r="BY524" s="276">
        <v>42200</v>
      </c>
      <c r="BZ524" s="272"/>
      <c r="CA524" s="272"/>
      <c r="CB524" s="272"/>
      <c r="CC524" s="272"/>
      <c r="CD524" s="269">
        <v>8.5</v>
      </c>
      <c r="CE524" s="274">
        <v>42191</v>
      </c>
      <c r="CF524" s="272"/>
      <c r="CG524" s="272"/>
      <c r="CH524" s="272"/>
      <c r="CI524" s="272"/>
      <c r="CJ524" s="272"/>
      <c r="CK524" s="272"/>
      <c r="CL524" s="272"/>
      <c r="CM524" s="278">
        <v>9</v>
      </c>
      <c r="CN524" s="276">
        <v>42180</v>
      </c>
      <c r="CO524" s="140" t="s">
        <v>8448</v>
      </c>
    </row>
    <row r="525" spans="1:93" ht="15">
      <c r="A525" s="124" t="s">
        <v>7738</v>
      </c>
      <c r="B525" s="161" t="s">
        <v>7562</v>
      </c>
      <c r="C525" s="268" t="s">
        <v>267</v>
      </c>
      <c r="D525" s="243">
        <v>3</v>
      </c>
      <c r="E525" s="183">
        <v>152</v>
      </c>
      <c r="F525" s="244">
        <v>15</v>
      </c>
      <c r="G525" s="245">
        <v>16</v>
      </c>
      <c r="L525" s="254">
        <v>7</v>
      </c>
      <c r="N525" s="246">
        <v>4.7300000000000004</v>
      </c>
      <c r="O525" s="159">
        <v>42191</v>
      </c>
      <c r="T525" s="247">
        <v>13.13</v>
      </c>
      <c r="U525" s="256">
        <v>42200</v>
      </c>
      <c r="V525" s="145">
        <v>18.5</v>
      </c>
      <c r="W525" s="159">
        <v>42191</v>
      </c>
      <c r="AD525" s="145">
        <f>(N525/V525)*(((100-CD525)/100)*((100-2)/100))*100</f>
        <v>23.126887567567564</v>
      </c>
      <c r="AF525" s="248">
        <v>26.44</v>
      </c>
      <c r="AG525" s="159">
        <v>42191</v>
      </c>
      <c r="AJ525" s="249">
        <v>95</v>
      </c>
      <c r="AN525" s="250">
        <v>102</v>
      </c>
      <c r="BB525" s="257">
        <v>7</v>
      </c>
      <c r="BN525" s="251">
        <v>64.013999999999996</v>
      </c>
      <c r="BO525" s="256">
        <v>42200</v>
      </c>
      <c r="BT525" s="251">
        <v>49.648780822753906</v>
      </c>
      <c r="BU525" s="256">
        <v>42200</v>
      </c>
      <c r="BV525" s="251">
        <v>18.409696578979492</v>
      </c>
      <c r="BW525" s="256">
        <v>42200</v>
      </c>
      <c r="BX525" s="251">
        <v>18.361999999999998</v>
      </c>
      <c r="BY525" s="256">
        <v>42200</v>
      </c>
      <c r="CD525" s="253">
        <v>7.7</v>
      </c>
      <c r="CE525" s="159">
        <v>42191</v>
      </c>
      <c r="CM525" s="255">
        <v>5</v>
      </c>
      <c r="CN525" s="256">
        <v>42180</v>
      </c>
      <c r="CO525" s="140" t="s">
        <v>8447</v>
      </c>
    </row>
    <row r="526" spans="1:93" ht="15">
      <c r="A526" s="124" t="s">
        <v>7752</v>
      </c>
      <c r="B526" s="161" t="s">
        <v>7576</v>
      </c>
      <c r="C526" s="268" t="s">
        <v>267</v>
      </c>
      <c r="D526" s="243">
        <v>4</v>
      </c>
      <c r="E526" s="183">
        <v>166</v>
      </c>
      <c r="F526" s="244">
        <v>24</v>
      </c>
      <c r="G526" s="245">
        <v>14</v>
      </c>
      <c r="L526" s="254">
        <v>9</v>
      </c>
      <c r="N526" s="246">
        <v>4.72</v>
      </c>
      <c r="O526" s="159">
        <v>42191</v>
      </c>
      <c r="T526" s="247">
        <v>13.33</v>
      </c>
      <c r="U526" s="256">
        <v>42200</v>
      </c>
      <c r="V526" s="145">
        <v>18.5</v>
      </c>
      <c r="W526" s="159">
        <v>42191</v>
      </c>
      <c r="AD526" s="145">
        <f>(N526/V526)*(((100-CD526)/100)*((100-2)/100))*100</f>
        <v>23.178006486486488</v>
      </c>
      <c r="AF526" s="248">
        <v>26.5</v>
      </c>
      <c r="AG526" s="159">
        <v>42191</v>
      </c>
      <c r="AJ526" s="249">
        <v>130</v>
      </c>
      <c r="AN526" s="250">
        <v>101</v>
      </c>
      <c r="BB526" s="257">
        <v>7</v>
      </c>
      <c r="BN526" s="251">
        <v>62.674999999999997</v>
      </c>
      <c r="BO526" s="256">
        <v>42200</v>
      </c>
      <c r="BT526" s="251">
        <v>50.286590576171875</v>
      </c>
      <c r="BU526" s="256">
        <v>42200</v>
      </c>
      <c r="BV526" s="251">
        <v>17.813728332519531</v>
      </c>
      <c r="BW526" s="256">
        <v>42200</v>
      </c>
      <c r="BX526" s="251">
        <v>12.442</v>
      </c>
      <c r="BY526" s="256">
        <v>42200</v>
      </c>
      <c r="CD526" s="253">
        <v>7.3</v>
      </c>
      <c r="CE526" s="159">
        <v>42191</v>
      </c>
      <c r="CM526" s="255">
        <v>1</v>
      </c>
      <c r="CN526" s="256">
        <v>42180</v>
      </c>
      <c r="CO526" s="140" t="s">
        <v>8447</v>
      </c>
    </row>
    <row r="527" spans="1:93" ht="15" customHeight="1">
      <c r="A527" s="124" t="s">
        <v>7628</v>
      </c>
      <c r="B527" s="161" t="s">
        <v>7481</v>
      </c>
      <c r="C527" s="268" t="s">
        <v>269</v>
      </c>
      <c r="D527" s="257">
        <v>2</v>
      </c>
      <c r="E527" s="183">
        <v>42</v>
      </c>
      <c r="F527" s="257">
        <v>11</v>
      </c>
      <c r="G527" s="257">
        <v>16</v>
      </c>
      <c r="L527" s="257">
        <v>8</v>
      </c>
      <c r="N527" s="257">
        <v>4.7</v>
      </c>
      <c r="O527" s="159">
        <v>42191</v>
      </c>
      <c r="T527" s="257">
        <v>14.02</v>
      </c>
      <c r="U527" s="256">
        <v>42200</v>
      </c>
      <c r="V527" s="145">
        <v>18.5</v>
      </c>
      <c r="W527" s="159">
        <v>42191</v>
      </c>
      <c r="AD527" s="145">
        <f>(N527/V527)*(((100-CD527)/100)*((100-2)/100))*100</f>
        <v>23.179383783783784</v>
      </c>
      <c r="AF527" s="257">
        <v>26.5</v>
      </c>
      <c r="AG527" s="159">
        <v>42191</v>
      </c>
      <c r="AJ527" s="257">
        <v>140</v>
      </c>
      <c r="AN527" s="257">
        <v>107</v>
      </c>
      <c r="BB527" s="257">
        <v>5</v>
      </c>
      <c r="BN527" s="251">
        <v>63.304000000000002</v>
      </c>
      <c r="BO527" s="256">
        <v>42200</v>
      </c>
      <c r="BT527" s="251">
        <v>52.899482727050781</v>
      </c>
      <c r="BU527" s="256">
        <v>42200</v>
      </c>
      <c r="BV527" s="251">
        <v>15.463626861572266</v>
      </c>
      <c r="BW527" s="256">
        <v>42200</v>
      </c>
      <c r="BX527" s="251">
        <v>15.95</v>
      </c>
      <c r="BY527" s="256">
        <v>42200</v>
      </c>
      <c r="CD527" s="257">
        <v>6.9</v>
      </c>
      <c r="CE527" s="159">
        <v>42191</v>
      </c>
      <c r="CM527" s="255">
        <v>3</v>
      </c>
      <c r="CN527" s="256">
        <v>42180</v>
      </c>
      <c r="CO527" s="140" t="s">
        <v>8448</v>
      </c>
    </row>
    <row r="528" spans="1:93" ht="15" customHeight="1">
      <c r="A528" s="124" t="s">
        <v>7743</v>
      </c>
      <c r="B528" s="161" t="s">
        <v>7567</v>
      </c>
      <c r="C528" s="268" t="s">
        <v>267</v>
      </c>
      <c r="D528" s="257">
        <v>3</v>
      </c>
      <c r="E528" s="183">
        <v>157</v>
      </c>
      <c r="F528" s="257">
        <v>18</v>
      </c>
      <c r="G528" s="257">
        <v>18</v>
      </c>
      <c r="L528" s="257">
        <v>6</v>
      </c>
      <c r="N528" s="257">
        <v>4.7300000000000004</v>
      </c>
      <c r="O528" s="159">
        <v>42191</v>
      </c>
      <c r="T528" s="257">
        <v>13.46</v>
      </c>
      <c r="U528" s="256">
        <v>42200</v>
      </c>
      <c r="V528" s="145">
        <v>18.5</v>
      </c>
      <c r="W528" s="159">
        <v>42191</v>
      </c>
      <c r="AD528" s="145">
        <f>(N528/V528)*(((100-CD528)/100)*((100-2)/100))*100</f>
        <v>23.202056216216217</v>
      </c>
      <c r="AF528" s="257">
        <v>26.52</v>
      </c>
      <c r="AG528" s="159">
        <v>42191</v>
      </c>
      <c r="AJ528" s="257">
        <v>120</v>
      </c>
      <c r="AN528" s="257">
        <v>106</v>
      </c>
      <c r="BB528" s="257">
        <v>7</v>
      </c>
      <c r="BN528" s="251">
        <v>63.076999999999998</v>
      </c>
      <c r="BO528" s="256">
        <v>42200</v>
      </c>
      <c r="BT528" s="251">
        <v>50.746131896972656</v>
      </c>
      <c r="BU528" s="256">
        <v>42200</v>
      </c>
      <c r="BV528" s="251">
        <v>18.557140350341797</v>
      </c>
      <c r="BW528" s="256">
        <v>42200</v>
      </c>
      <c r="BX528" s="251">
        <v>16.908999999999999</v>
      </c>
      <c r="BY528" s="256">
        <v>42200</v>
      </c>
      <c r="CD528" s="257">
        <v>7.4</v>
      </c>
      <c r="CE528" s="159">
        <v>42191</v>
      </c>
      <c r="CM528" s="255">
        <v>3</v>
      </c>
      <c r="CN528" s="256">
        <v>42180</v>
      </c>
      <c r="CO528" s="140" t="s">
        <v>8447</v>
      </c>
    </row>
    <row r="529" spans="1:93" ht="15">
      <c r="A529" s="124" t="s">
        <v>7524</v>
      </c>
      <c r="B529" s="161" t="s">
        <v>7524</v>
      </c>
      <c r="C529" s="268" t="s">
        <v>269</v>
      </c>
      <c r="D529" s="243">
        <v>2</v>
      </c>
      <c r="E529" s="191">
        <v>187</v>
      </c>
      <c r="F529" s="244">
        <v>7</v>
      </c>
      <c r="G529" s="245">
        <v>5</v>
      </c>
      <c r="L529" s="254">
        <v>8</v>
      </c>
      <c r="N529" s="246">
        <v>4.71</v>
      </c>
      <c r="O529" s="159">
        <v>42191</v>
      </c>
      <c r="T529" s="247">
        <v>13.87</v>
      </c>
      <c r="U529" s="256">
        <v>42200</v>
      </c>
      <c r="V529" s="145">
        <v>18.5</v>
      </c>
      <c r="W529" s="159">
        <v>42191</v>
      </c>
      <c r="AD529" s="145">
        <f>(N529/V529)*(((100-CD529)/100)*((100-2)/100))*100</f>
        <v>23.20375135135135</v>
      </c>
      <c r="AF529" s="248">
        <f>(N529/V529)*(((100-CD529)/(100-9))*100)</f>
        <v>26.01900801900802</v>
      </c>
      <c r="AG529" s="159">
        <v>42191</v>
      </c>
      <c r="AJ529" s="249">
        <v>125</v>
      </c>
      <c r="AN529" s="250">
        <v>99</v>
      </c>
      <c r="BB529" s="257">
        <v>7</v>
      </c>
      <c r="BN529" s="251">
        <v>64.372</v>
      </c>
      <c r="BO529" s="256">
        <v>42200</v>
      </c>
      <c r="BT529" s="251">
        <v>52.271274566650391</v>
      </c>
      <c r="BU529" s="256">
        <v>42200</v>
      </c>
      <c r="BV529" s="251">
        <v>17.167398452758789</v>
      </c>
      <c r="BW529" s="256">
        <v>42200</v>
      </c>
      <c r="BX529" s="251">
        <v>11.906000000000001</v>
      </c>
      <c r="BY529" s="256">
        <v>42200</v>
      </c>
      <c r="CD529" s="253">
        <v>7</v>
      </c>
      <c r="CE529" s="159">
        <v>42191</v>
      </c>
      <c r="CM529" s="255">
        <v>1</v>
      </c>
      <c r="CN529" s="256">
        <v>42180</v>
      </c>
      <c r="CO529" s="140" t="s">
        <v>8448</v>
      </c>
    </row>
    <row r="530" spans="1:93" ht="15">
      <c r="A530" s="124" t="s">
        <v>7731</v>
      </c>
      <c r="B530" s="161" t="s">
        <v>8250</v>
      </c>
      <c r="C530" s="268" t="s">
        <v>267</v>
      </c>
      <c r="D530" s="243">
        <v>4</v>
      </c>
      <c r="E530" s="183">
        <v>145</v>
      </c>
      <c r="F530" s="244">
        <v>22</v>
      </c>
      <c r="G530" s="245">
        <v>8</v>
      </c>
      <c r="L530" s="254">
        <v>8</v>
      </c>
      <c r="N530" s="246">
        <v>4.8099999999999996</v>
      </c>
      <c r="O530" s="159">
        <v>42191</v>
      </c>
      <c r="T530" s="247">
        <v>13.81</v>
      </c>
      <c r="U530" s="256">
        <v>42200</v>
      </c>
      <c r="V530" s="145">
        <v>18.5</v>
      </c>
      <c r="W530" s="159">
        <v>42191</v>
      </c>
      <c r="AD530" s="145">
        <f>(N530/V530)*(((100-CD530)/100)*((100-2)/100))*100</f>
        <v>23.237759999999994</v>
      </c>
      <c r="AF530" s="248">
        <f>(N530/V530)*(((100-CD530)/(100-9))*100)</f>
        <v>26.057142857142853</v>
      </c>
      <c r="AG530" s="159">
        <v>42191</v>
      </c>
      <c r="AJ530" s="249">
        <v>130</v>
      </c>
      <c r="AN530" s="250">
        <v>103</v>
      </c>
      <c r="BB530" s="257">
        <v>7</v>
      </c>
      <c r="BN530" s="251">
        <v>63.552999999999997</v>
      </c>
      <c r="BO530" s="256">
        <v>42200</v>
      </c>
      <c r="BT530" s="251">
        <v>52.003501892089844</v>
      </c>
      <c r="BU530" s="256">
        <v>42200</v>
      </c>
      <c r="BV530" s="251">
        <v>15.583268165588379</v>
      </c>
      <c r="BW530" s="256">
        <v>42200</v>
      </c>
      <c r="BX530" s="251">
        <v>15.157999999999999</v>
      </c>
      <c r="BY530" s="256">
        <v>42200</v>
      </c>
      <c r="CD530" s="253">
        <v>8.8000000000000007</v>
      </c>
      <c r="CE530" s="159">
        <v>42191</v>
      </c>
      <c r="CM530" s="255">
        <v>1</v>
      </c>
      <c r="CN530" s="256">
        <v>42180</v>
      </c>
      <c r="CO530" s="140" t="s">
        <v>8447</v>
      </c>
    </row>
    <row r="531" spans="1:93" ht="15">
      <c r="A531" s="124" t="s">
        <v>7635</v>
      </c>
      <c r="B531" s="161" t="s">
        <v>7487</v>
      </c>
      <c r="C531" s="268" t="s">
        <v>267</v>
      </c>
      <c r="D531" s="243">
        <v>4</v>
      </c>
      <c r="E531" s="183">
        <v>49</v>
      </c>
      <c r="F531" s="244">
        <v>23</v>
      </c>
      <c r="G531" s="245">
        <v>20</v>
      </c>
      <c r="L531" s="254">
        <v>6</v>
      </c>
      <c r="N531" s="246">
        <v>4.74</v>
      </c>
      <c r="O531" s="159">
        <v>42191</v>
      </c>
      <c r="T531" s="247">
        <v>13.19</v>
      </c>
      <c r="U531" s="256">
        <v>42200</v>
      </c>
      <c r="V531" s="145">
        <v>18.5</v>
      </c>
      <c r="W531" s="159">
        <v>42191</v>
      </c>
      <c r="AD531" s="145">
        <f>(N531/V531)*(((100-CD531)/100)*((100-2)/100))*100</f>
        <v>23.251109189189187</v>
      </c>
      <c r="AF531" s="248">
        <v>26.58</v>
      </c>
      <c r="AG531" s="159">
        <v>42191</v>
      </c>
      <c r="AJ531" s="249">
        <v>135</v>
      </c>
      <c r="AN531" s="250">
        <v>105</v>
      </c>
      <c r="BB531" s="257">
        <v>7</v>
      </c>
      <c r="BN531" s="251">
        <v>65.909000000000006</v>
      </c>
      <c r="BO531" s="256">
        <v>42200</v>
      </c>
      <c r="BT531" s="251">
        <v>49.613273620605469</v>
      </c>
      <c r="BU531" s="256">
        <v>42200</v>
      </c>
      <c r="BV531" s="251">
        <v>18.174800872802734</v>
      </c>
      <c r="BW531" s="256">
        <v>42200</v>
      </c>
      <c r="BX531" s="251">
        <v>16.831</v>
      </c>
      <c r="BY531" s="256">
        <v>42200</v>
      </c>
      <c r="CD531" s="253">
        <v>7.4</v>
      </c>
      <c r="CE531" s="159">
        <v>42191</v>
      </c>
      <c r="CM531" s="255">
        <v>5</v>
      </c>
      <c r="CN531" s="256">
        <v>42180</v>
      </c>
      <c r="CO531" s="140" t="s">
        <v>8447</v>
      </c>
    </row>
    <row r="532" spans="1:93" ht="15">
      <c r="A532" s="124" t="s">
        <v>7686</v>
      </c>
      <c r="B532" s="161" t="s">
        <v>7533</v>
      </c>
      <c r="C532" s="268" t="s">
        <v>269</v>
      </c>
      <c r="D532" s="243">
        <v>2</v>
      </c>
      <c r="E532" s="183">
        <v>100</v>
      </c>
      <c r="F532" s="244">
        <v>9</v>
      </c>
      <c r="G532" s="245">
        <v>18</v>
      </c>
      <c r="L532" s="254">
        <v>5</v>
      </c>
      <c r="N532" s="246">
        <v>4.76</v>
      </c>
      <c r="O532" s="159">
        <v>42191</v>
      </c>
      <c r="T532" s="247">
        <v>12.76</v>
      </c>
      <c r="U532" s="256">
        <v>42200</v>
      </c>
      <c r="V532" s="145">
        <v>18.5</v>
      </c>
      <c r="W532" s="159">
        <v>42191</v>
      </c>
      <c r="AD532" s="145">
        <f>(N532/V532)*(((100-CD532)/100)*((100-2)/100))*100</f>
        <v>23.273569729729726</v>
      </c>
      <c r="AF532" s="248">
        <v>26.6</v>
      </c>
      <c r="AG532" s="159">
        <v>42191</v>
      </c>
      <c r="AJ532" s="249">
        <v>130</v>
      </c>
      <c r="AN532" s="250">
        <v>102</v>
      </c>
      <c r="BB532" s="257">
        <v>7</v>
      </c>
      <c r="BN532" s="251">
        <v>65.028000000000006</v>
      </c>
      <c r="BO532" s="256">
        <v>42200</v>
      </c>
      <c r="BT532" s="251">
        <v>47.968280792236328</v>
      </c>
      <c r="BU532" s="256">
        <v>42200</v>
      </c>
      <c r="BV532" s="251">
        <v>19.410465240478516</v>
      </c>
      <c r="BW532" s="256">
        <v>42200</v>
      </c>
      <c r="BX532" s="251">
        <v>17.454000000000001</v>
      </c>
      <c r="BY532" s="256">
        <v>42200</v>
      </c>
      <c r="CD532" s="253">
        <v>7.7</v>
      </c>
      <c r="CE532" s="159">
        <v>42191</v>
      </c>
      <c r="CM532" s="255">
        <v>3</v>
      </c>
      <c r="CN532" s="256">
        <v>42180</v>
      </c>
      <c r="CO532" s="140" t="s">
        <v>8448</v>
      </c>
    </row>
    <row r="533" spans="1:93" ht="15">
      <c r="A533" s="124" t="s">
        <v>7710</v>
      </c>
      <c r="B533" s="161" t="s">
        <v>7549</v>
      </c>
      <c r="C533" s="268" t="s">
        <v>267</v>
      </c>
      <c r="D533" s="243">
        <v>3</v>
      </c>
      <c r="E533" s="183">
        <v>124</v>
      </c>
      <c r="F533" s="244">
        <v>18</v>
      </c>
      <c r="G533" s="245">
        <v>11</v>
      </c>
      <c r="L533" s="254">
        <v>9</v>
      </c>
      <c r="N533" s="246">
        <v>4.78</v>
      </c>
      <c r="O533" s="159">
        <v>42191</v>
      </c>
      <c r="T533" s="247">
        <v>13.79</v>
      </c>
      <c r="U533" s="256">
        <v>42200</v>
      </c>
      <c r="V533" s="145">
        <v>18.5</v>
      </c>
      <c r="W533" s="159">
        <v>42191</v>
      </c>
      <c r="AD533" s="145">
        <f>(N533/V533)*(((100-CD533)/100)*((100-2)/100))*100</f>
        <v>23.295394594594597</v>
      </c>
      <c r="AF533" s="248">
        <v>26.63</v>
      </c>
      <c r="AG533" s="159">
        <v>42191</v>
      </c>
      <c r="AJ533" s="249">
        <v>100</v>
      </c>
      <c r="AN533" s="250">
        <v>101</v>
      </c>
      <c r="BB533" s="257">
        <v>3</v>
      </c>
      <c r="BN533" s="251">
        <v>64.790000000000006</v>
      </c>
      <c r="BO533" s="256">
        <v>42200</v>
      </c>
      <c r="BT533" s="251">
        <v>51.77423095703125</v>
      </c>
      <c r="BU533" s="256">
        <v>42200</v>
      </c>
      <c r="BV533" s="251">
        <v>17.170204162597656</v>
      </c>
      <c r="BW533" s="256">
        <v>42200</v>
      </c>
      <c r="BX533" s="251">
        <v>19.027000000000001</v>
      </c>
      <c r="BY533" s="256">
        <v>42200</v>
      </c>
      <c r="CD533" s="253">
        <v>8</v>
      </c>
      <c r="CE533" s="159">
        <v>42191</v>
      </c>
      <c r="CM533" s="255">
        <v>3</v>
      </c>
      <c r="CN533" s="256">
        <v>42180</v>
      </c>
      <c r="CO533" s="140" t="s">
        <v>8447</v>
      </c>
    </row>
    <row r="534" spans="1:93" ht="15">
      <c r="A534" s="124" t="s">
        <v>7727</v>
      </c>
      <c r="B534" s="161" t="s">
        <v>7555</v>
      </c>
      <c r="C534" s="268" t="s">
        <v>267</v>
      </c>
      <c r="D534" s="243">
        <v>3</v>
      </c>
      <c r="E534" s="183">
        <v>141</v>
      </c>
      <c r="F534" s="244">
        <v>13</v>
      </c>
      <c r="G534" s="245">
        <v>31</v>
      </c>
      <c r="L534" s="254">
        <v>3</v>
      </c>
      <c r="N534" s="246">
        <v>4.76</v>
      </c>
      <c r="O534" s="159">
        <v>42191</v>
      </c>
      <c r="T534" s="247">
        <v>13.73</v>
      </c>
      <c r="U534" s="256">
        <v>42200</v>
      </c>
      <c r="V534" s="145">
        <v>18.5</v>
      </c>
      <c r="W534" s="159">
        <v>42191</v>
      </c>
      <c r="AD534" s="145">
        <f>(N534/V534)*(((100-CD534)/100)*((100-2)/100))*100</f>
        <v>23.298784864864864</v>
      </c>
      <c r="AF534" s="248">
        <v>26.63</v>
      </c>
      <c r="AG534" s="159">
        <v>42191</v>
      </c>
      <c r="AJ534" s="249">
        <v>120</v>
      </c>
      <c r="AN534" s="250">
        <v>104</v>
      </c>
      <c r="BB534" s="257">
        <v>5</v>
      </c>
      <c r="BN534" s="251">
        <v>68.906000000000006</v>
      </c>
      <c r="BO534" s="256">
        <v>42200</v>
      </c>
      <c r="BT534" s="251">
        <v>51.567134857177734</v>
      </c>
      <c r="BU534" s="256">
        <v>42200</v>
      </c>
      <c r="BV534" s="251">
        <v>16.178611755371094</v>
      </c>
      <c r="BW534" s="256">
        <v>42200</v>
      </c>
      <c r="BX534" s="251">
        <v>15.917</v>
      </c>
      <c r="BY534" s="256">
        <v>42200</v>
      </c>
      <c r="CD534" s="253">
        <v>7.6</v>
      </c>
      <c r="CE534" s="159">
        <v>42191</v>
      </c>
      <c r="CM534" s="255">
        <v>3</v>
      </c>
      <c r="CN534" s="256">
        <v>42180</v>
      </c>
      <c r="CO534" s="140" t="s">
        <v>8447</v>
      </c>
    </row>
    <row r="535" spans="1:93" ht="15" customHeight="1">
      <c r="A535" s="137" t="s">
        <v>8460</v>
      </c>
      <c r="B535" s="161" t="s">
        <v>8483</v>
      </c>
      <c r="C535" s="268" t="s">
        <v>269</v>
      </c>
      <c r="D535" s="269">
        <v>1</v>
      </c>
      <c r="E535" s="280">
        <v>11</v>
      </c>
      <c r="F535" s="269"/>
      <c r="G535" s="269"/>
      <c r="H535" s="271">
        <v>5</v>
      </c>
      <c r="I535" s="271">
        <v>3</v>
      </c>
      <c r="J535" s="282"/>
      <c r="K535" s="273"/>
      <c r="L535" s="269">
        <v>9</v>
      </c>
      <c r="M535" s="274"/>
      <c r="N535" s="269">
        <v>4.78</v>
      </c>
      <c r="O535" s="274">
        <v>42191</v>
      </c>
      <c r="P535" s="272"/>
      <c r="Q535" s="274"/>
      <c r="R535" s="275"/>
      <c r="S535" s="274"/>
      <c r="T535" s="269">
        <v>13.18</v>
      </c>
      <c r="U535" s="276">
        <v>42200</v>
      </c>
      <c r="V535" s="275">
        <v>18.5</v>
      </c>
      <c r="W535" s="274">
        <v>42191</v>
      </c>
      <c r="X535" s="275"/>
      <c r="Y535" s="274"/>
      <c r="Z535" s="275"/>
      <c r="AA535" s="274"/>
      <c r="AB535" s="275"/>
      <c r="AC535" s="274"/>
      <c r="AD535" s="145">
        <f>(N535/V535)*(((100-CD535)/100)*((100-2)/100))*100</f>
        <v>23.320715675675675</v>
      </c>
      <c r="AE535" s="274"/>
      <c r="AF535" s="269">
        <v>26.66</v>
      </c>
      <c r="AG535" s="274">
        <v>42191</v>
      </c>
      <c r="AH535" s="274"/>
      <c r="AI535" s="274"/>
      <c r="AJ535" s="269">
        <v>150</v>
      </c>
      <c r="AK535" s="274"/>
      <c r="AL535" s="275"/>
      <c r="AM535" s="274"/>
      <c r="AN535" s="269">
        <v>101</v>
      </c>
      <c r="AO535" s="274"/>
      <c r="AP535" s="275"/>
      <c r="AQ535" s="275"/>
      <c r="AR535" s="275"/>
      <c r="AS535" s="275"/>
      <c r="AT535" s="275"/>
      <c r="AU535" s="275"/>
      <c r="AV535" s="275"/>
      <c r="AW535" s="275"/>
      <c r="AX535" s="275"/>
      <c r="AY535" s="275"/>
      <c r="AZ535" s="275"/>
      <c r="BA535" s="275"/>
      <c r="BB535" s="269">
        <v>7</v>
      </c>
      <c r="BC535" s="275"/>
      <c r="BD535" s="275"/>
      <c r="BE535" s="275"/>
      <c r="BF535" s="272"/>
      <c r="BG535" s="272"/>
      <c r="BH535" s="272"/>
      <c r="BI535" s="272"/>
      <c r="BJ535" s="272"/>
      <c r="BK535" s="272"/>
      <c r="BL535" s="272"/>
      <c r="BM535" s="272"/>
      <c r="BN535" s="284">
        <v>61.954999999999998</v>
      </c>
      <c r="BO535" s="276">
        <v>42200</v>
      </c>
      <c r="BP535" s="272"/>
      <c r="BQ535" s="272"/>
      <c r="BR535" s="272"/>
      <c r="BS535" s="272"/>
      <c r="BT535" s="284">
        <v>49.44</v>
      </c>
      <c r="BU535" s="276">
        <v>42200</v>
      </c>
      <c r="BV535" s="284">
        <v>18.682279586791992</v>
      </c>
      <c r="BW535" s="276">
        <v>42200</v>
      </c>
      <c r="BX535" s="284">
        <v>61.27</v>
      </c>
      <c r="BY535" s="276">
        <v>42200</v>
      </c>
      <c r="BZ535" s="272"/>
      <c r="CA535" s="272"/>
      <c r="CB535" s="272"/>
      <c r="CC535" s="272"/>
      <c r="CD535" s="269">
        <v>7.9</v>
      </c>
      <c r="CE535" s="274">
        <v>42191</v>
      </c>
      <c r="CF535" s="272"/>
      <c r="CG535" s="272"/>
      <c r="CH535" s="272"/>
      <c r="CI535" s="272"/>
      <c r="CJ535" s="272"/>
      <c r="CK535" s="272"/>
      <c r="CL535" s="272"/>
      <c r="CM535" s="278">
        <v>7</v>
      </c>
      <c r="CN535" s="276">
        <v>42180</v>
      </c>
      <c r="CO535" s="272" t="s">
        <v>8447</v>
      </c>
    </row>
    <row r="536" spans="1:93" ht="15" customHeight="1">
      <c r="A536" s="124" t="s">
        <v>8329</v>
      </c>
      <c r="B536" s="161" t="s">
        <v>8329</v>
      </c>
      <c r="C536" s="268" t="s">
        <v>267</v>
      </c>
      <c r="D536" s="257">
        <v>3</v>
      </c>
      <c r="E536" s="191">
        <v>190</v>
      </c>
      <c r="F536" s="257">
        <v>14</v>
      </c>
      <c r="G536" s="257">
        <v>16</v>
      </c>
      <c r="L536" s="257">
        <v>5</v>
      </c>
      <c r="N536" s="257">
        <v>4.75</v>
      </c>
      <c r="O536" s="159">
        <v>42191</v>
      </c>
      <c r="T536" s="257">
        <v>13.68</v>
      </c>
      <c r="U536" s="256">
        <v>42200</v>
      </c>
      <c r="V536" s="145">
        <v>18.5</v>
      </c>
      <c r="W536" s="159">
        <v>42191</v>
      </c>
      <c r="AD536" s="145">
        <f>(N536/V536)*(((100-CD536)/100)*((100-2)/100))*100</f>
        <v>23.350486486486481</v>
      </c>
      <c r="AF536" s="257">
        <v>26.69</v>
      </c>
      <c r="AG536" s="159">
        <v>42191</v>
      </c>
      <c r="AJ536" s="257">
        <v>115</v>
      </c>
      <c r="AN536" s="257">
        <v>101</v>
      </c>
      <c r="BB536" s="257">
        <v>7</v>
      </c>
      <c r="BN536" s="251">
        <v>65.941000000000003</v>
      </c>
      <c r="BO536" s="256">
        <v>42200</v>
      </c>
      <c r="BT536" s="251">
        <v>51.245033264160156</v>
      </c>
      <c r="BU536" s="256">
        <v>42200</v>
      </c>
      <c r="BV536" s="251">
        <v>17.437644958496094</v>
      </c>
      <c r="BW536" s="256">
        <v>42200</v>
      </c>
      <c r="BX536" s="251">
        <v>22.585999999999999</v>
      </c>
      <c r="BY536" s="256">
        <v>42200</v>
      </c>
      <c r="CD536" s="257">
        <v>7.2</v>
      </c>
      <c r="CE536" s="159">
        <v>42191</v>
      </c>
      <c r="CM536" s="255">
        <v>5</v>
      </c>
      <c r="CN536" s="256">
        <v>42180</v>
      </c>
      <c r="CO536" s="140" t="s">
        <v>8447</v>
      </c>
    </row>
    <row r="537" spans="1:93" ht="15" customHeight="1">
      <c r="A537" s="124" t="s">
        <v>7639</v>
      </c>
      <c r="B537" s="161" t="s">
        <v>7491</v>
      </c>
      <c r="C537" s="268" t="s">
        <v>267</v>
      </c>
      <c r="D537" s="257">
        <v>4</v>
      </c>
      <c r="E537" s="183">
        <v>53</v>
      </c>
      <c r="F537" s="257">
        <v>23</v>
      </c>
      <c r="G537" s="257">
        <v>31</v>
      </c>
      <c r="L537" s="257">
        <v>5</v>
      </c>
      <c r="N537" s="257">
        <v>4.7699999999999996</v>
      </c>
      <c r="O537" s="159">
        <v>42191</v>
      </c>
      <c r="T537" s="257">
        <v>13.58</v>
      </c>
      <c r="U537" s="256">
        <v>42200</v>
      </c>
      <c r="V537" s="145">
        <v>18.5</v>
      </c>
      <c r="W537" s="159">
        <v>42191</v>
      </c>
      <c r="AD537" s="145">
        <f>(N537/V537)*(((100-CD537)/100)*((100-2)/100))*100</f>
        <v>23.372999999999998</v>
      </c>
      <c r="AF537" s="257">
        <f>(N537/V537)*(((100-CD537)/(100-9))*100)</f>
        <v>26.208791208791208</v>
      </c>
      <c r="AG537" s="159">
        <v>42191</v>
      </c>
      <c r="AJ537" s="257">
        <v>115</v>
      </c>
      <c r="AN537" s="257">
        <v>107</v>
      </c>
      <c r="BB537" s="257">
        <v>9</v>
      </c>
      <c r="BN537" s="251">
        <v>64.182000000000002</v>
      </c>
      <c r="BO537" s="256">
        <v>42200</v>
      </c>
      <c r="BT537" s="251">
        <v>50.806228637695313</v>
      </c>
      <c r="BU537" s="256">
        <v>42200</v>
      </c>
      <c r="BV537" s="251">
        <v>16.857542037963867</v>
      </c>
      <c r="BW537" s="256">
        <v>42200</v>
      </c>
      <c r="BX537" s="251">
        <v>19.091999999999999</v>
      </c>
      <c r="BY537" s="256">
        <v>42200</v>
      </c>
      <c r="CD537" s="257">
        <v>7.5</v>
      </c>
      <c r="CE537" s="159">
        <v>42191</v>
      </c>
      <c r="CM537" s="255">
        <v>1</v>
      </c>
      <c r="CN537" s="256">
        <v>42180</v>
      </c>
      <c r="CO537" s="140" t="s">
        <v>8447</v>
      </c>
    </row>
    <row r="538" spans="1:93" ht="15" customHeight="1">
      <c r="A538" s="137" t="s">
        <v>7551</v>
      </c>
      <c r="B538" s="279" t="s">
        <v>7551</v>
      </c>
      <c r="C538" s="268" t="s">
        <v>267</v>
      </c>
      <c r="D538" s="269">
        <v>4</v>
      </c>
      <c r="E538" s="280">
        <v>24</v>
      </c>
      <c r="F538" s="269"/>
      <c r="G538" s="269"/>
      <c r="H538" s="271">
        <v>24</v>
      </c>
      <c r="I538" s="271">
        <v>3</v>
      </c>
      <c r="J538" s="282"/>
      <c r="K538" s="273"/>
      <c r="L538" s="269">
        <v>8</v>
      </c>
      <c r="M538" s="274"/>
      <c r="N538" s="269">
        <v>4.8600000000000003</v>
      </c>
      <c r="O538" s="274">
        <v>42191</v>
      </c>
      <c r="P538" s="272"/>
      <c r="Q538" s="274"/>
      <c r="R538" s="275"/>
      <c r="S538" s="274"/>
      <c r="T538" s="269">
        <v>13.57</v>
      </c>
      <c r="U538" s="276">
        <v>42200</v>
      </c>
      <c r="V538" s="275">
        <v>18.5</v>
      </c>
      <c r="W538" s="274">
        <v>42191</v>
      </c>
      <c r="X538" s="275"/>
      <c r="Y538" s="274"/>
      <c r="Z538" s="275"/>
      <c r="AA538" s="274"/>
      <c r="AB538" s="275"/>
      <c r="AC538" s="274"/>
      <c r="AD538" s="145">
        <f>(N538/V538)*(((100-CD538)/100)*((100-2)/100))*100</f>
        <v>23.45357189189189</v>
      </c>
      <c r="AE538" s="274"/>
      <c r="AF538" s="269">
        <v>26.81</v>
      </c>
      <c r="AG538" s="274">
        <v>42191</v>
      </c>
      <c r="AH538" s="274"/>
      <c r="AI538" s="274"/>
      <c r="AJ538" s="269">
        <v>115</v>
      </c>
      <c r="AK538" s="274"/>
      <c r="AL538" s="275"/>
      <c r="AM538" s="274"/>
      <c r="AN538" s="269">
        <v>103</v>
      </c>
      <c r="AO538" s="274"/>
      <c r="AP538" s="275"/>
      <c r="AQ538" s="275"/>
      <c r="AR538" s="275"/>
      <c r="AS538" s="275"/>
      <c r="AT538" s="275"/>
      <c r="AU538" s="275"/>
      <c r="AV538" s="275"/>
      <c r="AW538" s="275"/>
      <c r="AX538" s="275"/>
      <c r="AY538" s="275"/>
      <c r="AZ538" s="275"/>
      <c r="BA538" s="275"/>
      <c r="BB538" s="269">
        <v>7</v>
      </c>
      <c r="BC538" s="275"/>
      <c r="BD538" s="275"/>
      <c r="BE538" s="275"/>
      <c r="BF538" s="272"/>
      <c r="BG538" s="272"/>
      <c r="BH538" s="272"/>
      <c r="BI538" s="272"/>
      <c r="BJ538" s="272"/>
      <c r="BK538" s="272"/>
      <c r="BL538" s="272"/>
      <c r="BM538" s="272"/>
      <c r="BN538" s="284">
        <v>63.183999999999997</v>
      </c>
      <c r="BO538" s="276">
        <v>42200</v>
      </c>
      <c r="BP538" s="272"/>
      <c r="BQ538" s="272"/>
      <c r="BR538" s="272"/>
      <c r="BS538" s="272"/>
      <c r="BT538" s="284">
        <v>50.61</v>
      </c>
      <c r="BU538" s="276">
        <v>42200</v>
      </c>
      <c r="BV538" s="284">
        <v>18.23414421081543</v>
      </c>
      <c r="BW538" s="276">
        <v>42200</v>
      </c>
      <c r="BX538" s="284">
        <v>18.547999999999998</v>
      </c>
      <c r="BY538" s="276">
        <v>42200</v>
      </c>
      <c r="BZ538" s="272"/>
      <c r="CA538" s="272"/>
      <c r="CB538" s="272"/>
      <c r="CC538" s="272"/>
      <c r="CD538" s="269">
        <v>8.9</v>
      </c>
      <c r="CE538" s="274">
        <v>42191</v>
      </c>
      <c r="CF538" s="272"/>
      <c r="CG538" s="272"/>
      <c r="CH538" s="272"/>
      <c r="CI538" s="272"/>
      <c r="CJ538" s="272"/>
      <c r="CK538" s="272"/>
      <c r="CL538" s="272"/>
      <c r="CM538" s="278">
        <v>7</v>
      </c>
      <c r="CN538" s="276">
        <v>42180</v>
      </c>
      <c r="CO538" s="272" t="s">
        <v>8447</v>
      </c>
    </row>
    <row r="539" spans="1:93" ht="15">
      <c r="A539" s="124" t="s">
        <v>7551</v>
      </c>
      <c r="B539" s="161" t="s">
        <v>7551</v>
      </c>
      <c r="C539" s="268" t="s">
        <v>267</v>
      </c>
      <c r="D539" s="243">
        <v>3</v>
      </c>
      <c r="E539" s="191">
        <v>183</v>
      </c>
      <c r="F539" s="244">
        <v>18</v>
      </c>
      <c r="G539" s="245">
        <v>6</v>
      </c>
      <c r="L539" s="254">
        <v>9</v>
      </c>
      <c r="N539" s="246">
        <v>4.84</v>
      </c>
      <c r="O539" s="159">
        <v>42191</v>
      </c>
      <c r="T539" s="247">
        <v>13.47</v>
      </c>
      <c r="U539" s="256">
        <v>42200</v>
      </c>
      <c r="V539" s="145">
        <v>18.5</v>
      </c>
      <c r="W539" s="159">
        <v>42191</v>
      </c>
      <c r="AD539" s="145">
        <f>(N539/V539)*(((100-CD539)/100)*((100-2)/100))*100</f>
        <v>23.459610810810812</v>
      </c>
      <c r="AF539" s="248">
        <v>26.82</v>
      </c>
      <c r="AG539" s="159">
        <v>42191</v>
      </c>
      <c r="AJ539" s="249">
        <v>115</v>
      </c>
      <c r="AN539" s="250">
        <v>105</v>
      </c>
      <c r="BB539" s="257">
        <v>7</v>
      </c>
      <c r="BN539" s="251">
        <v>62.27</v>
      </c>
      <c r="BO539" s="256">
        <v>42200</v>
      </c>
      <c r="BT539" s="251">
        <v>50.223419189453125</v>
      </c>
      <c r="BU539" s="256">
        <v>42200</v>
      </c>
      <c r="BV539" s="251">
        <v>18.178371429443359</v>
      </c>
      <c r="BW539" s="256">
        <v>42200</v>
      </c>
      <c r="BX539" s="251">
        <v>25.077999999999999</v>
      </c>
      <c r="BY539" s="256">
        <v>42200</v>
      </c>
      <c r="CD539" s="253">
        <v>8.5</v>
      </c>
      <c r="CE539" s="159">
        <v>42191</v>
      </c>
      <c r="CM539" s="255">
        <v>1</v>
      </c>
      <c r="CN539" s="256">
        <v>42180</v>
      </c>
      <c r="CO539" s="140" t="s">
        <v>8447</v>
      </c>
    </row>
    <row r="540" spans="1:93" ht="15" customHeight="1">
      <c r="A540" s="124" t="s">
        <v>7701</v>
      </c>
      <c r="B540" s="161" t="s">
        <v>7547</v>
      </c>
      <c r="C540" s="268" t="s">
        <v>267</v>
      </c>
      <c r="D540" s="257">
        <v>3</v>
      </c>
      <c r="E540" s="183">
        <v>115</v>
      </c>
      <c r="F540" s="257">
        <v>15</v>
      </c>
      <c r="G540" s="257">
        <v>31</v>
      </c>
      <c r="L540" s="257">
        <v>9</v>
      </c>
      <c r="N540" s="257">
        <v>4.74</v>
      </c>
      <c r="O540" s="159">
        <v>42191</v>
      </c>
      <c r="T540" s="257">
        <v>13.64</v>
      </c>
      <c r="U540" s="256">
        <v>42200</v>
      </c>
      <c r="V540" s="145">
        <v>18.5</v>
      </c>
      <c r="W540" s="159">
        <v>42191</v>
      </c>
      <c r="AD540" s="145">
        <f>(N540/V540)*(((100-CD540)/100)*((100-2)/100))*100</f>
        <v>23.477091891891892</v>
      </c>
      <c r="AF540" s="257">
        <v>26.84</v>
      </c>
      <c r="AG540" s="159">
        <v>42191</v>
      </c>
      <c r="AJ540" s="257">
        <v>125</v>
      </c>
      <c r="AN540" s="257">
        <v>104</v>
      </c>
      <c r="BB540" s="257">
        <v>9</v>
      </c>
      <c r="BN540" s="251">
        <v>67.123999999999995</v>
      </c>
      <c r="BO540" s="256">
        <v>42200</v>
      </c>
      <c r="BT540" s="251">
        <v>50.826614379882813</v>
      </c>
      <c r="BU540" s="256">
        <v>42200</v>
      </c>
      <c r="BV540" s="251">
        <v>19.392024993896484</v>
      </c>
      <c r="BW540" s="256">
        <v>42200</v>
      </c>
      <c r="BX540" s="251">
        <v>56.999000000000002</v>
      </c>
      <c r="BY540" s="256">
        <v>42200</v>
      </c>
      <c r="CD540" s="257">
        <v>6.5</v>
      </c>
      <c r="CE540" s="159">
        <v>42191</v>
      </c>
      <c r="CM540" s="255">
        <v>5</v>
      </c>
      <c r="CN540" s="256">
        <v>42180</v>
      </c>
      <c r="CO540" s="140" t="s">
        <v>8447</v>
      </c>
    </row>
    <row r="541" spans="1:93" ht="15">
      <c r="A541" s="124" t="s">
        <v>7619</v>
      </c>
      <c r="B541" s="161" t="s">
        <v>7473</v>
      </c>
      <c r="C541" s="268" t="s">
        <v>269</v>
      </c>
      <c r="D541" s="243">
        <v>1</v>
      </c>
      <c r="E541" s="183">
        <v>33</v>
      </c>
      <c r="F541" s="244">
        <v>4</v>
      </c>
      <c r="G541" s="245">
        <v>30</v>
      </c>
      <c r="L541" s="254">
        <v>9</v>
      </c>
      <c r="N541" s="246">
        <v>4.76</v>
      </c>
      <c r="O541" s="159">
        <v>42191</v>
      </c>
      <c r="T541" s="247">
        <v>12.86</v>
      </c>
      <c r="U541" s="256">
        <v>42200</v>
      </c>
      <c r="V541" s="145">
        <v>18.5</v>
      </c>
      <c r="W541" s="159">
        <v>42191</v>
      </c>
      <c r="AD541" s="145">
        <f>(N541/V541)*(((100-CD541)/100)*((100-2)/100))*100</f>
        <v>23.500505945945946</v>
      </c>
      <c r="AF541" s="248">
        <v>26.86</v>
      </c>
      <c r="AG541" s="159">
        <v>42191</v>
      </c>
      <c r="AJ541" s="249">
        <v>175</v>
      </c>
      <c r="AN541" s="250">
        <v>106</v>
      </c>
      <c r="BB541" s="257">
        <v>5</v>
      </c>
      <c r="BN541" s="251">
        <v>63.475999999999999</v>
      </c>
      <c r="BO541" s="256">
        <v>42200</v>
      </c>
      <c r="BT541" s="251">
        <v>47.880771636962891</v>
      </c>
      <c r="BU541" s="256">
        <v>42200</v>
      </c>
      <c r="BV541" s="251">
        <v>18.432949066162109</v>
      </c>
      <c r="BW541" s="256">
        <v>42200</v>
      </c>
      <c r="BX541" s="251">
        <v>54.85</v>
      </c>
      <c r="BY541" s="256">
        <v>42200</v>
      </c>
      <c r="CD541" s="253">
        <v>6.8</v>
      </c>
      <c r="CE541" s="159">
        <v>42191</v>
      </c>
      <c r="CM541" s="255">
        <v>3</v>
      </c>
      <c r="CN541" s="256">
        <v>42180</v>
      </c>
      <c r="CO541" s="140" t="s">
        <v>8447</v>
      </c>
    </row>
    <row r="542" spans="1:93" ht="15">
      <c r="A542" s="124" t="s">
        <v>7629</v>
      </c>
      <c r="B542" s="161" t="s">
        <v>7482</v>
      </c>
      <c r="C542" s="268" t="s">
        <v>269</v>
      </c>
      <c r="D542" s="243">
        <v>1</v>
      </c>
      <c r="E542" s="183">
        <v>43</v>
      </c>
      <c r="F542" s="244">
        <v>6</v>
      </c>
      <c r="G542" s="245">
        <v>25</v>
      </c>
      <c r="L542" s="254">
        <v>3</v>
      </c>
      <c r="N542" s="246">
        <v>4.74</v>
      </c>
      <c r="O542" s="159">
        <v>42191</v>
      </c>
      <c r="T542" s="247">
        <v>13.37</v>
      </c>
      <c r="U542" s="256">
        <v>42200</v>
      </c>
      <c r="V542" s="145">
        <v>18.5</v>
      </c>
      <c r="W542" s="159">
        <v>42191</v>
      </c>
      <c r="AD542" s="145">
        <f>(N542/V542)*(((100-CD542)/100)*((100-2)/100))*100</f>
        <v>23.502201081081079</v>
      </c>
      <c r="AF542" s="248">
        <v>26.87</v>
      </c>
      <c r="AG542" s="159">
        <v>42191</v>
      </c>
      <c r="AJ542" s="249">
        <v>120</v>
      </c>
      <c r="AN542" s="250">
        <v>107</v>
      </c>
      <c r="BB542" s="257">
        <v>5</v>
      </c>
      <c r="BN542" s="251">
        <v>62.64</v>
      </c>
      <c r="BO542" s="256">
        <v>42200</v>
      </c>
      <c r="BT542" s="251">
        <v>49.764781951904297</v>
      </c>
      <c r="BU542" s="256">
        <v>42200</v>
      </c>
      <c r="BV542" s="251">
        <v>17.371408462524414</v>
      </c>
      <c r="BW542" s="256">
        <v>42200</v>
      </c>
      <c r="BX542" s="251">
        <v>17.716000000000001</v>
      </c>
      <c r="BY542" s="256">
        <v>42200</v>
      </c>
      <c r="CD542" s="253">
        <v>6.4</v>
      </c>
      <c r="CE542" s="159">
        <v>42191</v>
      </c>
      <c r="CM542" s="255">
        <v>3</v>
      </c>
      <c r="CN542" s="256">
        <v>42180</v>
      </c>
      <c r="CO542" s="140" t="s">
        <v>8447</v>
      </c>
    </row>
    <row r="543" spans="1:93" ht="15">
      <c r="A543" s="124" t="s">
        <v>7638</v>
      </c>
      <c r="B543" s="161" t="s">
        <v>7490</v>
      </c>
      <c r="C543" s="268" t="s">
        <v>267</v>
      </c>
      <c r="D543" s="243">
        <v>4</v>
      </c>
      <c r="E543" s="183">
        <v>52</v>
      </c>
      <c r="F543" s="244">
        <v>24</v>
      </c>
      <c r="G543" s="245">
        <v>4</v>
      </c>
      <c r="L543" s="254">
        <v>8</v>
      </c>
      <c r="N543" s="246">
        <v>4.84</v>
      </c>
      <c r="O543" s="159">
        <v>42191</v>
      </c>
      <c r="T543" s="247">
        <v>13.92</v>
      </c>
      <c r="U543" s="256">
        <v>42200</v>
      </c>
      <c r="V543" s="145">
        <v>18.5</v>
      </c>
      <c r="W543" s="159">
        <v>42191</v>
      </c>
      <c r="AD543" s="145">
        <f>(N543/V543)*(((100-CD543)/100)*((100-2)/100))*100</f>
        <v>23.510888648648649</v>
      </c>
      <c r="AF543" s="248">
        <f>(N543/V543)*(((100-CD543)/(100-9))*100)</f>
        <v>26.363409563409565</v>
      </c>
      <c r="AG543" s="159">
        <v>42191</v>
      </c>
      <c r="AJ543" s="249">
        <v>120</v>
      </c>
      <c r="AN543" s="250">
        <v>105</v>
      </c>
      <c r="BB543" s="257">
        <v>9</v>
      </c>
      <c r="BN543" s="251">
        <v>62.478000000000002</v>
      </c>
      <c r="BO543" s="256">
        <v>42200</v>
      </c>
      <c r="BT543" s="251">
        <v>51.770130157470703</v>
      </c>
      <c r="BU543" s="256">
        <v>42200</v>
      </c>
      <c r="BV543" s="251">
        <v>16.224979400634766</v>
      </c>
      <c r="BW543" s="256">
        <v>42200</v>
      </c>
      <c r="BX543" s="251">
        <v>14.496</v>
      </c>
      <c r="BY543" s="256">
        <v>42200</v>
      </c>
      <c r="CD543" s="253">
        <v>8.3000000000000007</v>
      </c>
      <c r="CE543" s="159">
        <v>42191</v>
      </c>
      <c r="CM543" s="255">
        <v>1</v>
      </c>
      <c r="CN543" s="256">
        <v>42180</v>
      </c>
      <c r="CO543" s="140" t="s">
        <v>8447</v>
      </c>
    </row>
    <row r="544" spans="1:93" ht="15">
      <c r="A544" s="124" t="s">
        <v>7672</v>
      </c>
      <c r="B544" s="161" t="s">
        <v>7521</v>
      </c>
      <c r="C544" s="268" t="s">
        <v>267</v>
      </c>
      <c r="D544" s="243">
        <v>4</v>
      </c>
      <c r="E544" s="183">
        <v>86</v>
      </c>
      <c r="F544" s="244">
        <v>21</v>
      </c>
      <c r="G544" s="245">
        <v>17</v>
      </c>
      <c r="L544" s="254">
        <v>8</v>
      </c>
      <c r="N544" s="246">
        <v>4.8</v>
      </c>
      <c r="O544" s="159">
        <v>42191</v>
      </c>
      <c r="T544" s="247">
        <v>13.64</v>
      </c>
      <c r="U544" s="256">
        <v>42200</v>
      </c>
      <c r="V544" s="145">
        <v>18.5</v>
      </c>
      <c r="W544" s="159">
        <v>42191</v>
      </c>
      <c r="AD544" s="145">
        <f>(N544/V544)*(((100-CD544)/100)*((100-2)/100))*100</f>
        <v>23.52</v>
      </c>
      <c r="AF544" s="248">
        <f>(N544/V544)*(((100-CD544)/(100-9))*100)</f>
        <v>26.373626373626376</v>
      </c>
      <c r="AG544" s="159">
        <v>42191</v>
      </c>
      <c r="AJ544" s="249">
        <v>115</v>
      </c>
      <c r="AN544" s="250">
        <v>104</v>
      </c>
      <c r="BB544" s="257">
        <v>9</v>
      </c>
      <c r="BN544" s="251">
        <v>63.585999999999999</v>
      </c>
      <c r="BO544" s="256">
        <v>42200</v>
      </c>
      <c r="BT544" s="251">
        <v>50.723663330078125</v>
      </c>
      <c r="BU544" s="256">
        <v>42200</v>
      </c>
      <c r="BV544" s="251">
        <v>17.202957153320312</v>
      </c>
      <c r="BW544" s="256">
        <v>42200</v>
      </c>
      <c r="BX544" s="251">
        <v>18.984999999999999</v>
      </c>
      <c r="BY544" s="256">
        <v>42200</v>
      </c>
      <c r="CD544" s="253">
        <v>7.5</v>
      </c>
      <c r="CE544" s="159">
        <v>42191</v>
      </c>
      <c r="CM544" s="255">
        <v>1</v>
      </c>
      <c r="CN544" s="256">
        <v>42180</v>
      </c>
      <c r="CO544" s="140" t="s">
        <v>8447</v>
      </c>
    </row>
    <row r="545" spans="1:93" ht="15">
      <c r="A545" s="124" t="s">
        <v>7592</v>
      </c>
      <c r="B545" s="161" t="s">
        <v>7770</v>
      </c>
      <c r="C545" s="268" t="s">
        <v>269</v>
      </c>
      <c r="D545" s="243">
        <v>1</v>
      </c>
      <c r="E545" s="183">
        <v>6</v>
      </c>
      <c r="F545" s="244">
        <v>5</v>
      </c>
      <c r="G545" s="245">
        <v>27</v>
      </c>
      <c r="J545" s="266"/>
      <c r="L545" s="254">
        <v>9</v>
      </c>
      <c r="N545" s="246">
        <v>4.7699999999999996</v>
      </c>
      <c r="O545" s="159">
        <v>42191</v>
      </c>
      <c r="P545" s="144"/>
      <c r="R545" s="145"/>
      <c r="T545" s="247">
        <v>13.21</v>
      </c>
      <c r="U545" s="256">
        <v>42200</v>
      </c>
      <c r="V545" s="145">
        <v>18.5</v>
      </c>
      <c r="W545" s="159">
        <v>42191</v>
      </c>
      <c r="X545" s="145"/>
      <c r="Z545" s="145"/>
      <c r="AB545" s="145"/>
      <c r="AD545" s="145">
        <f>(N545/V545)*(((100-CD545)/100)*((100-2)/100))*100</f>
        <v>23.549876756756756</v>
      </c>
      <c r="AF545" s="248">
        <v>26.92</v>
      </c>
      <c r="AG545" s="159">
        <v>42191</v>
      </c>
      <c r="AJ545" s="249">
        <v>160</v>
      </c>
      <c r="AL545" s="145"/>
      <c r="AN545" s="250">
        <v>106</v>
      </c>
      <c r="BB545" s="257">
        <v>5</v>
      </c>
      <c r="BN545" s="251">
        <v>65.793999999999997</v>
      </c>
      <c r="BO545" s="256">
        <v>42200</v>
      </c>
      <c r="BT545" s="251">
        <v>49.068984985351562</v>
      </c>
      <c r="BU545" s="256">
        <v>42200</v>
      </c>
      <c r="BV545" s="251">
        <v>19.460899353027344</v>
      </c>
      <c r="BW545" s="256">
        <v>42200</v>
      </c>
      <c r="BX545" s="251">
        <v>71.622</v>
      </c>
      <c r="BY545" s="256">
        <v>42200</v>
      </c>
      <c r="CD545" s="253">
        <v>6.8</v>
      </c>
      <c r="CE545" s="159">
        <v>42191</v>
      </c>
      <c r="CM545" s="255">
        <v>3</v>
      </c>
      <c r="CN545" s="256">
        <v>42180</v>
      </c>
      <c r="CO545" s="140" t="s">
        <v>8447</v>
      </c>
    </row>
    <row r="546" spans="1:93" ht="15" customHeight="1">
      <c r="A546" s="137" t="s">
        <v>8462</v>
      </c>
      <c r="B546" s="161" t="s">
        <v>8485</v>
      </c>
      <c r="C546" s="268" t="s">
        <v>269</v>
      </c>
      <c r="D546" s="269">
        <v>1</v>
      </c>
      <c r="E546" s="280">
        <v>13</v>
      </c>
      <c r="F546" s="269"/>
      <c r="G546" s="269"/>
      <c r="H546" s="271">
        <v>6</v>
      </c>
      <c r="I546" s="271">
        <v>3</v>
      </c>
      <c r="J546" s="282"/>
      <c r="K546" s="273"/>
      <c r="L546" s="269">
        <v>9</v>
      </c>
      <c r="M546" s="274"/>
      <c r="N546" s="269">
        <v>4.87</v>
      </c>
      <c r="O546" s="274">
        <v>42191</v>
      </c>
      <c r="P546" s="272"/>
      <c r="Q546" s="274"/>
      <c r="R546" s="275"/>
      <c r="S546" s="274"/>
      <c r="T546" s="269">
        <v>12.97</v>
      </c>
      <c r="U546" s="276">
        <v>42200</v>
      </c>
      <c r="V546" s="275">
        <v>18.5</v>
      </c>
      <c r="W546" s="274">
        <v>42191</v>
      </c>
      <c r="X546" s="275"/>
      <c r="Y546" s="274"/>
      <c r="Z546" s="275"/>
      <c r="AA546" s="274"/>
      <c r="AB546" s="275"/>
      <c r="AC546" s="274"/>
      <c r="AD546" s="145">
        <f>(N546/V546)*(((100-CD546)/100)*((100-2)/100))*100</f>
        <v>23.553425945945946</v>
      </c>
      <c r="AE546" s="274"/>
      <c r="AF546" s="269">
        <v>26.92</v>
      </c>
      <c r="AG546" s="274">
        <v>42191</v>
      </c>
      <c r="AH546" s="274"/>
      <c r="AI546" s="274"/>
      <c r="AJ546" s="269">
        <v>155</v>
      </c>
      <c r="AK546" s="274"/>
      <c r="AL546" s="275"/>
      <c r="AM546" s="274"/>
      <c r="AN546" s="269">
        <v>103</v>
      </c>
      <c r="AO546" s="274"/>
      <c r="AP546" s="275"/>
      <c r="AQ546" s="275"/>
      <c r="AR546" s="275"/>
      <c r="AS546" s="275"/>
      <c r="AT546" s="275"/>
      <c r="AU546" s="275"/>
      <c r="AV546" s="275"/>
      <c r="AW546" s="275"/>
      <c r="AX546" s="275"/>
      <c r="AY546" s="275"/>
      <c r="AZ546" s="275"/>
      <c r="BA546" s="275"/>
      <c r="BB546" s="269">
        <v>7</v>
      </c>
      <c r="BC546" s="275"/>
      <c r="BD546" s="275"/>
      <c r="BE546" s="275"/>
      <c r="BF546" s="272"/>
      <c r="BG546" s="272"/>
      <c r="BH546" s="272"/>
      <c r="BI546" s="272"/>
      <c r="BJ546" s="272"/>
      <c r="BK546" s="272"/>
      <c r="BL546" s="272"/>
      <c r="BM546" s="272"/>
      <c r="BN546" s="284">
        <v>62.808</v>
      </c>
      <c r="BO546" s="276">
        <v>42200</v>
      </c>
      <c r="BP546" s="272"/>
      <c r="BQ546" s="272"/>
      <c r="BR546" s="272"/>
      <c r="BS546" s="272"/>
      <c r="BT546" s="284">
        <v>48.17</v>
      </c>
      <c r="BU546" s="276">
        <v>42200</v>
      </c>
      <c r="BV546" s="284">
        <v>19.024341583251953</v>
      </c>
      <c r="BW546" s="276">
        <v>42200</v>
      </c>
      <c r="BX546" s="284">
        <v>30.286999999999999</v>
      </c>
      <c r="BY546" s="276">
        <v>42200</v>
      </c>
      <c r="BZ546" s="272"/>
      <c r="CA546" s="272"/>
      <c r="CB546" s="272"/>
      <c r="CC546" s="272"/>
      <c r="CD546" s="269">
        <v>8.6999999999999993</v>
      </c>
      <c r="CE546" s="274">
        <v>42191</v>
      </c>
      <c r="CF546" s="272"/>
      <c r="CG546" s="272"/>
      <c r="CH546" s="272"/>
      <c r="CI546" s="272"/>
      <c r="CJ546" s="272"/>
      <c r="CK546" s="272"/>
      <c r="CL546" s="272"/>
      <c r="CM546" s="278">
        <v>9</v>
      </c>
      <c r="CN546" s="276">
        <v>42180</v>
      </c>
      <c r="CO546" s="140" t="s">
        <v>8448</v>
      </c>
    </row>
    <row r="547" spans="1:93" ht="15">
      <c r="A547" s="124" t="s">
        <v>7725</v>
      </c>
      <c r="B547" s="161" t="s">
        <v>7791</v>
      </c>
      <c r="C547" s="268" t="s">
        <v>267</v>
      </c>
      <c r="D547" s="243">
        <v>3</v>
      </c>
      <c r="E547" s="183">
        <v>139</v>
      </c>
      <c r="F547" s="244">
        <v>17</v>
      </c>
      <c r="G547" s="245">
        <v>13</v>
      </c>
      <c r="L547" s="254">
        <v>7</v>
      </c>
      <c r="N547" s="246">
        <v>4.8499999999999996</v>
      </c>
      <c r="O547" s="159">
        <v>42191</v>
      </c>
      <c r="T547" s="247">
        <v>13.54</v>
      </c>
      <c r="U547" s="256">
        <v>42200</v>
      </c>
      <c r="V547" s="145">
        <v>18.5</v>
      </c>
      <c r="W547" s="159">
        <v>42191</v>
      </c>
      <c r="AD547" s="145">
        <f>(N547/V547)*(((100-CD547)/100)*((100-2)/100))*100</f>
        <v>23.585156756756753</v>
      </c>
      <c r="AF547" s="248">
        <v>26.96</v>
      </c>
      <c r="AG547" s="159">
        <v>42191</v>
      </c>
      <c r="AJ547" s="249">
        <v>110</v>
      </c>
      <c r="AN547" s="250">
        <v>107</v>
      </c>
      <c r="BB547" s="257">
        <v>9</v>
      </c>
      <c r="BN547" s="251">
        <v>64.72</v>
      </c>
      <c r="BO547" s="256">
        <v>42200</v>
      </c>
      <c r="BT547" s="251">
        <v>50.220687866210937</v>
      </c>
      <c r="BU547" s="256">
        <v>42200</v>
      </c>
      <c r="BV547" s="251">
        <v>17.878185272216797</v>
      </c>
      <c r="BW547" s="256">
        <v>42200</v>
      </c>
      <c r="BX547" s="251">
        <v>18.45</v>
      </c>
      <c r="BY547" s="256">
        <v>42200</v>
      </c>
      <c r="CD547" s="253">
        <v>8.1999999999999993</v>
      </c>
      <c r="CE547" s="159">
        <v>42191</v>
      </c>
      <c r="CM547" s="255">
        <v>3</v>
      </c>
      <c r="CN547" s="256">
        <v>42180</v>
      </c>
      <c r="CO547" s="140" t="s">
        <v>8447</v>
      </c>
    </row>
    <row r="548" spans="1:93" ht="15">
      <c r="A548" s="124" t="s">
        <v>7661</v>
      </c>
      <c r="B548" s="161" t="s">
        <v>7510</v>
      </c>
      <c r="C548" s="268" t="s">
        <v>269</v>
      </c>
      <c r="D548" s="243">
        <v>2</v>
      </c>
      <c r="E548" s="183">
        <v>75</v>
      </c>
      <c r="F548" s="244">
        <v>12</v>
      </c>
      <c r="G548" s="245">
        <v>23</v>
      </c>
      <c r="L548" s="254">
        <v>7</v>
      </c>
      <c r="N548" s="246">
        <v>4.78</v>
      </c>
      <c r="O548" s="159">
        <v>42191</v>
      </c>
      <c r="T548" s="247">
        <v>13.52</v>
      </c>
      <c r="U548" s="256">
        <v>42200</v>
      </c>
      <c r="V548" s="145">
        <v>18.5</v>
      </c>
      <c r="W548" s="159">
        <v>42191</v>
      </c>
      <c r="AD548" s="145">
        <f>(N548/V548)*(((100-CD548)/100)*((100-2)/100))*100</f>
        <v>23.599247567567573</v>
      </c>
      <c r="AF548" s="248">
        <f>(N548/V548)*(((100-CD548)/(100-9))*100)</f>
        <v>26.462488862488872</v>
      </c>
      <c r="AG548" s="159">
        <v>42191</v>
      </c>
      <c r="AJ548" s="249">
        <v>120</v>
      </c>
      <c r="AN548" s="250">
        <v>100</v>
      </c>
      <c r="BB548" s="257">
        <v>7</v>
      </c>
      <c r="BN548" s="251">
        <v>62.302</v>
      </c>
      <c r="BO548" s="256">
        <v>42200</v>
      </c>
      <c r="BT548" s="251">
        <v>50.117607116699219</v>
      </c>
      <c r="BU548" s="256">
        <v>42200</v>
      </c>
      <c r="BV548" s="251">
        <v>18.445823669433594</v>
      </c>
      <c r="BW548" s="256">
        <v>42200</v>
      </c>
      <c r="BX548" s="251">
        <v>17.675999999999998</v>
      </c>
      <c r="BY548" s="256">
        <v>42200</v>
      </c>
      <c r="CD548" s="253">
        <v>6.8</v>
      </c>
      <c r="CE548" s="159">
        <v>42191</v>
      </c>
      <c r="CM548" s="255">
        <v>1</v>
      </c>
      <c r="CN548" s="256">
        <v>42180</v>
      </c>
      <c r="CO548" s="140" t="s">
        <v>8448</v>
      </c>
    </row>
    <row r="549" spans="1:93" ht="15">
      <c r="A549" s="124" t="s">
        <v>7608</v>
      </c>
      <c r="B549" s="161" t="s">
        <v>7463</v>
      </c>
      <c r="C549" s="268" t="s">
        <v>267</v>
      </c>
      <c r="D549" s="243">
        <v>3</v>
      </c>
      <c r="E549" s="183">
        <v>22</v>
      </c>
      <c r="F549" s="244">
        <v>17</v>
      </c>
      <c r="G549" s="245">
        <v>18</v>
      </c>
      <c r="J549" s="266"/>
      <c r="L549" s="254">
        <v>5</v>
      </c>
      <c r="N549" s="246">
        <v>4.82</v>
      </c>
      <c r="O549" s="159">
        <v>42191</v>
      </c>
      <c r="P549" s="144"/>
      <c r="R549" s="145"/>
      <c r="T549" s="247">
        <v>13.97</v>
      </c>
      <c r="U549" s="256">
        <v>42200</v>
      </c>
      <c r="V549" s="145">
        <v>18.5</v>
      </c>
      <c r="W549" s="159">
        <v>42191</v>
      </c>
      <c r="X549" s="145"/>
      <c r="Z549" s="145"/>
      <c r="AB549" s="145"/>
      <c r="AD549" s="145">
        <f>(N549/V549)*(((100-CD549)/100)*((100-2)/100))*100</f>
        <v>23.617999999999999</v>
      </c>
      <c r="AF549" s="248">
        <v>27</v>
      </c>
      <c r="AG549" s="159">
        <v>42191</v>
      </c>
      <c r="AJ549" s="249">
        <v>105</v>
      </c>
      <c r="AL549" s="145"/>
      <c r="AN549" s="250">
        <v>104</v>
      </c>
      <c r="BB549" s="257">
        <v>7</v>
      </c>
      <c r="BN549" s="251">
        <v>69.054000000000002</v>
      </c>
      <c r="BO549" s="256">
        <v>42200</v>
      </c>
      <c r="BT549" s="251">
        <v>51.727394104003906</v>
      </c>
      <c r="BU549" s="256">
        <v>42200</v>
      </c>
      <c r="BV549" s="251">
        <v>18.779882431030273</v>
      </c>
      <c r="BW549" s="256">
        <v>42200</v>
      </c>
      <c r="BX549" s="251">
        <v>23.515000000000001</v>
      </c>
      <c r="BY549" s="256">
        <v>42200</v>
      </c>
      <c r="CD549" s="253">
        <v>7.5</v>
      </c>
      <c r="CE549" s="159">
        <v>42191</v>
      </c>
      <c r="CM549" s="255">
        <v>3</v>
      </c>
      <c r="CN549" s="256">
        <v>42180</v>
      </c>
      <c r="CO549" s="140" t="s">
        <v>8447</v>
      </c>
    </row>
    <row r="550" spans="1:93" ht="15">
      <c r="A550" s="124" t="s">
        <v>7551</v>
      </c>
      <c r="B550" s="161" t="s">
        <v>7551</v>
      </c>
      <c r="C550" s="268" t="s">
        <v>269</v>
      </c>
      <c r="D550" s="243">
        <v>2</v>
      </c>
      <c r="E550" s="191">
        <v>182</v>
      </c>
      <c r="F550" s="244">
        <v>10</v>
      </c>
      <c r="G550" s="245">
        <v>9</v>
      </c>
      <c r="L550" s="254">
        <v>8</v>
      </c>
      <c r="N550" s="246">
        <v>4.8099999999999996</v>
      </c>
      <c r="O550" s="159">
        <v>42191</v>
      </c>
      <c r="T550" s="247">
        <v>13.21</v>
      </c>
      <c r="U550" s="256">
        <v>42200</v>
      </c>
      <c r="V550" s="145">
        <v>18.5</v>
      </c>
      <c r="W550" s="159">
        <v>42191</v>
      </c>
      <c r="AD550" s="145">
        <f>(N550/V550)*(((100-CD550)/100)*((100-2)/100))*100</f>
        <v>23.645439999999994</v>
      </c>
      <c r="AF550" s="248">
        <f>(N550/V550)*(((100-CD550)/(100-9))*100)</f>
        <v>26.514285714285709</v>
      </c>
      <c r="AG550" s="159">
        <v>42191</v>
      </c>
      <c r="AJ550" s="249">
        <v>125</v>
      </c>
      <c r="AN550" s="250">
        <v>103</v>
      </c>
      <c r="BB550" s="257">
        <v>7</v>
      </c>
      <c r="BN550" s="251">
        <v>61.125999999999998</v>
      </c>
      <c r="BO550" s="256">
        <v>42200</v>
      </c>
      <c r="BT550" s="251">
        <v>48.871871948242188</v>
      </c>
      <c r="BU550" s="256">
        <v>42200</v>
      </c>
      <c r="BV550" s="251">
        <v>18.592174530029297</v>
      </c>
      <c r="BW550" s="256">
        <v>42200</v>
      </c>
      <c r="BX550" s="251">
        <v>19.484000000000002</v>
      </c>
      <c r="BY550" s="256">
        <v>42200</v>
      </c>
      <c r="CD550" s="253">
        <v>7.2</v>
      </c>
      <c r="CE550" s="159">
        <v>42191</v>
      </c>
      <c r="CM550" s="255">
        <v>1</v>
      </c>
      <c r="CN550" s="256">
        <v>42180</v>
      </c>
      <c r="CO550" s="140" t="s">
        <v>8448</v>
      </c>
    </row>
    <row r="551" spans="1:93" ht="15">
      <c r="A551" s="124" t="s">
        <v>7695</v>
      </c>
      <c r="B551" s="161" t="s">
        <v>7541</v>
      </c>
      <c r="C551" s="268" t="s">
        <v>269</v>
      </c>
      <c r="D551" s="243">
        <v>1</v>
      </c>
      <c r="E551" s="183">
        <v>109</v>
      </c>
      <c r="F551" s="244">
        <v>3</v>
      </c>
      <c r="G551" s="245">
        <v>27</v>
      </c>
      <c r="L551" s="254">
        <v>7</v>
      </c>
      <c r="N551" s="246">
        <v>4.8099999999999996</v>
      </c>
      <c r="O551" s="159">
        <v>42191</v>
      </c>
      <c r="T551" s="247">
        <v>13.3</v>
      </c>
      <c r="U551" s="256">
        <v>42200</v>
      </c>
      <c r="V551" s="145">
        <v>18.5</v>
      </c>
      <c r="W551" s="159">
        <v>42191</v>
      </c>
      <c r="AD551" s="145">
        <f>(N551/V551)*(((100-CD551)/100)*((100-2)/100))*100</f>
        <v>23.645439999999994</v>
      </c>
      <c r="AF551" s="248">
        <v>27.03</v>
      </c>
      <c r="AG551" s="159">
        <v>42191</v>
      </c>
      <c r="AJ551" s="249">
        <v>170</v>
      </c>
      <c r="AN551" s="250">
        <v>107</v>
      </c>
      <c r="BB551" s="257">
        <v>5</v>
      </c>
      <c r="BN551" s="251">
        <v>63.218000000000004</v>
      </c>
      <c r="BO551" s="256">
        <v>42200</v>
      </c>
      <c r="BT551" s="251">
        <v>49.204536437988281</v>
      </c>
      <c r="BU551" s="256">
        <v>42200</v>
      </c>
      <c r="BV551" s="251">
        <v>18.678434371948242</v>
      </c>
      <c r="BW551" s="256">
        <v>42200</v>
      </c>
      <c r="BX551" s="251">
        <v>14.252000000000001</v>
      </c>
      <c r="BY551" s="256">
        <v>42200</v>
      </c>
      <c r="CD551" s="253">
        <v>7.2</v>
      </c>
      <c r="CE551" s="159">
        <v>42191</v>
      </c>
      <c r="CM551" s="255">
        <v>3</v>
      </c>
      <c r="CN551" s="256">
        <v>42180</v>
      </c>
      <c r="CO551" s="140" t="s">
        <v>8447</v>
      </c>
    </row>
    <row r="552" spans="1:93" ht="15" customHeight="1">
      <c r="A552" s="124" t="s">
        <v>7677</v>
      </c>
      <c r="B552" s="161" t="s">
        <v>7775</v>
      </c>
      <c r="C552" s="268" t="s">
        <v>267</v>
      </c>
      <c r="D552" s="257">
        <v>4</v>
      </c>
      <c r="E552" s="183">
        <v>91</v>
      </c>
      <c r="F552" s="257">
        <v>22</v>
      </c>
      <c r="G552" s="257">
        <v>18</v>
      </c>
      <c r="L552" s="257">
        <v>5</v>
      </c>
      <c r="N552" s="257">
        <v>4.83</v>
      </c>
      <c r="O552" s="159">
        <v>42191</v>
      </c>
      <c r="T552" s="257">
        <v>13.01</v>
      </c>
      <c r="U552" s="256">
        <v>42200</v>
      </c>
      <c r="V552" s="145">
        <v>18.5</v>
      </c>
      <c r="W552" s="159">
        <v>42191</v>
      </c>
      <c r="AD552" s="145">
        <f>(N552/V552)*(((100-CD552)/100)*((100-2)/100))*100</f>
        <v>23.666999999999998</v>
      </c>
      <c r="AF552" s="257">
        <f>(N552/V552)*(((100-CD552)/(100-9))*100)</f>
        <v>26.53846153846154</v>
      </c>
      <c r="AG552" s="159">
        <v>42191</v>
      </c>
      <c r="AJ552" s="257">
        <v>135</v>
      </c>
      <c r="AN552" s="257">
        <v>102</v>
      </c>
      <c r="BB552" s="257">
        <v>5</v>
      </c>
      <c r="BN552" s="251">
        <v>59.704000000000001</v>
      </c>
      <c r="BO552" s="256">
        <v>42200</v>
      </c>
      <c r="BT552" s="251">
        <v>48.085456848144531</v>
      </c>
      <c r="BU552" s="256">
        <v>42200</v>
      </c>
      <c r="BV552" s="251">
        <v>16.020542144775391</v>
      </c>
      <c r="BW552" s="256">
        <v>42200</v>
      </c>
      <c r="BX552" s="251">
        <v>18.779</v>
      </c>
      <c r="BY552" s="256">
        <v>42200</v>
      </c>
      <c r="CD552" s="257">
        <v>7.5</v>
      </c>
      <c r="CE552" s="159">
        <v>42191</v>
      </c>
      <c r="CM552" s="255">
        <v>1</v>
      </c>
      <c r="CN552" s="256">
        <v>42180</v>
      </c>
      <c r="CO552" s="140" t="s">
        <v>8447</v>
      </c>
    </row>
    <row r="553" spans="1:93" ht="15">
      <c r="A553" s="124" t="s">
        <v>7766</v>
      </c>
      <c r="B553" s="161" t="s">
        <v>7586</v>
      </c>
      <c r="C553" s="268" t="s">
        <v>269</v>
      </c>
      <c r="D553" s="243">
        <v>2</v>
      </c>
      <c r="E553" s="183">
        <v>180</v>
      </c>
      <c r="F553" s="244">
        <v>11</v>
      </c>
      <c r="G553" s="245">
        <v>25</v>
      </c>
      <c r="L553" s="254">
        <v>3</v>
      </c>
      <c r="N553" s="246">
        <v>4.8099999999999996</v>
      </c>
      <c r="O553" s="159">
        <v>42191</v>
      </c>
      <c r="T553" s="247">
        <v>14.32</v>
      </c>
      <c r="U553" s="256">
        <v>42200</v>
      </c>
      <c r="V553" s="145">
        <v>18.5</v>
      </c>
      <c r="W553" s="159">
        <v>42191</v>
      </c>
      <c r="AD553" s="145">
        <f>(N553/V553)*(((100-CD553)/100)*((100-2)/100))*100</f>
        <v>23.696399999999997</v>
      </c>
      <c r="AF553" s="248">
        <f>(N553/V553)*(((100-CD553)/(100-9))*100)</f>
        <v>26.571428571428566</v>
      </c>
      <c r="AG553" s="159">
        <v>42191</v>
      </c>
      <c r="AJ553" s="249">
        <v>140</v>
      </c>
      <c r="AN553" s="250">
        <v>101</v>
      </c>
      <c r="BB553" s="257">
        <v>7</v>
      </c>
      <c r="BN553" s="251">
        <v>65.007999999999996</v>
      </c>
      <c r="BO553" s="256">
        <v>42200</v>
      </c>
      <c r="BT553" s="251">
        <v>52.851448059082031</v>
      </c>
      <c r="BU553" s="256">
        <v>42200</v>
      </c>
      <c r="BV553" s="251">
        <v>14.143829345703125</v>
      </c>
      <c r="BW553" s="256">
        <v>42200</v>
      </c>
      <c r="BX553" s="251">
        <v>14.977</v>
      </c>
      <c r="BY553" s="256">
        <v>42200</v>
      </c>
      <c r="CD553" s="253">
        <v>7</v>
      </c>
      <c r="CE553" s="159">
        <v>42191</v>
      </c>
      <c r="CM553" s="255">
        <v>1</v>
      </c>
      <c r="CN553" s="256">
        <v>42180</v>
      </c>
      <c r="CO553" s="140" t="s">
        <v>8448</v>
      </c>
    </row>
    <row r="554" spans="1:93" ht="15">
      <c r="A554" s="124" t="s">
        <v>7551</v>
      </c>
      <c r="B554" s="161" t="s">
        <v>7551</v>
      </c>
      <c r="C554" s="268" t="s">
        <v>269</v>
      </c>
      <c r="D554" s="243">
        <v>2</v>
      </c>
      <c r="E554" s="191">
        <v>184</v>
      </c>
      <c r="F554" s="244">
        <v>8</v>
      </c>
      <c r="G554" s="245">
        <v>10</v>
      </c>
      <c r="L554" s="254">
        <v>7</v>
      </c>
      <c r="N554" s="246">
        <v>4.8099999999999996</v>
      </c>
      <c r="O554" s="159">
        <v>42191</v>
      </c>
      <c r="T554" s="247">
        <v>13.75</v>
      </c>
      <c r="U554" s="256">
        <v>42200</v>
      </c>
      <c r="V554" s="145">
        <v>18.5</v>
      </c>
      <c r="W554" s="159">
        <v>42191</v>
      </c>
      <c r="AD554" s="145">
        <f>(N554/V554)*(((100-CD554)/100)*((100-2)/100))*100</f>
        <v>23.721879999999995</v>
      </c>
      <c r="AF554" s="248">
        <f>(N554/V554)*(((100-CD554)/(100-9))*100)</f>
        <v>26.599999999999991</v>
      </c>
      <c r="AG554" s="159">
        <v>42191</v>
      </c>
      <c r="AJ554" s="249">
        <v>145</v>
      </c>
      <c r="AN554" s="250">
        <v>101</v>
      </c>
      <c r="BB554" s="257">
        <v>5</v>
      </c>
      <c r="BN554" s="251">
        <v>62.761000000000003</v>
      </c>
      <c r="BO554" s="256">
        <v>42200</v>
      </c>
      <c r="BT554" s="251">
        <v>50.708885192871094</v>
      </c>
      <c r="BU554" s="256">
        <v>42200</v>
      </c>
      <c r="BV554" s="251">
        <v>16.971591949462891</v>
      </c>
      <c r="BW554" s="256">
        <v>42200</v>
      </c>
      <c r="BX554" s="251">
        <v>17.417000000000002</v>
      </c>
      <c r="BY554" s="256">
        <v>42200</v>
      </c>
      <c r="CD554" s="253">
        <v>6.9</v>
      </c>
      <c r="CE554" s="159">
        <v>42191</v>
      </c>
      <c r="CM554" s="255">
        <v>1</v>
      </c>
      <c r="CN554" s="256">
        <v>42180</v>
      </c>
      <c r="CO554" s="140" t="s">
        <v>8448</v>
      </c>
    </row>
    <row r="555" spans="1:93" ht="15" customHeight="1">
      <c r="A555" s="124" t="s">
        <v>7639</v>
      </c>
      <c r="B555" s="161" t="s">
        <v>7491</v>
      </c>
      <c r="C555" s="268" t="s">
        <v>267</v>
      </c>
      <c r="D555" s="257">
        <v>3</v>
      </c>
      <c r="E555" s="183">
        <v>53</v>
      </c>
      <c r="F555" s="257">
        <v>13</v>
      </c>
      <c r="G555" s="257">
        <v>11</v>
      </c>
      <c r="L555" s="257">
        <v>9</v>
      </c>
      <c r="N555" s="257">
        <v>4.87</v>
      </c>
      <c r="O555" s="159">
        <v>42191</v>
      </c>
      <c r="T555" s="257">
        <v>13.47</v>
      </c>
      <c r="U555" s="256">
        <v>42200</v>
      </c>
      <c r="V555" s="145">
        <v>18.5</v>
      </c>
      <c r="W555" s="159">
        <v>42191</v>
      </c>
      <c r="AD555" s="145">
        <f>(N555/V555)*(((100-CD555)/100)*((100-2)/100))*100</f>
        <v>23.811404324324325</v>
      </c>
      <c r="AF555" s="257">
        <f>(N555/V555)*(((100-CD555)/(100-9))*100)</f>
        <v>26.700386100386101</v>
      </c>
      <c r="AG555" s="159">
        <v>42191</v>
      </c>
      <c r="AJ555" s="257">
        <v>135</v>
      </c>
      <c r="AN555" s="257">
        <v>106</v>
      </c>
      <c r="BB555" s="257">
        <v>9</v>
      </c>
      <c r="BN555" s="251">
        <v>61.933</v>
      </c>
      <c r="BO555" s="256">
        <v>42200</v>
      </c>
      <c r="BT555" s="251">
        <v>49.480583190917969</v>
      </c>
      <c r="BU555" s="256">
        <v>42200</v>
      </c>
      <c r="BV555" s="251">
        <v>18.062652587890625</v>
      </c>
      <c r="BW555" s="256">
        <v>42200</v>
      </c>
      <c r="BX555" s="251">
        <v>18.283000000000001</v>
      </c>
      <c r="BY555" s="256">
        <v>42200</v>
      </c>
      <c r="CD555" s="257">
        <v>7.7</v>
      </c>
      <c r="CE555" s="159">
        <v>42191</v>
      </c>
      <c r="CM555" s="255">
        <v>1</v>
      </c>
      <c r="CN555" s="256">
        <v>42180</v>
      </c>
      <c r="CO555" s="140" t="s">
        <v>8447</v>
      </c>
    </row>
    <row r="556" spans="1:93" ht="15">
      <c r="A556" s="124" t="s">
        <v>7647</v>
      </c>
      <c r="B556" s="161" t="s">
        <v>7497</v>
      </c>
      <c r="C556" s="268" t="s">
        <v>267</v>
      </c>
      <c r="D556" s="243">
        <v>4</v>
      </c>
      <c r="E556" s="183">
        <v>61</v>
      </c>
      <c r="F556" s="244">
        <v>19</v>
      </c>
      <c r="G556" s="245">
        <v>25</v>
      </c>
      <c r="L556" s="254">
        <v>7</v>
      </c>
      <c r="N556" s="246">
        <v>4.8899999999999997</v>
      </c>
      <c r="O556" s="159">
        <v>42191</v>
      </c>
      <c r="T556" s="247">
        <v>13.91</v>
      </c>
      <c r="U556" s="256">
        <v>42200</v>
      </c>
      <c r="V556" s="145">
        <v>18.5</v>
      </c>
      <c r="W556" s="159">
        <v>42191</v>
      </c>
      <c r="AD556" s="145">
        <f>(N556/V556)*(((100-CD556)/100)*((100-2)/100))*100</f>
        <v>23.83148108108108</v>
      </c>
      <c r="AF556" s="248">
        <v>27.24</v>
      </c>
      <c r="AG556" s="159">
        <v>42191</v>
      </c>
      <c r="AJ556" s="249">
        <v>110</v>
      </c>
      <c r="AN556" s="250">
        <v>103</v>
      </c>
      <c r="BB556" s="257">
        <v>7</v>
      </c>
      <c r="BN556" s="251">
        <v>62.886000000000003</v>
      </c>
      <c r="BO556" s="256">
        <v>42200</v>
      </c>
      <c r="BT556" s="251">
        <v>51.083641052246094</v>
      </c>
      <c r="BU556" s="256">
        <v>42200</v>
      </c>
      <c r="BV556" s="251">
        <v>17.545494079589844</v>
      </c>
      <c r="BW556" s="256">
        <v>42200</v>
      </c>
      <c r="BX556" s="251">
        <v>18.295999999999999</v>
      </c>
      <c r="BY556" s="256">
        <v>42200</v>
      </c>
      <c r="CD556" s="253">
        <v>8</v>
      </c>
      <c r="CE556" s="159">
        <v>42191</v>
      </c>
      <c r="CM556" s="255">
        <v>5</v>
      </c>
      <c r="CN556" s="256">
        <v>42180</v>
      </c>
      <c r="CO556" s="140" t="s">
        <v>8447</v>
      </c>
    </row>
    <row r="557" spans="1:93" ht="15">
      <c r="A557" s="124" t="s">
        <v>7699</v>
      </c>
      <c r="B557" s="161" t="s">
        <v>7545</v>
      </c>
      <c r="C557" s="268" t="s">
        <v>267</v>
      </c>
      <c r="D557" s="243">
        <v>3</v>
      </c>
      <c r="E557" s="183">
        <v>113</v>
      </c>
      <c r="F557" s="244">
        <v>15</v>
      </c>
      <c r="G557" s="245">
        <v>23</v>
      </c>
      <c r="L557" s="254">
        <v>8</v>
      </c>
      <c r="N557" s="246">
        <v>4.8499999999999996</v>
      </c>
      <c r="O557" s="159">
        <v>42191</v>
      </c>
      <c r="T557" s="247">
        <v>13.39</v>
      </c>
      <c r="U557" s="256">
        <v>42200</v>
      </c>
      <c r="V557" s="145">
        <v>18.5</v>
      </c>
      <c r="W557" s="159">
        <v>42191</v>
      </c>
      <c r="AD557" s="145">
        <f>(N557/V557)*(((100-CD557)/100)*((100-2)/100))*100</f>
        <v>23.867767567567565</v>
      </c>
      <c r="AF557" s="248">
        <v>27.28</v>
      </c>
      <c r="AG557" s="159">
        <v>42191</v>
      </c>
      <c r="AJ557" s="249">
        <v>120</v>
      </c>
      <c r="AN557" s="250">
        <v>106</v>
      </c>
      <c r="BB557" s="257">
        <v>5</v>
      </c>
      <c r="BN557" s="251">
        <v>61.308</v>
      </c>
      <c r="BO557" s="256">
        <v>42200</v>
      </c>
      <c r="BT557" s="251">
        <v>49.066162109375</v>
      </c>
      <c r="BU557" s="256">
        <v>42200</v>
      </c>
      <c r="BV557" s="251">
        <v>18.019233703613281</v>
      </c>
      <c r="BW557" s="256">
        <v>42200</v>
      </c>
      <c r="BX557" s="251">
        <v>24.099</v>
      </c>
      <c r="BY557" s="256">
        <v>42200</v>
      </c>
      <c r="CD557" s="253">
        <v>7.1</v>
      </c>
      <c r="CE557" s="159">
        <v>42191</v>
      </c>
      <c r="CM557" s="255">
        <v>3</v>
      </c>
      <c r="CN557" s="256">
        <v>42180</v>
      </c>
      <c r="CO557" s="140" t="s">
        <v>8447</v>
      </c>
    </row>
    <row r="558" spans="1:93" ht="15">
      <c r="A558" s="124" t="s">
        <v>7713</v>
      </c>
      <c r="B558" s="161" t="s">
        <v>7552</v>
      </c>
      <c r="C558" s="268" t="s">
        <v>267</v>
      </c>
      <c r="D558" s="243">
        <v>3</v>
      </c>
      <c r="E558" s="183">
        <v>127</v>
      </c>
      <c r="F558" s="244">
        <v>15</v>
      </c>
      <c r="G558" s="245">
        <v>3</v>
      </c>
      <c r="L558" s="254">
        <v>9</v>
      </c>
      <c r="N558" s="246">
        <v>4.92</v>
      </c>
      <c r="O558" s="159">
        <v>42191</v>
      </c>
      <c r="T558" s="247">
        <v>13.62</v>
      </c>
      <c r="U558" s="256">
        <v>42200</v>
      </c>
      <c r="V558" s="145">
        <v>18.5</v>
      </c>
      <c r="W558" s="159">
        <v>42191</v>
      </c>
      <c r="AD558" s="145">
        <f>(N558/V558)*(((100-CD558)/100)*((100-2)/100))*100</f>
        <v>23.951623783783784</v>
      </c>
      <c r="AF558" s="248">
        <v>27.38</v>
      </c>
      <c r="AG558" s="159">
        <v>42191</v>
      </c>
      <c r="AJ558" s="249">
        <v>125</v>
      </c>
      <c r="AN558" s="250">
        <v>105</v>
      </c>
      <c r="BB558" s="257">
        <v>9</v>
      </c>
      <c r="BN558" s="251">
        <v>64.906999999999996</v>
      </c>
      <c r="BO558" s="256">
        <v>42200</v>
      </c>
      <c r="BT558" s="251">
        <v>49.757961273193359</v>
      </c>
      <c r="BU558" s="256">
        <v>42200</v>
      </c>
      <c r="BV558" s="251">
        <v>18.399070739746094</v>
      </c>
      <c r="BW558" s="256">
        <v>42200</v>
      </c>
      <c r="BX558" s="251">
        <v>57.506</v>
      </c>
      <c r="BY558" s="256">
        <v>42200</v>
      </c>
      <c r="CD558" s="253">
        <v>8.1</v>
      </c>
      <c r="CE558" s="159">
        <v>42191</v>
      </c>
      <c r="CM558" s="255">
        <v>3</v>
      </c>
      <c r="CN558" s="256">
        <v>42180</v>
      </c>
      <c r="CO558" s="140" t="s">
        <v>8447</v>
      </c>
    </row>
    <row r="559" spans="1:93" ht="15" customHeight="1">
      <c r="A559" s="124" t="s">
        <v>7625</v>
      </c>
      <c r="B559" s="161" t="s">
        <v>7478</v>
      </c>
      <c r="C559" s="268" t="s">
        <v>267</v>
      </c>
      <c r="D559" s="257">
        <v>3</v>
      </c>
      <c r="E559" s="183">
        <v>39</v>
      </c>
      <c r="F559" s="257">
        <v>14</v>
      </c>
      <c r="G559" s="257">
        <v>7</v>
      </c>
      <c r="L559" s="257">
        <v>8</v>
      </c>
      <c r="N559" s="257">
        <v>4.92</v>
      </c>
      <c r="O559" s="159">
        <v>42191</v>
      </c>
      <c r="T559" s="257">
        <v>14.47</v>
      </c>
      <c r="U559" s="256">
        <v>42200</v>
      </c>
      <c r="V559" s="145">
        <v>18.5</v>
      </c>
      <c r="W559" s="159">
        <v>42191</v>
      </c>
      <c r="AD559" s="145">
        <f>(N559/V559)*(((100-CD559)/100)*((100-2)/100))*100</f>
        <v>23.951623783783784</v>
      </c>
      <c r="AF559" s="257">
        <f>(N559/V559)*(((100-CD559)/(100-9))*100)</f>
        <v>26.857618057618055</v>
      </c>
      <c r="AG559" s="159">
        <v>42191</v>
      </c>
      <c r="AJ559" s="257">
        <v>140</v>
      </c>
      <c r="AN559" s="257">
        <v>104</v>
      </c>
      <c r="BB559" s="257">
        <v>9</v>
      </c>
      <c r="BN559" s="251">
        <v>68.667000000000002</v>
      </c>
      <c r="BO559" s="256">
        <v>42200</v>
      </c>
      <c r="BT559" s="251">
        <v>52.858467102050781</v>
      </c>
      <c r="BU559" s="256">
        <v>42200</v>
      </c>
      <c r="BV559" s="251">
        <v>16.351821899414062</v>
      </c>
      <c r="BW559" s="256">
        <v>42200</v>
      </c>
      <c r="BX559" s="251">
        <v>12.645</v>
      </c>
      <c r="BY559" s="256">
        <v>42200</v>
      </c>
      <c r="CD559" s="257">
        <v>8.1</v>
      </c>
      <c r="CE559" s="159">
        <v>42191</v>
      </c>
      <c r="CM559" s="255">
        <v>1</v>
      </c>
      <c r="CN559" s="256">
        <v>42180</v>
      </c>
      <c r="CO559" s="140" t="s">
        <v>8447</v>
      </c>
    </row>
    <row r="560" spans="1:93" ht="15">
      <c r="A560" s="124" t="s">
        <v>7744</v>
      </c>
      <c r="B560" s="161" t="s">
        <v>7568</v>
      </c>
      <c r="C560" s="268" t="s">
        <v>269</v>
      </c>
      <c r="D560" s="243">
        <v>2</v>
      </c>
      <c r="E560" s="183">
        <v>158</v>
      </c>
      <c r="F560" s="244">
        <v>11</v>
      </c>
      <c r="G560" s="245">
        <v>24</v>
      </c>
      <c r="L560" s="254">
        <v>6</v>
      </c>
      <c r="N560" s="246">
        <v>4.8600000000000003</v>
      </c>
      <c r="O560" s="159">
        <v>42191</v>
      </c>
      <c r="T560" s="247">
        <v>14.61</v>
      </c>
      <c r="U560" s="256">
        <v>42200</v>
      </c>
      <c r="V560" s="145">
        <v>18.5</v>
      </c>
      <c r="W560" s="159">
        <v>42191</v>
      </c>
      <c r="AD560" s="145">
        <f>(N560/V560)*(((100-CD560)/100)*((100-2)/100))*100</f>
        <v>23.968469189189193</v>
      </c>
      <c r="AF560" s="248">
        <f>(N560/V560)*(((100-CD560)/(100-9))*100)</f>
        <v>26.876507276507276</v>
      </c>
      <c r="AG560" s="159">
        <v>42191</v>
      </c>
      <c r="AJ560" s="249">
        <v>140</v>
      </c>
      <c r="AN560" s="250">
        <v>101</v>
      </c>
      <c r="BB560" s="257">
        <v>9</v>
      </c>
      <c r="BN560" s="251">
        <v>65.274000000000001</v>
      </c>
      <c r="BO560" s="256">
        <v>42200</v>
      </c>
      <c r="BT560" s="251">
        <v>53.328475952148438</v>
      </c>
      <c r="BU560" s="256">
        <v>42200</v>
      </c>
      <c r="BV560" s="251">
        <v>15.839399337768555</v>
      </c>
      <c r="BW560" s="256">
        <v>42200</v>
      </c>
      <c r="BX560" s="251">
        <v>17.347999999999999</v>
      </c>
      <c r="BY560" s="256">
        <v>42200</v>
      </c>
      <c r="CD560" s="253">
        <v>6.9</v>
      </c>
      <c r="CE560" s="159">
        <v>42191</v>
      </c>
      <c r="CM560" s="255">
        <v>1</v>
      </c>
      <c r="CN560" s="256">
        <v>42180</v>
      </c>
      <c r="CO560" s="140" t="s">
        <v>8448</v>
      </c>
    </row>
    <row r="561" spans="1:93" ht="15">
      <c r="A561" s="124" t="s">
        <v>7728</v>
      </c>
      <c r="B561" s="161" t="s">
        <v>7556</v>
      </c>
      <c r="C561" s="268" t="s">
        <v>267</v>
      </c>
      <c r="D561" s="243">
        <v>3</v>
      </c>
      <c r="E561" s="183">
        <v>142</v>
      </c>
      <c r="F561" s="244">
        <v>14</v>
      </c>
      <c r="G561" s="245">
        <v>22</v>
      </c>
      <c r="L561" s="254">
        <v>5</v>
      </c>
      <c r="N561" s="246">
        <v>4.8899999999999997</v>
      </c>
      <c r="O561" s="159">
        <v>42191</v>
      </c>
      <c r="T561" s="247">
        <v>14.65</v>
      </c>
      <c r="U561" s="256">
        <v>42200</v>
      </c>
      <c r="V561" s="145">
        <v>18.5</v>
      </c>
      <c r="W561" s="159">
        <v>42191</v>
      </c>
      <c r="AD561" s="145">
        <f>(N561/V561)*(((100-CD561)/100)*((100-2)/100))*100</f>
        <v>24.012807567567567</v>
      </c>
      <c r="AF561" s="248">
        <v>27.45</v>
      </c>
      <c r="AG561" s="159">
        <v>42191</v>
      </c>
      <c r="AJ561" s="249">
        <v>105</v>
      </c>
      <c r="AN561" s="250">
        <v>101</v>
      </c>
      <c r="BB561" s="257">
        <v>7</v>
      </c>
      <c r="BN561" s="251">
        <v>65.662000000000006</v>
      </c>
      <c r="BO561" s="256">
        <v>42200</v>
      </c>
      <c r="BT561" s="251">
        <v>53.374412536621094</v>
      </c>
      <c r="BU561" s="256">
        <v>42200</v>
      </c>
      <c r="BV561" s="251">
        <v>15.696304321289063</v>
      </c>
      <c r="BW561" s="256">
        <v>42200</v>
      </c>
      <c r="BX561" s="251">
        <v>15.423</v>
      </c>
      <c r="BY561" s="256">
        <v>42200</v>
      </c>
      <c r="CD561" s="253">
        <v>7.3</v>
      </c>
      <c r="CE561" s="159">
        <v>42191</v>
      </c>
      <c r="CM561" s="255">
        <v>5</v>
      </c>
      <c r="CN561" s="256">
        <v>42180</v>
      </c>
      <c r="CO561" s="140" t="s">
        <v>8447</v>
      </c>
    </row>
    <row r="562" spans="1:93" ht="15">
      <c r="A562" s="124" t="s">
        <v>7691</v>
      </c>
      <c r="B562" s="161" t="s">
        <v>7538</v>
      </c>
      <c r="C562" s="268" t="s">
        <v>269</v>
      </c>
      <c r="D562" s="243">
        <v>1</v>
      </c>
      <c r="E562" s="183">
        <v>105</v>
      </c>
      <c r="F562" s="244">
        <v>1</v>
      </c>
      <c r="G562" s="245">
        <v>29</v>
      </c>
      <c r="L562" s="254">
        <v>8</v>
      </c>
      <c r="N562" s="246">
        <v>4.88</v>
      </c>
      <c r="O562" s="159">
        <v>42191</v>
      </c>
      <c r="T562" s="247">
        <v>13.9</v>
      </c>
      <c r="U562" s="256">
        <v>42200</v>
      </c>
      <c r="V562" s="145">
        <v>18.5</v>
      </c>
      <c r="W562" s="159">
        <v>42191</v>
      </c>
      <c r="AD562" s="145">
        <f>(N562/V562)*(((100-CD562)/100)*((100-2)/100))*100</f>
        <v>24.04125405405405</v>
      </c>
      <c r="AF562" s="248">
        <f>(N562/V562)*(((100-CD562)/(100-9))*100)</f>
        <v>26.958122958122953</v>
      </c>
      <c r="AG562" s="159">
        <v>42191</v>
      </c>
      <c r="AJ562" s="249">
        <v>140</v>
      </c>
      <c r="AN562" s="250">
        <v>102</v>
      </c>
      <c r="BB562" s="257">
        <v>5</v>
      </c>
      <c r="BN562" s="251">
        <v>61.133000000000003</v>
      </c>
      <c r="BO562" s="256">
        <v>42200</v>
      </c>
      <c r="BT562" s="251">
        <v>50.596958160400391</v>
      </c>
      <c r="BU562" s="256">
        <v>42200</v>
      </c>
      <c r="BV562" s="251">
        <v>17.986637115478516</v>
      </c>
      <c r="BW562" s="256">
        <v>42200</v>
      </c>
      <c r="BX562" s="251">
        <v>21.401</v>
      </c>
      <c r="BY562" s="256">
        <v>42200</v>
      </c>
      <c r="CD562" s="253">
        <v>7</v>
      </c>
      <c r="CE562" s="159">
        <v>42191</v>
      </c>
      <c r="CM562" s="255">
        <v>1</v>
      </c>
      <c r="CN562" s="256">
        <v>42180</v>
      </c>
      <c r="CO562" s="140" t="s">
        <v>8447</v>
      </c>
    </row>
    <row r="563" spans="1:93" ht="15">
      <c r="A563" s="124" t="s">
        <v>7764</v>
      </c>
      <c r="B563" s="161" t="s">
        <v>7584</v>
      </c>
      <c r="C563" s="268" t="s">
        <v>267</v>
      </c>
      <c r="D563" s="243">
        <v>4</v>
      </c>
      <c r="E563" s="183">
        <v>178</v>
      </c>
      <c r="F563" s="244">
        <v>20</v>
      </c>
      <c r="G563" s="245">
        <v>7</v>
      </c>
      <c r="L563" s="254">
        <v>8</v>
      </c>
      <c r="N563" s="246">
        <v>4.96</v>
      </c>
      <c r="O563" s="159">
        <v>42191</v>
      </c>
      <c r="T563" s="247">
        <v>13.33</v>
      </c>
      <c r="U563" s="256">
        <v>42200</v>
      </c>
      <c r="V563" s="145">
        <v>18.5</v>
      </c>
      <c r="W563" s="159">
        <v>42191</v>
      </c>
      <c r="AD563" s="145">
        <f>(N563/V563)*(((100-CD563)/100)*((100-2)/100))*100</f>
        <v>24.041254054054054</v>
      </c>
      <c r="AF563" s="248">
        <v>27.48</v>
      </c>
      <c r="AG563" s="159">
        <v>42191</v>
      </c>
      <c r="AJ563" s="249">
        <v>115</v>
      </c>
      <c r="AN563" s="250">
        <v>105</v>
      </c>
      <c r="BB563" s="257">
        <v>9</v>
      </c>
      <c r="BN563" s="251">
        <v>62.216000000000001</v>
      </c>
      <c r="BO563" s="256">
        <v>42200</v>
      </c>
      <c r="BT563" s="251">
        <v>48.505111694335938</v>
      </c>
      <c r="BU563" s="256">
        <v>42200</v>
      </c>
      <c r="BV563" s="251">
        <v>18.079584121704102</v>
      </c>
      <c r="BW563" s="256">
        <v>42200</v>
      </c>
      <c r="BX563" s="251">
        <v>16.411999999999999</v>
      </c>
      <c r="BY563" s="256">
        <v>42200</v>
      </c>
      <c r="CD563" s="253">
        <v>8.5</v>
      </c>
      <c r="CE563" s="159">
        <v>42191</v>
      </c>
      <c r="CM563" s="255">
        <v>3</v>
      </c>
      <c r="CN563" s="256">
        <v>42180</v>
      </c>
      <c r="CO563" s="140" t="s">
        <v>8447</v>
      </c>
    </row>
    <row r="564" spans="1:93" ht="15">
      <c r="A564" s="124" t="s">
        <v>7610</v>
      </c>
      <c r="B564" s="161" t="s">
        <v>7465</v>
      </c>
      <c r="C564" s="268" t="s">
        <v>269</v>
      </c>
      <c r="D564" s="243">
        <v>1</v>
      </c>
      <c r="E564" s="183">
        <v>24</v>
      </c>
      <c r="F564" s="244">
        <v>6</v>
      </c>
      <c r="G564" s="245">
        <v>16</v>
      </c>
      <c r="L564" s="254">
        <v>9</v>
      </c>
      <c r="N564" s="246">
        <v>4.88</v>
      </c>
      <c r="O564" s="159">
        <v>42191</v>
      </c>
      <c r="T564" s="247">
        <v>13.38</v>
      </c>
      <c r="U564" s="256">
        <v>42200</v>
      </c>
      <c r="V564" s="145">
        <v>18.5</v>
      </c>
      <c r="W564" s="159">
        <v>42191</v>
      </c>
      <c r="AD564" s="145">
        <f>(N564/V564)*(((100-CD564)/100)*((100-2)/100))*100</f>
        <v>24.067104864864859</v>
      </c>
      <c r="AF564" s="248">
        <f>(N564/V564)*(((100-CD564)/(100-9))*100)</f>
        <v>26.987110187110179</v>
      </c>
      <c r="AG564" s="159">
        <v>42191</v>
      </c>
      <c r="AJ564" s="249">
        <v>150</v>
      </c>
      <c r="AN564" s="250">
        <v>102</v>
      </c>
      <c r="BB564" s="257">
        <v>5</v>
      </c>
      <c r="BN564" s="251">
        <v>65.963999999999999</v>
      </c>
      <c r="BO564" s="256">
        <v>42200</v>
      </c>
      <c r="BT564" s="251">
        <v>48.650920867919922</v>
      </c>
      <c r="BU564" s="256">
        <v>42200</v>
      </c>
      <c r="BV564" s="251">
        <v>20.359197616577148</v>
      </c>
      <c r="BW564" s="256">
        <v>42200</v>
      </c>
      <c r="BX564" s="251">
        <v>60.256999999999998</v>
      </c>
      <c r="BY564" s="256">
        <v>42200</v>
      </c>
      <c r="CD564" s="253">
        <v>6.9</v>
      </c>
      <c r="CE564" s="159">
        <v>42191</v>
      </c>
      <c r="CM564" s="255">
        <v>1</v>
      </c>
      <c r="CN564" s="256">
        <v>42180</v>
      </c>
      <c r="CO564" s="140" t="s">
        <v>8447</v>
      </c>
    </row>
    <row r="565" spans="1:93" ht="15">
      <c r="A565" s="124" t="s">
        <v>7617</v>
      </c>
      <c r="B565" s="161" t="s">
        <v>7471</v>
      </c>
      <c r="C565" s="268" t="s">
        <v>269</v>
      </c>
      <c r="D565" s="243">
        <v>1</v>
      </c>
      <c r="E565" s="183">
        <v>31</v>
      </c>
      <c r="F565" s="244">
        <v>4</v>
      </c>
      <c r="G565" s="245">
        <v>22</v>
      </c>
      <c r="L565" s="254">
        <v>7</v>
      </c>
      <c r="N565" s="246">
        <v>4.8600000000000003</v>
      </c>
      <c r="O565" s="159">
        <v>42191</v>
      </c>
      <c r="T565" s="247">
        <v>14.09</v>
      </c>
      <c r="U565" s="256">
        <v>42200</v>
      </c>
      <c r="V565" s="145">
        <v>18.5</v>
      </c>
      <c r="W565" s="159">
        <v>42191</v>
      </c>
      <c r="AD565" s="145">
        <f>(N565/V565)*(((100-CD565)/100)*((100-2)/100))*100</f>
        <v>24.071448648648651</v>
      </c>
      <c r="AF565" s="248">
        <f>(N565/V565)*(((100-CD565)/(100-9))*100)</f>
        <v>26.991980991980991</v>
      </c>
      <c r="AG565" s="159">
        <v>42191</v>
      </c>
      <c r="AJ565" s="249">
        <v>125</v>
      </c>
      <c r="AN565" s="250">
        <v>102</v>
      </c>
      <c r="BB565" s="257">
        <v>7</v>
      </c>
      <c r="BN565" s="251">
        <v>61.420999999999999</v>
      </c>
      <c r="BO565" s="256">
        <v>42200</v>
      </c>
      <c r="BT565" s="251">
        <v>51.197914123535156</v>
      </c>
      <c r="BU565" s="256">
        <v>42200</v>
      </c>
      <c r="BV565" s="251">
        <v>17.157529830932617</v>
      </c>
      <c r="BW565" s="256">
        <v>42200</v>
      </c>
      <c r="BX565" s="251">
        <v>51.57</v>
      </c>
      <c r="BY565" s="256">
        <v>42200</v>
      </c>
      <c r="CD565" s="253">
        <v>6.5</v>
      </c>
      <c r="CE565" s="159">
        <v>42191</v>
      </c>
      <c r="CM565" s="255">
        <v>1</v>
      </c>
      <c r="CN565" s="256">
        <v>42180</v>
      </c>
      <c r="CO565" s="140" t="s">
        <v>8447</v>
      </c>
    </row>
    <row r="566" spans="1:93" ht="15">
      <c r="A566" s="124" t="s">
        <v>7718</v>
      </c>
      <c r="B566" s="161" t="s">
        <v>7785</v>
      </c>
      <c r="C566" s="268" t="s">
        <v>267</v>
      </c>
      <c r="D566" s="243">
        <v>4</v>
      </c>
      <c r="E566" s="183">
        <v>132</v>
      </c>
      <c r="F566" s="244">
        <v>23</v>
      </c>
      <c r="G566" s="245">
        <v>2</v>
      </c>
      <c r="L566" s="254">
        <v>8</v>
      </c>
      <c r="N566" s="246">
        <v>5</v>
      </c>
      <c r="O566" s="159">
        <v>42191</v>
      </c>
      <c r="T566" s="247">
        <v>14.34</v>
      </c>
      <c r="U566" s="256">
        <v>42200</v>
      </c>
      <c r="V566" s="145">
        <v>18.5</v>
      </c>
      <c r="W566" s="159">
        <v>42191</v>
      </c>
      <c r="AD566" s="145">
        <f>(N566/V566)*(((100-CD566)/100)*((100-2)/100))*100</f>
        <v>24.076216216216221</v>
      </c>
      <c r="AF566" s="248">
        <f>(N566/V566)*(((100-CD566)/(100-9))*100)</f>
        <v>26.997326997327001</v>
      </c>
      <c r="AG566" s="159">
        <v>42191</v>
      </c>
      <c r="AJ566" s="249">
        <v>125</v>
      </c>
      <c r="AN566" s="250">
        <v>101</v>
      </c>
      <c r="BB566" s="257">
        <v>7</v>
      </c>
      <c r="BN566" s="251">
        <v>64.552999999999997</v>
      </c>
      <c r="BO566" s="256">
        <v>42200</v>
      </c>
      <c r="BT566" s="251">
        <v>52.090732574462891</v>
      </c>
      <c r="BU566" s="256">
        <v>42200</v>
      </c>
      <c r="BV566" s="251">
        <v>16.649028778076172</v>
      </c>
      <c r="BW566" s="256">
        <v>42200</v>
      </c>
      <c r="BX566" s="251">
        <v>10.551</v>
      </c>
      <c r="BY566" s="256">
        <v>42200</v>
      </c>
      <c r="CD566" s="253">
        <v>9.1</v>
      </c>
      <c r="CE566" s="159">
        <v>42191</v>
      </c>
      <c r="CM566" s="255">
        <v>1</v>
      </c>
      <c r="CN566" s="256">
        <v>42180</v>
      </c>
      <c r="CO566" s="140" t="s">
        <v>8447</v>
      </c>
    </row>
    <row r="567" spans="1:93" ht="15">
      <c r="A567" s="124" t="s">
        <v>7671</v>
      </c>
      <c r="B567" s="161" t="s">
        <v>7520</v>
      </c>
      <c r="C567" s="268" t="s">
        <v>267</v>
      </c>
      <c r="D567" s="243">
        <v>3</v>
      </c>
      <c r="E567" s="183">
        <v>85</v>
      </c>
      <c r="F567" s="244">
        <v>17</v>
      </c>
      <c r="G567" s="245">
        <v>1</v>
      </c>
      <c r="L567" s="254">
        <v>7</v>
      </c>
      <c r="N567" s="246">
        <v>5</v>
      </c>
      <c r="O567" s="159">
        <v>42191</v>
      </c>
      <c r="T567" s="247">
        <v>13.88</v>
      </c>
      <c r="U567" s="256">
        <v>42200</v>
      </c>
      <c r="V567" s="145">
        <v>18.5</v>
      </c>
      <c r="W567" s="159">
        <v>42191</v>
      </c>
      <c r="AD567" s="145">
        <f>(N567/V567)*(((100-CD567)/100)*((100-2)/100))*100</f>
        <v>24.129189189189187</v>
      </c>
      <c r="AF567" s="248">
        <v>27.58</v>
      </c>
      <c r="AG567" s="159">
        <v>42191</v>
      </c>
      <c r="AJ567" s="249">
        <v>120</v>
      </c>
      <c r="AN567" s="250">
        <v>103</v>
      </c>
      <c r="BB567" s="257">
        <v>7</v>
      </c>
      <c r="BN567" s="251">
        <v>63.17</v>
      </c>
      <c r="BO567" s="256">
        <v>42200</v>
      </c>
      <c r="BT567" s="251">
        <v>50.328693389892578</v>
      </c>
      <c r="BU567" s="256">
        <v>42200</v>
      </c>
      <c r="BV567" s="251">
        <v>18.403404235839844</v>
      </c>
      <c r="BW567" s="256">
        <v>42200</v>
      </c>
      <c r="BX567" s="251">
        <v>18.411000000000001</v>
      </c>
      <c r="BY567" s="256">
        <v>42200</v>
      </c>
      <c r="CD567" s="253">
        <v>8.9</v>
      </c>
      <c r="CE567" s="159">
        <v>42191</v>
      </c>
      <c r="CM567" s="255">
        <v>5</v>
      </c>
      <c r="CN567" s="256">
        <v>42180</v>
      </c>
      <c r="CO567" s="140" t="s">
        <v>8447</v>
      </c>
    </row>
    <row r="568" spans="1:93" ht="15">
      <c r="A568" s="124" t="s">
        <v>7764</v>
      </c>
      <c r="B568" s="161" t="s">
        <v>7584</v>
      </c>
      <c r="C568" s="268" t="s">
        <v>267</v>
      </c>
      <c r="D568" s="243">
        <v>3</v>
      </c>
      <c r="E568" s="183">
        <v>178</v>
      </c>
      <c r="F568" s="244">
        <v>14</v>
      </c>
      <c r="G568" s="245">
        <v>17</v>
      </c>
      <c r="L568" s="254">
        <v>3</v>
      </c>
      <c r="N568" s="246">
        <v>4.93</v>
      </c>
      <c r="O568" s="159">
        <v>42191</v>
      </c>
      <c r="T568" s="247">
        <v>13.77</v>
      </c>
      <c r="U568" s="256">
        <v>42200</v>
      </c>
      <c r="V568" s="145">
        <v>18.5</v>
      </c>
      <c r="W568" s="159">
        <v>42191</v>
      </c>
      <c r="AD568" s="145">
        <f>(N568/V568)*(((100-CD568)/100)*((100-2)/100))*100</f>
        <v>24.130884324324324</v>
      </c>
      <c r="AF568" s="248">
        <v>27.58</v>
      </c>
      <c r="AG568" s="159">
        <v>42191</v>
      </c>
      <c r="AJ568" s="249">
        <v>120</v>
      </c>
      <c r="AN568" s="250">
        <v>104</v>
      </c>
      <c r="BB568" s="257">
        <v>7</v>
      </c>
      <c r="BN568" s="251">
        <v>61.875999999999998</v>
      </c>
      <c r="BO568" s="256">
        <v>42200</v>
      </c>
      <c r="BT568" s="251">
        <v>49.918106079101563</v>
      </c>
      <c r="BU568" s="256">
        <v>42200</v>
      </c>
      <c r="BV568" s="251">
        <v>16.411811828613281</v>
      </c>
      <c r="BW568" s="256">
        <v>42200</v>
      </c>
      <c r="BX568" s="251">
        <v>14.54</v>
      </c>
      <c r="BY568" s="256">
        <v>42200</v>
      </c>
      <c r="CD568" s="253">
        <v>7.6</v>
      </c>
      <c r="CE568" s="159">
        <v>42191</v>
      </c>
      <c r="CM568" s="255">
        <v>5</v>
      </c>
      <c r="CN568" s="256">
        <v>42180</v>
      </c>
      <c r="CO568" s="140" t="s">
        <v>8447</v>
      </c>
    </row>
    <row r="569" spans="1:93" ht="15">
      <c r="A569" s="124" t="s">
        <v>7674</v>
      </c>
      <c r="B569" s="161" t="s">
        <v>7523</v>
      </c>
      <c r="C569" s="268" t="s">
        <v>269</v>
      </c>
      <c r="D569" s="243">
        <v>1</v>
      </c>
      <c r="E569" s="183">
        <v>88</v>
      </c>
      <c r="F569" s="244">
        <v>5</v>
      </c>
      <c r="G569" s="245">
        <v>17</v>
      </c>
      <c r="L569" s="254">
        <v>7</v>
      </c>
      <c r="N569" s="246">
        <v>4.91</v>
      </c>
      <c r="O569" s="159">
        <v>42191</v>
      </c>
      <c r="T569" s="247">
        <v>14</v>
      </c>
      <c r="U569" s="256">
        <v>42200</v>
      </c>
      <c r="V569" s="145">
        <v>18.5</v>
      </c>
      <c r="W569" s="159">
        <v>42191</v>
      </c>
      <c r="AD569" s="145">
        <f>(N569/V569)*(((100-CD569)/100)*((100-2)/100))*100</f>
        <v>24.137029189189189</v>
      </c>
      <c r="AF569" s="248">
        <v>27.59</v>
      </c>
      <c r="AG569" s="159">
        <v>42191</v>
      </c>
      <c r="AJ569" s="249">
        <v>155</v>
      </c>
      <c r="AN569" s="250">
        <v>100</v>
      </c>
      <c r="BB569" s="257">
        <v>7</v>
      </c>
      <c r="BN569" s="251">
        <v>62.988999999999997</v>
      </c>
      <c r="BO569" s="256">
        <v>42200</v>
      </c>
      <c r="BT569" s="251">
        <v>50.747215270996094</v>
      </c>
      <c r="BU569" s="256">
        <v>42200</v>
      </c>
      <c r="BV569" s="251">
        <v>17.188486099243164</v>
      </c>
      <c r="BW569" s="256">
        <v>42200</v>
      </c>
      <c r="BX569" s="251">
        <v>17.997</v>
      </c>
      <c r="BY569" s="256">
        <v>42200</v>
      </c>
      <c r="CD569" s="253">
        <v>7.2</v>
      </c>
      <c r="CE569" s="159">
        <v>42191</v>
      </c>
      <c r="CM569" s="255">
        <v>3</v>
      </c>
      <c r="CN569" s="256">
        <v>42180</v>
      </c>
      <c r="CO569" s="140" t="s">
        <v>8447</v>
      </c>
    </row>
    <row r="570" spans="1:93" ht="15">
      <c r="A570" s="124" t="s">
        <v>7644</v>
      </c>
      <c r="B570" s="161" t="s">
        <v>7496</v>
      </c>
      <c r="C570" s="268" t="s">
        <v>269</v>
      </c>
      <c r="D570" s="243">
        <v>1</v>
      </c>
      <c r="E570" s="183">
        <v>58</v>
      </c>
      <c r="F570" s="244">
        <v>1</v>
      </c>
      <c r="G570" s="245">
        <v>1</v>
      </c>
      <c r="L570" s="254">
        <v>8</v>
      </c>
      <c r="N570" s="246">
        <v>4.8899999999999997</v>
      </c>
      <c r="O570" s="159">
        <v>42191</v>
      </c>
      <c r="T570" s="247"/>
      <c r="U570" s="256">
        <v>42200</v>
      </c>
      <c r="V570" s="145">
        <v>18.5</v>
      </c>
      <c r="W570" s="159">
        <v>42191</v>
      </c>
      <c r="AD570" s="145">
        <f>(N570/V570)*(((100-CD570)/100)*((100-2)/100))*100</f>
        <v>24.142326486486485</v>
      </c>
      <c r="AF570" s="248">
        <f>(N570/V570)*(((100-CD570)/(100-9))*100)</f>
        <v>27.071458271458273</v>
      </c>
      <c r="AG570" s="159">
        <v>42191</v>
      </c>
      <c r="AJ570" s="249">
        <v>145</v>
      </c>
      <c r="AN570" s="250">
        <v>99</v>
      </c>
      <c r="BB570" s="257">
        <v>7</v>
      </c>
      <c r="BN570" s="252"/>
      <c r="BO570" s="256">
        <v>42200</v>
      </c>
      <c r="BT570" s="252"/>
      <c r="BU570" s="256">
        <v>42200</v>
      </c>
      <c r="BV570" s="252"/>
      <c r="BW570" s="256">
        <v>42200</v>
      </c>
      <c r="BX570" s="252"/>
      <c r="BY570" s="256">
        <v>42200</v>
      </c>
      <c r="CD570" s="253">
        <v>6.8</v>
      </c>
      <c r="CE570" s="159">
        <v>42191</v>
      </c>
      <c r="CM570" s="255">
        <v>1</v>
      </c>
      <c r="CN570" s="256">
        <v>42180</v>
      </c>
      <c r="CO570" s="140" t="s">
        <v>8447</v>
      </c>
    </row>
    <row r="571" spans="1:93" ht="15">
      <c r="A571" s="124" t="s">
        <v>7727</v>
      </c>
      <c r="B571" s="161" t="s">
        <v>7555</v>
      </c>
      <c r="C571" s="268" t="s">
        <v>267</v>
      </c>
      <c r="D571" s="243">
        <v>4</v>
      </c>
      <c r="E571" s="183">
        <v>141</v>
      </c>
      <c r="F571" s="244">
        <v>20</v>
      </c>
      <c r="G571" s="245">
        <v>2</v>
      </c>
      <c r="L571" s="254">
        <v>7</v>
      </c>
      <c r="N571" s="246">
        <v>5</v>
      </c>
      <c r="O571" s="159">
        <v>42191</v>
      </c>
      <c r="T571" s="247">
        <v>14.57</v>
      </c>
      <c r="U571" s="256">
        <v>42200</v>
      </c>
      <c r="V571" s="145">
        <v>18.5</v>
      </c>
      <c r="W571" s="159">
        <v>42191</v>
      </c>
      <c r="AD571" s="145">
        <f>(N571/V571)*(((100-CD571)/100)*((100-2)/100))*100</f>
        <v>24.208648648648651</v>
      </c>
      <c r="AF571" s="248">
        <f>(N571/V571)*(((100-CD571)/(100-9))*100)</f>
        <v>27.145827145827148</v>
      </c>
      <c r="AG571" s="159">
        <v>42191</v>
      </c>
      <c r="AJ571" s="249">
        <v>115</v>
      </c>
      <c r="AN571" s="250">
        <v>105</v>
      </c>
      <c r="BB571" s="257">
        <v>9</v>
      </c>
      <c r="BN571" s="251">
        <v>66.013999999999996</v>
      </c>
      <c r="BO571" s="256">
        <v>42200</v>
      </c>
      <c r="BT571" s="251">
        <v>52.635841369628906</v>
      </c>
      <c r="BU571" s="256">
        <v>42200</v>
      </c>
      <c r="BV571" s="251">
        <v>16.412820816040039</v>
      </c>
      <c r="BW571" s="256">
        <v>42200</v>
      </c>
      <c r="BX571" s="251">
        <v>18.366</v>
      </c>
      <c r="BY571" s="256">
        <v>42200</v>
      </c>
      <c r="CD571" s="253">
        <v>8.6</v>
      </c>
      <c r="CE571" s="159">
        <v>42191</v>
      </c>
      <c r="CM571" s="255">
        <v>1</v>
      </c>
      <c r="CN571" s="256">
        <v>42180</v>
      </c>
      <c r="CO571" s="140" t="s">
        <v>8447</v>
      </c>
    </row>
    <row r="572" spans="1:93" ht="15">
      <c r="A572" s="124" t="s">
        <v>7645</v>
      </c>
      <c r="B572" s="161" t="s">
        <v>260</v>
      </c>
      <c r="C572" s="268" t="s">
        <v>269</v>
      </c>
      <c r="D572" s="243">
        <v>1</v>
      </c>
      <c r="E572" s="183">
        <v>59</v>
      </c>
      <c r="F572" s="244">
        <v>4</v>
      </c>
      <c r="G572" s="245">
        <v>18</v>
      </c>
      <c r="L572" s="254">
        <v>9</v>
      </c>
      <c r="N572" s="246">
        <v>4.91</v>
      </c>
      <c r="O572" s="159">
        <v>42191</v>
      </c>
      <c r="T572" s="247">
        <v>14.24</v>
      </c>
      <c r="U572" s="256">
        <v>42200</v>
      </c>
      <c r="V572" s="145">
        <v>18.5</v>
      </c>
      <c r="W572" s="159">
        <v>42191</v>
      </c>
      <c r="AD572" s="145">
        <f>(N572/V572)*(((100-CD572)/100)*((100-2)/100))*100</f>
        <v>24.21505837837838</v>
      </c>
      <c r="AF572" s="248">
        <f>(N572/V572)*(((100-CD572)/(100-9))*100)</f>
        <v>27.15301455301455</v>
      </c>
      <c r="AG572" s="159">
        <v>42191</v>
      </c>
      <c r="AJ572" s="249">
        <v>155</v>
      </c>
      <c r="AN572" s="250">
        <v>100</v>
      </c>
      <c r="BB572" s="257">
        <v>7</v>
      </c>
      <c r="BN572" s="251">
        <v>63.868000000000002</v>
      </c>
      <c r="BO572" s="256">
        <v>42200</v>
      </c>
      <c r="BT572" s="251">
        <v>51.455596923828125</v>
      </c>
      <c r="BU572" s="256">
        <v>42200</v>
      </c>
      <c r="BV572" s="251">
        <v>17.351512908935547</v>
      </c>
      <c r="BW572" s="256">
        <v>42200</v>
      </c>
      <c r="BX572" s="251">
        <v>21.108000000000001</v>
      </c>
      <c r="BY572" s="256">
        <v>42200</v>
      </c>
      <c r="CD572" s="253">
        <v>6.9</v>
      </c>
      <c r="CE572" s="159">
        <v>42191</v>
      </c>
      <c r="CM572" s="255">
        <v>1</v>
      </c>
      <c r="CN572" s="256">
        <v>42180</v>
      </c>
      <c r="CO572" s="140" t="s">
        <v>8447</v>
      </c>
    </row>
    <row r="573" spans="1:93" ht="15">
      <c r="A573" s="124" t="s">
        <v>7733</v>
      </c>
      <c r="B573" s="161" t="s">
        <v>8255</v>
      </c>
      <c r="C573" s="268" t="s">
        <v>267</v>
      </c>
      <c r="D573" s="243">
        <v>4</v>
      </c>
      <c r="E573" s="183">
        <v>147</v>
      </c>
      <c r="F573" s="244">
        <v>21</v>
      </c>
      <c r="G573" s="245">
        <v>5</v>
      </c>
      <c r="L573" s="254">
        <v>9</v>
      </c>
      <c r="N573" s="246">
        <v>5</v>
      </c>
      <c r="O573" s="159">
        <v>42191</v>
      </c>
      <c r="T573" s="247">
        <v>13.54</v>
      </c>
      <c r="U573" s="256">
        <v>42200</v>
      </c>
      <c r="V573" s="145">
        <v>18.5</v>
      </c>
      <c r="W573" s="159">
        <v>42191</v>
      </c>
      <c r="AD573" s="145">
        <f>(N573/V573)*(((100-CD573)/100)*((100-2)/100))*100</f>
        <v>24.235135135135138</v>
      </c>
      <c r="AF573" s="248">
        <v>27.7</v>
      </c>
      <c r="AG573" s="159">
        <v>42191</v>
      </c>
      <c r="AJ573" s="249">
        <v>130</v>
      </c>
      <c r="AN573" s="250">
        <v>103</v>
      </c>
      <c r="BB573" s="257">
        <v>9</v>
      </c>
      <c r="BN573" s="251">
        <v>62.9</v>
      </c>
      <c r="BO573" s="256">
        <v>42200</v>
      </c>
      <c r="BT573" s="251">
        <v>48.868793487548828</v>
      </c>
      <c r="BU573" s="256">
        <v>42200</v>
      </c>
      <c r="BV573" s="251">
        <v>17.903966903686523</v>
      </c>
      <c r="BW573" s="256">
        <v>42200</v>
      </c>
      <c r="BX573" s="251">
        <v>20.582999999999998</v>
      </c>
      <c r="BY573" s="256">
        <v>42200</v>
      </c>
      <c r="CD573" s="253">
        <v>8.5</v>
      </c>
      <c r="CE573" s="159">
        <v>42191</v>
      </c>
      <c r="CM573" s="255">
        <v>3</v>
      </c>
      <c r="CN573" s="256">
        <v>42180</v>
      </c>
      <c r="CO573" s="140" t="s">
        <v>8447</v>
      </c>
    </row>
    <row r="574" spans="1:93" ht="15" customHeight="1">
      <c r="A574" s="124" t="s">
        <v>7524</v>
      </c>
      <c r="B574" s="161" t="s">
        <v>7524</v>
      </c>
      <c r="C574" s="268" t="s">
        <v>269</v>
      </c>
      <c r="D574" s="257">
        <v>1</v>
      </c>
      <c r="E574" s="191">
        <v>188</v>
      </c>
      <c r="F574" s="257">
        <v>3</v>
      </c>
      <c r="G574" s="257">
        <v>2</v>
      </c>
      <c r="L574" s="257">
        <v>5</v>
      </c>
      <c r="N574" s="257">
        <v>4.93</v>
      </c>
      <c r="O574" s="159">
        <v>42191</v>
      </c>
      <c r="T574" s="257">
        <v>13.9</v>
      </c>
      <c r="U574" s="256">
        <v>42200</v>
      </c>
      <c r="V574" s="145">
        <v>18.5</v>
      </c>
      <c r="W574" s="159">
        <v>42191</v>
      </c>
      <c r="AD574" s="145">
        <f>(N574/V574)*(((100-CD574)/100)*((100-2)/100))*100</f>
        <v>24.235347027027025</v>
      </c>
      <c r="AF574" s="257">
        <v>27.7</v>
      </c>
      <c r="AG574" s="159">
        <v>42191</v>
      </c>
      <c r="AJ574" s="257">
        <v>135</v>
      </c>
      <c r="AN574" s="257">
        <v>98</v>
      </c>
      <c r="BB574" s="257">
        <v>5</v>
      </c>
      <c r="BN574" s="251">
        <v>63.670999999999999</v>
      </c>
      <c r="BO574" s="256">
        <v>42200</v>
      </c>
      <c r="BT574" s="251">
        <v>50.190826416015625</v>
      </c>
      <c r="BU574" s="256">
        <v>42200</v>
      </c>
      <c r="BV574" s="251">
        <v>18.248779296875</v>
      </c>
      <c r="BW574" s="256">
        <v>42200</v>
      </c>
      <c r="BX574" s="251">
        <v>11.476000000000001</v>
      </c>
      <c r="BY574" s="256">
        <v>42200</v>
      </c>
      <c r="CD574" s="257">
        <v>7.2</v>
      </c>
      <c r="CE574" s="159">
        <v>42191</v>
      </c>
      <c r="CM574" s="255">
        <v>1</v>
      </c>
      <c r="CN574" s="256">
        <v>42180</v>
      </c>
      <c r="CO574" s="140" t="s">
        <v>8447</v>
      </c>
    </row>
    <row r="575" spans="1:93" ht="15">
      <c r="A575" s="124" t="s">
        <v>7682</v>
      </c>
      <c r="B575" s="161" t="s">
        <v>7529</v>
      </c>
      <c r="C575" s="268" t="s">
        <v>267</v>
      </c>
      <c r="D575" s="243">
        <v>3</v>
      </c>
      <c r="E575" s="183">
        <v>96</v>
      </c>
      <c r="F575" s="244">
        <v>16</v>
      </c>
      <c r="G575" s="245">
        <v>32</v>
      </c>
      <c r="L575" s="254">
        <v>5</v>
      </c>
      <c r="N575" s="246">
        <v>4.92</v>
      </c>
      <c r="O575" s="159">
        <v>42191</v>
      </c>
      <c r="T575" s="247">
        <v>13.2</v>
      </c>
      <c r="U575" s="256">
        <v>42200</v>
      </c>
      <c r="V575" s="145">
        <v>18.5</v>
      </c>
      <c r="W575" s="159">
        <v>42191</v>
      </c>
      <c r="AD575" s="145">
        <f>(N575/V575)*(((100-CD575)/100)*((100-2)/100))*100</f>
        <v>24.238313513513514</v>
      </c>
      <c r="AF575" s="248">
        <v>27.71</v>
      </c>
      <c r="AG575" s="159">
        <v>42191</v>
      </c>
      <c r="AJ575" s="249">
        <v>130</v>
      </c>
      <c r="AN575" s="250">
        <v>103</v>
      </c>
      <c r="BB575" s="257">
        <v>9</v>
      </c>
      <c r="BN575" s="251">
        <v>65.031000000000006</v>
      </c>
      <c r="BO575" s="256">
        <v>42200</v>
      </c>
      <c r="BT575" s="251">
        <v>47.615814208984375</v>
      </c>
      <c r="BU575" s="256">
        <v>42200</v>
      </c>
      <c r="BV575" s="251">
        <v>19.379751205444336</v>
      </c>
      <c r="BW575" s="256">
        <v>42200</v>
      </c>
      <c r="BX575" s="251">
        <v>19.710999999999999</v>
      </c>
      <c r="BY575" s="256">
        <v>42200</v>
      </c>
      <c r="CD575" s="253">
        <v>7</v>
      </c>
      <c r="CE575" s="159">
        <v>42191</v>
      </c>
      <c r="CM575" s="255">
        <v>3</v>
      </c>
      <c r="CN575" s="256">
        <v>42180</v>
      </c>
      <c r="CO575" s="140" t="s">
        <v>8447</v>
      </c>
    </row>
    <row r="576" spans="1:93" ht="15">
      <c r="A576" s="124" t="s">
        <v>7699</v>
      </c>
      <c r="B576" s="161" t="s">
        <v>7545</v>
      </c>
      <c r="C576" s="268" t="s">
        <v>267</v>
      </c>
      <c r="D576" s="243">
        <v>4</v>
      </c>
      <c r="E576" s="183">
        <v>113</v>
      </c>
      <c r="F576" s="244">
        <v>19</v>
      </c>
      <c r="G576" s="245">
        <v>12</v>
      </c>
      <c r="L576" s="254">
        <v>9</v>
      </c>
      <c r="N576" s="246">
        <v>4.99</v>
      </c>
      <c r="O576" s="159">
        <v>42191</v>
      </c>
      <c r="T576" s="247">
        <v>13.67</v>
      </c>
      <c r="U576" s="256">
        <v>42200</v>
      </c>
      <c r="V576" s="145">
        <v>18.5</v>
      </c>
      <c r="W576" s="159">
        <v>42191</v>
      </c>
      <c r="AD576" s="145">
        <f>(N576/V576)*(((100-CD576)/100)*((100-2)/100))*100</f>
        <v>24.265965405405403</v>
      </c>
      <c r="AF576" s="248">
        <f>(N576/V576)*(((100-CD576)/(100-9))*100)</f>
        <v>27.210098010098012</v>
      </c>
      <c r="AG576" s="159">
        <v>42191</v>
      </c>
      <c r="AJ576" s="249">
        <v>120</v>
      </c>
      <c r="AN576" s="250">
        <v>103</v>
      </c>
      <c r="BB576" s="257">
        <v>7</v>
      </c>
      <c r="BN576" s="251">
        <v>60.847000000000001</v>
      </c>
      <c r="BO576" s="256">
        <v>42200</v>
      </c>
      <c r="BT576" s="251">
        <v>49.29180908203125</v>
      </c>
      <c r="BU576" s="256">
        <v>42200</v>
      </c>
      <c r="BV576" s="251">
        <v>18.601289749145508</v>
      </c>
      <c r="BW576" s="256">
        <v>42200</v>
      </c>
      <c r="BX576" s="251">
        <v>18.454999999999998</v>
      </c>
      <c r="BY576" s="256">
        <v>42200</v>
      </c>
      <c r="CD576" s="253">
        <v>8.1999999999999993</v>
      </c>
      <c r="CE576" s="159">
        <v>42191</v>
      </c>
      <c r="CM576" s="255">
        <v>1</v>
      </c>
      <c r="CN576" s="256">
        <v>42180</v>
      </c>
      <c r="CO576" s="140" t="s">
        <v>8447</v>
      </c>
    </row>
    <row r="577" spans="1:93" ht="15" customHeight="1">
      <c r="A577" s="124" t="s">
        <v>7602</v>
      </c>
      <c r="B577" s="161" t="s">
        <v>7458</v>
      </c>
      <c r="C577" s="268" t="s">
        <v>269</v>
      </c>
      <c r="D577" s="257">
        <v>1</v>
      </c>
      <c r="E577" s="241">
        <v>16</v>
      </c>
      <c r="F577" s="257">
        <v>3</v>
      </c>
      <c r="G577" s="257">
        <v>3</v>
      </c>
      <c r="J577" s="266"/>
      <c r="L577" s="257">
        <v>9</v>
      </c>
      <c r="N577" s="257">
        <v>4.9400000000000004</v>
      </c>
      <c r="O577" s="159">
        <v>42191</v>
      </c>
      <c r="P577" s="144"/>
      <c r="R577" s="145"/>
      <c r="T577" s="257">
        <v>13.66</v>
      </c>
      <c r="U577" s="256">
        <v>42200</v>
      </c>
      <c r="V577" s="145">
        <v>18.5</v>
      </c>
      <c r="W577" s="159">
        <v>42191</v>
      </c>
      <c r="X577" s="145"/>
      <c r="Z577" s="145"/>
      <c r="AB577" s="145"/>
      <c r="AD577" s="145">
        <f>(N577/V577)*(((100-CD577)/100)*((100-2)/100))*100</f>
        <v>24.284505945945948</v>
      </c>
      <c r="AF577" s="257">
        <v>27.76</v>
      </c>
      <c r="AG577" s="159">
        <v>42191</v>
      </c>
      <c r="AJ577" s="257">
        <v>160</v>
      </c>
      <c r="AL577" s="145"/>
      <c r="AN577" s="257">
        <v>100</v>
      </c>
      <c r="BB577" s="257">
        <v>7</v>
      </c>
      <c r="BN577" s="251">
        <v>64.566999999999993</v>
      </c>
      <c r="BO577" s="256">
        <v>42200</v>
      </c>
      <c r="BT577" s="251">
        <v>49.199111938476562</v>
      </c>
      <c r="BU577" s="256">
        <v>42200</v>
      </c>
      <c r="BV577" s="251">
        <v>18.873586654663086</v>
      </c>
      <c r="BW577" s="256">
        <v>42200</v>
      </c>
      <c r="BX577" s="251">
        <v>61.040999999999997</v>
      </c>
      <c r="BY577" s="256">
        <v>42200</v>
      </c>
      <c r="CD577" s="257">
        <v>7.2</v>
      </c>
      <c r="CE577" s="159">
        <v>42191</v>
      </c>
      <c r="CM577" s="255">
        <v>5</v>
      </c>
      <c r="CN577" s="256">
        <v>42180</v>
      </c>
      <c r="CO577" s="140" t="s">
        <v>8447</v>
      </c>
    </row>
    <row r="578" spans="1:93" ht="15">
      <c r="A578" s="126" t="s">
        <v>7735</v>
      </c>
      <c r="B578" s="161" t="s">
        <v>7559</v>
      </c>
      <c r="C578" s="268" t="s">
        <v>267</v>
      </c>
      <c r="D578" s="243">
        <v>3</v>
      </c>
      <c r="E578" s="179">
        <v>149</v>
      </c>
      <c r="F578" s="244">
        <v>13</v>
      </c>
      <c r="G578" s="245">
        <v>29</v>
      </c>
      <c r="L578" s="254">
        <v>5</v>
      </c>
      <c r="N578" s="246">
        <v>4.9000000000000004</v>
      </c>
      <c r="O578" s="159">
        <v>42191</v>
      </c>
      <c r="T578" s="247">
        <v>13.91</v>
      </c>
      <c r="U578" s="256">
        <v>42200</v>
      </c>
      <c r="V578" s="145">
        <v>18.5</v>
      </c>
      <c r="W578" s="159">
        <v>42191</v>
      </c>
      <c r="AD578" s="145">
        <f>(N578/V578)*(((100-CD578)/100)*((100-2)/100))*100</f>
        <v>24.295524324324322</v>
      </c>
      <c r="AF578" s="248">
        <v>27.77</v>
      </c>
      <c r="AG578" s="159">
        <v>42191</v>
      </c>
      <c r="AJ578" s="249">
        <v>130</v>
      </c>
      <c r="AN578" s="250">
        <v>102</v>
      </c>
      <c r="BB578" s="257">
        <v>7</v>
      </c>
      <c r="BN578" s="251">
        <v>65.224999999999994</v>
      </c>
      <c r="BO578" s="256">
        <v>42200</v>
      </c>
      <c r="BT578" s="251">
        <v>50.09356689453125</v>
      </c>
      <c r="BU578" s="256">
        <v>42200</v>
      </c>
      <c r="BV578" s="251">
        <v>17.683866500854492</v>
      </c>
      <c r="BW578" s="256">
        <v>42200</v>
      </c>
      <c r="BX578" s="251">
        <v>18.309000000000001</v>
      </c>
      <c r="BY578" s="256">
        <v>42200</v>
      </c>
      <c r="CD578" s="253">
        <v>6.4</v>
      </c>
      <c r="CE578" s="159">
        <v>42191</v>
      </c>
      <c r="CM578" s="255">
        <v>3</v>
      </c>
      <c r="CN578" s="256">
        <v>42180</v>
      </c>
      <c r="CO578" s="140" t="s">
        <v>8447</v>
      </c>
    </row>
    <row r="579" spans="1:93" ht="15" customHeight="1">
      <c r="A579" s="124" t="s">
        <v>7730</v>
      </c>
      <c r="B579" s="161" t="s">
        <v>8247</v>
      </c>
      <c r="C579" s="268" t="s">
        <v>269</v>
      </c>
      <c r="D579" s="257">
        <v>1</v>
      </c>
      <c r="E579" s="183">
        <v>144</v>
      </c>
      <c r="F579" s="257">
        <v>5</v>
      </c>
      <c r="G579" s="257">
        <v>1</v>
      </c>
      <c r="L579" s="257">
        <v>9</v>
      </c>
      <c r="N579" s="257">
        <v>4.96</v>
      </c>
      <c r="O579" s="159">
        <v>42191</v>
      </c>
      <c r="T579" s="257">
        <v>13.84</v>
      </c>
      <c r="U579" s="256">
        <v>42200</v>
      </c>
      <c r="V579" s="145">
        <v>18.5</v>
      </c>
      <c r="W579" s="159">
        <v>42191</v>
      </c>
      <c r="AD579" s="145">
        <f>(N579/V579)*(((100-CD579)/100)*((100-2)/100))*100</f>
        <v>24.356549189189188</v>
      </c>
      <c r="AF579" s="257">
        <v>27.84</v>
      </c>
      <c r="AG579" s="159">
        <v>42191</v>
      </c>
      <c r="AJ579" s="257">
        <v>155</v>
      </c>
      <c r="AN579" s="257">
        <v>102</v>
      </c>
      <c r="BB579" s="257">
        <v>9</v>
      </c>
      <c r="BN579" s="251">
        <v>63.231999999999999</v>
      </c>
      <c r="BO579" s="256">
        <v>42200</v>
      </c>
      <c r="BT579" s="251">
        <v>49.728485107421875</v>
      </c>
      <c r="BU579" s="256">
        <v>42200</v>
      </c>
      <c r="BV579" s="251">
        <v>17.875741958618164</v>
      </c>
      <c r="BW579" s="256">
        <v>42200</v>
      </c>
      <c r="BX579" s="251">
        <v>21.975000000000001</v>
      </c>
      <c r="BY579" s="256">
        <v>42200</v>
      </c>
      <c r="CD579" s="257">
        <v>7.3</v>
      </c>
      <c r="CE579" s="159">
        <v>42191</v>
      </c>
      <c r="CM579" s="255">
        <v>3</v>
      </c>
      <c r="CN579" s="256">
        <v>42180</v>
      </c>
      <c r="CO579" s="140" t="s">
        <v>8447</v>
      </c>
    </row>
    <row r="580" spans="1:93" ht="15">
      <c r="A580" s="124" t="s">
        <v>7716</v>
      </c>
      <c r="B580" s="161" t="s">
        <v>7553</v>
      </c>
      <c r="C580" s="268" t="s">
        <v>267</v>
      </c>
      <c r="D580" s="243">
        <v>4</v>
      </c>
      <c r="E580" s="183">
        <v>130</v>
      </c>
      <c r="F580" s="244">
        <v>20</v>
      </c>
      <c r="G580" s="245">
        <v>15</v>
      </c>
      <c r="L580" s="254">
        <v>8</v>
      </c>
      <c r="N580" s="246">
        <v>4.9800000000000004</v>
      </c>
      <c r="O580" s="159">
        <v>42191</v>
      </c>
      <c r="T580" s="247">
        <v>14.51</v>
      </c>
      <c r="U580" s="256">
        <v>42200</v>
      </c>
      <c r="V580" s="145">
        <v>18.5</v>
      </c>
      <c r="W580" s="159">
        <v>42191</v>
      </c>
      <c r="AD580" s="145">
        <f>(N580/V580)*(((100-CD580)/100)*((100-2)/100))*100</f>
        <v>24.402000000000001</v>
      </c>
      <c r="AF580" s="248">
        <f>(N580/V580)*(((100-CD580)/(100-9))*100)</f>
        <v>27.362637362637365</v>
      </c>
      <c r="AG580" s="159">
        <v>42191</v>
      </c>
      <c r="AJ580" s="249">
        <v>115</v>
      </c>
      <c r="AN580" s="250">
        <v>103</v>
      </c>
      <c r="BB580" s="257">
        <v>7</v>
      </c>
      <c r="BN580" s="251">
        <v>65.167000000000002</v>
      </c>
      <c r="BO580" s="256">
        <v>42200</v>
      </c>
      <c r="BT580" s="251">
        <v>52.015373229980469</v>
      </c>
      <c r="BU580" s="256">
        <v>42200</v>
      </c>
      <c r="BV580" s="251">
        <v>16.884218215942383</v>
      </c>
      <c r="BW580" s="256">
        <v>42200</v>
      </c>
      <c r="BX580" s="251">
        <v>22.018999999999998</v>
      </c>
      <c r="BY580" s="256">
        <v>42200</v>
      </c>
      <c r="CD580" s="253">
        <v>7.5</v>
      </c>
      <c r="CE580" s="159">
        <v>42191</v>
      </c>
      <c r="CM580" s="255">
        <v>1</v>
      </c>
      <c r="CN580" s="256">
        <v>42180</v>
      </c>
      <c r="CO580" s="140" t="s">
        <v>8447</v>
      </c>
    </row>
    <row r="581" spans="1:93" ht="15">
      <c r="A581" s="124" t="s">
        <v>7640</v>
      </c>
      <c r="B581" s="161" t="s">
        <v>7492</v>
      </c>
      <c r="C581" s="268" t="s">
        <v>269</v>
      </c>
      <c r="D581" s="243">
        <v>1</v>
      </c>
      <c r="E581" s="183">
        <v>54</v>
      </c>
      <c r="F581" s="244">
        <v>6</v>
      </c>
      <c r="G581" s="245">
        <v>9</v>
      </c>
      <c r="L581" s="254">
        <v>8</v>
      </c>
      <c r="N581" s="246">
        <v>4.97</v>
      </c>
      <c r="O581" s="159">
        <v>42191</v>
      </c>
      <c r="T581" s="247">
        <v>14.24</v>
      </c>
      <c r="U581" s="256">
        <v>42200</v>
      </c>
      <c r="V581" s="145">
        <v>18.5</v>
      </c>
      <c r="W581" s="159">
        <v>42191</v>
      </c>
      <c r="AD581" s="145">
        <f>(N581/V581)*(((100-CD581)/100)*((100-2)/100))*100</f>
        <v>24.431982702702697</v>
      </c>
      <c r="AF581" s="248">
        <f>(N581/V581)*(((100-CD581)/(100-9))*100)</f>
        <v>27.396257796257792</v>
      </c>
      <c r="AG581" s="159">
        <v>42191</v>
      </c>
      <c r="AJ581" s="249">
        <v>160</v>
      </c>
      <c r="AN581" s="250">
        <v>104</v>
      </c>
      <c r="BB581" s="257">
        <v>5</v>
      </c>
      <c r="BN581" s="251">
        <v>59.777999999999999</v>
      </c>
      <c r="BO581" s="256">
        <v>42200</v>
      </c>
      <c r="BT581" s="251">
        <v>50.972347259521484</v>
      </c>
      <c r="BU581" s="256">
        <v>42200</v>
      </c>
      <c r="BV581" s="251">
        <v>16.549831390380859</v>
      </c>
      <c r="BW581" s="256">
        <v>42200</v>
      </c>
      <c r="BX581" s="251">
        <v>19.959</v>
      </c>
      <c r="BY581" s="256">
        <v>42200</v>
      </c>
      <c r="CD581" s="253">
        <v>7.2</v>
      </c>
      <c r="CE581" s="159">
        <v>42191</v>
      </c>
      <c r="CM581" s="255">
        <v>1</v>
      </c>
      <c r="CN581" s="256">
        <v>42180</v>
      </c>
      <c r="CO581" s="140" t="s">
        <v>8447</v>
      </c>
    </row>
    <row r="582" spans="1:93" ht="15">
      <c r="A582" s="124" t="s">
        <v>7711</v>
      </c>
      <c r="B582" s="161" t="s">
        <v>7550</v>
      </c>
      <c r="C582" s="268" t="s">
        <v>269</v>
      </c>
      <c r="D582" s="243">
        <v>1</v>
      </c>
      <c r="E582" s="183">
        <v>125</v>
      </c>
      <c r="F582" s="244">
        <v>1</v>
      </c>
      <c r="G582" s="245">
        <v>4</v>
      </c>
      <c r="L582" s="254">
        <v>9</v>
      </c>
      <c r="N582" s="246">
        <v>4.96</v>
      </c>
      <c r="O582" s="159">
        <v>42191</v>
      </c>
      <c r="T582" s="247">
        <v>13.67</v>
      </c>
      <c r="U582" s="256">
        <v>42200</v>
      </c>
      <c r="V582" s="145">
        <v>18.5</v>
      </c>
      <c r="W582" s="159">
        <v>42191</v>
      </c>
      <c r="AD582" s="145">
        <f>(N582/V582)*(((100-CD582)/100)*((100-2)/100))*100</f>
        <v>24.435372972972971</v>
      </c>
      <c r="AF582" s="248">
        <f>(N582/V582)*(((100-CD582)/(100-9))*100)</f>
        <v>27.400059400059398</v>
      </c>
      <c r="AG582" s="159">
        <v>42191</v>
      </c>
      <c r="AJ582" s="249">
        <v>150</v>
      </c>
      <c r="AN582" s="250">
        <v>106</v>
      </c>
      <c r="BB582" s="257">
        <v>5</v>
      </c>
      <c r="BN582" s="251">
        <v>62.127000000000002</v>
      </c>
      <c r="BO582" s="256">
        <v>42200</v>
      </c>
      <c r="BT582" s="251">
        <v>48.938453674316406</v>
      </c>
      <c r="BU582" s="256">
        <v>42200</v>
      </c>
      <c r="BV582" s="251">
        <v>18.268501281738281</v>
      </c>
      <c r="BW582" s="256">
        <v>42200</v>
      </c>
      <c r="BX582" s="251">
        <v>13.565</v>
      </c>
      <c r="BY582" s="256">
        <v>42200</v>
      </c>
      <c r="CD582" s="253">
        <v>7</v>
      </c>
      <c r="CE582" s="159">
        <v>42191</v>
      </c>
      <c r="CM582" s="255">
        <v>1</v>
      </c>
      <c r="CN582" s="256">
        <v>42180</v>
      </c>
      <c r="CO582" s="140" t="s">
        <v>8447</v>
      </c>
    </row>
    <row r="583" spans="1:93" ht="15">
      <c r="A583" s="124" t="s">
        <v>7660</v>
      </c>
      <c r="B583" s="161" t="s">
        <v>7509</v>
      </c>
      <c r="C583" s="268" t="s">
        <v>269</v>
      </c>
      <c r="D583" s="243">
        <v>1</v>
      </c>
      <c r="E583" s="183">
        <v>74</v>
      </c>
      <c r="F583" s="244">
        <v>5</v>
      </c>
      <c r="G583" s="245">
        <v>21</v>
      </c>
      <c r="L583" s="254">
        <v>6</v>
      </c>
      <c r="N583" s="246">
        <v>4.96</v>
      </c>
      <c r="O583" s="159">
        <v>42191</v>
      </c>
      <c r="T583" s="247">
        <v>13.94</v>
      </c>
      <c r="U583" s="256">
        <v>42200</v>
      </c>
      <c r="V583" s="145">
        <v>18.5</v>
      </c>
      <c r="W583" s="159">
        <v>42191</v>
      </c>
      <c r="AD583" s="145">
        <f>(N583/V583)*(((100-CD583)/100)*((100-2)/100))*100</f>
        <v>24.435372972972971</v>
      </c>
      <c r="AF583" s="248">
        <v>27.93</v>
      </c>
      <c r="AG583" s="159">
        <v>42191</v>
      </c>
      <c r="AJ583" s="249">
        <v>140</v>
      </c>
      <c r="AN583" s="250">
        <v>104</v>
      </c>
      <c r="BB583" s="257">
        <v>7</v>
      </c>
      <c r="BN583" s="251">
        <v>63.499000000000002</v>
      </c>
      <c r="BO583" s="256">
        <v>42200</v>
      </c>
      <c r="BT583" s="251">
        <v>49.903659820556641</v>
      </c>
      <c r="BU583" s="256">
        <v>42200</v>
      </c>
      <c r="BV583" s="251">
        <v>17.867731094360352</v>
      </c>
      <c r="BW583" s="256">
        <v>42200</v>
      </c>
      <c r="BX583" s="251">
        <v>18.702000000000002</v>
      </c>
      <c r="BY583" s="256">
        <v>42200</v>
      </c>
      <c r="CD583" s="253">
        <v>7</v>
      </c>
      <c r="CE583" s="159">
        <v>42191</v>
      </c>
      <c r="CM583" s="255">
        <v>3</v>
      </c>
      <c r="CN583" s="256">
        <v>42180</v>
      </c>
      <c r="CO583" s="140" t="s">
        <v>8447</v>
      </c>
    </row>
    <row r="584" spans="1:93" ht="15">
      <c r="A584" s="124" t="s">
        <v>7721</v>
      </c>
      <c r="B584" s="161" t="s">
        <v>7788</v>
      </c>
      <c r="C584" s="268" t="s">
        <v>267</v>
      </c>
      <c r="D584" s="243">
        <v>3</v>
      </c>
      <c r="E584" s="183">
        <v>135</v>
      </c>
      <c r="F584" s="244">
        <v>18</v>
      </c>
      <c r="G584" s="245">
        <v>17</v>
      </c>
      <c r="L584" s="254">
        <v>7</v>
      </c>
      <c r="N584" s="246">
        <v>5</v>
      </c>
      <c r="O584" s="159">
        <v>42191</v>
      </c>
      <c r="T584" s="247">
        <v>13.92</v>
      </c>
      <c r="U584" s="256">
        <v>42200</v>
      </c>
      <c r="V584" s="145">
        <v>18.5</v>
      </c>
      <c r="W584" s="159">
        <v>42191</v>
      </c>
      <c r="AD584" s="145">
        <f>(N584/V584)*(((100-CD584)/100)*((100-2)/100))*100</f>
        <v>24.447027027027026</v>
      </c>
      <c r="AF584" s="248">
        <v>27.95</v>
      </c>
      <c r="AG584" s="159">
        <v>42191</v>
      </c>
      <c r="AJ584" s="249">
        <v>105</v>
      </c>
      <c r="AN584" s="250">
        <v>102</v>
      </c>
      <c r="BB584" s="257">
        <v>7</v>
      </c>
      <c r="BN584" s="251">
        <v>61.034999999999997</v>
      </c>
      <c r="BO584" s="256">
        <v>42200</v>
      </c>
      <c r="BT584" s="251">
        <v>49.805953979492188</v>
      </c>
      <c r="BU584" s="256">
        <v>42200</v>
      </c>
      <c r="BV584" s="251">
        <v>19.37348747253418</v>
      </c>
      <c r="BW584" s="256">
        <v>42200</v>
      </c>
      <c r="BX584" s="251">
        <v>15.601000000000001</v>
      </c>
      <c r="BY584" s="256">
        <v>42200</v>
      </c>
      <c r="CD584" s="253">
        <v>7.7</v>
      </c>
      <c r="CE584" s="159">
        <v>42191</v>
      </c>
      <c r="CM584" s="255">
        <v>3</v>
      </c>
      <c r="CN584" s="256">
        <v>42180</v>
      </c>
      <c r="CO584" s="140" t="s">
        <v>8447</v>
      </c>
    </row>
    <row r="585" spans="1:93" ht="15">
      <c r="A585" s="124" t="s">
        <v>7765</v>
      </c>
      <c r="B585" s="161" t="s">
        <v>7585</v>
      </c>
      <c r="C585" s="268" t="s">
        <v>269</v>
      </c>
      <c r="D585" s="243">
        <v>2</v>
      </c>
      <c r="E585" s="183">
        <v>179</v>
      </c>
      <c r="F585" s="244">
        <v>12</v>
      </c>
      <c r="G585" s="245">
        <v>1</v>
      </c>
      <c r="L585" s="254">
        <v>7</v>
      </c>
      <c r="N585" s="246">
        <v>4.9800000000000004</v>
      </c>
      <c r="O585" s="159">
        <v>42191</v>
      </c>
      <c r="T585" s="247">
        <v>14.15</v>
      </c>
      <c r="U585" s="256">
        <v>42200</v>
      </c>
      <c r="V585" s="145">
        <v>18.5</v>
      </c>
      <c r="W585" s="159">
        <v>42191</v>
      </c>
      <c r="AD585" s="145">
        <f>(N585/V585)*(((100-CD585)/100)*((100-2)/100))*100</f>
        <v>24.454761081081084</v>
      </c>
      <c r="AF585" s="248">
        <v>27.96</v>
      </c>
      <c r="AG585" s="159">
        <v>42191</v>
      </c>
      <c r="AJ585" s="249">
        <v>125</v>
      </c>
      <c r="AN585" s="250">
        <v>105</v>
      </c>
      <c r="BB585" s="257">
        <v>7</v>
      </c>
      <c r="BN585" s="251">
        <v>64.11</v>
      </c>
      <c r="BO585" s="256">
        <v>42200</v>
      </c>
      <c r="BT585" s="251">
        <v>50.618080139160156</v>
      </c>
      <c r="BU585" s="256">
        <v>42200</v>
      </c>
      <c r="BV585" s="251">
        <v>17.336227416992187</v>
      </c>
      <c r="BW585" s="256">
        <v>42200</v>
      </c>
      <c r="BX585" s="251">
        <v>20.048999999999999</v>
      </c>
      <c r="BY585" s="256">
        <v>42200</v>
      </c>
      <c r="CD585" s="253">
        <v>7.3</v>
      </c>
      <c r="CE585" s="159">
        <v>42191</v>
      </c>
      <c r="CM585" s="255">
        <v>3</v>
      </c>
      <c r="CN585" s="256">
        <v>42180</v>
      </c>
      <c r="CO585" s="140" t="s">
        <v>8448</v>
      </c>
    </row>
    <row r="586" spans="1:93" ht="15">
      <c r="A586" s="124" t="s">
        <v>8329</v>
      </c>
      <c r="B586" s="161" t="s">
        <v>8329</v>
      </c>
      <c r="C586" s="268" t="s">
        <v>267</v>
      </c>
      <c r="D586" s="243">
        <v>4</v>
      </c>
      <c r="E586" s="191">
        <v>192</v>
      </c>
      <c r="F586" s="244">
        <v>21</v>
      </c>
      <c r="G586" s="245">
        <v>12</v>
      </c>
      <c r="L586" s="254">
        <v>9</v>
      </c>
      <c r="N586" s="246">
        <v>5</v>
      </c>
      <c r="O586" s="159">
        <v>42191</v>
      </c>
      <c r="T586" s="247">
        <v>14.82</v>
      </c>
      <c r="U586" s="256">
        <v>42200</v>
      </c>
      <c r="V586" s="145">
        <v>18.5</v>
      </c>
      <c r="W586" s="159">
        <v>42191</v>
      </c>
      <c r="AD586" s="145">
        <f>(N586/V586)*(((100-CD586)/100)*((100-2)/100))*100</f>
        <v>24.5</v>
      </c>
      <c r="AF586" s="248">
        <v>28.01</v>
      </c>
      <c r="AG586" s="159">
        <v>42191</v>
      </c>
      <c r="AJ586" s="249">
        <v>125</v>
      </c>
      <c r="AN586" s="250">
        <v>101</v>
      </c>
      <c r="BB586" s="257">
        <v>7</v>
      </c>
      <c r="BN586" s="251">
        <v>65.528000000000006</v>
      </c>
      <c r="BO586" s="256">
        <v>42200</v>
      </c>
      <c r="BT586" s="251">
        <v>52.904998779296875</v>
      </c>
      <c r="BU586" s="256">
        <v>42200</v>
      </c>
      <c r="BV586" s="251">
        <v>15.483119010925293</v>
      </c>
      <c r="BW586" s="256">
        <v>42200</v>
      </c>
      <c r="BX586" s="251">
        <v>17.175000000000001</v>
      </c>
      <c r="BY586" s="256">
        <v>42200</v>
      </c>
      <c r="CD586" s="253">
        <v>7.5</v>
      </c>
      <c r="CE586" s="159">
        <v>42191</v>
      </c>
      <c r="CM586" s="255">
        <v>3</v>
      </c>
      <c r="CN586" s="256">
        <v>42180</v>
      </c>
      <c r="CO586" s="140" t="s">
        <v>8447</v>
      </c>
    </row>
    <row r="587" spans="1:93" ht="15">
      <c r="A587" s="124" t="s">
        <v>7693</v>
      </c>
      <c r="B587" s="161" t="s">
        <v>7539</v>
      </c>
      <c r="C587" s="268" t="s">
        <v>267</v>
      </c>
      <c r="D587" s="243">
        <v>4</v>
      </c>
      <c r="E587" s="183">
        <v>107</v>
      </c>
      <c r="F587" s="244">
        <v>22</v>
      </c>
      <c r="G587" s="245">
        <v>20</v>
      </c>
      <c r="L587" s="254">
        <v>6</v>
      </c>
      <c r="N587" s="246">
        <v>5.05</v>
      </c>
      <c r="O587" s="159">
        <v>42191</v>
      </c>
      <c r="T587" s="247">
        <v>13.45</v>
      </c>
      <c r="U587" s="256">
        <v>42200</v>
      </c>
      <c r="V587" s="145">
        <v>18.5</v>
      </c>
      <c r="W587" s="159">
        <v>42191</v>
      </c>
      <c r="AD587" s="145">
        <f>(N587/V587)*(((100-CD587)/100)*((100-2)/100))*100</f>
        <v>24.557740540540536</v>
      </c>
      <c r="AF587" s="248">
        <v>28.07</v>
      </c>
      <c r="AG587" s="159">
        <v>42191</v>
      </c>
      <c r="AJ587" s="249">
        <v>140</v>
      </c>
      <c r="AN587" s="250">
        <v>107</v>
      </c>
      <c r="BB587" s="257">
        <v>7</v>
      </c>
      <c r="BN587" s="251">
        <v>64.661000000000001</v>
      </c>
      <c r="BO587" s="256">
        <v>42200</v>
      </c>
      <c r="BT587" s="251">
        <v>47.920257568359375</v>
      </c>
      <c r="BU587" s="256">
        <v>42200</v>
      </c>
      <c r="BV587" s="251">
        <v>17.892906188964844</v>
      </c>
      <c r="BW587" s="256">
        <v>42200</v>
      </c>
      <c r="BX587" s="251">
        <v>24.280999999999999</v>
      </c>
      <c r="BY587" s="256">
        <v>42200</v>
      </c>
      <c r="CD587" s="253">
        <v>8.1999999999999993</v>
      </c>
      <c r="CE587" s="159">
        <v>42191</v>
      </c>
      <c r="CM587" s="255">
        <v>5</v>
      </c>
      <c r="CN587" s="256">
        <v>42180</v>
      </c>
      <c r="CO587" s="140" t="s">
        <v>8447</v>
      </c>
    </row>
    <row r="588" spans="1:93" ht="15">
      <c r="A588" s="124" t="s">
        <v>7627</v>
      </c>
      <c r="B588" s="161" t="s">
        <v>7480</v>
      </c>
      <c r="C588" s="268" t="s">
        <v>267</v>
      </c>
      <c r="D588" s="243">
        <v>4</v>
      </c>
      <c r="E588" s="183">
        <v>41</v>
      </c>
      <c r="F588" s="244">
        <v>20</v>
      </c>
      <c r="G588" s="245">
        <v>32</v>
      </c>
      <c r="L588" s="254">
        <v>9</v>
      </c>
      <c r="N588" s="246">
        <v>5</v>
      </c>
      <c r="O588" s="159">
        <v>42191</v>
      </c>
      <c r="T588" s="247">
        <v>14.05</v>
      </c>
      <c r="U588" s="256">
        <v>42200</v>
      </c>
      <c r="V588" s="145">
        <v>18.5</v>
      </c>
      <c r="W588" s="159">
        <v>42191</v>
      </c>
      <c r="AD588" s="145">
        <f>(N588/V588)*(((100-CD588)/100)*((100-2)/100))*100</f>
        <v>24.579459459459457</v>
      </c>
      <c r="AF588" s="248">
        <v>28.1</v>
      </c>
      <c r="AG588" s="159">
        <v>42191</v>
      </c>
      <c r="AJ588" s="249">
        <v>115</v>
      </c>
      <c r="AN588" s="250">
        <v>105</v>
      </c>
      <c r="BB588" s="257">
        <v>9</v>
      </c>
      <c r="BN588" s="251">
        <v>64.88</v>
      </c>
      <c r="BO588" s="256">
        <v>42200</v>
      </c>
      <c r="BT588" s="251">
        <v>50.013011932373047</v>
      </c>
      <c r="BU588" s="256">
        <v>42200</v>
      </c>
      <c r="BV588" s="251">
        <v>16.577846527099609</v>
      </c>
      <c r="BW588" s="256">
        <v>42200</v>
      </c>
      <c r="BX588" s="251">
        <v>12.409000000000001</v>
      </c>
      <c r="BY588" s="256">
        <v>42200</v>
      </c>
      <c r="CD588" s="253">
        <v>7.2</v>
      </c>
      <c r="CE588" s="159">
        <v>42191</v>
      </c>
      <c r="CM588" s="255">
        <v>3</v>
      </c>
      <c r="CN588" s="256">
        <v>42180</v>
      </c>
      <c r="CO588" s="140" t="s">
        <v>8447</v>
      </c>
    </row>
    <row r="589" spans="1:93" ht="15">
      <c r="A589" s="124" t="s">
        <v>7632</v>
      </c>
      <c r="B589" s="161" t="s">
        <v>7485</v>
      </c>
      <c r="C589" s="268" t="s">
        <v>267</v>
      </c>
      <c r="D589" s="243">
        <v>3</v>
      </c>
      <c r="E589" s="183">
        <v>46</v>
      </c>
      <c r="F589" s="244">
        <v>18</v>
      </c>
      <c r="G589" s="245">
        <v>22</v>
      </c>
      <c r="L589" s="254">
        <v>7</v>
      </c>
      <c r="N589" s="246">
        <v>5</v>
      </c>
      <c r="O589" s="159">
        <v>42191</v>
      </c>
      <c r="T589" s="247">
        <v>14.13</v>
      </c>
      <c r="U589" s="256">
        <v>42200</v>
      </c>
      <c r="V589" s="145">
        <v>18.5</v>
      </c>
      <c r="W589" s="159">
        <v>42191</v>
      </c>
      <c r="AD589" s="145">
        <f>(N589/V589)*(((100-CD589)/100)*((100-2)/100))*100</f>
        <v>24.605945945945948</v>
      </c>
      <c r="AF589" s="248">
        <f>(N589/V589)*(((100-CD589)/(100-9))*100)</f>
        <v>27.591327591327598</v>
      </c>
      <c r="AG589" s="159">
        <v>42191</v>
      </c>
      <c r="AJ589" s="249">
        <v>110</v>
      </c>
      <c r="AN589" s="250">
        <v>103</v>
      </c>
      <c r="BB589" s="257">
        <v>7</v>
      </c>
      <c r="BN589" s="251">
        <v>64.894999999999996</v>
      </c>
      <c r="BO589" s="256">
        <v>42200</v>
      </c>
      <c r="BT589" s="251">
        <v>50.239097595214844</v>
      </c>
      <c r="BU589" s="256">
        <v>42200</v>
      </c>
      <c r="BV589" s="251">
        <v>18.757080078125</v>
      </c>
      <c r="BW589" s="256">
        <v>42200</v>
      </c>
      <c r="BX589" s="251">
        <v>19.890999999999998</v>
      </c>
      <c r="BY589" s="256">
        <v>42200</v>
      </c>
      <c r="CD589" s="253">
        <v>7.1</v>
      </c>
      <c r="CE589" s="159">
        <v>42191</v>
      </c>
      <c r="CM589" s="255">
        <v>1</v>
      </c>
      <c r="CN589" s="256">
        <v>42180</v>
      </c>
      <c r="CO589" s="140" t="s">
        <v>8447</v>
      </c>
    </row>
    <row r="590" spans="1:93" ht="15">
      <c r="A590" s="124" t="s">
        <v>7589</v>
      </c>
      <c r="B590" s="161" t="s">
        <v>7449</v>
      </c>
      <c r="C590" s="268" t="s">
        <v>267</v>
      </c>
      <c r="D590" s="243">
        <v>3</v>
      </c>
      <c r="E590" s="183">
        <v>3</v>
      </c>
      <c r="F590" s="244">
        <v>16</v>
      </c>
      <c r="G590" s="245">
        <v>27</v>
      </c>
      <c r="J590" s="266"/>
      <c r="L590" s="254">
        <v>6</v>
      </c>
      <c r="N590" s="246">
        <v>5</v>
      </c>
      <c r="O590" s="159">
        <v>42191</v>
      </c>
      <c r="P590" s="144"/>
      <c r="R590" s="145"/>
      <c r="T590" s="247">
        <v>13.44</v>
      </c>
      <c r="U590" s="256">
        <v>42200</v>
      </c>
      <c r="V590" s="145">
        <v>18.5</v>
      </c>
      <c r="W590" s="159">
        <v>42191</v>
      </c>
      <c r="X590" s="145"/>
      <c r="Z590" s="145"/>
      <c r="AB590" s="145"/>
      <c r="AD590" s="145">
        <f>(N590/V590)*(((100-CD590)/100)*((100-2)/100))*100</f>
        <v>24.632432432432434</v>
      </c>
      <c r="AF590" s="248">
        <v>28.16</v>
      </c>
      <c r="AG590" s="159">
        <v>42191</v>
      </c>
      <c r="AJ590" s="249">
        <v>125</v>
      </c>
      <c r="AL590" s="145"/>
      <c r="AN590" s="250">
        <v>106</v>
      </c>
      <c r="BB590" s="257">
        <v>7</v>
      </c>
      <c r="BN590" s="251">
        <v>65.587000000000003</v>
      </c>
      <c r="BO590" s="256">
        <v>42200</v>
      </c>
      <c r="BT590" s="251">
        <v>47.735580444335938</v>
      </c>
      <c r="BU590" s="256">
        <v>42200</v>
      </c>
      <c r="BV590" s="251">
        <v>20.403091430664063</v>
      </c>
      <c r="BW590" s="256">
        <v>42200</v>
      </c>
      <c r="BX590" s="251">
        <v>72.436000000000007</v>
      </c>
      <c r="BY590" s="256">
        <v>42200</v>
      </c>
      <c r="CD590" s="253">
        <v>7</v>
      </c>
      <c r="CE590" s="159">
        <v>42191</v>
      </c>
      <c r="CM590" s="255">
        <v>3</v>
      </c>
      <c r="CN590" s="256">
        <v>42180</v>
      </c>
      <c r="CO590" s="140" t="s">
        <v>8447</v>
      </c>
    </row>
    <row r="591" spans="1:93" ht="15">
      <c r="A591" s="124" t="s">
        <v>7637</v>
      </c>
      <c r="B591" s="161" t="s">
        <v>7489</v>
      </c>
      <c r="C591" s="268" t="s">
        <v>269</v>
      </c>
      <c r="D591" s="243">
        <v>1</v>
      </c>
      <c r="E591" s="183">
        <v>51</v>
      </c>
      <c r="F591" s="244">
        <v>5</v>
      </c>
      <c r="G591" s="245">
        <v>5</v>
      </c>
      <c r="L591" s="254">
        <v>7</v>
      </c>
      <c r="N591" s="246">
        <v>5</v>
      </c>
      <c r="O591" s="159">
        <v>42191</v>
      </c>
      <c r="T591" s="247">
        <v>14.47</v>
      </c>
      <c r="U591" s="256">
        <v>42200</v>
      </c>
      <c r="V591" s="145">
        <v>18.5</v>
      </c>
      <c r="W591" s="159">
        <v>42191</v>
      </c>
      <c r="AD591" s="145">
        <f>(N591/V591)*(((100-CD591)/100)*((100-2)/100))*100</f>
        <v>24.632432432432434</v>
      </c>
      <c r="AF591" s="248">
        <f>(N591/V591)*(((100-CD591)/(100-9))*100)</f>
        <v>27.621027621027622</v>
      </c>
      <c r="AG591" s="159">
        <v>42191</v>
      </c>
      <c r="AJ591" s="249">
        <v>135</v>
      </c>
      <c r="AN591" s="250">
        <v>100</v>
      </c>
      <c r="BB591" s="257">
        <v>7</v>
      </c>
      <c r="BN591" s="251">
        <v>65.540999999999997</v>
      </c>
      <c r="BO591" s="256">
        <v>42200</v>
      </c>
      <c r="BT591" s="251">
        <v>51.376808166503906</v>
      </c>
      <c r="BU591" s="256">
        <v>42200</v>
      </c>
      <c r="BV591" s="251">
        <v>17.694183349609375</v>
      </c>
      <c r="BW591" s="256">
        <v>42200</v>
      </c>
      <c r="BX591" s="251">
        <v>12.882999999999999</v>
      </c>
      <c r="BY591" s="256">
        <v>42200</v>
      </c>
      <c r="CD591" s="253">
        <v>7</v>
      </c>
      <c r="CE591" s="159">
        <v>42191</v>
      </c>
      <c r="CM591" s="255">
        <v>1</v>
      </c>
      <c r="CN591" s="256">
        <v>42180</v>
      </c>
      <c r="CO591" s="140" t="s">
        <v>8447</v>
      </c>
    </row>
    <row r="592" spans="1:93" ht="15" customHeight="1">
      <c r="A592" s="124" t="s">
        <v>7655</v>
      </c>
      <c r="B592" s="161" t="s">
        <v>7504</v>
      </c>
      <c r="C592" s="268" t="s">
        <v>269</v>
      </c>
      <c r="D592" s="257">
        <v>1</v>
      </c>
      <c r="E592" s="183">
        <v>69</v>
      </c>
      <c r="F592" s="257">
        <v>3</v>
      </c>
      <c r="G592" s="257">
        <v>14</v>
      </c>
      <c r="L592" s="257">
        <v>7</v>
      </c>
      <c r="N592" s="257">
        <v>5</v>
      </c>
      <c r="O592" s="159">
        <v>42191</v>
      </c>
      <c r="T592" s="257">
        <v>14.3</v>
      </c>
      <c r="U592" s="256">
        <v>42200</v>
      </c>
      <c r="V592" s="145">
        <v>18.5</v>
      </c>
      <c r="W592" s="159">
        <v>42191</v>
      </c>
      <c r="AD592" s="145">
        <f>(N592/V592)*(((100-CD592)/100)*((100-2)/100))*100</f>
        <v>24.632432432432434</v>
      </c>
      <c r="AF592" s="257">
        <f>(N592/V592)*(((100-CD592)/(100-9))*100)</f>
        <v>27.621027621027622</v>
      </c>
      <c r="AG592" s="159">
        <v>42191</v>
      </c>
      <c r="AJ592" s="257">
        <v>150</v>
      </c>
      <c r="AN592" s="257">
        <v>97</v>
      </c>
      <c r="BB592" s="257">
        <v>7</v>
      </c>
      <c r="BN592" s="251">
        <v>62.79</v>
      </c>
      <c r="BO592" s="256">
        <v>42200</v>
      </c>
      <c r="BT592" s="251">
        <v>50.777351379394531</v>
      </c>
      <c r="BU592" s="256">
        <v>42200</v>
      </c>
      <c r="BV592" s="251">
        <v>17.929615020751953</v>
      </c>
      <c r="BW592" s="256">
        <v>42200</v>
      </c>
      <c r="BX592" s="251">
        <v>18.821999999999999</v>
      </c>
      <c r="BY592" s="256">
        <v>42200</v>
      </c>
      <c r="CD592" s="257">
        <v>7</v>
      </c>
      <c r="CE592" s="159">
        <v>42191</v>
      </c>
      <c r="CM592" s="255">
        <v>1</v>
      </c>
      <c r="CN592" s="256">
        <v>42180</v>
      </c>
      <c r="CO592" s="140" t="s">
        <v>8447</v>
      </c>
    </row>
    <row r="593" spans="1:93" ht="15">
      <c r="A593" s="124" t="s">
        <v>8329</v>
      </c>
      <c r="B593" s="161" t="s">
        <v>8329</v>
      </c>
      <c r="C593" s="268" t="s">
        <v>267</v>
      </c>
      <c r="D593" s="243">
        <v>4</v>
      </c>
      <c r="E593" s="191">
        <v>190</v>
      </c>
      <c r="F593" s="244">
        <v>22</v>
      </c>
      <c r="G593" s="245">
        <v>32</v>
      </c>
      <c r="L593" s="254">
        <v>5</v>
      </c>
      <c r="N593" s="246">
        <v>5.05</v>
      </c>
      <c r="O593" s="159">
        <v>42191</v>
      </c>
      <c r="T593" s="247">
        <v>14.41</v>
      </c>
      <c r="U593" s="256">
        <v>42200</v>
      </c>
      <c r="V593" s="145">
        <v>18.5</v>
      </c>
      <c r="W593" s="159">
        <v>42191</v>
      </c>
      <c r="AD593" s="145">
        <f>(N593/V593)*(((100-CD593)/100)*((100-2)/100))*100</f>
        <v>24.637994594594591</v>
      </c>
      <c r="AF593" s="248">
        <v>28.16</v>
      </c>
      <c r="AG593" s="159">
        <v>42191</v>
      </c>
      <c r="AJ593" s="249">
        <v>130</v>
      </c>
      <c r="AN593" s="250">
        <v>102</v>
      </c>
      <c r="BB593" s="257">
        <v>7</v>
      </c>
      <c r="BN593" s="251">
        <v>65.647000000000006</v>
      </c>
      <c r="BO593" s="256">
        <v>42200</v>
      </c>
      <c r="BT593" s="251">
        <v>51.183769226074219</v>
      </c>
      <c r="BU593" s="256">
        <v>42200</v>
      </c>
      <c r="BV593" s="251">
        <v>16.299921035766602</v>
      </c>
      <c r="BW593" s="256">
        <v>42200</v>
      </c>
      <c r="BX593" s="251">
        <v>17.385000000000002</v>
      </c>
      <c r="BY593" s="256">
        <v>42200</v>
      </c>
      <c r="CD593" s="253">
        <v>7.9</v>
      </c>
      <c r="CE593" s="159">
        <v>42191</v>
      </c>
      <c r="CM593" s="255">
        <v>1</v>
      </c>
      <c r="CN593" s="256">
        <v>42180</v>
      </c>
      <c r="CO593" s="140" t="s">
        <v>8447</v>
      </c>
    </row>
    <row r="594" spans="1:93" ht="15">
      <c r="A594" s="124" t="s">
        <v>7649</v>
      </c>
      <c r="B594" s="161" t="s">
        <v>7499</v>
      </c>
      <c r="C594" s="268" t="s">
        <v>269</v>
      </c>
      <c r="D594" s="243">
        <v>1</v>
      </c>
      <c r="E594" s="183">
        <v>63</v>
      </c>
      <c r="F594" s="244">
        <v>5</v>
      </c>
      <c r="G594" s="245">
        <v>13</v>
      </c>
      <c r="L594" s="254">
        <v>9</v>
      </c>
      <c r="N594" s="246">
        <v>5</v>
      </c>
      <c r="O594" s="159">
        <v>42191</v>
      </c>
      <c r="T594" s="247">
        <v>14.7</v>
      </c>
      <c r="U594" s="256">
        <v>42200</v>
      </c>
      <c r="V594" s="145">
        <v>18.5</v>
      </c>
      <c r="W594" s="159">
        <v>42191</v>
      </c>
      <c r="AD594" s="145">
        <f>(N594/V594)*(((100-CD594)/100)*((100-2)/100))*100</f>
        <v>24.711891891891892</v>
      </c>
      <c r="AF594" s="248">
        <v>28.25</v>
      </c>
      <c r="AG594" s="159">
        <v>42191</v>
      </c>
      <c r="AJ594" s="249">
        <v>160</v>
      </c>
      <c r="AN594" s="250">
        <v>100</v>
      </c>
      <c r="BB594" s="257">
        <v>5</v>
      </c>
      <c r="BN594" s="251">
        <v>63.546999999999997</v>
      </c>
      <c r="BO594" s="256">
        <v>42200</v>
      </c>
      <c r="BT594" s="251">
        <v>52.046089172363281</v>
      </c>
      <c r="BU594" s="256">
        <v>42200</v>
      </c>
      <c r="BV594" s="251">
        <v>17.706144332885742</v>
      </c>
      <c r="BW594" s="256">
        <v>42200</v>
      </c>
      <c r="BX594" s="251">
        <v>14.263</v>
      </c>
      <c r="BY594" s="256">
        <v>42200</v>
      </c>
      <c r="CD594" s="253">
        <v>6.7</v>
      </c>
      <c r="CE594" s="159">
        <v>42191</v>
      </c>
      <c r="CM594" s="255">
        <v>3</v>
      </c>
      <c r="CN594" s="256">
        <v>42180</v>
      </c>
      <c r="CO594" s="140" t="s">
        <v>8447</v>
      </c>
    </row>
    <row r="595" spans="1:93" ht="15" customHeight="1">
      <c r="A595" s="124" t="s">
        <v>7658</v>
      </c>
      <c r="B595" s="161" t="s">
        <v>7507</v>
      </c>
      <c r="C595" s="268" t="s">
        <v>269</v>
      </c>
      <c r="D595" s="257">
        <v>1</v>
      </c>
      <c r="E595" s="183">
        <v>72</v>
      </c>
      <c r="F595" s="257">
        <v>3</v>
      </c>
      <c r="G595" s="257">
        <v>32</v>
      </c>
      <c r="L595" s="257">
        <v>6</v>
      </c>
      <c r="N595" s="257">
        <v>5</v>
      </c>
      <c r="O595" s="159">
        <v>42191</v>
      </c>
      <c r="T595" s="257">
        <v>14.57</v>
      </c>
      <c r="U595" s="256">
        <v>42200</v>
      </c>
      <c r="V595" s="145">
        <v>18.5</v>
      </c>
      <c r="W595" s="159">
        <v>42191</v>
      </c>
      <c r="AD595" s="145">
        <f>(N595/V595)*(((100-CD595)/100)*((100-2)/100))*100</f>
        <v>24.711891891891892</v>
      </c>
      <c r="AF595" s="257">
        <f>(N595/V595)*(((100-CD595)/(100-9))*100)</f>
        <v>27.710127710127711</v>
      </c>
      <c r="AG595" s="159">
        <v>42191</v>
      </c>
      <c r="AJ595" s="257">
        <v>140</v>
      </c>
      <c r="AN595" s="257">
        <v>98</v>
      </c>
      <c r="BB595" s="257">
        <v>5</v>
      </c>
      <c r="BN595" s="251">
        <v>63.503</v>
      </c>
      <c r="BO595" s="256">
        <v>42200</v>
      </c>
      <c r="BT595" s="251">
        <v>51.586250305175781</v>
      </c>
      <c r="BU595" s="256">
        <v>42200</v>
      </c>
      <c r="BV595" s="251">
        <v>18.094127655029297</v>
      </c>
      <c r="BW595" s="256">
        <v>42200</v>
      </c>
      <c r="BX595" s="251">
        <v>15.14</v>
      </c>
      <c r="BY595" s="256">
        <v>42200</v>
      </c>
      <c r="CD595" s="257">
        <v>6.7</v>
      </c>
      <c r="CE595" s="159">
        <v>42191</v>
      </c>
      <c r="CM595" s="255">
        <v>1</v>
      </c>
      <c r="CN595" s="256">
        <v>42180</v>
      </c>
      <c r="CO595" s="140" t="s">
        <v>8447</v>
      </c>
    </row>
    <row r="596" spans="1:93" ht="15">
      <c r="A596" s="124" t="s">
        <v>7651</v>
      </c>
      <c r="B596" s="161" t="s">
        <v>7501</v>
      </c>
      <c r="C596" s="268" t="s">
        <v>267</v>
      </c>
      <c r="D596" s="243">
        <v>3</v>
      </c>
      <c r="E596" s="183">
        <v>65</v>
      </c>
      <c r="F596" s="244">
        <v>13</v>
      </c>
      <c r="G596" s="245">
        <v>17</v>
      </c>
      <c r="L596" s="254">
        <v>7</v>
      </c>
      <c r="N596" s="246">
        <v>5.0599999999999996</v>
      </c>
      <c r="O596" s="159">
        <v>42191</v>
      </c>
      <c r="T596" s="247">
        <v>14.49</v>
      </c>
      <c r="U596" s="256">
        <v>42200</v>
      </c>
      <c r="V596" s="145">
        <v>18.5</v>
      </c>
      <c r="W596" s="159">
        <v>42191</v>
      </c>
      <c r="AD596" s="145">
        <f>(N596/V596)*(((100-CD596)/100)*((100-2)/100))*100</f>
        <v>24.713587027027025</v>
      </c>
      <c r="AF596" s="248">
        <v>28.25</v>
      </c>
      <c r="AG596" s="159">
        <v>42191</v>
      </c>
      <c r="AJ596" s="249">
        <v>140</v>
      </c>
      <c r="AN596" s="250">
        <v>104</v>
      </c>
      <c r="BB596" s="257">
        <v>9</v>
      </c>
      <c r="BN596" s="251">
        <v>64.456000000000003</v>
      </c>
      <c r="BO596" s="256">
        <v>42200</v>
      </c>
      <c r="BT596" s="251">
        <v>51.296184539794922</v>
      </c>
      <c r="BU596" s="256">
        <v>42200</v>
      </c>
      <c r="BV596" s="251">
        <v>17.535642623901367</v>
      </c>
      <c r="BW596" s="256">
        <v>42200</v>
      </c>
      <c r="BX596" s="251">
        <v>15.271000000000001</v>
      </c>
      <c r="BY596" s="256">
        <v>42200</v>
      </c>
      <c r="CD596" s="253">
        <v>7.8</v>
      </c>
      <c r="CE596" s="159">
        <v>42191</v>
      </c>
      <c r="CM596" s="255">
        <v>5</v>
      </c>
      <c r="CN596" s="256">
        <v>42180</v>
      </c>
      <c r="CO596" s="140" t="s">
        <v>8447</v>
      </c>
    </row>
    <row r="597" spans="1:93" ht="15" customHeight="1">
      <c r="A597" s="124" t="s">
        <v>7735</v>
      </c>
      <c r="B597" s="161" t="s">
        <v>7559</v>
      </c>
      <c r="C597" s="268" t="s">
        <v>269</v>
      </c>
      <c r="D597" s="257">
        <v>2</v>
      </c>
      <c r="E597" s="183">
        <v>149</v>
      </c>
      <c r="F597" s="257">
        <v>7</v>
      </c>
      <c r="G597" s="257">
        <v>6</v>
      </c>
      <c r="L597" s="257">
        <v>8</v>
      </c>
      <c r="N597" s="257">
        <v>5.01</v>
      </c>
      <c r="O597" s="159">
        <v>42191</v>
      </c>
      <c r="T597" s="257">
        <v>15.15</v>
      </c>
      <c r="U597" s="256">
        <v>42200</v>
      </c>
      <c r="V597" s="145">
        <v>18.5</v>
      </c>
      <c r="W597" s="159">
        <v>42191</v>
      </c>
      <c r="AD597" s="145">
        <f>(N597/V597)*(((100-CD597)/100)*((100-2)/100))*100</f>
        <v>24.761315675675675</v>
      </c>
      <c r="AF597" s="257">
        <v>28.31</v>
      </c>
      <c r="AG597" s="159">
        <v>42191</v>
      </c>
      <c r="AJ597" s="257">
        <v>140</v>
      </c>
      <c r="AN597" s="257">
        <v>101</v>
      </c>
      <c r="BB597" s="257">
        <v>7</v>
      </c>
      <c r="BN597" s="251">
        <v>65.674999999999997</v>
      </c>
      <c r="BO597" s="256">
        <v>42200</v>
      </c>
      <c r="BT597" s="251">
        <v>53.509841918945313</v>
      </c>
      <c r="BU597" s="256">
        <v>42200</v>
      </c>
      <c r="BV597" s="251">
        <v>14.685662269592285</v>
      </c>
      <c r="BW597" s="256">
        <v>42200</v>
      </c>
      <c r="BX597" s="251">
        <v>15.96</v>
      </c>
      <c r="BY597" s="256">
        <v>42200</v>
      </c>
      <c r="CD597" s="257">
        <v>6.7</v>
      </c>
      <c r="CE597" s="159">
        <v>42191</v>
      </c>
      <c r="CM597" s="255">
        <v>3</v>
      </c>
      <c r="CN597" s="256">
        <v>42180</v>
      </c>
      <c r="CO597" s="140" t="s">
        <v>8448</v>
      </c>
    </row>
    <row r="598" spans="1:93" ht="15" customHeight="1">
      <c r="A598" s="124" t="s">
        <v>7683</v>
      </c>
      <c r="B598" s="161" t="s">
        <v>7530</v>
      </c>
      <c r="C598" s="268" t="s">
        <v>267</v>
      </c>
      <c r="D598" s="257">
        <v>3</v>
      </c>
      <c r="E598" s="183">
        <v>97</v>
      </c>
      <c r="F598" s="257">
        <v>13</v>
      </c>
      <c r="G598" s="257">
        <v>15</v>
      </c>
      <c r="L598" s="257">
        <v>8</v>
      </c>
      <c r="N598" s="257">
        <v>5.07</v>
      </c>
      <c r="O598" s="159">
        <v>42191</v>
      </c>
      <c r="T598" s="257">
        <v>13.6</v>
      </c>
      <c r="U598" s="256">
        <v>42200</v>
      </c>
      <c r="V598" s="145">
        <v>18.5</v>
      </c>
      <c r="W598" s="159">
        <v>42191</v>
      </c>
      <c r="AD598" s="145">
        <f>(N598/V598)*(((100-CD598)/100)*((100-2)/100))*100</f>
        <v>24.816142702702706</v>
      </c>
      <c r="AF598" s="257">
        <f>(N598/V598)*(((100-CD598)/(100-9))*100)</f>
        <v>27.827027027027036</v>
      </c>
      <c r="AG598" s="159">
        <v>42191</v>
      </c>
      <c r="AJ598" s="257">
        <v>150</v>
      </c>
      <c r="AN598" s="257">
        <v>101</v>
      </c>
      <c r="BB598" s="257">
        <v>7</v>
      </c>
      <c r="BN598" s="251">
        <v>58.561</v>
      </c>
      <c r="BO598" s="256">
        <v>42200</v>
      </c>
      <c r="BT598" s="251">
        <v>47.937370300292969</v>
      </c>
      <c r="BU598" s="256">
        <v>42200</v>
      </c>
      <c r="BV598" s="251">
        <v>18.495492935180664</v>
      </c>
      <c r="BW598" s="256">
        <v>42200</v>
      </c>
      <c r="BX598" s="251">
        <v>15.981</v>
      </c>
      <c r="BY598" s="256">
        <v>42200</v>
      </c>
      <c r="CD598" s="257">
        <v>7.6</v>
      </c>
      <c r="CE598" s="159">
        <v>42191</v>
      </c>
      <c r="CM598" s="255">
        <v>1</v>
      </c>
      <c r="CN598" s="256">
        <v>42180</v>
      </c>
      <c r="CO598" s="140" t="s">
        <v>8447</v>
      </c>
    </row>
    <row r="599" spans="1:93" ht="15" customHeight="1">
      <c r="A599" s="124" t="s">
        <v>7739</v>
      </c>
      <c r="B599" s="161" t="s">
        <v>7563</v>
      </c>
      <c r="C599" s="268" t="s">
        <v>267</v>
      </c>
      <c r="D599" s="257">
        <v>3</v>
      </c>
      <c r="E599" s="183">
        <v>153</v>
      </c>
      <c r="F599" s="257">
        <v>17</v>
      </c>
      <c r="G599" s="257">
        <v>25</v>
      </c>
      <c r="L599" s="257">
        <v>3</v>
      </c>
      <c r="N599" s="257">
        <v>5.07</v>
      </c>
      <c r="O599" s="159">
        <v>42191</v>
      </c>
      <c r="T599" s="257">
        <v>14.81</v>
      </c>
      <c r="U599" s="256">
        <v>42200</v>
      </c>
      <c r="V599" s="145">
        <v>18.5</v>
      </c>
      <c r="W599" s="159">
        <v>42191</v>
      </c>
      <c r="AD599" s="145">
        <f>(N599/V599)*(((100-CD599)/100)*((100-2)/100))*100</f>
        <v>24.816142702702706</v>
      </c>
      <c r="AF599" s="257">
        <f>(N599/V599)*(((100-CD599)/(100-9))*100)</f>
        <v>27.827027027027036</v>
      </c>
      <c r="AG599" s="159">
        <v>42191</v>
      </c>
      <c r="AJ599" s="257">
        <v>125</v>
      </c>
      <c r="AN599" s="257">
        <v>102</v>
      </c>
      <c r="BB599" s="257">
        <v>9</v>
      </c>
      <c r="BN599" s="251">
        <v>64.53</v>
      </c>
      <c r="BO599" s="256">
        <v>42200</v>
      </c>
      <c r="BT599" s="251">
        <v>52.201320648193359</v>
      </c>
      <c r="BU599" s="256">
        <v>42200</v>
      </c>
      <c r="BV599" s="251">
        <v>16.333681106567383</v>
      </c>
      <c r="BW599" s="256">
        <v>42200</v>
      </c>
      <c r="BX599" s="251">
        <v>22.065999999999999</v>
      </c>
      <c r="BY599" s="256">
        <v>42200</v>
      </c>
      <c r="CD599" s="257">
        <v>7.6</v>
      </c>
      <c r="CE599" s="159">
        <v>42191</v>
      </c>
      <c r="CM599" s="255">
        <v>1</v>
      </c>
      <c r="CN599" s="256">
        <v>42180</v>
      </c>
      <c r="CO599" s="140" t="s">
        <v>8447</v>
      </c>
    </row>
    <row r="600" spans="1:93" ht="15" customHeight="1">
      <c r="A600" s="124" t="s">
        <v>7632</v>
      </c>
      <c r="B600" s="161" t="s">
        <v>7485</v>
      </c>
      <c r="C600" s="268" t="s">
        <v>269</v>
      </c>
      <c r="D600" s="257">
        <v>1</v>
      </c>
      <c r="E600" s="183">
        <v>46</v>
      </c>
      <c r="F600" s="257">
        <v>4</v>
      </c>
      <c r="G600" s="257">
        <v>16</v>
      </c>
      <c r="L600" s="257">
        <v>9</v>
      </c>
      <c r="N600" s="257">
        <v>5.04</v>
      </c>
      <c r="O600" s="159">
        <v>42191</v>
      </c>
      <c r="T600" s="257">
        <v>14.66</v>
      </c>
      <c r="U600" s="256">
        <v>42200</v>
      </c>
      <c r="V600" s="145">
        <v>18.5</v>
      </c>
      <c r="W600" s="159">
        <v>42191</v>
      </c>
      <c r="AD600" s="145">
        <f>(N600/V600)*(((100-CD600)/100)*((100-2)/100))*100</f>
        <v>24.829491891891891</v>
      </c>
      <c r="AF600" s="257">
        <f>(N600/V600)*(((100-CD600)/(100-9))*100)</f>
        <v>27.841995841995839</v>
      </c>
      <c r="AG600" s="159">
        <v>42191</v>
      </c>
      <c r="AJ600" s="257">
        <v>145</v>
      </c>
      <c r="AN600" s="257">
        <v>100</v>
      </c>
      <c r="BB600" s="257">
        <v>5</v>
      </c>
      <c r="BN600" s="251">
        <v>65.376000000000005</v>
      </c>
      <c r="BO600" s="256">
        <v>42200</v>
      </c>
      <c r="BT600" s="251">
        <v>51.670089721679687</v>
      </c>
      <c r="BU600" s="256">
        <v>42200</v>
      </c>
      <c r="BV600" s="251">
        <v>16.966144561767578</v>
      </c>
      <c r="BW600" s="256">
        <v>42200</v>
      </c>
      <c r="BX600" s="251">
        <v>16.905000000000001</v>
      </c>
      <c r="BY600" s="256">
        <v>42200</v>
      </c>
      <c r="CD600" s="257">
        <v>7</v>
      </c>
      <c r="CE600" s="159">
        <v>42191</v>
      </c>
      <c r="CM600" s="255">
        <v>1</v>
      </c>
      <c r="CN600" s="256">
        <v>42180</v>
      </c>
      <c r="CO600" s="140" t="s">
        <v>8447</v>
      </c>
    </row>
    <row r="601" spans="1:93" ht="15" customHeight="1">
      <c r="A601" s="124" t="s">
        <v>7729</v>
      </c>
      <c r="B601" s="161" t="s">
        <v>8244</v>
      </c>
      <c r="C601" s="268" t="s">
        <v>267</v>
      </c>
      <c r="D601" s="257">
        <v>4</v>
      </c>
      <c r="E601" s="183">
        <v>143</v>
      </c>
      <c r="F601" s="257">
        <v>19</v>
      </c>
      <c r="G601" s="257">
        <v>18</v>
      </c>
      <c r="L601" s="257">
        <v>8</v>
      </c>
      <c r="N601" s="257">
        <v>5.07</v>
      </c>
      <c r="O601" s="159">
        <v>42191</v>
      </c>
      <c r="T601" s="257">
        <v>14.7</v>
      </c>
      <c r="U601" s="256">
        <v>42200</v>
      </c>
      <c r="V601" s="145">
        <v>18.5</v>
      </c>
      <c r="W601" s="159">
        <v>42191</v>
      </c>
      <c r="AD601" s="145">
        <f>(N601/V601)*(((100-CD601)/100)*((100-2)/100))*100</f>
        <v>24.843</v>
      </c>
      <c r="AF601" s="257">
        <f>(N601/V601)*(((100-CD601)/(100-9))*100)</f>
        <v>27.857142857142861</v>
      </c>
      <c r="AG601" s="159">
        <v>42191</v>
      </c>
      <c r="AJ601" s="257">
        <v>125</v>
      </c>
      <c r="AN601" s="257">
        <v>105</v>
      </c>
      <c r="BB601" s="257">
        <v>9</v>
      </c>
      <c r="BN601" s="251">
        <v>63.896999999999998</v>
      </c>
      <c r="BO601" s="256">
        <v>42200</v>
      </c>
      <c r="BT601" s="251">
        <v>51.769004821777344</v>
      </c>
      <c r="BU601" s="256">
        <v>42200</v>
      </c>
      <c r="BV601" s="251">
        <v>16.604753494262695</v>
      </c>
      <c r="BW601" s="256">
        <v>42200</v>
      </c>
      <c r="BX601" s="251">
        <v>19.677</v>
      </c>
      <c r="BY601" s="256">
        <v>42200</v>
      </c>
      <c r="CD601" s="257">
        <v>7.5</v>
      </c>
      <c r="CE601" s="159">
        <v>42191</v>
      </c>
      <c r="CM601" s="255">
        <v>1</v>
      </c>
      <c r="CN601" s="256">
        <v>42180</v>
      </c>
      <c r="CO601" s="140" t="s">
        <v>8447</v>
      </c>
    </row>
    <row r="602" spans="1:93" ht="15" customHeight="1">
      <c r="A602" s="124" t="s">
        <v>7735</v>
      </c>
      <c r="B602" s="161" t="s">
        <v>7559</v>
      </c>
      <c r="C602" s="268" t="s">
        <v>267</v>
      </c>
      <c r="D602" s="257">
        <v>4</v>
      </c>
      <c r="E602" s="183">
        <v>149</v>
      </c>
      <c r="F602" s="257">
        <v>23</v>
      </c>
      <c r="G602" s="257">
        <v>5</v>
      </c>
      <c r="L602" s="257">
        <v>7</v>
      </c>
      <c r="N602" s="257">
        <v>5.16</v>
      </c>
      <c r="O602" s="159">
        <v>42191</v>
      </c>
      <c r="T602" s="257">
        <v>14.5</v>
      </c>
      <c r="U602" s="256">
        <v>42200</v>
      </c>
      <c r="V602" s="145">
        <v>18.5</v>
      </c>
      <c r="W602" s="159">
        <v>42191</v>
      </c>
      <c r="AD602" s="145">
        <f>(N602/V602)*(((100-CD602)/100)*((100-2)/100))*100</f>
        <v>24.846655135135133</v>
      </c>
      <c r="AF602" s="257">
        <v>28.4</v>
      </c>
      <c r="AG602" s="159">
        <v>42191</v>
      </c>
      <c r="AJ602" s="257">
        <v>125</v>
      </c>
      <c r="AN602" s="257">
        <v>102</v>
      </c>
      <c r="BB602" s="257">
        <v>9</v>
      </c>
      <c r="BN602" s="251">
        <v>64.772000000000006</v>
      </c>
      <c r="BO602" s="256">
        <v>42200</v>
      </c>
      <c r="BT602" s="251">
        <v>51.05120849609375</v>
      </c>
      <c r="BU602" s="256">
        <v>42200</v>
      </c>
      <c r="BV602" s="251">
        <v>16.926868438720703</v>
      </c>
      <c r="BW602" s="256">
        <v>42200</v>
      </c>
      <c r="BX602" s="251">
        <v>19.385000000000002</v>
      </c>
      <c r="BY602" s="256">
        <v>42200</v>
      </c>
      <c r="CD602" s="257">
        <v>9.1</v>
      </c>
      <c r="CE602" s="159">
        <v>42191</v>
      </c>
      <c r="CM602" s="255">
        <v>5</v>
      </c>
      <c r="CN602" s="256">
        <v>42180</v>
      </c>
      <c r="CO602" s="140" t="s">
        <v>8447</v>
      </c>
    </row>
    <row r="603" spans="1:93" ht="15" customHeight="1">
      <c r="A603" s="124" t="s">
        <v>7606</v>
      </c>
      <c r="B603" s="161" t="s">
        <v>7461</v>
      </c>
      <c r="C603" s="268" t="s">
        <v>269</v>
      </c>
      <c r="D603" s="257">
        <v>2</v>
      </c>
      <c r="E603" s="183">
        <v>20</v>
      </c>
      <c r="F603" s="257">
        <v>10</v>
      </c>
      <c r="G603" s="257">
        <v>19</v>
      </c>
      <c r="J603" s="266"/>
      <c r="L603" s="257">
        <v>8</v>
      </c>
      <c r="N603" s="257">
        <v>5.0599999999999996</v>
      </c>
      <c r="O603" s="159">
        <v>42191</v>
      </c>
      <c r="P603" s="144"/>
      <c r="R603" s="145"/>
      <c r="T603" s="257">
        <v>13.08</v>
      </c>
      <c r="U603" s="256">
        <v>42200</v>
      </c>
      <c r="V603" s="145">
        <v>18.5</v>
      </c>
      <c r="W603" s="159">
        <v>42191</v>
      </c>
      <c r="X603" s="145"/>
      <c r="Z603" s="145"/>
      <c r="AB603" s="145"/>
      <c r="AD603" s="145">
        <f>(N603/V603)*(((100-CD603)/100)*((100-2)/100))*100</f>
        <v>24.874412972972969</v>
      </c>
      <c r="AF603" s="257">
        <v>28.43</v>
      </c>
      <c r="AG603" s="159">
        <v>42191</v>
      </c>
      <c r="AJ603" s="257">
        <v>135</v>
      </c>
      <c r="AL603" s="145"/>
      <c r="AN603" s="257">
        <v>106</v>
      </c>
      <c r="BB603" s="257">
        <v>7</v>
      </c>
      <c r="BN603" s="251">
        <v>64.974000000000004</v>
      </c>
      <c r="BO603" s="256">
        <v>42200</v>
      </c>
      <c r="BT603" s="251">
        <v>46.006362915039063</v>
      </c>
      <c r="BU603" s="256">
        <v>42200</v>
      </c>
      <c r="BV603" s="251">
        <v>20.994571685791016</v>
      </c>
      <c r="BW603" s="256">
        <v>42200</v>
      </c>
      <c r="BX603" s="251">
        <v>60.753</v>
      </c>
      <c r="BY603" s="256">
        <v>42200</v>
      </c>
      <c r="CD603" s="257">
        <v>7.2</v>
      </c>
      <c r="CE603" s="159">
        <v>42191</v>
      </c>
      <c r="CM603" s="255">
        <v>3</v>
      </c>
      <c r="CN603" s="256">
        <v>42180</v>
      </c>
      <c r="CO603" s="140" t="s">
        <v>8448</v>
      </c>
    </row>
    <row r="604" spans="1:93" ht="15" customHeight="1">
      <c r="A604" s="124" t="s">
        <v>7754</v>
      </c>
      <c r="B604" s="161" t="s">
        <v>7578</v>
      </c>
      <c r="C604" s="268" t="s">
        <v>267</v>
      </c>
      <c r="D604" s="257">
        <v>4</v>
      </c>
      <c r="E604" s="183">
        <v>168</v>
      </c>
      <c r="F604" s="257">
        <v>22</v>
      </c>
      <c r="G604" s="257">
        <v>31</v>
      </c>
      <c r="L604" s="257">
        <v>7</v>
      </c>
      <c r="N604" s="257">
        <v>5.0599999999999996</v>
      </c>
      <c r="O604" s="159">
        <v>42191</v>
      </c>
      <c r="T604" s="257">
        <v>14.66</v>
      </c>
      <c r="U604" s="256">
        <v>42200</v>
      </c>
      <c r="V604" s="145">
        <v>18.5</v>
      </c>
      <c r="W604" s="159">
        <v>42191</v>
      </c>
      <c r="AD604" s="145">
        <f>(N604/V604)*(((100-CD604)/100)*((100-2)/100))*100</f>
        <v>24.874412972972969</v>
      </c>
      <c r="AF604" s="257">
        <v>28.43</v>
      </c>
      <c r="AG604" s="159">
        <v>42191</v>
      </c>
      <c r="AJ604" s="257">
        <v>125</v>
      </c>
      <c r="AN604" s="257">
        <v>103</v>
      </c>
      <c r="BB604" s="257">
        <v>7</v>
      </c>
      <c r="BN604" s="251">
        <v>65.055999999999997</v>
      </c>
      <c r="BO604" s="256">
        <v>42200</v>
      </c>
      <c r="BT604" s="251">
        <v>51.545295715332031</v>
      </c>
      <c r="BU604" s="256">
        <v>42200</v>
      </c>
      <c r="BV604" s="251">
        <v>16.893093109130859</v>
      </c>
      <c r="BW604" s="256">
        <v>42200</v>
      </c>
      <c r="BX604" s="251">
        <v>17.207000000000001</v>
      </c>
      <c r="BY604" s="256">
        <v>42200</v>
      </c>
      <c r="CD604" s="257">
        <v>7.2</v>
      </c>
      <c r="CE604" s="159">
        <v>42191</v>
      </c>
      <c r="CM604" s="255">
        <v>1</v>
      </c>
      <c r="CN604" s="256">
        <v>42180</v>
      </c>
      <c r="CO604" s="140" t="s">
        <v>8447</v>
      </c>
    </row>
    <row r="605" spans="1:93" ht="15" customHeight="1">
      <c r="A605" s="124" t="s">
        <v>7727</v>
      </c>
      <c r="B605" s="161" t="s">
        <v>7555</v>
      </c>
      <c r="C605" s="268" t="s">
        <v>269</v>
      </c>
      <c r="D605" s="257">
        <v>1</v>
      </c>
      <c r="E605" s="183">
        <v>141</v>
      </c>
      <c r="F605" s="257">
        <v>5</v>
      </c>
      <c r="G605" s="257">
        <v>16</v>
      </c>
      <c r="L605" s="257">
        <v>8</v>
      </c>
      <c r="N605" s="257">
        <v>5.05</v>
      </c>
      <c r="O605" s="159">
        <v>42191</v>
      </c>
      <c r="T605" s="257">
        <v>15.26</v>
      </c>
      <c r="U605" s="256">
        <v>42200</v>
      </c>
      <c r="V605" s="145">
        <v>18.5</v>
      </c>
      <c r="W605" s="159">
        <v>42191</v>
      </c>
      <c r="AD605" s="145">
        <f>(N605/V605)*(((100-CD605)/100)*((100-2)/100))*100</f>
        <v>24.878756756756758</v>
      </c>
      <c r="AF605" s="257">
        <f>(N605/V605)*(((100-CD605)/(100-9))*100)</f>
        <v>27.897237897237893</v>
      </c>
      <c r="AG605" s="159">
        <v>42191</v>
      </c>
      <c r="AJ605" s="257">
        <v>150</v>
      </c>
      <c r="AN605" s="257">
        <v>101</v>
      </c>
      <c r="BB605" s="257">
        <v>7</v>
      </c>
      <c r="BN605" s="251">
        <v>67.213999999999999</v>
      </c>
      <c r="BO605" s="256">
        <v>42200</v>
      </c>
      <c r="BT605" s="251">
        <v>53.666194915771484</v>
      </c>
      <c r="BU605" s="256">
        <v>42200</v>
      </c>
      <c r="BV605" s="251">
        <v>14.827310562133789</v>
      </c>
      <c r="BW605" s="256">
        <v>42200</v>
      </c>
      <c r="BX605" s="251">
        <v>15.4</v>
      </c>
      <c r="BY605" s="256">
        <v>42200</v>
      </c>
      <c r="CD605" s="257">
        <v>7</v>
      </c>
      <c r="CE605" s="159">
        <v>42191</v>
      </c>
      <c r="CM605" s="255">
        <v>1</v>
      </c>
      <c r="CN605" s="256">
        <v>42180</v>
      </c>
      <c r="CO605" s="140" t="s">
        <v>8447</v>
      </c>
    </row>
    <row r="606" spans="1:93" ht="15" customHeight="1">
      <c r="A606" s="124" t="s">
        <v>7687</v>
      </c>
      <c r="B606" s="161" t="s">
        <v>7534</v>
      </c>
      <c r="C606" s="268" t="s">
        <v>269</v>
      </c>
      <c r="D606" s="257">
        <v>2</v>
      </c>
      <c r="E606" s="183">
        <v>101</v>
      </c>
      <c r="F606" s="257">
        <v>10</v>
      </c>
      <c r="G606" s="257">
        <v>23</v>
      </c>
      <c r="L606" s="257">
        <v>7</v>
      </c>
      <c r="N606" s="257">
        <v>5.0599999999999996</v>
      </c>
      <c r="O606" s="159">
        <v>42191</v>
      </c>
      <c r="T606" s="257">
        <v>13.64</v>
      </c>
      <c r="U606" s="256">
        <v>42200</v>
      </c>
      <c r="V606" s="145">
        <v>18.5</v>
      </c>
      <c r="W606" s="159">
        <v>42191</v>
      </c>
      <c r="AD606" s="145">
        <f>(N606/V606)*(((100-CD606)/100)*((100-2)/100))*100</f>
        <v>24.928021621621617</v>
      </c>
      <c r="AF606" s="257">
        <f>(N606/V606)*(((100-CD606)/(100-9))*100)</f>
        <v>27.952479952479948</v>
      </c>
      <c r="AG606" s="159">
        <v>42191</v>
      </c>
      <c r="AJ606" s="257">
        <v>125</v>
      </c>
      <c r="AN606" s="257">
        <v>101</v>
      </c>
      <c r="BB606" s="257">
        <v>5</v>
      </c>
      <c r="BN606" s="251">
        <v>63.326000000000001</v>
      </c>
      <c r="BO606" s="256">
        <v>42200</v>
      </c>
      <c r="BT606" s="251">
        <v>47.858810424804688</v>
      </c>
      <c r="BU606" s="256">
        <v>42200</v>
      </c>
      <c r="BV606" s="251">
        <v>18.194223403930664</v>
      </c>
      <c r="BW606" s="256">
        <v>42200</v>
      </c>
      <c r="BX606" s="251">
        <v>18.693999999999999</v>
      </c>
      <c r="BY606" s="256">
        <v>42200</v>
      </c>
      <c r="CD606" s="257">
        <v>7</v>
      </c>
      <c r="CE606" s="159">
        <v>42191</v>
      </c>
      <c r="CM606" s="255">
        <v>1</v>
      </c>
      <c r="CN606" s="256">
        <v>42180</v>
      </c>
      <c r="CO606" s="140" t="s">
        <v>8448</v>
      </c>
    </row>
    <row r="607" spans="1:93" ht="15" customHeight="1">
      <c r="A607" s="124" t="s">
        <v>7715</v>
      </c>
      <c r="B607" s="161" t="s">
        <v>8216</v>
      </c>
      <c r="C607" s="268" t="s">
        <v>267</v>
      </c>
      <c r="D607" s="257">
        <v>4</v>
      </c>
      <c r="E607" s="183">
        <v>129</v>
      </c>
      <c r="F607" s="257">
        <v>24</v>
      </c>
      <c r="G607" s="257">
        <v>9</v>
      </c>
      <c r="L607" s="257">
        <v>8</v>
      </c>
      <c r="N607" s="257">
        <v>5.14</v>
      </c>
      <c r="O607" s="159">
        <v>42191</v>
      </c>
      <c r="T607" s="257">
        <v>13.99</v>
      </c>
      <c r="U607" s="256">
        <v>42200</v>
      </c>
      <c r="V607" s="145">
        <v>18.5</v>
      </c>
      <c r="W607" s="159">
        <v>42191</v>
      </c>
      <c r="AD607" s="145">
        <f>(N607/V607)*(((100-CD607)/100)*((100-2)/100))*100</f>
        <v>24.940947027027025</v>
      </c>
      <c r="AF607" s="257">
        <f>(N607/V607)*(((100-CD607)/(100-9))*100)</f>
        <v>27.966973566973564</v>
      </c>
      <c r="AG607" s="159">
        <v>42191</v>
      </c>
      <c r="AJ607" s="257">
        <v>120</v>
      </c>
      <c r="AN607" s="257">
        <v>103</v>
      </c>
      <c r="BB607" s="257">
        <v>7</v>
      </c>
      <c r="BN607" s="251">
        <v>60.962000000000003</v>
      </c>
      <c r="BO607" s="256">
        <v>42200</v>
      </c>
      <c r="BT607" s="251">
        <v>49.079879760742188</v>
      </c>
      <c r="BU607" s="256">
        <v>42200</v>
      </c>
      <c r="BV607" s="251">
        <v>17.856971740722656</v>
      </c>
      <c r="BW607" s="256">
        <v>42200</v>
      </c>
      <c r="BX607" s="251">
        <v>24.477</v>
      </c>
      <c r="BY607" s="256">
        <v>42200</v>
      </c>
      <c r="CD607" s="257">
        <v>8.4</v>
      </c>
      <c r="CE607" s="159">
        <v>42191</v>
      </c>
      <c r="CM607" s="255">
        <v>1</v>
      </c>
      <c r="CN607" s="256">
        <v>42180</v>
      </c>
      <c r="CO607" s="140" t="s">
        <v>8447</v>
      </c>
    </row>
    <row r="608" spans="1:93" ht="15" customHeight="1">
      <c r="A608" s="124" t="s">
        <v>7642</v>
      </c>
      <c r="B608" s="161" t="s">
        <v>7494</v>
      </c>
      <c r="C608" s="268" t="s">
        <v>269</v>
      </c>
      <c r="D608" s="257">
        <v>1</v>
      </c>
      <c r="E608" s="183">
        <v>56</v>
      </c>
      <c r="F608" s="257">
        <v>5</v>
      </c>
      <c r="G608" s="257">
        <v>18</v>
      </c>
      <c r="L608" s="257">
        <v>6</v>
      </c>
      <c r="N608" s="257">
        <v>5.0599999999999996</v>
      </c>
      <c r="O608" s="159">
        <v>42191</v>
      </c>
      <c r="T608" s="257">
        <v>14.56</v>
      </c>
      <c r="U608" s="256">
        <v>42200</v>
      </c>
      <c r="V608" s="145">
        <v>18.5</v>
      </c>
      <c r="W608" s="159">
        <v>42191</v>
      </c>
      <c r="AD608" s="145">
        <f>(N608/V608)*(((100-CD608)/100)*((100-2)/100))*100</f>
        <v>24.981630270270269</v>
      </c>
      <c r="AF608" s="257">
        <f>(N608/V608)*(((100-CD608)/(100-9))*100)</f>
        <v>28.012592812592818</v>
      </c>
      <c r="AG608" s="159">
        <v>42191</v>
      </c>
      <c r="AJ608" s="257">
        <v>135</v>
      </c>
      <c r="AN608" s="257">
        <v>99</v>
      </c>
      <c r="BB608" s="257">
        <v>5</v>
      </c>
      <c r="BN608" s="251">
        <v>62.036000000000001</v>
      </c>
      <c r="BO608" s="256">
        <v>42200</v>
      </c>
      <c r="BT608" s="251">
        <v>50.993865966796875</v>
      </c>
      <c r="BU608" s="256">
        <v>42200</v>
      </c>
      <c r="BV608" s="251">
        <v>16.578433990478516</v>
      </c>
      <c r="BW608" s="256">
        <v>42200</v>
      </c>
      <c r="BX608" s="251">
        <v>15.71</v>
      </c>
      <c r="BY608" s="256">
        <v>42200</v>
      </c>
      <c r="CD608" s="257">
        <v>6.8</v>
      </c>
      <c r="CE608" s="159">
        <v>42191</v>
      </c>
      <c r="CM608" s="255">
        <v>1</v>
      </c>
      <c r="CN608" s="256">
        <v>42180</v>
      </c>
      <c r="CO608" s="140" t="s">
        <v>8447</v>
      </c>
    </row>
    <row r="609" spans="1:93" ht="15" customHeight="1">
      <c r="A609" s="124" t="s">
        <v>7609</v>
      </c>
      <c r="B609" s="161" t="s">
        <v>7464</v>
      </c>
      <c r="C609" s="268" t="s">
        <v>269</v>
      </c>
      <c r="D609" s="257">
        <v>2</v>
      </c>
      <c r="E609" s="183">
        <v>23</v>
      </c>
      <c r="F609" s="257">
        <v>10</v>
      </c>
      <c r="G609" s="257">
        <v>13</v>
      </c>
      <c r="J609" s="266"/>
      <c r="L609" s="257">
        <v>9</v>
      </c>
      <c r="N609" s="257">
        <v>5.08</v>
      </c>
      <c r="O609" s="159">
        <v>42191</v>
      </c>
      <c r="P609" s="144"/>
      <c r="R609" s="145"/>
      <c r="T609" s="257">
        <v>13.9</v>
      </c>
      <c r="U609" s="256">
        <v>42200</v>
      </c>
      <c r="V609" s="145">
        <v>18.5</v>
      </c>
      <c r="W609" s="159">
        <v>42191</v>
      </c>
      <c r="X609" s="145"/>
      <c r="Z609" s="145"/>
      <c r="AB609" s="145"/>
      <c r="AD609" s="145">
        <f>(N609/V609)*(((100-CD609)/100)*((100-2)/100))*100</f>
        <v>24.999641081081084</v>
      </c>
      <c r="AF609" s="257">
        <v>28.58</v>
      </c>
      <c r="AG609" s="159">
        <v>42191</v>
      </c>
      <c r="AJ609" s="257">
        <v>140</v>
      </c>
      <c r="AL609" s="145"/>
      <c r="AN609" s="257">
        <v>106</v>
      </c>
      <c r="BB609" s="257">
        <v>7</v>
      </c>
      <c r="BN609" s="251">
        <v>64.685000000000002</v>
      </c>
      <c r="BO609" s="256">
        <v>42200</v>
      </c>
      <c r="BT609" s="251">
        <v>48.627571105957031</v>
      </c>
      <c r="BU609" s="256">
        <v>42200</v>
      </c>
      <c r="BV609" s="251">
        <v>19.230489730834961</v>
      </c>
      <c r="BW609" s="256">
        <v>42200</v>
      </c>
      <c r="BX609" s="251">
        <v>54.71</v>
      </c>
      <c r="BY609" s="256">
        <v>42200</v>
      </c>
      <c r="CD609" s="257">
        <v>7.1</v>
      </c>
      <c r="CE609" s="159">
        <v>42191</v>
      </c>
      <c r="CM609" s="255">
        <v>5</v>
      </c>
      <c r="CN609" s="256">
        <v>42180</v>
      </c>
      <c r="CO609" s="140" t="s">
        <v>8448</v>
      </c>
    </row>
    <row r="610" spans="1:93" ht="15" customHeight="1">
      <c r="A610" s="124" t="s">
        <v>7685</v>
      </c>
      <c r="B610" s="161" t="s">
        <v>7532</v>
      </c>
      <c r="C610" s="268" t="s">
        <v>267</v>
      </c>
      <c r="D610" s="257">
        <v>4</v>
      </c>
      <c r="E610" s="183">
        <v>99</v>
      </c>
      <c r="F610" s="257">
        <v>19</v>
      </c>
      <c r="G610" s="257">
        <v>19</v>
      </c>
      <c r="L610" s="257">
        <v>9</v>
      </c>
      <c r="N610" s="257">
        <v>5.08</v>
      </c>
      <c r="O610" s="159">
        <v>42191</v>
      </c>
      <c r="T610" s="257">
        <v>14.02</v>
      </c>
      <c r="U610" s="256">
        <v>42200</v>
      </c>
      <c r="V610" s="145">
        <v>18.5</v>
      </c>
      <c r="W610" s="159">
        <v>42191</v>
      </c>
      <c r="AD610" s="145">
        <f>(N610/V610)*(((100-CD610)/100)*((100-2)/100))*100</f>
        <v>24.999641081081084</v>
      </c>
      <c r="AF610" s="257">
        <f>(N610/V610)*(((100-CD610)/(100-9))*100)</f>
        <v>28.032788832788839</v>
      </c>
      <c r="AG610" s="159">
        <v>42191</v>
      </c>
      <c r="AJ610" s="257">
        <v>125</v>
      </c>
      <c r="AN610" s="257">
        <v>101</v>
      </c>
      <c r="BB610" s="257">
        <v>7</v>
      </c>
      <c r="BN610" s="251">
        <v>63.722000000000001</v>
      </c>
      <c r="BO610" s="256">
        <v>42200</v>
      </c>
      <c r="BT610" s="251">
        <v>49.070281982421875</v>
      </c>
      <c r="BU610" s="256">
        <v>42200</v>
      </c>
      <c r="BV610" s="251">
        <v>19.918134689331055</v>
      </c>
      <c r="BW610" s="256">
        <v>42200</v>
      </c>
      <c r="BX610" s="251">
        <v>19.024999999999999</v>
      </c>
      <c r="BY610" s="256">
        <v>42200</v>
      </c>
      <c r="CD610" s="257">
        <v>7.1</v>
      </c>
      <c r="CE610" s="159">
        <v>42191</v>
      </c>
      <c r="CM610" s="255">
        <v>1</v>
      </c>
      <c r="CN610" s="256">
        <v>42180</v>
      </c>
      <c r="CO610" s="140" t="s">
        <v>8447</v>
      </c>
    </row>
    <row r="611" spans="1:93" ht="15" customHeight="1">
      <c r="A611" s="124" t="s">
        <v>7734</v>
      </c>
      <c r="B611" s="161" t="s">
        <v>7558</v>
      </c>
      <c r="C611" s="268" t="s">
        <v>267</v>
      </c>
      <c r="D611" s="257">
        <v>4</v>
      </c>
      <c r="E611" s="183">
        <v>148</v>
      </c>
      <c r="F611" s="257">
        <v>24</v>
      </c>
      <c r="G611" s="257">
        <v>29</v>
      </c>
      <c r="L611" s="257">
        <v>8</v>
      </c>
      <c r="N611" s="257">
        <v>5.07</v>
      </c>
      <c r="O611" s="159">
        <v>42191</v>
      </c>
      <c r="T611" s="257">
        <v>14.56</v>
      </c>
      <c r="U611" s="256">
        <v>42200</v>
      </c>
      <c r="V611" s="145">
        <v>18.5</v>
      </c>
      <c r="W611" s="159">
        <v>42191</v>
      </c>
      <c r="AD611" s="145">
        <f>(N611/V611)*(((100-CD611)/100)*((100-2)/100))*100</f>
        <v>25.004143783783782</v>
      </c>
      <c r="AF611" s="257">
        <f>(N611/V611)*(((100-CD611)/(100-9))*100)</f>
        <v>28.037837837837838</v>
      </c>
      <c r="AG611" s="159">
        <v>42191</v>
      </c>
      <c r="AJ611" s="257">
        <v>140</v>
      </c>
      <c r="AN611" s="257">
        <v>104</v>
      </c>
      <c r="BB611" s="257">
        <v>7</v>
      </c>
      <c r="BN611" s="251">
        <v>66.001000000000005</v>
      </c>
      <c r="BO611" s="256">
        <v>42200</v>
      </c>
      <c r="BT611" s="251">
        <v>50.950775146484375</v>
      </c>
      <c r="BU611" s="256">
        <v>42200</v>
      </c>
      <c r="BV611" s="251">
        <v>16.964681625366211</v>
      </c>
      <c r="BW611" s="256">
        <v>42200</v>
      </c>
      <c r="BX611" s="251">
        <v>16.114999999999998</v>
      </c>
      <c r="BY611" s="256">
        <v>42200</v>
      </c>
      <c r="CD611" s="257">
        <v>6.9</v>
      </c>
      <c r="CE611" s="159">
        <v>42191</v>
      </c>
      <c r="CM611" s="255">
        <v>1</v>
      </c>
      <c r="CN611" s="256">
        <v>42180</v>
      </c>
      <c r="CO611" s="140" t="s">
        <v>8447</v>
      </c>
    </row>
    <row r="612" spans="1:93" ht="15" customHeight="1">
      <c r="A612" s="124" t="s">
        <v>7685</v>
      </c>
      <c r="B612" s="161" t="s">
        <v>7532</v>
      </c>
      <c r="C612" s="268" t="s">
        <v>267</v>
      </c>
      <c r="D612" s="257">
        <v>3</v>
      </c>
      <c r="E612" s="183">
        <v>99</v>
      </c>
      <c r="F612" s="257">
        <v>15</v>
      </c>
      <c r="G612" s="257">
        <v>6</v>
      </c>
      <c r="L612" s="257">
        <v>5</v>
      </c>
      <c r="N612" s="257">
        <v>5.14</v>
      </c>
      <c r="O612" s="159">
        <v>42191</v>
      </c>
      <c r="T612" s="257">
        <v>14.41</v>
      </c>
      <c r="U612" s="256">
        <v>42200</v>
      </c>
      <c r="V612" s="145">
        <v>18.5</v>
      </c>
      <c r="W612" s="159">
        <v>42191</v>
      </c>
      <c r="AD612" s="145">
        <f>(N612/V612)*(((100-CD612)/100)*((100-2)/100))*100</f>
        <v>25.02263135135135</v>
      </c>
      <c r="AF612" s="257">
        <v>28.6</v>
      </c>
      <c r="AG612" s="159">
        <v>42191</v>
      </c>
      <c r="AJ612" s="257">
        <v>120</v>
      </c>
      <c r="AN612" s="257">
        <v>102</v>
      </c>
      <c r="BB612" s="257">
        <v>7</v>
      </c>
      <c r="BN612" s="251">
        <v>63.417000000000002</v>
      </c>
      <c r="BO612" s="256">
        <v>42200</v>
      </c>
      <c r="BT612" s="251">
        <v>50.3758544921875</v>
      </c>
      <c r="BU612" s="256">
        <v>42200</v>
      </c>
      <c r="BV612" s="251">
        <v>18.228710174560547</v>
      </c>
      <c r="BW612" s="256">
        <v>42200</v>
      </c>
      <c r="BX612" s="251">
        <v>22.742999999999999</v>
      </c>
      <c r="BY612" s="256">
        <v>42200</v>
      </c>
      <c r="CD612" s="257">
        <v>8.1</v>
      </c>
      <c r="CE612" s="159">
        <v>42191</v>
      </c>
      <c r="CM612" s="255">
        <v>3</v>
      </c>
      <c r="CN612" s="256">
        <v>42180</v>
      </c>
      <c r="CO612" s="140" t="s">
        <v>8447</v>
      </c>
    </row>
    <row r="613" spans="1:93" ht="15" customHeight="1">
      <c r="A613" s="124" t="s">
        <v>7755</v>
      </c>
      <c r="B613" s="161" t="s">
        <v>7579</v>
      </c>
      <c r="C613" s="268" t="s">
        <v>267</v>
      </c>
      <c r="D613" s="257">
        <v>3</v>
      </c>
      <c r="E613" s="183">
        <v>169</v>
      </c>
      <c r="F613" s="257">
        <v>18</v>
      </c>
      <c r="G613" s="257">
        <v>4</v>
      </c>
      <c r="L613" s="257">
        <v>9</v>
      </c>
      <c r="N613" s="257">
        <v>5.16</v>
      </c>
      <c r="O613" s="159">
        <v>42191</v>
      </c>
      <c r="T613" s="257">
        <v>14.46</v>
      </c>
      <c r="U613" s="256">
        <v>42200</v>
      </c>
      <c r="V613" s="145">
        <v>18.5</v>
      </c>
      <c r="W613" s="159">
        <v>42191</v>
      </c>
      <c r="AD613" s="145">
        <f>(N613/V613)*(((100-CD613)/100)*((100-2)/100))*100</f>
        <v>25.037993513513513</v>
      </c>
      <c r="AF613" s="257">
        <v>28.62</v>
      </c>
      <c r="AG613" s="159">
        <v>42191</v>
      </c>
      <c r="AJ613" s="257">
        <v>120</v>
      </c>
      <c r="AN613" s="257">
        <v>105</v>
      </c>
      <c r="BB613" s="257">
        <v>9</v>
      </c>
      <c r="BN613" s="251">
        <v>64.623999999999995</v>
      </c>
      <c r="BO613" s="256">
        <v>42200</v>
      </c>
      <c r="BT613" s="251">
        <v>50.544418334960938</v>
      </c>
      <c r="BU613" s="256">
        <v>42200</v>
      </c>
      <c r="BV613" s="251">
        <v>17.238922119140625</v>
      </c>
      <c r="BW613" s="256">
        <v>42200</v>
      </c>
      <c r="BX613" s="251">
        <v>22.141999999999999</v>
      </c>
      <c r="BY613" s="256">
        <v>42200</v>
      </c>
      <c r="CD613" s="257">
        <v>8.4</v>
      </c>
      <c r="CE613" s="159">
        <v>42191</v>
      </c>
      <c r="CM613" s="255">
        <v>3</v>
      </c>
      <c r="CN613" s="256">
        <v>42180</v>
      </c>
      <c r="CO613" s="140" t="s">
        <v>8447</v>
      </c>
    </row>
    <row r="614" spans="1:93" ht="15" customHeight="1">
      <c r="A614" s="124" t="s">
        <v>8329</v>
      </c>
      <c r="B614" s="161" t="s">
        <v>8329</v>
      </c>
      <c r="C614" s="268" t="s">
        <v>267</v>
      </c>
      <c r="D614" s="257">
        <v>3</v>
      </c>
      <c r="E614" s="191">
        <v>191</v>
      </c>
      <c r="F614" s="257">
        <v>13</v>
      </c>
      <c r="G614" s="257">
        <v>25</v>
      </c>
      <c r="L614" s="257">
        <v>7</v>
      </c>
      <c r="N614" s="257">
        <v>5.0999999999999996</v>
      </c>
      <c r="O614" s="159">
        <v>42191</v>
      </c>
      <c r="T614" s="257">
        <v>14.98</v>
      </c>
      <c r="U614" s="256">
        <v>42200</v>
      </c>
      <c r="V614" s="145">
        <v>18.5</v>
      </c>
      <c r="W614" s="159">
        <v>42191</v>
      </c>
      <c r="AD614" s="145">
        <f>(N614/V614)*(((100-CD614)/100)*((100-2)/100))*100</f>
        <v>25.044032432432427</v>
      </c>
      <c r="AF614" s="257">
        <v>28.63</v>
      </c>
      <c r="AG614" s="159">
        <v>42191</v>
      </c>
      <c r="AJ614" s="257">
        <v>125</v>
      </c>
      <c r="AN614" s="257">
        <v>101</v>
      </c>
      <c r="BB614" s="257">
        <v>7</v>
      </c>
      <c r="BN614" s="251">
        <v>65.477000000000004</v>
      </c>
      <c r="BO614" s="256">
        <v>42200</v>
      </c>
      <c r="BT614" s="251">
        <v>52.336257934570313</v>
      </c>
      <c r="BU614" s="256">
        <v>42200</v>
      </c>
      <c r="BV614" s="251">
        <v>16.557577133178711</v>
      </c>
      <c r="BW614" s="256">
        <v>42200</v>
      </c>
      <c r="BX614" s="251">
        <v>19.75</v>
      </c>
      <c r="BY614" s="256">
        <v>42200</v>
      </c>
      <c r="CD614" s="257">
        <v>7.3</v>
      </c>
      <c r="CE614" s="159">
        <v>42191</v>
      </c>
      <c r="CM614" s="255">
        <v>3</v>
      </c>
      <c r="CN614" s="256">
        <v>42180</v>
      </c>
      <c r="CO614" s="140" t="s">
        <v>8447</v>
      </c>
    </row>
    <row r="615" spans="1:93" ht="15" customHeight="1">
      <c r="A615" s="124" t="s">
        <v>8329</v>
      </c>
      <c r="B615" s="161" t="s">
        <v>8329</v>
      </c>
      <c r="C615" s="268" t="s">
        <v>267</v>
      </c>
      <c r="D615" s="257">
        <v>4</v>
      </c>
      <c r="E615" s="191">
        <v>191</v>
      </c>
      <c r="F615" s="257">
        <v>21</v>
      </c>
      <c r="G615" s="257">
        <v>4</v>
      </c>
      <c r="L615" s="257">
        <v>9</v>
      </c>
      <c r="N615" s="257">
        <v>5.15</v>
      </c>
      <c r="O615" s="159">
        <v>42191</v>
      </c>
      <c r="T615" s="257">
        <v>15.28</v>
      </c>
      <c r="U615" s="256">
        <v>42200</v>
      </c>
      <c r="V615" s="145">
        <v>18.5</v>
      </c>
      <c r="W615" s="159">
        <v>42191</v>
      </c>
      <c r="AD615" s="145">
        <f>(N615/V615)*(((100-CD615)/100)*((100-2)/100))*100</f>
        <v>25.12587567567568</v>
      </c>
      <c r="AF615" s="257">
        <v>28.72</v>
      </c>
      <c r="AG615" s="159">
        <v>42191</v>
      </c>
      <c r="AJ615" s="257">
        <v>115</v>
      </c>
      <c r="AN615" s="257">
        <v>101</v>
      </c>
      <c r="BB615" s="257">
        <v>7</v>
      </c>
      <c r="BN615" s="251">
        <v>64.847999999999999</v>
      </c>
      <c r="BO615" s="256">
        <v>42200</v>
      </c>
      <c r="BT615" s="251">
        <v>53.206138610839844</v>
      </c>
      <c r="BU615" s="256">
        <v>42200</v>
      </c>
      <c r="BV615" s="251">
        <v>15.293764114379883</v>
      </c>
      <c r="BW615" s="256">
        <v>42200</v>
      </c>
      <c r="BX615" s="251">
        <v>19.100999999999999</v>
      </c>
      <c r="BY615" s="256">
        <v>42200</v>
      </c>
      <c r="CD615" s="257">
        <v>7.9</v>
      </c>
      <c r="CE615" s="159">
        <v>42191</v>
      </c>
      <c r="CM615" s="255">
        <v>5</v>
      </c>
      <c r="CN615" s="256">
        <v>42180</v>
      </c>
      <c r="CO615" s="140" t="s">
        <v>8447</v>
      </c>
    </row>
    <row r="616" spans="1:93" ht="15" customHeight="1">
      <c r="A616" s="124" t="s">
        <v>7638</v>
      </c>
      <c r="B616" s="161" t="s">
        <v>7490</v>
      </c>
      <c r="C616" s="268" t="s">
        <v>267</v>
      </c>
      <c r="D616" s="257">
        <v>3</v>
      </c>
      <c r="E616" s="183">
        <v>52</v>
      </c>
      <c r="F616" s="257">
        <v>16</v>
      </c>
      <c r="G616" s="257">
        <v>22</v>
      </c>
      <c r="L616" s="257">
        <v>3</v>
      </c>
      <c r="N616" s="257">
        <v>5.1100000000000003</v>
      </c>
      <c r="O616" s="159">
        <v>42191</v>
      </c>
      <c r="T616" s="257">
        <v>14.32</v>
      </c>
      <c r="U616" s="256">
        <v>42200</v>
      </c>
      <c r="V616" s="145">
        <v>18.5</v>
      </c>
      <c r="W616" s="159">
        <v>42191</v>
      </c>
      <c r="AD616" s="145">
        <f>(N616/V616)*(((100-CD616)/100)*((100-2)/100))*100</f>
        <v>25.174345945945948</v>
      </c>
      <c r="AF616" s="257">
        <v>28.78</v>
      </c>
      <c r="AG616" s="159">
        <v>42191</v>
      </c>
      <c r="AJ616" s="257">
        <v>115</v>
      </c>
      <c r="AN616" s="257">
        <v>107</v>
      </c>
      <c r="BB616" s="257">
        <v>7</v>
      </c>
      <c r="BN616" s="251">
        <v>62.296999999999997</v>
      </c>
      <c r="BO616" s="256">
        <v>42200</v>
      </c>
      <c r="BT616" s="251">
        <v>49.74560546875</v>
      </c>
      <c r="BU616" s="256">
        <v>42200</v>
      </c>
      <c r="BV616" s="251">
        <v>18.226062774658203</v>
      </c>
      <c r="BW616" s="256">
        <v>42200</v>
      </c>
      <c r="BX616" s="251">
        <v>17.911000000000001</v>
      </c>
      <c r="BY616" s="256">
        <v>42200</v>
      </c>
      <c r="CD616" s="257">
        <v>7</v>
      </c>
      <c r="CE616" s="159">
        <v>42191</v>
      </c>
      <c r="CM616" s="255">
        <v>3</v>
      </c>
      <c r="CN616" s="256">
        <v>42180</v>
      </c>
      <c r="CO616" s="140" t="s">
        <v>8447</v>
      </c>
    </row>
    <row r="617" spans="1:93" ht="15" customHeight="1">
      <c r="A617" s="124" t="s">
        <v>7606</v>
      </c>
      <c r="B617" s="161" t="s">
        <v>7461</v>
      </c>
      <c r="C617" s="268" t="s">
        <v>269</v>
      </c>
      <c r="D617" s="257">
        <v>1</v>
      </c>
      <c r="E617" s="183">
        <v>20</v>
      </c>
      <c r="F617" s="257">
        <v>3</v>
      </c>
      <c r="G617" s="257">
        <v>16</v>
      </c>
      <c r="J617" s="266"/>
      <c r="L617" s="257">
        <v>9</v>
      </c>
      <c r="N617" s="257">
        <v>5.12</v>
      </c>
      <c r="O617" s="159">
        <v>42191</v>
      </c>
      <c r="P617" s="144"/>
      <c r="R617" s="145"/>
      <c r="T617" s="257">
        <v>13.73</v>
      </c>
      <c r="U617" s="256">
        <v>42200</v>
      </c>
      <c r="V617" s="145">
        <v>18.5</v>
      </c>
      <c r="W617" s="159">
        <v>42191</v>
      </c>
      <c r="X617" s="145"/>
      <c r="Z617" s="145"/>
      <c r="AB617" s="145"/>
      <c r="AD617" s="145">
        <f>(N617/V617)*(((100-CD617)/100)*((100-2)/100))*100</f>
        <v>25.196488648648653</v>
      </c>
      <c r="AF617" s="257">
        <f>(N617/V617)*(((100-CD617)/(100-9))*100)</f>
        <v>28.253519453519459</v>
      </c>
      <c r="AG617" s="159">
        <v>42191</v>
      </c>
      <c r="AJ617" s="257">
        <v>165</v>
      </c>
      <c r="AL617" s="145"/>
      <c r="AN617" s="257">
        <v>105</v>
      </c>
      <c r="BB617" s="257">
        <v>7</v>
      </c>
      <c r="BN617" s="251">
        <v>63.654000000000003</v>
      </c>
      <c r="BO617" s="256">
        <v>42200</v>
      </c>
      <c r="BT617" s="251">
        <v>47.683795928955078</v>
      </c>
      <c r="BU617" s="256">
        <v>42200</v>
      </c>
      <c r="BV617" s="251">
        <v>19.956924438476562</v>
      </c>
      <c r="BW617" s="256">
        <v>42200</v>
      </c>
      <c r="BX617" s="251">
        <v>61.396999999999998</v>
      </c>
      <c r="BY617" s="256">
        <v>42200</v>
      </c>
      <c r="CD617" s="257">
        <v>7.1</v>
      </c>
      <c r="CE617" s="159">
        <v>42191</v>
      </c>
      <c r="CM617" s="255">
        <v>1</v>
      </c>
      <c r="CN617" s="256">
        <v>42180</v>
      </c>
      <c r="CO617" s="140" t="s">
        <v>8447</v>
      </c>
    </row>
    <row r="618" spans="1:93" ht="15" customHeight="1">
      <c r="A618" s="124" t="s">
        <v>7683</v>
      </c>
      <c r="B618" s="161" t="s">
        <v>7530</v>
      </c>
      <c r="C618" s="268" t="s">
        <v>267</v>
      </c>
      <c r="D618" s="257">
        <v>4</v>
      </c>
      <c r="E618" s="183">
        <v>97</v>
      </c>
      <c r="F618" s="257">
        <v>23</v>
      </c>
      <c r="G618" s="257">
        <v>32</v>
      </c>
      <c r="L618" s="257">
        <v>5</v>
      </c>
      <c r="N618" s="257">
        <v>5.13</v>
      </c>
      <c r="O618" s="159">
        <v>42191</v>
      </c>
      <c r="T618" s="257">
        <v>14.26</v>
      </c>
      <c r="U618" s="256">
        <v>42200</v>
      </c>
      <c r="V618" s="145">
        <v>18.5</v>
      </c>
      <c r="W618" s="159">
        <v>42191</v>
      </c>
      <c r="AD618" s="145">
        <f>(N618/V618)*(((100-CD618)/100)*((100-2)/100))*100</f>
        <v>25.218525405405401</v>
      </c>
      <c r="AF618" s="257">
        <v>28.83</v>
      </c>
      <c r="AG618" s="159">
        <v>42191</v>
      </c>
      <c r="AJ618" s="257">
        <v>125</v>
      </c>
      <c r="AN618" s="257">
        <v>103</v>
      </c>
      <c r="BB618" s="257">
        <v>7</v>
      </c>
      <c r="BN618" s="251">
        <v>62.831000000000003</v>
      </c>
      <c r="BO618" s="256">
        <v>42200</v>
      </c>
      <c r="BT618" s="251">
        <v>49.45196533203125</v>
      </c>
      <c r="BU618" s="256">
        <v>42200</v>
      </c>
      <c r="BV618" s="251">
        <v>17.120738983154297</v>
      </c>
      <c r="BW618" s="256">
        <v>42200</v>
      </c>
      <c r="BX618" s="251">
        <v>15.218999999999999</v>
      </c>
      <c r="BY618" s="256">
        <v>42200</v>
      </c>
      <c r="CD618" s="257">
        <v>7.2</v>
      </c>
      <c r="CE618" s="159">
        <v>42191</v>
      </c>
      <c r="CM618" s="255">
        <v>3</v>
      </c>
      <c r="CN618" s="256">
        <v>42180</v>
      </c>
      <c r="CO618" s="140" t="s">
        <v>8447</v>
      </c>
    </row>
    <row r="619" spans="1:93" ht="15" customHeight="1">
      <c r="A619" s="124" t="s">
        <v>7698</v>
      </c>
      <c r="B619" s="161" t="s">
        <v>7544</v>
      </c>
      <c r="C619" s="268" t="s">
        <v>269</v>
      </c>
      <c r="D619" s="257">
        <v>1</v>
      </c>
      <c r="E619" s="183">
        <v>112</v>
      </c>
      <c r="F619" s="257">
        <v>1</v>
      </c>
      <c r="G619" s="257">
        <v>26</v>
      </c>
      <c r="L619" s="257">
        <v>8</v>
      </c>
      <c r="N619" s="257">
        <v>5.12</v>
      </c>
      <c r="O619" s="159">
        <v>42191</v>
      </c>
      <c r="T619" s="257">
        <v>14.39</v>
      </c>
      <c r="U619" s="256">
        <v>42200</v>
      </c>
      <c r="V619" s="145">
        <v>18.5</v>
      </c>
      <c r="W619" s="159">
        <v>42191</v>
      </c>
      <c r="AD619" s="145">
        <f>(N619/V619)*(((100-CD619)/100)*((100-2)/100))*100</f>
        <v>25.223610810810808</v>
      </c>
      <c r="AF619" s="257">
        <f>(N619/V619)*(((100-CD619)/(100-9))*100)</f>
        <v>28.283932283932284</v>
      </c>
      <c r="AG619" s="159">
        <v>42191</v>
      </c>
      <c r="AJ619" s="257">
        <v>140</v>
      </c>
      <c r="AN619" s="257">
        <v>102</v>
      </c>
      <c r="BB619" s="257">
        <v>5</v>
      </c>
      <c r="BN619" s="251">
        <v>62.853000000000002</v>
      </c>
      <c r="BO619" s="256">
        <v>42200</v>
      </c>
      <c r="BT619" s="251">
        <v>49.902412414550781</v>
      </c>
      <c r="BU619" s="256">
        <v>42200</v>
      </c>
      <c r="BV619" s="251">
        <v>17.101583480834961</v>
      </c>
      <c r="BW619" s="256">
        <v>42200</v>
      </c>
      <c r="BX619" s="251">
        <v>18.597999999999999</v>
      </c>
      <c r="BY619" s="256">
        <v>42200</v>
      </c>
      <c r="CD619" s="257">
        <v>7</v>
      </c>
      <c r="CE619" s="159">
        <v>42191</v>
      </c>
      <c r="CM619" s="255">
        <v>1</v>
      </c>
      <c r="CN619" s="256">
        <v>42180</v>
      </c>
      <c r="CO619" s="140" t="s">
        <v>8447</v>
      </c>
    </row>
    <row r="620" spans="1:93" ht="15">
      <c r="A620" s="124" t="s">
        <v>7624</v>
      </c>
      <c r="B620" s="161" t="s">
        <v>7477</v>
      </c>
      <c r="C620" s="268" t="s">
        <v>269</v>
      </c>
      <c r="D620" s="243">
        <v>1</v>
      </c>
      <c r="E620" s="183">
        <v>38</v>
      </c>
      <c r="F620" s="244">
        <v>5</v>
      </c>
      <c r="G620" s="245">
        <v>4</v>
      </c>
      <c r="L620" s="254">
        <v>9</v>
      </c>
      <c r="N620" s="246">
        <v>5.14</v>
      </c>
      <c r="O620" s="159">
        <v>42191</v>
      </c>
      <c r="T620" s="247">
        <v>14.81</v>
      </c>
      <c r="U620" s="256">
        <v>42200</v>
      </c>
      <c r="V620" s="145">
        <v>18.5</v>
      </c>
      <c r="W620" s="159">
        <v>42191</v>
      </c>
      <c r="AD620" s="145">
        <f>(N620/V620)*(((100-CD620)/100)*((100-2)/100))*100</f>
        <v>25.267684324324318</v>
      </c>
      <c r="AF620" s="248">
        <f>(N620/V620)*(((100-CD620)/(100-9))*100)</f>
        <v>28.333353133353132</v>
      </c>
      <c r="AG620" s="159">
        <v>42191</v>
      </c>
      <c r="AJ620" s="249">
        <v>155</v>
      </c>
      <c r="AN620" s="250">
        <v>102</v>
      </c>
      <c r="BB620" s="257">
        <v>5</v>
      </c>
      <c r="BN620" s="251">
        <v>61.795999999999999</v>
      </c>
      <c r="BO620" s="256">
        <v>42200</v>
      </c>
      <c r="BT620" s="251">
        <v>51.276996612548828</v>
      </c>
      <c r="BU620" s="256">
        <v>42200</v>
      </c>
      <c r="BV620" s="251">
        <v>17.270330429077148</v>
      </c>
      <c r="BW620" s="256">
        <v>42200</v>
      </c>
      <c r="BX620" s="251">
        <v>50.786000000000001</v>
      </c>
      <c r="BY620" s="256">
        <v>42200</v>
      </c>
      <c r="CD620" s="253">
        <v>7.2</v>
      </c>
      <c r="CE620" s="159">
        <v>42191</v>
      </c>
      <c r="CM620" s="255">
        <v>1</v>
      </c>
      <c r="CN620" s="256">
        <v>42180</v>
      </c>
      <c r="CO620" s="140" t="s">
        <v>8447</v>
      </c>
    </row>
    <row r="621" spans="1:93" ht="15">
      <c r="A621" s="124" t="s">
        <v>7636</v>
      </c>
      <c r="B621" s="161" t="s">
        <v>7488</v>
      </c>
      <c r="C621" s="268" t="s">
        <v>269</v>
      </c>
      <c r="D621" s="243">
        <v>1</v>
      </c>
      <c r="E621" s="183">
        <v>50</v>
      </c>
      <c r="F621" s="244">
        <v>3</v>
      </c>
      <c r="G621" s="245">
        <v>4</v>
      </c>
      <c r="L621" s="254">
        <v>8</v>
      </c>
      <c r="N621" s="246">
        <v>5.15</v>
      </c>
      <c r="O621" s="159">
        <v>42191</v>
      </c>
      <c r="T621" s="247">
        <v>14.8</v>
      </c>
      <c r="U621" s="256">
        <v>42200</v>
      </c>
      <c r="V621" s="145">
        <v>18.5</v>
      </c>
      <c r="W621" s="159">
        <v>42191</v>
      </c>
      <c r="AD621" s="145">
        <f>(N621/V621)*(((100-CD621)/100)*((100-2)/100))*100</f>
        <v>25.289562162162166</v>
      </c>
      <c r="AF621" s="248">
        <v>28.91</v>
      </c>
      <c r="AG621" s="159">
        <v>42191</v>
      </c>
      <c r="AJ621" s="249">
        <v>160</v>
      </c>
      <c r="AN621" s="250">
        <v>105</v>
      </c>
      <c r="BB621" s="257">
        <v>7</v>
      </c>
      <c r="BN621" s="251">
        <v>62.616999999999997</v>
      </c>
      <c r="BO621" s="256">
        <v>42200</v>
      </c>
      <c r="BT621" s="251">
        <v>51.20941162109375</v>
      </c>
      <c r="BU621" s="256">
        <v>42200</v>
      </c>
      <c r="BV621" s="251">
        <v>17.138492584228516</v>
      </c>
      <c r="BW621" s="256">
        <v>42200</v>
      </c>
      <c r="BX621" s="251">
        <v>17.962</v>
      </c>
      <c r="BY621" s="256">
        <v>42200</v>
      </c>
      <c r="CD621" s="253">
        <v>7.3</v>
      </c>
      <c r="CE621" s="159">
        <v>42191</v>
      </c>
      <c r="CM621" s="255">
        <v>3</v>
      </c>
      <c r="CN621" s="256">
        <v>42180</v>
      </c>
      <c r="CO621" s="140" t="s">
        <v>8447</v>
      </c>
    </row>
    <row r="622" spans="1:93" ht="15">
      <c r="A622" s="124" t="s">
        <v>7700</v>
      </c>
      <c r="B622" s="161" t="s">
        <v>7546</v>
      </c>
      <c r="C622" s="268" t="s">
        <v>269</v>
      </c>
      <c r="D622" s="243">
        <v>1</v>
      </c>
      <c r="E622" s="183">
        <v>114</v>
      </c>
      <c r="F622" s="244">
        <v>3</v>
      </c>
      <c r="G622" s="245">
        <v>21</v>
      </c>
      <c r="L622" s="254">
        <v>7</v>
      </c>
      <c r="N622" s="246">
        <v>5.13</v>
      </c>
      <c r="O622" s="159">
        <v>42191</v>
      </c>
      <c r="T622" s="247">
        <v>14.71</v>
      </c>
      <c r="U622" s="256">
        <v>42200</v>
      </c>
      <c r="V622" s="145">
        <v>18.5</v>
      </c>
      <c r="W622" s="159">
        <v>42191</v>
      </c>
      <c r="AD622" s="145">
        <f>(N622/V622)*(((100-CD622)/100)*((100-2)/100))*100</f>
        <v>25.300050810810809</v>
      </c>
      <c r="AF622" s="248">
        <v>28.92</v>
      </c>
      <c r="AG622" s="159">
        <v>42191</v>
      </c>
      <c r="AJ622" s="249">
        <v>160</v>
      </c>
      <c r="AN622" s="250">
        <v>103</v>
      </c>
      <c r="BB622" s="257">
        <v>7</v>
      </c>
      <c r="BN622" s="242">
        <v>60.100999999999999</v>
      </c>
      <c r="BO622" s="256">
        <v>42200</v>
      </c>
      <c r="BT622" s="242">
        <v>50.868408203125</v>
      </c>
      <c r="BU622" s="256">
        <v>42200</v>
      </c>
      <c r="BV622" s="242">
        <v>16.435922622680664</v>
      </c>
      <c r="BW622" s="256">
        <v>42200</v>
      </c>
      <c r="BX622" s="242">
        <v>18.902000000000001</v>
      </c>
      <c r="BY622" s="256">
        <v>42200</v>
      </c>
      <c r="CD622" s="253">
        <v>6.9</v>
      </c>
      <c r="CE622" s="159">
        <v>42191</v>
      </c>
      <c r="CM622" s="255">
        <v>3</v>
      </c>
      <c r="CN622" s="256">
        <v>42180</v>
      </c>
      <c r="CO622" s="140" t="s">
        <v>8447</v>
      </c>
    </row>
    <row r="623" spans="1:93" ht="15">
      <c r="A623" s="124" t="s">
        <v>7728</v>
      </c>
      <c r="B623" s="161" t="s">
        <v>7556</v>
      </c>
      <c r="C623" s="268" t="s">
        <v>269</v>
      </c>
      <c r="D623" s="243">
        <v>2</v>
      </c>
      <c r="E623" s="183">
        <v>142</v>
      </c>
      <c r="F623" s="244">
        <v>10</v>
      </c>
      <c r="G623" s="245">
        <v>3</v>
      </c>
      <c r="L623" s="254">
        <v>7</v>
      </c>
      <c r="N623" s="246">
        <v>5.17</v>
      </c>
      <c r="O623" s="159">
        <v>42191</v>
      </c>
      <c r="T623" s="247">
        <v>15.22</v>
      </c>
      <c r="U623" s="256">
        <v>42200</v>
      </c>
      <c r="V623" s="145">
        <v>18.5</v>
      </c>
      <c r="W623" s="159">
        <v>42191</v>
      </c>
      <c r="AD623" s="145">
        <f>(N623/V623)*(((100-CD623)/100)*((100-2)/100))*100</f>
        <v>25.332999999999995</v>
      </c>
      <c r="AF623" s="248">
        <f>(N623/V623)*(((100-CD623)/(100-9))*100)</f>
        <v>28.406593406593405</v>
      </c>
      <c r="AG623" s="159">
        <v>42191</v>
      </c>
      <c r="AJ623" s="249">
        <v>125</v>
      </c>
      <c r="AN623" s="250">
        <v>100</v>
      </c>
      <c r="BB623" s="257">
        <v>7</v>
      </c>
      <c r="BN623" s="251">
        <v>65.239999999999995</v>
      </c>
      <c r="BO623" s="256">
        <v>42200</v>
      </c>
      <c r="BT623" s="251">
        <v>52.572624206542969</v>
      </c>
      <c r="BU623" s="256">
        <v>42200</v>
      </c>
      <c r="BV623" s="251">
        <v>17.026548385620117</v>
      </c>
      <c r="BW623" s="256">
        <v>42200</v>
      </c>
      <c r="BX623" s="251">
        <v>15.673999999999999</v>
      </c>
      <c r="BY623" s="256">
        <v>42200</v>
      </c>
      <c r="CD623" s="253">
        <v>7.5</v>
      </c>
      <c r="CE623" s="159">
        <v>42191</v>
      </c>
      <c r="CM623" s="255">
        <v>1</v>
      </c>
      <c r="CN623" s="256">
        <v>42180</v>
      </c>
      <c r="CO623" s="140" t="s">
        <v>8448</v>
      </c>
    </row>
    <row r="624" spans="1:93" ht="15">
      <c r="A624" s="124" t="s">
        <v>7701</v>
      </c>
      <c r="B624" s="161" t="s">
        <v>7547</v>
      </c>
      <c r="C624" s="268" t="s">
        <v>269</v>
      </c>
      <c r="D624" s="243">
        <v>1</v>
      </c>
      <c r="E624" s="183">
        <v>115</v>
      </c>
      <c r="F624" s="244">
        <v>2</v>
      </c>
      <c r="G624" s="245">
        <v>7</v>
      </c>
      <c r="L624" s="254">
        <v>8</v>
      </c>
      <c r="N624" s="246">
        <v>5.14</v>
      </c>
      <c r="O624" s="159">
        <v>42191</v>
      </c>
      <c r="T624" s="247">
        <v>14.31</v>
      </c>
      <c r="U624" s="256">
        <v>42200</v>
      </c>
      <c r="V624" s="145">
        <v>18.5</v>
      </c>
      <c r="W624" s="159">
        <v>42191</v>
      </c>
      <c r="AD624" s="145">
        <f>(N624/V624)*(((100-CD624)/100)*((100-2)/100))*100</f>
        <v>25.349368648648646</v>
      </c>
      <c r="AF624" s="248">
        <v>28.98</v>
      </c>
      <c r="AG624" s="159">
        <v>42191</v>
      </c>
      <c r="AJ624" s="249">
        <v>160</v>
      </c>
      <c r="AN624" s="250">
        <v>104</v>
      </c>
      <c r="BB624" s="257">
        <v>7</v>
      </c>
      <c r="BN624" s="251">
        <v>66.085999999999999</v>
      </c>
      <c r="BO624" s="256">
        <v>42200</v>
      </c>
      <c r="BT624" s="251">
        <v>49.371852874755859</v>
      </c>
      <c r="BU624" s="256">
        <v>42200</v>
      </c>
      <c r="BV624" s="251">
        <v>19.133607864379883</v>
      </c>
      <c r="BW624" s="256">
        <v>42200</v>
      </c>
      <c r="BX624" s="251">
        <v>62.143000000000001</v>
      </c>
      <c r="BY624" s="256">
        <v>42200</v>
      </c>
      <c r="CD624" s="253">
        <v>6.9</v>
      </c>
      <c r="CE624" s="159">
        <v>42191</v>
      </c>
      <c r="CM624" s="255">
        <v>3</v>
      </c>
      <c r="CN624" s="256">
        <v>42180</v>
      </c>
      <c r="CO624" s="140" t="s">
        <v>8447</v>
      </c>
    </row>
    <row r="625" spans="1:93" ht="15">
      <c r="A625" s="124" t="s">
        <v>7620</v>
      </c>
      <c r="B625" s="161" t="s">
        <v>7474</v>
      </c>
      <c r="C625" s="268" t="s">
        <v>269</v>
      </c>
      <c r="D625" s="243">
        <v>1</v>
      </c>
      <c r="E625" s="183">
        <v>34</v>
      </c>
      <c r="F625" s="244">
        <v>1</v>
      </c>
      <c r="G625" s="245">
        <v>6</v>
      </c>
      <c r="L625" s="254">
        <v>9</v>
      </c>
      <c r="N625" s="246">
        <v>5.15</v>
      </c>
      <c r="O625" s="159">
        <v>42191</v>
      </c>
      <c r="T625" s="247">
        <v>13.85</v>
      </c>
      <c r="U625" s="256">
        <v>42200</v>
      </c>
      <c r="V625" s="145">
        <v>18.5</v>
      </c>
      <c r="W625" s="159">
        <v>42191</v>
      </c>
      <c r="AD625" s="145">
        <f>(N625/V625)*(((100-CD625)/100)*((100-2)/100))*100</f>
        <v>25.371405405405412</v>
      </c>
      <c r="AF625" s="248">
        <v>29</v>
      </c>
      <c r="AG625" s="159">
        <v>42191</v>
      </c>
      <c r="AJ625" s="249">
        <v>160</v>
      </c>
      <c r="AN625" s="250">
        <v>101</v>
      </c>
      <c r="BB625" s="257">
        <v>5</v>
      </c>
      <c r="BN625" s="251">
        <v>59.661999999999999</v>
      </c>
      <c r="BO625" s="256">
        <v>42200</v>
      </c>
      <c r="BT625" s="251">
        <v>47.771705627441406</v>
      </c>
      <c r="BU625" s="256">
        <v>42200</v>
      </c>
      <c r="BV625" s="251">
        <v>19.471437454223633</v>
      </c>
      <c r="BW625" s="256">
        <v>42200</v>
      </c>
      <c r="BX625" s="251">
        <v>63.688000000000002</v>
      </c>
      <c r="BY625" s="256">
        <v>42200</v>
      </c>
      <c r="CD625" s="253">
        <v>7</v>
      </c>
      <c r="CE625" s="159">
        <v>42191</v>
      </c>
      <c r="CM625" s="255">
        <v>5</v>
      </c>
      <c r="CN625" s="256">
        <v>42180</v>
      </c>
      <c r="CO625" s="140" t="s">
        <v>8447</v>
      </c>
    </row>
    <row r="626" spans="1:93" ht="15">
      <c r="A626" s="124" t="s">
        <v>7731</v>
      </c>
      <c r="B626" s="161" t="s">
        <v>8250</v>
      </c>
      <c r="C626" s="268" t="s">
        <v>269</v>
      </c>
      <c r="D626" s="243">
        <v>2</v>
      </c>
      <c r="E626" s="183">
        <v>145</v>
      </c>
      <c r="F626" s="244">
        <v>12</v>
      </c>
      <c r="G626" s="245">
        <v>11</v>
      </c>
      <c r="L626" s="254">
        <v>8</v>
      </c>
      <c r="N626" s="246">
        <v>5.16</v>
      </c>
      <c r="O626" s="159">
        <v>42191</v>
      </c>
      <c r="T626" s="247">
        <v>14.9</v>
      </c>
      <c r="U626" s="256">
        <v>42200</v>
      </c>
      <c r="V626" s="145">
        <v>18.5</v>
      </c>
      <c r="W626" s="159">
        <v>42191</v>
      </c>
      <c r="AD626" s="145">
        <f>(N626/V626)*(((100-CD626)/100)*((100-2)/100))*100</f>
        <v>25.393336216216216</v>
      </c>
      <c r="AF626" s="248">
        <f>(N626/V626)*(((100-CD626)/(100-9))*100)</f>
        <v>28.474250074250076</v>
      </c>
      <c r="AG626" s="159">
        <v>42191</v>
      </c>
      <c r="AJ626" s="249">
        <v>130</v>
      </c>
      <c r="AN626" s="250">
        <v>101</v>
      </c>
      <c r="BB626" s="257">
        <v>7</v>
      </c>
      <c r="BN626" s="251">
        <v>63.106999999999999</v>
      </c>
      <c r="BO626" s="256">
        <v>42200</v>
      </c>
      <c r="BT626" s="251">
        <v>51.336944580078125</v>
      </c>
      <c r="BU626" s="256">
        <v>42200</v>
      </c>
      <c r="BV626" s="251">
        <v>16.797849655151367</v>
      </c>
      <c r="BW626" s="256">
        <v>42200</v>
      </c>
      <c r="BX626" s="251">
        <v>14.172000000000001</v>
      </c>
      <c r="BY626" s="256">
        <v>42200</v>
      </c>
      <c r="CD626" s="253">
        <v>7.1</v>
      </c>
      <c r="CE626" s="159">
        <v>42191</v>
      </c>
      <c r="CM626" s="255">
        <v>1</v>
      </c>
      <c r="CN626" s="256">
        <v>42180</v>
      </c>
      <c r="CO626" s="140" t="s">
        <v>8448</v>
      </c>
    </row>
    <row r="627" spans="1:93" ht="15">
      <c r="A627" s="124" t="s">
        <v>7628</v>
      </c>
      <c r="B627" s="161" t="s">
        <v>7481</v>
      </c>
      <c r="C627" s="268" t="s">
        <v>269</v>
      </c>
      <c r="D627" s="243">
        <v>1</v>
      </c>
      <c r="E627" s="183">
        <v>42</v>
      </c>
      <c r="F627" s="244">
        <v>4</v>
      </c>
      <c r="G627" s="245">
        <v>25</v>
      </c>
      <c r="L627" s="254">
        <v>7</v>
      </c>
      <c r="N627" s="246">
        <v>5.16</v>
      </c>
      <c r="O627" s="159">
        <v>42191</v>
      </c>
      <c r="T627" s="247">
        <v>15.17</v>
      </c>
      <c r="U627" s="256">
        <v>42200</v>
      </c>
      <c r="V627" s="145">
        <v>18.5</v>
      </c>
      <c r="W627" s="159">
        <v>42191</v>
      </c>
      <c r="AD627" s="145">
        <f>(N627/V627)*(((100-CD627)/100)*((100-2)/100))*100</f>
        <v>25.393336216216216</v>
      </c>
      <c r="AF627" s="248">
        <f>(N627/V627)*(((100-CD627)/(100-9))*100)</f>
        <v>28.474250074250076</v>
      </c>
      <c r="AG627" s="159">
        <v>42191</v>
      </c>
      <c r="AJ627" s="249">
        <v>155</v>
      </c>
      <c r="AN627" s="250">
        <v>106</v>
      </c>
      <c r="BB627" s="257">
        <v>5</v>
      </c>
      <c r="BN627" s="251">
        <v>62.884999999999998</v>
      </c>
      <c r="BO627" s="256">
        <v>42200</v>
      </c>
      <c r="BT627" s="251">
        <v>52.268379211425781</v>
      </c>
      <c r="BU627" s="256">
        <v>42200</v>
      </c>
      <c r="BV627" s="251">
        <v>16.163103103637695</v>
      </c>
      <c r="BW627" s="256">
        <v>42200</v>
      </c>
      <c r="BX627" s="251">
        <v>16.3</v>
      </c>
      <c r="BY627" s="256">
        <v>42200</v>
      </c>
      <c r="CD627" s="253">
        <v>7.1</v>
      </c>
      <c r="CE627" s="159">
        <v>42191</v>
      </c>
      <c r="CM627" s="255">
        <v>1</v>
      </c>
      <c r="CN627" s="256">
        <v>42180</v>
      </c>
      <c r="CO627" s="140" t="s">
        <v>8447</v>
      </c>
    </row>
    <row r="628" spans="1:93" ht="15">
      <c r="A628" s="124" t="s">
        <v>7677</v>
      </c>
      <c r="B628" s="161" t="s">
        <v>7775</v>
      </c>
      <c r="C628" s="268" t="s">
        <v>267</v>
      </c>
      <c r="D628" s="243">
        <v>3</v>
      </c>
      <c r="E628" s="183">
        <v>91</v>
      </c>
      <c r="F628" s="244">
        <v>18</v>
      </c>
      <c r="G628" s="245">
        <v>3</v>
      </c>
      <c r="L628" s="254">
        <v>9</v>
      </c>
      <c r="N628" s="246">
        <v>5.22</v>
      </c>
      <c r="O628" s="159">
        <v>42191</v>
      </c>
      <c r="T628" s="247">
        <v>13.78</v>
      </c>
      <c r="U628" s="256">
        <v>42200</v>
      </c>
      <c r="V628" s="145">
        <v>18.5</v>
      </c>
      <c r="W628" s="159">
        <v>42191</v>
      </c>
      <c r="AD628" s="145">
        <f>(N628/V628)*(((100-CD628)/100)*((100-2)/100))*100</f>
        <v>25.412088648648652</v>
      </c>
      <c r="AF628" s="248">
        <f>(N628/V628)*(((100-CD628)/(100-9))*100)</f>
        <v>28.495277695277693</v>
      </c>
      <c r="AG628" s="159">
        <v>42191</v>
      </c>
      <c r="AJ628" s="249">
        <v>120</v>
      </c>
      <c r="AN628" s="250">
        <v>102</v>
      </c>
      <c r="BB628" s="257">
        <v>3</v>
      </c>
      <c r="BN628" s="251">
        <v>59.756</v>
      </c>
      <c r="BO628" s="256">
        <v>42200</v>
      </c>
      <c r="BT628" s="251">
        <v>47.434673309326172</v>
      </c>
      <c r="BU628" s="256">
        <v>42200</v>
      </c>
      <c r="BV628" s="251">
        <v>18.040187835693359</v>
      </c>
      <c r="BW628" s="256">
        <v>42200</v>
      </c>
      <c r="BX628" s="251">
        <v>21.405999999999999</v>
      </c>
      <c r="BY628" s="256">
        <v>42200</v>
      </c>
      <c r="CD628" s="253">
        <v>8.1</v>
      </c>
      <c r="CE628" s="159">
        <v>42191</v>
      </c>
      <c r="CM628" s="255">
        <v>1</v>
      </c>
      <c r="CN628" s="256">
        <v>42180</v>
      </c>
      <c r="CO628" s="140" t="s">
        <v>8447</v>
      </c>
    </row>
    <row r="629" spans="1:93" ht="15">
      <c r="A629" s="124" t="s">
        <v>7640</v>
      </c>
      <c r="B629" s="161" t="s">
        <v>7492</v>
      </c>
      <c r="C629" s="268" t="s">
        <v>269</v>
      </c>
      <c r="D629" s="243">
        <v>2</v>
      </c>
      <c r="E629" s="183">
        <v>54</v>
      </c>
      <c r="F629" s="244">
        <v>10</v>
      </c>
      <c r="G629" s="245">
        <v>31</v>
      </c>
      <c r="L629" s="254">
        <v>6</v>
      </c>
      <c r="N629" s="246">
        <v>5.17</v>
      </c>
      <c r="O629" s="159">
        <v>42191</v>
      </c>
      <c r="T629" s="247">
        <v>14.32</v>
      </c>
      <c r="U629" s="256">
        <v>42200</v>
      </c>
      <c r="V629" s="145">
        <v>18.5</v>
      </c>
      <c r="W629" s="159">
        <v>42191</v>
      </c>
      <c r="AD629" s="145">
        <f>(N629/V629)*(((100-CD629)/100)*((100-2)/100))*100</f>
        <v>25.415161081081077</v>
      </c>
      <c r="AF629" s="248">
        <f>(N629/V629)*(((100-CD629)/(100-9))*100)</f>
        <v>28.498722898722896</v>
      </c>
      <c r="AG629" s="159">
        <v>42191</v>
      </c>
      <c r="AJ629" s="249">
        <v>130</v>
      </c>
      <c r="AN629" s="250">
        <v>106</v>
      </c>
      <c r="BB629" s="257">
        <v>7</v>
      </c>
      <c r="BN629" s="251">
        <v>60.686999999999998</v>
      </c>
      <c r="BO629" s="256">
        <v>42200</v>
      </c>
      <c r="BT629" s="251">
        <v>49.286781311035156</v>
      </c>
      <c r="BU629" s="256">
        <v>42200</v>
      </c>
      <c r="BV629" s="251">
        <v>18.127197265625</v>
      </c>
      <c r="BW629" s="256">
        <v>42200</v>
      </c>
      <c r="BX629" s="251">
        <v>19.195</v>
      </c>
      <c r="BY629" s="256">
        <v>42200</v>
      </c>
      <c r="CD629" s="253">
        <v>7.2</v>
      </c>
      <c r="CE629" s="159">
        <v>42191</v>
      </c>
      <c r="CM629" s="255">
        <v>1</v>
      </c>
      <c r="CN629" s="256">
        <v>42180</v>
      </c>
      <c r="CO629" s="140" t="s">
        <v>8448</v>
      </c>
    </row>
    <row r="630" spans="1:93" ht="15">
      <c r="A630" s="124" t="s">
        <v>7690</v>
      </c>
      <c r="B630" s="161" t="s">
        <v>7537</v>
      </c>
      <c r="C630" s="268" t="s">
        <v>267</v>
      </c>
      <c r="D630" s="243">
        <v>4</v>
      </c>
      <c r="E630" s="183">
        <v>104</v>
      </c>
      <c r="F630" s="244">
        <v>22</v>
      </c>
      <c r="G630" s="245">
        <v>25</v>
      </c>
      <c r="L630" s="254">
        <v>3</v>
      </c>
      <c r="N630" s="246">
        <v>5.43</v>
      </c>
      <c r="O630" s="159">
        <v>42191</v>
      </c>
      <c r="T630" s="247">
        <v>14.64</v>
      </c>
      <c r="U630" s="256">
        <v>42200</v>
      </c>
      <c r="V630" s="145">
        <v>18.5</v>
      </c>
      <c r="W630" s="159">
        <v>42191</v>
      </c>
      <c r="AD630" s="145">
        <f>(N630/V630)*(((100-CD630)/100)*((100-2)/100))*100</f>
        <v>25.427662702702701</v>
      </c>
      <c r="AF630" s="248">
        <f>(N630/V630)*(((100-CD630)/(100-9))*100)</f>
        <v>28.512741312741316</v>
      </c>
      <c r="AG630" s="159">
        <v>42191</v>
      </c>
      <c r="AJ630" s="249">
        <v>140</v>
      </c>
      <c r="AN630" s="250">
        <v>103</v>
      </c>
      <c r="BB630" s="257">
        <v>7</v>
      </c>
      <c r="BN630" s="251">
        <v>62.170999999999999</v>
      </c>
      <c r="BO630" s="256">
        <v>42200</v>
      </c>
      <c r="BT630" s="251">
        <v>50.368003845214844</v>
      </c>
      <c r="BU630" s="256">
        <v>42200</v>
      </c>
      <c r="BV630" s="251">
        <v>17.11328125</v>
      </c>
      <c r="BW630" s="256">
        <v>42200</v>
      </c>
      <c r="BX630" s="251">
        <v>19.648</v>
      </c>
      <c r="BY630" s="256">
        <v>42200</v>
      </c>
      <c r="CD630" s="253">
        <v>11.6</v>
      </c>
      <c r="CE630" s="159">
        <v>42191</v>
      </c>
      <c r="CM630" s="255">
        <v>1</v>
      </c>
      <c r="CN630" s="256">
        <v>42180</v>
      </c>
      <c r="CO630" s="140" t="s">
        <v>8447</v>
      </c>
    </row>
    <row r="631" spans="1:93" ht="15" customHeight="1">
      <c r="A631" s="137" t="s">
        <v>7551</v>
      </c>
      <c r="B631" s="279" t="s">
        <v>7551</v>
      </c>
      <c r="C631" s="268" t="s">
        <v>269</v>
      </c>
      <c r="D631" s="269">
        <v>1</v>
      </c>
      <c r="E631" s="280">
        <v>24</v>
      </c>
      <c r="F631" s="269"/>
      <c r="G631" s="269"/>
      <c r="H631" s="271">
        <v>6</v>
      </c>
      <c r="I631" s="271">
        <v>1</v>
      </c>
      <c r="J631" s="282"/>
      <c r="K631" s="273"/>
      <c r="L631" s="269">
        <v>8</v>
      </c>
      <c r="M631" s="274"/>
      <c r="N631" s="269">
        <v>5.29</v>
      </c>
      <c r="O631" s="274">
        <v>42191</v>
      </c>
      <c r="P631" s="272"/>
      <c r="Q631" s="274"/>
      <c r="R631" s="275"/>
      <c r="S631" s="274"/>
      <c r="T631" s="269">
        <v>14.77</v>
      </c>
      <c r="U631" s="276">
        <v>42200</v>
      </c>
      <c r="V631" s="275">
        <v>18.5</v>
      </c>
      <c r="W631" s="274">
        <v>42191</v>
      </c>
      <c r="X631" s="275"/>
      <c r="Y631" s="274"/>
      <c r="Z631" s="275"/>
      <c r="AA631" s="274"/>
      <c r="AB631" s="275"/>
      <c r="AC631" s="274"/>
      <c r="AD631" s="145">
        <f>(N631/V631)*(((100-CD631)/100)*((100-2)/100))*100</f>
        <v>25.444614054054053</v>
      </c>
      <c r="AE631" s="274"/>
      <c r="AF631" s="269">
        <v>29.09</v>
      </c>
      <c r="AG631" s="274">
        <v>42191</v>
      </c>
      <c r="AH631" s="274"/>
      <c r="AI631" s="274"/>
      <c r="AJ631" s="269">
        <v>145</v>
      </c>
      <c r="AK631" s="274"/>
      <c r="AL631" s="275"/>
      <c r="AM631" s="274"/>
      <c r="AN631" s="269">
        <v>98</v>
      </c>
      <c r="AO631" s="274"/>
      <c r="AP631" s="275"/>
      <c r="AQ631" s="275"/>
      <c r="AR631" s="275"/>
      <c r="AS631" s="275"/>
      <c r="AT631" s="275"/>
      <c r="AU631" s="275"/>
      <c r="AV631" s="275"/>
      <c r="AW631" s="275"/>
      <c r="AX631" s="275"/>
      <c r="AY631" s="275"/>
      <c r="AZ631" s="275"/>
      <c r="BA631" s="275"/>
      <c r="BB631" s="269">
        <v>5</v>
      </c>
      <c r="BC631" s="275"/>
      <c r="BD631" s="275"/>
      <c r="BE631" s="275"/>
      <c r="BF631" s="272"/>
      <c r="BG631" s="272"/>
      <c r="BH631" s="272"/>
      <c r="BI631" s="272"/>
      <c r="BJ631" s="272"/>
      <c r="BK631" s="272"/>
      <c r="BL631" s="272"/>
      <c r="BM631" s="272"/>
      <c r="BN631" s="284">
        <v>62.567999999999998</v>
      </c>
      <c r="BO631" s="276">
        <v>42200</v>
      </c>
      <c r="BP631" s="272"/>
      <c r="BQ631" s="272"/>
      <c r="BR631" s="272"/>
      <c r="BS631" s="272"/>
      <c r="BT631" s="284">
        <v>50.78</v>
      </c>
      <c r="BU631" s="276">
        <v>42200</v>
      </c>
      <c r="BV631" s="284">
        <v>17.442237854003906</v>
      </c>
      <c r="BW631" s="276">
        <v>42200</v>
      </c>
      <c r="BX631" s="284">
        <v>15.101000000000001</v>
      </c>
      <c r="BY631" s="276">
        <v>42200</v>
      </c>
      <c r="BZ631" s="272"/>
      <c r="CA631" s="272"/>
      <c r="CB631" s="272"/>
      <c r="CC631" s="272"/>
      <c r="CD631" s="269">
        <v>9.1999999999999993</v>
      </c>
      <c r="CE631" s="274">
        <v>42191</v>
      </c>
      <c r="CF631" s="272"/>
      <c r="CG631" s="272"/>
      <c r="CH631" s="272"/>
      <c r="CI631" s="272"/>
      <c r="CJ631" s="272"/>
      <c r="CK631" s="272"/>
      <c r="CL631" s="272"/>
      <c r="CM631" s="278">
        <v>9</v>
      </c>
      <c r="CN631" s="276">
        <v>42180</v>
      </c>
      <c r="CO631" s="140" t="s">
        <v>8448</v>
      </c>
    </row>
    <row r="632" spans="1:93" ht="15" customHeight="1">
      <c r="A632" s="124" t="s">
        <v>7669</v>
      </c>
      <c r="B632" s="161" t="s">
        <v>7518</v>
      </c>
      <c r="C632" s="268" t="s">
        <v>269</v>
      </c>
      <c r="D632" s="257">
        <v>1</v>
      </c>
      <c r="E632" s="183">
        <v>83</v>
      </c>
      <c r="F632" s="257">
        <v>6</v>
      </c>
      <c r="G632" s="257">
        <v>24</v>
      </c>
      <c r="L632" s="257">
        <v>6</v>
      </c>
      <c r="N632" s="257">
        <v>5.16</v>
      </c>
      <c r="O632" s="159">
        <v>42191</v>
      </c>
      <c r="T632" s="257">
        <v>14.17</v>
      </c>
      <c r="U632" s="256">
        <v>42200</v>
      </c>
      <c r="V632" s="145">
        <v>18.5</v>
      </c>
      <c r="W632" s="159">
        <v>42191</v>
      </c>
      <c r="AD632" s="145">
        <f>(N632/V632)*(((100-CD632)/100)*((100-2)/100))*100</f>
        <v>25.448004324324319</v>
      </c>
      <c r="AF632" s="257">
        <v>29.09</v>
      </c>
      <c r="AG632" s="159">
        <v>42191</v>
      </c>
      <c r="AJ632" s="257">
        <v>135</v>
      </c>
      <c r="AN632" s="257">
        <v>107</v>
      </c>
      <c r="BB632" s="257">
        <v>3</v>
      </c>
      <c r="BN632" s="251">
        <v>64.212000000000003</v>
      </c>
      <c r="BO632" s="256">
        <v>42200</v>
      </c>
      <c r="BT632" s="251">
        <v>48.699844360351563</v>
      </c>
      <c r="BU632" s="256">
        <v>42200</v>
      </c>
      <c r="BV632" s="251">
        <v>18.544239044189453</v>
      </c>
      <c r="BW632" s="256">
        <v>42200</v>
      </c>
      <c r="BX632" s="251">
        <v>24.148</v>
      </c>
      <c r="BY632" s="256">
        <v>42200</v>
      </c>
      <c r="CD632" s="257">
        <v>6.9</v>
      </c>
      <c r="CE632" s="159">
        <v>42191</v>
      </c>
      <c r="CM632" s="255">
        <v>3</v>
      </c>
      <c r="CN632" s="256">
        <v>42180</v>
      </c>
      <c r="CO632" s="140" t="s">
        <v>8447</v>
      </c>
    </row>
    <row r="633" spans="1:93" ht="15">
      <c r="A633" s="124" t="s">
        <v>7754</v>
      </c>
      <c r="B633" s="161" t="s">
        <v>7578</v>
      </c>
      <c r="C633" s="268" t="s">
        <v>267</v>
      </c>
      <c r="D633" s="243">
        <v>3</v>
      </c>
      <c r="E633" s="183">
        <v>168</v>
      </c>
      <c r="F633" s="244">
        <v>18</v>
      </c>
      <c r="G633" s="245">
        <v>12</v>
      </c>
      <c r="L633" s="254">
        <v>8</v>
      </c>
      <c r="N633" s="246">
        <v>5.26</v>
      </c>
      <c r="O633" s="159">
        <v>42191</v>
      </c>
      <c r="T633" s="247">
        <v>15.09</v>
      </c>
      <c r="U633" s="256">
        <v>42200</v>
      </c>
      <c r="V633" s="145">
        <v>18.5</v>
      </c>
      <c r="W633" s="159">
        <v>42191</v>
      </c>
      <c r="AD633" s="145">
        <f>(N633/V633)*(((100-CD633)/100)*((100-2)/100))*100</f>
        <v>25.523225945945942</v>
      </c>
      <c r="AF633" s="248">
        <v>29.18</v>
      </c>
      <c r="AG633" s="159">
        <v>42191</v>
      </c>
      <c r="AJ633" s="249">
        <v>105</v>
      </c>
      <c r="AN633" s="250">
        <v>102</v>
      </c>
      <c r="BB633" s="257">
        <v>7</v>
      </c>
      <c r="BN633" s="251">
        <v>62.683999999999997</v>
      </c>
      <c r="BO633" s="256">
        <v>42200</v>
      </c>
      <c r="BT633" s="251">
        <v>51.698986053466797</v>
      </c>
      <c r="BU633" s="256">
        <v>42200</v>
      </c>
      <c r="BV633" s="251">
        <v>16.787160873413086</v>
      </c>
      <c r="BW633" s="256">
        <v>42200</v>
      </c>
      <c r="BX633" s="251">
        <v>17.010999999999999</v>
      </c>
      <c r="BY633" s="256">
        <v>42200</v>
      </c>
      <c r="CD633" s="253">
        <v>8.4</v>
      </c>
      <c r="CE633" s="159">
        <v>42191</v>
      </c>
      <c r="CM633" s="255">
        <v>3</v>
      </c>
      <c r="CN633" s="256">
        <v>42180</v>
      </c>
      <c r="CO633" s="140" t="s">
        <v>8447</v>
      </c>
    </row>
    <row r="634" spans="1:93" ht="15">
      <c r="A634" s="124" t="s">
        <v>7728</v>
      </c>
      <c r="B634" s="161" t="s">
        <v>7556</v>
      </c>
      <c r="C634" s="268" t="s">
        <v>267</v>
      </c>
      <c r="D634" s="243">
        <v>4</v>
      </c>
      <c r="E634" s="183">
        <v>142</v>
      </c>
      <c r="F634" s="244">
        <v>22</v>
      </c>
      <c r="G634" s="245">
        <v>16</v>
      </c>
      <c r="L634" s="254">
        <v>3</v>
      </c>
      <c r="N634" s="246">
        <v>5.24</v>
      </c>
      <c r="O634" s="159">
        <v>42191</v>
      </c>
      <c r="T634" s="247">
        <v>15.19</v>
      </c>
      <c r="U634" s="256">
        <v>42200</v>
      </c>
      <c r="V634" s="145">
        <v>18.5</v>
      </c>
      <c r="W634" s="159">
        <v>42191</v>
      </c>
      <c r="AD634" s="145">
        <f>(N634/V634)*(((100-CD634)/100)*((100-2)/100))*100</f>
        <v>25.537210810810812</v>
      </c>
      <c r="AF634" s="248">
        <f>(N634/V634)*(((100-CD634)/(100-9))*100)</f>
        <v>28.635580635580634</v>
      </c>
      <c r="AG634" s="159">
        <v>42191</v>
      </c>
      <c r="AJ634" s="249">
        <v>130</v>
      </c>
      <c r="AN634" s="250">
        <v>101</v>
      </c>
      <c r="BB634" s="257">
        <v>7</v>
      </c>
      <c r="BN634" s="251">
        <v>64.369</v>
      </c>
      <c r="BO634" s="256">
        <v>42200</v>
      </c>
      <c r="BT634" s="251">
        <v>52.03680419921875</v>
      </c>
      <c r="BU634" s="256">
        <v>42200</v>
      </c>
      <c r="BV634" s="251">
        <v>16.300901412963867</v>
      </c>
      <c r="BW634" s="256">
        <v>42200</v>
      </c>
      <c r="BX634" s="251">
        <v>13.231999999999999</v>
      </c>
      <c r="BY634" s="256">
        <v>42200</v>
      </c>
      <c r="CD634" s="253">
        <v>8</v>
      </c>
      <c r="CE634" s="159">
        <v>42191</v>
      </c>
      <c r="CM634" s="255">
        <v>1</v>
      </c>
      <c r="CN634" s="256">
        <v>42180</v>
      </c>
      <c r="CO634" s="140" t="s">
        <v>8447</v>
      </c>
    </row>
    <row r="635" spans="1:93" ht="15">
      <c r="A635" s="124" t="s">
        <v>7524</v>
      </c>
      <c r="B635" s="161" t="s">
        <v>7524</v>
      </c>
      <c r="C635" s="268" t="s">
        <v>267</v>
      </c>
      <c r="D635" s="243">
        <v>3</v>
      </c>
      <c r="E635" s="191">
        <v>187</v>
      </c>
      <c r="F635" s="244">
        <v>13</v>
      </c>
      <c r="G635" s="245">
        <v>16</v>
      </c>
      <c r="L635" s="254">
        <v>7</v>
      </c>
      <c r="N635" s="246">
        <v>5.23</v>
      </c>
      <c r="O635" s="159">
        <v>42191</v>
      </c>
      <c r="T635" s="247">
        <v>14.53</v>
      </c>
      <c r="U635" s="256">
        <v>42200</v>
      </c>
      <c r="V635" s="145">
        <v>18.5</v>
      </c>
      <c r="W635" s="159">
        <v>42191</v>
      </c>
      <c r="AD635" s="145">
        <f>(N635/V635)*(((100-CD635)/100)*((100-2)/100))*100</f>
        <v>25.571590270270267</v>
      </c>
      <c r="AF635" s="248">
        <v>29.23</v>
      </c>
      <c r="AG635" s="159">
        <v>42191</v>
      </c>
      <c r="AJ635" s="249">
        <v>125</v>
      </c>
      <c r="AN635" s="250">
        <v>100</v>
      </c>
      <c r="BB635" s="257">
        <v>7</v>
      </c>
      <c r="BN635" s="251">
        <v>63.134999999999998</v>
      </c>
      <c r="BO635" s="256">
        <v>42200</v>
      </c>
      <c r="BT635" s="251">
        <v>49.711219787597656</v>
      </c>
      <c r="BU635" s="256">
        <v>42200</v>
      </c>
      <c r="BV635" s="251">
        <v>18.685144424438477</v>
      </c>
      <c r="BW635" s="256">
        <v>42200</v>
      </c>
      <c r="BX635" s="251">
        <v>15.255000000000001</v>
      </c>
      <c r="BY635" s="256">
        <v>42200</v>
      </c>
      <c r="CD635" s="253">
        <v>7.7</v>
      </c>
      <c r="CE635" s="159">
        <v>42191</v>
      </c>
      <c r="CM635" s="255">
        <v>1</v>
      </c>
      <c r="CN635" s="256">
        <v>42180</v>
      </c>
      <c r="CO635" s="140" t="s">
        <v>8447</v>
      </c>
    </row>
    <row r="636" spans="1:93" ht="15">
      <c r="A636" s="124" t="s">
        <v>7693</v>
      </c>
      <c r="B636" s="161" t="s">
        <v>7539</v>
      </c>
      <c r="C636" s="268" t="s">
        <v>267</v>
      </c>
      <c r="D636" s="243">
        <v>3</v>
      </c>
      <c r="E636" s="183">
        <v>107</v>
      </c>
      <c r="F636" s="244">
        <v>13</v>
      </c>
      <c r="G636" s="245">
        <v>13</v>
      </c>
      <c r="L636" s="254">
        <v>8</v>
      </c>
      <c r="N636" s="246">
        <v>5.25</v>
      </c>
      <c r="O636" s="159">
        <v>42191</v>
      </c>
      <c r="T636" s="247">
        <v>14.55</v>
      </c>
      <c r="U636" s="256">
        <v>42200</v>
      </c>
      <c r="V636" s="145">
        <v>18.5</v>
      </c>
      <c r="W636" s="159">
        <v>42191</v>
      </c>
      <c r="AD636" s="145">
        <f>(N636/V636)*(((100-CD636)/100)*((100-2)/100))*100</f>
        <v>25.585945945945948</v>
      </c>
      <c r="AF636" s="248">
        <v>29.25</v>
      </c>
      <c r="AG636" s="159">
        <v>42191</v>
      </c>
      <c r="AJ636" s="249">
        <v>145</v>
      </c>
      <c r="AN636" s="250">
        <v>105</v>
      </c>
      <c r="BB636" s="257">
        <v>7</v>
      </c>
      <c r="BN636" s="251">
        <v>61.595999999999997</v>
      </c>
      <c r="BO636" s="256">
        <v>42200</v>
      </c>
      <c r="BT636" s="251">
        <v>49.731117248535156</v>
      </c>
      <c r="BU636" s="256">
        <v>42200</v>
      </c>
      <c r="BV636" s="251">
        <v>18.264566421508789</v>
      </c>
      <c r="BW636" s="256">
        <v>42200</v>
      </c>
      <c r="BX636" s="251">
        <v>15.866</v>
      </c>
      <c r="BY636" s="256">
        <v>42200</v>
      </c>
      <c r="CD636" s="253">
        <v>8</v>
      </c>
      <c r="CE636" s="159">
        <v>42191</v>
      </c>
      <c r="CM636" s="255">
        <v>3</v>
      </c>
      <c r="CN636" s="256">
        <v>42180</v>
      </c>
      <c r="CO636" s="140" t="s">
        <v>8447</v>
      </c>
    </row>
    <row r="637" spans="1:93" ht="15">
      <c r="A637" s="124" t="s">
        <v>7633</v>
      </c>
      <c r="B637" s="161" t="s">
        <v>7486</v>
      </c>
      <c r="C637" s="268" t="s">
        <v>269</v>
      </c>
      <c r="D637" s="243">
        <v>1</v>
      </c>
      <c r="E637" s="183">
        <v>47</v>
      </c>
      <c r="F637" s="244">
        <v>2</v>
      </c>
      <c r="G637" s="245">
        <v>14</v>
      </c>
      <c r="L637" s="254">
        <v>6</v>
      </c>
      <c r="N637" s="246">
        <v>5.2</v>
      </c>
      <c r="O637" s="159">
        <v>42191</v>
      </c>
      <c r="T637" s="247">
        <v>14.96</v>
      </c>
      <c r="U637" s="256">
        <v>42200</v>
      </c>
      <c r="V637" s="145">
        <v>18.5</v>
      </c>
      <c r="W637" s="159">
        <v>42191</v>
      </c>
      <c r="AD637" s="145">
        <f>(N637/V637)*(((100-CD637)/100)*((100-2)/100))*100</f>
        <v>25.590183783783786</v>
      </c>
      <c r="AF637" s="248">
        <f>(N637/V637)*(((100-CD637)/(100-9))*100)</f>
        <v>28.6949806949807</v>
      </c>
      <c r="AG637" s="159">
        <v>42191</v>
      </c>
      <c r="AJ637" s="249">
        <v>140</v>
      </c>
      <c r="AN637" s="250">
        <v>104</v>
      </c>
      <c r="BB637" s="257">
        <v>7</v>
      </c>
      <c r="BN637" s="251">
        <v>63.636000000000003</v>
      </c>
      <c r="BO637" s="256">
        <v>42200</v>
      </c>
      <c r="BT637" s="251">
        <v>51.163414001464844</v>
      </c>
      <c r="BU637" s="256">
        <v>42200</v>
      </c>
      <c r="BV637" s="251">
        <v>17.484050750732422</v>
      </c>
      <c r="BW637" s="256">
        <v>42200</v>
      </c>
      <c r="BX637" s="251">
        <v>18.048999999999999</v>
      </c>
      <c r="BY637" s="256">
        <v>42200</v>
      </c>
      <c r="CD637" s="253">
        <v>7.1</v>
      </c>
      <c r="CE637" s="159">
        <v>42191</v>
      </c>
      <c r="CM637" s="255">
        <v>1</v>
      </c>
      <c r="CN637" s="256">
        <v>42180</v>
      </c>
      <c r="CO637" s="140" t="s">
        <v>8447</v>
      </c>
    </row>
    <row r="638" spans="1:93" ht="15">
      <c r="A638" s="124" t="s">
        <v>7756</v>
      </c>
      <c r="B638" s="161" t="s">
        <v>7580</v>
      </c>
      <c r="C638" s="268" t="s">
        <v>267</v>
      </c>
      <c r="D638" s="243">
        <v>3</v>
      </c>
      <c r="E638" s="183">
        <v>170</v>
      </c>
      <c r="F638" s="244">
        <v>13</v>
      </c>
      <c r="G638" s="245">
        <v>7</v>
      </c>
      <c r="L638" s="254">
        <v>9</v>
      </c>
      <c r="N638" s="246">
        <v>5.26</v>
      </c>
      <c r="O638" s="159">
        <v>42191</v>
      </c>
      <c r="T638" s="247">
        <v>14.8</v>
      </c>
      <c r="U638" s="256">
        <v>42200</v>
      </c>
      <c r="V638" s="145">
        <v>18.5</v>
      </c>
      <c r="W638" s="159">
        <v>42191</v>
      </c>
      <c r="AD638" s="145">
        <f>(N638/V638)*(((100-CD638)/100)*((100-2)/100))*100</f>
        <v>25.606817297297297</v>
      </c>
      <c r="AF638" s="248">
        <v>29.27</v>
      </c>
      <c r="AG638" s="159">
        <v>42191</v>
      </c>
      <c r="AJ638" s="249">
        <v>140</v>
      </c>
      <c r="AN638" s="250">
        <v>99</v>
      </c>
      <c r="BB638" s="257">
        <v>7</v>
      </c>
      <c r="BN638" s="251">
        <v>65.596999999999994</v>
      </c>
      <c r="BO638" s="256">
        <v>42200</v>
      </c>
      <c r="BT638" s="251">
        <v>50.54705810546875</v>
      </c>
      <c r="BU638" s="256">
        <v>42200</v>
      </c>
      <c r="BV638" s="251">
        <v>18.100305557250977</v>
      </c>
      <c r="BW638" s="256">
        <v>42200</v>
      </c>
      <c r="BX638" s="251">
        <v>12.484</v>
      </c>
      <c r="BY638" s="256">
        <v>42200</v>
      </c>
      <c r="CD638" s="253">
        <v>8.1</v>
      </c>
      <c r="CE638" s="159">
        <v>42191</v>
      </c>
      <c r="CM638" s="255">
        <v>1</v>
      </c>
      <c r="CN638" s="256">
        <v>42180</v>
      </c>
      <c r="CO638" s="140" t="s">
        <v>8447</v>
      </c>
    </row>
    <row r="639" spans="1:93" ht="15">
      <c r="A639" s="124" t="s">
        <v>7752</v>
      </c>
      <c r="B639" s="161" t="s">
        <v>7576</v>
      </c>
      <c r="C639" s="268" t="s">
        <v>269</v>
      </c>
      <c r="D639" s="243">
        <v>1</v>
      </c>
      <c r="E639" s="183">
        <v>166</v>
      </c>
      <c r="F639" s="244">
        <v>5</v>
      </c>
      <c r="G639" s="245">
        <v>30</v>
      </c>
      <c r="L639" s="254">
        <v>6</v>
      </c>
      <c r="N639" s="246">
        <v>5.2</v>
      </c>
      <c r="O639" s="159">
        <v>42191</v>
      </c>
      <c r="T639" s="247">
        <v>14.82</v>
      </c>
      <c r="U639" s="256">
        <v>42200</v>
      </c>
      <c r="V639" s="145">
        <v>18.5</v>
      </c>
      <c r="W639" s="159">
        <v>42191</v>
      </c>
      <c r="AD639" s="145">
        <f>(N639/V639)*(((100-CD639)/100)*((100-2)/100))*100</f>
        <v>25.617729729729732</v>
      </c>
      <c r="AF639" s="248">
        <v>29.28</v>
      </c>
      <c r="AG639" s="159">
        <v>42191</v>
      </c>
      <c r="AJ639" s="249">
        <v>135</v>
      </c>
      <c r="AN639" s="250">
        <v>98</v>
      </c>
      <c r="BB639" s="257">
        <v>5</v>
      </c>
      <c r="BN639" s="251">
        <v>64.835999999999999</v>
      </c>
      <c r="BO639" s="256">
        <v>42200</v>
      </c>
      <c r="BT639" s="251">
        <v>50.632392883300781</v>
      </c>
      <c r="BU639" s="256">
        <v>42200</v>
      </c>
      <c r="BV639" s="251">
        <v>17.250900268554687</v>
      </c>
      <c r="BW639" s="256">
        <v>42200</v>
      </c>
      <c r="BX639" s="251">
        <v>14.394</v>
      </c>
      <c r="BY639" s="256">
        <v>42200</v>
      </c>
      <c r="CD639" s="253">
        <v>7</v>
      </c>
      <c r="CE639" s="159">
        <v>42191</v>
      </c>
      <c r="CM639" s="255">
        <v>1</v>
      </c>
      <c r="CN639" s="256">
        <v>42180</v>
      </c>
      <c r="CO639" s="140" t="s">
        <v>8447</v>
      </c>
    </row>
    <row r="640" spans="1:93" ht="15">
      <c r="A640" s="124" t="s">
        <v>7648</v>
      </c>
      <c r="B640" s="161" t="s">
        <v>7498</v>
      </c>
      <c r="C640" s="268" t="s">
        <v>269</v>
      </c>
      <c r="D640" s="243">
        <v>1</v>
      </c>
      <c r="E640" s="183">
        <v>62</v>
      </c>
      <c r="F640" s="244">
        <v>3</v>
      </c>
      <c r="G640" s="245">
        <v>1</v>
      </c>
      <c r="L640" s="254">
        <v>7</v>
      </c>
      <c r="N640" s="246">
        <v>5.23</v>
      </c>
      <c r="O640" s="159">
        <v>42191</v>
      </c>
      <c r="T640" s="247">
        <v>14.57</v>
      </c>
      <c r="U640" s="256">
        <v>42200</v>
      </c>
      <c r="V640" s="145">
        <v>18.5</v>
      </c>
      <c r="W640" s="159">
        <v>42191</v>
      </c>
      <c r="AD640" s="145">
        <f>(N640/V640)*(((100-CD640)/100)*((100-2)/100))*100</f>
        <v>25.626999999999999</v>
      </c>
      <c r="AF640" s="248">
        <f>(N640/V640)*(((100-CD640)/(100-9))*100)</f>
        <v>28.736263736263737</v>
      </c>
      <c r="AG640" s="159">
        <v>42191</v>
      </c>
      <c r="AJ640" s="249">
        <v>150</v>
      </c>
      <c r="AN640" s="250">
        <v>106</v>
      </c>
      <c r="BB640" s="257">
        <v>7</v>
      </c>
      <c r="BN640" s="251">
        <v>61.890999999999998</v>
      </c>
      <c r="BO640" s="256">
        <v>42200</v>
      </c>
      <c r="BT640" s="251">
        <v>49.70849609375</v>
      </c>
      <c r="BU640" s="256">
        <v>42200</v>
      </c>
      <c r="BV640" s="251">
        <v>17.566825866699219</v>
      </c>
      <c r="BW640" s="256">
        <v>42200</v>
      </c>
      <c r="BX640" s="251">
        <v>27.26</v>
      </c>
      <c r="BY640" s="256">
        <v>42200</v>
      </c>
      <c r="CD640" s="253">
        <v>7.5</v>
      </c>
      <c r="CE640" s="159">
        <v>42191</v>
      </c>
      <c r="CM640" s="255">
        <v>1</v>
      </c>
      <c r="CN640" s="256">
        <v>42180</v>
      </c>
      <c r="CO640" s="140" t="s">
        <v>8447</v>
      </c>
    </row>
    <row r="641" spans="1:93" ht="15">
      <c r="A641" s="124" t="s">
        <v>7659</v>
      </c>
      <c r="B641" s="161" t="s">
        <v>7508</v>
      </c>
      <c r="C641" s="268" t="s">
        <v>267</v>
      </c>
      <c r="D641" s="243">
        <v>4</v>
      </c>
      <c r="E641" s="183">
        <v>73</v>
      </c>
      <c r="F641" s="244">
        <v>21</v>
      </c>
      <c r="G641" s="245">
        <v>9</v>
      </c>
      <c r="L641" s="254">
        <v>8</v>
      </c>
      <c r="N641" s="246">
        <v>5.3</v>
      </c>
      <c r="O641" s="159">
        <v>42191</v>
      </c>
      <c r="T641" s="247">
        <v>15.05</v>
      </c>
      <c r="U641" s="256">
        <v>42200</v>
      </c>
      <c r="V641" s="145">
        <v>18.5</v>
      </c>
      <c r="W641" s="159">
        <v>42191</v>
      </c>
      <c r="AD641" s="145">
        <f>(N641/V641)*(((100-CD641)/100)*((100-2)/100))*100</f>
        <v>25.63309189189189</v>
      </c>
      <c r="AF641" s="248">
        <v>29.3</v>
      </c>
      <c r="AG641" s="159">
        <v>42191</v>
      </c>
      <c r="AJ641" s="249">
        <v>135</v>
      </c>
      <c r="AN641" s="250">
        <v>106</v>
      </c>
      <c r="BB641" s="257">
        <v>9</v>
      </c>
      <c r="BN641" s="251">
        <v>67.171999999999997</v>
      </c>
      <c r="BO641" s="256">
        <v>42200</v>
      </c>
      <c r="BT641" s="251">
        <v>51.373497009277344</v>
      </c>
      <c r="BU641" s="256">
        <v>42200</v>
      </c>
      <c r="BV641" s="251">
        <v>17.818454742431641</v>
      </c>
      <c r="BW641" s="256">
        <v>42200</v>
      </c>
      <c r="BX641" s="251">
        <v>15.347</v>
      </c>
      <c r="BY641" s="256">
        <v>42200</v>
      </c>
      <c r="CD641" s="253">
        <v>8.6999999999999993</v>
      </c>
      <c r="CE641" s="159">
        <v>42191</v>
      </c>
      <c r="CM641" s="255">
        <v>3</v>
      </c>
      <c r="CN641" s="256">
        <v>42180</v>
      </c>
      <c r="CO641" s="140" t="s">
        <v>8447</v>
      </c>
    </row>
    <row r="642" spans="1:93" ht="15">
      <c r="A642" s="124" t="s">
        <v>7729</v>
      </c>
      <c r="B642" s="161" t="s">
        <v>8244</v>
      </c>
      <c r="C642" s="268" t="s">
        <v>267</v>
      </c>
      <c r="D642" s="243">
        <v>3</v>
      </c>
      <c r="E642" s="183">
        <v>143</v>
      </c>
      <c r="F642" s="244">
        <v>15</v>
      </c>
      <c r="G642" s="245">
        <v>2</v>
      </c>
      <c r="L642" s="254">
        <v>7</v>
      </c>
      <c r="N642" s="246">
        <v>5.26</v>
      </c>
      <c r="O642" s="159">
        <v>42191</v>
      </c>
      <c r="T642" s="247">
        <v>15.05</v>
      </c>
      <c r="U642" s="256">
        <v>42200</v>
      </c>
      <c r="V642" s="145">
        <v>18.5</v>
      </c>
      <c r="W642" s="159">
        <v>42191</v>
      </c>
      <c r="AD642" s="145">
        <f>(N642/V642)*(((100-CD642)/100)*((100-2)/100))*100</f>
        <v>25.63468108108108</v>
      </c>
      <c r="AF642" s="248">
        <f>(N642/V642)*(((100-CD642)/(100-9))*100)</f>
        <v>28.744876744876741</v>
      </c>
      <c r="AG642" s="159">
        <v>42191</v>
      </c>
      <c r="AJ642" s="249">
        <v>130</v>
      </c>
      <c r="AN642" s="250">
        <v>106</v>
      </c>
      <c r="BB642" s="257">
        <v>7</v>
      </c>
      <c r="BN642" s="251">
        <v>62.476999999999997</v>
      </c>
      <c r="BO642" s="256">
        <v>42200</v>
      </c>
      <c r="BT642" s="251">
        <v>51.353317260742188</v>
      </c>
      <c r="BU642" s="256">
        <v>42200</v>
      </c>
      <c r="BV642" s="251">
        <v>16.564437866210938</v>
      </c>
      <c r="BW642" s="256">
        <v>42200</v>
      </c>
      <c r="BX642" s="251">
        <v>16.317</v>
      </c>
      <c r="BY642" s="256">
        <v>42200</v>
      </c>
      <c r="CD642" s="253">
        <v>8</v>
      </c>
      <c r="CE642" s="159">
        <v>42191</v>
      </c>
      <c r="CM642" s="255">
        <v>1</v>
      </c>
      <c r="CN642" s="256">
        <v>42180</v>
      </c>
      <c r="CO642" s="140" t="s">
        <v>8447</v>
      </c>
    </row>
    <row r="643" spans="1:93" ht="15">
      <c r="A643" s="124" t="s">
        <v>7651</v>
      </c>
      <c r="B643" s="161" t="s">
        <v>7501</v>
      </c>
      <c r="C643" s="268" t="s">
        <v>267</v>
      </c>
      <c r="D643" s="243">
        <v>4</v>
      </c>
      <c r="E643" s="183">
        <v>65</v>
      </c>
      <c r="F643" s="244">
        <v>19</v>
      </c>
      <c r="G643" s="245">
        <v>6</v>
      </c>
      <c r="L643" s="254">
        <v>8</v>
      </c>
      <c r="N643" s="246">
        <v>5.26</v>
      </c>
      <c r="O643" s="159">
        <v>42191</v>
      </c>
      <c r="T643" s="247">
        <v>15.05</v>
      </c>
      <c r="U643" s="256">
        <v>42200</v>
      </c>
      <c r="V643" s="145">
        <v>18.5</v>
      </c>
      <c r="W643" s="159">
        <v>42191</v>
      </c>
      <c r="AD643" s="145">
        <f>(N643/V643)*(((100-CD643)/100)*((100-2)/100))*100</f>
        <v>25.662544864864863</v>
      </c>
      <c r="AF643" s="248">
        <v>29.34</v>
      </c>
      <c r="AG643" s="159">
        <v>42191</v>
      </c>
      <c r="AJ643" s="249">
        <v>125</v>
      </c>
      <c r="AN643" s="250">
        <v>105</v>
      </c>
      <c r="BB643" s="257">
        <v>9</v>
      </c>
      <c r="BN643" s="251">
        <v>65.353999999999999</v>
      </c>
      <c r="BO643" s="256">
        <v>42200</v>
      </c>
      <c r="BT643" s="251">
        <v>51.283710479736328</v>
      </c>
      <c r="BU643" s="256">
        <v>42200</v>
      </c>
      <c r="BV643" s="251">
        <v>17.763015747070313</v>
      </c>
      <c r="BW643" s="256">
        <v>42200</v>
      </c>
      <c r="BX643" s="251">
        <v>16.866</v>
      </c>
      <c r="BY643" s="256">
        <v>42200</v>
      </c>
      <c r="CD643" s="253">
        <v>7.9</v>
      </c>
      <c r="CE643" s="159">
        <v>42191</v>
      </c>
      <c r="CM643" s="255">
        <v>5</v>
      </c>
      <c r="CN643" s="256">
        <v>42180</v>
      </c>
      <c r="CO643" s="140" t="s">
        <v>8447</v>
      </c>
    </row>
    <row r="644" spans="1:93" ht="15">
      <c r="A644" s="124" t="s">
        <v>7653</v>
      </c>
      <c r="B644" s="161" t="s">
        <v>7503</v>
      </c>
      <c r="C644" s="268" t="s">
        <v>269</v>
      </c>
      <c r="D644" s="243">
        <v>1</v>
      </c>
      <c r="E644" s="183">
        <v>67</v>
      </c>
      <c r="F644" s="244">
        <v>6</v>
      </c>
      <c r="G644" s="245">
        <v>15</v>
      </c>
      <c r="L644" s="254">
        <v>9</v>
      </c>
      <c r="N644" s="246">
        <v>5.21</v>
      </c>
      <c r="O644" s="159">
        <v>42191</v>
      </c>
      <c r="T644" s="247">
        <v>14.8</v>
      </c>
      <c r="U644" s="256">
        <v>42200</v>
      </c>
      <c r="V644" s="145">
        <v>18.5</v>
      </c>
      <c r="W644" s="159">
        <v>42191</v>
      </c>
      <c r="AD644" s="145">
        <f>(N644/V644)*(((100-CD644)/100)*((100-2)/100))*100</f>
        <v>25.666994594594595</v>
      </c>
      <c r="AF644" s="248">
        <f>(N644/V644)*(((100-CD644)/(100-9))*100)</f>
        <v>28.78111078111078</v>
      </c>
      <c r="AG644" s="159">
        <v>42191</v>
      </c>
      <c r="AJ644" s="249">
        <v>145</v>
      </c>
      <c r="AN644" s="250">
        <v>101</v>
      </c>
      <c r="BB644" s="257">
        <v>5</v>
      </c>
      <c r="BN644" s="251">
        <v>65.203000000000003</v>
      </c>
      <c r="BO644" s="256">
        <v>42200</v>
      </c>
      <c r="BT644" s="251">
        <v>50.454994201660156</v>
      </c>
      <c r="BU644" s="256">
        <v>42200</v>
      </c>
      <c r="BV644" s="251">
        <v>17.376129150390625</v>
      </c>
      <c r="BW644" s="256">
        <v>42200</v>
      </c>
      <c r="BX644" s="251">
        <v>21.77</v>
      </c>
      <c r="BY644" s="256">
        <v>42200</v>
      </c>
      <c r="CD644" s="253">
        <v>7</v>
      </c>
      <c r="CE644" s="159">
        <v>42191</v>
      </c>
      <c r="CM644" s="255">
        <v>1</v>
      </c>
      <c r="CN644" s="256">
        <v>42180</v>
      </c>
      <c r="CO644" s="140" t="s">
        <v>8447</v>
      </c>
    </row>
    <row r="645" spans="1:93" ht="15">
      <c r="A645" s="124" t="s">
        <v>7719</v>
      </c>
      <c r="B645" s="161" t="s">
        <v>7786</v>
      </c>
      <c r="C645" s="268" t="s">
        <v>267</v>
      </c>
      <c r="D645" s="243">
        <v>4</v>
      </c>
      <c r="E645" s="183">
        <v>133</v>
      </c>
      <c r="F645" s="244">
        <v>23</v>
      </c>
      <c r="G645" s="245">
        <v>6</v>
      </c>
      <c r="L645" s="254">
        <v>8</v>
      </c>
      <c r="N645" s="246">
        <v>5.34</v>
      </c>
      <c r="O645" s="159">
        <v>42191</v>
      </c>
      <c r="T645" s="247">
        <v>14.99</v>
      </c>
      <c r="U645" s="256">
        <v>42200</v>
      </c>
      <c r="V645" s="145">
        <v>18.5</v>
      </c>
      <c r="W645" s="159">
        <v>42191</v>
      </c>
      <c r="AD645" s="145">
        <f>(N645/V645)*(((100-CD645)/100)*((100-2)/100))*100</f>
        <v>25.713398918918923</v>
      </c>
      <c r="AF645" s="248">
        <f>(N645/V645)*(((100-CD645)/(100-9))*100)</f>
        <v>28.833145233145235</v>
      </c>
      <c r="AG645" s="159">
        <v>42191</v>
      </c>
      <c r="AJ645" s="249">
        <v>115</v>
      </c>
      <c r="AN645" s="250">
        <v>101</v>
      </c>
      <c r="BB645" s="257">
        <v>9</v>
      </c>
      <c r="BN645" s="251">
        <v>64.396000000000001</v>
      </c>
      <c r="BO645" s="256">
        <v>42200</v>
      </c>
      <c r="BT645" s="251">
        <v>50.988597869873047</v>
      </c>
      <c r="BU645" s="256">
        <v>42200</v>
      </c>
      <c r="BV645" s="251">
        <v>17.075983047485352</v>
      </c>
      <c r="BW645" s="256">
        <v>42200</v>
      </c>
      <c r="BX645" s="251">
        <v>16.38</v>
      </c>
      <c r="BY645" s="256">
        <v>42200</v>
      </c>
      <c r="CD645" s="253">
        <v>9.1</v>
      </c>
      <c r="CE645" s="159">
        <v>42191</v>
      </c>
      <c r="CM645" s="255">
        <v>1</v>
      </c>
      <c r="CN645" s="256">
        <v>42180</v>
      </c>
      <c r="CO645" s="140" t="s">
        <v>8447</v>
      </c>
    </row>
    <row r="646" spans="1:93" ht="15">
      <c r="A646" s="124" t="s">
        <v>7652</v>
      </c>
      <c r="B646" s="161" t="s">
        <v>7502</v>
      </c>
      <c r="C646" s="268" t="s">
        <v>269</v>
      </c>
      <c r="D646" s="243">
        <v>2</v>
      </c>
      <c r="E646" s="183">
        <v>66</v>
      </c>
      <c r="F646" s="244">
        <v>9</v>
      </c>
      <c r="G646" s="245">
        <v>23</v>
      </c>
      <c r="L646" s="254">
        <v>9</v>
      </c>
      <c r="N646" s="246">
        <v>5.22</v>
      </c>
      <c r="O646" s="159">
        <v>42191</v>
      </c>
      <c r="T646" s="247">
        <v>13.69</v>
      </c>
      <c r="U646" s="256">
        <v>42200</v>
      </c>
      <c r="V646" s="145">
        <v>18.5</v>
      </c>
      <c r="W646" s="159">
        <v>42191</v>
      </c>
      <c r="AD646" s="145">
        <f>(N646/V646)*(((100-CD646)/100)*((100-2)/100))*100</f>
        <v>25.716259459459462</v>
      </c>
      <c r="AF646" s="248">
        <v>29.4</v>
      </c>
      <c r="AG646" s="159">
        <v>42191</v>
      </c>
      <c r="AJ646" s="249">
        <v>130</v>
      </c>
      <c r="AN646" s="250">
        <v>106</v>
      </c>
      <c r="BB646" s="257">
        <v>7</v>
      </c>
      <c r="BN646" s="251">
        <v>63.289000000000001</v>
      </c>
      <c r="BO646" s="256">
        <v>42200</v>
      </c>
      <c r="BT646" s="251">
        <v>46.561355590820313</v>
      </c>
      <c r="BU646" s="256">
        <v>42200</v>
      </c>
      <c r="BV646" s="251">
        <v>20.761423110961914</v>
      </c>
      <c r="BW646" s="256">
        <v>42200</v>
      </c>
      <c r="BX646" s="251">
        <v>23.672000000000001</v>
      </c>
      <c r="BY646" s="256">
        <v>42200</v>
      </c>
      <c r="CD646" s="253">
        <v>7</v>
      </c>
      <c r="CE646" s="159">
        <v>42191</v>
      </c>
      <c r="CM646" s="255">
        <v>5</v>
      </c>
      <c r="CN646" s="256">
        <v>42180</v>
      </c>
      <c r="CO646" s="140" t="s">
        <v>8448</v>
      </c>
    </row>
    <row r="647" spans="1:93" ht="15">
      <c r="A647" s="124" t="s">
        <v>7744</v>
      </c>
      <c r="B647" s="161" t="s">
        <v>7568</v>
      </c>
      <c r="C647" s="268" t="s">
        <v>269</v>
      </c>
      <c r="D647" s="243">
        <v>1</v>
      </c>
      <c r="E647" s="183">
        <v>158</v>
      </c>
      <c r="F647" s="244">
        <v>2</v>
      </c>
      <c r="G647" s="245">
        <v>2</v>
      </c>
      <c r="L647" s="254">
        <v>7</v>
      </c>
      <c r="N647" s="246">
        <v>4.8600000000000003</v>
      </c>
      <c r="O647" s="159">
        <v>42191</v>
      </c>
      <c r="T647" s="247"/>
      <c r="U647" s="256">
        <v>42200</v>
      </c>
      <c r="V647" s="145">
        <v>18.5</v>
      </c>
      <c r="W647" s="159">
        <v>42191</v>
      </c>
      <c r="AD647" s="145">
        <f>(N647/V647)*(((100-CD647)/100)*((100-2)/100))*100</f>
        <v>25.744864864864869</v>
      </c>
      <c r="AF647" s="248"/>
      <c r="AG647" s="159">
        <v>42191</v>
      </c>
      <c r="AJ647" s="249">
        <v>150</v>
      </c>
      <c r="AN647" s="250">
        <v>100</v>
      </c>
      <c r="BB647" s="257">
        <v>7</v>
      </c>
      <c r="BN647" s="252"/>
      <c r="BO647" s="256">
        <v>42200</v>
      </c>
      <c r="BT647" s="252"/>
      <c r="BU647" s="256">
        <v>42200</v>
      </c>
      <c r="BV647" s="252"/>
      <c r="BW647" s="256">
        <v>42200</v>
      </c>
      <c r="BX647" s="252"/>
      <c r="BY647" s="256">
        <v>42200</v>
      </c>
      <c r="CD647" s="253"/>
      <c r="CE647" s="159">
        <v>42191</v>
      </c>
      <c r="CM647" s="255">
        <v>1</v>
      </c>
      <c r="CN647" s="256">
        <v>42180</v>
      </c>
      <c r="CO647" s="140" t="s">
        <v>8447</v>
      </c>
    </row>
    <row r="648" spans="1:93" ht="15">
      <c r="A648" s="124" t="s">
        <v>8329</v>
      </c>
      <c r="B648" s="161" t="s">
        <v>8329</v>
      </c>
      <c r="C648" s="268" t="s">
        <v>269</v>
      </c>
      <c r="D648" s="243">
        <v>1</v>
      </c>
      <c r="E648" s="191">
        <v>191</v>
      </c>
      <c r="F648" s="244">
        <v>6</v>
      </c>
      <c r="G648" s="245">
        <v>26</v>
      </c>
      <c r="L648" s="254">
        <v>5</v>
      </c>
      <c r="N648" s="246">
        <v>5.23</v>
      </c>
      <c r="O648" s="159">
        <v>42191</v>
      </c>
      <c r="T648" s="247">
        <v>14.94</v>
      </c>
      <c r="U648" s="256">
        <v>42200</v>
      </c>
      <c r="V648" s="145">
        <v>18.5</v>
      </c>
      <c r="W648" s="159">
        <v>42191</v>
      </c>
      <c r="AD648" s="145">
        <f>(N648/V648)*(((100-CD648)/100)*((100-2)/100))*100</f>
        <v>25.765524324324325</v>
      </c>
      <c r="AF648" s="248">
        <v>29.45</v>
      </c>
      <c r="AG648" s="159">
        <v>42191</v>
      </c>
      <c r="AJ648" s="249">
        <v>145</v>
      </c>
      <c r="AN648" s="250">
        <v>102</v>
      </c>
      <c r="BB648" s="257">
        <v>3</v>
      </c>
      <c r="BN648" s="251">
        <v>63.011000000000003</v>
      </c>
      <c r="BO648" s="256">
        <v>42200</v>
      </c>
      <c r="BT648" s="251">
        <v>50.740665435791016</v>
      </c>
      <c r="BU648" s="256">
        <v>42200</v>
      </c>
      <c r="BV648" s="251">
        <v>17.579290390014648</v>
      </c>
      <c r="BW648" s="256">
        <v>42200</v>
      </c>
      <c r="BX648" s="251">
        <v>29.667000000000002</v>
      </c>
      <c r="BY648" s="256">
        <v>42200</v>
      </c>
      <c r="CD648" s="253">
        <v>7</v>
      </c>
      <c r="CE648" s="159">
        <v>42191</v>
      </c>
      <c r="CM648" s="255">
        <v>5</v>
      </c>
      <c r="CN648" s="256">
        <v>42180</v>
      </c>
      <c r="CO648" s="140" t="s">
        <v>8447</v>
      </c>
    </row>
    <row r="649" spans="1:93" ht="15">
      <c r="A649" s="124" t="s">
        <v>7638</v>
      </c>
      <c r="B649" s="161" t="s">
        <v>7490</v>
      </c>
      <c r="C649" s="268" t="s">
        <v>269</v>
      </c>
      <c r="D649" s="243">
        <v>2</v>
      </c>
      <c r="E649" s="183">
        <v>52</v>
      </c>
      <c r="F649" s="244">
        <v>10</v>
      </c>
      <c r="G649" s="245">
        <v>30</v>
      </c>
      <c r="L649" s="254">
        <v>3</v>
      </c>
      <c r="N649" s="246">
        <v>5.22</v>
      </c>
      <c r="O649" s="159">
        <v>42191</v>
      </c>
      <c r="T649" s="247">
        <v>14.18</v>
      </c>
      <c r="U649" s="256">
        <v>42200</v>
      </c>
      <c r="V649" s="145">
        <v>18.5</v>
      </c>
      <c r="W649" s="159">
        <v>42191</v>
      </c>
      <c r="AD649" s="145">
        <f>(N649/V649)*(((100-CD649)/100)*((100-2)/100))*100</f>
        <v>25.771563243243246</v>
      </c>
      <c r="AF649" s="248">
        <v>29.46</v>
      </c>
      <c r="AG649" s="159">
        <v>42191</v>
      </c>
      <c r="AJ649" s="249">
        <v>125</v>
      </c>
      <c r="AN649" s="250">
        <v>105</v>
      </c>
      <c r="BB649" s="257">
        <v>9</v>
      </c>
      <c r="BN649" s="251">
        <v>62.622999999999998</v>
      </c>
      <c r="BO649" s="256">
        <v>42200</v>
      </c>
      <c r="BT649" s="251">
        <v>48.147544860839844</v>
      </c>
      <c r="BU649" s="256">
        <v>42200</v>
      </c>
      <c r="BV649" s="251">
        <v>18.956031799316406</v>
      </c>
      <c r="BW649" s="256">
        <v>42200</v>
      </c>
      <c r="BX649" s="251">
        <v>20.786000000000001</v>
      </c>
      <c r="BY649" s="256">
        <v>42200</v>
      </c>
      <c r="CD649" s="253">
        <v>6.8</v>
      </c>
      <c r="CE649" s="159">
        <v>42191</v>
      </c>
      <c r="CM649" s="255">
        <v>3</v>
      </c>
      <c r="CN649" s="256">
        <v>42180</v>
      </c>
      <c r="CO649" s="140" t="s">
        <v>8448</v>
      </c>
    </row>
    <row r="650" spans="1:93" ht="15" customHeight="1">
      <c r="A650" s="124" t="s">
        <v>7611</v>
      </c>
      <c r="B650" s="161" t="s">
        <v>7466</v>
      </c>
      <c r="C650" s="268" t="s">
        <v>269</v>
      </c>
      <c r="D650" s="257">
        <v>1</v>
      </c>
      <c r="E650" s="183">
        <v>25</v>
      </c>
      <c r="F650" s="257">
        <v>5</v>
      </c>
      <c r="G650" s="257">
        <v>11</v>
      </c>
      <c r="L650" s="257">
        <v>7</v>
      </c>
      <c r="N650" s="257">
        <v>5.24</v>
      </c>
      <c r="O650" s="159">
        <v>42191</v>
      </c>
      <c r="T650" s="257">
        <v>14.32</v>
      </c>
      <c r="U650" s="256">
        <v>42200</v>
      </c>
      <c r="V650" s="145">
        <v>18.5</v>
      </c>
      <c r="W650" s="159">
        <v>42191</v>
      </c>
      <c r="AD650" s="145">
        <f>(N650/V650)*(((100-CD650)/100)*((100-2)/100))*100</f>
        <v>25.787031351351352</v>
      </c>
      <c r="AF650" s="257">
        <f>(N650/V650)*(((100-CD650)/(100-9))*100)</f>
        <v>28.91571131571132</v>
      </c>
      <c r="AG650" s="159">
        <v>42191</v>
      </c>
      <c r="AJ650" s="257">
        <v>145</v>
      </c>
      <c r="AN650" s="257">
        <v>105</v>
      </c>
      <c r="BB650" s="257">
        <v>7</v>
      </c>
      <c r="BN650" s="251">
        <v>61.588000000000001</v>
      </c>
      <c r="BO650" s="256">
        <v>42200</v>
      </c>
      <c r="BT650" s="251">
        <v>48.561630249023438</v>
      </c>
      <c r="BU650" s="256">
        <v>42200</v>
      </c>
      <c r="BV650" s="251">
        <v>19.248640060424805</v>
      </c>
      <c r="BW650" s="256">
        <v>42200</v>
      </c>
      <c r="BX650" s="251">
        <v>65.488</v>
      </c>
      <c r="BY650" s="256">
        <v>42200</v>
      </c>
      <c r="CD650" s="257">
        <v>7.1</v>
      </c>
      <c r="CE650" s="159">
        <v>42191</v>
      </c>
      <c r="CM650" s="255">
        <v>1</v>
      </c>
      <c r="CN650" s="256">
        <v>42180</v>
      </c>
      <c r="CO650" s="140" t="s">
        <v>8447</v>
      </c>
    </row>
    <row r="651" spans="1:93" ht="15" customHeight="1">
      <c r="A651" s="124" t="s">
        <v>7657</v>
      </c>
      <c r="B651" s="161" t="s">
        <v>7506</v>
      </c>
      <c r="C651" s="268" t="s">
        <v>269</v>
      </c>
      <c r="D651" s="257">
        <v>1</v>
      </c>
      <c r="E651" s="183">
        <v>71</v>
      </c>
      <c r="F651" s="257">
        <v>2</v>
      </c>
      <c r="G651" s="257">
        <v>6</v>
      </c>
      <c r="L651" s="257">
        <v>7</v>
      </c>
      <c r="N651" s="257">
        <v>5.27</v>
      </c>
      <c r="O651" s="159">
        <v>42191</v>
      </c>
      <c r="T651" s="257">
        <v>14.67</v>
      </c>
      <c r="U651" s="256">
        <v>42200</v>
      </c>
      <c r="V651" s="145">
        <v>18.5</v>
      </c>
      <c r="W651" s="159">
        <v>42191</v>
      </c>
      <c r="AD651" s="145">
        <f>(N651/V651)*(((100-CD651)/100)*((100-2)/100))*100</f>
        <v>25.822999999999997</v>
      </c>
      <c r="AF651" s="257">
        <f>(N651/V651)*(((100-CD651)/(100-9))*100)</f>
        <v>28.956043956043953</v>
      </c>
      <c r="AG651" s="159">
        <v>42191</v>
      </c>
      <c r="AJ651" s="257">
        <v>140</v>
      </c>
      <c r="AN651" s="257">
        <v>106</v>
      </c>
      <c r="BB651" s="257">
        <v>7</v>
      </c>
      <c r="BN651" s="251">
        <v>63.030999999999999</v>
      </c>
      <c r="BO651" s="256">
        <v>42200</v>
      </c>
      <c r="BT651" s="251">
        <v>49.676795959472656</v>
      </c>
      <c r="BU651" s="256">
        <v>42200</v>
      </c>
      <c r="BV651" s="251">
        <v>17.624485015869141</v>
      </c>
      <c r="BW651" s="256">
        <v>42200</v>
      </c>
      <c r="BX651" s="251">
        <v>24.484999999999999</v>
      </c>
      <c r="BY651" s="256">
        <v>42200</v>
      </c>
      <c r="CD651" s="257">
        <v>7.5</v>
      </c>
      <c r="CE651" s="159">
        <v>42191</v>
      </c>
      <c r="CM651" s="255">
        <v>1</v>
      </c>
      <c r="CN651" s="256">
        <v>42180</v>
      </c>
      <c r="CO651" s="140" t="s">
        <v>8447</v>
      </c>
    </row>
    <row r="652" spans="1:93" ht="15" customHeight="1">
      <c r="A652" s="124" t="s">
        <v>7751</v>
      </c>
      <c r="B652" s="161" t="s">
        <v>7575</v>
      </c>
      <c r="C652" s="268" t="s">
        <v>267</v>
      </c>
      <c r="D652" s="257">
        <v>3</v>
      </c>
      <c r="E652" s="183">
        <v>165</v>
      </c>
      <c r="F652" s="257">
        <v>18</v>
      </c>
      <c r="G652" s="257">
        <v>21</v>
      </c>
      <c r="L652" s="257">
        <v>8</v>
      </c>
      <c r="N652" s="257">
        <v>5.27</v>
      </c>
      <c r="O652" s="159">
        <v>42191</v>
      </c>
      <c r="T652" s="257">
        <v>15.03</v>
      </c>
      <c r="U652" s="256">
        <v>42200</v>
      </c>
      <c r="V652" s="145">
        <v>18.5</v>
      </c>
      <c r="W652" s="159">
        <v>42191</v>
      </c>
      <c r="AD652" s="145">
        <f>(N652/V652)*(((100-CD652)/100)*((100-2)/100))*100</f>
        <v>25.822999999999997</v>
      </c>
      <c r="AF652" s="257">
        <v>29.52</v>
      </c>
      <c r="AG652" s="159">
        <v>42191</v>
      </c>
      <c r="AJ652" s="257">
        <v>120</v>
      </c>
      <c r="AN652" s="257">
        <v>103</v>
      </c>
      <c r="BB652" s="257">
        <v>7</v>
      </c>
      <c r="BN652" s="251">
        <v>64.195999999999998</v>
      </c>
      <c r="BO652" s="256">
        <v>42200</v>
      </c>
      <c r="BT652" s="251">
        <v>50.909576416015625</v>
      </c>
      <c r="BU652" s="256">
        <v>42200</v>
      </c>
      <c r="BV652" s="251">
        <v>18.420925140380859</v>
      </c>
      <c r="BW652" s="256">
        <v>42200</v>
      </c>
      <c r="BX652" s="251">
        <v>17.591999999999999</v>
      </c>
      <c r="BY652" s="256">
        <v>42200</v>
      </c>
      <c r="CD652" s="257">
        <v>7.5</v>
      </c>
      <c r="CE652" s="159">
        <v>42191</v>
      </c>
      <c r="CM652" s="255">
        <v>1</v>
      </c>
      <c r="CN652" s="256">
        <v>42180</v>
      </c>
      <c r="CO652" s="140" t="s">
        <v>8447</v>
      </c>
    </row>
    <row r="653" spans="1:93" ht="15" customHeight="1">
      <c r="A653" s="124" t="s">
        <v>7725</v>
      </c>
      <c r="B653" s="161" t="s">
        <v>7791</v>
      </c>
      <c r="C653" s="268" t="s">
        <v>269</v>
      </c>
      <c r="D653" s="257">
        <v>2</v>
      </c>
      <c r="E653" s="183">
        <v>139</v>
      </c>
      <c r="F653" s="257">
        <v>12</v>
      </c>
      <c r="G653" s="257">
        <v>27</v>
      </c>
      <c r="L653" s="257">
        <v>9</v>
      </c>
      <c r="N653" s="257">
        <v>5.24</v>
      </c>
      <c r="O653" s="159">
        <v>42191</v>
      </c>
      <c r="T653" s="257">
        <v>15.18</v>
      </c>
      <c r="U653" s="256">
        <v>42200</v>
      </c>
      <c r="V653" s="145">
        <v>18.5</v>
      </c>
      <c r="W653" s="159">
        <v>42191</v>
      </c>
      <c r="AD653" s="145">
        <f>(N653/V653)*(((100-CD653)/100)*((100-2)/100))*100</f>
        <v>25.842547027027024</v>
      </c>
      <c r="AF653" s="257">
        <f>(N653/V653)*(((100-CD653)/(100-9))*100)</f>
        <v>28.977962577962572</v>
      </c>
      <c r="AG653" s="159">
        <v>42191</v>
      </c>
      <c r="AJ653" s="257">
        <v>130</v>
      </c>
      <c r="AN653" s="257">
        <v>105</v>
      </c>
      <c r="BB653" s="257">
        <v>9</v>
      </c>
      <c r="BN653" s="251">
        <v>65.497</v>
      </c>
      <c r="BO653" s="256">
        <v>42200</v>
      </c>
      <c r="BT653" s="251">
        <v>51.383209228515625</v>
      </c>
      <c r="BU653" s="256">
        <v>42200</v>
      </c>
      <c r="BV653" s="251">
        <v>17.742317199707031</v>
      </c>
      <c r="BW653" s="256">
        <v>42200</v>
      </c>
      <c r="BX653" s="251">
        <v>18.193999999999999</v>
      </c>
      <c r="BY653" s="256">
        <v>42200</v>
      </c>
      <c r="CD653" s="257">
        <v>6.9</v>
      </c>
      <c r="CE653" s="159">
        <v>42191</v>
      </c>
      <c r="CM653" s="255">
        <v>1</v>
      </c>
      <c r="CN653" s="256">
        <v>42180</v>
      </c>
      <c r="CO653" s="140" t="s">
        <v>8448</v>
      </c>
    </row>
    <row r="654" spans="1:93" ht="15" customHeight="1">
      <c r="A654" s="124" t="s">
        <v>7524</v>
      </c>
      <c r="B654" s="161" t="s">
        <v>7524</v>
      </c>
      <c r="C654" s="268" t="s">
        <v>269</v>
      </c>
      <c r="D654" s="257">
        <v>1</v>
      </c>
      <c r="E654" s="191">
        <v>185</v>
      </c>
      <c r="F654" s="257">
        <v>5</v>
      </c>
      <c r="G654" s="257">
        <v>28</v>
      </c>
      <c r="L654" s="257">
        <v>7</v>
      </c>
      <c r="N654" s="257">
        <v>5.26</v>
      </c>
      <c r="O654" s="159">
        <v>42191</v>
      </c>
      <c r="T654" s="257">
        <v>14.87</v>
      </c>
      <c r="U654" s="256">
        <v>42200</v>
      </c>
      <c r="V654" s="145">
        <v>18.5</v>
      </c>
      <c r="W654" s="159">
        <v>42191</v>
      </c>
      <c r="AD654" s="145">
        <f>(N654/V654)*(((100-CD654)/100)*((100-2)/100))*100</f>
        <v>25.885455135135132</v>
      </c>
      <c r="AF654" s="257">
        <v>29.59</v>
      </c>
      <c r="AG654" s="159">
        <v>42191</v>
      </c>
      <c r="AJ654" s="257">
        <v>130</v>
      </c>
      <c r="AN654" s="257">
        <v>98</v>
      </c>
      <c r="BB654" s="257">
        <v>7</v>
      </c>
      <c r="BN654" s="251">
        <v>65.117999999999995</v>
      </c>
      <c r="BO654" s="256">
        <v>42200</v>
      </c>
      <c r="BT654" s="251">
        <v>50.261257171630859</v>
      </c>
      <c r="BU654" s="256">
        <v>42200</v>
      </c>
      <c r="BV654" s="251">
        <v>18.438804626464844</v>
      </c>
      <c r="BW654" s="256">
        <v>42200</v>
      </c>
      <c r="BX654" s="251">
        <v>10.461</v>
      </c>
      <c r="BY654" s="256">
        <v>42200</v>
      </c>
      <c r="CD654" s="257">
        <v>7.1</v>
      </c>
      <c r="CE654" s="159">
        <v>42191</v>
      </c>
      <c r="CM654" s="255">
        <v>1</v>
      </c>
      <c r="CN654" s="256">
        <v>42180</v>
      </c>
      <c r="CO654" s="140" t="s">
        <v>8447</v>
      </c>
    </row>
    <row r="655" spans="1:93" ht="15" customHeight="1">
      <c r="A655" s="124" t="s">
        <v>7757</v>
      </c>
      <c r="B655" s="161" t="s">
        <v>7581</v>
      </c>
      <c r="C655" s="268" t="s">
        <v>267</v>
      </c>
      <c r="D655" s="257">
        <v>3</v>
      </c>
      <c r="E655" s="183">
        <v>171</v>
      </c>
      <c r="F655" s="257">
        <v>16</v>
      </c>
      <c r="G655" s="257">
        <v>6</v>
      </c>
      <c r="L655" s="257">
        <v>5</v>
      </c>
      <c r="N655" s="257">
        <v>5.32</v>
      </c>
      <c r="O655" s="159">
        <v>42191</v>
      </c>
      <c r="T655" s="257">
        <v>15.52</v>
      </c>
      <c r="U655" s="256">
        <v>42200</v>
      </c>
      <c r="V655" s="145">
        <v>18.5</v>
      </c>
      <c r="W655" s="159">
        <v>42191</v>
      </c>
      <c r="AD655" s="145">
        <f>(N655/V655)*(((100-CD655)/100)*((100-2)/100))*100</f>
        <v>25.983455135135138</v>
      </c>
      <c r="AF655" s="257">
        <v>29.7</v>
      </c>
      <c r="AG655" s="159">
        <v>42191</v>
      </c>
      <c r="AJ655" s="257">
        <v>125</v>
      </c>
      <c r="AN655" s="257">
        <v>105</v>
      </c>
      <c r="BB655" s="257">
        <v>7</v>
      </c>
      <c r="BN655" s="251">
        <v>65.254000000000005</v>
      </c>
      <c r="BO655" s="256">
        <v>42200</v>
      </c>
      <c r="BT655" s="251">
        <v>52.245590209960938</v>
      </c>
      <c r="BU655" s="256">
        <v>42200</v>
      </c>
      <c r="BV655" s="251">
        <v>17.337547302246094</v>
      </c>
      <c r="BW655" s="256">
        <v>42200</v>
      </c>
      <c r="BX655" s="251">
        <v>16.292999999999999</v>
      </c>
      <c r="BY655" s="256">
        <v>42200</v>
      </c>
      <c r="CD655" s="257">
        <v>7.8</v>
      </c>
      <c r="CE655" s="159">
        <v>42191</v>
      </c>
      <c r="CM655" s="255">
        <v>5</v>
      </c>
      <c r="CN655" s="256">
        <v>42180</v>
      </c>
      <c r="CO655" s="140" t="s">
        <v>8447</v>
      </c>
    </row>
    <row r="656" spans="1:93" ht="15" customHeight="1">
      <c r="A656" s="124" t="s">
        <v>7718</v>
      </c>
      <c r="B656" s="161" t="s">
        <v>7785</v>
      </c>
      <c r="C656" s="268" t="s">
        <v>269</v>
      </c>
      <c r="D656" s="257">
        <v>2</v>
      </c>
      <c r="E656" s="183">
        <v>132</v>
      </c>
      <c r="F656" s="257">
        <v>8</v>
      </c>
      <c r="G656" s="257">
        <v>16</v>
      </c>
      <c r="L656" s="257">
        <v>8</v>
      </c>
      <c r="N656" s="257">
        <v>5.27</v>
      </c>
      <c r="O656" s="159">
        <v>42191</v>
      </c>
      <c r="T656" s="257">
        <v>15.39</v>
      </c>
      <c r="U656" s="256">
        <v>42200</v>
      </c>
      <c r="V656" s="145">
        <v>18.5</v>
      </c>
      <c r="W656" s="159">
        <v>42191</v>
      </c>
      <c r="AD656" s="145">
        <f>(N656/V656)*(((100-CD656)/100)*((100-2)/100))*100</f>
        <v>25.990500540540541</v>
      </c>
      <c r="AF656" s="257">
        <f>(N656/V656)*(((100-CD656)/(100-9))*100)</f>
        <v>29.143866943866936</v>
      </c>
      <c r="AG656" s="159">
        <v>42191</v>
      </c>
      <c r="AJ656" s="257">
        <v>130</v>
      </c>
      <c r="AN656" s="257">
        <v>100</v>
      </c>
      <c r="BB656" s="257">
        <v>3</v>
      </c>
      <c r="BN656" s="251">
        <v>63.155999999999999</v>
      </c>
      <c r="BO656" s="256">
        <v>42200</v>
      </c>
      <c r="BT656" s="251">
        <v>51.787864685058594</v>
      </c>
      <c r="BU656" s="256">
        <v>42200</v>
      </c>
      <c r="BV656" s="251">
        <v>16.434223175048828</v>
      </c>
      <c r="BW656" s="256">
        <v>42200</v>
      </c>
      <c r="BX656" s="251">
        <v>11.079000000000001</v>
      </c>
      <c r="BY656" s="256">
        <v>42200</v>
      </c>
      <c r="CD656" s="257">
        <v>6.9</v>
      </c>
      <c r="CE656" s="159">
        <v>42191</v>
      </c>
      <c r="CM656" s="255">
        <v>1</v>
      </c>
      <c r="CN656" s="256">
        <v>42180</v>
      </c>
      <c r="CO656" s="140" t="s">
        <v>8448</v>
      </c>
    </row>
    <row r="657" spans="1:93" ht="15" customHeight="1">
      <c r="A657" s="124" t="s">
        <v>7613</v>
      </c>
      <c r="B657" s="161" t="s">
        <v>7773</v>
      </c>
      <c r="C657" s="268" t="s">
        <v>269</v>
      </c>
      <c r="D657" s="257">
        <v>1</v>
      </c>
      <c r="E657" s="183">
        <v>27</v>
      </c>
      <c r="F657" s="257">
        <v>2</v>
      </c>
      <c r="G657" s="257">
        <v>27</v>
      </c>
      <c r="L657" s="257">
        <v>6</v>
      </c>
      <c r="N657" s="257">
        <v>5.27</v>
      </c>
      <c r="O657" s="159">
        <v>42191</v>
      </c>
      <c r="T657" s="257">
        <v>15.28</v>
      </c>
      <c r="U657" s="256">
        <v>42200</v>
      </c>
      <c r="V657" s="145">
        <v>18.5</v>
      </c>
      <c r="W657" s="159">
        <v>42191</v>
      </c>
      <c r="AD657" s="145">
        <f>(N657/V657)*(((100-CD657)/100)*((100-2)/100))*100</f>
        <v>25.990500540540541</v>
      </c>
      <c r="AF657" s="257">
        <f>(N657/V657)*(((100-CD657)/(100-9))*100)</f>
        <v>29.143866943866936</v>
      </c>
      <c r="AG657" s="159">
        <v>42191</v>
      </c>
      <c r="AJ657" s="257">
        <v>155</v>
      </c>
      <c r="AN657" s="257">
        <v>98</v>
      </c>
      <c r="BB657" s="257">
        <v>5</v>
      </c>
      <c r="BN657" s="251">
        <v>63.332000000000001</v>
      </c>
      <c r="BO657" s="256">
        <v>42200</v>
      </c>
      <c r="BT657" s="251">
        <v>51.438499450683594</v>
      </c>
      <c r="BU657" s="256">
        <v>42200</v>
      </c>
      <c r="BV657" s="251">
        <v>17.167125701904297</v>
      </c>
      <c r="BW657" s="256">
        <v>42200</v>
      </c>
      <c r="BX657" s="251">
        <v>53.664000000000001</v>
      </c>
      <c r="BY657" s="256">
        <v>42200</v>
      </c>
      <c r="CD657" s="257">
        <v>6.9</v>
      </c>
      <c r="CE657" s="159">
        <v>42191</v>
      </c>
      <c r="CM657" s="255">
        <v>1</v>
      </c>
      <c r="CN657" s="256">
        <v>42180</v>
      </c>
      <c r="CO657" s="140" t="s">
        <v>8447</v>
      </c>
    </row>
    <row r="658" spans="1:93" ht="15" customHeight="1">
      <c r="A658" s="124" t="s">
        <v>7687</v>
      </c>
      <c r="B658" s="161" t="s">
        <v>7534</v>
      </c>
      <c r="C658" s="268" t="s">
        <v>269</v>
      </c>
      <c r="D658" s="257">
        <v>1</v>
      </c>
      <c r="E658" s="183">
        <v>101</v>
      </c>
      <c r="F658" s="257">
        <v>3</v>
      </c>
      <c r="G658" s="257">
        <v>12</v>
      </c>
      <c r="L658" s="257">
        <v>8</v>
      </c>
      <c r="N658" s="257">
        <v>5.27</v>
      </c>
      <c r="O658" s="159">
        <v>42191</v>
      </c>
      <c r="T658" s="257">
        <v>14.99</v>
      </c>
      <c r="U658" s="256">
        <v>42200</v>
      </c>
      <c r="V658" s="145">
        <v>18.5</v>
      </c>
      <c r="W658" s="159">
        <v>42191</v>
      </c>
      <c r="AD658" s="145">
        <f>(N658/V658)*(((100-CD658)/100)*((100-2)/100))*100</f>
        <v>25.990500540540541</v>
      </c>
      <c r="AF658" s="257">
        <f>(N658/V658)*(((100-CD658)/(100-9))*100)</f>
        <v>29.143866943866936</v>
      </c>
      <c r="AG658" s="159">
        <v>42191</v>
      </c>
      <c r="AJ658" s="257">
        <v>145</v>
      </c>
      <c r="AN658" s="257">
        <v>99</v>
      </c>
      <c r="BB658" s="257">
        <v>5</v>
      </c>
      <c r="BN658" s="251">
        <v>65.459999999999994</v>
      </c>
      <c r="BO658" s="256">
        <v>42200</v>
      </c>
      <c r="BT658" s="251">
        <v>50.439903259277344</v>
      </c>
      <c r="BU658" s="256">
        <v>42200</v>
      </c>
      <c r="BV658" s="251">
        <v>17.319635391235352</v>
      </c>
      <c r="BW658" s="256">
        <v>42200</v>
      </c>
      <c r="BX658" s="251">
        <v>17.021000000000001</v>
      </c>
      <c r="BY658" s="256">
        <v>42200</v>
      </c>
      <c r="CD658" s="257">
        <v>6.9</v>
      </c>
      <c r="CE658" s="159">
        <v>42191</v>
      </c>
      <c r="CM658" s="255">
        <v>1</v>
      </c>
      <c r="CN658" s="256">
        <v>42180</v>
      </c>
      <c r="CO658" s="140" t="s">
        <v>8447</v>
      </c>
    </row>
    <row r="659" spans="1:93" ht="15" customHeight="1">
      <c r="A659" s="124" t="s">
        <v>7737</v>
      </c>
      <c r="B659" s="161" t="s">
        <v>7561</v>
      </c>
      <c r="C659" s="268" t="s">
        <v>267</v>
      </c>
      <c r="D659" s="257">
        <v>4</v>
      </c>
      <c r="E659" s="183">
        <v>151</v>
      </c>
      <c r="F659" s="257">
        <v>19</v>
      </c>
      <c r="G659" s="257">
        <v>31</v>
      </c>
      <c r="L659" s="257">
        <v>9</v>
      </c>
      <c r="N659" s="257">
        <v>5.27</v>
      </c>
      <c r="O659" s="159">
        <v>42191</v>
      </c>
      <c r="T659" s="257">
        <v>15.14</v>
      </c>
      <c r="U659" s="256">
        <v>42200</v>
      </c>
      <c r="V659" s="145">
        <v>18.5</v>
      </c>
      <c r="W659" s="159">
        <v>42191</v>
      </c>
      <c r="AD659" s="145">
        <f>(N659/V659)*(((100-CD659)/100)*((100-2)/100))*100</f>
        <v>26.04633405405405</v>
      </c>
      <c r="AF659" s="257">
        <f>(N659/V659)*(((100-CD659)/(100-9))*100)</f>
        <v>29.206474606474604</v>
      </c>
      <c r="AG659" s="159">
        <v>42191</v>
      </c>
      <c r="AJ659" s="257">
        <v>120</v>
      </c>
      <c r="AN659" s="257">
        <v>101</v>
      </c>
      <c r="BB659" s="257">
        <v>7</v>
      </c>
      <c r="BN659" s="251">
        <v>67.150000000000006</v>
      </c>
      <c r="BO659" s="256">
        <v>42200</v>
      </c>
      <c r="BT659" s="251">
        <v>50.874099731445313</v>
      </c>
      <c r="BU659" s="256">
        <v>42200</v>
      </c>
      <c r="BV659" s="251">
        <v>18.020233154296875</v>
      </c>
      <c r="BW659" s="256">
        <v>42200</v>
      </c>
      <c r="BX659" s="251">
        <v>14.558</v>
      </c>
      <c r="BY659" s="256">
        <v>42200</v>
      </c>
      <c r="CD659" s="257">
        <v>6.7</v>
      </c>
      <c r="CE659" s="159">
        <v>42191</v>
      </c>
      <c r="CM659" s="255">
        <v>1</v>
      </c>
      <c r="CN659" s="256">
        <v>42180</v>
      </c>
      <c r="CO659" s="140" t="s">
        <v>8447</v>
      </c>
    </row>
    <row r="660" spans="1:93" ht="15" customHeight="1">
      <c r="A660" s="124" t="s">
        <v>7631</v>
      </c>
      <c r="B660" s="161" t="s">
        <v>7484</v>
      </c>
      <c r="C660" s="268" t="s">
        <v>267</v>
      </c>
      <c r="D660" s="257">
        <v>4</v>
      </c>
      <c r="E660" s="183">
        <v>45</v>
      </c>
      <c r="F660" s="257">
        <v>24</v>
      </c>
      <c r="G660" s="257">
        <v>27</v>
      </c>
      <c r="L660" s="257">
        <v>6</v>
      </c>
      <c r="N660" s="257">
        <v>5.3</v>
      </c>
      <c r="O660" s="159">
        <v>42191</v>
      </c>
      <c r="T660" s="257">
        <v>15.3</v>
      </c>
      <c r="U660" s="256">
        <v>42200</v>
      </c>
      <c r="V660" s="145">
        <v>18.5</v>
      </c>
      <c r="W660" s="159">
        <v>42191</v>
      </c>
      <c r="AD660" s="145">
        <f>(N660/V660)*(((100-CD660)/100)*((100-2)/100))*100</f>
        <v>26.054227027027029</v>
      </c>
      <c r="AF660" s="257">
        <f>(N660/V660)*(((100-CD660)/(100-9))*100)</f>
        <v>29.215325215325215</v>
      </c>
      <c r="AG660" s="159">
        <v>42191</v>
      </c>
      <c r="AJ660" s="257">
        <v>140</v>
      </c>
      <c r="AN660" s="257">
        <v>103</v>
      </c>
      <c r="BB660" s="257">
        <v>7</v>
      </c>
      <c r="BN660" s="251">
        <v>67.650999999999996</v>
      </c>
      <c r="BO660" s="256">
        <v>42200</v>
      </c>
      <c r="BT660" s="251">
        <v>51.383255004882813</v>
      </c>
      <c r="BU660" s="256">
        <v>42200</v>
      </c>
      <c r="BV660" s="251">
        <v>17.503582000732422</v>
      </c>
      <c r="BW660" s="256">
        <v>42200</v>
      </c>
      <c r="BX660" s="251">
        <v>17.698</v>
      </c>
      <c r="BY660" s="256">
        <v>42200</v>
      </c>
      <c r="CD660" s="257">
        <v>7.2</v>
      </c>
      <c r="CE660" s="159">
        <v>42191</v>
      </c>
      <c r="CM660" s="255">
        <v>1</v>
      </c>
      <c r="CN660" s="256">
        <v>42180</v>
      </c>
      <c r="CO660" s="140" t="s">
        <v>8447</v>
      </c>
    </row>
    <row r="661" spans="1:93" ht="15" customHeight="1">
      <c r="A661" s="124" t="s">
        <v>7524</v>
      </c>
      <c r="B661" s="161" t="s">
        <v>7524</v>
      </c>
      <c r="C661" s="268" t="s">
        <v>269</v>
      </c>
      <c r="D661" s="257">
        <v>1</v>
      </c>
      <c r="E661" s="191">
        <v>186</v>
      </c>
      <c r="F661" s="257">
        <v>4</v>
      </c>
      <c r="G661" s="257">
        <v>13</v>
      </c>
      <c r="L661" s="257">
        <v>7</v>
      </c>
      <c r="N661" s="257">
        <v>5.31</v>
      </c>
      <c r="O661" s="159">
        <v>42191</v>
      </c>
      <c r="T661" s="257">
        <v>15.1</v>
      </c>
      <c r="U661" s="256">
        <v>42200</v>
      </c>
      <c r="V661" s="145">
        <v>18.5</v>
      </c>
      <c r="W661" s="159">
        <v>42191</v>
      </c>
      <c r="AD661" s="145">
        <f>(N661/V661)*(((100-CD661)/100)*((100-2)/100))*100</f>
        <v>26.075257297297295</v>
      </c>
      <c r="AF661" s="257">
        <v>29.81</v>
      </c>
      <c r="AG661" s="159">
        <v>42191</v>
      </c>
      <c r="AJ661" s="257">
        <v>140</v>
      </c>
      <c r="AN661" s="257">
        <v>98</v>
      </c>
      <c r="BB661" s="257">
        <v>7</v>
      </c>
      <c r="BN661" s="251">
        <v>65.248000000000005</v>
      </c>
      <c r="BO661" s="256">
        <v>42200</v>
      </c>
      <c r="BT661" s="251">
        <v>50.642543792724609</v>
      </c>
      <c r="BU661" s="256">
        <v>42200</v>
      </c>
      <c r="BV661" s="251">
        <v>18.236011505126953</v>
      </c>
      <c r="BW661" s="256">
        <v>42200</v>
      </c>
      <c r="BX661" s="251">
        <v>14.646000000000001</v>
      </c>
      <c r="BY661" s="256">
        <v>42200</v>
      </c>
      <c r="CD661" s="257">
        <v>7.3</v>
      </c>
      <c r="CE661" s="159">
        <v>42191</v>
      </c>
      <c r="CM661" s="255">
        <v>1</v>
      </c>
      <c r="CN661" s="256">
        <v>42180</v>
      </c>
      <c r="CO661" s="140" t="s">
        <v>8447</v>
      </c>
    </row>
    <row r="662" spans="1:93" ht="15" customHeight="1">
      <c r="A662" s="124" t="s">
        <v>7765</v>
      </c>
      <c r="B662" s="161" t="s">
        <v>7585</v>
      </c>
      <c r="C662" s="268" t="s">
        <v>267</v>
      </c>
      <c r="D662" s="257">
        <v>4</v>
      </c>
      <c r="E662" s="183">
        <v>179</v>
      </c>
      <c r="F662" s="257">
        <v>19</v>
      </c>
      <c r="G662" s="257">
        <v>8</v>
      </c>
      <c r="L662" s="257">
        <v>9</v>
      </c>
      <c r="N662" s="257">
        <v>5.43</v>
      </c>
      <c r="O662" s="159">
        <v>42191</v>
      </c>
      <c r="T662" s="257">
        <v>15.73</v>
      </c>
      <c r="U662" s="256">
        <v>42200</v>
      </c>
      <c r="V662" s="145">
        <v>18.5</v>
      </c>
      <c r="W662" s="159">
        <v>42191</v>
      </c>
      <c r="AD662" s="145">
        <f>(N662/V662)*(((100-CD662)/100)*((100-2)/100))*100</f>
        <v>26.089242162162162</v>
      </c>
      <c r="AF662" s="257">
        <v>29.82</v>
      </c>
      <c r="AG662" s="159">
        <v>42191</v>
      </c>
      <c r="AJ662" s="257">
        <v>110</v>
      </c>
      <c r="AN662" s="257">
        <v>103</v>
      </c>
      <c r="BB662" s="257">
        <v>9</v>
      </c>
      <c r="BN662" s="251">
        <v>63.064999999999998</v>
      </c>
      <c r="BO662" s="256">
        <v>42200</v>
      </c>
      <c r="BT662" s="251">
        <v>52.753780364990234</v>
      </c>
      <c r="BU662" s="256">
        <v>42200</v>
      </c>
      <c r="BV662" s="251">
        <v>15.731432914733887</v>
      </c>
      <c r="BW662" s="256">
        <v>42200</v>
      </c>
      <c r="BX662" s="251">
        <v>15.548999999999999</v>
      </c>
      <c r="BY662" s="256">
        <v>42200</v>
      </c>
      <c r="CD662" s="257">
        <v>9.3000000000000007</v>
      </c>
      <c r="CE662" s="159">
        <v>42191</v>
      </c>
      <c r="CM662" s="255">
        <v>1</v>
      </c>
      <c r="CN662" s="256">
        <v>42180</v>
      </c>
      <c r="CO662" s="140" t="s">
        <v>8447</v>
      </c>
    </row>
    <row r="663" spans="1:93" ht="15" customHeight="1">
      <c r="A663" s="124" t="s">
        <v>7734</v>
      </c>
      <c r="B663" s="161" t="s">
        <v>7558</v>
      </c>
      <c r="C663" s="268" t="s">
        <v>267</v>
      </c>
      <c r="D663" s="257">
        <v>3</v>
      </c>
      <c r="E663" s="183">
        <v>148</v>
      </c>
      <c r="F663" s="257">
        <v>13</v>
      </c>
      <c r="G663" s="257">
        <v>14</v>
      </c>
      <c r="L663" s="257">
        <v>8</v>
      </c>
      <c r="N663" s="257">
        <v>5.34</v>
      </c>
      <c r="O663" s="159">
        <v>42191</v>
      </c>
      <c r="T663" s="257">
        <v>14.6</v>
      </c>
      <c r="U663" s="256">
        <v>42200</v>
      </c>
      <c r="V663" s="145">
        <v>18.5</v>
      </c>
      <c r="W663" s="159">
        <v>42191</v>
      </c>
      <c r="AD663" s="145">
        <f>(N663/V663)*(((100-CD663)/100)*((100-2)/100))*100</f>
        <v>26.13771243243243</v>
      </c>
      <c r="AF663" s="257">
        <f>(N663/V663)*(((100-CD663)/(100-9))*100)</f>
        <v>29.308939708939715</v>
      </c>
      <c r="AG663" s="159">
        <v>42191</v>
      </c>
      <c r="AJ663" s="257">
        <v>145</v>
      </c>
      <c r="AN663" s="257">
        <v>102</v>
      </c>
      <c r="BB663" s="257">
        <v>7</v>
      </c>
      <c r="BN663" s="251">
        <v>63.734000000000002</v>
      </c>
      <c r="BO663" s="256">
        <v>42200</v>
      </c>
      <c r="BT663" s="251">
        <v>48.849849700927734</v>
      </c>
      <c r="BU663" s="256">
        <v>42200</v>
      </c>
      <c r="BV663" s="251">
        <v>18.582065582275391</v>
      </c>
      <c r="BW663" s="256">
        <v>42200</v>
      </c>
      <c r="BX663" s="251">
        <v>16.457000000000001</v>
      </c>
      <c r="BY663" s="256">
        <v>42200</v>
      </c>
      <c r="CD663" s="257">
        <v>7.6</v>
      </c>
      <c r="CE663" s="159">
        <v>42191</v>
      </c>
      <c r="CM663" s="255">
        <v>1</v>
      </c>
      <c r="CN663" s="256">
        <v>42180</v>
      </c>
      <c r="CO663" s="140" t="s">
        <v>8447</v>
      </c>
    </row>
    <row r="664" spans="1:93" ht="15" customHeight="1">
      <c r="A664" s="124" t="s">
        <v>7594</v>
      </c>
      <c r="B664" s="161" t="s">
        <v>7452</v>
      </c>
      <c r="C664" s="268" t="s">
        <v>269</v>
      </c>
      <c r="D664" s="257">
        <v>1</v>
      </c>
      <c r="E664" s="183">
        <v>8</v>
      </c>
      <c r="F664" s="257">
        <v>3</v>
      </c>
      <c r="G664" s="257">
        <v>25</v>
      </c>
      <c r="J664" s="266"/>
      <c r="L664" s="257">
        <v>8</v>
      </c>
      <c r="N664" s="257">
        <v>5.3</v>
      </c>
      <c r="O664" s="159">
        <v>42191</v>
      </c>
      <c r="P664" s="144"/>
      <c r="R664" s="145"/>
      <c r="T664" s="257">
        <v>15.66</v>
      </c>
      <c r="U664" s="256">
        <v>42200</v>
      </c>
      <c r="V664" s="145">
        <v>18.5</v>
      </c>
      <c r="W664" s="159">
        <v>42191</v>
      </c>
      <c r="X664" s="145"/>
      <c r="Z664" s="145"/>
      <c r="AB664" s="145"/>
      <c r="AD664" s="145">
        <f>(N664/V664)*(((100-CD664)/100)*((100-2)/100))*100</f>
        <v>26.138454054054055</v>
      </c>
      <c r="AF664" s="257">
        <v>29.88</v>
      </c>
      <c r="AG664" s="159">
        <v>42191</v>
      </c>
      <c r="AJ664" s="257">
        <v>175</v>
      </c>
      <c r="AL664" s="145"/>
      <c r="AN664" s="257">
        <v>107</v>
      </c>
      <c r="BB664" s="257">
        <v>9</v>
      </c>
      <c r="BN664" s="251">
        <v>65.004000000000005</v>
      </c>
      <c r="BO664" s="256">
        <v>42200</v>
      </c>
      <c r="BT664" s="251">
        <v>52.413963317871094</v>
      </c>
      <c r="BU664" s="256">
        <v>42200</v>
      </c>
      <c r="BV664" s="251">
        <v>18.308956146240234</v>
      </c>
      <c r="BW664" s="256">
        <v>42200</v>
      </c>
      <c r="BX664" s="251">
        <v>59.366999999999997</v>
      </c>
      <c r="BY664" s="256">
        <v>42200</v>
      </c>
      <c r="CD664" s="257">
        <v>6.9</v>
      </c>
      <c r="CE664" s="159">
        <v>42191</v>
      </c>
      <c r="CM664" s="255">
        <v>3</v>
      </c>
      <c r="CN664" s="256">
        <v>42180</v>
      </c>
      <c r="CO664" s="140" t="s">
        <v>8447</v>
      </c>
    </row>
    <row r="665" spans="1:93" ht="15" customHeight="1">
      <c r="A665" s="124" t="s">
        <v>7740</v>
      </c>
      <c r="B665" s="161" t="s">
        <v>7564</v>
      </c>
      <c r="C665" s="268" t="s">
        <v>269</v>
      </c>
      <c r="D665" s="257">
        <v>1</v>
      </c>
      <c r="E665" s="183">
        <v>154</v>
      </c>
      <c r="F665" s="257">
        <v>5</v>
      </c>
      <c r="G665" s="257">
        <v>25</v>
      </c>
      <c r="L665" s="257">
        <v>7</v>
      </c>
      <c r="N665" s="257">
        <v>5.32</v>
      </c>
      <c r="O665" s="159">
        <v>42191</v>
      </c>
      <c r="T665" s="257">
        <v>15.26</v>
      </c>
      <c r="U665" s="256">
        <v>42200</v>
      </c>
      <c r="V665" s="145">
        <v>18.5</v>
      </c>
      <c r="W665" s="159">
        <v>42191</v>
      </c>
      <c r="AD665" s="145">
        <f>(N665/V665)*(((100-CD665)/100)*((100-2)/100))*100</f>
        <v>26.152544864864861</v>
      </c>
      <c r="AF665" s="257">
        <v>29.9</v>
      </c>
      <c r="AG665" s="159">
        <v>42191</v>
      </c>
      <c r="AJ665" s="257">
        <v>165</v>
      </c>
      <c r="AN665" s="257">
        <v>101</v>
      </c>
      <c r="BB665" s="257">
        <v>9</v>
      </c>
      <c r="BN665" s="251">
        <v>62.869</v>
      </c>
      <c r="BO665" s="256">
        <v>42200</v>
      </c>
      <c r="BT665" s="251">
        <v>51.047653198242188</v>
      </c>
      <c r="BU665" s="256">
        <v>42200</v>
      </c>
      <c r="BV665" s="251">
        <v>15.906769752502441</v>
      </c>
      <c r="BW665" s="256">
        <v>42200</v>
      </c>
      <c r="BX665" s="251">
        <v>16.931000000000001</v>
      </c>
      <c r="BY665" s="256">
        <v>42200</v>
      </c>
      <c r="CD665" s="257">
        <v>7.2</v>
      </c>
      <c r="CE665" s="159">
        <v>42191</v>
      </c>
      <c r="CM665" s="255">
        <v>3</v>
      </c>
      <c r="CN665" s="256">
        <v>42180</v>
      </c>
      <c r="CO665" s="140" t="s">
        <v>8447</v>
      </c>
    </row>
    <row r="666" spans="1:93" ht="15" customHeight="1">
      <c r="A666" s="124" t="s">
        <v>7621</v>
      </c>
      <c r="B666" s="161" t="s">
        <v>262</v>
      </c>
      <c r="C666" s="268" t="s">
        <v>269</v>
      </c>
      <c r="D666" s="257">
        <v>1</v>
      </c>
      <c r="E666" s="183">
        <v>35</v>
      </c>
      <c r="F666" s="257">
        <v>6</v>
      </c>
      <c r="G666" s="257">
        <v>3</v>
      </c>
      <c r="L666" s="257">
        <v>7</v>
      </c>
      <c r="N666" s="257">
        <v>5.31</v>
      </c>
      <c r="O666" s="159">
        <v>42191</v>
      </c>
      <c r="T666" s="257">
        <v>15.93</v>
      </c>
      <c r="U666" s="256">
        <v>42200</v>
      </c>
      <c r="V666" s="145">
        <v>18.5</v>
      </c>
      <c r="W666" s="159">
        <v>42191</v>
      </c>
      <c r="AD666" s="145">
        <f>(N666/V666)*(((100-CD666)/100)*((100-2)/100))*100</f>
        <v>26.187771891891888</v>
      </c>
      <c r="AF666" s="257">
        <f>(N666/V666)*(((100-CD666)/(100-9))*100)</f>
        <v>29.365072765072757</v>
      </c>
      <c r="AG666" s="159">
        <v>42191</v>
      </c>
      <c r="AJ666" s="257">
        <v>135</v>
      </c>
      <c r="AN666" s="257">
        <v>99</v>
      </c>
      <c r="BB666" s="257">
        <v>7</v>
      </c>
      <c r="BN666" s="251">
        <v>61.709000000000003</v>
      </c>
      <c r="BO666" s="256">
        <v>42200</v>
      </c>
      <c r="BT666" s="251">
        <v>53.206794738769531</v>
      </c>
      <c r="BU666" s="256">
        <v>42200</v>
      </c>
      <c r="BV666" s="251">
        <v>17.790998458862305</v>
      </c>
      <c r="BW666" s="256">
        <v>42200</v>
      </c>
      <c r="BX666" s="251">
        <v>53.332999999999998</v>
      </c>
      <c r="BY666" s="256">
        <v>42200</v>
      </c>
      <c r="CD666" s="257">
        <v>6.9</v>
      </c>
      <c r="CE666" s="159">
        <v>42191</v>
      </c>
      <c r="CM666" s="255">
        <v>1</v>
      </c>
      <c r="CN666" s="256">
        <v>42180</v>
      </c>
      <c r="CO666" s="140" t="s">
        <v>8447</v>
      </c>
    </row>
    <row r="667" spans="1:93" ht="15" customHeight="1">
      <c r="A667" s="124" t="s">
        <v>7664</v>
      </c>
      <c r="B667" s="161" t="s">
        <v>7513</v>
      </c>
      <c r="C667" s="268" t="s">
        <v>267</v>
      </c>
      <c r="D667" s="257">
        <v>3</v>
      </c>
      <c r="E667" s="183">
        <v>78</v>
      </c>
      <c r="F667" s="257">
        <v>14</v>
      </c>
      <c r="G667" s="257">
        <v>4</v>
      </c>
      <c r="L667" s="257">
        <v>8</v>
      </c>
      <c r="N667" s="257">
        <v>5.41</v>
      </c>
      <c r="O667" s="159">
        <v>42191</v>
      </c>
      <c r="T667" s="257">
        <v>14.86</v>
      </c>
      <c r="U667" s="256">
        <v>42200</v>
      </c>
      <c r="V667" s="145">
        <v>18.5</v>
      </c>
      <c r="W667" s="159">
        <v>42191</v>
      </c>
      <c r="AD667" s="145">
        <f>(N667/V667)*(((100-CD667)/100)*((100-2)/100))*100</f>
        <v>26.19375783783784</v>
      </c>
      <c r="AF667" s="257">
        <f>(N667/V667)*(((100-CD667)/(100-9))*100)</f>
        <v>29.371784971784972</v>
      </c>
      <c r="AG667" s="159">
        <v>42191</v>
      </c>
      <c r="AJ667" s="257">
        <v>125</v>
      </c>
      <c r="AN667" s="257">
        <v>100</v>
      </c>
      <c r="BB667" s="257">
        <v>5</v>
      </c>
      <c r="BN667" s="251">
        <v>60.744</v>
      </c>
      <c r="BO667" s="256">
        <v>42200</v>
      </c>
      <c r="BT667" s="251">
        <v>49.622379302978516</v>
      </c>
      <c r="BU667" s="256">
        <v>42200</v>
      </c>
      <c r="BV667" s="251">
        <v>16.588657379150391</v>
      </c>
      <c r="BW667" s="256">
        <v>42200</v>
      </c>
      <c r="BX667" s="251">
        <v>19.404</v>
      </c>
      <c r="BY667" s="256">
        <v>42200</v>
      </c>
      <c r="CD667" s="257">
        <v>8.6</v>
      </c>
      <c r="CE667" s="159">
        <v>42191</v>
      </c>
      <c r="CM667" s="255">
        <v>1</v>
      </c>
      <c r="CN667" s="256">
        <v>42180</v>
      </c>
      <c r="CO667" s="140" t="s">
        <v>8447</v>
      </c>
    </row>
    <row r="668" spans="1:93" ht="15" customHeight="1">
      <c r="A668" s="124" t="s">
        <v>7759</v>
      </c>
      <c r="B668" s="161" t="s">
        <v>7794</v>
      </c>
      <c r="C668" s="268" t="s">
        <v>269</v>
      </c>
      <c r="D668" s="257">
        <v>2</v>
      </c>
      <c r="E668" s="183">
        <v>173</v>
      </c>
      <c r="F668" s="257">
        <v>9</v>
      </c>
      <c r="G668" s="257">
        <v>19</v>
      </c>
      <c r="L668" s="257">
        <v>7</v>
      </c>
      <c r="N668" s="257">
        <v>5.34</v>
      </c>
      <c r="O668" s="159">
        <v>42191</v>
      </c>
      <c r="T668" s="257">
        <v>14.46</v>
      </c>
      <c r="U668" s="256">
        <v>42200</v>
      </c>
      <c r="V668" s="145">
        <v>18.5</v>
      </c>
      <c r="W668" s="159">
        <v>42191</v>
      </c>
      <c r="AD668" s="145">
        <f>(N668/V668)*(((100-CD668)/100)*((100-2)/100))*100</f>
        <v>26.194287567567564</v>
      </c>
      <c r="AF668" s="257">
        <v>29.94</v>
      </c>
      <c r="AG668" s="159">
        <v>42191</v>
      </c>
      <c r="AJ668" s="257">
        <v>125</v>
      </c>
      <c r="AN668" s="257">
        <v>106</v>
      </c>
      <c r="BB668" s="257">
        <v>9</v>
      </c>
      <c r="BN668" s="251">
        <v>63.402999999999999</v>
      </c>
      <c r="BO668" s="256">
        <v>42200</v>
      </c>
      <c r="BT668" s="251">
        <v>48.280258178710937</v>
      </c>
      <c r="BU668" s="256">
        <v>42200</v>
      </c>
      <c r="BV668" s="251">
        <v>19.539827346801758</v>
      </c>
      <c r="BW668" s="256">
        <v>42200</v>
      </c>
      <c r="BX668" s="251">
        <v>20.978999999999999</v>
      </c>
      <c r="BY668" s="256">
        <v>42200</v>
      </c>
      <c r="CD668" s="257">
        <v>7.4</v>
      </c>
      <c r="CE668" s="159">
        <v>42191</v>
      </c>
      <c r="CM668" s="255">
        <v>5</v>
      </c>
      <c r="CN668" s="256">
        <v>42180</v>
      </c>
      <c r="CO668" s="140" t="s">
        <v>8448</v>
      </c>
    </row>
    <row r="669" spans="1:93" ht="15" customHeight="1">
      <c r="A669" s="124" t="s">
        <v>7734</v>
      </c>
      <c r="B669" s="161" t="s">
        <v>7558</v>
      </c>
      <c r="C669" s="268" t="s">
        <v>269</v>
      </c>
      <c r="D669" s="257">
        <v>1</v>
      </c>
      <c r="E669" s="183">
        <v>148</v>
      </c>
      <c r="F669" s="257">
        <v>1</v>
      </c>
      <c r="G669" s="257">
        <v>20</v>
      </c>
      <c r="L669" s="257">
        <v>9</v>
      </c>
      <c r="N669" s="257">
        <v>5.32</v>
      </c>
      <c r="O669" s="159">
        <v>42191</v>
      </c>
      <c r="T669" s="257">
        <v>15.08</v>
      </c>
      <c r="U669" s="256">
        <v>42200</v>
      </c>
      <c r="V669" s="145">
        <v>18.5</v>
      </c>
      <c r="W669" s="159">
        <v>42191</v>
      </c>
      <c r="AD669" s="145">
        <f>(N669/V669)*(((100-CD669)/100)*((100-2)/100))*100</f>
        <v>26.208908108108108</v>
      </c>
      <c r="AF669" s="257">
        <f>(N669/V669)*(((100-CD669)/(100-9))*100)</f>
        <v>29.388773388773387</v>
      </c>
      <c r="AG669" s="159">
        <v>42191</v>
      </c>
      <c r="AJ669" s="257">
        <v>165</v>
      </c>
      <c r="AN669" s="257">
        <v>101</v>
      </c>
      <c r="BB669" s="257">
        <v>5</v>
      </c>
      <c r="BN669" s="251">
        <v>64.466999999999999</v>
      </c>
      <c r="BO669" s="256">
        <v>42200</v>
      </c>
      <c r="BT669" s="251">
        <v>50.335990905761719</v>
      </c>
      <c r="BU669" s="256">
        <v>42200</v>
      </c>
      <c r="BV669" s="251">
        <v>17.271625518798828</v>
      </c>
      <c r="BW669" s="256">
        <v>42200</v>
      </c>
      <c r="BX669" s="251">
        <v>19.292999999999999</v>
      </c>
      <c r="BY669" s="256">
        <v>42200</v>
      </c>
      <c r="CD669" s="257">
        <v>7</v>
      </c>
      <c r="CE669" s="159">
        <v>42191</v>
      </c>
      <c r="CM669" s="255">
        <v>1</v>
      </c>
      <c r="CN669" s="256">
        <v>42180</v>
      </c>
      <c r="CO669" s="140" t="s">
        <v>8447</v>
      </c>
    </row>
    <row r="670" spans="1:93" ht="15" customHeight="1">
      <c r="A670" s="124" t="s">
        <v>7761</v>
      </c>
      <c r="B670" s="161" t="s">
        <v>8313</v>
      </c>
      <c r="C670" s="268" t="s">
        <v>267</v>
      </c>
      <c r="D670" s="257">
        <v>4</v>
      </c>
      <c r="E670" s="183">
        <v>175</v>
      </c>
      <c r="F670" s="257">
        <v>20</v>
      </c>
      <c r="G670" s="257">
        <v>10</v>
      </c>
      <c r="L670" s="257">
        <v>8</v>
      </c>
      <c r="N670" s="257">
        <v>5.4</v>
      </c>
      <c r="O670" s="159">
        <v>42191</v>
      </c>
      <c r="T670" s="257">
        <v>15.5</v>
      </c>
      <c r="U670" s="256">
        <v>42200</v>
      </c>
      <c r="V670" s="145">
        <v>18.5</v>
      </c>
      <c r="W670" s="159">
        <v>42191</v>
      </c>
      <c r="AD670" s="145">
        <f>(N670/V670)*(((100-CD670)/100)*((100-2)/100))*100</f>
        <v>26.316972972972973</v>
      </c>
      <c r="AF670" s="257">
        <v>30.08</v>
      </c>
      <c r="AG670" s="159">
        <v>42191</v>
      </c>
      <c r="AJ670" s="257">
        <v>120</v>
      </c>
      <c r="AN670" s="257">
        <v>102</v>
      </c>
      <c r="BB670" s="257">
        <v>7</v>
      </c>
      <c r="BN670" s="251">
        <v>62.505000000000003</v>
      </c>
      <c r="BO670" s="256">
        <v>42200</v>
      </c>
      <c r="BT670" s="251">
        <v>51.528022766113281</v>
      </c>
      <c r="BU670" s="256">
        <v>42200</v>
      </c>
      <c r="BV670" s="251">
        <v>16.5216064453125</v>
      </c>
      <c r="BW670" s="256">
        <v>42200</v>
      </c>
      <c r="BX670" s="251">
        <v>17.5</v>
      </c>
      <c r="BY670" s="256">
        <v>42200</v>
      </c>
      <c r="CD670" s="257">
        <v>8</v>
      </c>
      <c r="CE670" s="159">
        <v>42191</v>
      </c>
      <c r="CM670" s="255">
        <v>3</v>
      </c>
      <c r="CN670" s="256">
        <v>42180</v>
      </c>
      <c r="CO670" s="140" t="s">
        <v>8447</v>
      </c>
    </row>
    <row r="671" spans="1:93" ht="15" customHeight="1">
      <c r="A671" s="124" t="s">
        <v>7766</v>
      </c>
      <c r="B671" s="161" t="s">
        <v>7586</v>
      </c>
      <c r="C671" s="268" t="s">
        <v>267</v>
      </c>
      <c r="D671" s="257">
        <v>3</v>
      </c>
      <c r="E671" s="183">
        <v>180</v>
      </c>
      <c r="F671" s="257">
        <v>13</v>
      </c>
      <c r="G671" s="257">
        <v>20</v>
      </c>
      <c r="L671" s="257">
        <v>9</v>
      </c>
      <c r="N671" s="257">
        <v>5.38</v>
      </c>
      <c r="O671" s="159">
        <v>42191</v>
      </c>
      <c r="T671" s="257">
        <v>15.03</v>
      </c>
      <c r="U671" s="256">
        <v>42200</v>
      </c>
      <c r="V671" s="145">
        <v>18.5</v>
      </c>
      <c r="W671" s="159">
        <v>42191</v>
      </c>
      <c r="AD671" s="145">
        <f>(N671/V671)*(((100-CD671)/100)*((100-2)/100))*100</f>
        <v>26.333500540540538</v>
      </c>
      <c r="AF671" s="257">
        <v>30.1</v>
      </c>
      <c r="AG671" s="159">
        <v>42191</v>
      </c>
      <c r="AJ671" s="257">
        <v>140</v>
      </c>
      <c r="AN671" s="257">
        <v>102</v>
      </c>
      <c r="BB671" s="257">
        <v>7</v>
      </c>
      <c r="BN671" s="251">
        <v>62.835000000000001</v>
      </c>
      <c r="BO671" s="256">
        <v>42200</v>
      </c>
      <c r="BT671" s="251">
        <v>49.938804626464844</v>
      </c>
      <c r="BU671" s="256">
        <v>42200</v>
      </c>
      <c r="BV671" s="251">
        <v>16.883522033691406</v>
      </c>
      <c r="BW671" s="256">
        <v>42200</v>
      </c>
      <c r="BX671" s="251">
        <v>18.978000000000002</v>
      </c>
      <c r="BY671" s="256">
        <v>42200</v>
      </c>
      <c r="CD671" s="257">
        <v>7.6</v>
      </c>
      <c r="CE671" s="159">
        <v>42191</v>
      </c>
      <c r="CM671" s="255">
        <v>1</v>
      </c>
      <c r="CN671" s="256">
        <v>42180</v>
      </c>
      <c r="CO671" s="140" t="s">
        <v>8447</v>
      </c>
    </row>
    <row r="672" spans="1:93" ht="15" customHeight="1">
      <c r="A672" s="124" t="s">
        <v>7551</v>
      </c>
      <c r="B672" s="161" t="s">
        <v>7551</v>
      </c>
      <c r="C672" s="268" t="s">
        <v>267</v>
      </c>
      <c r="D672" s="257">
        <v>3</v>
      </c>
      <c r="E672" s="191">
        <v>182</v>
      </c>
      <c r="F672" s="257">
        <v>18</v>
      </c>
      <c r="G672" s="257">
        <v>15</v>
      </c>
      <c r="L672" s="257">
        <v>8</v>
      </c>
      <c r="N672" s="257">
        <v>5.4</v>
      </c>
      <c r="O672" s="159">
        <v>42191</v>
      </c>
      <c r="T672" s="257">
        <v>14.95</v>
      </c>
      <c r="U672" s="256">
        <v>42200</v>
      </c>
      <c r="V672" s="145">
        <v>18.5</v>
      </c>
      <c r="W672" s="159">
        <v>42191</v>
      </c>
      <c r="AD672" s="145">
        <f>(N672/V672)*(((100-CD672)/100)*((100-2)/100))*100</f>
        <v>26.345578378378377</v>
      </c>
      <c r="AF672" s="257">
        <v>30.12</v>
      </c>
      <c r="AG672" s="159">
        <v>42191</v>
      </c>
      <c r="AJ672" s="257">
        <v>110</v>
      </c>
      <c r="AN672" s="257">
        <v>103</v>
      </c>
      <c r="BB672" s="257">
        <v>7</v>
      </c>
      <c r="BN672" s="251">
        <v>62.42</v>
      </c>
      <c r="BO672" s="256">
        <v>42200</v>
      </c>
      <c r="BT672" s="251">
        <v>49.638557434082031</v>
      </c>
      <c r="BU672" s="256">
        <v>42200</v>
      </c>
      <c r="BV672" s="251">
        <v>18.739999771118164</v>
      </c>
      <c r="BW672" s="256">
        <v>42200</v>
      </c>
      <c r="BX672" s="251">
        <v>15.489000000000001</v>
      </c>
      <c r="BY672" s="256">
        <v>42200</v>
      </c>
      <c r="CD672" s="257">
        <v>7.9</v>
      </c>
      <c r="CE672" s="159">
        <v>42191</v>
      </c>
      <c r="CM672" s="255">
        <v>3</v>
      </c>
      <c r="CN672" s="256">
        <v>42180</v>
      </c>
      <c r="CO672" s="140" t="s">
        <v>8447</v>
      </c>
    </row>
    <row r="673" spans="1:93" ht="15" customHeight="1">
      <c r="A673" s="124" t="s">
        <v>7746</v>
      </c>
      <c r="B673" s="161" t="s">
        <v>7570</v>
      </c>
      <c r="C673" s="268" t="s">
        <v>269</v>
      </c>
      <c r="D673" s="257">
        <v>1</v>
      </c>
      <c r="E673" s="183">
        <v>160</v>
      </c>
      <c r="F673" s="257">
        <v>1</v>
      </c>
      <c r="G673" s="257">
        <v>15</v>
      </c>
      <c r="L673" s="257">
        <v>9</v>
      </c>
      <c r="N673" s="257">
        <v>5.37</v>
      </c>
      <c r="O673" s="159">
        <v>42191</v>
      </c>
      <c r="T673" s="257">
        <v>15.39</v>
      </c>
      <c r="U673" s="256">
        <v>42200</v>
      </c>
      <c r="V673" s="145">
        <v>18.5</v>
      </c>
      <c r="W673" s="159">
        <v>42191</v>
      </c>
      <c r="AD673" s="145">
        <f>(N673/V673)*(((100-CD673)/100)*((100-2)/100))*100</f>
        <v>26.398339459459457</v>
      </c>
      <c r="AF673" s="257">
        <v>30.18</v>
      </c>
      <c r="AG673" s="159">
        <v>42191</v>
      </c>
      <c r="AJ673" s="257">
        <v>170</v>
      </c>
      <c r="AN673" s="257">
        <v>98</v>
      </c>
      <c r="BB673" s="257">
        <v>7</v>
      </c>
      <c r="BN673" s="251">
        <v>63.55</v>
      </c>
      <c r="BO673" s="256">
        <v>42200</v>
      </c>
      <c r="BT673" s="251">
        <v>51.001785278320313</v>
      </c>
      <c r="BU673" s="256">
        <v>42200</v>
      </c>
      <c r="BV673" s="251">
        <v>17.348735809326172</v>
      </c>
      <c r="BW673" s="256">
        <v>42200</v>
      </c>
      <c r="BX673" s="251">
        <v>12.923</v>
      </c>
      <c r="BY673" s="256">
        <v>42200</v>
      </c>
      <c r="CD673" s="257">
        <v>7.2</v>
      </c>
      <c r="CE673" s="159">
        <v>42191</v>
      </c>
      <c r="CM673" s="255">
        <v>1</v>
      </c>
      <c r="CN673" s="256">
        <v>42180</v>
      </c>
      <c r="CO673" s="140" t="s">
        <v>8447</v>
      </c>
    </row>
    <row r="674" spans="1:93" ht="15" customHeight="1">
      <c r="A674" s="124" t="s">
        <v>7672</v>
      </c>
      <c r="B674" s="161" t="s">
        <v>7521</v>
      </c>
      <c r="C674" s="268" t="s">
        <v>269</v>
      </c>
      <c r="D674" s="257">
        <v>1</v>
      </c>
      <c r="E674" s="183">
        <v>86</v>
      </c>
      <c r="F674" s="257">
        <v>1</v>
      </c>
      <c r="G674" s="257">
        <v>28</v>
      </c>
      <c r="L674" s="257">
        <v>8</v>
      </c>
      <c r="N674" s="257">
        <v>5.37</v>
      </c>
      <c r="O674" s="159">
        <v>42191</v>
      </c>
      <c r="T674" s="257">
        <v>15.76</v>
      </c>
      <c r="U674" s="256">
        <v>42200</v>
      </c>
      <c r="V674" s="145">
        <v>18.5</v>
      </c>
      <c r="W674" s="159">
        <v>42191</v>
      </c>
      <c r="AD674" s="145">
        <f>(N674/V674)*(((100-CD674)/100)*((100-2)/100))*100</f>
        <v>26.426785945945948</v>
      </c>
      <c r="AF674" s="257">
        <f>(N674/V674)*(((100-CD674)/(100-9))*100)</f>
        <v>29.63308583308584</v>
      </c>
      <c r="AG674" s="159">
        <v>42191</v>
      </c>
      <c r="AJ674" s="257">
        <v>145</v>
      </c>
      <c r="AN674" s="257">
        <v>102</v>
      </c>
      <c r="BB674" s="257">
        <v>7</v>
      </c>
      <c r="BN674" s="251">
        <v>63.811999999999998</v>
      </c>
      <c r="BO674" s="256">
        <v>42200</v>
      </c>
      <c r="BT674" s="251">
        <v>52.169868469238281</v>
      </c>
      <c r="BU674" s="256">
        <v>42200</v>
      </c>
      <c r="BV674" s="251">
        <v>16.776174545288086</v>
      </c>
      <c r="BW674" s="256">
        <v>42200</v>
      </c>
      <c r="BX674" s="251">
        <v>21.422999999999998</v>
      </c>
      <c r="BY674" s="256">
        <v>42200</v>
      </c>
      <c r="CD674" s="257">
        <v>7.1</v>
      </c>
      <c r="CE674" s="159">
        <v>42191</v>
      </c>
      <c r="CM674" s="255">
        <v>1</v>
      </c>
      <c r="CN674" s="256">
        <v>42180</v>
      </c>
      <c r="CO674" s="140" t="s">
        <v>8447</v>
      </c>
    </row>
    <row r="675" spans="1:93" ht="15" customHeight="1">
      <c r="A675" s="124" t="s">
        <v>7750</v>
      </c>
      <c r="B675" s="161" t="s">
        <v>7574</v>
      </c>
      <c r="C675" s="268" t="s">
        <v>267</v>
      </c>
      <c r="D675" s="257">
        <v>3</v>
      </c>
      <c r="E675" s="183">
        <v>164</v>
      </c>
      <c r="F675" s="257">
        <v>17</v>
      </c>
      <c r="G675" s="257">
        <v>23</v>
      </c>
      <c r="L675" s="257">
        <v>7</v>
      </c>
      <c r="N675" s="257">
        <v>5.4</v>
      </c>
      <c r="O675" s="159">
        <v>42191</v>
      </c>
      <c r="T675" s="257">
        <v>14.72</v>
      </c>
      <c r="U675" s="256">
        <v>42200</v>
      </c>
      <c r="V675" s="145">
        <v>18.5</v>
      </c>
      <c r="W675" s="159">
        <v>42191</v>
      </c>
      <c r="AD675" s="145">
        <f>(N675/V675)*(((100-CD675)/100)*((100-2)/100))*100</f>
        <v>26.431394594594597</v>
      </c>
      <c r="AF675" s="257">
        <v>30.21</v>
      </c>
      <c r="AG675" s="159">
        <v>42191</v>
      </c>
      <c r="AJ675" s="257">
        <v>120</v>
      </c>
      <c r="AN675" s="257">
        <v>103</v>
      </c>
      <c r="BB675" s="257">
        <v>7</v>
      </c>
      <c r="BN675" s="251">
        <v>61.198999999999998</v>
      </c>
      <c r="BO675" s="256">
        <v>42200</v>
      </c>
      <c r="BT675" s="251">
        <v>48.7099609375</v>
      </c>
      <c r="BU675" s="256">
        <v>42200</v>
      </c>
      <c r="BV675" s="251">
        <v>18.014139175415039</v>
      </c>
      <c r="BW675" s="256">
        <v>42200</v>
      </c>
      <c r="BX675" s="251">
        <v>14.958</v>
      </c>
      <c r="BY675" s="256">
        <v>42200</v>
      </c>
      <c r="CD675" s="257">
        <v>7.6</v>
      </c>
      <c r="CE675" s="159">
        <v>42191</v>
      </c>
      <c r="CM675" s="255">
        <v>5</v>
      </c>
      <c r="CN675" s="256">
        <v>42180</v>
      </c>
      <c r="CO675" s="140" t="s">
        <v>8447</v>
      </c>
    </row>
    <row r="676" spans="1:93" ht="15">
      <c r="A676" s="124" t="s">
        <v>7750</v>
      </c>
      <c r="B676" s="161" t="s">
        <v>7574</v>
      </c>
      <c r="C676" s="268" t="s">
        <v>267</v>
      </c>
      <c r="D676" s="243">
        <v>4</v>
      </c>
      <c r="E676" s="183">
        <v>164</v>
      </c>
      <c r="F676" s="244">
        <v>21</v>
      </c>
      <c r="G676" s="245">
        <v>10</v>
      </c>
      <c r="L676" s="254">
        <v>9</v>
      </c>
      <c r="N676" s="246">
        <v>5.44</v>
      </c>
      <c r="O676" s="159">
        <v>42191</v>
      </c>
      <c r="T676" s="247">
        <v>15.62</v>
      </c>
      <c r="U676" s="256">
        <v>42200</v>
      </c>
      <c r="V676" s="145">
        <v>18.5</v>
      </c>
      <c r="W676" s="159">
        <v>42191</v>
      </c>
      <c r="AD676" s="145">
        <f>(N676/V676)*(((100-CD676)/100)*((100-2)/100))*100</f>
        <v>26.483096216216218</v>
      </c>
      <c r="AF676" s="248">
        <v>30.27</v>
      </c>
      <c r="AG676" s="159">
        <v>42191</v>
      </c>
      <c r="AJ676" s="249">
        <v>135</v>
      </c>
      <c r="AN676" s="250">
        <v>101</v>
      </c>
      <c r="BB676" s="257">
        <v>7</v>
      </c>
      <c r="BN676" s="251">
        <v>63.341000000000001</v>
      </c>
      <c r="BO676" s="256">
        <v>42200</v>
      </c>
      <c r="BT676" s="251">
        <v>51.608749389648438</v>
      </c>
      <c r="BU676" s="256">
        <v>42200</v>
      </c>
      <c r="BV676" s="251">
        <v>16.391689300537109</v>
      </c>
      <c r="BW676" s="256">
        <v>42200</v>
      </c>
      <c r="BX676" s="251">
        <v>16.87</v>
      </c>
      <c r="BY676" s="256">
        <v>42200</v>
      </c>
      <c r="CD676" s="253">
        <v>8.1</v>
      </c>
      <c r="CE676" s="159">
        <v>42191</v>
      </c>
      <c r="CM676" s="255">
        <v>1</v>
      </c>
      <c r="CN676" s="256">
        <v>42180</v>
      </c>
      <c r="CO676" s="140" t="s">
        <v>8447</v>
      </c>
    </row>
    <row r="677" spans="1:93" ht="15">
      <c r="A677" s="124" t="s">
        <v>7742</v>
      </c>
      <c r="B677" s="161" t="s">
        <v>7566</v>
      </c>
      <c r="C677" s="268" t="s">
        <v>267</v>
      </c>
      <c r="D677" s="243">
        <v>3</v>
      </c>
      <c r="E677" s="183">
        <v>156</v>
      </c>
      <c r="F677" s="244">
        <v>14</v>
      </c>
      <c r="G677" s="245">
        <v>21</v>
      </c>
      <c r="L677" s="254">
        <v>5</v>
      </c>
      <c r="N677" s="246">
        <v>5.39</v>
      </c>
      <c r="O677" s="159">
        <v>42191</v>
      </c>
      <c r="T677" s="247">
        <v>14.88</v>
      </c>
      <c r="U677" s="256">
        <v>42200</v>
      </c>
      <c r="V677" s="145">
        <v>18.5</v>
      </c>
      <c r="W677" s="159">
        <v>42191</v>
      </c>
      <c r="AD677" s="145">
        <f>(N677/V677)*(((100-CD677)/100)*((100-2)/100))*100</f>
        <v>26.496657297297293</v>
      </c>
      <c r="AF677" s="248">
        <v>30.29</v>
      </c>
      <c r="AG677" s="159">
        <v>42191</v>
      </c>
      <c r="AJ677" s="249">
        <v>105</v>
      </c>
      <c r="AN677" s="250">
        <v>101</v>
      </c>
      <c r="BB677" s="257">
        <v>7</v>
      </c>
      <c r="BN677" s="251">
        <v>65.704999999999998</v>
      </c>
      <c r="BO677" s="256">
        <v>42200</v>
      </c>
      <c r="BT677" s="251">
        <v>49.133499145507812</v>
      </c>
      <c r="BU677" s="256">
        <v>42200</v>
      </c>
      <c r="BV677" s="251">
        <v>18.532466888427734</v>
      </c>
      <c r="BW677" s="256">
        <v>42200</v>
      </c>
      <c r="BX677" s="251">
        <v>18.309999999999999</v>
      </c>
      <c r="BY677" s="256">
        <v>42200</v>
      </c>
      <c r="CD677" s="253">
        <v>7.2</v>
      </c>
      <c r="CE677" s="159">
        <v>42191</v>
      </c>
      <c r="CM677" s="255">
        <v>5</v>
      </c>
      <c r="CN677" s="256">
        <v>42180</v>
      </c>
      <c r="CO677" s="140" t="s">
        <v>8447</v>
      </c>
    </row>
    <row r="678" spans="1:93" ht="15">
      <c r="A678" s="124" t="s">
        <v>7749</v>
      </c>
      <c r="B678" s="161" t="s">
        <v>7573</v>
      </c>
      <c r="C678" s="268" t="s">
        <v>267</v>
      </c>
      <c r="D678" s="243">
        <v>4</v>
      </c>
      <c r="E678" s="183">
        <v>163</v>
      </c>
      <c r="F678" s="244">
        <v>24</v>
      </c>
      <c r="G678" s="245">
        <v>20</v>
      </c>
      <c r="L678" s="254">
        <v>9</v>
      </c>
      <c r="N678" s="246">
        <v>5.38</v>
      </c>
      <c r="O678" s="159">
        <v>42191</v>
      </c>
      <c r="T678" s="247">
        <v>15.53</v>
      </c>
      <c r="U678" s="256">
        <v>42200</v>
      </c>
      <c r="V678" s="145">
        <v>18.5</v>
      </c>
      <c r="W678" s="159">
        <v>42191</v>
      </c>
      <c r="AD678" s="145">
        <f>(N678/V678)*(((100-CD678)/100)*((100-2)/100))*100</f>
        <v>26.504497297297299</v>
      </c>
      <c r="AF678" s="248">
        <v>30.3</v>
      </c>
      <c r="AG678" s="159">
        <v>42191</v>
      </c>
      <c r="AJ678" s="249">
        <v>150</v>
      </c>
      <c r="AN678" s="250">
        <v>103</v>
      </c>
      <c r="BB678" s="257">
        <v>7</v>
      </c>
      <c r="BN678" s="251">
        <v>62.734000000000002</v>
      </c>
      <c r="BO678" s="256">
        <v>42200</v>
      </c>
      <c r="BT678" s="251">
        <v>51.261566162109375</v>
      </c>
      <c r="BU678" s="256">
        <v>42200</v>
      </c>
      <c r="BV678" s="251">
        <v>16.747081756591797</v>
      </c>
      <c r="BW678" s="256">
        <v>42200</v>
      </c>
      <c r="BX678" s="251">
        <v>16.61</v>
      </c>
      <c r="BY678" s="256">
        <v>42200</v>
      </c>
      <c r="CD678" s="253">
        <v>7</v>
      </c>
      <c r="CE678" s="159">
        <v>42191</v>
      </c>
      <c r="CM678" s="255">
        <v>1</v>
      </c>
      <c r="CN678" s="256">
        <v>42180</v>
      </c>
      <c r="CO678" s="140" t="s">
        <v>8447</v>
      </c>
    </row>
    <row r="679" spans="1:93" ht="15">
      <c r="A679" s="124" t="s">
        <v>7685</v>
      </c>
      <c r="B679" s="161" t="s">
        <v>7532</v>
      </c>
      <c r="C679" s="268" t="s">
        <v>269</v>
      </c>
      <c r="D679" s="243">
        <v>1</v>
      </c>
      <c r="E679" s="183">
        <v>99</v>
      </c>
      <c r="F679" s="244">
        <v>5</v>
      </c>
      <c r="G679" s="245">
        <v>15</v>
      </c>
      <c r="L679" s="254">
        <v>8</v>
      </c>
      <c r="N679" s="246">
        <v>5.4</v>
      </c>
      <c r="O679" s="159">
        <v>42191</v>
      </c>
      <c r="T679" s="247">
        <v>15.45</v>
      </c>
      <c r="U679" s="256">
        <v>42200</v>
      </c>
      <c r="V679" s="145">
        <v>18.5</v>
      </c>
      <c r="W679" s="159">
        <v>42191</v>
      </c>
      <c r="AD679" s="145">
        <f>(N679/V679)*(((100-CD679)/100)*((100-2)/100))*100</f>
        <v>26.517210810810816</v>
      </c>
      <c r="AF679" s="248">
        <f>(N679/V679)*(((100-CD679)/(100-9))*100)</f>
        <v>29.734481734481733</v>
      </c>
      <c r="AG679" s="159">
        <v>42191</v>
      </c>
      <c r="AJ679" s="249">
        <v>145</v>
      </c>
      <c r="AN679" s="250">
        <v>100</v>
      </c>
      <c r="BB679" s="257">
        <v>5</v>
      </c>
      <c r="BN679" s="251">
        <v>63.956000000000003</v>
      </c>
      <c r="BO679" s="256">
        <v>42200</v>
      </c>
      <c r="BT679" s="251">
        <v>50.975086212158203</v>
      </c>
      <c r="BU679" s="256">
        <v>42200</v>
      </c>
      <c r="BV679" s="251">
        <v>17.486894607543945</v>
      </c>
      <c r="BW679" s="256">
        <v>42200</v>
      </c>
      <c r="BX679" s="251">
        <v>21.065999999999999</v>
      </c>
      <c r="BY679" s="256">
        <v>42200</v>
      </c>
      <c r="CD679" s="253">
        <v>7.3</v>
      </c>
      <c r="CE679" s="159">
        <v>42191</v>
      </c>
      <c r="CM679" s="255">
        <v>1</v>
      </c>
      <c r="CN679" s="256">
        <v>42180</v>
      </c>
      <c r="CO679" s="140" t="s">
        <v>8447</v>
      </c>
    </row>
    <row r="680" spans="1:93" ht="15">
      <c r="A680" s="124" t="s">
        <v>7685</v>
      </c>
      <c r="B680" s="161" t="s">
        <v>7532</v>
      </c>
      <c r="C680" s="268" t="s">
        <v>269</v>
      </c>
      <c r="D680" s="243">
        <v>2</v>
      </c>
      <c r="E680" s="183">
        <v>99</v>
      </c>
      <c r="F680" s="244">
        <v>10</v>
      </c>
      <c r="G680" s="245">
        <v>18</v>
      </c>
      <c r="L680" s="254">
        <v>7</v>
      </c>
      <c r="N680" s="246">
        <v>5.38</v>
      </c>
      <c r="O680" s="159">
        <v>42191</v>
      </c>
      <c r="T680" s="247">
        <v>14.96</v>
      </c>
      <c r="U680" s="256">
        <v>42200</v>
      </c>
      <c r="V680" s="145">
        <v>18.5</v>
      </c>
      <c r="W680" s="159">
        <v>42191</v>
      </c>
      <c r="AD680" s="145">
        <f>(N680/V680)*(((100-CD680)/100)*((100-2)/100))*100</f>
        <v>26.532996756756756</v>
      </c>
      <c r="AF680" s="248">
        <f>(N680/V680)*(((100-CD680)/(100-9))*100)</f>
        <v>29.752182952182945</v>
      </c>
      <c r="AG680" s="159">
        <v>42191</v>
      </c>
      <c r="AJ680" s="249">
        <v>125</v>
      </c>
      <c r="AN680" s="250">
        <v>103</v>
      </c>
      <c r="BB680" s="257">
        <v>7</v>
      </c>
      <c r="BN680" s="251">
        <v>63.884999999999998</v>
      </c>
      <c r="BO680" s="256">
        <v>42200</v>
      </c>
      <c r="BT680" s="251">
        <v>49.335113525390625</v>
      </c>
      <c r="BU680" s="256">
        <v>42200</v>
      </c>
      <c r="BV680" s="251">
        <v>19.408342361450195</v>
      </c>
      <c r="BW680" s="256">
        <v>42200</v>
      </c>
      <c r="BX680" s="251">
        <v>15.253</v>
      </c>
      <c r="BY680" s="256">
        <v>42200</v>
      </c>
      <c r="CD680" s="253">
        <v>6.9</v>
      </c>
      <c r="CE680" s="159">
        <v>42191</v>
      </c>
      <c r="CM680" s="255">
        <v>1</v>
      </c>
      <c r="CN680" s="256">
        <v>42180</v>
      </c>
      <c r="CO680" s="140" t="s">
        <v>8448</v>
      </c>
    </row>
    <row r="681" spans="1:93" ht="15">
      <c r="A681" s="124" t="s">
        <v>7738</v>
      </c>
      <c r="B681" s="161" t="s">
        <v>7562</v>
      </c>
      <c r="C681" s="268" t="s">
        <v>267</v>
      </c>
      <c r="D681" s="243">
        <v>4</v>
      </c>
      <c r="E681" s="183">
        <v>152</v>
      </c>
      <c r="F681" s="244">
        <v>20</v>
      </c>
      <c r="G681" s="245">
        <v>22</v>
      </c>
      <c r="L681" s="254">
        <v>7</v>
      </c>
      <c r="N681" s="246">
        <v>5.42</v>
      </c>
      <c r="O681" s="159">
        <v>42191</v>
      </c>
      <c r="T681" s="247">
        <v>14.94</v>
      </c>
      <c r="U681" s="256">
        <v>42200</v>
      </c>
      <c r="V681" s="145">
        <v>18.5</v>
      </c>
      <c r="W681" s="159">
        <v>42191</v>
      </c>
      <c r="AD681" s="145">
        <f>(N681/V681)*(((100-CD681)/100)*((100-2)/100))*100</f>
        <v>26.558</v>
      </c>
      <c r="AF681" s="248">
        <v>30.36</v>
      </c>
      <c r="AG681" s="159">
        <v>42191</v>
      </c>
      <c r="AJ681" s="249">
        <v>120</v>
      </c>
      <c r="AN681" s="250">
        <v>102</v>
      </c>
      <c r="BB681" s="257">
        <v>7</v>
      </c>
      <c r="BN681" s="251">
        <v>61.783000000000001</v>
      </c>
      <c r="BO681" s="256">
        <v>42200</v>
      </c>
      <c r="BT681" s="251">
        <v>49.222698211669922</v>
      </c>
      <c r="BU681" s="256">
        <v>42200</v>
      </c>
      <c r="BV681" s="251">
        <v>19.24810791015625</v>
      </c>
      <c r="BW681" s="256">
        <v>42200</v>
      </c>
      <c r="BX681" s="251">
        <v>15.912000000000001</v>
      </c>
      <c r="BY681" s="256">
        <v>42200</v>
      </c>
      <c r="CD681" s="253">
        <v>7.5</v>
      </c>
      <c r="CE681" s="159">
        <v>42191</v>
      </c>
      <c r="CM681" s="255">
        <v>3</v>
      </c>
      <c r="CN681" s="256">
        <v>42180</v>
      </c>
      <c r="CO681" s="140" t="s">
        <v>8447</v>
      </c>
    </row>
    <row r="682" spans="1:93" ht="15">
      <c r="A682" s="124" t="s">
        <v>7551</v>
      </c>
      <c r="B682" s="161" t="s">
        <v>7551</v>
      </c>
      <c r="C682" s="268" t="s">
        <v>267</v>
      </c>
      <c r="D682" s="243">
        <v>4</v>
      </c>
      <c r="E682" s="191">
        <v>182</v>
      </c>
      <c r="F682" s="244">
        <v>20</v>
      </c>
      <c r="G682" s="245">
        <v>17</v>
      </c>
      <c r="L682" s="254">
        <v>7</v>
      </c>
      <c r="N682" s="246">
        <v>5.45</v>
      </c>
      <c r="O682" s="159">
        <v>42191</v>
      </c>
      <c r="T682" s="247">
        <v>15</v>
      </c>
      <c r="U682" s="256">
        <v>42200</v>
      </c>
      <c r="V682" s="145">
        <v>18.5</v>
      </c>
      <c r="W682" s="159">
        <v>42191</v>
      </c>
      <c r="AD682" s="145">
        <f>(N682/V682)*(((100-CD682)/100)*((100-2)/100))*100</f>
        <v>26.560648648648648</v>
      </c>
      <c r="AF682" s="248">
        <v>30.36</v>
      </c>
      <c r="AG682" s="159">
        <v>42191</v>
      </c>
      <c r="AJ682" s="249">
        <v>125</v>
      </c>
      <c r="AN682" s="250">
        <v>102</v>
      </c>
      <c r="BB682" s="257">
        <v>7</v>
      </c>
      <c r="BN682" s="251">
        <v>61.936</v>
      </c>
      <c r="BO682" s="256">
        <v>42200</v>
      </c>
      <c r="BT682" s="251">
        <v>49.404117584228516</v>
      </c>
      <c r="BU682" s="256">
        <v>42200</v>
      </c>
      <c r="BV682" s="251">
        <v>18.434833526611328</v>
      </c>
      <c r="BW682" s="256">
        <v>42200</v>
      </c>
      <c r="BX682" s="251">
        <v>21.65</v>
      </c>
      <c r="BY682" s="256">
        <v>42200</v>
      </c>
      <c r="CD682" s="253">
        <v>8</v>
      </c>
      <c r="CE682" s="159">
        <v>42191</v>
      </c>
      <c r="CM682" s="255">
        <v>1</v>
      </c>
      <c r="CN682" s="256">
        <v>42180</v>
      </c>
      <c r="CO682" s="140" t="s">
        <v>8447</v>
      </c>
    </row>
    <row r="683" spans="1:93" ht="15">
      <c r="A683" s="124" t="s">
        <v>7524</v>
      </c>
      <c r="B683" s="161" t="s">
        <v>7524</v>
      </c>
      <c r="C683" s="268" t="s">
        <v>269</v>
      </c>
      <c r="D683" s="243">
        <v>2</v>
      </c>
      <c r="E683" s="191">
        <v>188</v>
      </c>
      <c r="F683" s="244">
        <v>10</v>
      </c>
      <c r="G683" s="245">
        <v>20</v>
      </c>
      <c r="L683" s="254">
        <v>5</v>
      </c>
      <c r="N683" s="246">
        <v>5.4</v>
      </c>
      <c r="O683" s="159">
        <v>42191</v>
      </c>
      <c r="T683" s="247">
        <v>14.61</v>
      </c>
      <c r="U683" s="256">
        <v>42200</v>
      </c>
      <c r="V683" s="145">
        <v>18.5</v>
      </c>
      <c r="W683" s="159">
        <v>42191</v>
      </c>
      <c r="AD683" s="145">
        <f>(N683/V683)*(((100-CD683)/100)*((100-2)/100))*100</f>
        <v>26.574421621621624</v>
      </c>
      <c r="AF683" s="248">
        <f>(N683/V683)*(((100-CD683)/(100-9))*100)</f>
        <v>29.798633798633805</v>
      </c>
      <c r="AG683" s="159">
        <v>42191</v>
      </c>
      <c r="AJ683" s="249">
        <v>120</v>
      </c>
      <c r="AN683" s="250">
        <v>101</v>
      </c>
      <c r="BB683" s="257">
        <v>5</v>
      </c>
      <c r="BN683" s="251">
        <v>62.707999999999998</v>
      </c>
      <c r="BO683" s="256">
        <v>42200</v>
      </c>
      <c r="BT683" s="251">
        <v>48.103683471679688</v>
      </c>
      <c r="BU683" s="256">
        <v>42200</v>
      </c>
      <c r="BV683" s="251">
        <v>19.570417404174805</v>
      </c>
      <c r="BW683" s="256">
        <v>42200</v>
      </c>
      <c r="BX683" s="251">
        <v>14.340999999999999</v>
      </c>
      <c r="BY683" s="256">
        <v>42200</v>
      </c>
      <c r="CD683" s="253">
        <v>7.1</v>
      </c>
      <c r="CE683" s="159">
        <v>42191</v>
      </c>
      <c r="CM683" s="255">
        <v>1</v>
      </c>
      <c r="CN683" s="256">
        <v>42180</v>
      </c>
      <c r="CO683" s="140" t="s">
        <v>8448</v>
      </c>
    </row>
    <row r="684" spans="1:93" ht="15">
      <c r="A684" s="124" t="s">
        <v>7594</v>
      </c>
      <c r="B684" s="161" t="s">
        <v>7452</v>
      </c>
      <c r="C684" s="268" t="s">
        <v>269</v>
      </c>
      <c r="D684" s="243">
        <v>2</v>
      </c>
      <c r="E684" s="183">
        <v>8</v>
      </c>
      <c r="F684" s="244">
        <v>9</v>
      </c>
      <c r="G684" s="245">
        <v>7</v>
      </c>
      <c r="J684" s="266"/>
      <c r="L684" s="254">
        <v>8</v>
      </c>
      <c r="N684" s="246">
        <v>5.4</v>
      </c>
      <c r="O684" s="159">
        <v>42191</v>
      </c>
      <c r="P684" s="144"/>
      <c r="R684" s="145"/>
      <c r="T684" s="247">
        <v>15.35</v>
      </c>
      <c r="U684" s="256">
        <v>42200</v>
      </c>
      <c r="V684" s="145">
        <v>18.5</v>
      </c>
      <c r="W684" s="159">
        <v>42191</v>
      </c>
      <c r="X684" s="145"/>
      <c r="Z684" s="145"/>
      <c r="AB684" s="145"/>
      <c r="AD684" s="145">
        <f>(N684/V684)*(((100-CD684)/100)*((100-2)/100))*100</f>
        <v>26.631632432432433</v>
      </c>
      <c r="AF684" s="248">
        <v>30.44</v>
      </c>
      <c r="AG684" s="159">
        <v>42191</v>
      </c>
      <c r="AJ684" s="249">
        <v>165</v>
      </c>
      <c r="AL684" s="145"/>
      <c r="AN684" s="250">
        <v>108</v>
      </c>
      <c r="BB684" s="257">
        <v>9</v>
      </c>
      <c r="BN684" s="251">
        <v>65.247</v>
      </c>
      <c r="BO684" s="256">
        <v>42200</v>
      </c>
      <c r="BT684" s="251">
        <v>50.431316375732422</v>
      </c>
      <c r="BU684" s="256">
        <v>42200</v>
      </c>
      <c r="BV684" s="251">
        <v>19.871225357055664</v>
      </c>
      <c r="BW684" s="256">
        <v>42200</v>
      </c>
      <c r="BX684" s="251">
        <v>54.360999999999997</v>
      </c>
      <c r="BY684" s="256">
        <v>42200</v>
      </c>
      <c r="CD684" s="253">
        <v>6.9</v>
      </c>
      <c r="CE684" s="159">
        <v>42191</v>
      </c>
      <c r="CM684" s="255">
        <v>3</v>
      </c>
      <c r="CN684" s="256">
        <v>42180</v>
      </c>
      <c r="CO684" s="140" t="s">
        <v>8448</v>
      </c>
    </row>
    <row r="685" spans="1:93" ht="15">
      <c r="A685" s="124" t="s">
        <v>7762</v>
      </c>
      <c r="B685" s="161" t="s">
        <v>7582</v>
      </c>
      <c r="C685" s="268" t="s">
        <v>267</v>
      </c>
      <c r="D685" s="243">
        <v>4</v>
      </c>
      <c r="E685" s="183">
        <v>176</v>
      </c>
      <c r="F685" s="244">
        <v>23</v>
      </c>
      <c r="G685" s="245">
        <v>16</v>
      </c>
      <c r="L685" s="254">
        <v>8</v>
      </c>
      <c r="N685" s="246">
        <v>5.46</v>
      </c>
      <c r="O685" s="159">
        <v>42191</v>
      </c>
      <c r="T685" s="247">
        <v>15.54</v>
      </c>
      <c r="U685" s="256">
        <v>42200</v>
      </c>
      <c r="V685" s="145">
        <v>18.5</v>
      </c>
      <c r="W685" s="159">
        <v>42191</v>
      </c>
      <c r="AD685" s="145">
        <f>(N685/V685)*(((100-CD685)/100)*((100-2)/100))*100</f>
        <v>26.638307027027025</v>
      </c>
      <c r="AF685" s="248">
        <v>30.45</v>
      </c>
      <c r="AG685" s="159">
        <v>42191</v>
      </c>
      <c r="AJ685" s="249">
        <v>130</v>
      </c>
      <c r="AN685" s="250">
        <v>102</v>
      </c>
      <c r="BB685" s="257">
        <v>9</v>
      </c>
      <c r="BN685" s="251">
        <v>64.106999999999999</v>
      </c>
      <c r="BO685" s="256">
        <v>42200</v>
      </c>
      <c r="BT685" s="251">
        <v>51.019943237304688</v>
      </c>
      <c r="BU685" s="256">
        <v>42200</v>
      </c>
      <c r="BV685" s="251">
        <v>16.788986206054687</v>
      </c>
      <c r="BW685" s="256">
        <v>42200</v>
      </c>
      <c r="BX685" s="251">
        <v>16.803999999999998</v>
      </c>
      <c r="BY685" s="256">
        <v>42200</v>
      </c>
      <c r="CD685" s="253">
        <v>7.9</v>
      </c>
      <c r="CE685" s="159">
        <v>42191</v>
      </c>
      <c r="CM685" s="255">
        <v>1</v>
      </c>
      <c r="CN685" s="256">
        <v>42180</v>
      </c>
      <c r="CO685" s="140" t="s">
        <v>8447</v>
      </c>
    </row>
    <row r="686" spans="1:93" ht="15">
      <c r="A686" s="124" t="s">
        <v>7641</v>
      </c>
      <c r="B686" s="161" t="s">
        <v>7493</v>
      </c>
      <c r="C686" s="268" t="s">
        <v>267</v>
      </c>
      <c r="D686" s="243">
        <v>3</v>
      </c>
      <c r="E686" s="183">
        <v>55</v>
      </c>
      <c r="F686" s="244">
        <v>18</v>
      </c>
      <c r="G686" s="245">
        <v>7</v>
      </c>
      <c r="L686" s="254">
        <v>9</v>
      </c>
      <c r="N686" s="246">
        <v>5.49</v>
      </c>
      <c r="O686" s="159">
        <v>42191</v>
      </c>
      <c r="T686" s="247">
        <v>15.71</v>
      </c>
      <c r="U686" s="256">
        <v>42200</v>
      </c>
      <c r="V686" s="145">
        <v>18.5</v>
      </c>
      <c r="W686" s="159">
        <v>42191</v>
      </c>
      <c r="AD686" s="145">
        <f>(N686/V686)*(((100-CD686)/100)*((100-2)/100))*100</f>
        <v>26.639260540540537</v>
      </c>
      <c r="AF686" s="248">
        <f>(N686/V686)*(((100-CD686)/(100-9))*100)</f>
        <v>29.871339471339471</v>
      </c>
      <c r="AG686" s="159">
        <v>42191</v>
      </c>
      <c r="AJ686" s="249">
        <v>115</v>
      </c>
      <c r="AN686" s="250">
        <v>106</v>
      </c>
      <c r="BB686" s="257">
        <v>7</v>
      </c>
      <c r="BN686" s="251">
        <v>64.725999999999999</v>
      </c>
      <c r="BO686" s="256">
        <v>42200</v>
      </c>
      <c r="BT686" s="251">
        <v>51.597129821777344</v>
      </c>
      <c r="BU686" s="256">
        <v>42200</v>
      </c>
      <c r="BV686" s="251">
        <v>17.141046524047852</v>
      </c>
      <c r="BW686" s="256">
        <v>42200</v>
      </c>
      <c r="BX686" s="251">
        <v>16.236999999999998</v>
      </c>
      <c r="BY686" s="256">
        <v>42200</v>
      </c>
      <c r="CD686" s="253">
        <v>8.4</v>
      </c>
      <c r="CE686" s="159">
        <v>42191</v>
      </c>
      <c r="CM686" s="255">
        <v>1</v>
      </c>
      <c r="CN686" s="256">
        <v>42180</v>
      </c>
      <c r="CO686" s="140" t="s">
        <v>8447</v>
      </c>
    </row>
    <row r="687" spans="1:93" ht="15">
      <c r="A687" s="124" t="s">
        <v>7613</v>
      </c>
      <c r="B687" s="161" t="s">
        <v>7773</v>
      </c>
      <c r="C687" s="268" t="s">
        <v>269</v>
      </c>
      <c r="D687" s="243">
        <v>2</v>
      </c>
      <c r="E687" s="183">
        <v>27</v>
      </c>
      <c r="F687" s="244">
        <v>10</v>
      </c>
      <c r="G687" s="245">
        <v>8</v>
      </c>
      <c r="L687" s="254">
        <v>7</v>
      </c>
      <c r="N687" s="246">
        <v>5.39</v>
      </c>
      <c r="O687" s="159">
        <v>42191</v>
      </c>
      <c r="T687" s="247">
        <v>15.54</v>
      </c>
      <c r="U687" s="256">
        <v>42200</v>
      </c>
      <c r="V687" s="145">
        <v>18.5</v>
      </c>
      <c r="W687" s="159">
        <v>42191</v>
      </c>
      <c r="AD687" s="145">
        <f>(N687/V687)*(((100-CD687)/100)*((100-2)/100))*100</f>
        <v>26.639419459459457</v>
      </c>
      <c r="AF687" s="248">
        <f>(N687/V687)*(((100-CD687)/(100-9))*100)</f>
        <v>29.871517671517669</v>
      </c>
      <c r="AG687" s="159">
        <v>42191</v>
      </c>
      <c r="AJ687" s="249">
        <v>130</v>
      </c>
      <c r="AN687" s="250">
        <v>101</v>
      </c>
      <c r="BB687" s="257">
        <v>7</v>
      </c>
      <c r="BN687" s="251">
        <v>63.430999999999997</v>
      </c>
      <c r="BO687" s="256">
        <v>42200</v>
      </c>
      <c r="BT687" s="251">
        <v>51.044281005859375</v>
      </c>
      <c r="BU687" s="256">
        <v>42200</v>
      </c>
      <c r="BV687" s="251">
        <v>17.634788513183594</v>
      </c>
      <c r="BW687" s="256">
        <v>42200</v>
      </c>
      <c r="BX687" s="251">
        <v>50.396999999999998</v>
      </c>
      <c r="BY687" s="256">
        <v>42200</v>
      </c>
      <c r="CD687" s="253">
        <v>6.7</v>
      </c>
      <c r="CE687" s="159">
        <v>42191</v>
      </c>
      <c r="CM687" s="255">
        <v>1</v>
      </c>
      <c r="CN687" s="256">
        <v>42180</v>
      </c>
      <c r="CO687" s="140" t="s">
        <v>8448</v>
      </c>
    </row>
    <row r="688" spans="1:93" ht="15">
      <c r="A688" s="124" t="s">
        <v>7677</v>
      </c>
      <c r="B688" s="161" t="s">
        <v>7775</v>
      </c>
      <c r="C688" s="268" t="s">
        <v>269</v>
      </c>
      <c r="D688" s="243">
        <v>1</v>
      </c>
      <c r="E688" s="183">
        <v>91</v>
      </c>
      <c r="F688" s="244">
        <v>2</v>
      </c>
      <c r="G688" s="245">
        <v>9</v>
      </c>
      <c r="L688" s="254">
        <v>5</v>
      </c>
      <c r="N688" s="246">
        <v>5.42</v>
      </c>
      <c r="O688" s="159">
        <v>42191</v>
      </c>
      <c r="T688" s="247">
        <v>14.13</v>
      </c>
      <c r="U688" s="256">
        <v>42200</v>
      </c>
      <c r="V688" s="145">
        <v>18.5</v>
      </c>
      <c r="W688" s="159">
        <v>42191</v>
      </c>
      <c r="AD688" s="145">
        <f>(N688/V688)*(((100-CD688)/100)*((100-2)/100))*100</f>
        <v>26.644134054054053</v>
      </c>
      <c r="AF688" s="248">
        <f>(N688/V688)*(((100-CD688)/(100-9))*100)</f>
        <v>29.876804276804275</v>
      </c>
      <c r="AG688" s="159">
        <v>42191</v>
      </c>
      <c r="AJ688" s="249">
        <v>155</v>
      </c>
      <c r="AN688" s="250">
        <v>100</v>
      </c>
      <c r="BB688" s="257">
        <v>5</v>
      </c>
      <c r="BN688" s="251">
        <v>60.064</v>
      </c>
      <c r="BO688" s="256">
        <v>42200</v>
      </c>
      <c r="BT688" s="251">
        <v>46.398880004882812</v>
      </c>
      <c r="BU688" s="256">
        <v>42200</v>
      </c>
      <c r="BV688" s="251">
        <v>18.576961517333984</v>
      </c>
      <c r="BW688" s="256">
        <v>42200</v>
      </c>
      <c r="BX688" s="251">
        <v>21.629000000000001</v>
      </c>
      <c r="BY688" s="256">
        <v>42200</v>
      </c>
      <c r="CD688" s="253">
        <v>7.2</v>
      </c>
      <c r="CE688" s="159">
        <v>42191</v>
      </c>
      <c r="CM688" s="255">
        <v>1</v>
      </c>
      <c r="CN688" s="256">
        <v>42180</v>
      </c>
      <c r="CO688" s="140" t="s">
        <v>8447</v>
      </c>
    </row>
    <row r="689" spans="1:93" ht="15">
      <c r="A689" s="124" t="s">
        <v>7719</v>
      </c>
      <c r="B689" s="161" t="s">
        <v>7786</v>
      </c>
      <c r="C689" s="268" t="s">
        <v>267</v>
      </c>
      <c r="D689" s="243">
        <v>3</v>
      </c>
      <c r="E689" s="183">
        <v>133</v>
      </c>
      <c r="F689" s="244">
        <v>18</v>
      </c>
      <c r="G689" s="245">
        <v>23</v>
      </c>
      <c r="L689" s="254">
        <v>9</v>
      </c>
      <c r="N689" s="246">
        <v>5.43</v>
      </c>
      <c r="O689" s="159">
        <v>42191</v>
      </c>
      <c r="T689" s="247">
        <v>14.82</v>
      </c>
      <c r="U689" s="256">
        <v>42200</v>
      </c>
      <c r="V689" s="145">
        <v>18.5</v>
      </c>
      <c r="W689" s="159">
        <v>42191</v>
      </c>
      <c r="AD689" s="145">
        <f>(N689/V689)*(((100-CD689)/100)*((100-2)/100))*100</f>
        <v>26.664528648648648</v>
      </c>
      <c r="AF689" s="248">
        <f>(N689/V689)*(((100-CD689)/(100-9))*100)</f>
        <v>29.899673299673296</v>
      </c>
      <c r="AG689" s="159">
        <v>42191</v>
      </c>
      <c r="AJ689" s="249">
        <v>110</v>
      </c>
      <c r="AN689" s="250">
        <v>100</v>
      </c>
      <c r="BB689" s="257">
        <v>7</v>
      </c>
      <c r="BN689" s="251">
        <v>62.869</v>
      </c>
      <c r="BO689" s="256">
        <v>42200</v>
      </c>
      <c r="BT689" s="251">
        <v>48.60986328125</v>
      </c>
      <c r="BU689" s="256">
        <v>42200</v>
      </c>
      <c r="BV689" s="251">
        <v>18.991735458374023</v>
      </c>
      <c r="BW689" s="256">
        <v>42200</v>
      </c>
      <c r="BX689" s="251">
        <v>17.422999999999998</v>
      </c>
      <c r="BY689" s="256">
        <v>42200</v>
      </c>
      <c r="CD689" s="253">
        <v>7.3</v>
      </c>
      <c r="CE689" s="159">
        <v>42191</v>
      </c>
      <c r="CM689" s="255">
        <v>1</v>
      </c>
      <c r="CN689" s="256">
        <v>42180</v>
      </c>
      <c r="CO689" s="140" t="s">
        <v>8447</v>
      </c>
    </row>
    <row r="690" spans="1:93" ht="15">
      <c r="A690" s="124" t="s">
        <v>7659</v>
      </c>
      <c r="B690" s="161" t="s">
        <v>7508</v>
      </c>
      <c r="C690" s="268" t="s">
        <v>267</v>
      </c>
      <c r="D690" s="243">
        <v>3</v>
      </c>
      <c r="E690" s="183">
        <v>73</v>
      </c>
      <c r="F690" s="244">
        <v>15</v>
      </c>
      <c r="G690" s="245">
        <v>32</v>
      </c>
      <c r="L690" s="254">
        <v>9</v>
      </c>
      <c r="N690" s="246">
        <v>5.42</v>
      </c>
      <c r="O690" s="159">
        <v>42191</v>
      </c>
      <c r="T690" s="247">
        <v>15.99</v>
      </c>
      <c r="U690" s="256">
        <v>42200</v>
      </c>
      <c r="V690" s="145">
        <v>18.5</v>
      </c>
      <c r="W690" s="159">
        <v>42191</v>
      </c>
      <c r="AD690" s="145">
        <f>(N690/V690)*(((100-CD690)/100)*((100-2)/100))*100</f>
        <v>26.758979459459464</v>
      </c>
      <c r="AF690" s="248">
        <f>(N690/V690)*(((100-CD690)/(100-9))*100)</f>
        <v>30.005583605583613</v>
      </c>
      <c r="AG690" s="159">
        <v>42191</v>
      </c>
      <c r="AJ690" s="249">
        <v>140</v>
      </c>
      <c r="AN690" s="250">
        <v>106</v>
      </c>
      <c r="BB690" s="257">
        <v>9</v>
      </c>
      <c r="BN690" s="251">
        <v>68.465999999999994</v>
      </c>
      <c r="BO690" s="256">
        <v>42200</v>
      </c>
      <c r="BT690" s="251">
        <v>52.255821228027344</v>
      </c>
      <c r="BU690" s="256">
        <v>42200</v>
      </c>
      <c r="BV690" s="251">
        <v>17.66265869140625</v>
      </c>
      <c r="BW690" s="256">
        <v>42200</v>
      </c>
      <c r="BX690" s="251">
        <v>13.984</v>
      </c>
      <c r="BY690" s="256">
        <v>42200</v>
      </c>
      <c r="CD690" s="253">
        <v>6.8</v>
      </c>
      <c r="CE690" s="159">
        <v>42191</v>
      </c>
      <c r="CM690" s="255">
        <v>1</v>
      </c>
      <c r="CN690" s="256">
        <v>42180</v>
      </c>
      <c r="CO690" s="140" t="s">
        <v>8447</v>
      </c>
    </row>
    <row r="691" spans="1:93" ht="15">
      <c r="A691" s="124" t="s">
        <v>7643</v>
      </c>
      <c r="B691" s="161" t="s">
        <v>7495</v>
      </c>
      <c r="C691" s="268" t="s">
        <v>269</v>
      </c>
      <c r="D691" s="243">
        <v>1</v>
      </c>
      <c r="E691" s="183">
        <v>57</v>
      </c>
      <c r="F691" s="244">
        <v>4</v>
      </c>
      <c r="G691" s="245">
        <v>14</v>
      </c>
      <c r="L691" s="254">
        <v>7</v>
      </c>
      <c r="N691" s="246">
        <v>5.44</v>
      </c>
      <c r="O691" s="159">
        <v>42191</v>
      </c>
      <c r="T691" s="247">
        <v>15.96</v>
      </c>
      <c r="U691" s="256">
        <v>42200</v>
      </c>
      <c r="V691" s="145">
        <v>18.5</v>
      </c>
      <c r="W691" s="159">
        <v>42191</v>
      </c>
      <c r="AD691" s="145">
        <f>(N691/V691)*(((100-CD691)/100)*((100-2)/100))*100</f>
        <v>26.771269189189191</v>
      </c>
      <c r="AF691" s="248">
        <v>30.6</v>
      </c>
      <c r="AG691" s="159">
        <v>42191</v>
      </c>
      <c r="AJ691" s="249">
        <v>150</v>
      </c>
      <c r="AN691" s="250">
        <v>106</v>
      </c>
      <c r="BB691" s="257">
        <v>7</v>
      </c>
      <c r="BN691" s="251">
        <v>65.584000000000003</v>
      </c>
      <c r="BO691" s="256">
        <v>42200</v>
      </c>
      <c r="BT691" s="251">
        <v>52.161537170410156</v>
      </c>
      <c r="BU691" s="256">
        <v>42200</v>
      </c>
      <c r="BV691" s="251">
        <v>16.901344299316406</v>
      </c>
      <c r="BW691" s="256">
        <v>42200</v>
      </c>
      <c r="BX691" s="251">
        <v>18.585999999999999</v>
      </c>
      <c r="BY691" s="256">
        <v>42200</v>
      </c>
      <c r="CD691" s="253">
        <v>7.1</v>
      </c>
      <c r="CE691" s="159">
        <v>42191</v>
      </c>
      <c r="CM691" s="255">
        <v>3</v>
      </c>
      <c r="CN691" s="256">
        <v>42180</v>
      </c>
      <c r="CO691" s="140" t="s">
        <v>8447</v>
      </c>
    </row>
    <row r="692" spans="1:93" ht="15">
      <c r="A692" s="124" t="s">
        <v>7761</v>
      </c>
      <c r="B692" s="161" t="s">
        <v>8313</v>
      </c>
      <c r="C692" s="268" t="s">
        <v>267</v>
      </c>
      <c r="D692" s="243">
        <v>3</v>
      </c>
      <c r="E692" s="183">
        <v>175</v>
      </c>
      <c r="F692" s="244">
        <v>16</v>
      </c>
      <c r="G692" s="245">
        <v>21</v>
      </c>
      <c r="L692" s="254">
        <v>3</v>
      </c>
      <c r="N692" s="246">
        <v>5.48</v>
      </c>
      <c r="O692" s="159">
        <v>42191</v>
      </c>
      <c r="T692" s="247">
        <v>15.19</v>
      </c>
      <c r="U692" s="256">
        <v>42200</v>
      </c>
      <c r="V692" s="145">
        <v>18.5</v>
      </c>
      <c r="W692" s="159">
        <v>42191</v>
      </c>
      <c r="AD692" s="145">
        <f>(N692/V692)*(((100-CD692)/100)*((100-2)/100))*100</f>
        <v>26.79394162162162</v>
      </c>
      <c r="AF692" s="248">
        <v>30.63</v>
      </c>
      <c r="AG692" s="159">
        <v>42191</v>
      </c>
      <c r="AJ692" s="249">
        <v>115</v>
      </c>
      <c r="AN692" s="250">
        <v>105</v>
      </c>
      <c r="BB692" s="257">
        <v>9</v>
      </c>
      <c r="BN692" s="251">
        <v>62.97</v>
      </c>
      <c r="BO692" s="256">
        <v>42200</v>
      </c>
      <c r="BT692" s="251">
        <v>49.591415405273438</v>
      </c>
      <c r="BU692" s="256">
        <v>42200</v>
      </c>
      <c r="BV692" s="251">
        <v>17.470394134521484</v>
      </c>
      <c r="BW692" s="256">
        <v>42200</v>
      </c>
      <c r="BX692" s="251">
        <v>22.154</v>
      </c>
      <c r="BY692" s="256">
        <v>42200</v>
      </c>
      <c r="CD692" s="253">
        <v>7.7</v>
      </c>
      <c r="CE692" s="159">
        <v>42191</v>
      </c>
      <c r="CM692" s="255">
        <v>3</v>
      </c>
      <c r="CN692" s="256">
        <v>42180</v>
      </c>
      <c r="CO692" s="140" t="s">
        <v>8447</v>
      </c>
    </row>
    <row r="693" spans="1:93" ht="15">
      <c r="A693" s="124" t="s">
        <v>7725</v>
      </c>
      <c r="B693" s="161" t="s">
        <v>7791</v>
      </c>
      <c r="C693" s="268" t="s">
        <v>267</v>
      </c>
      <c r="D693" s="243">
        <v>4</v>
      </c>
      <c r="E693" s="183">
        <v>139</v>
      </c>
      <c r="F693" s="244">
        <v>23</v>
      </c>
      <c r="G693" s="245">
        <v>22</v>
      </c>
      <c r="L693" s="254">
        <v>5</v>
      </c>
      <c r="N693" s="246">
        <v>5.5</v>
      </c>
      <c r="O693" s="159">
        <v>42191</v>
      </c>
      <c r="T693" s="247">
        <v>15.47</v>
      </c>
      <c r="U693" s="256">
        <v>42200</v>
      </c>
      <c r="V693" s="145">
        <v>18.5</v>
      </c>
      <c r="W693" s="159">
        <v>42191</v>
      </c>
      <c r="AD693" s="145">
        <f>(N693/V693)*(((100-CD693)/100)*((100-2)/100))*100</f>
        <v>26.833459459459458</v>
      </c>
      <c r="AF693" s="248">
        <f>(N693/V693)*(((100-CD693)/(100-9))*100)</f>
        <v>30.089100089100093</v>
      </c>
      <c r="AG693" s="159">
        <v>42191</v>
      </c>
      <c r="AJ693" s="249">
        <v>125</v>
      </c>
      <c r="AN693" s="250">
        <v>105</v>
      </c>
      <c r="BB693" s="257">
        <v>9</v>
      </c>
      <c r="BN693" s="251">
        <v>64.963999999999999</v>
      </c>
      <c r="BO693" s="256">
        <v>42200</v>
      </c>
      <c r="BT693" s="251">
        <v>50.454433441162109</v>
      </c>
      <c r="BU693" s="256">
        <v>42200</v>
      </c>
      <c r="BV693" s="251">
        <v>17.155826568603516</v>
      </c>
      <c r="BW693" s="256">
        <v>42200</v>
      </c>
      <c r="BX693" s="251">
        <v>20.215</v>
      </c>
      <c r="BY693" s="256">
        <v>42200</v>
      </c>
      <c r="CD693" s="253">
        <v>7.9</v>
      </c>
      <c r="CE693" s="159">
        <v>42191</v>
      </c>
      <c r="CM693" s="255">
        <v>1</v>
      </c>
      <c r="CN693" s="256">
        <v>42180</v>
      </c>
      <c r="CO693" s="140" t="s">
        <v>8447</v>
      </c>
    </row>
    <row r="694" spans="1:93" ht="15">
      <c r="A694" s="124" t="s">
        <v>7666</v>
      </c>
      <c r="B694" s="161" t="s">
        <v>7515</v>
      </c>
      <c r="C694" s="268" t="s">
        <v>269</v>
      </c>
      <c r="D694" s="243">
        <v>1</v>
      </c>
      <c r="E694" s="183">
        <v>80</v>
      </c>
      <c r="F694" s="244">
        <v>5</v>
      </c>
      <c r="G694" s="245">
        <v>7</v>
      </c>
      <c r="L694" s="254">
        <v>9</v>
      </c>
      <c r="N694" s="246">
        <v>5.47</v>
      </c>
      <c r="O694" s="159">
        <v>42191</v>
      </c>
      <c r="T694" s="247">
        <v>14.78</v>
      </c>
      <c r="U694" s="256">
        <v>42200</v>
      </c>
      <c r="V694" s="145">
        <v>18.5</v>
      </c>
      <c r="W694" s="159">
        <v>42191</v>
      </c>
      <c r="AD694" s="145">
        <f>(N694/V694)*(((100-CD694)/100)*((100-2)/100))*100</f>
        <v>26.889928648648642</v>
      </c>
      <c r="AF694" s="248">
        <f>(N694/V694)*(((100-CD694)/(100-9))*100)</f>
        <v>30.152420552420548</v>
      </c>
      <c r="AG694" s="159">
        <v>42191</v>
      </c>
      <c r="AJ694" s="249">
        <v>155</v>
      </c>
      <c r="AN694" s="250">
        <v>108</v>
      </c>
      <c r="BB694" s="257">
        <v>9</v>
      </c>
      <c r="BN694" s="251">
        <v>62.042000000000002</v>
      </c>
      <c r="BO694" s="256">
        <v>42200</v>
      </c>
      <c r="BT694" s="251">
        <v>48.093399047851563</v>
      </c>
      <c r="BU694" s="256">
        <v>42200</v>
      </c>
      <c r="BV694" s="251">
        <v>17.809738159179688</v>
      </c>
      <c r="BW694" s="256">
        <v>42200</v>
      </c>
      <c r="BX694" s="251">
        <v>20.204000000000001</v>
      </c>
      <c r="BY694" s="256">
        <v>42200</v>
      </c>
      <c r="CD694" s="253">
        <v>7.2</v>
      </c>
      <c r="CE694" s="159">
        <v>42191</v>
      </c>
      <c r="CM694" s="255">
        <v>1</v>
      </c>
      <c r="CN694" s="256">
        <v>42180</v>
      </c>
      <c r="CO694" s="140" t="s">
        <v>8447</v>
      </c>
    </row>
    <row r="695" spans="1:93" ht="15">
      <c r="A695" s="124" t="s">
        <v>7667</v>
      </c>
      <c r="B695" s="161" t="s">
        <v>7516</v>
      </c>
      <c r="C695" s="268" t="s">
        <v>269</v>
      </c>
      <c r="D695" s="243">
        <v>2</v>
      </c>
      <c r="E695" s="183">
        <v>81</v>
      </c>
      <c r="F695" s="244">
        <v>9</v>
      </c>
      <c r="G695" s="245">
        <v>1</v>
      </c>
      <c r="L695" s="254">
        <v>7</v>
      </c>
      <c r="N695" s="246">
        <v>5.48</v>
      </c>
      <c r="O695" s="159">
        <v>42191</v>
      </c>
      <c r="T695" s="247">
        <v>15.62</v>
      </c>
      <c r="U695" s="256">
        <v>42200</v>
      </c>
      <c r="V695" s="145">
        <v>18.5</v>
      </c>
      <c r="W695" s="159">
        <v>42191</v>
      </c>
      <c r="AD695" s="145">
        <f>(N695/V695)*(((100-CD695)/100)*((100-2)/100))*100</f>
        <v>27.026175135135137</v>
      </c>
      <c r="AF695" s="248">
        <v>30.89</v>
      </c>
      <c r="AG695" s="159">
        <v>42191</v>
      </c>
      <c r="AJ695" s="249">
        <v>145</v>
      </c>
      <c r="AN695" s="250">
        <v>101</v>
      </c>
      <c r="BB695" s="257">
        <v>5</v>
      </c>
      <c r="BN695" s="251">
        <v>66.185000000000002</v>
      </c>
      <c r="BO695" s="256">
        <v>42200</v>
      </c>
      <c r="BT695" s="251">
        <v>50.570346832275391</v>
      </c>
      <c r="BU695" s="256">
        <v>42200</v>
      </c>
      <c r="BV695" s="251">
        <v>19.132112503051758</v>
      </c>
      <c r="BW695" s="256">
        <v>42200</v>
      </c>
      <c r="BX695" s="251">
        <v>13.926</v>
      </c>
      <c r="BY695" s="256">
        <v>42200</v>
      </c>
      <c r="CD695" s="253">
        <v>6.9</v>
      </c>
      <c r="CE695" s="159">
        <v>42191</v>
      </c>
      <c r="CM695" s="255">
        <v>3</v>
      </c>
      <c r="CN695" s="256">
        <v>42180</v>
      </c>
      <c r="CO695" s="140" t="s">
        <v>8448</v>
      </c>
    </row>
    <row r="696" spans="1:93" ht="15">
      <c r="A696" s="124" t="s">
        <v>7659</v>
      </c>
      <c r="B696" s="161" t="s">
        <v>7508</v>
      </c>
      <c r="C696" s="268" t="s">
        <v>269</v>
      </c>
      <c r="D696" s="243">
        <v>1</v>
      </c>
      <c r="E696" s="183">
        <v>73</v>
      </c>
      <c r="F696" s="244">
        <v>3</v>
      </c>
      <c r="G696" s="245">
        <v>15</v>
      </c>
      <c r="L696" s="254">
        <v>8</v>
      </c>
      <c r="N696" s="246">
        <v>5.5</v>
      </c>
      <c r="O696" s="159">
        <v>42191</v>
      </c>
      <c r="T696" s="247">
        <v>16.02</v>
      </c>
      <c r="U696" s="256">
        <v>42200</v>
      </c>
      <c r="V696" s="145">
        <v>18.5</v>
      </c>
      <c r="W696" s="159">
        <v>42191</v>
      </c>
      <c r="AD696" s="145">
        <f>(N696/V696)*(((100-CD696)/100)*((100-2)/100))*100</f>
        <v>27.037405405405408</v>
      </c>
      <c r="AF696" s="248">
        <f>(N696/V696)*(((100-CD696)/(100-9))*100)</f>
        <v>30.317790317790319</v>
      </c>
      <c r="AG696" s="159">
        <v>42191</v>
      </c>
      <c r="AJ696" s="249">
        <v>160</v>
      </c>
      <c r="AN696" s="250">
        <v>106</v>
      </c>
      <c r="BB696" s="257">
        <v>7</v>
      </c>
      <c r="BN696" s="251">
        <v>67.704999999999998</v>
      </c>
      <c r="BO696" s="256">
        <v>42200</v>
      </c>
      <c r="BT696" s="251">
        <v>51.828224182128906</v>
      </c>
      <c r="BU696" s="256">
        <v>42200</v>
      </c>
      <c r="BV696" s="251">
        <v>16.720754623413086</v>
      </c>
      <c r="BW696" s="256">
        <v>42200</v>
      </c>
      <c r="BX696" s="251">
        <v>14.625</v>
      </c>
      <c r="BY696" s="256">
        <v>42200</v>
      </c>
      <c r="CD696" s="253">
        <v>7.2</v>
      </c>
      <c r="CE696" s="159">
        <v>42191</v>
      </c>
      <c r="CM696" s="255">
        <v>1</v>
      </c>
      <c r="CN696" s="256">
        <v>42180</v>
      </c>
      <c r="CO696" s="140" t="s">
        <v>8447</v>
      </c>
    </row>
    <row r="697" spans="1:93" ht="15">
      <c r="A697" s="124" t="s">
        <v>7696</v>
      </c>
      <c r="B697" s="161" t="s">
        <v>7542</v>
      </c>
      <c r="C697" s="268" t="s">
        <v>267</v>
      </c>
      <c r="D697" s="243">
        <v>4</v>
      </c>
      <c r="E697" s="183">
        <v>110</v>
      </c>
      <c r="F697" s="244">
        <v>20</v>
      </c>
      <c r="G697" s="245">
        <v>23</v>
      </c>
      <c r="L697" s="254">
        <v>8</v>
      </c>
      <c r="N697" s="246">
        <v>5.53</v>
      </c>
      <c r="O697" s="159">
        <v>42191</v>
      </c>
      <c r="T697" s="247">
        <v>15.48</v>
      </c>
      <c r="U697" s="256">
        <v>42200</v>
      </c>
      <c r="V697" s="145">
        <v>18.5</v>
      </c>
      <c r="W697" s="159">
        <v>42191</v>
      </c>
      <c r="AD697" s="145">
        <f>(N697/V697)*(((100-CD697)/100)*((100-2)/100))*100</f>
        <v>27.067705945945946</v>
      </c>
      <c r="AF697" s="248">
        <v>30.94</v>
      </c>
      <c r="AG697" s="159">
        <v>42191</v>
      </c>
      <c r="AJ697" s="249">
        <v>110</v>
      </c>
      <c r="AN697" s="250">
        <v>102</v>
      </c>
      <c r="BB697" s="257">
        <v>7</v>
      </c>
      <c r="BN697" s="251">
        <v>62.006999999999998</v>
      </c>
      <c r="BO697" s="256">
        <v>42200</v>
      </c>
      <c r="BT697" s="251">
        <v>50.018386840820313</v>
      </c>
      <c r="BU697" s="256">
        <v>42200</v>
      </c>
      <c r="BV697" s="251">
        <v>17.461223602294922</v>
      </c>
      <c r="BW697" s="256">
        <v>42200</v>
      </c>
      <c r="BX697" s="251">
        <v>20.015999999999998</v>
      </c>
      <c r="BY697" s="256">
        <v>42200</v>
      </c>
      <c r="CD697" s="253">
        <v>7.6</v>
      </c>
      <c r="CE697" s="159">
        <v>42191</v>
      </c>
      <c r="CM697" s="255">
        <v>3</v>
      </c>
      <c r="CN697" s="256">
        <v>42180</v>
      </c>
      <c r="CO697" s="140" t="s">
        <v>8447</v>
      </c>
    </row>
    <row r="698" spans="1:93" ht="15">
      <c r="A698" s="124" t="s">
        <v>7756</v>
      </c>
      <c r="B698" s="161" t="s">
        <v>7580</v>
      </c>
      <c r="C698" s="268" t="s">
        <v>267</v>
      </c>
      <c r="D698" s="243">
        <v>4</v>
      </c>
      <c r="E698" s="183">
        <v>170</v>
      </c>
      <c r="F698" s="244">
        <v>19</v>
      </c>
      <c r="G698" s="245">
        <v>24</v>
      </c>
      <c r="L698" s="254">
        <v>9</v>
      </c>
      <c r="N698" s="246">
        <v>5.53</v>
      </c>
      <c r="O698" s="159">
        <v>42191</v>
      </c>
      <c r="T698" s="247">
        <v>15.69</v>
      </c>
      <c r="U698" s="256">
        <v>42200</v>
      </c>
      <c r="V698" s="145">
        <v>18.5</v>
      </c>
      <c r="W698" s="159">
        <v>42191</v>
      </c>
      <c r="AD698" s="145">
        <f>(N698/V698)*(((100-CD698)/100)*((100-2)/100))*100</f>
        <v>27.067705945945946</v>
      </c>
      <c r="AF698" s="248">
        <v>30.94</v>
      </c>
      <c r="AG698" s="159">
        <v>42191</v>
      </c>
      <c r="AJ698" s="249">
        <v>120</v>
      </c>
      <c r="AN698" s="250">
        <v>100</v>
      </c>
      <c r="BB698" s="257">
        <v>7</v>
      </c>
      <c r="BN698" s="251">
        <v>64.064999999999998</v>
      </c>
      <c r="BO698" s="256">
        <v>42200</v>
      </c>
      <c r="BT698" s="251">
        <v>50.711929321289062</v>
      </c>
      <c r="BU698" s="256">
        <v>42200</v>
      </c>
      <c r="BV698" s="251">
        <v>17.924381256103516</v>
      </c>
      <c r="BW698" s="256">
        <v>42200</v>
      </c>
      <c r="BX698" s="251">
        <v>12.637</v>
      </c>
      <c r="BY698" s="256">
        <v>42200</v>
      </c>
      <c r="CD698" s="253">
        <v>7.6</v>
      </c>
      <c r="CE698" s="159">
        <v>42191</v>
      </c>
      <c r="CM698" s="255">
        <v>3</v>
      </c>
      <c r="CN698" s="256">
        <v>42180</v>
      </c>
      <c r="CO698" s="140" t="s">
        <v>8447</v>
      </c>
    </row>
    <row r="699" spans="1:93" ht="15">
      <c r="A699" s="124" t="s">
        <v>7701</v>
      </c>
      <c r="B699" s="161" t="s">
        <v>7547</v>
      </c>
      <c r="C699" s="268" t="s">
        <v>269</v>
      </c>
      <c r="D699" s="243">
        <v>2</v>
      </c>
      <c r="E699" s="183">
        <v>115</v>
      </c>
      <c r="F699" s="244">
        <v>12</v>
      </c>
      <c r="G699" s="245">
        <v>19</v>
      </c>
      <c r="L699" s="254">
        <v>9</v>
      </c>
      <c r="N699" s="246">
        <v>5.49</v>
      </c>
      <c r="O699" s="159">
        <v>42191</v>
      </c>
      <c r="T699" s="247">
        <v>15.46</v>
      </c>
      <c r="U699" s="256">
        <v>42200</v>
      </c>
      <c r="V699" s="145">
        <v>18.5</v>
      </c>
      <c r="W699" s="159">
        <v>42191</v>
      </c>
      <c r="AD699" s="145">
        <f>(N699/V699)*(((100-CD699)/100)*((100-2)/100))*100</f>
        <v>27.104575135135139</v>
      </c>
      <c r="AF699" s="248">
        <f>(N699/V699)*(((100-CD699)/(100-9))*100)</f>
        <v>30.3931095931096</v>
      </c>
      <c r="AG699" s="159">
        <v>42191</v>
      </c>
      <c r="AJ699" s="249">
        <v>150</v>
      </c>
      <c r="AN699" s="250">
        <v>103</v>
      </c>
      <c r="BB699" s="257">
        <v>7</v>
      </c>
      <c r="BN699" s="251">
        <v>65.186000000000007</v>
      </c>
      <c r="BO699" s="256">
        <v>42200</v>
      </c>
      <c r="BT699" s="251">
        <v>49.914535522460938</v>
      </c>
      <c r="BU699" s="256">
        <v>42200</v>
      </c>
      <c r="BV699" s="251">
        <v>19.382150650024414</v>
      </c>
      <c r="BW699" s="256">
        <v>42200</v>
      </c>
      <c r="BX699" s="251">
        <v>62.756</v>
      </c>
      <c r="BY699" s="256">
        <v>42200</v>
      </c>
      <c r="CD699" s="253">
        <v>6.8</v>
      </c>
      <c r="CE699" s="159">
        <v>42191</v>
      </c>
      <c r="CM699" s="255">
        <v>1</v>
      </c>
      <c r="CN699" s="256">
        <v>42180</v>
      </c>
      <c r="CO699" s="140" t="s">
        <v>8448</v>
      </c>
    </row>
    <row r="700" spans="1:93" ht="15">
      <c r="A700" s="124" t="s">
        <v>7729</v>
      </c>
      <c r="B700" s="161" t="s">
        <v>8244</v>
      </c>
      <c r="C700" s="268" t="s">
        <v>269</v>
      </c>
      <c r="D700" s="243">
        <v>1</v>
      </c>
      <c r="E700" s="183">
        <v>143</v>
      </c>
      <c r="F700" s="244">
        <v>1</v>
      </c>
      <c r="G700" s="245">
        <v>31</v>
      </c>
      <c r="L700" s="254">
        <v>9</v>
      </c>
      <c r="N700" s="246">
        <v>5.52</v>
      </c>
      <c r="O700" s="159">
        <v>42191</v>
      </c>
      <c r="T700" s="247">
        <v>16.53</v>
      </c>
      <c r="U700" s="256">
        <v>42200</v>
      </c>
      <c r="V700" s="145">
        <v>18.5</v>
      </c>
      <c r="W700" s="159">
        <v>42191</v>
      </c>
      <c r="AD700" s="145">
        <f>(N700/V700)*(((100-CD700)/100)*((100-2)/100))*100</f>
        <v>27.135723243243238</v>
      </c>
      <c r="AF700" s="248">
        <f>(N700/V700)*(((100-CD700)/(100-9))*100)</f>
        <v>30.42803682803682</v>
      </c>
      <c r="AG700" s="159">
        <v>42191</v>
      </c>
      <c r="AJ700" s="249">
        <v>160</v>
      </c>
      <c r="AN700" s="250">
        <v>105</v>
      </c>
      <c r="BB700" s="257">
        <v>7</v>
      </c>
      <c r="BN700" s="251">
        <v>63.843000000000004</v>
      </c>
      <c r="BO700" s="256">
        <v>42200</v>
      </c>
      <c r="BT700" s="251">
        <v>53.292877197265625</v>
      </c>
      <c r="BU700" s="256">
        <v>42200</v>
      </c>
      <c r="BV700" s="251">
        <v>16.009906768798828</v>
      </c>
      <c r="BW700" s="256">
        <v>42200</v>
      </c>
      <c r="BX700" s="251">
        <v>17.867000000000001</v>
      </c>
      <c r="BY700" s="256">
        <v>42200</v>
      </c>
      <c r="CD700" s="253">
        <v>7.2</v>
      </c>
      <c r="CE700" s="159">
        <v>42191</v>
      </c>
      <c r="CM700" s="255">
        <v>1</v>
      </c>
      <c r="CN700" s="256">
        <v>42180</v>
      </c>
      <c r="CO700" s="140" t="s">
        <v>8447</v>
      </c>
    </row>
    <row r="701" spans="1:93" ht="15">
      <c r="A701" s="124" t="s">
        <v>7692</v>
      </c>
      <c r="B701" s="161" t="s">
        <v>7776</v>
      </c>
      <c r="C701" s="268" t="s">
        <v>267</v>
      </c>
      <c r="D701" s="243">
        <v>4</v>
      </c>
      <c r="E701" s="183">
        <v>106</v>
      </c>
      <c r="F701" s="244">
        <v>23</v>
      </c>
      <c r="G701" s="245">
        <v>1</v>
      </c>
      <c r="L701" s="254">
        <v>7</v>
      </c>
      <c r="N701" s="246">
        <v>5.62</v>
      </c>
      <c r="O701" s="159">
        <v>42191</v>
      </c>
      <c r="T701" s="247">
        <v>16.39</v>
      </c>
      <c r="U701" s="256">
        <v>42200</v>
      </c>
      <c r="V701" s="145">
        <v>18.5</v>
      </c>
      <c r="W701" s="159">
        <v>42191</v>
      </c>
      <c r="AD701" s="145">
        <f>(N701/V701)*(((100-CD701)/100)*((100-2)/100))*100</f>
        <v>27.150979459459464</v>
      </c>
      <c r="AF701" s="248">
        <f>(N701/V701)*(((100-CD701)/(100-9))*100)</f>
        <v>30.445144045144044</v>
      </c>
      <c r="AG701" s="159">
        <v>42191</v>
      </c>
      <c r="AJ701" s="249">
        <v>125</v>
      </c>
      <c r="AN701" s="250">
        <v>101</v>
      </c>
      <c r="BB701" s="257">
        <v>9</v>
      </c>
      <c r="BN701" s="251">
        <v>64.912000000000006</v>
      </c>
      <c r="BO701" s="256">
        <v>42200</v>
      </c>
      <c r="BT701" s="251">
        <v>52.800785064697266</v>
      </c>
      <c r="BU701" s="256">
        <v>42200</v>
      </c>
      <c r="BV701" s="251">
        <v>15.485631942749023</v>
      </c>
      <c r="BW701" s="256">
        <v>42200</v>
      </c>
      <c r="BX701" s="251">
        <v>17.454000000000001</v>
      </c>
      <c r="BY701" s="256">
        <v>42200</v>
      </c>
      <c r="CD701" s="253">
        <v>8.8000000000000007</v>
      </c>
      <c r="CE701" s="159">
        <v>42191</v>
      </c>
      <c r="CM701" s="255">
        <v>1</v>
      </c>
      <c r="CN701" s="256">
        <v>42180</v>
      </c>
      <c r="CO701" s="140" t="s">
        <v>8447</v>
      </c>
    </row>
    <row r="702" spans="1:93" ht="15">
      <c r="A702" s="124" t="s">
        <v>7699</v>
      </c>
      <c r="B702" s="161" t="s">
        <v>7545</v>
      </c>
      <c r="C702" s="268" t="s">
        <v>269</v>
      </c>
      <c r="D702" s="243">
        <v>1</v>
      </c>
      <c r="E702" s="183">
        <v>113</v>
      </c>
      <c r="F702" s="244">
        <v>6</v>
      </c>
      <c r="G702" s="245">
        <v>17</v>
      </c>
      <c r="L702" s="254">
        <v>7</v>
      </c>
      <c r="N702" s="246">
        <v>5.52</v>
      </c>
      <c r="O702" s="159">
        <v>42191</v>
      </c>
      <c r="T702" s="247">
        <v>15.77</v>
      </c>
      <c r="U702" s="256">
        <v>42200</v>
      </c>
      <c r="V702" s="145">
        <v>18.5</v>
      </c>
      <c r="W702" s="159">
        <v>42191</v>
      </c>
      <c r="AD702" s="145">
        <f>(N702/V702)*(((100-CD702)/100)*((100-2)/100))*100</f>
        <v>27.16496432432432</v>
      </c>
      <c r="AF702" s="248">
        <f>(N702/V702)*(((100-CD702)/(100-9))*100)</f>
        <v>30.460825660825659</v>
      </c>
      <c r="AG702" s="159">
        <v>42191</v>
      </c>
      <c r="AJ702" s="249">
        <v>160</v>
      </c>
      <c r="AN702" s="250">
        <v>103</v>
      </c>
      <c r="BB702" s="257">
        <v>5</v>
      </c>
      <c r="BN702" s="251">
        <v>62.268999999999998</v>
      </c>
      <c r="BO702" s="256">
        <v>42200</v>
      </c>
      <c r="BT702" s="251">
        <v>50.794147491455078</v>
      </c>
      <c r="BU702" s="256">
        <v>42200</v>
      </c>
      <c r="BV702" s="251">
        <v>16.379072189331055</v>
      </c>
      <c r="BW702" s="256">
        <v>42200</v>
      </c>
      <c r="BX702" s="251">
        <v>16.023</v>
      </c>
      <c r="BY702" s="256">
        <v>42200</v>
      </c>
      <c r="CD702" s="253">
        <v>7.1</v>
      </c>
      <c r="CE702" s="159">
        <v>42191</v>
      </c>
      <c r="CM702" s="255">
        <v>1</v>
      </c>
      <c r="CN702" s="256">
        <v>42180</v>
      </c>
      <c r="CO702" s="140" t="s">
        <v>8447</v>
      </c>
    </row>
    <row r="703" spans="1:93" ht="15">
      <c r="A703" s="124" t="s">
        <v>7692</v>
      </c>
      <c r="B703" s="161" t="s">
        <v>7776</v>
      </c>
      <c r="C703" s="268" t="s">
        <v>267</v>
      </c>
      <c r="D703" s="243">
        <v>3</v>
      </c>
      <c r="E703" s="183">
        <v>106</v>
      </c>
      <c r="F703" s="244">
        <v>17</v>
      </c>
      <c r="G703" s="245">
        <v>21</v>
      </c>
      <c r="L703" s="254">
        <v>5</v>
      </c>
      <c r="N703" s="246">
        <v>5.56</v>
      </c>
      <c r="O703" s="159">
        <v>42191</v>
      </c>
      <c r="T703" s="247">
        <v>15.44</v>
      </c>
      <c r="U703" s="256">
        <v>42200</v>
      </c>
      <c r="V703" s="145">
        <v>18.5</v>
      </c>
      <c r="W703" s="159">
        <v>42191</v>
      </c>
      <c r="AD703" s="145">
        <f>(N703/V703)*(((100-CD703)/100)*((100-2)/100))*100</f>
        <v>27.185094054054048</v>
      </c>
      <c r="AF703" s="248">
        <v>31.08</v>
      </c>
      <c r="AG703" s="159">
        <v>42191</v>
      </c>
      <c r="AJ703" s="249">
        <v>110</v>
      </c>
      <c r="AN703" s="250">
        <v>102</v>
      </c>
      <c r="BB703" s="257">
        <v>9</v>
      </c>
      <c r="BN703" s="251">
        <v>64.417000000000002</v>
      </c>
      <c r="BO703" s="256">
        <v>42200</v>
      </c>
      <c r="BT703" s="251">
        <v>49.667850494384766</v>
      </c>
      <c r="BU703" s="256">
        <v>42200</v>
      </c>
      <c r="BV703" s="251">
        <v>16.670866012573242</v>
      </c>
      <c r="BW703" s="256">
        <v>42200</v>
      </c>
      <c r="BX703" s="251">
        <v>18.757000000000001</v>
      </c>
      <c r="BY703" s="256">
        <v>42200</v>
      </c>
      <c r="CD703" s="253">
        <v>7.7</v>
      </c>
      <c r="CE703" s="159">
        <v>42191</v>
      </c>
      <c r="CM703" s="255">
        <v>3</v>
      </c>
      <c r="CN703" s="256">
        <v>42180</v>
      </c>
      <c r="CO703" s="140" t="s">
        <v>8447</v>
      </c>
    </row>
    <row r="704" spans="1:93" ht="15">
      <c r="A704" s="124" t="s">
        <v>7675</v>
      </c>
      <c r="B704" s="161" t="s">
        <v>7524</v>
      </c>
      <c r="C704" s="268" t="s">
        <v>269</v>
      </c>
      <c r="D704" s="243">
        <v>1</v>
      </c>
      <c r="E704" s="183">
        <v>89</v>
      </c>
      <c r="F704" s="244">
        <v>3</v>
      </c>
      <c r="G704" s="245">
        <v>30</v>
      </c>
      <c r="L704" s="254">
        <v>6</v>
      </c>
      <c r="N704" s="246">
        <v>5.52</v>
      </c>
      <c r="O704" s="159">
        <v>42191</v>
      </c>
      <c r="T704" s="247">
        <v>15.85</v>
      </c>
      <c r="U704" s="256">
        <v>42200</v>
      </c>
      <c r="V704" s="145">
        <v>18.5</v>
      </c>
      <c r="W704" s="159">
        <v>42191</v>
      </c>
      <c r="AD704" s="145">
        <f>(N704/V704)*(((100-CD704)/100)*((100-2)/100))*100</f>
        <v>27.194205405405402</v>
      </c>
      <c r="AF704" s="248">
        <f>(N704/V704)*(((100-CD704)/(100-9))*100)</f>
        <v>30.493614493614487</v>
      </c>
      <c r="AG704" s="159">
        <v>42191</v>
      </c>
      <c r="AJ704" s="249">
        <v>135</v>
      </c>
      <c r="AN704" s="250">
        <v>98</v>
      </c>
      <c r="BB704" s="257">
        <v>7</v>
      </c>
      <c r="BN704" s="251">
        <v>66.078000000000003</v>
      </c>
      <c r="BO704" s="256">
        <v>42200</v>
      </c>
      <c r="BT704" s="251">
        <v>50.993492126464844</v>
      </c>
      <c r="BU704" s="256">
        <v>42200</v>
      </c>
      <c r="BV704" s="251">
        <v>18.846731185913086</v>
      </c>
      <c r="BW704" s="256">
        <v>42200</v>
      </c>
      <c r="BX704" s="251">
        <v>17.295999999999999</v>
      </c>
      <c r="BY704" s="256">
        <v>42200</v>
      </c>
      <c r="CD704" s="253">
        <v>7</v>
      </c>
      <c r="CE704" s="159">
        <v>42191</v>
      </c>
      <c r="CM704" s="255">
        <v>1</v>
      </c>
      <c r="CN704" s="256">
        <v>42180</v>
      </c>
      <c r="CO704" s="140" t="s">
        <v>8447</v>
      </c>
    </row>
    <row r="705" spans="1:93" ht="15">
      <c r="A705" s="124" t="s">
        <v>7748</v>
      </c>
      <c r="B705" s="161" t="s">
        <v>7572</v>
      </c>
      <c r="C705" s="268" t="s">
        <v>267</v>
      </c>
      <c r="D705" s="243">
        <v>3</v>
      </c>
      <c r="E705" s="183">
        <v>162</v>
      </c>
      <c r="F705" s="244">
        <v>16</v>
      </c>
      <c r="G705" s="245">
        <v>20</v>
      </c>
      <c r="L705" s="254">
        <v>3</v>
      </c>
      <c r="N705" s="246">
        <v>5.56</v>
      </c>
      <c r="O705" s="159">
        <v>42191</v>
      </c>
      <c r="T705" s="247">
        <v>15.13</v>
      </c>
      <c r="U705" s="256">
        <v>42200</v>
      </c>
      <c r="V705" s="145">
        <v>18.5</v>
      </c>
      <c r="W705" s="159">
        <v>42191</v>
      </c>
      <c r="AD705" s="145">
        <f>(N705/V705)*(((100-CD705)/100)*((100-2)/100))*100</f>
        <v>27.214547027027024</v>
      </c>
      <c r="AF705" s="248">
        <v>31.11</v>
      </c>
      <c r="AG705" s="159">
        <v>42191</v>
      </c>
      <c r="AJ705" s="249">
        <v>130</v>
      </c>
      <c r="AN705" s="250">
        <v>101</v>
      </c>
      <c r="BB705" s="257">
        <v>5</v>
      </c>
      <c r="BN705" s="251">
        <v>65.194000000000003</v>
      </c>
      <c r="BO705" s="256">
        <v>42200</v>
      </c>
      <c r="BT705" s="251">
        <v>48.644119262695312</v>
      </c>
      <c r="BU705" s="256">
        <v>42200</v>
      </c>
      <c r="BV705" s="251">
        <v>17.8255615234375</v>
      </c>
      <c r="BW705" s="256">
        <v>42200</v>
      </c>
      <c r="BX705" s="251">
        <v>18.594999999999999</v>
      </c>
      <c r="BY705" s="256">
        <v>42200</v>
      </c>
      <c r="CD705" s="253">
        <v>7.6</v>
      </c>
      <c r="CE705" s="159">
        <v>42191</v>
      </c>
      <c r="CM705" s="255">
        <v>1</v>
      </c>
      <c r="CN705" s="256">
        <v>42180</v>
      </c>
      <c r="CO705" s="140" t="s">
        <v>8447</v>
      </c>
    </row>
    <row r="706" spans="1:93" ht="15">
      <c r="A706" s="124" t="s">
        <v>7726</v>
      </c>
      <c r="B706" s="161" t="s">
        <v>7792</v>
      </c>
      <c r="C706" s="268" t="s">
        <v>269</v>
      </c>
      <c r="D706" s="243">
        <v>1</v>
      </c>
      <c r="E706" s="183">
        <v>140</v>
      </c>
      <c r="F706" s="244">
        <v>1</v>
      </c>
      <c r="G706" s="245">
        <v>25</v>
      </c>
      <c r="L706" s="254">
        <v>8</v>
      </c>
      <c r="N706" s="246">
        <v>5.55</v>
      </c>
      <c r="O706" s="159">
        <v>42191</v>
      </c>
      <c r="T706" s="247">
        <v>15.8</v>
      </c>
      <c r="U706" s="256">
        <v>42200</v>
      </c>
      <c r="V706" s="145">
        <v>18.5</v>
      </c>
      <c r="W706" s="159">
        <v>42191</v>
      </c>
      <c r="AD706" s="145">
        <f>(N706/V706)*(((100-CD706)/100)*((100-2)/100))*100</f>
        <v>27.253800000000002</v>
      </c>
      <c r="AF706" s="248">
        <f>(N706/V706)*(((100-CD706)/(100-9))*100)</f>
        <v>30.560439560439555</v>
      </c>
      <c r="AG706" s="159">
        <v>42191</v>
      </c>
      <c r="AJ706" s="249">
        <v>135</v>
      </c>
      <c r="AN706" s="250">
        <v>103</v>
      </c>
      <c r="BB706" s="257">
        <v>7</v>
      </c>
      <c r="BN706" s="251">
        <v>60.118000000000002</v>
      </c>
      <c r="BO706" s="256">
        <v>42200</v>
      </c>
      <c r="BT706" s="251">
        <v>50.714736938476563</v>
      </c>
      <c r="BU706" s="256">
        <v>42200</v>
      </c>
      <c r="BV706" s="251">
        <v>17.131322860717773</v>
      </c>
      <c r="BW706" s="256">
        <v>42200</v>
      </c>
      <c r="BX706" s="251">
        <v>15.234999999999999</v>
      </c>
      <c r="BY706" s="256">
        <v>42200</v>
      </c>
      <c r="CD706" s="253">
        <v>7.3</v>
      </c>
      <c r="CE706" s="159">
        <v>42191</v>
      </c>
      <c r="CM706" s="255">
        <v>1</v>
      </c>
      <c r="CN706" s="256">
        <v>42180</v>
      </c>
      <c r="CO706" s="140" t="s">
        <v>8447</v>
      </c>
    </row>
    <row r="707" spans="1:93" ht="15">
      <c r="A707" s="124" t="s">
        <v>7726</v>
      </c>
      <c r="B707" s="161" t="s">
        <v>7792</v>
      </c>
      <c r="C707" s="268" t="s">
        <v>267</v>
      </c>
      <c r="D707" s="243">
        <v>4</v>
      </c>
      <c r="E707" s="183">
        <v>140</v>
      </c>
      <c r="F707" s="244">
        <v>22</v>
      </c>
      <c r="G707" s="245">
        <v>12</v>
      </c>
      <c r="L707" s="254">
        <v>9</v>
      </c>
      <c r="N707" s="246">
        <v>5.6</v>
      </c>
      <c r="O707" s="159">
        <v>42191</v>
      </c>
      <c r="T707" s="247">
        <v>15.64</v>
      </c>
      <c r="U707" s="256">
        <v>42200</v>
      </c>
      <c r="V707" s="145">
        <v>18.5</v>
      </c>
      <c r="W707" s="159">
        <v>42191</v>
      </c>
      <c r="AD707" s="145">
        <f>(N707/V707)*(((100-CD707)/100)*((100-2)/100))*100</f>
        <v>27.291675675675677</v>
      </c>
      <c r="AF707" s="248">
        <f>(N707/V707)*(((100-CD707)/(100-9))*100)</f>
        <v>30.602910602910598</v>
      </c>
      <c r="AG707" s="159">
        <v>42191</v>
      </c>
      <c r="AJ707" s="249">
        <v>125</v>
      </c>
      <c r="AN707" s="250">
        <v>104</v>
      </c>
      <c r="BB707" s="257">
        <v>7</v>
      </c>
      <c r="BN707" s="251">
        <v>59.454000000000001</v>
      </c>
      <c r="BO707" s="256">
        <v>42200</v>
      </c>
      <c r="BT707" s="251">
        <v>50.119693756103516</v>
      </c>
      <c r="BU707" s="256">
        <v>42200</v>
      </c>
      <c r="BV707" s="251">
        <v>17.537307739257813</v>
      </c>
      <c r="BW707" s="256">
        <v>42200</v>
      </c>
      <c r="BX707" s="251">
        <v>18.920999999999999</v>
      </c>
      <c r="BY707" s="256">
        <v>42200</v>
      </c>
      <c r="CD707" s="253">
        <v>8</v>
      </c>
      <c r="CE707" s="159">
        <v>42191</v>
      </c>
      <c r="CM707" s="255">
        <v>1</v>
      </c>
      <c r="CN707" s="256">
        <v>42180</v>
      </c>
      <c r="CO707" s="140" t="s">
        <v>8447</v>
      </c>
    </row>
    <row r="708" spans="1:93" ht="15">
      <c r="A708" s="124" t="s">
        <v>7631</v>
      </c>
      <c r="B708" s="161" t="s">
        <v>7484</v>
      </c>
      <c r="C708" s="268" t="s">
        <v>269</v>
      </c>
      <c r="D708" s="243">
        <v>1</v>
      </c>
      <c r="E708" s="183">
        <v>45</v>
      </c>
      <c r="F708" s="244">
        <v>6</v>
      </c>
      <c r="G708" s="245">
        <v>18</v>
      </c>
      <c r="L708" s="254">
        <v>6</v>
      </c>
      <c r="N708" s="246">
        <v>5.53</v>
      </c>
      <c r="O708" s="159">
        <v>42191</v>
      </c>
      <c r="T708" s="247">
        <v>16.23</v>
      </c>
      <c r="U708" s="256">
        <v>42200</v>
      </c>
      <c r="V708" s="145">
        <v>18.5</v>
      </c>
      <c r="W708" s="159">
        <v>42191</v>
      </c>
      <c r="AD708" s="145">
        <f>(N708/V708)*(((100-CD708)/100)*((100-2)/100))*100</f>
        <v>27.30205837837838</v>
      </c>
      <c r="AF708" s="248">
        <f>(N708/V708)*(((100-CD708)/(100-9))*100)</f>
        <v>30.614553014553021</v>
      </c>
      <c r="AG708" s="159">
        <v>42191</v>
      </c>
      <c r="AJ708" s="249">
        <v>150</v>
      </c>
      <c r="AN708" s="250">
        <v>101</v>
      </c>
      <c r="BB708" s="257">
        <v>7</v>
      </c>
      <c r="BN708" s="251">
        <v>65.198999999999998</v>
      </c>
      <c r="BO708" s="256">
        <v>42200</v>
      </c>
      <c r="BT708" s="251">
        <v>52.001579284667969</v>
      </c>
      <c r="BU708" s="256">
        <v>42200</v>
      </c>
      <c r="BV708" s="251">
        <v>16.993661880493164</v>
      </c>
      <c r="BW708" s="256">
        <v>42200</v>
      </c>
      <c r="BX708" s="251">
        <v>17.196999999999999</v>
      </c>
      <c r="BY708" s="256">
        <v>42200</v>
      </c>
      <c r="CD708" s="253">
        <v>6.8</v>
      </c>
      <c r="CE708" s="159">
        <v>42191</v>
      </c>
      <c r="CM708" s="255">
        <v>1</v>
      </c>
      <c r="CN708" s="256">
        <v>42180</v>
      </c>
      <c r="CO708" s="140" t="s">
        <v>8447</v>
      </c>
    </row>
    <row r="709" spans="1:93" ht="15">
      <c r="A709" s="124" t="s">
        <v>7765</v>
      </c>
      <c r="B709" s="161" t="s">
        <v>7585</v>
      </c>
      <c r="C709" s="268" t="s">
        <v>267</v>
      </c>
      <c r="D709" s="243">
        <v>3</v>
      </c>
      <c r="E709" s="183">
        <v>179</v>
      </c>
      <c r="F709" s="244">
        <v>18</v>
      </c>
      <c r="G709" s="245">
        <v>32</v>
      </c>
      <c r="L709" s="254">
        <v>9</v>
      </c>
      <c r="N709" s="246">
        <v>5.55</v>
      </c>
      <c r="O709" s="159">
        <v>42191</v>
      </c>
      <c r="T709" s="247">
        <v>16.489999999999998</v>
      </c>
      <c r="U709" s="256">
        <v>42200</v>
      </c>
      <c r="V709" s="145">
        <v>18.5</v>
      </c>
      <c r="W709" s="159">
        <v>42191</v>
      </c>
      <c r="AD709" s="145">
        <f>(N709/V709)*(((100-CD709)/100)*((100-2)/100))*100</f>
        <v>27.312599999999996</v>
      </c>
      <c r="AF709" s="248">
        <v>31.22</v>
      </c>
      <c r="AG709" s="159">
        <v>42191</v>
      </c>
      <c r="AJ709" s="249">
        <v>110</v>
      </c>
      <c r="AN709" s="250">
        <v>102</v>
      </c>
      <c r="BB709" s="257">
        <v>9</v>
      </c>
      <c r="BN709" s="251">
        <v>65.093999999999994</v>
      </c>
      <c r="BO709" s="256">
        <v>42200</v>
      </c>
      <c r="BT709" s="251">
        <v>52.824836730957031</v>
      </c>
      <c r="BU709" s="256">
        <v>42200</v>
      </c>
      <c r="BV709" s="251">
        <v>16.132143020629883</v>
      </c>
      <c r="BW709" s="256">
        <v>42200</v>
      </c>
      <c r="BX709" s="251">
        <v>21.556000000000001</v>
      </c>
      <c r="BY709" s="256">
        <v>42200</v>
      </c>
      <c r="CD709" s="253">
        <v>7.1</v>
      </c>
      <c r="CE709" s="159">
        <v>42191</v>
      </c>
      <c r="CM709" s="255">
        <v>3</v>
      </c>
      <c r="CN709" s="256">
        <v>42180</v>
      </c>
      <c r="CO709" s="140" t="s">
        <v>8447</v>
      </c>
    </row>
    <row r="710" spans="1:93" ht="15">
      <c r="A710" s="124" t="s">
        <v>7710</v>
      </c>
      <c r="B710" s="161" t="s">
        <v>7549</v>
      </c>
      <c r="C710" s="268" t="s">
        <v>267</v>
      </c>
      <c r="D710" s="243">
        <v>4</v>
      </c>
      <c r="E710" s="183">
        <v>124</v>
      </c>
      <c r="F710" s="244">
        <v>20</v>
      </c>
      <c r="G710" s="245">
        <v>20</v>
      </c>
      <c r="L710" s="254">
        <v>9</v>
      </c>
      <c r="N710" s="246">
        <v>5.58</v>
      </c>
      <c r="O710" s="159">
        <v>42191</v>
      </c>
      <c r="T710" s="247"/>
      <c r="U710" s="256">
        <v>42200</v>
      </c>
      <c r="V710" s="145">
        <v>18.5</v>
      </c>
      <c r="W710" s="159">
        <v>42191</v>
      </c>
      <c r="AD710" s="145">
        <f>(N710/V710)*(((100-CD710)/100)*((100-2)/100))*100</f>
        <v>27.341999999999999</v>
      </c>
      <c r="AF710" s="248">
        <v>31.26</v>
      </c>
      <c r="AG710" s="159">
        <v>42191</v>
      </c>
      <c r="AJ710" s="249">
        <v>115</v>
      </c>
      <c r="AN710" s="250">
        <v>101</v>
      </c>
      <c r="BB710" s="257">
        <v>5</v>
      </c>
      <c r="BN710" s="252"/>
      <c r="BO710" s="256">
        <v>42200</v>
      </c>
      <c r="BT710" s="252"/>
      <c r="BU710" s="256">
        <v>42200</v>
      </c>
      <c r="BV710" s="252"/>
      <c r="BW710" s="256">
        <v>42200</v>
      </c>
      <c r="BX710" s="252"/>
      <c r="BY710" s="256">
        <v>42200</v>
      </c>
      <c r="CD710" s="253">
        <v>7.5</v>
      </c>
      <c r="CE710" s="159">
        <v>42191</v>
      </c>
      <c r="CM710" s="255">
        <v>3</v>
      </c>
      <c r="CN710" s="256">
        <v>42180</v>
      </c>
      <c r="CO710" s="140" t="s">
        <v>8447</v>
      </c>
    </row>
    <row r="711" spans="1:93" ht="15">
      <c r="A711" s="124" t="s">
        <v>7686</v>
      </c>
      <c r="B711" s="161" t="s">
        <v>7533</v>
      </c>
      <c r="C711" s="268" t="s">
        <v>269</v>
      </c>
      <c r="D711" s="243">
        <v>1</v>
      </c>
      <c r="E711" s="183">
        <v>100</v>
      </c>
      <c r="F711" s="244">
        <v>3</v>
      </c>
      <c r="G711" s="245">
        <v>7</v>
      </c>
      <c r="L711" s="254">
        <v>8</v>
      </c>
      <c r="N711" s="246">
        <v>5.62</v>
      </c>
      <c r="O711" s="159">
        <v>42191</v>
      </c>
      <c r="T711" s="247">
        <v>15.45</v>
      </c>
      <c r="U711" s="256">
        <v>42200</v>
      </c>
      <c r="V711" s="145">
        <v>18.5</v>
      </c>
      <c r="W711" s="159">
        <v>42191</v>
      </c>
      <c r="AD711" s="145">
        <f>(N711/V711)*(((100-CD711)/100)*((100-2)/100))*100</f>
        <v>27.389145945945948</v>
      </c>
      <c r="AF711" s="248">
        <f>(N711/V711)*(((100-CD711)/(100-9))*100)</f>
        <v>30.712206712206712</v>
      </c>
      <c r="AG711" s="159">
        <v>42191</v>
      </c>
      <c r="AJ711" s="249">
        <v>165</v>
      </c>
      <c r="AN711" s="250">
        <v>99</v>
      </c>
      <c r="BB711" s="257">
        <v>7</v>
      </c>
      <c r="BN711" s="251">
        <v>65.563999999999993</v>
      </c>
      <c r="BO711" s="256">
        <v>42200</v>
      </c>
      <c r="BT711" s="251">
        <v>49.363410949707031</v>
      </c>
      <c r="BU711" s="256">
        <v>42200</v>
      </c>
      <c r="BV711" s="251">
        <v>17.595418930053711</v>
      </c>
      <c r="BW711" s="256">
        <v>42200</v>
      </c>
      <c r="BX711" s="251">
        <v>17.378</v>
      </c>
      <c r="BY711" s="256">
        <v>42200</v>
      </c>
      <c r="CD711" s="253">
        <v>8</v>
      </c>
      <c r="CE711" s="159">
        <v>42191</v>
      </c>
      <c r="CM711" s="255">
        <v>1</v>
      </c>
      <c r="CN711" s="256">
        <v>42180</v>
      </c>
      <c r="CO711" s="140" t="s">
        <v>8447</v>
      </c>
    </row>
    <row r="712" spans="1:93" ht="15">
      <c r="A712" s="124" t="s">
        <v>7689</v>
      </c>
      <c r="B712" s="161" t="s">
        <v>7536</v>
      </c>
      <c r="C712" s="268" t="s">
        <v>269</v>
      </c>
      <c r="D712" s="243">
        <v>1</v>
      </c>
      <c r="E712" s="183">
        <v>103</v>
      </c>
      <c r="F712" s="244">
        <v>3</v>
      </c>
      <c r="G712" s="245">
        <v>28</v>
      </c>
      <c r="L712" s="254">
        <v>5</v>
      </c>
      <c r="N712" s="246">
        <v>5.58</v>
      </c>
      <c r="O712" s="159">
        <v>42191</v>
      </c>
      <c r="T712" s="247">
        <v>15.94</v>
      </c>
      <c r="U712" s="256">
        <v>42200</v>
      </c>
      <c r="V712" s="145">
        <v>18.5</v>
      </c>
      <c r="W712" s="159">
        <v>42191</v>
      </c>
      <c r="AD712" s="145">
        <f>(N712/V712)*(((100-CD712)/100)*((100-2)/100))*100</f>
        <v>27.430676756756757</v>
      </c>
      <c r="AF712" s="248">
        <f>(N712/V712)*(((100-CD712)/(100-9))*100)</f>
        <v>30.758776358776359</v>
      </c>
      <c r="AG712" s="159">
        <v>42191</v>
      </c>
      <c r="AJ712" s="249">
        <v>165</v>
      </c>
      <c r="AN712" s="250">
        <v>100</v>
      </c>
      <c r="BB712" s="257">
        <v>7</v>
      </c>
      <c r="BN712" s="251">
        <v>63.253</v>
      </c>
      <c r="BO712" s="256">
        <v>42200</v>
      </c>
      <c r="BT712" s="251">
        <v>50.816375732421875</v>
      </c>
      <c r="BU712" s="256">
        <v>42200</v>
      </c>
      <c r="BV712" s="251">
        <v>18.80804443359375</v>
      </c>
      <c r="BW712" s="256">
        <v>42200</v>
      </c>
      <c r="BX712" s="251">
        <v>12.124000000000001</v>
      </c>
      <c r="BY712" s="256">
        <v>42200</v>
      </c>
      <c r="CD712" s="253">
        <v>7.2</v>
      </c>
      <c r="CE712" s="159">
        <v>42191</v>
      </c>
      <c r="CM712" s="255">
        <v>1</v>
      </c>
      <c r="CN712" s="256">
        <v>42180</v>
      </c>
      <c r="CO712" s="140" t="s">
        <v>8447</v>
      </c>
    </row>
    <row r="713" spans="1:93" ht="15">
      <c r="A713" s="124" t="s">
        <v>7758</v>
      </c>
      <c r="B713" s="161" t="s">
        <v>7793</v>
      </c>
      <c r="C713" s="268" t="s">
        <v>267</v>
      </c>
      <c r="D713" s="243">
        <v>3</v>
      </c>
      <c r="E713" s="183">
        <v>172</v>
      </c>
      <c r="F713" s="244">
        <v>16</v>
      </c>
      <c r="G713" s="245">
        <v>3</v>
      </c>
      <c r="L713" s="254">
        <v>8</v>
      </c>
      <c r="N713" s="246">
        <v>5.69</v>
      </c>
      <c r="O713" s="159">
        <v>42191</v>
      </c>
      <c r="T713" s="247">
        <v>15.91</v>
      </c>
      <c r="U713" s="256">
        <v>42200</v>
      </c>
      <c r="V713" s="145">
        <v>18.5</v>
      </c>
      <c r="W713" s="159">
        <v>42191</v>
      </c>
      <c r="AD713" s="145">
        <f>(N713/V713)*(((100-CD713)/100)*((100-2)/100))*100</f>
        <v>27.459017297297294</v>
      </c>
      <c r="AF713" s="248">
        <v>31.39</v>
      </c>
      <c r="AG713" s="159">
        <v>42191</v>
      </c>
      <c r="AJ713" s="249">
        <v>115</v>
      </c>
      <c r="AN713" s="250">
        <v>105</v>
      </c>
      <c r="BB713" s="257">
        <v>9</v>
      </c>
      <c r="BN713" s="251">
        <v>63.283999999999999</v>
      </c>
      <c r="BO713" s="256">
        <v>42200</v>
      </c>
      <c r="BT713" s="251">
        <v>50.672210693359375</v>
      </c>
      <c r="BU713" s="256">
        <v>42200</v>
      </c>
      <c r="BV713" s="251">
        <v>17.794151306152344</v>
      </c>
      <c r="BW713" s="256">
        <v>42200</v>
      </c>
      <c r="BX713" s="251">
        <v>15.721</v>
      </c>
      <c r="BY713" s="256">
        <v>42200</v>
      </c>
      <c r="CD713" s="253">
        <v>8.9</v>
      </c>
      <c r="CE713" s="159">
        <v>42191</v>
      </c>
      <c r="CM713" s="255">
        <v>3</v>
      </c>
      <c r="CN713" s="256">
        <v>42180</v>
      </c>
      <c r="CO713" s="140" t="s">
        <v>8447</v>
      </c>
    </row>
    <row r="714" spans="1:93" ht="15">
      <c r="A714" s="124" t="s">
        <v>7756</v>
      </c>
      <c r="B714" s="161" t="s">
        <v>7580</v>
      </c>
      <c r="C714" s="268" t="s">
        <v>269</v>
      </c>
      <c r="D714" s="243">
        <v>1</v>
      </c>
      <c r="E714" s="183">
        <v>170</v>
      </c>
      <c r="F714" s="244">
        <v>3</v>
      </c>
      <c r="G714" s="245">
        <v>9</v>
      </c>
      <c r="L714" s="254">
        <v>8</v>
      </c>
      <c r="N714" s="246">
        <v>5.59</v>
      </c>
      <c r="O714" s="159">
        <v>42191</v>
      </c>
      <c r="T714" s="247">
        <v>15.8</v>
      </c>
      <c r="U714" s="256">
        <v>42200</v>
      </c>
      <c r="V714" s="145">
        <v>18.5</v>
      </c>
      <c r="W714" s="159">
        <v>42191</v>
      </c>
      <c r="AD714" s="145">
        <f>(N714/V714)*(((100-CD714)/100)*((100-2)/100))*100</f>
        <v>27.479835675675666</v>
      </c>
      <c r="AF714" s="248">
        <v>31.41</v>
      </c>
      <c r="AG714" s="159">
        <v>42191</v>
      </c>
      <c r="AJ714" s="249">
        <v>155</v>
      </c>
      <c r="AN714" s="250">
        <v>96</v>
      </c>
      <c r="BB714" s="257">
        <v>5</v>
      </c>
      <c r="BN714" s="251">
        <v>63.04</v>
      </c>
      <c r="BO714" s="256">
        <v>42200</v>
      </c>
      <c r="BT714" s="251">
        <v>50.287178039550781</v>
      </c>
      <c r="BU714" s="256">
        <v>42200</v>
      </c>
      <c r="BV714" s="251">
        <v>17.945217132568359</v>
      </c>
      <c r="BW714" s="256">
        <v>42200</v>
      </c>
      <c r="BX714" s="251">
        <v>12.837</v>
      </c>
      <c r="BY714" s="256">
        <v>42200</v>
      </c>
      <c r="CD714" s="253">
        <v>7.2</v>
      </c>
      <c r="CE714" s="159">
        <v>42191</v>
      </c>
      <c r="CM714" s="255">
        <v>1</v>
      </c>
      <c r="CN714" s="256">
        <v>42180</v>
      </c>
      <c r="CO714" s="140" t="s">
        <v>8447</v>
      </c>
    </row>
    <row r="715" spans="1:93" ht="15">
      <c r="A715" s="124" t="s">
        <v>7755</v>
      </c>
      <c r="B715" s="161" t="s">
        <v>7579</v>
      </c>
      <c r="C715" s="268" t="s">
        <v>267</v>
      </c>
      <c r="D715" s="243">
        <v>4</v>
      </c>
      <c r="E715" s="183">
        <v>169</v>
      </c>
      <c r="F715" s="244">
        <v>20</v>
      </c>
      <c r="G715" s="245">
        <v>30</v>
      </c>
      <c r="L715" s="254">
        <v>6</v>
      </c>
      <c r="N715" s="246">
        <v>5.6</v>
      </c>
      <c r="O715" s="159">
        <v>42191</v>
      </c>
      <c r="T715" s="247">
        <v>15.62</v>
      </c>
      <c r="U715" s="256">
        <v>42200</v>
      </c>
      <c r="V715" s="145">
        <v>18.5</v>
      </c>
      <c r="W715" s="159">
        <v>42191</v>
      </c>
      <c r="AD715" s="145">
        <f>(N715/V715)*(((100-CD715)/100)*((100-2)/100))*100</f>
        <v>27.499329729729727</v>
      </c>
      <c r="AF715" s="248">
        <v>31.44</v>
      </c>
      <c r="AG715" s="159">
        <v>42191</v>
      </c>
      <c r="AJ715" s="249">
        <v>120</v>
      </c>
      <c r="AN715" s="250">
        <v>103</v>
      </c>
      <c r="BB715" s="257">
        <v>7</v>
      </c>
      <c r="BN715" s="251">
        <v>65.069000000000003</v>
      </c>
      <c r="BO715" s="256">
        <v>42200</v>
      </c>
      <c r="BT715" s="251">
        <v>49.666603088378906</v>
      </c>
      <c r="BU715" s="256">
        <v>42200</v>
      </c>
      <c r="BV715" s="251">
        <v>18.127157211303711</v>
      </c>
      <c r="BW715" s="256">
        <v>42200</v>
      </c>
      <c r="BX715" s="251">
        <v>19.582999999999998</v>
      </c>
      <c r="BY715" s="256">
        <v>42200</v>
      </c>
      <c r="CD715" s="253">
        <v>7.3</v>
      </c>
      <c r="CE715" s="159">
        <v>42191</v>
      </c>
      <c r="CM715" s="255">
        <v>3</v>
      </c>
      <c r="CN715" s="256">
        <v>42180</v>
      </c>
      <c r="CO715" s="140" t="s">
        <v>8447</v>
      </c>
    </row>
    <row r="716" spans="1:93" ht="15">
      <c r="A716" s="124" t="s">
        <v>7667</v>
      </c>
      <c r="B716" s="161" t="s">
        <v>7516</v>
      </c>
      <c r="C716" s="268" t="s">
        <v>269</v>
      </c>
      <c r="D716" s="243">
        <v>1</v>
      </c>
      <c r="E716" s="183">
        <v>81</v>
      </c>
      <c r="F716" s="244">
        <v>2</v>
      </c>
      <c r="G716" s="245">
        <v>29</v>
      </c>
      <c r="L716" s="254">
        <v>5</v>
      </c>
      <c r="N716" s="246">
        <v>5.59</v>
      </c>
      <c r="O716" s="159">
        <v>42191</v>
      </c>
      <c r="T716" s="247">
        <v>15.97</v>
      </c>
      <c r="U716" s="256">
        <v>42200</v>
      </c>
      <c r="V716" s="145">
        <v>18.5</v>
      </c>
      <c r="W716" s="159">
        <v>42191</v>
      </c>
      <c r="AD716" s="145">
        <f>(N716/V716)*(((100-CD716)/100)*((100-2)/100))*100</f>
        <v>27.539059459459459</v>
      </c>
      <c r="AF716" s="248">
        <f>(N716/V716)*(((100-CD716)/(100-9))*100)</f>
        <v>30.880308880308874</v>
      </c>
      <c r="AG716" s="159">
        <v>42191</v>
      </c>
      <c r="AJ716" s="249">
        <v>155</v>
      </c>
      <c r="AN716" s="250">
        <v>98</v>
      </c>
      <c r="BB716" s="257">
        <v>5</v>
      </c>
      <c r="BN716" s="251">
        <v>66.831000000000003</v>
      </c>
      <c r="BO716" s="256">
        <v>42200</v>
      </c>
      <c r="BT716" s="251">
        <v>50.734718322753906</v>
      </c>
      <c r="BU716" s="256">
        <v>42200</v>
      </c>
      <c r="BV716" s="251">
        <v>18.788579940795898</v>
      </c>
      <c r="BW716" s="256">
        <v>42200</v>
      </c>
      <c r="BX716" s="251">
        <v>17.238</v>
      </c>
      <c r="BY716" s="256">
        <v>42200</v>
      </c>
      <c r="CD716" s="253">
        <v>7</v>
      </c>
      <c r="CE716" s="159">
        <v>42191</v>
      </c>
      <c r="CM716" s="255">
        <v>1</v>
      </c>
      <c r="CN716" s="256">
        <v>42180</v>
      </c>
      <c r="CO716" s="140" t="s">
        <v>8447</v>
      </c>
    </row>
    <row r="717" spans="1:93" ht="15">
      <c r="A717" s="124" t="s">
        <v>7651</v>
      </c>
      <c r="B717" s="161" t="s">
        <v>7501</v>
      </c>
      <c r="C717" s="268" t="s">
        <v>269</v>
      </c>
      <c r="D717" s="243">
        <v>1</v>
      </c>
      <c r="E717" s="183">
        <v>65</v>
      </c>
      <c r="F717" s="244">
        <v>1</v>
      </c>
      <c r="G717" s="245">
        <v>19</v>
      </c>
      <c r="L717" s="254">
        <v>8</v>
      </c>
      <c r="N717" s="246">
        <v>5.61</v>
      </c>
      <c r="O717" s="159">
        <v>42191</v>
      </c>
      <c r="T717" s="247">
        <v>16.23</v>
      </c>
      <c r="U717" s="256">
        <v>42200</v>
      </c>
      <c r="V717" s="145">
        <v>18.5</v>
      </c>
      <c r="W717" s="159">
        <v>42191</v>
      </c>
      <c r="AD717" s="145">
        <f>(N717/V717)*(((100-CD717)/100)*((100-2)/100))*100</f>
        <v>27.548435675675677</v>
      </c>
      <c r="AF717" s="248">
        <v>31.49</v>
      </c>
      <c r="AG717" s="159">
        <v>42191</v>
      </c>
      <c r="AJ717" s="249">
        <v>160</v>
      </c>
      <c r="AN717" s="250">
        <v>102</v>
      </c>
      <c r="BB717" s="257">
        <v>7</v>
      </c>
      <c r="BN717" s="251">
        <v>64.509</v>
      </c>
      <c r="BO717" s="256">
        <v>42200</v>
      </c>
      <c r="BT717" s="251">
        <v>51.543735504150391</v>
      </c>
      <c r="BU717" s="256">
        <v>42200</v>
      </c>
      <c r="BV717" s="251">
        <v>17.393108367919922</v>
      </c>
      <c r="BW717" s="256">
        <v>42200</v>
      </c>
      <c r="BX717" s="251">
        <v>19</v>
      </c>
      <c r="BY717" s="256">
        <v>42200</v>
      </c>
      <c r="CD717" s="253">
        <v>7.3</v>
      </c>
      <c r="CE717" s="159">
        <v>42191</v>
      </c>
      <c r="CM717" s="255">
        <v>5</v>
      </c>
      <c r="CN717" s="256">
        <v>42180</v>
      </c>
      <c r="CO717" s="140" t="s">
        <v>8447</v>
      </c>
    </row>
    <row r="718" spans="1:93" ht="15">
      <c r="A718" s="124" t="s">
        <v>7715</v>
      </c>
      <c r="B718" s="161" t="s">
        <v>8216</v>
      </c>
      <c r="C718" s="268" t="s">
        <v>269</v>
      </c>
      <c r="D718" s="243">
        <v>2</v>
      </c>
      <c r="E718" s="183">
        <v>129</v>
      </c>
      <c r="F718" s="244">
        <v>12</v>
      </c>
      <c r="G718" s="245">
        <v>26</v>
      </c>
      <c r="L718" s="254">
        <v>5</v>
      </c>
      <c r="N718" s="246">
        <v>5.6</v>
      </c>
      <c r="O718" s="159">
        <v>42191</v>
      </c>
      <c r="T718" s="247">
        <v>15.49</v>
      </c>
      <c r="U718" s="256">
        <v>42200</v>
      </c>
      <c r="V718" s="145">
        <v>18.5</v>
      </c>
      <c r="W718" s="159">
        <v>42191</v>
      </c>
      <c r="AD718" s="145">
        <f>(N718/V718)*(((100-CD718)/100)*((100-2)/100))*100</f>
        <v>27.617989189189185</v>
      </c>
      <c r="AF718" s="248">
        <f>(N718/V718)*(((100-CD718)/(100-9))*100)</f>
        <v>30.968814968814961</v>
      </c>
      <c r="AG718" s="159">
        <v>42191</v>
      </c>
      <c r="AJ718" s="249">
        <v>120</v>
      </c>
      <c r="AN718" s="250">
        <v>103</v>
      </c>
      <c r="BB718" s="257">
        <v>7</v>
      </c>
      <c r="BN718" s="251">
        <v>60.274000000000001</v>
      </c>
      <c r="BO718" s="256">
        <v>42200</v>
      </c>
      <c r="BT718" s="251">
        <v>49.065620422363281</v>
      </c>
      <c r="BU718" s="256">
        <v>42200</v>
      </c>
      <c r="BV718" s="251">
        <v>18.244712829589844</v>
      </c>
      <c r="BW718" s="256">
        <v>42200</v>
      </c>
      <c r="BX718" s="251">
        <v>24.277000000000001</v>
      </c>
      <c r="BY718" s="256">
        <v>42200</v>
      </c>
      <c r="CD718" s="253">
        <v>6.9</v>
      </c>
      <c r="CE718" s="159">
        <v>42191</v>
      </c>
      <c r="CM718" s="255">
        <v>1</v>
      </c>
      <c r="CN718" s="256">
        <v>42180</v>
      </c>
      <c r="CO718" s="140" t="s">
        <v>8448</v>
      </c>
    </row>
    <row r="719" spans="1:93" ht="15">
      <c r="A719" s="124" t="s">
        <v>7763</v>
      </c>
      <c r="B719" s="161" t="s">
        <v>7583</v>
      </c>
      <c r="C719" s="268" t="s">
        <v>269</v>
      </c>
      <c r="D719" s="243">
        <v>2</v>
      </c>
      <c r="E719" s="183">
        <v>177</v>
      </c>
      <c r="F719" s="244">
        <v>11</v>
      </c>
      <c r="G719" s="245">
        <v>17</v>
      </c>
      <c r="L719" s="254">
        <v>8</v>
      </c>
      <c r="N719" s="246">
        <v>5.59</v>
      </c>
      <c r="O719" s="159">
        <v>42191</v>
      </c>
      <c r="T719" s="247">
        <v>17.37</v>
      </c>
      <c r="U719" s="256">
        <v>42200</v>
      </c>
      <c r="V719" s="145">
        <v>18.5</v>
      </c>
      <c r="W719" s="159">
        <v>42191</v>
      </c>
      <c r="AD719" s="145">
        <f>(N719/V719)*(((100-CD719)/100)*((100-2)/100))*100</f>
        <v>27.657507027027023</v>
      </c>
      <c r="AF719" s="248">
        <f>(N719/V719)*(((100-CD719)/(100-9))*100)</f>
        <v>31.013127413127414</v>
      </c>
      <c r="AG719" s="159">
        <v>42191</v>
      </c>
      <c r="AJ719" s="249">
        <v>140</v>
      </c>
      <c r="AN719" s="250">
        <v>100</v>
      </c>
      <c r="BB719" s="257">
        <v>7</v>
      </c>
      <c r="BN719" s="251">
        <v>66.823999999999998</v>
      </c>
      <c r="BO719" s="256">
        <v>42200</v>
      </c>
      <c r="BT719" s="251">
        <v>54.922252655029297</v>
      </c>
      <c r="BU719" s="256">
        <v>42200</v>
      </c>
      <c r="BV719" s="251">
        <v>14.43397331237793</v>
      </c>
      <c r="BW719" s="256">
        <v>42200</v>
      </c>
      <c r="BX719" s="251">
        <v>18.062999999999999</v>
      </c>
      <c r="BY719" s="256">
        <v>42200</v>
      </c>
      <c r="CD719" s="253">
        <v>6.6</v>
      </c>
      <c r="CE719" s="159">
        <v>42191</v>
      </c>
      <c r="CM719" s="255">
        <v>1</v>
      </c>
      <c r="CN719" s="256">
        <v>42180</v>
      </c>
      <c r="CO719" s="140" t="s">
        <v>8448</v>
      </c>
    </row>
    <row r="720" spans="1:93" ht="15">
      <c r="A720" s="124" t="s">
        <v>7690</v>
      </c>
      <c r="B720" s="161" t="s">
        <v>7537</v>
      </c>
      <c r="C720" s="268" t="s">
        <v>267</v>
      </c>
      <c r="D720" s="243">
        <v>3</v>
      </c>
      <c r="E720" s="183">
        <v>104</v>
      </c>
      <c r="F720" s="244">
        <v>13</v>
      </c>
      <c r="G720" s="245">
        <v>6</v>
      </c>
      <c r="L720" s="254">
        <v>5</v>
      </c>
      <c r="N720" s="246">
        <v>5.7</v>
      </c>
      <c r="O720" s="159">
        <v>42191</v>
      </c>
      <c r="T720" s="247">
        <v>15.79</v>
      </c>
      <c r="U720" s="256">
        <v>42200</v>
      </c>
      <c r="V720" s="145">
        <v>18.5</v>
      </c>
      <c r="W720" s="159">
        <v>42191</v>
      </c>
      <c r="AD720" s="145">
        <f>(N720/V720)*(((100-CD720)/100)*((100-2)/100))*100</f>
        <v>27.718637837837832</v>
      </c>
      <c r="AF720" s="248">
        <f>(N720/V720)*(((100-CD720)/(100-9))*100)</f>
        <v>31.081675081675083</v>
      </c>
      <c r="AG720" s="159">
        <v>42191</v>
      </c>
      <c r="AJ720" s="249">
        <v>140</v>
      </c>
      <c r="AN720" s="250">
        <v>101</v>
      </c>
      <c r="BB720" s="257">
        <v>9</v>
      </c>
      <c r="BN720" s="251">
        <v>60.744999999999997</v>
      </c>
      <c r="BO720" s="256">
        <v>42200</v>
      </c>
      <c r="BT720" s="251">
        <v>49.839080810546875</v>
      </c>
      <c r="BU720" s="256">
        <v>42200</v>
      </c>
      <c r="BV720" s="251">
        <v>18.354475021362305</v>
      </c>
      <c r="BW720" s="256">
        <v>42200</v>
      </c>
      <c r="BX720" s="251">
        <v>20.370999999999999</v>
      </c>
      <c r="BY720" s="256">
        <v>42200</v>
      </c>
      <c r="CD720" s="253">
        <v>8.1999999999999993</v>
      </c>
      <c r="CE720" s="159">
        <v>42191</v>
      </c>
      <c r="CM720" s="255">
        <v>1</v>
      </c>
      <c r="CN720" s="256">
        <v>42180</v>
      </c>
      <c r="CO720" s="140" t="s">
        <v>8447</v>
      </c>
    </row>
    <row r="721" spans="1:93" ht="15">
      <c r="A721" s="124" t="s">
        <v>7641</v>
      </c>
      <c r="B721" s="161" t="s">
        <v>7493</v>
      </c>
      <c r="C721" s="268" t="s">
        <v>267</v>
      </c>
      <c r="D721" s="243">
        <v>4</v>
      </c>
      <c r="E721" s="183">
        <v>55</v>
      </c>
      <c r="F721" s="244">
        <v>24</v>
      </c>
      <c r="G721" s="245">
        <v>32</v>
      </c>
      <c r="L721" s="254">
        <v>7</v>
      </c>
      <c r="N721" s="246">
        <v>5.63</v>
      </c>
      <c r="O721" s="159">
        <v>42191</v>
      </c>
      <c r="T721" s="247">
        <v>16.12</v>
      </c>
      <c r="U721" s="256">
        <v>42200</v>
      </c>
      <c r="V721" s="145">
        <v>18.5</v>
      </c>
      <c r="W721" s="159">
        <v>42191</v>
      </c>
      <c r="AD721" s="145">
        <f>(N721/V721)*(((100-CD721)/100)*((100-2)/100))*100</f>
        <v>27.765942702702702</v>
      </c>
      <c r="AF721" s="248">
        <f>(N721/V721)*(((100-CD721)/(100-9))*100)</f>
        <v>31.134719334719332</v>
      </c>
      <c r="AG721" s="159">
        <v>42191</v>
      </c>
      <c r="AJ721" s="249">
        <v>135</v>
      </c>
      <c r="AN721" s="250">
        <v>106</v>
      </c>
      <c r="BB721" s="257">
        <v>9</v>
      </c>
      <c r="BN721" s="251">
        <v>62.625999999999998</v>
      </c>
      <c r="BO721" s="256">
        <v>42200</v>
      </c>
      <c r="BT721" s="251">
        <v>50.786949157714844</v>
      </c>
      <c r="BU721" s="256">
        <v>42200</v>
      </c>
      <c r="BV721" s="251">
        <v>17.125738143920898</v>
      </c>
      <c r="BW721" s="256">
        <v>42200</v>
      </c>
      <c r="BX721" s="251">
        <v>19.404</v>
      </c>
      <c r="BY721" s="256">
        <v>42200</v>
      </c>
      <c r="CD721" s="253">
        <v>6.9</v>
      </c>
      <c r="CE721" s="159">
        <v>42191</v>
      </c>
      <c r="CM721" s="255">
        <v>1</v>
      </c>
      <c r="CN721" s="256">
        <v>42180</v>
      </c>
      <c r="CO721" s="140" t="s">
        <v>8447</v>
      </c>
    </row>
    <row r="722" spans="1:93" ht="15">
      <c r="A722" s="124" t="s">
        <v>7737</v>
      </c>
      <c r="B722" s="161" t="s">
        <v>7561</v>
      </c>
      <c r="C722" s="268" t="s">
        <v>267</v>
      </c>
      <c r="D722" s="243">
        <v>3</v>
      </c>
      <c r="E722" s="183">
        <v>151</v>
      </c>
      <c r="F722" s="244">
        <v>15</v>
      </c>
      <c r="G722" s="245">
        <v>1</v>
      </c>
      <c r="L722" s="254">
        <v>8</v>
      </c>
      <c r="N722" s="246">
        <v>5.8</v>
      </c>
      <c r="O722" s="159">
        <v>42191</v>
      </c>
      <c r="T722" s="247">
        <v>15.45</v>
      </c>
      <c r="U722" s="256">
        <v>42200</v>
      </c>
      <c r="V722" s="145">
        <v>18.5</v>
      </c>
      <c r="W722" s="159">
        <v>42191</v>
      </c>
      <c r="AD722" s="145">
        <f>(N722/V722)*(((100-CD722)/100)*((100-2)/100))*100</f>
        <v>27.866962162162164</v>
      </c>
      <c r="AF722" s="248">
        <f>(N722/V722)*(((100-CD722)/(100-9))*100)</f>
        <v>31.247995247995249</v>
      </c>
      <c r="AG722" s="159">
        <v>42191</v>
      </c>
      <c r="AJ722" s="249">
        <v>125</v>
      </c>
      <c r="AN722" s="250">
        <v>101</v>
      </c>
      <c r="BB722" s="257">
        <v>7</v>
      </c>
      <c r="BN722" s="251">
        <v>66.159000000000006</v>
      </c>
      <c r="BO722" s="256">
        <v>42200</v>
      </c>
      <c r="BT722" s="251">
        <v>48.486598968505859</v>
      </c>
      <c r="BU722" s="256">
        <v>42200</v>
      </c>
      <c r="BV722" s="251">
        <v>19.156055450439453</v>
      </c>
      <c r="BW722" s="256">
        <v>42200</v>
      </c>
      <c r="BX722" s="251">
        <v>16.920000000000002</v>
      </c>
      <c r="BY722" s="256">
        <v>42200</v>
      </c>
      <c r="CD722" s="253">
        <v>9.3000000000000007</v>
      </c>
      <c r="CE722" s="159">
        <v>42191</v>
      </c>
      <c r="CM722" s="255">
        <v>1</v>
      </c>
      <c r="CN722" s="256">
        <v>42180</v>
      </c>
      <c r="CO722" s="140" t="s">
        <v>8447</v>
      </c>
    </row>
    <row r="723" spans="1:93" ht="15">
      <c r="A723" s="124" t="s">
        <v>7664</v>
      </c>
      <c r="B723" s="161" t="s">
        <v>7513</v>
      </c>
      <c r="C723" s="268" t="s">
        <v>267</v>
      </c>
      <c r="D723" s="243">
        <v>4</v>
      </c>
      <c r="E723" s="183">
        <v>78</v>
      </c>
      <c r="F723" s="244">
        <v>21</v>
      </c>
      <c r="G723" s="245">
        <v>18</v>
      </c>
      <c r="L723" s="254">
        <v>7</v>
      </c>
      <c r="N723" s="246">
        <v>5.72</v>
      </c>
      <c r="O723" s="159">
        <v>42191</v>
      </c>
      <c r="T723" s="247">
        <v>16.059999999999999</v>
      </c>
      <c r="U723" s="256">
        <v>42200</v>
      </c>
      <c r="V723" s="145">
        <v>18.5</v>
      </c>
      <c r="W723" s="159">
        <v>42191</v>
      </c>
      <c r="AD723" s="145">
        <f>(N723/V723)*(((100-CD723)/100)*((100-2)/100))*100</f>
        <v>27.967398918918917</v>
      </c>
      <c r="AF723" s="248">
        <f>(N723/V723)*(((100-CD723)/(100-9))*100)</f>
        <v>31.360617760617757</v>
      </c>
      <c r="AG723" s="159">
        <v>42191</v>
      </c>
      <c r="AJ723" s="249">
        <v>110</v>
      </c>
      <c r="AN723" s="250">
        <v>100</v>
      </c>
      <c r="BB723" s="257">
        <v>7</v>
      </c>
      <c r="BN723" s="251">
        <v>60.374000000000002</v>
      </c>
      <c r="BO723" s="256">
        <v>42200</v>
      </c>
      <c r="BT723" s="251">
        <v>50.230949401855469</v>
      </c>
      <c r="BU723" s="256">
        <v>42200</v>
      </c>
      <c r="BV723" s="251">
        <v>15.566997528076172</v>
      </c>
      <c r="BW723" s="256">
        <v>42200</v>
      </c>
      <c r="BX723" s="251">
        <v>17.212</v>
      </c>
      <c r="BY723" s="256">
        <v>42200</v>
      </c>
      <c r="CD723" s="253">
        <v>7.7</v>
      </c>
      <c r="CE723" s="159">
        <v>42191</v>
      </c>
      <c r="CM723" s="255">
        <v>1</v>
      </c>
      <c r="CN723" s="256">
        <v>42180</v>
      </c>
      <c r="CO723" s="140" t="s">
        <v>8447</v>
      </c>
    </row>
    <row r="724" spans="1:93" ht="15">
      <c r="A724" s="124" t="s">
        <v>7664</v>
      </c>
      <c r="B724" s="161" t="s">
        <v>7513</v>
      </c>
      <c r="C724" s="268" t="s">
        <v>269</v>
      </c>
      <c r="D724" s="243">
        <v>1</v>
      </c>
      <c r="E724" s="183">
        <v>78</v>
      </c>
      <c r="F724" s="244">
        <v>1</v>
      </c>
      <c r="G724" s="245">
        <v>7</v>
      </c>
      <c r="L724" s="254">
        <v>7</v>
      </c>
      <c r="N724" s="246">
        <v>5.72</v>
      </c>
      <c r="O724" s="159">
        <v>42191</v>
      </c>
      <c r="T724" s="247">
        <v>15.85</v>
      </c>
      <c r="U724" s="256">
        <v>42200</v>
      </c>
      <c r="V724" s="145">
        <v>18.5</v>
      </c>
      <c r="W724" s="159">
        <v>42191</v>
      </c>
      <c r="AD724" s="145">
        <f>(N724/V724)*(((100-CD724)/100)*((100-2)/100))*100</f>
        <v>28.058300540540536</v>
      </c>
      <c r="AF724" s="248">
        <f>(N724/V724)*(((100-CD724)/(100-9))*100)</f>
        <v>31.46254826254826</v>
      </c>
      <c r="AG724" s="159">
        <v>42191</v>
      </c>
      <c r="AJ724" s="249">
        <v>155</v>
      </c>
      <c r="AN724" s="250">
        <v>96</v>
      </c>
      <c r="BB724" s="257">
        <v>5</v>
      </c>
      <c r="BN724" s="251">
        <v>59.899000000000001</v>
      </c>
      <c r="BO724" s="256">
        <v>42200</v>
      </c>
      <c r="BT724" s="251">
        <v>49.421966552734375</v>
      </c>
      <c r="BU724" s="256">
        <v>42200</v>
      </c>
      <c r="BV724" s="251">
        <v>16.981796264648437</v>
      </c>
      <c r="BW724" s="256">
        <v>42200</v>
      </c>
      <c r="BX724" s="251">
        <v>19.132000000000001</v>
      </c>
      <c r="BY724" s="256">
        <v>42200</v>
      </c>
      <c r="CD724" s="253">
        <v>7.4</v>
      </c>
      <c r="CE724" s="159">
        <v>42191</v>
      </c>
      <c r="CM724" s="255">
        <v>1</v>
      </c>
      <c r="CN724" s="256">
        <v>42180</v>
      </c>
      <c r="CO724" s="140" t="s">
        <v>8447</v>
      </c>
    </row>
    <row r="725" spans="1:93" ht="15">
      <c r="A725" s="124" t="s">
        <v>7760</v>
      </c>
      <c r="B725" s="161" t="s">
        <v>8310</v>
      </c>
      <c r="C725" s="268" t="s">
        <v>267</v>
      </c>
      <c r="D725" s="243">
        <v>3</v>
      </c>
      <c r="E725" s="183">
        <v>174</v>
      </c>
      <c r="F725" s="244">
        <v>13</v>
      </c>
      <c r="G725" s="245">
        <v>19</v>
      </c>
      <c r="L725" s="254">
        <v>7</v>
      </c>
      <c r="N725" s="246">
        <v>5.72</v>
      </c>
      <c r="O725" s="159">
        <v>42191</v>
      </c>
      <c r="T725" s="247">
        <v>16.489999999999998</v>
      </c>
      <c r="U725" s="256">
        <v>42200</v>
      </c>
      <c r="V725" s="145">
        <v>18.5</v>
      </c>
      <c r="W725" s="159">
        <v>42191</v>
      </c>
      <c r="AD725" s="145">
        <f>(N725/V725)*(((100-CD725)/100)*((100-2)/100))*100</f>
        <v>28.058300540540536</v>
      </c>
      <c r="AF725" s="248">
        <v>32.07</v>
      </c>
      <c r="AG725" s="159">
        <v>42191</v>
      </c>
      <c r="AJ725" s="249">
        <v>140</v>
      </c>
      <c r="AN725" s="250">
        <v>101</v>
      </c>
      <c r="BB725" s="257">
        <v>7</v>
      </c>
      <c r="BN725" s="251">
        <v>61.947000000000003</v>
      </c>
      <c r="BO725" s="256">
        <v>42200</v>
      </c>
      <c r="BT725" s="251">
        <v>51.411239624023438</v>
      </c>
      <c r="BU725" s="256">
        <v>42200</v>
      </c>
      <c r="BV725" s="251">
        <v>16.504276275634766</v>
      </c>
      <c r="BW725" s="256">
        <v>42200</v>
      </c>
      <c r="BX725" s="251">
        <v>18.492000000000001</v>
      </c>
      <c r="BY725" s="256">
        <v>42200</v>
      </c>
      <c r="CD725" s="253">
        <v>7.4</v>
      </c>
      <c r="CE725" s="159">
        <v>42191</v>
      </c>
      <c r="CM725" s="255">
        <v>1</v>
      </c>
      <c r="CN725" s="256">
        <v>42180</v>
      </c>
      <c r="CO725" s="140" t="s">
        <v>8447</v>
      </c>
    </row>
    <row r="726" spans="1:93" ht="15">
      <c r="A726" s="124" t="s">
        <v>7749</v>
      </c>
      <c r="B726" s="161" t="s">
        <v>7573</v>
      </c>
      <c r="C726" s="268" t="s">
        <v>269</v>
      </c>
      <c r="D726" s="243">
        <v>1</v>
      </c>
      <c r="E726" s="183">
        <v>163</v>
      </c>
      <c r="F726" s="244">
        <v>4</v>
      </c>
      <c r="G726" s="245">
        <v>20</v>
      </c>
      <c r="L726" s="254">
        <v>9</v>
      </c>
      <c r="N726" s="246">
        <v>5.69</v>
      </c>
      <c r="O726" s="159">
        <v>42191</v>
      </c>
      <c r="T726" s="247">
        <v>17.399999999999999</v>
      </c>
      <c r="U726" s="256">
        <v>42200</v>
      </c>
      <c r="V726" s="145">
        <v>18.5</v>
      </c>
      <c r="W726" s="159">
        <v>42191</v>
      </c>
      <c r="AD726" s="145">
        <f>(N726/V726)*(((100-CD726)/100)*((100-2)/100))*100</f>
        <v>28.091991351351354</v>
      </c>
      <c r="AF726" s="248">
        <v>32.11</v>
      </c>
      <c r="AG726" s="159">
        <v>42191</v>
      </c>
      <c r="AJ726" s="249">
        <v>160</v>
      </c>
      <c r="AN726" s="250">
        <v>101</v>
      </c>
      <c r="BB726" s="257">
        <v>7</v>
      </c>
      <c r="BN726" s="251">
        <v>64.594999999999999</v>
      </c>
      <c r="BO726" s="256">
        <v>42200</v>
      </c>
      <c r="BT726" s="251">
        <v>54.190086364746094</v>
      </c>
      <c r="BU726" s="256">
        <v>42200</v>
      </c>
      <c r="BV726" s="251">
        <v>13.38310718536377</v>
      </c>
      <c r="BW726" s="256">
        <v>42200</v>
      </c>
      <c r="BX726" s="251">
        <v>15.273</v>
      </c>
      <c r="BY726" s="256">
        <v>42200</v>
      </c>
      <c r="CD726" s="253">
        <v>6.8</v>
      </c>
      <c r="CE726" s="159">
        <v>42191</v>
      </c>
      <c r="CM726" s="255">
        <v>1</v>
      </c>
      <c r="CN726" s="256">
        <v>42180</v>
      </c>
      <c r="CO726" s="140" t="s">
        <v>8447</v>
      </c>
    </row>
    <row r="727" spans="1:93" ht="15">
      <c r="A727" s="124" t="s">
        <v>7644</v>
      </c>
      <c r="B727" s="161" t="s">
        <v>7496</v>
      </c>
      <c r="C727" s="268" t="s">
        <v>269</v>
      </c>
      <c r="D727" s="243">
        <v>2</v>
      </c>
      <c r="E727" s="183">
        <v>58</v>
      </c>
      <c r="F727" s="244">
        <v>12</v>
      </c>
      <c r="G727" s="245">
        <v>24</v>
      </c>
      <c r="L727" s="254">
        <v>8</v>
      </c>
      <c r="N727" s="246">
        <v>5.69</v>
      </c>
      <c r="O727" s="159">
        <v>42191</v>
      </c>
      <c r="T727" s="247">
        <v>16.239999999999998</v>
      </c>
      <c r="U727" s="256">
        <v>42200</v>
      </c>
      <c r="V727" s="145">
        <v>18.5</v>
      </c>
      <c r="W727" s="159">
        <v>42191</v>
      </c>
      <c r="AD727" s="145">
        <f>(N727/V727)*(((100-CD727)/100)*((100-2)/100))*100</f>
        <v>28.122132972972974</v>
      </c>
      <c r="AF727" s="248">
        <f>(N727/V727)*(((100-CD727)/(100-9))*100)</f>
        <v>31.534125334125335</v>
      </c>
      <c r="AG727" s="159">
        <v>42191</v>
      </c>
      <c r="AJ727" s="249">
        <v>135</v>
      </c>
      <c r="AN727" s="250">
        <v>101</v>
      </c>
      <c r="BB727" s="257">
        <v>5</v>
      </c>
      <c r="BN727" s="251">
        <v>63.462000000000003</v>
      </c>
      <c r="BO727" s="256">
        <v>42200</v>
      </c>
      <c r="BT727" s="251">
        <v>50.500644683837891</v>
      </c>
      <c r="BU727" s="256">
        <v>42200</v>
      </c>
      <c r="BV727" s="251">
        <v>18.679500579833984</v>
      </c>
      <c r="BW727" s="256">
        <v>42200</v>
      </c>
      <c r="BX727" s="251">
        <v>16.294</v>
      </c>
      <c r="BY727" s="256">
        <v>42200</v>
      </c>
      <c r="CD727" s="253">
        <v>6.7</v>
      </c>
      <c r="CE727" s="159">
        <v>42191</v>
      </c>
      <c r="CM727" s="255">
        <v>1</v>
      </c>
      <c r="CN727" s="256">
        <v>42180</v>
      </c>
      <c r="CO727" s="140" t="s">
        <v>8448</v>
      </c>
    </row>
    <row r="728" spans="1:93" ht="15">
      <c r="A728" s="124" t="s">
        <v>7726</v>
      </c>
      <c r="B728" s="161" t="s">
        <v>7792</v>
      </c>
      <c r="C728" s="268" t="s">
        <v>267</v>
      </c>
      <c r="D728" s="243">
        <v>3</v>
      </c>
      <c r="E728" s="183">
        <v>140</v>
      </c>
      <c r="F728" s="244">
        <v>18</v>
      </c>
      <c r="G728" s="245">
        <v>30</v>
      </c>
      <c r="L728" s="254">
        <v>9</v>
      </c>
      <c r="N728" s="246">
        <v>5.7</v>
      </c>
      <c r="O728" s="159">
        <v>42191</v>
      </c>
      <c r="T728" s="247">
        <v>16.37</v>
      </c>
      <c r="U728" s="256">
        <v>42200</v>
      </c>
      <c r="V728" s="145">
        <v>18.5</v>
      </c>
      <c r="W728" s="159">
        <v>42191</v>
      </c>
      <c r="AD728" s="145">
        <f>(N728/V728)*(((100-CD728)/100)*((100-2)/100))*100</f>
        <v>28.141362162162164</v>
      </c>
      <c r="AF728" s="248">
        <v>32.17</v>
      </c>
      <c r="AG728" s="159">
        <v>42191</v>
      </c>
      <c r="AJ728" s="249">
        <v>115</v>
      </c>
      <c r="AN728" s="250">
        <v>101</v>
      </c>
      <c r="BB728" s="257">
        <v>7</v>
      </c>
      <c r="BN728" s="251">
        <v>61.845999999999997</v>
      </c>
      <c r="BO728" s="256">
        <v>42200</v>
      </c>
      <c r="BT728" s="251">
        <v>50.891826629638672</v>
      </c>
      <c r="BU728" s="256">
        <v>42200</v>
      </c>
      <c r="BV728" s="251">
        <v>18.066864013671875</v>
      </c>
      <c r="BW728" s="256">
        <v>42200</v>
      </c>
      <c r="BX728" s="251">
        <v>18.512</v>
      </c>
      <c r="BY728" s="256">
        <v>42200</v>
      </c>
      <c r="CD728" s="253">
        <v>6.8</v>
      </c>
      <c r="CE728" s="159">
        <v>42191</v>
      </c>
      <c r="CM728" s="255">
        <v>3</v>
      </c>
      <c r="CN728" s="256">
        <v>42180</v>
      </c>
      <c r="CO728" s="140" t="s">
        <v>8447</v>
      </c>
    </row>
    <row r="729" spans="1:93" ht="15">
      <c r="A729" s="124" t="s">
        <v>7551</v>
      </c>
      <c r="B729" s="161" t="s">
        <v>7551</v>
      </c>
      <c r="C729" s="268" t="s">
        <v>267</v>
      </c>
      <c r="D729" s="243">
        <v>4</v>
      </c>
      <c r="E729" s="191">
        <v>183</v>
      </c>
      <c r="F729" s="244">
        <v>20</v>
      </c>
      <c r="G729" s="245">
        <v>21</v>
      </c>
      <c r="L729" s="254">
        <v>9</v>
      </c>
      <c r="N729" s="246">
        <v>5.77</v>
      </c>
      <c r="O729" s="159">
        <v>42191</v>
      </c>
      <c r="T729" s="247">
        <v>16.059999999999999</v>
      </c>
      <c r="U729" s="256">
        <v>42200</v>
      </c>
      <c r="V729" s="145">
        <v>18.5</v>
      </c>
      <c r="W729" s="159">
        <v>42191</v>
      </c>
      <c r="AD729" s="145">
        <f>(N729/V729)*(((100-CD729)/100)*((100-2)/100))*100</f>
        <v>28.150738378378374</v>
      </c>
      <c r="AF729" s="248">
        <v>32.18</v>
      </c>
      <c r="AG729" s="159">
        <v>42191</v>
      </c>
      <c r="AJ729" s="249">
        <v>115</v>
      </c>
      <c r="AN729" s="250">
        <v>103</v>
      </c>
      <c r="BB729" s="257">
        <v>7</v>
      </c>
      <c r="BN729" s="251">
        <v>61.444000000000003</v>
      </c>
      <c r="BO729" s="256">
        <v>42200</v>
      </c>
      <c r="BT729" s="251">
        <v>49.919937133789063</v>
      </c>
      <c r="BU729" s="256">
        <v>42200</v>
      </c>
      <c r="BV729" s="251">
        <v>18.130115509033203</v>
      </c>
      <c r="BW729" s="256">
        <v>42200</v>
      </c>
      <c r="BX729" s="251">
        <v>17.623999999999999</v>
      </c>
      <c r="BY729" s="256">
        <v>42200</v>
      </c>
      <c r="CD729" s="253">
        <v>7.9</v>
      </c>
      <c r="CE729" s="159">
        <v>42191</v>
      </c>
      <c r="CM729" s="255">
        <v>1</v>
      </c>
      <c r="CN729" s="256">
        <v>42180</v>
      </c>
      <c r="CO729" s="140" t="s">
        <v>8447</v>
      </c>
    </row>
    <row r="730" spans="1:93" ht="15">
      <c r="A730" s="124" t="s">
        <v>7649</v>
      </c>
      <c r="B730" s="161" t="s">
        <v>7499</v>
      </c>
      <c r="C730" s="268" t="s">
        <v>269</v>
      </c>
      <c r="D730" s="243">
        <v>2</v>
      </c>
      <c r="E730" s="183">
        <v>63</v>
      </c>
      <c r="F730" s="244">
        <v>10</v>
      </c>
      <c r="G730" s="245">
        <v>17</v>
      </c>
      <c r="L730" s="254">
        <v>6</v>
      </c>
      <c r="N730" s="246">
        <v>5.71</v>
      </c>
      <c r="O730" s="159">
        <v>42191</v>
      </c>
      <c r="T730" s="247">
        <v>16.53</v>
      </c>
      <c r="U730" s="256">
        <v>42200</v>
      </c>
      <c r="V730" s="145">
        <v>18.5</v>
      </c>
      <c r="W730" s="159">
        <v>42191</v>
      </c>
      <c r="AD730" s="145">
        <f>(N730/V730)*(((100-CD730)/100)*((100-2)/100))*100</f>
        <v>28.220980540540541</v>
      </c>
      <c r="AF730" s="248">
        <v>32.26</v>
      </c>
      <c r="AG730" s="159">
        <v>42191</v>
      </c>
      <c r="AJ730" s="249">
        <v>135</v>
      </c>
      <c r="AN730" s="250">
        <v>103</v>
      </c>
      <c r="BB730" s="257">
        <v>7</v>
      </c>
      <c r="BN730" s="251">
        <v>62.375999999999998</v>
      </c>
      <c r="BO730" s="256">
        <v>42200</v>
      </c>
      <c r="BT730" s="251">
        <v>51.2396240234375</v>
      </c>
      <c r="BU730" s="256">
        <v>42200</v>
      </c>
      <c r="BV730" s="251">
        <v>18.616682052612305</v>
      </c>
      <c r="BW730" s="256">
        <v>42200</v>
      </c>
      <c r="BX730" s="251">
        <v>14.593999999999999</v>
      </c>
      <c r="BY730" s="256">
        <v>42200</v>
      </c>
      <c r="CD730" s="253">
        <v>6.7</v>
      </c>
      <c r="CE730" s="159">
        <v>42191</v>
      </c>
      <c r="CM730" s="255">
        <v>5</v>
      </c>
      <c r="CN730" s="256">
        <v>42180</v>
      </c>
      <c r="CO730" s="140" t="s">
        <v>8448</v>
      </c>
    </row>
    <row r="731" spans="1:93" ht="15">
      <c r="A731" s="124" t="s">
        <v>7662</v>
      </c>
      <c r="B731" s="161" t="s">
        <v>7511</v>
      </c>
      <c r="C731" s="268" t="s">
        <v>269</v>
      </c>
      <c r="D731" s="243">
        <v>1</v>
      </c>
      <c r="E731" s="183">
        <v>76</v>
      </c>
      <c r="F731" s="244">
        <v>6</v>
      </c>
      <c r="G731" s="245">
        <v>13</v>
      </c>
      <c r="L731" s="254">
        <v>6</v>
      </c>
      <c r="N731" s="246">
        <v>5.76</v>
      </c>
      <c r="O731" s="159">
        <v>42191</v>
      </c>
      <c r="T731" s="247">
        <v>16.18</v>
      </c>
      <c r="U731" s="256">
        <v>42200</v>
      </c>
      <c r="V731" s="145">
        <v>18.5</v>
      </c>
      <c r="W731" s="159">
        <v>42191</v>
      </c>
      <c r="AD731" s="145">
        <f>(N731/V731)*(((100-CD731)/100)*((100-2)/100))*100</f>
        <v>28.224</v>
      </c>
      <c r="AF731" s="248">
        <f>(N731/V731)*(((100-CD731)/(100-9))*100)</f>
        <v>31.648351648351646</v>
      </c>
      <c r="AG731" s="159">
        <v>42191</v>
      </c>
      <c r="AJ731" s="249">
        <v>145</v>
      </c>
      <c r="AN731" s="250">
        <v>101</v>
      </c>
      <c r="BB731" s="257">
        <v>7</v>
      </c>
      <c r="BN731" s="251">
        <v>66.180000000000007</v>
      </c>
      <c r="BO731" s="256">
        <v>42200</v>
      </c>
      <c r="BT731" s="251">
        <v>50.141616821289063</v>
      </c>
      <c r="BU731" s="256">
        <v>42200</v>
      </c>
      <c r="BV731" s="251">
        <v>16.232019424438477</v>
      </c>
      <c r="BW731" s="256">
        <v>42200</v>
      </c>
      <c r="BX731" s="251">
        <v>20.167000000000002</v>
      </c>
      <c r="BY731" s="256">
        <v>42200</v>
      </c>
      <c r="CD731" s="253">
        <v>7.5</v>
      </c>
      <c r="CE731" s="159">
        <v>42191</v>
      </c>
      <c r="CM731" s="255">
        <v>1</v>
      </c>
      <c r="CN731" s="256">
        <v>42180</v>
      </c>
      <c r="CO731" s="140" t="s">
        <v>8447</v>
      </c>
    </row>
    <row r="732" spans="1:93" ht="15">
      <c r="A732" s="124" t="s">
        <v>7626</v>
      </c>
      <c r="B732" s="161" t="s">
        <v>7479</v>
      </c>
      <c r="C732" s="268" t="s">
        <v>269</v>
      </c>
      <c r="D732" s="243">
        <v>1</v>
      </c>
      <c r="E732" s="183">
        <v>40</v>
      </c>
      <c r="F732" s="244">
        <v>6</v>
      </c>
      <c r="G732" s="245">
        <v>14</v>
      </c>
      <c r="L732" s="254">
        <v>6</v>
      </c>
      <c r="N732" s="246">
        <v>5.74</v>
      </c>
      <c r="O732" s="159">
        <v>42191</v>
      </c>
      <c r="T732" s="247">
        <v>16.579999999999998</v>
      </c>
      <c r="U732" s="256">
        <v>42200</v>
      </c>
      <c r="V732" s="145">
        <v>18.5</v>
      </c>
      <c r="W732" s="159">
        <v>42191</v>
      </c>
      <c r="AD732" s="145">
        <f>(N732/V732)*(((100-CD732)/100)*((100-2)/100))*100</f>
        <v>28.247625945945948</v>
      </c>
      <c r="AF732" s="248">
        <f>(N732/V732)*(((100-CD732)/(100-9))*100)</f>
        <v>31.674844074844078</v>
      </c>
      <c r="AG732" s="159">
        <v>42191</v>
      </c>
      <c r="AJ732" s="249">
        <v>145</v>
      </c>
      <c r="AN732" s="250">
        <v>101</v>
      </c>
      <c r="BB732" s="257">
        <v>5</v>
      </c>
      <c r="BN732" s="251">
        <v>62.197000000000003</v>
      </c>
      <c r="BO732" s="256">
        <v>42200</v>
      </c>
      <c r="BT732" s="251">
        <v>51.350917816162109</v>
      </c>
      <c r="BU732" s="256">
        <v>42200</v>
      </c>
      <c r="BV732" s="251">
        <v>15.982601165771484</v>
      </c>
      <c r="BW732" s="256">
        <v>42200</v>
      </c>
      <c r="BX732" s="251">
        <v>18.995999999999999</v>
      </c>
      <c r="BY732" s="256">
        <v>42200</v>
      </c>
      <c r="CD732" s="253">
        <v>7.1</v>
      </c>
      <c r="CE732" s="159">
        <v>42191</v>
      </c>
      <c r="CM732" s="255">
        <v>1</v>
      </c>
      <c r="CN732" s="256">
        <v>42180</v>
      </c>
      <c r="CO732" s="140" t="s">
        <v>8447</v>
      </c>
    </row>
    <row r="733" spans="1:93" ht="15">
      <c r="A733" s="124" t="s">
        <v>7696</v>
      </c>
      <c r="B733" s="161" t="s">
        <v>7542</v>
      </c>
      <c r="C733" s="268" t="s">
        <v>267</v>
      </c>
      <c r="D733" s="243">
        <v>3</v>
      </c>
      <c r="E733" s="183">
        <v>110</v>
      </c>
      <c r="F733" s="244">
        <v>13</v>
      </c>
      <c r="G733" s="245">
        <v>8</v>
      </c>
      <c r="L733" s="254">
        <v>9</v>
      </c>
      <c r="N733" s="246">
        <v>5.79</v>
      </c>
      <c r="O733" s="159">
        <v>42191</v>
      </c>
      <c r="T733" s="247">
        <v>16.48</v>
      </c>
      <c r="U733" s="256">
        <v>42200</v>
      </c>
      <c r="V733" s="145">
        <v>18.5</v>
      </c>
      <c r="W733" s="159">
        <v>42191</v>
      </c>
      <c r="AD733" s="145">
        <f>(N733/V733)*(((100-CD733)/100)*((100-2)/100))*100</f>
        <v>28.248314594594593</v>
      </c>
      <c r="AF733" s="248">
        <f>(N733/V733)*(((100-CD733)/(100-9))*100)</f>
        <v>31.675616275616278</v>
      </c>
      <c r="AG733" s="159">
        <v>42191</v>
      </c>
      <c r="AJ733" s="249">
        <v>150</v>
      </c>
      <c r="AN733" s="250">
        <v>100</v>
      </c>
      <c r="BB733" s="257">
        <v>7</v>
      </c>
      <c r="BN733" s="251">
        <v>63.661999999999999</v>
      </c>
      <c r="BO733" s="256">
        <v>42200</v>
      </c>
      <c r="BT733" s="251">
        <v>51.037498474121094</v>
      </c>
      <c r="BU733" s="256">
        <v>42200</v>
      </c>
      <c r="BV733" s="251">
        <v>16.648857116699219</v>
      </c>
      <c r="BW733" s="256">
        <v>42200</v>
      </c>
      <c r="BX733" s="251">
        <v>20.332999999999998</v>
      </c>
      <c r="BY733" s="256">
        <v>42200</v>
      </c>
      <c r="CD733" s="253">
        <v>7.9</v>
      </c>
      <c r="CE733" s="159">
        <v>42191</v>
      </c>
      <c r="CM733" s="255">
        <v>1</v>
      </c>
      <c r="CN733" s="256">
        <v>42180</v>
      </c>
      <c r="CO733" s="140" t="s">
        <v>8447</v>
      </c>
    </row>
    <row r="734" spans="1:93" ht="15">
      <c r="A734" s="124" t="s">
        <v>7692</v>
      </c>
      <c r="B734" s="161" t="s">
        <v>7776</v>
      </c>
      <c r="C734" s="268" t="s">
        <v>269</v>
      </c>
      <c r="D734" s="243">
        <v>1</v>
      </c>
      <c r="E734" s="183">
        <v>106</v>
      </c>
      <c r="F734" s="244">
        <v>1</v>
      </c>
      <c r="G734" s="245">
        <v>10</v>
      </c>
      <c r="L734" s="254">
        <v>6</v>
      </c>
      <c r="N734" s="246">
        <v>5.76</v>
      </c>
      <c r="O734" s="159">
        <v>42191</v>
      </c>
      <c r="T734" s="247">
        <v>17.03</v>
      </c>
      <c r="U734" s="256">
        <v>42200</v>
      </c>
      <c r="V734" s="145">
        <v>18.5</v>
      </c>
      <c r="W734" s="159">
        <v>42191</v>
      </c>
      <c r="AD734" s="145">
        <f>(N734/V734)*(((100-CD734)/100)*((100-2)/100))*100</f>
        <v>28.315537297297293</v>
      </c>
      <c r="AF734" s="248">
        <f>(N734/V734)*(((100-CD734)/(100-9))*100)</f>
        <v>31.750994950994947</v>
      </c>
      <c r="AG734" s="159">
        <v>42191</v>
      </c>
      <c r="AJ734" s="249">
        <v>150</v>
      </c>
      <c r="AN734" s="250">
        <v>99</v>
      </c>
      <c r="BB734" s="257">
        <v>7</v>
      </c>
      <c r="BN734" s="251">
        <v>65.932000000000002</v>
      </c>
      <c r="BO734" s="256">
        <v>42200</v>
      </c>
      <c r="BT734" s="251">
        <v>52.621696472167969</v>
      </c>
      <c r="BU734" s="256">
        <v>42200</v>
      </c>
      <c r="BV734" s="251">
        <v>16.418054580688477</v>
      </c>
      <c r="BW734" s="256">
        <v>42200</v>
      </c>
      <c r="BX734" s="251">
        <v>18.568000000000001</v>
      </c>
      <c r="BY734" s="256">
        <v>42200</v>
      </c>
      <c r="CD734" s="253">
        <v>7.2</v>
      </c>
      <c r="CE734" s="159">
        <v>42191</v>
      </c>
      <c r="CM734" s="255">
        <v>1</v>
      </c>
      <c r="CN734" s="256">
        <v>42180</v>
      </c>
      <c r="CO734" s="140" t="s">
        <v>8447</v>
      </c>
    </row>
    <row r="735" spans="1:93" ht="15">
      <c r="A735" s="124" t="s">
        <v>7741</v>
      </c>
      <c r="B735" s="161" t="s">
        <v>7565</v>
      </c>
      <c r="C735" s="268" t="s">
        <v>267</v>
      </c>
      <c r="D735" s="243">
        <v>3</v>
      </c>
      <c r="E735" s="183">
        <v>155</v>
      </c>
      <c r="F735" s="244">
        <v>15</v>
      </c>
      <c r="G735" s="245">
        <v>27</v>
      </c>
      <c r="L735" s="254">
        <v>9</v>
      </c>
      <c r="N735" s="246">
        <v>5.76</v>
      </c>
      <c r="O735" s="159">
        <v>42191</v>
      </c>
      <c r="T735" s="247">
        <v>16.809999999999999</v>
      </c>
      <c r="U735" s="256">
        <v>42200</v>
      </c>
      <c r="V735" s="145">
        <v>18.5</v>
      </c>
      <c r="W735" s="159">
        <v>42191</v>
      </c>
      <c r="AD735" s="145">
        <f>(N735/V735)*(((100-CD735)/100)*((100-2)/100))*100</f>
        <v>28.346049729729728</v>
      </c>
      <c r="AF735" s="248">
        <v>32.4</v>
      </c>
      <c r="AG735" s="159">
        <v>42191</v>
      </c>
      <c r="AJ735" s="249">
        <v>120</v>
      </c>
      <c r="AN735" s="250">
        <v>103</v>
      </c>
      <c r="BB735" s="257">
        <v>7</v>
      </c>
      <c r="BN735" s="251">
        <v>65.087999999999994</v>
      </c>
      <c r="BO735" s="256">
        <v>42200</v>
      </c>
      <c r="BT735" s="251">
        <v>51.888694763183594</v>
      </c>
      <c r="BU735" s="256">
        <v>42200</v>
      </c>
      <c r="BV735" s="251">
        <v>16.66050910949707</v>
      </c>
      <c r="BW735" s="256">
        <v>42200</v>
      </c>
      <c r="BX735" s="251">
        <v>17.195</v>
      </c>
      <c r="BY735" s="256">
        <v>42200</v>
      </c>
      <c r="CD735" s="253">
        <v>7.1</v>
      </c>
      <c r="CE735" s="159">
        <v>42191</v>
      </c>
      <c r="CM735" s="255">
        <v>3</v>
      </c>
      <c r="CN735" s="256">
        <v>42180</v>
      </c>
      <c r="CO735" s="140" t="s">
        <v>8447</v>
      </c>
    </row>
    <row r="736" spans="1:93" ht="15">
      <c r="A736" s="124" t="s">
        <v>7732</v>
      </c>
      <c r="B736" s="161" t="s">
        <v>7557</v>
      </c>
      <c r="C736" s="268" t="s">
        <v>267</v>
      </c>
      <c r="D736" s="243">
        <v>4</v>
      </c>
      <c r="E736" s="183">
        <v>146</v>
      </c>
      <c r="F736" s="244">
        <v>24</v>
      </c>
      <c r="G736" s="245">
        <v>13</v>
      </c>
      <c r="L736" s="254">
        <v>9</v>
      </c>
      <c r="N736" s="246">
        <v>5.83</v>
      </c>
      <c r="O736" s="159">
        <v>42191</v>
      </c>
      <c r="T736" s="247">
        <v>16.489999999999998</v>
      </c>
      <c r="U736" s="256">
        <v>42200</v>
      </c>
      <c r="V736" s="145">
        <v>18.5</v>
      </c>
      <c r="W736" s="159">
        <v>42191</v>
      </c>
      <c r="AD736" s="145">
        <f>(N736/V736)*(((100-CD736)/100)*((100-2)/100))*100</f>
        <v>28.381700540540539</v>
      </c>
      <c r="AF736" s="248">
        <f>(N736/V736)*(((100-CD736)/(100-9))*100)</f>
        <v>31.825185625185622</v>
      </c>
      <c r="AG736" s="159">
        <v>42191</v>
      </c>
      <c r="AJ736" s="249">
        <v>150</v>
      </c>
      <c r="AN736" s="250">
        <v>103</v>
      </c>
      <c r="BB736" s="257">
        <v>7</v>
      </c>
      <c r="BN736" s="251">
        <v>64.786000000000001</v>
      </c>
      <c r="BO736" s="256">
        <v>42200</v>
      </c>
      <c r="BT736" s="251">
        <v>50.818386077880859</v>
      </c>
      <c r="BU736" s="256">
        <v>42200</v>
      </c>
      <c r="BV736" s="251">
        <v>16.442380905151367</v>
      </c>
      <c r="BW736" s="256">
        <v>42200</v>
      </c>
      <c r="BX736" s="251">
        <v>11.603999999999999</v>
      </c>
      <c r="BY736" s="256">
        <v>42200</v>
      </c>
      <c r="CD736" s="253">
        <v>8.1</v>
      </c>
      <c r="CE736" s="159">
        <v>42191</v>
      </c>
      <c r="CM736" s="255">
        <v>1</v>
      </c>
      <c r="CN736" s="256">
        <v>42180</v>
      </c>
      <c r="CO736" s="140" t="s">
        <v>8447</v>
      </c>
    </row>
    <row r="737" spans="1:93" ht="15">
      <c r="A737" s="124" t="s">
        <v>7652</v>
      </c>
      <c r="B737" s="161" t="s">
        <v>7502</v>
      </c>
      <c r="C737" s="268" t="s">
        <v>267</v>
      </c>
      <c r="D737" s="243">
        <v>3</v>
      </c>
      <c r="E737" s="183">
        <v>66</v>
      </c>
      <c r="F737" s="244">
        <v>18</v>
      </c>
      <c r="G737" s="245">
        <v>28</v>
      </c>
      <c r="L737" s="254">
        <v>9</v>
      </c>
      <c r="N737" s="246">
        <v>5.76</v>
      </c>
      <c r="O737" s="159">
        <v>42191</v>
      </c>
      <c r="T737" s="247">
        <v>16.010000000000002</v>
      </c>
      <c r="U737" s="256">
        <v>42200</v>
      </c>
      <c r="V737" s="145">
        <v>18.5</v>
      </c>
      <c r="W737" s="159">
        <v>42191</v>
      </c>
      <c r="AD737" s="145">
        <f>(N737/V737)*(((100-CD737)/100)*((100-2)/100))*100</f>
        <v>28.407074594594594</v>
      </c>
      <c r="AF737" s="248">
        <f>(N737/V737)*(((100-CD737)/(100-9))*100)</f>
        <v>31.853638253638248</v>
      </c>
      <c r="AG737" s="159">
        <v>42191</v>
      </c>
      <c r="AJ737" s="249">
        <v>115</v>
      </c>
      <c r="AN737" s="250">
        <v>102</v>
      </c>
      <c r="BB737" s="257">
        <v>7</v>
      </c>
      <c r="BN737" s="251">
        <v>63.817</v>
      </c>
      <c r="BO737" s="256">
        <v>42200</v>
      </c>
      <c r="BT737" s="251">
        <v>49.297843933105469</v>
      </c>
      <c r="BU737" s="256">
        <v>42200</v>
      </c>
      <c r="BV737" s="251">
        <v>19.1422119140625</v>
      </c>
      <c r="BW737" s="256">
        <v>42200</v>
      </c>
      <c r="BX737" s="251">
        <v>22.989000000000001</v>
      </c>
      <c r="BY737" s="256">
        <v>42200</v>
      </c>
      <c r="CD737" s="253">
        <v>6.9</v>
      </c>
      <c r="CE737" s="159">
        <v>42191</v>
      </c>
      <c r="CM737" s="255">
        <v>1</v>
      </c>
      <c r="CN737" s="256">
        <v>42180</v>
      </c>
      <c r="CO737" s="140" t="s">
        <v>8447</v>
      </c>
    </row>
    <row r="738" spans="1:93" ht="15">
      <c r="A738" s="124" t="s">
        <v>7690</v>
      </c>
      <c r="B738" s="161" t="s">
        <v>7537</v>
      </c>
      <c r="C738" s="268" t="s">
        <v>269</v>
      </c>
      <c r="D738" s="243">
        <v>1</v>
      </c>
      <c r="E738" s="183">
        <v>104</v>
      </c>
      <c r="F738" s="244">
        <v>5</v>
      </c>
      <c r="G738" s="245">
        <v>22</v>
      </c>
      <c r="L738" s="254">
        <v>5</v>
      </c>
      <c r="N738" s="246">
        <v>5.78</v>
      </c>
      <c r="O738" s="159">
        <v>42191</v>
      </c>
      <c r="T738" s="247">
        <v>16.579999999999998</v>
      </c>
      <c r="U738" s="256">
        <v>42200</v>
      </c>
      <c r="V738" s="145">
        <v>18.5</v>
      </c>
      <c r="W738" s="159">
        <v>42191</v>
      </c>
      <c r="AD738" s="145">
        <f>(N738/V738)*(((100-CD738)/100)*((100-2)/100))*100</f>
        <v>28.505710270270274</v>
      </c>
      <c r="AF738" s="248">
        <v>32.590000000000003</v>
      </c>
      <c r="AG738" s="159">
        <v>42191</v>
      </c>
      <c r="AJ738" s="249">
        <v>135</v>
      </c>
      <c r="AN738" s="250">
        <v>103</v>
      </c>
      <c r="BB738" s="257">
        <v>7</v>
      </c>
      <c r="BN738" s="251">
        <v>63.219000000000001</v>
      </c>
      <c r="BO738" s="256">
        <v>42200</v>
      </c>
      <c r="BT738" s="251">
        <v>50.865268707275391</v>
      </c>
      <c r="BU738" s="256">
        <v>42200</v>
      </c>
      <c r="BV738" s="251">
        <v>17.355142593383789</v>
      </c>
      <c r="BW738" s="256">
        <v>42200</v>
      </c>
      <c r="BX738" s="251">
        <v>22.395</v>
      </c>
      <c r="BY738" s="256">
        <v>42200</v>
      </c>
      <c r="CD738" s="253">
        <v>6.9</v>
      </c>
      <c r="CE738" s="159">
        <v>42191</v>
      </c>
      <c r="CM738" s="255">
        <v>3</v>
      </c>
      <c r="CN738" s="256">
        <v>42180</v>
      </c>
      <c r="CO738" s="140" t="s">
        <v>8447</v>
      </c>
    </row>
    <row r="739" spans="1:93" ht="15">
      <c r="A739" s="124" t="s">
        <v>7732</v>
      </c>
      <c r="B739" s="161" t="s">
        <v>7557</v>
      </c>
      <c r="C739" s="268" t="s">
        <v>267</v>
      </c>
      <c r="D739" s="243">
        <v>3</v>
      </c>
      <c r="E739" s="183">
        <v>146</v>
      </c>
      <c r="F739" s="244">
        <v>18</v>
      </c>
      <c r="G739" s="245">
        <v>25</v>
      </c>
      <c r="L739" s="254">
        <v>8</v>
      </c>
      <c r="N739" s="246">
        <v>5.82</v>
      </c>
      <c r="O739" s="159">
        <v>42191</v>
      </c>
      <c r="T739" s="247">
        <v>16.420000000000002</v>
      </c>
      <c r="U739" s="256">
        <v>42200</v>
      </c>
      <c r="V739" s="145">
        <v>18.5</v>
      </c>
      <c r="W739" s="159">
        <v>42191</v>
      </c>
      <c r="AD739" s="145">
        <f>(N739/V739)*(((100-CD739)/100)*((100-2)/100))*100</f>
        <v>28.518000000000001</v>
      </c>
      <c r="AF739" s="248">
        <f>(N739/V739)*(((100-CD739)/(100-9))*100)</f>
        <v>31.978021978021978</v>
      </c>
      <c r="AG739" s="159">
        <v>42191</v>
      </c>
      <c r="AJ739" s="249">
        <v>120</v>
      </c>
      <c r="AN739" s="250">
        <v>102</v>
      </c>
      <c r="BB739" s="257">
        <v>7</v>
      </c>
      <c r="BN739" s="251">
        <v>63.213999999999999</v>
      </c>
      <c r="BO739" s="256">
        <v>42200</v>
      </c>
      <c r="BT739" s="251">
        <v>50.360519409179688</v>
      </c>
      <c r="BU739" s="256">
        <v>42200</v>
      </c>
      <c r="BV739" s="251">
        <v>18.174880981445313</v>
      </c>
      <c r="BW739" s="256">
        <v>42200</v>
      </c>
      <c r="BX739" s="251">
        <v>16.835000000000001</v>
      </c>
      <c r="BY739" s="256">
        <v>42200</v>
      </c>
      <c r="CD739" s="253">
        <v>7.5</v>
      </c>
      <c r="CE739" s="159">
        <v>42191</v>
      </c>
      <c r="CM739" s="255">
        <v>1</v>
      </c>
      <c r="CN739" s="256">
        <v>42180</v>
      </c>
      <c r="CO739" s="140" t="s">
        <v>8447</v>
      </c>
    </row>
    <row r="740" spans="1:93" ht="15">
      <c r="A740" s="124" t="s">
        <v>7627</v>
      </c>
      <c r="B740" s="161" t="s">
        <v>7480</v>
      </c>
      <c r="C740" s="268" t="s">
        <v>267</v>
      </c>
      <c r="D740" s="243">
        <v>3</v>
      </c>
      <c r="E740" s="183">
        <v>41</v>
      </c>
      <c r="F740" s="244">
        <v>15</v>
      </c>
      <c r="G740" s="245">
        <v>9</v>
      </c>
      <c r="L740" s="254">
        <v>8</v>
      </c>
      <c r="N740" s="246">
        <v>5.89</v>
      </c>
      <c r="O740" s="159">
        <v>42191</v>
      </c>
      <c r="T740" s="247">
        <v>16.25</v>
      </c>
      <c r="U740" s="256">
        <v>42200</v>
      </c>
      <c r="V740" s="145">
        <v>18.5</v>
      </c>
      <c r="W740" s="159">
        <v>42191</v>
      </c>
      <c r="AD740" s="145">
        <f>(N740/V740)*(((100-CD740)/100)*((100-2)/100))*100</f>
        <v>28.642592432432423</v>
      </c>
      <c r="AF740" s="248">
        <f>(N740/V740)*(((100-CD740)/(100-9))*100)</f>
        <v>32.117730917730917</v>
      </c>
      <c r="AG740" s="159">
        <v>42191</v>
      </c>
      <c r="AJ740" s="249">
        <v>120</v>
      </c>
      <c r="AN740" s="250">
        <v>105</v>
      </c>
      <c r="BB740" s="257">
        <v>9</v>
      </c>
      <c r="BN740" s="251">
        <v>63.811</v>
      </c>
      <c r="BO740" s="256">
        <v>42200</v>
      </c>
      <c r="BT740" s="251">
        <v>49.621742248535156</v>
      </c>
      <c r="BU740" s="256">
        <v>42200</v>
      </c>
      <c r="BV740" s="251">
        <v>17.337251663208008</v>
      </c>
      <c r="BW740" s="256">
        <v>42200</v>
      </c>
      <c r="BX740" s="251">
        <v>15.897</v>
      </c>
      <c r="BY740" s="256">
        <v>42200</v>
      </c>
      <c r="CD740" s="253">
        <v>8.1999999999999993</v>
      </c>
      <c r="CE740" s="159">
        <v>42191</v>
      </c>
      <c r="CM740" s="255">
        <v>1</v>
      </c>
      <c r="CN740" s="256">
        <v>42180</v>
      </c>
      <c r="CO740" s="140" t="s">
        <v>8447</v>
      </c>
    </row>
    <row r="741" spans="1:93" ht="15">
      <c r="A741" s="124" t="s">
        <v>7671</v>
      </c>
      <c r="B741" s="161" t="s">
        <v>7520</v>
      </c>
      <c r="C741" s="268" t="s">
        <v>269</v>
      </c>
      <c r="D741" s="243">
        <v>1</v>
      </c>
      <c r="E741" s="183">
        <v>85</v>
      </c>
      <c r="F741" s="244">
        <v>2</v>
      </c>
      <c r="G741" s="245">
        <v>17</v>
      </c>
      <c r="L741" s="254">
        <v>9</v>
      </c>
      <c r="N741" s="246">
        <v>5.83</v>
      </c>
      <c r="O741" s="159">
        <v>42191</v>
      </c>
      <c r="T741" s="247">
        <v>16.41</v>
      </c>
      <c r="U741" s="256">
        <v>42200</v>
      </c>
      <c r="V741" s="145">
        <v>18.5</v>
      </c>
      <c r="W741" s="159">
        <v>42191</v>
      </c>
      <c r="AD741" s="145">
        <f>(N741/V741)*(((100-CD741)/100)*((100-2)/100))*100</f>
        <v>28.721416216216216</v>
      </c>
      <c r="AF741" s="248">
        <v>32.83</v>
      </c>
      <c r="AG741" s="159">
        <v>42191</v>
      </c>
      <c r="AJ741" s="249">
        <v>150</v>
      </c>
      <c r="AN741" s="250">
        <v>100</v>
      </c>
      <c r="BB741" s="257">
        <v>7</v>
      </c>
      <c r="BN741" s="251">
        <v>64.731999999999999</v>
      </c>
      <c r="BO741" s="256">
        <v>42200</v>
      </c>
      <c r="BT741" s="251">
        <v>49.988655090332031</v>
      </c>
      <c r="BU741" s="256">
        <v>42200</v>
      </c>
      <c r="BV741" s="251">
        <v>19.0682373046875</v>
      </c>
      <c r="BW741" s="256">
        <v>42200</v>
      </c>
      <c r="BX741" s="251">
        <v>17.21</v>
      </c>
      <c r="BY741" s="256">
        <v>42200</v>
      </c>
      <c r="CD741" s="253">
        <v>7</v>
      </c>
      <c r="CE741" s="159">
        <v>42191</v>
      </c>
      <c r="CM741" s="255">
        <v>3</v>
      </c>
      <c r="CN741" s="256">
        <v>42180</v>
      </c>
      <c r="CO741" s="140" t="s">
        <v>8447</v>
      </c>
    </row>
    <row r="742" spans="1:93" ht="15">
      <c r="A742" s="124" t="s">
        <v>7733</v>
      </c>
      <c r="B742" s="161" t="s">
        <v>8255</v>
      </c>
      <c r="C742" s="268" t="s">
        <v>269</v>
      </c>
      <c r="D742" s="243">
        <v>1</v>
      </c>
      <c r="E742" s="183">
        <v>147</v>
      </c>
      <c r="F742" s="244">
        <v>6</v>
      </c>
      <c r="G742" s="245">
        <v>11</v>
      </c>
      <c r="L742" s="254">
        <v>8</v>
      </c>
      <c r="N742" s="246">
        <v>5.83</v>
      </c>
      <c r="O742" s="159">
        <v>42191</v>
      </c>
      <c r="T742" s="247">
        <v>17.13</v>
      </c>
      <c r="U742" s="256">
        <v>42200</v>
      </c>
      <c r="V742" s="145">
        <v>18.5</v>
      </c>
      <c r="W742" s="159">
        <v>42191</v>
      </c>
      <c r="AD742" s="145">
        <f>(N742/V742)*(((100-CD742)/100)*((100-2)/100))*100</f>
        <v>28.721416216216216</v>
      </c>
      <c r="AF742" s="248">
        <f>(N742/V742)*(((100-CD742)/(100-9))*100)</f>
        <v>32.206118206118205</v>
      </c>
      <c r="AG742" s="159">
        <v>42191</v>
      </c>
      <c r="AJ742" s="249">
        <v>155</v>
      </c>
      <c r="AN742" s="250">
        <v>101</v>
      </c>
      <c r="BB742" s="257">
        <v>7</v>
      </c>
      <c r="BN742" s="251">
        <v>64.86</v>
      </c>
      <c r="BO742" s="256">
        <v>42200</v>
      </c>
      <c r="BT742" s="251">
        <v>52.176349639892578</v>
      </c>
      <c r="BU742" s="256">
        <v>42200</v>
      </c>
      <c r="BV742" s="251">
        <v>15.256753921508789</v>
      </c>
      <c r="BW742" s="256">
        <v>42200</v>
      </c>
      <c r="BX742" s="251">
        <v>20.109000000000002</v>
      </c>
      <c r="BY742" s="256">
        <v>42200</v>
      </c>
      <c r="CD742" s="253">
        <v>7</v>
      </c>
      <c r="CE742" s="159">
        <v>42191</v>
      </c>
      <c r="CM742" s="255">
        <v>1</v>
      </c>
      <c r="CN742" s="256">
        <v>42180</v>
      </c>
      <c r="CO742" s="140" t="s">
        <v>8447</v>
      </c>
    </row>
    <row r="743" spans="1:93" ht="15">
      <c r="A743" s="124" t="s">
        <v>7719</v>
      </c>
      <c r="B743" s="161" t="s">
        <v>7786</v>
      </c>
      <c r="C743" s="268" t="s">
        <v>269</v>
      </c>
      <c r="D743" s="243">
        <v>1</v>
      </c>
      <c r="E743" s="183">
        <v>133</v>
      </c>
      <c r="F743" s="244">
        <v>3</v>
      </c>
      <c r="G743" s="245">
        <v>8</v>
      </c>
      <c r="L743" s="254">
        <v>8</v>
      </c>
      <c r="N743" s="246">
        <v>5.85</v>
      </c>
      <c r="O743" s="159">
        <v>42191</v>
      </c>
      <c r="T743" s="247">
        <v>15.87</v>
      </c>
      <c r="U743" s="256">
        <v>42200</v>
      </c>
      <c r="V743" s="145">
        <v>18.5</v>
      </c>
      <c r="W743" s="159">
        <v>42191</v>
      </c>
      <c r="AD743" s="145">
        <f>(N743/V743)*(((100-CD743)/100)*((100-2)/100))*100</f>
        <v>28.72697837837838</v>
      </c>
      <c r="AF743" s="248">
        <f>(N743/V743)*(((100-CD743)/(100-9))*100)</f>
        <v>32.212355212355206</v>
      </c>
      <c r="AG743" s="159">
        <v>42191</v>
      </c>
      <c r="AJ743" s="249">
        <v>150</v>
      </c>
      <c r="AN743" s="250">
        <v>96</v>
      </c>
      <c r="BB743" s="257">
        <v>5</v>
      </c>
      <c r="BN743" s="251">
        <v>62.744999999999997</v>
      </c>
      <c r="BO743" s="256">
        <v>42200</v>
      </c>
      <c r="BT743" s="251">
        <v>48.332603454589844</v>
      </c>
      <c r="BU743" s="256">
        <v>42200</v>
      </c>
      <c r="BV743" s="251">
        <v>18.808582305908203</v>
      </c>
      <c r="BW743" s="256">
        <v>42200</v>
      </c>
      <c r="BX743" s="251">
        <v>14.861000000000001</v>
      </c>
      <c r="BY743" s="256">
        <v>42200</v>
      </c>
      <c r="CD743" s="253">
        <v>7.3</v>
      </c>
      <c r="CE743" s="159">
        <v>42191</v>
      </c>
      <c r="CM743" s="255">
        <v>1</v>
      </c>
      <c r="CN743" s="256">
        <v>42180</v>
      </c>
      <c r="CO743" s="140" t="s">
        <v>8447</v>
      </c>
    </row>
    <row r="744" spans="1:93" ht="15">
      <c r="A744" s="124" t="s">
        <v>7762</v>
      </c>
      <c r="B744" s="161" t="s">
        <v>7582</v>
      </c>
      <c r="C744" s="268" t="s">
        <v>267</v>
      </c>
      <c r="D744" s="243">
        <v>3</v>
      </c>
      <c r="E744" s="183">
        <v>176</v>
      </c>
      <c r="F744" s="244">
        <v>15</v>
      </c>
      <c r="G744" s="245">
        <v>17</v>
      </c>
      <c r="L744" s="254">
        <v>7</v>
      </c>
      <c r="N744" s="246">
        <v>5.89</v>
      </c>
      <c r="O744" s="159">
        <v>42191</v>
      </c>
      <c r="T744" s="247">
        <v>16.62</v>
      </c>
      <c r="U744" s="256">
        <v>42200</v>
      </c>
      <c r="V744" s="145">
        <v>18.5</v>
      </c>
      <c r="W744" s="159">
        <v>42191</v>
      </c>
      <c r="AD744" s="145">
        <f>(N744/V744)*(((100-CD744)/100)*((100-2)/100))*100</f>
        <v>28.736195675675667</v>
      </c>
      <c r="AF744" s="248">
        <v>32.85</v>
      </c>
      <c r="AG744" s="159">
        <v>42191</v>
      </c>
      <c r="AJ744" s="249">
        <v>100</v>
      </c>
      <c r="AN744" s="250">
        <v>101</v>
      </c>
      <c r="BB744" s="257">
        <v>7</v>
      </c>
      <c r="BN744" s="251">
        <v>61.981999999999999</v>
      </c>
      <c r="BO744" s="256">
        <v>42200</v>
      </c>
      <c r="BT744" s="251">
        <v>50.5772705078125</v>
      </c>
      <c r="BU744" s="256">
        <v>42200</v>
      </c>
      <c r="BV744" s="251">
        <v>16.976171493530273</v>
      </c>
      <c r="BW744" s="256">
        <v>42200</v>
      </c>
      <c r="BX744" s="251">
        <v>18.175000000000001</v>
      </c>
      <c r="BY744" s="256">
        <v>42200</v>
      </c>
      <c r="CD744" s="253">
        <v>7.9</v>
      </c>
      <c r="CE744" s="159">
        <v>42191</v>
      </c>
      <c r="CM744" s="255">
        <v>5</v>
      </c>
      <c r="CN744" s="256">
        <v>42180</v>
      </c>
      <c r="CO744" s="140" t="s">
        <v>8447</v>
      </c>
    </row>
    <row r="745" spans="1:93" ht="15">
      <c r="A745" s="124" t="s">
        <v>7551</v>
      </c>
      <c r="B745" s="161" t="s">
        <v>7551</v>
      </c>
      <c r="C745" s="268" t="s">
        <v>267</v>
      </c>
      <c r="D745" s="243">
        <v>4</v>
      </c>
      <c r="E745" s="191">
        <v>181</v>
      </c>
      <c r="F745" s="244">
        <v>23</v>
      </c>
      <c r="G745" s="245">
        <v>24</v>
      </c>
      <c r="L745" s="254">
        <v>8</v>
      </c>
      <c r="N745" s="246">
        <v>5.86</v>
      </c>
      <c r="O745" s="159">
        <v>42191</v>
      </c>
      <c r="T745" s="247">
        <v>16.510000000000002</v>
      </c>
      <c r="U745" s="256">
        <v>42200</v>
      </c>
      <c r="V745" s="145">
        <v>18.5</v>
      </c>
      <c r="W745" s="159">
        <v>42191</v>
      </c>
      <c r="AD745" s="145">
        <f>(N745/V745)*(((100-CD745)/100)*((100-2)/100))*100</f>
        <v>28.745042162162164</v>
      </c>
      <c r="AF745" s="248">
        <v>32.86</v>
      </c>
      <c r="AG745" s="159">
        <v>42191</v>
      </c>
      <c r="AJ745" s="249">
        <v>135</v>
      </c>
      <c r="AN745" s="250">
        <v>105</v>
      </c>
      <c r="BB745" s="257">
        <v>7</v>
      </c>
      <c r="BN745" s="251">
        <v>61.371000000000002</v>
      </c>
      <c r="BO745" s="256">
        <v>42200</v>
      </c>
      <c r="BT745" s="251">
        <v>50.242546081542969</v>
      </c>
      <c r="BU745" s="256">
        <v>42200</v>
      </c>
      <c r="BV745" s="251">
        <v>17.129362106323242</v>
      </c>
      <c r="BW745" s="256">
        <v>42200</v>
      </c>
      <c r="BX745" s="251">
        <v>16.579999999999998</v>
      </c>
      <c r="BY745" s="256">
        <v>42200</v>
      </c>
      <c r="CD745" s="253">
        <v>7.4</v>
      </c>
      <c r="CE745" s="159">
        <v>42191</v>
      </c>
      <c r="CM745" s="255">
        <v>1</v>
      </c>
      <c r="CN745" s="256">
        <v>42180</v>
      </c>
      <c r="CO745" s="140" t="s">
        <v>8447</v>
      </c>
    </row>
    <row r="746" spans="1:93" ht="15">
      <c r="A746" s="124" t="s">
        <v>7712</v>
      </c>
      <c r="B746" s="161" t="s">
        <v>7551</v>
      </c>
      <c r="C746" s="268" t="s">
        <v>267</v>
      </c>
      <c r="D746" s="243">
        <v>4</v>
      </c>
      <c r="E746" s="183">
        <v>126</v>
      </c>
      <c r="F746" s="244">
        <v>19</v>
      </c>
      <c r="G746" s="245">
        <v>22</v>
      </c>
      <c r="L746" s="254">
        <v>8</v>
      </c>
      <c r="N746" s="246">
        <v>5.86</v>
      </c>
      <c r="O746" s="159">
        <v>42191</v>
      </c>
      <c r="T746" s="247">
        <v>16.59</v>
      </c>
      <c r="U746" s="256">
        <v>42200</v>
      </c>
      <c r="V746" s="145">
        <v>18.5</v>
      </c>
      <c r="W746" s="159">
        <v>42191</v>
      </c>
      <c r="AD746" s="145">
        <f>(N746/V746)*(((100-CD746)/100)*((100-2)/100))*100</f>
        <v>28.745042162162164</v>
      </c>
      <c r="AF746" s="248">
        <v>32.86</v>
      </c>
      <c r="AG746" s="159">
        <v>42191</v>
      </c>
      <c r="AJ746" s="249">
        <v>120</v>
      </c>
      <c r="AN746" s="250">
        <v>103</v>
      </c>
      <c r="BB746" s="257">
        <v>7</v>
      </c>
      <c r="BN746" s="251">
        <v>61.604999999999997</v>
      </c>
      <c r="BO746" s="256">
        <v>42200</v>
      </c>
      <c r="BT746" s="251">
        <v>50.488716125488281</v>
      </c>
      <c r="BU746" s="256">
        <v>42200</v>
      </c>
      <c r="BV746" s="251">
        <v>17.66554069519043</v>
      </c>
      <c r="BW746" s="256">
        <v>42200</v>
      </c>
      <c r="BX746" s="251">
        <v>16.585000000000001</v>
      </c>
      <c r="BY746" s="256">
        <v>42200</v>
      </c>
      <c r="CD746" s="253">
        <v>7.4</v>
      </c>
      <c r="CE746" s="159">
        <v>42191</v>
      </c>
      <c r="CM746" s="255">
        <v>3</v>
      </c>
      <c r="CN746" s="256">
        <v>42180</v>
      </c>
      <c r="CO746" s="140" t="s">
        <v>8447</v>
      </c>
    </row>
    <row r="747" spans="1:93" ht="15">
      <c r="A747" s="124" t="s">
        <v>7712</v>
      </c>
      <c r="B747" s="161" t="s">
        <v>7551</v>
      </c>
      <c r="C747" s="268" t="s">
        <v>267</v>
      </c>
      <c r="D747" s="243">
        <v>3</v>
      </c>
      <c r="E747" s="183">
        <v>126</v>
      </c>
      <c r="F747" s="244">
        <v>13</v>
      </c>
      <c r="G747" s="245">
        <v>5</v>
      </c>
      <c r="L747" s="254">
        <v>8</v>
      </c>
      <c r="N747" s="246">
        <v>6</v>
      </c>
      <c r="O747" s="159">
        <v>42191</v>
      </c>
      <c r="T747" s="247">
        <v>16.32</v>
      </c>
      <c r="U747" s="256">
        <v>42200</v>
      </c>
      <c r="V747" s="145">
        <v>18.5</v>
      </c>
      <c r="W747" s="159">
        <v>42191</v>
      </c>
      <c r="AD747" s="145">
        <f>(N747/V747)*(((100-CD747)/100)*((100-2)/100))*100</f>
        <v>28.764324324324324</v>
      </c>
      <c r="AF747" s="248">
        <f>(N747/V747)*(((100-CD747)/(100-9))*100)</f>
        <v>32.254232254232257</v>
      </c>
      <c r="AG747" s="159">
        <v>42191</v>
      </c>
      <c r="AJ747" s="249">
        <v>135</v>
      </c>
      <c r="AN747" s="250">
        <v>102</v>
      </c>
      <c r="BB747" s="257">
        <v>7</v>
      </c>
      <c r="BN747" s="251">
        <v>61.478000000000002</v>
      </c>
      <c r="BO747" s="256">
        <v>42200</v>
      </c>
      <c r="BT747" s="251">
        <v>49.64495849609375</v>
      </c>
      <c r="BU747" s="256">
        <v>42200</v>
      </c>
      <c r="BV747" s="251">
        <v>17.853935241699219</v>
      </c>
      <c r="BW747" s="256">
        <v>42200</v>
      </c>
      <c r="BX747" s="251">
        <v>20.474</v>
      </c>
      <c r="BY747" s="256">
        <v>42200</v>
      </c>
      <c r="CD747" s="253">
        <v>9.5</v>
      </c>
      <c r="CE747" s="159">
        <v>42191</v>
      </c>
      <c r="CM747" s="255">
        <v>1</v>
      </c>
      <c r="CN747" s="256">
        <v>42180</v>
      </c>
      <c r="CO747" s="140" t="s">
        <v>8447</v>
      </c>
    </row>
    <row r="748" spans="1:93" ht="15">
      <c r="A748" s="124" t="s">
        <v>7668</v>
      </c>
      <c r="B748" s="161" t="s">
        <v>7517</v>
      </c>
      <c r="C748" s="268" t="s">
        <v>269</v>
      </c>
      <c r="D748" s="243">
        <v>1</v>
      </c>
      <c r="E748" s="183">
        <v>82</v>
      </c>
      <c r="F748" s="244">
        <v>2</v>
      </c>
      <c r="G748" s="245">
        <v>11</v>
      </c>
      <c r="L748" s="254">
        <v>8</v>
      </c>
      <c r="N748" s="246">
        <v>5.86</v>
      </c>
      <c r="O748" s="159">
        <v>42191</v>
      </c>
      <c r="T748" s="247">
        <v>16.670000000000002</v>
      </c>
      <c r="U748" s="256">
        <v>42200</v>
      </c>
      <c r="V748" s="145">
        <v>18.5</v>
      </c>
      <c r="W748" s="159">
        <v>42191</v>
      </c>
      <c r="AD748" s="145">
        <f>(N748/V748)*(((100-CD748)/100)*((100-2)/100))*100</f>
        <v>28.77608432432433</v>
      </c>
      <c r="AF748" s="248">
        <v>32.9</v>
      </c>
      <c r="AG748" s="159">
        <v>42191</v>
      </c>
      <c r="AJ748" s="249">
        <v>155</v>
      </c>
      <c r="AN748" s="250">
        <v>106</v>
      </c>
      <c r="BB748" s="257">
        <v>7</v>
      </c>
      <c r="BN748" s="251">
        <v>63.529000000000003</v>
      </c>
      <c r="BO748" s="256">
        <v>42200</v>
      </c>
      <c r="BT748" s="251">
        <v>50.6561279296875</v>
      </c>
      <c r="BU748" s="256">
        <v>42200</v>
      </c>
      <c r="BV748" s="251">
        <v>17.124645233154297</v>
      </c>
      <c r="BW748" s="256">
        <v>42200</v>
      </c>
      <c r="BX748" s="251">
        <v>17.661000000000001</v>
      </c>
      <c r="BY748" s="256">
        <v>42200</v>
      </c>
      <c r="CD748" s="253">
        <v>7.3</v>
      </c>
      <c r="CE748" s="159">
        <v>42191</v>
      </c>
      <c r="CM748" s="255">
        <v>3</v>
      </c>
      <c r="CN748" s="256">
        <v>42180</v>
      </c>
      <c r="CO748" s="140" t="s">
        <v>8447</v>
      </c>
    </row>
    <row r="749" spans="1:93" ht="15">
      <c r="A749" s="124" t="s">
        <v>7655</v>
      </c>
      <c r="B749" s="161" t="s">
        <v>7504</v>
      </c>
      <c r="C749" s="268" t="s">
        <v>269</v>
      </c>
      <c r="D749" s="243">
        <v>2</v>
      </c>
      <c r="E749" s="183">
        <v>69</v>
      </c>
      <c r="F749" s="244">
        <v>10</v>
      </c>
      <c r="G749" s="245">
        <v>24</v>
      </c>
      <c r="L749" s="254">
        <v>8</v>
      </c>
      <c r="N749" s="246">
        <v>5.83</v>
      </c>
      <c r="O749" s="159">
        <v>42191</v>
      </c>
      <c r="T749" s="247">
        <v>16.23</v>
      </c>
      <c r="U749" s="256">
        <v>42200</v>
      </c>
      <c r="V749" s="145">
        <v>18.5</v>
      </c>
      <c r="W749" s="159">
        <v>42191</v>
      </c>
      <c r="AD749" s="145">
        <f>(N749/V749)*(((100-CD749)/100)*((100-2)/100))*100</f>
        <v>28.783182702702703</v>
      </c>
      <c r="AF749" s="248">
        <f>(N749/V749)*(((100-CD749)/(100-9))*100)</f>
        <v>32.275378675378683</v>
      </c>
      <c r="AG749" s="159">
        <v>42191</v>
      </c>
      <c r="AJ749" s="249">
        <v>135</v>
      </c>
      <c r="AN749" s="250">
        <v>100</v>
      </c>
      <c r="BB749" s="257">
        <v>7</v>
      </c>
      <c r="BN749" s="251">
        <v>62.781999999999996</v>
      </c>
      <c r="BO749" s="256">
        <v>42200</v>
      </c>
      <c r="BT749" s="251">
        <v>49.336837768554688</v>
      </c>
      <c r="BU749" s="256">
        <v>42200</v>
      </c>
      <c r="BV749" s="251">
        <v>19.1793212890625</v>
      </c>
      <c r="BW749" s="256">
        <v>42200</v>
      </c>
      <c r="BX749" s="251">
        <v>18.440000000000001</v>
      </c>
      <c r="BY749" s="256">
        <v>42200</v>
      </c>
      <c r="CD749" s="253">
        <v>6.8</v>
      </c>
      <c r="CE749" s="159">
        <v>42191</v>
      </c>
      <c r="CM749" s="255">
        <v>1</v>
      </c>
      <c r="CN749" s="256">
        <v>42180</v>
      </c>
      <c r="CO749" s="140" t="s">
        <v>8448</v>
      </c>
    </row>
    <row r="750" spans="1:93" ht="15">
      <c r="A750" s="124" t="s">
        <v>7737</v>
      </c>
      <c r="B750" s="161" t="s">
        <v>7561</v>
      </c>
      <c r="C750" s="268" t="s">
        <v>269</v>
      </c>
      <c r="D750" s="243">
        <v>1</v>
      </c>
      <c r="E750" s="183">
        <v>151</v>
      </c>
      <c r="F750" s="244">
        <v>2</v>
      </c>
      <c r="G750" s="245">
        <v>32</v>
      </c>
      <c r="L750" s="254">
        <v>9</v>
      </c>
      <c r="N750" s="246">
        <v>5.83</v>
      </c>
      <c r="O750" s="159">
        <v>42191</v>
      </c>
      <c r="T750" s="247">
        <v>16.47</v>
      </c>
      <c r="U750" s="256">
        <v>42200</v>
      </c>
      <c r="V750" s="145">
        <v>18.5</v>
      </c>
      <c r="W750" s="159">
        <v>42191</v>
      </c>
      <c r="AD750" s="145">
        <f>(N750/V750)*(((100-CD750)/100)*((100-2)/100))*100</f>
        <v>28.783182702702703</v>
      </c>
      <c r="AF750" s="248">
        <f>(N750/V750)*(((100-CD750)/(100-9))*100)</f>
        <v>32.275378675378683</v>
      </c>
      <c r="AG750" s="159">
        <v>42191</v>
      </c>
      <c r="AJ750" s="249">
        <v>150</v>
      </c>
      <c r="AN750" s="250">
        <v>98</v>
      </c>
      <c r="BB750" s="257">
        <v>5</v>
      </c>
      <c r="BN750" s="251">
        <v>66.122</v>
      </c>
      <c r="BO750" s="256">
        <v>42200</v>
      </c>
      <c r="BT750" s="251">
        <v>50.074798583984375</v>
      </c>
      <c r="BU750" s="256">
        <v>42200</v>
      </c>
      <c r="BV750" s="251">
        <v>18.302402496337891</v>
      </c>
      <c r="BW750" s="256">
        <v>42200</v>
      </c>
      <c r="BX750" s="251">
        <v>15.429</v>
      </c>
      <c r="BY750" s="256">
        <v>42200</v>
      </c>
      <c r="CD750" s="253">
        <v>6.8</v>
      </c>
      <c r="CE750" s="159">
        <v>42191</v>
      </c>
      <c r="CM750" s="255">
        <v>1</v>
      </c>
      <c r="CN750" s="256">
        <v>42180</v>
      </c>
      <c r="CO750" s="140" t="s">
        <v>8447</v>
      </c>
    </row>
    <row r="751" spans="1:93" ht="15">
      <c r="A751" s="124" t="s">
        <v>7680</v>
      </c>
      <c r="B751" s="161" t="s">
        <v>261</v>
      </c>
      <c r="C751" s="268" t="s">
        <v>269</v>
      </c>
      <c r="D751" s="243">
        <v>2</v>
      </c>
      <c r="E751" s="183">
        <v>94</v>
      </c>
      <c r="F751" s="244">
        <v>9</v>
      </c>
      <c r="G751" s="245">
        <v>8</v>
      </c>
      <c r="L751" s="254">
        <v>9</v>
      </c>
      <c r="N751" s="246">
        <v>5.84</v>
      </c>
      <c r="O751" s="159">
        <v>42191</v>
      </c>
      <c r="T751" s="247">
        <v>16.73</v>
      </c>
      <c r="U751" s="256">
        <v>42200</v>
      </c>
      <c r="V751" s="145">
        <v>18.5</v>
      </c>
      <c r="W751" s="159">
        <v>42191</v>
      </c>
      <c r="AD751" s="145">
        <f>(N751/V751)*(((100-CD751)/100)*((100-2)/100))*100</f>
        <v>28.801617297297295</v>
      </c>
      <c r="AF751" s="248">
        <f>(N751/V751)*(((100-CD751)/(100-9))*100)</f>
        <v>32.296049896049894</v>
      </c>
      <c r="AG751" s="159">
        <v>42191</v>
      </c>
      <c r="AJ751" s="249">
        <v>140</v>
      </c>
      <c r="AN751" s="250">
        <v>99</v>
      </c>
      <c r="BB751" s="257">
        <v>7</v>
      </c>
      <c r="BN751" s="251">
        <v>61.533999999999999</v>
      </c>
      <c r="BO751" s="256">
        <v>42200</v>
      </c>
      <c r="BT751" s="251">
        <v>50.82757568359375</v>
      </c>
      <c r="BU751" s="256">
        <v>42200</v>
      </c>
      <c r="BV751" s="251">
        <v>18.381174087524414</v>
      </c>
      <c r="BW751" s="256">
        <v>42200</v>
      </c>
      <c r="BX751" s="251">
        <v>11.601000000000001</v>
      </c>
      <c r="BY751" s="256">
        <v>42200</v>
      </c>
      <c r="CD751" s="253">
        <v>6.9</v>
      </c>
      <c r="CE751" s="159">
        <v>42191</v>
      </c>
      <c r="CM751" s="255">
        <v>1</v>
      </c>
      <c r="CN751" s="256">
        <v>42180</v>
      </c>
      <c r="CO751" s="140" t="s">
        <v>8448</v>
      </c>
    </row>
    <row r="752" spans="1:93" ht="15">
      <c r="A752" s="124" t="s">
        <v>7739</v>
      </c>
      <c r="B752" s="161" t="s">
        <v>7563</v>
      </c>
      <c r="C752" s="268" t="s">
        <v>267</v>
      </c>
      <c r="D752" s="243">
        <v>4</v>
      </c>
      <c r="E752" s="183">
        <v>153</v>
      </c>
      <c r="F752" s="244">
        <v>19</v>
      </c>
      <c r="G752" s="245">
        <v>3</v>
      </c>
      <c r="L752" s="254">
        <v>9</v>
      </c>
      <c r="N752" s="246">
        <v>5.89</v>
      </c>
      <c r="O752" s="159">
        <v>42191</v>
      </c>
      <c r="T752" s="247">
        <v>17.05</v>
      </c>
      <c r="U752" s="256">
        <v>42200</v>
      </c>
      <c r="V752" s="145">
        <v>18.5</v>
      </c>
      <c r="W752" s="159">
        <v>42191</v>
      </c>
      <c r="AD752" s="145">
        <f>(N752/V752)*(((100-CD752)/100)*((100-2)/100))*100</f>
        <v>28.829798918918915</v>
      </c>
      <c r="AF752" s="248">
        <f>(N752/V752)*(((100-CD752)/(100-9))*100)</f>
        <v>32.327650727650735</v>
      </c>
      <c r="AG752" s="159">
        <v>42191</v>
      </c>
      <c r="AJ752" s="249">
        <v>130</v>
      </c>
      <c r="AN752" s="250">
        <v>101</v>
      </c>
      <c r="BB752" s="257">
        <v>9</v>
      </c>
      <c r="BN752" s="251">
        <v>64.108000000000004</v>
      </c>
      <c r="BO752" s="256">
        <v>42200</v>
      </c>
      <c r="BT752" s="251">
        <v>51.739997863769531</v>
      </c>
      <c r="BU752" s="256">
        <v>42200</v>
      </c>
      <c r="BV752" s="251">
        <v>16.253042221069336</v>
      </c>
      <c r="BW752" s="256">
        <v>42200</v>
      </c>
      <c r="BX752" s="251">
        <v>18.972999999999999</v>
      </c>
      <c r="BY752" s="256">
        <v>42200</v>
      </c>
      <c r="CD752" s="253">
        <v>7.6</v>
      </c>
      <c r="CE752" s="159">
        <v>42191</v>
      </c>
      <c r="CM752" s="255">
        <v>1</v>
      </c>
      <c r="CN752" s="256">
        <v>42180</v>
      </c>
      <c r="CO752" s="140" t="s">
        <v>8447</v>
      </c>
    </row>
    <row r="753" spans="1:93" ht="15">
      <c r="A753" s="124" t="s">
        <v>7589</v>
      </c>
      <c r="B753" s="161" t="s">
        <v>7449</v>
      </c>
      <c r="C753" s="268" t="s">
        <v>269</v>
      </c>
      <c r="D753" s="243">
        <v>1</v>
      </c>
      <c r="E753" s="183">
        <v>3</v>
      </c>
      <c r="F753" s="244">
        <v>1</v>
      </c>
      <c r="G753" s="245">
        <v>24</v>
      </c>
      <c r="J753" s="266"/>
      <c r="L753" s="254">
        <v>9</v>
      </c>
      <c r="N753" s="246">
        <v>5.85</v>
      </c>
      <c r="O753" s="159">
        <v>42191</v>
      </c>
      <c r="P753" s="144"/>
      <c r="R753" s="145"/>
      <c r="T753" s="247">
        <v>16.670000000000002</v>
      </c>
      <c r="U753" s="256">
        <v>42200</v>
      </c>
      <c r="V753" s="145">
        <v>18.5</v>
      </c>
      <c r="W753" s="159">
        <v>42191</v>
      </c>
      <c r="X753" s="145"/>
      <c r="Z753" s="145"/>
      <c r="AB753" s="145"/>
      <c r="AD753" s="145">
        <f>(N753/V753)*(((100-CD753)/100)*((100-2)/100))*100</f>
        <v>28.850935135135131</v>
      </c>
      <c r="AF753" s="248">
        <f>(N753/V753)*(((100-CD753)/(100-9))*100)</f>
        <v>32.351351351351347</v>
      </c>
      <c r="AG753" s="159">
        <v>42191</v>
      </c>
      <c r="AJ753" s="249">
        <v>160</v>
      </c>
      <c r="AL753" s="145"/>
      <c r="AN753" s="250">
        <v>105</v>
      </c>
      <c r="BB753" s="257">
        <v>7</v>
      </c>
      <c r="BN753" s="251">
        <v>65.754000000000005</v>
      </c>
      <c r="BO753" s="256">
        <v>42200</v>
      </c>
      <c r="BT753" s="251">
        <v>50.539501190185547</v>
      </c>
      <c r="BU753" s="256">
        <v>42200</v>
      </c>
      <c r="BV753" s="251">
        <v>18.425613403320312</v>
      </c>
      <c r="BW753" s="256">
        <v>42200</v>
      </c>
      <c r="BX753" s="251">
        <v>73.744</v>
      </c>
      <c r="BY753" s="256">
        <v>42200</v>
      </c>
      <c r="CD753" s="253">
        <v>6.9</v>
      </c>
      <c r="CE753" s="159">
        <v>42191</v>
      </c>
      <c r="CM753" s="255">
        <v>1</v>
      </c>
      <c r="CN753" s="256">
        <v>42180</v>
      </c>
      <c r="CO753" s="140" t="s">
        <v>8447</v>
      </c>
    </row>
    <row r="754" spans="1:93" ht="15" customHeight="1">
      <c r="A754" s="124" t="s">
        <v>7757</v>
      </c>
      <c r="B754" s="161" t="s">
        <v>7581</v>
      </c>
      <c r="C754" s="268" t="s">
        <v>267</v>
      </c>
      <c r="D754" s="257">
        <v>4</v>
      </c>
      <c r="E754" s="183">
        <v>171</v>
      </c>
      <c r="F754" s="257">
        <v>24</v>
      </c>
      <c r="G754" s="257">
        <v>18</v>
      </c>
      <c r="L754" s="257">
        <v>7</v>
      </c>
      <c r="N754" s="257">
        <v>5.86</v>
      </c>
      <c r="O754" s="159">
        <v>42191</v>
      </c>
      <c r="T754" s="257">
        <v>17.03</v>
      </c>
      <c r="U754" s="256">
        <v>42200</v>
      </c>
      <c r="V754" s="145">
        <v>18.5</v>
      </c>
      <c r="W754" s="159">
        <v>42191</v>
      </c>
      <c r="AD754" s="145">
        <f>(N754/V754)*(((100-CD754)/100)*((100-2)/100))*100</f>
        <v>28.900252972972972</v>
      </c>
      <c r="AF754" s="257">
        <v>33.04</v>
      </c>
      <c r="AG754" s="159">
        <v>42191</v>
      </c>
      <c r="AJ754" s="257">
        <v>150</v>
      </c>
      <c r="AN754" s="257">
        <v>102</v>
      </c>
      <c r="BB754" s="257">
        <v>7</v>
      </c>
      <c r="BN754" s="251">
        <v>64.757999999999996</v>
      </c>
      <c r="BO754" s="256">
        <v>42200</v>
      </c>
      <c r="BT754" s="251">
        <v>51.539085388183594</v>
      </c>
      <c r="BU754" s="256">
        <v>42200</v>
      </c>
      <c r="BV754" s="251">
        <v>17.224308013916016</v>
      </c>
      <c r="BW754" s="256">
        <v>42200</v>
      </c>
      <c r="BX754" s="251">
        <v>13.164</v>
      </c>
      <c r="BY754" s="256">
        <v>42200</v>
      </c>
      <c r="CD754" s="257">
        <v>6.9</v>
      </c>
      <c r="CE754" s="159">
        <v>42191</v>
      </c>
      <c r="CM754" s="255">
        <v>1</v>
      </c>
      <c r="CN754" s="256">
        <v>42180</v>
      </c>
      <c r="CO754" s="140" t="s">
        <v>8447</v>
      </c>
    </row>
    <row r="755" spans="1:93" ht="15" customHeight="1">
      <c r="A755" s="124" t="s">
        <v>7732</v>
      </c>
      <c r="B755" s="161" t="s">
        <v>7557</v>
      </c>
      <c r="C755" s="268" t="s">
        <v>269</v>
      </c>
      <c r="D755" s="257">
        <v>2</v>
      </c>
      <c r="E755" s="183">
        <v>146</v>
      </c>
      <c r="F755" s="257">
        <v>9</v>
      </c>
      <c r="G755" s="257">
        <v>5</v>
      </c>
      <c r="L755" s="257">
        <v>8</v>
      </c>
      <c r="N755" s="257">
        <v>5.89</v>
      </c>
      <c r="O755" s="159">
        <v>42191</v>
      </c>
      <c r="T755" s="257">
        <v>16.03</v>
      </c>
      <c r="U755" s="256">
        <v>42200</v>
      </c>
      <c r="V755" s="145">
        <v>18.5</v>
      </c>
      <c r="W755" s="159">
        <v>42191</v>
      </c>
      <c r="AD755" s="145">
        <f>(N755/V755)*(((100-CD755)/100)*((100-2)/100))*100</f>
        <v>28.954603243243238</v>
      </c>
      <c r="AF755" s="257">
        <f>(N755/V755)*(((100-CD755)/(100-9))*100)</f>
        <v>32.467597267597263</v>
      </c>
      <c r="AG755" s="159">
        <v>42191</v>
      </c>
      <c r="AJ755" s="257">
        <v>145</v>
      </c>
      <c r="AN755" s="257">
        <v>100</v>
      </c>
      <c r="BB755" s="257">
        <v>7</v>
      </c>
      <c r="BN755" s="251">
        <v>62.494</v>
      </c>
      <c r="BO755" s="256">
        <v>42200</v>
      </c>
      <c r="BT755" s="251">
        <v>48.441768646240234</v>
      </c>
      <c r="BU755" s="256">
        <v>42200</v>
      </c>
      <c r="BV755" s="251">
        <v>19.101865768432617</v>
      </c>
      <c r="BW755" s="256">
        <v>42200</v>
      </c>
      <c r="BX755" s="251">
        <v>17.012</v>
      </c>
      <c r="BY755" s="256">
        <v>42200</v>
      </c>
      <c r="CD755" s="257">
        <v>7.2</v>
      </c>
      <c r="CE755" s="159">
        <v>42191</v>
      </c>
      <c r="CM755" s="255">
        <v>1</v>
      </c>
      <c r="CN755" s="256">
        <v>42180</v>
      </c>
      <c r="CO755" s="140" t="s">
        <v>8448</v>
      </c>
    </row>
    <row r="756" spans="1:93" ht="15" customHeight="1">
      <c r="A756" s="124" t="s">
        <v>7741</v>
      </c>
      <c r="B756" s="161" t="s">
        <v>7565</v>
      </c>
      <c r="C756" s="268" t="s">
        <v>267</v>
      </c>
      <c r="D756" s="257">
        <v>4</v>
      </c>
      <c r="E756" s="183">
        <v>155</v>
      </c>
      <c r="F756" s="257">
        <v>22</v>
      </c>
      <c r="G756" s="257">
        <v>2</v>
      </c>
      <c r="L756" s="257">
        <v>6</v>
      </c>
      <c r="N756" s="257">
        <v>6</v>
      </c>
      <c r="O756" s="159">
        <v>42191</v>
      </c>
      <c r="T756" s="257">
        <v>16.97</v>
      </c>
      <c r="U756" s="256">
        <v>42200</v>
      </c>
      <c r="V756" s="145">
        <v>18.5</v>
      </c>
      <c r="W756" s="159">
        <v>42191</v>
      </c>
      <c r="AD756" s="145">
        <f>(N756/V756)*(((100-CD756)/100)*((100-2)/100))*100</f>
        <v>29.050378378378383</v>
      </c>
      <c r="AF756" s="257">
        <f>(N756/V756)*(((100-CD756)/(100-9))*100)</f>
        <v>32.574992574992578</v>
      </c>
      <c r="AG756" s="159">
        <v>42191</v>
      </c>
      <c r="AJ756" s="257">
        <v>130</v>
      </c>
      <c r="AN756" s="257">
        <v>103</v>
      </c>
      <c r="BB756" s="257">
        <v>9</v>
      </c>
      <c r="BN756" s="251">
        <v>63.857999999999997</v>
      </c>
      <c r="BO756" s="256">
        <v>42200</v>
      </c>
      <c r="BT756" s="251">
        <v>51.113197326660156</v>
      </c>
      <c r="BU756" s="256">
        <v>42200</v>
      </c>
      <c r="BV756" s="251">
        <v>16.548845291137695</v>
      </c>
      <c r="BW756" s="256">
        <v>42200</v>
      </c>
      <c r="BX756" s="251">
        <v>12.456</v>
      </c>
      <c r="BY756" s="256">
        <v>42200</v>
      </c>
      <c r="CD756" s="257">
        <v>8.6</v>
      </c>
      <c r="CE756" s="159">
        <v>42191</v>
      </c>
      <c r="CM756" s="255">
        <v>1</v>
      </c>
      <c r="CN756" s="256">
        <v>42180</v>
      </c>
      <c r="CO756" s="140" t="s">
        <v>8447</v>
      </c>
    </row>
    <row r="757" spans="1:93" ht="15" customHeight="1">
      <c r="A757" s="124" t="s">
        <v>7754</v>
      </c>
      <c r="B757" s="161" t="s">
        <v>7578</v>
      </c>
      <c r="C757" s="268" t="s">
        <v>269</v>
      </c>
      <c r="D757" s="257">
        <v>1</v>
      </c>
      <c r="E757" s="183">
        <v>168</v>
      </c>
      <c r="F757" s="257">
        <v>5</v>
      </c>
      <c r="G757" s="257">
        <v>3</v>
      </c>
      <c r="L757" s="257">
        <v>9</v>
      </c>
      <c r="N757" s="257">
        <v>5.91</v>
      </c>
      <c r="O757" s="159">
        <v>42191</v>
      </c>
      <c r="T757" s="257">
        <v>17.399999999999999</v>
      </c>
      <c r="U757" s="256">
        <v>42200</v>
      </c>
      <c r="V757" s="145">
        <v>18.5</v>
      </c>
      <c r="W757" s="159">
        <v>42191</v>
      </c>
      <c r="AD757" s="145">
        <f>(N757/V757)*(((100-CD757)/100)*((100-2)/100))*100</f>
        <v>29.052921081081077</v>
      </c>
      <c r="AF757" s="257">
        <v>33.21</v>
      </c>
      <c r="AG757" s="159">
        <v>42191</v>
      </c>
      <c r="AJ757" s="257">
        <v>160</v>
      </c>
      <c r="AN757" s="257">
        <v>100</v>
      </c>
      <c r="BB757" s="257">
        <v>5</v>
      </c>
      <c r="BN757" s="251">
        <v>65.147999999999996</v>
      </c>
      <c r="BO757" s="256">
        <v>42200</v>
      </c>
      <c r="BT757" s="251">
        <v>52.398632049560547</v>
      </c>
      <c r="BU757" s="256">
        <v>42200</v>
      </c>
      <c r="BV757" s="251">
        <v>16.063774108886719</v>
      </c>
      <c r="BW757" s="256">
        <v>42200</v>
      </c>
      <c r="BX757" s="251">
        <v>14.506</v>
      </c>
      <c r="BY757" s="256">
        <v>42200</v>
      </c>
      <c r="CD757" s="257">
        <v>7.2</v>
      </c>
      <c r="CE757" s="159">
        <v>42191</v>
      </c>
      <c r="CM757" s="255">
        <v>1</v>
      </c>
      <c r="CN757" s="256">
        <v>42180</v>
      </c>
      <c r="CO757" s="140" t="s">
        <v>8447</v>
      </c>
    </row>
    <row r="758" spans="1:93" ht="15">
      <c r="A758" s="124" t="s">
        <v>7652</v>
      </c>
      <c r="B758" s="161" t="s">
        <v>7502</v>
      </c>
      <c r="C758" s="268" t="s">
        <v>267</v>
      </c>
      <c r="D758" s="243">
        <v>4</v>
      </c>
      <c r="E758" s="183">
        <v>66</v>
      </c>
      <c r="F758" s="244">
        <v>20</v>
      </c>
      <c r="G758" s="245">
        <v>4</v>
      </c>
      <c r="L758" s="254">
        <v>9</v>
      </c>
      <c r="N758" s="246">
        <v>6</v>
      </c>
      <c r="O758" s="159">
        <v>42191</v>
      </c>
      <c r="T758" s="247">
        <v>16.440000000000001</v>
      </c>
      <c r="U758" s="256">
        <v>42200</v>
      </c>
      <c r="V758" s="145">
        <v>18.5</v>
      </c>
      <c r="W758" s="159">
        <v>42191</v>
      </c>
      <c r="AD758" s="145">
        <f>(N758/V758)*(((100-CD758)/100)*((100-2)/100))*100</f>
        <v>29.082162162162167</v>
      </c>
      <c r="AF758" s="248">
        <f>(N758/V758)*(((100-CD758)/(100-9))*100)</f>
        <v>32.610632610632607</v>
      </c>
      <c r="AG758" s="159">
        <v>42191</v>
      </c>
      <c r="AJ758" s="249">
        <v>120</v>
      </c>
      <c r="AN758" s="250">
        <v>102</v>
      </c>
      <c r="BB758" s="257">
        <v>7</v>
      </c>
      <c r="BN758" s="251">
        <v>63.48</v>
      </c>
      <c r="BO758" s="256">
        <v>42200</v>
      </c>
      <c r="BT758" s="251">
        <v>49.446895599365234</v>
      </c>
      <c r="BU758" s="256">
        <v>42200</v>
      </c>
      <c r="BV758" s="251">
        <v>18.468748092651367</v>
      </c>
      <c r="BW758" s="256">
        <v>42200</v>
      </c>
      <c r="BX758" s="251">
        <v>18.131</v>
      </c>
      <c r="BY758" s="256">
        <v>42200</v>
      </c>
      <c r="CD758" s="253">
        <v>8.5</v>
      </c>
      <c r="CE758" s="159">
        <v>42191</v>
      </c>
      <c r="CM758" s="255">
        <v>1</v>
      </c>
      <c r="CN758" s="256">
        <v>42180</v>
      </c>
      <c r="CO758" s="140" t="s">
        <v>8447</v>
      </c>
    </row>
    <row r="759" spans="1:93" ht="15">
      <c r="A759" s="124" t="s">
        <v>7638</v>
      </c>
      <c r="B759" s="161" t="s">
        <v>7490</v>
      </c>
      <c r="C759" s="268" t="s">
        <v>269</v>
      </c>
      <c r="D759" s="243">
        <v>1</v>
      </c>
      <c r="E759" s="183">
        <v>52</v>
      </c>
      <c r="F759" s="244">
        <v>5</v>
      </c>
      <c r="G759" s="245">
        <v>6</v>
      </c>
      <c r="L759" s="254">
        <v>5</v>
      </c>
      <c r="N759" s="246">
        <v>5.91</v>
      </c>
      <c r="O759" s="159">
        <v>42191</v>
      </c>
      <c r="T759" s="247">
        <v>16.53</v>
      </c>
      <c r="U759" s="256">
        <v>42200</v>
      </c>
      <c r="V759" s="145">
        <v>18.5</v>
      </c>
      <c r="W759" s="159">
        <v>42191</v>
      </c>
      <c r="AD759" s="145">
        <f>(N759/V759)*(((100-CD759)/100)*((100-2)/100))*100</f>
        <v>29.084228108108114</v>
      </c>
      <c r="AF759" s="248">
        <f>(N759/V759)*(((100-CD759)/(100-9))*100)</f>
        <v>32.612949212949218</v>
      </c>
      <c r="AG759" s="159">
        <v>42191</v>
      </c>
      <c r="AJ759" s="249">
        <v>145</v>
      </c>
      <c r="AN759" s="250">
        <v>103</v>
      </c>
      <c r="BB759" s="257">
        <v>9</v>
      </c>
      <c r="BN759" s="251">
        <v>63.545999999999999</v>
      </c>
      <c r="BO759" s="256">
        <v>42200</v>
      </c>
      <c r="BT759" s="251">
        <v>49.721214294433594</v>
      </c>
      <c r="BU759" s="256">
        <v>42200</v>
      </c>
      <c r="BV759" s="251">
        <v>17.271064758300781</v>
      </c>
      <c r="BW759" s="256">
        <v>42200</v>
      </c>
      <c r="BX759" s="251">
        <v>15.821</v>
      </c>
      <c r="BY759" s="256">
        <v>42200</v>
      </c>
      <c r="CD759" s="253">
        <v>7.1</v>
      </c>
      <c r="CE759" s="159">
        <v>42191</v>
      </c>
      <c r="CM759" s="255">
        <v>1</v>
      </c>
      <c r="CN759" s="256">
        <v>42180</v>
      </c>
      <c r="CO759" s="140" t="s">
        <v>8447</v>
      </c>
    </row>
    <row r="760" spans="1:93" ht="15">
      <c r="A760" s="124" t="s">
        <v>7641</v>
      </c>
      <c r="B760" s="161" t="s">
        <v>7493</v>
      </c>
      <c r="C760" s="268" t="s">
        <v>269</v>
      </c>
      <c r="D760" s="243">
        <v>1</v>
      </c>
      <c r="E760" s="183">
        <v>55</v>
      </c>
      <c r="F760" s="244">
        <v>5</v>
      </c>
      <c r="G760" s="245">
        <v>31</v>
      </c>
      <c r="L760" s="254">
        <v>5</v>
      </c>
      <c r="N760" s="246">
        <v>5.92</v>
      </c>
      <c r="O760" s="159">
        <v>42191</v>
      </c>
      <c r="T760" s="247">
        <v>17.37</v>
      </c>
      <c r="U760" s="256">
        <v>42200</v>
      </c>
      <c r="V760" s="145">
        <v>18.5</v>
      </c>
      <c r="W760" s="159">
        <v>42191</v>
      </c>
      <c r="AD760" s="145">
        <f>(N760/V760)*(((100-CD760)/100)*((100-2)/100))*100</f>
        <v>29.102079999999997</v>
      </c>
      <c r="AF760" s="248">
        <f>(N760/V760)*(((100-CD760)/(100-9))*100)</f>
        <v>32.632967032967031</v>
      </c>
      <c r="AG760" s="159">
        <v>42191</v>
      </c>
      <c r="AJ760" s="249">
        <v>150</v>
      </c>
      <c r="AN760" s="250">
        <v>105</v>
      </c>
      <c r="BB760" s="257">
        <v>7</v>
      </c>
      <c r="BN760" s="251">
        <v>63.009</v>
      </c>
      <c r="BO760" s="256">
        <v>42200</v>
      </c>
      <c r="BT760" s="251">
        <v>52.208724975585937</v>
      </c>
      <c r="BU760" s="256">
        <v>42200</v>
      </c>
      <c r="BV760" s="251">
        <v>16.69805908203125</v>
      </c>
      <c r="BW760" s="256">
        <v>42200</v>
      </c>
      <c r="BX760" s="251">
        <v>17.664000000000001</v>
      </c>
      <c r="BY760" s="256">
        <v>42200</v>
      </c>
      <c r="CD760" s="253">
        <v>7.2</v>
      </c>
      <c r="CE760" s="159">
        <v>42191</v>
      </c>
      <c r="CM760" s="255">
        <v>1</v>
      </c>
      <c r="CN760" s="256">
        <v>42180</v>
      </c>
      <c r="CO760" s="140" t="s">
        <v>8447</v>
      </c>
    </row>
    <row r="761" spans="1:93" ht="15">
      <c r="A761" s="124" t="s">
        <v>7524</v>
      </c>
      <c r="B761" s="161" t="s">
        <v>7524</v>
      </c>
      <c r="C761" s="268" t="s">
        <v>269</v>
      </c>
      <c r="D761" s="243">
        <v>1</v>
      </c>
      <c r="E761" s="191">
        <v>187</v>
      </c>
      <c r="F761" s="244">
        <v>2</v>
      </c>
      <c r="G761" s="245">
        <v>22</v>
      </c>
      <c r="L761" s="254">
        <v>7</v>
      </c>
      <c r="N761" s="246">
        <v>5.91</v>
      </c>
      <c r="O761" s="159">
        <v>42191</v>
      </c>
      <c r="T761" s="247">
        <v>16.940000000000001</v>
      </c>
      <c r="U761" s="256">
        <v>42200</v>
      </c>
      <c r="V761" s="145">
        <v>18.5</v>
      </c>
      <c r="W761" s="159">
        <v>42191</v>
      </c>
      <c r="AD761" s="145">
        <f>(N761/V761)*(((100-CD761)/100)*((100-2)/100))*100</f>
        <v>29.146842162162162</v>
      </c>
      <c r="AF761" s="248">
        <v>33.32</v>
      </c>
      <c r="AG761" s="159">
        <v>42191</v>
      </c>
      <c r="AJ761" s="249">
        <v>135</v>
      </c>
      <c r="AN761" s="250">
        <v>98</v>
      </c>
      <c r="BB761" s="257">
        <v>7</v>
      </c>
      <c r="BN761" s="251">
        <v>65.177999999999997</v>
      </c>
      <c r="BO761" s="256">
        <v>42200</v>
      </c>
      <c r="BT761" s="251">
        <v>50.828285217285156</v>
      </c>
      <c r="BU761" s="256">
        <v>42200</v>
      </c>
      <c r="BV761" s="251">
        <v>19.383359909057617</v>
      </c>
      <c r="BW761" s="256">
        <v>42200</v>
      </c>
      <c r="BX761" s="251">
        <v>13.875</v>
      </c>
      <c r="BY761" s="256">
        <v>42200</v>
      </c>
      <c r="CD761" s="253">
        <v>6.9</v>
      </c>
      <c r="CE761" s="159">
        <v>42191</v>
      </c>
      <c r="CM761" s="255">
        <v>1</v>
      </c>
      <c r="CN761" s="256">
        <v>42180</v>
      </c>
      <c r="CO761" s="140" t="s">
        <v>8447</v>
      </c>
    </row>
    <row r="762" spans="1:93" ht="15">
      <c r="A762" s="124" t="s">
        <v>8329</v>
      </c>
      <c r="B762" s="161" t="s">
        <v>8329</v>
      </c>
      <c r="C762" s="268" t="s">
        <v>269</v>
      </c>
      <c r="D762" s="243">
        <v>1</v>
      </c>
      <c r="E762" s="191">
        <v>190</v>
      </c>
      <c r="F762" s="244">
        <v>5</v>
      </c>
      <c r="G762" s="245">
        <v>2</v>
      </c>
      <c r="L762" s="254">
        <v>9</v>
      </c>
      <c r="N762" s="246">
        <v>5.92</v>
      </c>
      <c r="O762" s="159">
        <v>42191</v>
      </c>
      <c r="T762" s="247">
        <v>17.45</v>
      </c>
      <c r="U762" s="256">
        <v>42200</v>
      </c>
      <c r="V762" s="145">
        <v>18.5</v>
      </c>
      <c r="W762" s="159">
        <v>42191</v>
      </c>
      <c r="AD762" s="145">
        <f>(N762/V762)*(((100-CD762)/100)*((100-2)/100))*100</f>
        <v>29.164800000000003</v>
      </c>
      <c r="AF762" s="248">
        <v>33.340000000000003</v>
      </c>
      <c r="AG762" s="159">
        <v>42191</v>
      </c>
      <c r="AJ762" s="249">
        <v>165</v>
      </c>
      <c r="AN762" s="250">
        <v>100</v>
      </c>
      <c r="BB762" s="257">
        <v>7</v>
      </c>
      <c r="BN762" s="251">
        <v>63.396999999999998</v>
      </c>
      <c r="BO762" s="256">
        <v>42200</v>
      </c>
      <c r="BT762" s="251">
        <v>52.343269348144531</v>
      </c>
      <c r="BU762" s="256">
        <v>42200</v>
      </c>
      <c r="BV762" s="251">
        <v>15.992883682250977</v>
      </c>
      <c r="BW762" s="256">
        <v>42200</v>
      </c>
      <c r="BX762" s="251">
        <v>18.204999999999998</v>
      </c>
      <c r="BY762" s="256">
        <v>42200</v>
      </c>
      <c r="CD762" s="253">
        <v>7</v>
      </c>
      <c r="CE762" s="159">
        <v>42191</v>
      </c>
      <c r="CM762" s="255">
        <v>1</v>
      </c>
      <c r="CN762" s="256">
        <v>42180</v>
      </c>
      <c r="CO762" s="140" t="s">
        <v>8447</v>
      </c>
    </row>
    <row r="763" spans="1:93" ht="15">
      <c r="A763" s="124" t="s">
        <v>7693</v>
      </c>
      <c r="B763" s="161" t="s">
        <v>7539</v>
      </c>
      <c r="C763" s="268" t="s">
        <v>269</v>
      </c>
      <c r="D763" s="243">
        <v>1</v>
      </c>
      <c r="E763" s="183">
        <v>107</v>
      </c>
      <c r="F763" s="244">
        <v>4</v>
      </c>
      <c r="G763" s="245">
        <v>8</v>
      </c>
      <c r="L763" s="254">
        <v>9</v>
      </c>
      <c r="N763" s="246">
        <v>5.96</v>
      </c>
      <c r="O763" s="159">
        <v>42191</v>
      </c>
      <c r="T763" s="247">
        <v>17.3</v>
      </c>
      <c r="U763" s="256">
        <v>42200</v>
      </c>
      <c r="V763" s="145">
        <v>18.5</v>
      </c>
      <c r="W763" s="159">
        <v>42191</v>
      </c>
      <c r="AD763" s="145">
        <f>(N763/V763)*(((100-CD763)/100)*((100-2)/100))*100</f>
        <v>29.267143783783784</v>
      </c>
      <c r="AF763" s="248">
        <f>(N763/V763)*(((100-CD763)/(100-9))*100)</f>
        <v>32.818057618057615</v>
      </c>
      <c r="AG763" s="159">
        <v>42191</v>
      </c>
      <c r="AJ763" s="249">
        <v>165</v>
      </c>
      <c r="AN763" s="250">
        <v>105</v>
      </c>
      <c r="BB763" s="257">
        <v>5</v>
      </c>
      <c r="BN763" s="251">
        <v>63.423999999999999</v>
      </c>
      <c r="BO763" s="256">
        <v>42200</v>
      </c>
      <c r="BT763" s="251">
        <v>51.697715759277344</v>
      </c>
      <c r="BU763" s="256">
        <v>42200</v>
      </c>
      <c r="BV763" s="251">
        <v>15.922998428344727</v>
      </c>
      <c r="BW763" s="256">
        <v>42200</v>
      </c>
      <c r="BX763" s="251">
        <v>15.586</v>
      </c>
      <c r="BY763" s="256">
        <v>42200</v>
      </c>
      <c r="CD763" s="253">
        <v>7.3</v>
      </c>
      <c r="CE763" s="159">
        <v>42191</v>
      </c>
      <c r="CM763" s="255">
        <v>1</v>
      </c>
      <c r="CN763" s="256">
        <v>42180</v>
      </c>
      <c r="CO763" s="140" t="s">
        <v>8447</v>
      </c>
    </row>
    <row r="764" spans="1:93" ht="15">
      <c r="A764" s="124" t="s">
        <v>7751</v>
      </c>
      <c r="B764" s="161" t="s">
        <v>7575</v>
      </c>
      <c r="C764" s="268" t="s">
        <v>267</v>
      </c>
      <c r="D764" s="243">
        <v>4</v>
      </c>
      <c r="E764" s="183">
        <v>165</v>
      </c>
      <c r="F764" s="244">
        <v>19</v>
      </c>
      <c r="G764" s="245">
        <v>5</v>
      </c>
      <c r="L764" s="254">
        <v>9</v>
      </c>
      <c r="N764" s="246">
        <v>6.07</v>
      </c>
      <c r="O764" s="159">
        <v>42191</v>
      </c>
      <c r="T764" s="247">
        <v>17.2</v>
      </c>
      <c r="U764" s="256">
        <v>42200</v>
      </c>
      <c r="V764" s="145">
        <v>18.5</v>
      </c>
      <c r="W764" s="159">
        <v>42191</v>
      </c>
      <c r="AD764" s="145">
        <f>(N764/V764)*(((100-CD764)/100)*((100-2)/100))*100</f>
        <v>29.324990270270273</v>
      </c>
      <c r="AF764" s="248">
        <v>33.520000000000003</v>
      </c>
      <c r="AG764" s="159">
        <v>42191</v>
      </c>
      <c r="AJ764" s="249">
        <v>125</v>
      </c>
      <c r="AN764" s="250">
        <v>103</v>
      </c>
      <c r="BB764" s="257">
        <v>7</v>
      </c>
      <c r="BN764" s="251">
        <v>65.564999999999998</v>
      </c>
      <c r="BO764" s="256">
        <v>42200</v>
      </c>
      <c r="BT764" s="251">
        <v>51.306182861328125</v>
      </c>
      <c r="BU764" s="256">
        <v>42200</v>
      </c>
      <c r="BV764" s="251">
        <v>18.228645324707031</v>
      </c>
      <c r="BW764" s="256">
        <v>42200</v>
      </c>
      <c r="BX764" s="251">
        <v>17.914999999999999</v>
      </c>
      <c r="BY764" s="256">
        <v>42200</v>
      </c>
      <c r="CD764" s="253">
        <v>8.8000000000000007</v>
      </c>
      <c r="CE764" s="159">
        <v>42191</v>
      </c>
      <c r="CM764" s="255">
        <v>1</v>
      </c>
      <c r="CN764" s="256">
        <v>42180</v>
      </c>
      <c r="CO764" s="140" t="s">
        <v>8447</v>
      </c>
    </row>
    <row r="765" spans="1:93" ht="15">
      <c r="A765" s="124" t="s">
        <v>7750</v>
      </c>
      <c r="B765" s="161" t="s">
        <v>7574</v>
      </c>
      <c r="C765" s="268" t="s">
        <v>269</v>
      </c>
      <c r="D765" s="243">
        <v>2</v>
      </c>
      <c r="E765" s="183">
        <v>164</v>
      </c>
      <c r="F765" s="244">
        <v>12</v>
      </c>
      <c r="G765" s="245">
        <v>21</v>
      </c>
      <c r="L765" s="254">
        <v>9</v>
      </c>
      <c r="N765" s="246">
        <v>5.96</v>
      </c>
      <c r="O765" s="159">
        <v>42191</v>
      </c>
      <c r="T765" s="247">
        <v>16.899999999999999</v>
      </c>
      <c r="U765" s="256">
        <v>42200</v>
      </c>
      <c r="V765" s="145">
        <v>18.5</v>
      </c>
      <c r="W765" s="159">
        <v>42191</v>
      </c>
      <c r="AD765" s="145">
        <f>(N765/V765)*(((100-CD765)/100)*((100-2)/100))*100</f>
        <v>29.330287567567563</v>
      </c>
      <c r="AF765" s="248">
        <f>(N765/V765)*(((100-CD765)/(100-9))*100)</f>
        <v>32.888862488862493</v>
      </c>
      <c r="AG765" s="159">
        <v>42191</v>
      </c>
      <c r="AJ765" s="249">
        <v>140</v>
      </c>
      <c r="AN765" s="250">
        <v>101</v>
      </c>
      <c r="BB765" s="257">
        <v>7</v>
      </c>
      <c r="BN765" s="251">
        <v>62.38</v>
      </c>
      <c r="BO765" s="256">
        <v>42200</v>
      </c>
      <c r="BT765" s="251">
        <v>50.411464691162109</v>
      </c>
      <c r="BU765" s="256">
        <v>42200</v>
      </c>
      <c r="BV765" s="251">
        <v>16.995576858520508</v>
      </c>
      <c r="BW765" s="256">
        <v>42200</v>
      </c>
      <c r="BX765" s="251">
        <v>14.617000000000001</v>
      </c>
      <c r="BY765" s="256">
        <v>42200</v>
      </c>
      <c r="CD765" s="253">
        <v>7.1</v>
      </c>
      <c r="CE765" s="159">
        <v>42191</v>
      </c>
      <c r="CM765" s="255">
        <v>1</v>
      </c>
      <c r="CN765" s="256">
        <v>42180</v>
      </c>
      <c r="CO765" s="140" t="s">
        <v>8448</v>
      </c>
    </row>
    <row r="766" spans="1:93" ht="15">
      <c r="A766" s="124" t="s">
        <v>7736</v>
      </c>
      <c r="B766" s="161" t="s">
        <v>7560</v>
      </c>
      <c r="C766" s="268" t="s">
        <v>267</v>
      </c>
      <c r="D766" s="243">
        <v>4</v>
      </c>
      <c r="E766" s="183">
        <v>150</v>
      </c>
      <c r="F766" s="244">
        <v>24</v>
      </c>
      <c r="G766" s="245">
        <v>17</v>
      </c>
      <c r="L766" s="254">
        <v>8</v>
      </c>
      <c r="N766" s="246">
        <v>6</v>
      </c>
      <c r="O766" s="159">
        <v>42191</v>
      </c>
      <c r="T766" s="247">
        <v>17.36</v>
      </c>
      <c r="U766" s="256">
        <v>42200</v>
      </c>
      <c r="V766" s="145">
        <v>18.5</v>
      </c>
      <c r="W766" s="159">
        <v>42191</v>
      </c>
      <c r="AD766" s="145">
        <f>(N766/V766)*(((100-CD766)/100)*((100-2)/100))*100</f>
        <v>29.336432432432431</v>
      </c>
      <c r="AF766" s="248">
        <f>(N766/V766)*(((100-CD766)/(100-9))*100)</f>
        <v>32.895752895752892</v>
      </c>
      <c r="AG766" s="159">
        <v>42191</v>
      </c>
      <c r="AJ766" s="249">
        <v>145</v>
      </c>
      <c r="AN766" s="250">
        <v>103</v>
      </c>
      <c r="BB766" s="257">
        <v>7</v>
      </c>
      <c r="BN766" s="251">
        <v>62.316000000000003</v>
      </c>
      <c r="BO766" s="256">
        <v>42200</v>
      </c>
      <c r="BT766" s="251">
        <v>51.764739990234375</v>
      </c>
      <c r="BU766" s="256">
        <v>42200</v>
      </c>
      <c r="BV766" s="251">
        <v>16.919933319091797</v>
      </c>
      <c r="BW766" s="256">
        <v>42200</v>
      </c>
      <c r="BX766" s="251">
        <v>12.151999999999999</v>
      </c>
      <c r="BY766" s="256">
        <v>42200</v>
      </c>
      <c r="CD766" s="253">
        <v>7.7</v>
      </c>
      <c r="CE766" s="159">
        <v>42191</v>
      </c>
      <c r="CM766" s="255">
        <v>1</v>
      </c>
      <c r="CN766" s="256">
        <v>42180</v>
      </c>
      <c r="CO766" s="140" t="s">
        <v>8447</v>
      </c>
    </row>
    <row r="767" spans="1:93" ht="15">
      <c r="A767" s="124" t="s">
        <v>7753</v>
      </c>
      <c r="B767" s="161" t="s">
        <v>7577</v>
      </c>
      <c r="C767" s="268" t="s">
        <v>267</v>
      </c>
      <c r="D767" s="243">
        <v>4</v>
      </c>
      <c r="E767" s="183">
        <v>167</v>
      </c>
      <c r="F767" s="244">
        <v>19</v>
      </c>
      <c r="G767" s="245">
        <v>9</v>
      </c>
      <c r="L767" s="254">
        <v>9</v>
      </c>
      <c r="N767" s="246">
        <v>6.06</v>
      </c>
      <c r="O767" s="159">
        <v>42191</v>
      </c>
      <c r="T767" s="247">
        <v>17.399999999999999</v>
      </c>
      <c r="U767" s="256">
        <v>42200</v>
      </c>
      <c r="V767" s="145">
        <v>18.5</v>
      </c>
      <c r="W767" s="159">
        <v>42191</v>
      </c>
      <c r="AD767" s="145">
        <f>(N767/V767)*(((100-CD767)/100)*((100-2)/100))*100</f>
        <v>29.372983783783784</v>
      </c>
      <c r="AF767" s="248">
        <v>33.58</v>
      </c>
      <c r="AG767" s="159">
        <v>42191</v>
      </c>
      <c r="AJ767" s="249">
        <v>120</v>
      </c>
      <c r="AN767" s="250">
        <v>102</v>
      </c>
      <c r="BB767" s="257">
        <v>9</v>
      </c>
      <c r="BN767" s="251">
        <v>62.311</v>
      </c>
      <c r="BO767" s="256">
        <v>42200</v>
      </c>
      <c r="BT767" s="251">
        <v>51.832992553710937</v>
      </c>
      <c r="BU767" s="256">
        <v>42200</v>
      </c>
      <c r="BV767" s="251">
        <v>17.635799407958984</v>
      </c>
      <c r="BW767" s="256">
        <v>42200</v>
      </c>
      <c r="BX767" s="251">
        <v>20.49</v>
      </c>
      <c r="BY767" s="256">
        <v>42200</v>
      </c>
      <c r="CD767" s="253">
        <v>8.5</v>
      </c>
      <c r="CE767" s="159">
        <v>42191</v>
      </c>
      <c r="CM767" s="255">
        <v>3</v>
      </c>
      <c r="CN767" s="256">
        <v>42180</v>
      </c>
      <c r="CO767" s="140" t="s">
        <v>8447</v>
      </c>
    </row>
    <row r="768" spans="1:93" ht="15">
      <c r="A768" s="124" t="s">
        <v>7643</v>
      </c>
      <c r="B768" s="161" t="s">
        <v>7495</v>
      </c>
      <c r="C768" s="268" t="s">
        <v>269</v>
      </c>
      <c r="D768" s="243">
        <v>2</v>
      </c>
      <c r="E768" s="183">
        <v>57</v>
      </c>
      <c r="F768" s="244">
        <v>12</v>
      </c>
      <c r="G768" s="245">
        <v>18</v>
      </c>
      <c r="L768" s="254">
        <v>8</v>
      </c>
      <c r="N768" s="246">
        <v>5.95</v>
      </c>
      <c r="O768" s="159">
        <v>42191</v>
      </c>
      <c r="T768" s="247">
        <v>16.95</v>
      </c>
      <c r="U768" s="256">
        <v>42200</v>
      </c>
      <c r="V768" s="145">
        <v>18.5</v>
      </c>
      <c r="W768" s="159">
        <v>42191</v>
      </c>
      <c r="AD768" s="145">
        <f>(N768/V768)*(((100-CD768)/100)*((100-2)/100))*100</f>
        <v>29.375632432432436</v>
      </c>
      <c r="AF768" s="248">
        <f>(N768/V768)*(((100-CD768)/(100-9))*100)</f>
        <v>32.939708939708943</v>
      </c>
      <c r="AG768" s="159">
        <v>42191</v>
      </c>
      <c r="AJ768" s="249">
        <v>145</v>
      </c>
      <c r="AN768" s="250">
        <v>107</v>
      </c>
      <c r="BB768" s="257">
        <v>9</v>
      </c>
      <c r="BN768" s="251">
        <v>66.441000000000003</v>
      </c>
      <c r="BO768" s="256">
        <v>42200</v>
      </c>
      <c r="BT768" s="251">
        <v>50.472728729248047</v>
      </c>
      <c r="BU768" s="256">
        <v>42200</v>
      </c>
      <c r="BV768" s="251">
        <v>18.164291381835938</v>
      </c>
      <c r="BW768" s="256">
        <v>42200</v>
      </c>
      <c r="BX768" s="251">
        <v>21.184999999999999</v>
      </c>
      <c r="BY768" s="256">
        <v>42200</v>
      </c>
      <c r="CD768" s="253">
        <v>6.8</v>
      </c>
      <c r="CE768" s="159">
        <v>42191</v>
      </c>
      <c r="CM768" s="255">
        <v>1</v>
      </c>
      <c r="CN768" s="256">
        <v>42180</v>
      </c>
      <c r="CO768" s="140" t="s">
        <v>8448</v>
      </c>
    </row>
    <row r="769" spans="1:93" ht="15">
      <c r="A769" s="124" t="s">
        <v>7766</v>
      </c>
      <c r="B769" s="161" t="s">
        <v>7586</v>
      </c>
      <c r="C769" s="268" t="s">
        <v>269</v>
      </c>
      <c r="D769" s="243">
        <v>1</v>
      </c>
      <c r="E769" s="241">
        <v>180</v>
      </c>
      <c r="F769" s="244">
        <v>1</v>
      </c>
      <c r="G769" s="245">
        <v>14</v>
      </c>
      <c r="L769" s="254">
        <v>8</v>
      </c>
      <c r="N769" s="246">
        <v>5.99</v>
      </c>
      <c r="O769" s="159">
        <v>42191</v>
      </c>
      <c r="T769" s="247">
        <v>17.100000000000001</v>
      </c>
      <c r="U769" s="256">
        <v>42200</v>
      </c>
      <c r="V769" s="145">
        <v>18.5</v>
      </c>
      <c r="W769" s="159">
        <v>42191</v>
      </c>
      <c r="AD769" s="145">
        <f>(N769/V769)*(((100-CD769)/100)*((100-2)/100))*100</f>
        <v>29.414461621621623</v>
      </c>
      <c r="AF769" s="248">
        <v>33.619999999999997</v>
      </c>
      <c r="AG769" s="159">
        <v>42191</v>
      </c>
      <c r="AJ769" s="249">
        <v>155</v>
      </c>
      <c r="AN769" s="250">
        <v>100</v>
      </c>
      <c r="BB769" s="257">
        <v>7</v>
      </c>
      <c r="BN769" s="251">
        <v>63.186999999999998</v>
      </c>
      <c r="BO769" s="256">
        <v>42200</v>
      </c>
      <c r="BT769" s="251">
        <v>50.862518310546875</v>
      </c>
      <c r="BU769" s="256">
        <v>42200</v>
      </c>
      <c r="BV769" s="251">
        <v>16.380550384521484</v>
      </c>
      <c r="BW769" s="256">
        <v>42200</v>
      </c>
      <c r="BX769" s="251">
        <v>17.105</v>
      </c>
      <c r="BY769" s="256">
        <v>42200</v>
      </c>
      <c r="CD769" s="253">
        <v>7.3</v>
      </c>
      <c r="CE769" s="159">
        <v>42191</v>
      </c>
      <c r="CM769" s="255">
        <v>1</v>
      </c>
      <c r="CN769" s="256">
        <v>42180</v>
      </c>
      <c r="CO769" s="140" t="s">
        <v>8447</v>
      </c>
    </row>
    <row r="770" spans="1:93" ht="12.75" customHeight="1">
      <c r="A770" s="126" t="s">
        <v>7676</v>
      </c>
      <c r="B770" s="161" t="s">
        <v>7525</v>
      </c>
      <c r="C770" s="268" t="s">
        <v>269</v>
      </c>
      <c r="D770" s="257">
        <v>1</v>
      </c>
      <c r="E770" s="179">
        <v>90</v>
      </c>
      <c r="F770" s="257">
        <v>3</v>
      </c>
      <c r="G770" s="257">
        <v>29</v>
      </c>
      <c r="J770" s="265"/>
      <c r="L770" s="257">
        <v>6</v>
      </c>
      <c r="N770" s="257">
        <v>6</v>
      </c>
      <c r="O770" s="159">
        <v>42191</v>
      </c>
      <c r="T770" s="257">
        <v>16.52</v>
      </c>
      <c r="U770" s="256">
        <v>42200</v>
      </c>
      <c r="V770" s="145">
        <v>18.5</v>
      </c>
      <c r="W770" s="159">
        <v>42191</v>
      </c>
      <c r="AD770" s="145">
        <f>(N770/V770)*(((100-CD770)/100)*((100-2)/100))*100</f>
        <v>29.495351351351353</v>
      </c>
      <c r="AF770" s="257">
        <f>(N770/V770)*(((100-CD770)/(100-9))*100)</f>
        <v>33.073953073953071</v>
      </c>
      <c r="AG770" s="159">
        <v>42191</v>
      </c>
      <c r="AJ770" s="257">
        <v>160</v>
      </c>
      <c r="AN770" s="257">
        <v>102</v>
      </c>
      <c r="BB770" s="257">
        <v>7</v>
      </c>
      <c r="BN770" s="242">
        <v>61.84</v>
      </c>
      <c r="BO770" s="256">
        <v>42200</v>
      </c>
      <c r="BT770" s="242">
        <v>48.9805908203125</v>
      </c>
      <c r="BU770" s="256">
        <v>42200</v>
      </c>
      <c r="BV770" s="242">
        <v>17.793439865112305</v>
      </c>
      <c r="BW770" s="256">
        <v>42200</v>
      </c>
      <c r="BX770" s="242">
        <v>15.074</v>
      </c>
      <c r="BY770" s="256">
        <v>42200</v>
      </c>
      <c r="CD770" s="257">
        <v>7.2</v>
      </c>
      <c r="CE770" s="159">
        <v>42191</v>
      </c>
      <c r="CM770" s="255">
        <v>1</v>
      </c>
      <c r="CN770" s="256">
        <v>42180</v>
      </c>
      <c r="CO770" s="140" t="s">
        <v>8447</v>
      </c>
    </row>
    <row r="771" spans="1:93" ht="12.75" customHeight="1">
      <c r="A771" s="126" t="s">
        <v>7749</v>
      </c>
      <c r="B771" s="161" t="s">
        <v>7573</v>
      </c>
      <c r="C771" s="268" t="s">
        <v>269</v>
      </c>
      <c r="D771" s="257">
        <v>2</v>
      </c>
      <c r="E771" s="179">
        <v>163</v>
      </c>
      <c r="F771" s="257">
        <v>10</v>
      </c>
      <c r="G771" s="257">
        <v>1</v>
      </c>
      <c r="J771" s="265"/>
      <c r="L771" s="257">
        <v>9</v>
      </c>
      <c r="N771" s="257">
        <v>6.03</v>
      </c>
      <c r="O771" s="159">
        <v>42191</v>
      </c>
      <c r="T771" s="257">
        <v>16.63</v>
      </c>
      <c r="U771" s="256">
        <v>42200</v>
      </c>
      <c r="V771" s="145">
        <v>18.5</v>
      </c>
      <c r="W771" s="159">
        <v>42191</v>
      </c>
      <c r="AD771" s="145">
        <f>(N771/V771)*(((100-CD771)/100)*((100-2)/100))*100</f>
        <v>29.515057297297297</v>
      </c>
      <c r="AF771" s="257">
        <f>(N771/V771)*(((100-CD771)/(100-9))*100)</f>
        <v>33.096049896049905</v>
      </c>
      <c r="AG771" s="159">
        <v>42191</v>
      </c>
      <c r="AJ771" s="257">
        <v>140</v>
      </c>
      <c r="AN771" s="257">
        <v>103</v>
      </c>
      <c r="BB771" s="257">
        <v>7</v>
      </c>
      <c r="BN771" s="242">
        <v>65.31</v>
      </c>
      <c r="BO771" s="256">
        <v>42200</v>
      </c>
      <c r="BT771" s="242">
        <v>49.280879974365234</v>
      </c>
      <c r="BU771" s="256">
        <v>42200</v>
      </c>
      <c r="BV771" s="242">
        <v>18.763908386230469</v>
      </c>
      <c r="BW771" s="256">
        <v>42200</v>
      </c>
      <c r="BX771" s="242">
        <v>19.451000000000001</v>
      </c>
      <c r="BY771" s="256">
        <v>42200</v>
      </c>
      <c r="CD771" s="257">
        <v>7.6</v>
      </c>
      <c r="CE771" s="159">
        <v>42191</v>
      </c>
      <c r="CM771" s="255">
        <v>1</v>
      </c>
      <c r="CN771" s="256">
        <v>42180</v>
      </c>
      <c r="CO771" s="140" t="s">
        <v>8448</v>
      </c>
    </row>
    <row r="772" spans="1:93" ht="12.75" customHeight="1">
      <c r="A772" s="126" t="s">
        <v>7743</v>
      </c>
      <c r="B772" s="161" t="s">
        <v>7567</v>
      </c>
      <c r="C772" s="268" t="s">
        <v>269</v>
      </c>
      <c r="D772" s="257">
        <v>1</v>
      </c>
      <c r="E772" s="179">
        <v>157</v>
      </c>
      <c r="F772" s="257">
        <v>4</v>
      </c>
      <c r="G772" s="257">
        <v>10</v>
      </c>
      <c r="J772" s="265"/>
      <c r="L772" s="257">
        <v>5</v>
      </c>
      <c r="N772" s="257">
        <v>6</v>
      </c>
      <c r="O772" s="159">
        <v>42191</v>
      </c>
      <c r="T772" s="257">
        <v>17.559999999999999</v>
      </c>
      <c r="U772" s="256">
        <v>42200</v>
      </c>
      <c r="V772" s="145">
        <v>18.5</v>
      </c>
      <c r="W772" s="159">
        <v>42191</v>
      </c>
      <c r="AD772" s="145">
        <f>(N772/V772)*(((100-CD772)/100)*((100-2)/100))*100</f>
        <v>29.527135135135136</v>
      </c>
      <c r="AF772" s="257">
        <f>(N772/V772)*(((100-CD772)/(100-9))*100)</f>
        <v>33.109593109593114</v>
      </c>
      <c r="AG772" s="159">
        <v>42191</v>
      </c>
      <c r="AJ772" s="257">
        <v>160</v>
      </c>
      <c r="AN772" s="257">
        <v>105</v>
      </c>
      <c r="BB772" s="257">
        <v>7</v>
      </c>
      <c r="BN772" s="242">
        <v>62.554000000000002</v>
      </c>
      <c r="BO772" s="256">
        <v>42200</v>
      </c>
      <c r="BT772" s="242">
        <v>52.035850524902344</v>
      </c>
      <c r="BU772" s="256">
        <v>42200</v>
      </c>
      <c r="BV772" s="242">
        <v>16.671014785766602</v>
      </c>
      <c r="BW772" s="256">
        <v>42200</v>
      </c>
      <c r="BX772" s="242">
        <v>14.553000000000001</v>
      </c>
      <c r="BY772" s="256">
        <v>42200</v>
      </c>
      <c r="CD772" s="257">
        <v>7.1</v>
      </c>
      <c r="CE772" s="159">
        <v>42191</v>
      </c>
      <c r="CM772" s="255">
        <v>1</v>
      </c>
      <c r="CN772" s="256">
        <v>42180</v>
      </c>
      <c r="CO772" s="140" t="s">
        <v>8447</v>
      </c>
    </row>
    <row r="773" spans="1:93" ht="12.75" customHeight="1">
      <c r="A773" s="126" t="s">
        <v>7551</v>
      </c>
      <c r="B773" s="161" t="s">
        <v>7551</v>
      </c>
      <c r="C773" s="268" t="s">
        <v>269</v>
      </c>
      <c r="D773" s="257">
        <v>1</v>
      </c>
      <c r="E773" s="281">
        <v>182</v>
      </c>
      <c r="F773" s="257">
        <v>1</v>
      </c>
      <c r="G773" s="257">
        <v>23</v>
      </c>
      <c r="J773" s="265"/>
      <c r="L773" s="257">
        <v>8</v>
      </c>
      <c r="N773" s="257">
        <v>6.01</v>
      </c>
      <c r="O773" s="159">
        <v>42191</v>
      </c>
      <c r="T773" s="257">
        <v>16.54</v>
      </c>
      <c r="U773" s="256">
        <v>42200</v>
      </c>
      <c r="V773" s="145">
        <v>18.5</v>
      </c>
      <c r="W773" s="159">
        <v>42191</v>
      </c>
      <c r="AD773" s="145">
        <f>(N773/V773)*(((100-CD773)/100)*((100-2)/100))*100</f>
        <v>29.544510270270269</v>
      </c>
      <c r="AF773" s="257">
        <v>33.770000000000003</v>
      </c>
      <c r="AG773" s="159">
        <v>42191</v>
      </c>
      <c r="AJ773" s="257">
        <v>150</v>
      </c>
      <c r="AN773" s="257">
        <v>101</v>
      </c>
      <c r="BB773" s="257">
        <v>7</v>
      </c>
      <c r="BN773" s="242">
        <v>63.185000000000002</v>
      </c>
      <c r="BO773" s="256">
        <v>42200</v>
      </c>
      <c r="BT773" s="242">
        <v>48.979293823242187</v>
      </c>
      <c r="BU773" s="256">
        <v>42200</v>
      </c>
      <c r="BV773" s="242">
        <v>18.730007171630859</v>
      </c>
      <c r="BW773" s="256">
        <v>42200</v>
      </c>
      <c r="BX773" s="242">
        <v>20.646999999999998</v>
      </c>
      <c r="BY773" s="256">
        <v>42200</v>
      </c>
      <c r="CD773" s="257">
        <v>7.2</v>
      </c>
      <c r="CE773" s="159">
        <v>42191</v>
      </c>
      <c r="CM773" s="255">
        <v>1</v>
      </c>
      <c r="CN773" s="256">
        <v>42180</v>
      </c>
      <c r="CO773" s="140" t="s">
        <v>8447</v>
      </c>
    </row>
    <row r="774" spans="1:93" ht="12.75" customHeight="1">
      <c r="A774" s="126" t="s">
        <v>7639</v>
      </c>
      <c r="B774" s="161" t="s">
        <v>7491</v>
      </c>
      <c r="C774" s="268" t="s">
        <v>269</v>
      </c>
      <c r="D774" s="257">
        <v>1</v>
      </c>
      <c r="E774" s="179">
        <v>53</v>
      </c>
      <c r="F774" s="257">
        <v>5</v>
      </c>
      <c r="G774" s="257">
        <v>23</v>
      </c>
      <c r="J774" s="265"/>
      <c r="L774" s="257">
        <v>5</v>
      </c>
      <c r="N774" s="257">
        <v>6</v>
      </c>
      <c r="O774" s="159">
        <v>42191</v>
      </c>
      <c r="T774" s="257">
        <v>17.510000000000002</v>
      </c>
      <c r="U774" s="256">
        <v>42200</v>
      </c>
      <c r="V774" s="145">
        <v>18.5</v>
      </c>
      <c r="W774" s="159">
        <v>42191</v>
      </c>
      <c r="AD774" s="145">
        <f>(N774/V774)*(((100-CD774)/100)*((100-2)/100))*100</f>
        <v>29.590702702702703</v>
      </c>
      <c r="AF774" s="257">
        <v>33.83</v>
      </c>
      <c r="AG774" s="159">
        <v>42191</v>
      </c>
      <c r="AJ774" s="257">
        <v>130</v>
      </c>
      <c r="AN774" s="257">
        <v>107</v>
      </c>
      <c r="BB774" s="257">
        <v>9</v>
      </c>
      <c r="BN774" s="242">
        <v>63.811</v>
      </c>
      <c r="BO774" s="256">
        <v>42200</v>
      </c>
      <c r="BT774" s="242">
        <v>51.763591766357422</v>
      </c>
      <c r="BU774" s="256">
        <v>42200</v>
      </c>
      <c r="BV774" s="242">
        <v>15.614977836608887</v>
      </c>
      <c r="BW774" s="256">
        <v>42200</v>
      </c>
      <c r="BX774" s="242">
        <v>16.335999999999999</v>
      </c>
      <c r="BY774" s="256">
        <v>42200</v>
      </c>
      <c r="CD774" s="257">
        <v>6.9</v>
      </c>
      <c r="CE774" s="159">
        <v>42191</v>
      </c>
      <c r="CM774" s="255">
        <v>3</v>
      </c>
      <c r="CN774" s="256">
        <v>42180</v>
      </c>
      <c r="CO774" s="140" t="s">
        <v>8447</v>
      </c>
    </row>
    <row r="775" spans="1:93" ht="12.75" customHeight="1">
      <c r="A775" s="126" t="s">
        <v>7710</v>
      </c>
      <c r="B775" s="161" t="s">
        <v>7549</v>
      </c>
      <c r="C775" s="268" t="s">
        <v>269</v>
      </c>
      <c r="D775" s="257">
        <v>1</v>
      </c>
      <c r="E775" s="179">
        <v>124</v>
      </c>
      <c r="F775" s="257">
        <v>6</v>
      </c>
      <c r="G775" s="257">
        <v>7</v>
      </c>
      <c r="J775" s="265"/>
      <c r="L775" s="257">
        <v>9</v>
      </c>
      <c r="N775" s="257">
        <v>6.02</v>
      </c>
      <c r="O775" s="159">
        <v>42191</v>
      </c>
      <c r="T775" s="257">
        <v>17.420000000000002</v>
      </c>
      <c r="U775" s="256">
        <v>42200</v>
      </c>
      <c r="V775" s="145">
        <v>18.5</v>
      </c>
      <c r="W775" s="159">
        <v>42191</v>
      </c>
      <c r="AD775" s="145">
        <f>(N775/V775)*(((100-CD775)/100)*((100-2)/100))*100</f>
        <v>29.593669189189182</v>
      </c>
      <c r="AF775" s="257">
        <f>(N775/V775)*(((100-CD775)/(100-9))*100)</f>
        <v>33.184199584199575</v>
      </c>
      <c r="AG775" s="159">
        <v>42191</v>
      </c>
      <c r="AJ775" s="257">
        <v>155</v>
      </c>
      <c r="AN775" s="257">
        <v>99</v>
      </c>
      <c r="BB775" s="257">
        <v>3</v>
      </c>
      <c r="BN775" s="242">
        <v>62.881999999999998</v>
      </c>
      <c r="BO775" s="256">
        <v>42200</v>
      </c>
      <c r="BT775" s="242">
        <v>51.504684448242188</v>
      </c>
      <c r="BU775" s="256">
        <v>42200</v>
      </c>
      <c r="BV775" s="242">
        <v>16.230863571166992</v>
      </c>
      <c r="BW775" s="256">
        <v>42200</v>
      </c>
      <c r="BX775" s="242">
        <v>15.997999999999999</v>
      </c>
      <c r="BY775" s="256">
        <v>42200</v>
      </c>
      <c r="CD775" s="257">
        <v>7.2</v>
      </c>
      <c r="CE775" s="159">
        <v>42191</v>
      </c>
      <c r="CM775" s="255">
        <v>1</v>
      </c>
      <c r="CN775" s="256">
        <v>42180</v>
      </c>
      <c r="CO775" s="140" t="s">
        <v>8447</v>
      </c>
    </row>
    <row r="776" spans="1:93" ht="12.75" customHeight="1">
      <c r="A776" s="126" t="s">
        <v>7731</v>
      </c>
      <c r="B776" s="161" t="s">
        <v>8250</v>
      </c>
      <c r="C776" s="268" t="s">
        <v>269</v>
      </c>
      <c r="D776" s="257">
        <v>1</v>
      </c>
      <c r="E776" s="179">
        <v>145</v>
      </c>
      <c r="F776" s="257">
        <v>4</v>
      </c>
      <c r="G776" s="257">
        <v>29</v>
      </c>
      <c r="J776" s="265"/>
      <c r="L776" s="257">
        <v>5</v>
      </c>
      <c r="N776" s="257">
        <v>6.01</v>
      </c>
      <c r="O776" s="159">
        <v>42191</v>
      </c>
      <c r="T776" s="257">
        <v>17.38</v>
      </c>
      <c r="U776" s="256">
        <v>42200</v>
      </c>
      <c r="V776" s="145">
        <v>18.5</v>
      </c>
      <c r="W776" s="159">
        <v>42191</v>
      </c>
      <c r="AD776" s="145">
        <f>(N776/V776)*(((100-CD776)/100)*((100-2)/100))*100</f>
        <v>29.608183783783787</v>
      </c>
      <c r="AF776" s="257">
        <f>(N776/V776)*(((100-CD776)/(100-9))*100)</f>
        <v>33.200475200475196</v>
      </c>
      <c r="AG776" s="159">
        <v>42191</v>
      </c>
      <c r="AJ776" s="257">
        <v>155</v>
      </c>
      <c r="AN776" s="257">
        <v>101</v>
      </c>
      <c r="BB776" s="257">
        <v>7</v>
      </c>
      <c r="BN776" s="242">
        <v>63.148000000000003</v>
      </c>
      <c r="BO776" s="256">
        <v>42200</v>
      </c>
      <c r="BT776" s="242">
        <v>51.353858947753906</v>
      </c>
      <c r="BU776" s="256">
        <v>42200</v>
      </c>
      <c r="BV776" s="242">
        <v>15.761531829833984</v>
      </c>
      <c r="BW776" s="256">
        <v>42200</v>
      </c>
      <c r="BX776" s="242">
        <v>14.79</v>
      </c>
      <c r="BY776" s="256">
        <v>42200</v>
      </c>
      <c r="CD776" s="257">
        <v>7</v>
      </c>
      <c r="CE776" s="159">
        <v>42191</v>
      </c>
      <c r="CM776" s="255">
        <v>1</v>
      </c>
      <c r="CN776" s="256">
        <v>42180</v>
      </c>
      <c r="CO776" s="140" t="s">
        <v>8447</v>
      </c>
    </row>
    <row r="777" spans="1:93" ht="12.75" customHeight="1">
      <c r="A777" s="126" t="s">
        <v>7757</v>
      </c>
      <c r="B777" s="161" t="s">
        <v>7581</v>
      </c>
      <c r="C777" s="268" t="s">
        <v>269</v>
      </c>
      <c r="D777" s="257">
        <v>1</v>
      </c>
      <c r="E777" s="179">
        <v>171</v>
      </c>
      <c r="F777" s="257">
        <v>4</v>
      </c>
      <c r="G777" s="257">
        <v>32</v>
      </c>
      <c r="J777" s="265"/>
      <c r="L777" s="257">
        <v>8</v>
      </c>
      <c r="N777" s="257">
        <v>6</v>
      </c>
      <c r="O777" s="159">
        <v>42191</v>
      </c>
      <c r="T777" s="257">
        <v>17.86</v>
      </c>
      <c r="U777" s="256">
        <v>42200</v>
      </c>
      <c r="V777" s="145">
        <v>18.5</v>
      </c>
      <c r="W777" s="159">
        <v>42191</v>
      </c>
      <c r="AD777" s="145">
        <f>(N777/V777)*(((100-CD777)/100)*((100-2)/100))*100</f>
        <v>29.622486486486487</v>
      </c>
      <c r="AF777" s="257">
        <v>33.86</v>
      </c>
      <c r="AG777" s="159">
        <v>42191</v>
      </c>
      <c r="AJ777" s="257">
        <v>150</v>
      </c>
      <c r="AN777" s="257">
        <v>100</v>
      </c>
      <c r="BB777" s="257">
        <v>7</v>
      </c>
      <c r="BN777" s="242">
        <v>64.448999999999998</v>
      </c>
      <c r="BO777" s="256">
        <v>42200</v>
      </c>
      <c r="BT777" s="242">
        <v>52.756103515625</v>
      </c>
      <c r="BU777" s="256">
        <v>42200</v>
      </c>
      <c r="BV777" s="242">
        <v>16.099418640136719</v>
      </c>
      <c r="BW777" s="256">
        <v>42200</v>
      </c>
      <c r="BX777" s="242">
        <v>14.407999999999999</v>
      </c>
      <c r="BY777" s="256">
        <v>42200</v>
      </c>
      <c r="CD777" s="257">
        <v>6.8</v>
      </c>
      <c r="CE777" s="159">
        <v>42191</v>
      </c>
      <c r="CM777" s="255">
        <v>1</v>
      </c>
      <c r="CN777" s="256">
        <v>42180</v>
      </c>
      <c r="CO777" s="140" t="s">
        <v>8447</v>
      </c>
    </row>
    <row r="778" spans="1:93" ht="12.75" customHeight="1">
      <c r="A778" s="126" t="s">
        <v>7551</v>
      </c>
      <c r="B778" s="161" t="s">
        <v>7551</v>
      </c>
      <c r="C778" s="268" t="s">
        <v>269</v>
      </c>
      <c r="D778" s="257">
        <v>1</v>
      </c>
      <c r="E778" s="281">
        <v>184</v>
      </c>
      <c r="F778" s="257">
        <v>3</v>
      </c>
      <c r="G778" s="257">
        <v>20</v>
      </c>
      <c r="J778" s="265"/>
      <c r="L778" s="257">
        <v>9</v>
      </c>
      <c r="N778" s="257">
        <v>6.02</v>
      </c>
      <c r="O778" s="159">
        <v>42191</v>
      </c>
      <c r="T778" s="257">
        <v>16.829999999999998</v>
      </c>
      <c r="U778" s="256">
        <v>42200</v>
      </c>
      <c r="V778" s="145">
        <v>18.5</v>
      </c>
      <c r="W778" s="159">
        <v>42191</v>
      </c>
      <c r="AD778" s="145">
        <f>(N778/V778)*(((100-CD778)/100)*((100-2)/100))*100</f>
        <v>29.625558918918916</v>
      </c>
      <c r="AF778" s="257">
        <v>33.869999999999997</v>
      </c>
      <c r="AG778" s="159">
        <v>42191</v>
      </c>
      <c r="AJ778" s="257">
        <v>155</v>
      </c>
      <c r="AN778" s="257">
        <v>100</v>
      </c>
      <c r="BB778" s="257">
        <v>7</v>
      </c>
      <c r="BN778" s="242">
        <v>61.939</v>
      </c>
      <c r="BO778" s="256">
        <v>42200</v>
      </c>
      <c r="BT778" s="242">
        <v>49.691932678222656</v>
      </c>
      <c r="BU778" s="256">
        <v>42200</v>
      </c>
      <c r="BV778" s="242">
        <v>18.113447189331055</v>
      </c>
      <c r="BW778" s="256">
        <v>42200</v>
      </c>
      <c r="BX778" s="242">
        <v>19.116</v>
      </c>
      <c r="BY778" s="256">
        <v>42200</v>
      </c>
      <c r="CD778" s="257">
        <v>7.1</v>
      </c>
      <c r="CE778" s="159">
        <v>42191</v>
      </c>
      <c r="CM778" s="255">
        <v>1</v>
      </c>
      <c r="CN778" s="256">
        <v>42180</v>
      </c>
      <c r="CO778" s="140" t="s">
        <v>8447</v>
      </c>
    </row>
    <row r="779" spans="1:93" ht="12.75" customHeight="1">
      <c r="A779" s="126" t="s">
        <v>7721</v>
      </c>
      <c r="B779" s="161" t="s">
        <v>7788</v>
      </c>
      <c r="C779" s="268" t="s">
        <v>269</v>
      </c>
      <c r="D779" s="257">
        <v>1</v>
      </c>
      <c r="E779" s="179">
        <v>135</v>
      </c>
      <c r="F779" s="257">
        <v>1</v>
      </c>
      <c r="G779" s="257">
        <v>11</v>
      </c>
      <c r="J779" s="265"/>
      <c r="L779" s="257">
        <v>9</v>
      </c>
      <c r="N779" s="257">
        <v>6.03</v>
      </c>
      <c r="O779" s="159">
        <v>42191</v>
      </c>
      <c r="T779" s="257">
        <v>17.2</v>
      </c>
      <c r="U779" s="256">
        <v>42200</v>
      </c>
      <c r="V779" s="145">
        <v>18.5</v>
      </c>
      <c r="W779" s="159">
        <v>42191</v>
      </c>
      <c r="AD779" s="145">
        <f>(N779/V779)*(((100-CD779)/100)*((100-2)/100))*100</f>
        <v>29.642828108108105</v>
      </c>
      <c r="AF779" s="257">
        <f>(N779/V779)*(((100-CD779)/(100-9))*100)</f>
        <v>33.239322839322838</v>
      </c>
      <c r="AG779" s="159">
        <v>42191</v>
      </c>
      <c r="AJ779" s="257">
        <v>145</v>
      </c>
      <c r="AN779" s="257">
        <v>99</v>
      </c>
      <c r="BB779" s="257">
        <v>7</v>
      </c>
      <c r="BN779" s="242">
        <v>60.712000000000003</v>
      </c>
      <c r="BO779" s="256">
        <v>42200</v>
      </c>
      <c r="BT779" s="242">
        <v>50.764274597167969</v>
      </c>
      <c r="BU779" s="256">
        <v>42200</v>
      </c>
      <c r="BV779" s="242">
        <v>18.556751251220703</v>
      </c>
      <c r="BW779" s="256">
        <v>42200</v>
      </c>
      <c r="BX779" s="242">
        <v>13.093</v>
      </c>
      <c r="BY779" s="256">
        <v>42200</v>
      </c>
      <c r="CD779" s="257">
        <v>7.2</v>
      </c>
      <c r="CE779" s="159">
        <v>42191</v>
      </c>
      <c r="CM779" s="255">
        <v>1</v>
      </c>
      <c r="CN779" s="256">
        <v>42180</v>
      </c>
      <c r="CO779" s="140" t="s">
        <v>8447</v>
      </c>
    </row>
    <row r="780" spans="1:93" ht="12.75" customHeight="1">
      <c r="A780" s="126" t="s">
        <v>7724</v>
      </c>
      <c r="B780" s="161" t="s">
        <v>7790</v>
      </c>
      <c r="C780" s="268" t="s">
        <v>267</v>
      </c>
      <c r="D780" s="257">
        <v>4</v>
      </c>
      <c r="E780" s="179">
        <v>138</v>
      </c>
      <c r="F780" s="257">
        <v>19</v>
      </c>
      <c r="G780" s="257">
        <v>14</v>
      </c>
      <c r="J780" s="265"/>
      <c r="L780" s="257">
        <v>9</v>
      </c>
      <c r="N780" s="257">
        <v>6.05</v>
      </c>
      <c r="O780" s="159">
        <v>42191</v>
      </c>
      <c r="T780" s="257">
        <v>16.61</v>
      </c>
      <c r="U780" s="256">
        <v>42200</v>
      </c>
      <c r="V780" s="145">
        <v>18.5</v>
      </c>
      <c r="W780" s="159">
        <v>42191</v>
      </c>
      <c r="AD780" s="145">
        <f>(N780/V780)*(((100-CD780)/100)*((100-2)/100))*100</f>
        <v>29.709097297297298</v>
      </c>
      <c r="AF780" s="257">
        <f>(N780/V780)*(((100-CD780)/(100-9))*100)</f>
        <v>33.313632313632311</v>
      </c>
      <c r="AG780" s="159">
        <v>42191</v>
      </c>
      <c r="AJ780" s="257">
        <v>130</v>
      </c>
      <c r="AN780" s="257">
        <v>101</v>
      </c>
      <c r="BB780" s="257">
        <v>7</v>
      </c>
      <c r="BN780" s="242">
        <v>64.775000000000006</v>
      </c>
      <c r="BO780" s="256">
        <v>42200</v>
      </c>
      <c r="BT780" s="242">
        <v>48.920860290527344</v>
      </c>
      <c r="BU780" s="256">
        <v>42200</v>
      </c>
      <c r="BV780" s="242">
        <v>17.806703567504883</v>
      </c>
      <c r="BW780" s="256">
        <v>42200</v>
      </c>
      <c r="BX780" s="242">
        <v>13.519</v>
      </c>
      <c r="BY780" s="256">
        <v>42200</v>
      </c>
      <c r="CD780" s="257">
        <v>7.3</v>
      </c>
      <c r="CE780" s="159">
        <v>42191</v>
      </c>
      <c r="CM780" s="255">
        <v>1</v>
      </c>
      <c r="CN780" s="256">
        <v>42180</v>
      </c>
      <c r="CO780" s="140" t="s">
        <v>8447</v>
      </c>
    </row>
    <row r="781" spans="1:93" ht="12.75" customHeight="1">
      <c r="A781" s="126" t="s">
        <v>7650</v>
      </c>
      <c r="B781" s="161" t="s">
        <v>7500</v>
      </c>
      <c r="C781" s="268" t="s">
        <v>267</v>
      </c>
      <c r="D781" s="257">
        <v>4</v>
      </c>
      <c r="E781" s="179">
        <v>64</v>
      </c>
      <c r="F781" s="257">
        <v>22</v>
      </c>
      <c r="G781" s="257">
        <v>11</v>
      </c>
      <c r="J781" s="265"/>
      <c r="L781" s="257">
        <v>7</v>
      </c>
      <c r="N781" s="257">
        <v>6.11</v>
      </c>
      <c r="O781" s="159">
        <v>42191</v>
      </c>
      <c r="T781" s="257">
        <v>17.91</v>
      </c>
      <c r="U781" s="256">
        <v>42200</v>
      </c>
      <c r="V781" s="145">
        <v>18.5</v>
      </c>
      <c r="W781" s="159">
        <v>42191</v>
      </c>
      <c r="AD781" s="145">
        <f>(N781/V781)*(((100-CD781)/100)*((100-2)/100))*100</f>
        <v>29.906633513513516</v>
      </c>
      <c r="AF781" s="257">
        <f>(N781/V781)*(((100-CD781)/(100-9))*100)</f>
        <v>33.535135135135143</v>
      </c>
      <c r="AG781" s="159">
        <v>42191</v>
      </c>
      <c r="AJ781" s="257">
        <v>130</v>
      </c>
      <c r="AN781" s="257">
        <v>101</v>
      </c>
      <c r="BB781" s="257">
        <v>7</v>
      </c>
      <c r="BN781" s="242">
        <v>63.43</v>
      </c>
      <c r="BO781" s="256">
        <v>42200</v>
      </c>
      <c r="BT781" s="242">
        <v>52.378005981445312</v>
      </c>
      <c r="BU781" s="256">
        <v>42200</v>
      </c>
      <c r="BV781" s="242">
        <v>16.671806335449219</v>
      </c>
      <c r="BW781" s="256">
        <v>42200</v>
      </c>
      <c r="BX781" s="242">
        <v>16.73</v>
      </c>
      <c r="BY781" s="256">
        <v>42200</v>
      </c>
      <c r="CD781" s="257">
        <v>7.6</v>
      </c>
      <c r="CE781" s="159">
        <v>42191</v>
      </c>
      <c r="CM781" s="255">
        <v>1</v>
      </c>
      <c r="CN781" s="256">
        <v>42180</v>
      </c>
      <c r="CO781" s="140" t="s">
        <v>8447</v>
      </c>
    </row>
    <row r="782" spans="1:93" ht="12.75" customHeight="1">
      <c r="A782" s="126" t="s">
        <v>7650</v>
      </c>
      <c r="B782" s="161" t="s">
        <v>7500</v>
      </c>
      <c r="C782" s="268" t="s">
        <v>269</v>
      </c>
      <c r="D782" s="257">
        <v>2</v>
      </c>
      <c r="E782" s="179">
        <v>64</v>
      </c>
      <c r="F782" s="257">
        <v>12</v>
      </c>
      <c r="G782" s="257">
        <v>17</v>
      </c>
      <c r="J782" s="265"/>
      <c r="L782" s="257">
        <v>7</v>
      </c>
      <c r="N782" s="257">
        <v>6.06</v>
      </c>
      <c r="O782" s="159">
        <v>42191</v>
      </c>
      <c r="T782" s="257">
        <v>17.96</v>
      </c>
      <c r="U782" s="256">
        <v>42200</v>
      </c>
      <c r="V782" s="145">
        <v>18.5</v>
      </c>
      <c r="W782" s="159">
        <v>42191</v>
      </c>
      <c r="AD782" s="145">
        <f>(N782/V782)*(((100-CD782)/100)*((100-2)/100))*100</f>
        <v>29.918711351351352</v>
      </c>
      <c r="AF782" s="257">
        <f>(N782/V782)*(((100-CD782)/(100-9))*100)</f>
        <v>33.548678348678351</v>
      </c>
      <c r="AG782" s="159">
        <v>42191</v>
      </c>
      <c r="AJ782" s="257">
        <v>135</v>
      </c>
      <c r="AN782" s="257">
        <v>98</v>
      </c>
      <c r="BB782" s="257">
        <v>7</v>
      </c>
      <c r="BN782" s="242">
        <v>64.986000000000004</v>
      </c>
      <c r="BO782" s="256">
        <v>42200</v>
      </c>
      <c r="BT782" s="242">
        <v>52.503852844238281</v>
      </c>
      <c r="BU782" s="256">
        <v>42200</v>
      </c>
      <c r="BV782" s="242">
        <v>16.689067840576172</v>
      </c>
      <c r="BW782" s="256">
        <v>42200</v>
      </c>
      <c r="BX782" s="242">
        <v>14.679</v>
      </c>
      <c r="BY782" s="256">
        <v>42200</v>
      </c>
      <c r="CD782" s="257">
        <v>6.8</v>
      </c>
      <c r="CE782" s="159">
        <v>42191</v>
      </c>
      <c r="CM782" s="255">
        <v>1</v>
      </c>
      <c r="CN782" s="256">
        <v>42180</v>
      </c>
      <c r="CO782" s="140" t="s">
        <v>8448</v>
      </c>
    </row>
    <row r="783" spans="1:93" ht="12.75" customHeight="1">
      <c r="A783" s="126" t="s">
        <v>7608</v>
      </c>
      <c r="B783" s="161" t="s">
        <v>7463</v>
      </c>
      <c r="C783" s="268" t="s">
        <v>269</v>
      </c>
      <c r="D783" s="257">
        <v>1</v>
      </c>
      <c r="E783" s="179">
        <v>22</v>
      </c>
      <c r="F783" s="257">
        <v>2</v>
      </c>
      <c r="G783" s="257">
        <v>13</v>
      </c>
      <c r="J783" s="283"/>
      <c r="L783" s="257">
        <v>6</v>
      </c>
      <c r="N783" s="257">
        <v>6.09</v>
      </c>
      <c r="O783" s="159">
        <v>42191</v>
      </c>
      <c r="P783" s="144"/>
      <c r="R783" s="145"/>
      <c r="T783" s="257">
        <v>18.39</v>
      </c>
      <c r="U783" s="256">
        <v>42200</v>
      </c>
      <c r="V783" s="145">
        <v>18.5</v>
      </c>
      <c r="W783" s="159">
        <v>42191</v>
      </c>
      <c r="X783" s="145"/>
      <c r="Z783" s="145"/>
      <c r="AB783" s="145"/>
      <c r="AD783" s="145">
        <f>(N783/V783)*(((100-CD783)/100)*((100-2)/100))*100</f>
        <v>30.034563243243241</v>
      </c>
      <c r="AF783" s="257">
        <f>(N783/V783)*(((100-CD783)/(100-9))*100)</f>
        <v>33.678586278586273</v>
      </c>
      <c r="AG783" s="159">
        <v>42191</v>
      </c>
      <c r="AJ783" s="257">
        <v>155</v>
      </c>
      <c r="AL783" s="145"/>
      <c r="AN783" s="257">
        <v>102</v>
      </c>
      <c r="BB783" s="257">
        <v>7</v>
      </c>
      <c r="BN783" s="242">
        <v>68.921999999999997</v>
      </c>
      <c r="BO783" s="256">
        <v>42200</v>
      </c>
      <c r="BT783" s="242">
        <v>53.569389343261719</v>
      </c>
      <c r="BU783" s="256">
        <v>42200</v>
      </c>
      <c r="BV783" s="242">
        <v>17.701452255249023</v>
      </c>
      <c r="BW783" s="256">
        <v>42200</v>
      </c>
      <c r="BX783" s="242">
        <v>14.673999999999999</v>
      </c>
      <c r="BY783" s="256">
        <v>42200</v>
      </c>
      <c r="CD783" s="257">
        <v>6.9</v>
      </c>
      <c r="CE783" s="159">
        <v>42191</v>
      </c>
      <c r="CM783" s="255">
        <v>1</v>
      </c>
      <c r="CN783" s="256">
        <v>42180</v>
      </c>
      <c r="CO783" s="140" t="s">
        <v>8447</v>
      </c>
    </row>
    <row r="784" spans="1:93" ht="12.75" customHeight="1">
      <c r="A784" s="126" t="s">
        <v>7758</v>
      </c>
      <c r="B784" s="161" t="s">
        <v>7793</v>
      </c>
      <c r="C784" s="268" t="s">
        <v>267</v>
      </c>
      <c r="D784" s="257">
        <v>4</v>
      </c>
      <c r="E784" s="179">
        <v>172</v>
      </c>
      <c r="F784" s="257">
        <v>19</v>
      </c>
      <c r="G784" s="257">
        <v>30</v>
      </c>
      <c r="J784" s="265"/>
      <c r="L784" s="257">
        <v>8</v>
      </c>
      <c r="N784" s="257">
        <v>6.1</v>
      </c>
      <c r="O784" s="159">
        <v>42191</v>
      </c>
      <c r="T784" s="257">
        <v>17.57</v>
      </c>
      <c r="U784" s="256">
        <v>42200</v>
      </c>
      <c r="V784" s="145">
        <v>18.5</v>
      </c>
      <c r="W784" s="159">
        <v>42191</v>
      </c>
      <c r="AD784" s="145">
        <f>(N784/V784)*(((100-CD784)/100)*((100-2)/100))*100</f>
        <v>30.051567567567567</v>
      </c>
      <c r="AF784" s="257">
        <v>34.35</v>
      </c>
      <c r="AG784" s="159">
        <v>42191</v>
      </c>
      <c r="AJ784" s="257">
        <v>130</v>
      </c>
      <c r="AN784" s="257">
        <v>104</v>
      </c>
      <c r="BB784" s="257">
        <v>9</v>
      </c>
      <c r="BN784" s="242">
        <v>62.713000000000001</v>
      </c>
      <c r="BO784" s="256">
        <v>42200</v>
      </c>
      <c r="BT784" s="242">
        <v>51.162330627441406</v>
      </c>
      <c r="BU784" s="256">
        <v>42200</v>
      </c>
      <c r="BV784" s="242">
        <v>18.451894760131836</v>
      </c>
      <c r="BW784" s="256">
        <v>42200</v>
      </c>
      <c r="BX784" s="242">
        <v>17.306000000000001</v>
      </c>
      <c r="BY784" s="256">
        <v>42200</v>
      </c>
      <c r="CD784" s="257">
        <v>7</v>
      </c>
      <c r="CE784" s="159">
        <v>42191</v>
      </c>
      <c r="CM784" s="255">
        <v>3</v>
      </c>
      <c r="CN784" s="256">
        <v>42180</v>
      </c>
      <c r="CO784" s="140" t="s">
        <v>8447</v>
      </c>
    </row>
    <row r="785" spans="1:93" ht="12.75" customHeight="1">
      <c r="A785" s="126" t="s">
        <v>7712</v>
      </c>
      <c r="B785" s="161" t="s">
        <v>7551</v>
      </c>
      <c r="C785" s="268" t="s">
        <v>269</v>
      </c>
      <c r="D785" s="257">
        <v>2</v>
      </c>
      <c r="E785" s="179">
        <v>126</v>
      </c>
      <c r="F785" s="257">
        <v>9</v>
      </c>
      <c r="G785" s="257">
        <v>9</v>
      </c>
      <c r="J785" s="265"/>
      <c r="L785" s="257">
        <v>8</v>
      </c>
      <c r="N785" s="257">
        <v>6.11</v>
      </c>
      <c r="O785" s="159">
        <v>42191</v>
      </c>
      <c r="T785" s="257">
        <v>16.510000000000002</v>
      </c>
      <c r="U785" s="256">
        <v>42200</v>
      </c>
      <c r="V785" s="145">
        <v>18.5</v>
      </c>
      <c r="W785" s="159">
        <v>42191</v>
      </c>
      <c r="AD785" s="145">
        <f>(N785/V785)*(((100-CD785)/100)*((100-2)/100))*100</f>
        <v>30.068465945945949</v>
      </c>
      <c r="AF785" s="257">
        <f>(N785/V785)*(((100-CD785)/(100-9))*100)</f>
        <v>33.716602316602319</v>
      </c>
      <c r="AG785" s="159">
        <v>42191</v>
      </c>
      <c r="AJ785" s="257">
        <v>135</v>
      </c>
      <c r="AN785" s="257">
        <v>103</v>
      </c>
      <c r="BB785" s="257">
        <v>7</v>
      </c>
      <c r="BN785" s="242">
        <v>62.529000000000003</v>
      </c>
      <c r="BO785" s="256">
        <v>42200</v>
      </c>
      <c r="BT785" s="242">
        <v>48.033111572265625</v>
      </c>
      <c r="BU785" s="256">
        <v>42200</v>
      </c>
      <c r="BV785" s="242">
        <v>19.870630264282227</v>
      </c>
      <c r="BW785" s="256">
        <v>42200</v>
      </c>
      <c r="BX785" s="242">
        <v>17.710999999999999</v>
      </c>
      <c r="BY785" s="256">
        <v>42200</v>
      </c>
      <c r="CD785" s="257">
        <v>7.1</v>
      </c>
      <c r="CE785" s="159">
        <v>42191</v>
      </c>
      <c r="CM785" s="255">
        <v>1</v>
      </c>
      <c r="CN785" s="256">
        <v>42180</v>
      </c>
      <c r="CO785" s="140" t="s">
        <v>8448</v>
      </c>
    </row>
    <row r="786" spans="1:93" ht="12.75" customHeight="1">
      <c r="A786" s="126" t="s">
        <v>7748</v>
      </c>
      <c r="B786" s="161" t="s">
        <v>7572</v>
      </c>
      <c r="C786" s="268" t="s">
        <v>267</v>
      </c>
      <c r="D786" s="257">
        <v>4</v>
      </c>
      <c r="E786" s="179">
        <v>162</v>
      </c>
      <c r="F786" s="257">
        <v>22</v>
      </c>
      <c r="G786" s="257">
        <v>1</v>
      </c>
      <c r="J786" s="265"/>
      <c r="L786" s="257">
        <v>9</v>
      </c>
      <c r="N786" s="257">
        <v>6.24</v>
      </c>
      <c r="O786" s="159">
        <v>42191</v>
      </c>
      <c r="T786" s="257">
        <v>17.989999999999998</v>
      </c>
      <c r="U786" s="256">
        <v>42200</v>
      </c>
      <c r="V786" s="145">
        <v>18.5</v>
      </c>
      <c r="W786" s="159">
        <v>42191</v>
      </c>
      <c r="AD786" s="145">
        <f>(N786/V786)*(((100-CD786)/100)*((100-2)/100))*100</f>
        <v>30.080172972972974</v>
      </c>
      <c r="AF786" s="257">
        <v>34.39</v>
      </c>
      <c r="AG786" s="159">
        <v>42191</v>
      </c>
      <c r="AJ786" s="257">
        <v>145</v>
      </c>
      <c r="AN786" s="257">
        <v>100</v>
      </c>
      <c r="BB786" s="257">
        <v>7</v>
      </c>
      <c r="BN786" s="242">
        <v>65.334000000000003</v>
      </c>
      <c r="BO786" s="256">
        <v>42200</v>
      </c>
      <c r="BT786" s="242">
        <v>52.317192077636719</v>
      </c>
      <c r="BU786" s="256">
        <v>42200</v>
      </c>
      <c r="BV786" s="242">
        <v>15.371169090270996</v>
      </c>
      <c r="BW786" s="256">
        <v>42200</v>
      </c>
      <c r="BX786" s="242">
        <v>13.986000000000001</v>
      </c>
      <c r="BY786" s="256">
        <v>42200</v>
      </c>
      <c r="CD786" s="257">
        <v>9</v>
      </c>
      <c r="CE786" s="159">
        <v>42191</v>
      </c>
      <c r="CM786" s="255">
        <v>1</v>
      </c>
      <c r="CN786" s="256">
        <v>42180</v>
      </c>
      <c r="CO786" s="140" t="s">
        <v>8447</v>
      </c>
    </row>
    <row r="787" spans="1:93" ht="12.75" customHeight="1">
      <c r="A787" s="126" t="s">
        <v>7724</v>
      </c>
      <c r="B787" s="161" t="s">
        <v>7790</v>
      </c>
      <c r="C787" s="268" t="s">
        <v>267</v>
      </c>
      <c r="D787" s="257">
        <v>3</v>
      </c>
      <c r="E787" s="179">
        <v>138</v>
      </c>
      <c r="F787" s="257">
        <v>16</v>
      </c>
      <c r="G787" s="257">
        <v>29</v>
      </c>
      <c r="J787" s="265"/>
      <c r="L787" s="257">
        <v>3</v>
      </c>
      <c r="N787" s="257">
        <v>6.11</v>
      </c>
      <c r="O787" s="159">
        <v>42191</v>
      </c>
      <c r="T787" s="257">
        <v>16.88</v>
      </c>
      <c r="U787" s="256">
        <v>42200</v>
      </c>
      <c r="V787" s="145">
        <v>18.5</v>
      </c>
      <c r="W787" s="159">
        <v>42191</v>
      </c>
      <c r="AD787" s="145">
        <f>(N787/V787)*(((100-CD787)/100)*((100-2)/100))*100</f>
        <v>30.100832432432433</v>
      </c>
      <c r="AF787" s="257">
        <f>(N787/V787)*(((100-CD787)/(100-9))*100)</f>
        <v>33.752895752895753</v>
      </c>
      <c r="AG787" s="159">
        <v>42191</v>
      </c>
      <c r="AJ787" s="257">
        <v>125</v>
      </c>
      <c r="AN787" s="257">
        <v>101</v>
      </c>
      <c r="BB787" s="257">
        <v>5</v>
      </c>
      <c r="BN787" s="242">
        <v>65.825999999999993</v>
      </c>
      <c r="BO787" s="256">
        <v>42200</v>
      </c>
      <c r="BT787" s="242">
        <v>49.067146301269531</v>
      </c>
      <c r="BU787" s="256">
        <v>42200</v>
      </c>
      <c r="BV787" s="242">
        <v>17.786705017089844</v>
      </c>
      <c r="BW787" s="256">
        <v>42200</v>
      </c>
      <c r="BX787" s="242">
        <v>16.236000000000001</v>
      </c>
      <c r="BY787" s="256">
        <v>42200</v>
      </c>
      <c r="CD787" s="257">
        <v>7</v>
      </c>
      <c r="CE787" s="159">
        <v>42191</v>
      </c>
      <c r="CM787" s="255">
        <v>1</v>
      </c>
      <c r="CN787" s="256">
        <v>42180</v>
      </c>
      <c r="CO787" s="140" t="s">
        <v>8447</v>
      </c>
    </row>
    <row r="788" spans="1:93" ht="12.75" customHeight="1">
      <c r="A788" s="126" t="s">
        <v>7672</v>
      </c>
      <c r="B788" s="161" t="s">
        <v>7521</v>
      </c>
      <c r="C788" s="268" t="s">
        <v>269</v>
      </c>
      <c r="D788" s="257">
        <v>2</v>
      </c>
      <c r="E788" s="179">
        <v>86</v>
      </c>
      <c r="F788" s="257">
        <v>9</v>
      </c>
      <c r="G788" s="257">
        <v>10</v>
      </c>
      <c r="J788" s="265"/>
      <c r="L788" s="257">
        <v>7</v>
      </c>
      <c r="N788" s="257">
        <v>6.1</v>
      </c>
      <c r="O788" s="159">
        <v>42191</v>
      </c>
      <c r="T788" s="257">
        <v>17.5</v>
      </c>
      <c r="U788" s="256">
        <v>42200</v>
      </c>
      <c r="V788" s="145">
        <v>18.5</v>
      </c>
      <c r="W788" s="159">
        <v>42191</v>
      </c>
      <c r="AD788" s="145">
        <f>(N788/V788)*(((100-CD788)/100)*((100-2)/100))*100</f>
        <v>30.116194594594592</v>
      </c>
      <c r="AF788" s="257">
        <f>(N788/V788)*(((100-CD788)/(100-9))*100)</f>
        <v>33.770121770121776</v>
      </c>
      <c r="AG788" s="159">
        <v>42191</v>
      </c>
      <c r="AJ788" s="257">
        <v>140</v>
      </c>
      <c r="AN788" s="257">
        <v>105</v>
      </c>
      <c r="BB788" s="257">
        <v>7</v>
      </c>
      <c r="BN788" s="242">
        <v>63.481999999999999</v>
      </c>
      <c r="BO788" s="256">
        <v>42200</v>
      </c>
      <c r="BT788" s="242">
        <v>50.821067810058594</v>
      </c>
      <c r="BU788" s="256">
        <v>42200</v>
      </c>
      <c r="BV788" s="242">
        <v>18.060548782348633</v>
      </c>
      <c r="BW788" s="256">
        <v>42200</v>
      </c>
      <c r="BX788" s="242">
        <v>21.273</v>
      </c>
      <c r="BY788" s="256">
        <v>42200</v>
      </c>
      <c r="CD788" s="257">
        <v>6.8</v>
      </c>
      <c r="CE788" s="159">
        <v>42191</v>
      </c>
      <c r="CM788" s="255">
        <v>1</v>
      </c>
      <c r="CN788" s="256">
        <v>42180</v>
      </c>
      <c r="CO788" s="140" t="s">
        <v>8448</v>
      </c>
    </row>
    <row r="789" spans="1:93" ht="12.75" customHeight="1">
      <c r="A789" s="126" t="s">
        <v>7635</v>
      </c>
      <c r="B789" s="161" t="s">
        <v>7487</v>
      </c>
      <c r="C789" s="268" t="s">
        <v>269</v>
      </c>
      <c r="D789" s="257">
        <v>1</v>
      </c>
      <c r="E789" s="179">
        <v>49</v>
      </c>
      <c r="F789" s="257">
        <v>2</v>
      </c>
      <c r="G789" s="257">
        <v>4</v>
      </c>
      <c r="J789" s="265"/>
      <c r="L789" s="257">
        <v>9</v>
      </c>
      <c r="N789" s="257">
        <v>6.12</v>
      </c>
      <c r="O789" s="159">
        <v>42191</v>
      </c>
      <c r="T789" s="257">
        <v>17.71</v>
      </c>
      <c r="U789" s="256">
        <v>42200</v>
      </c>
      <c r="V789" s="145">
        <v>18.5</v>
      </c>
      <c r="W789" s="159">
        <v>42191</v>
      </c>
      <c r="AD789" s="145">
        <f>(N789/V789)*(((100-CD789)/100)*((100-2)/100))*100</f>
        <v>30.117677837837835</v>
      </c>
      <c r="AF789" s="257">
        <f>(N789/V789)*(((100-CD789)/(100-9))*100)</f>
        <v>33.771784971784975</v>
      </c>
      <c r="AG789" s="159">
        <v>42191</v>
      </c>
      <c r="AJ789" s="257">
        <v>155</v>
      </c>
      <c r="AN789" s="257">
        <v>103</v>
      </c>
      <c r="BB789" s="257">
        <v>7</v>
      </c>
      <c r="BN789" s="242">
        <v>64.385999999999996</v>
      </c>
      <c r="BO789" s="256">
        <v>42200</v>
      </c>
      <c r="BT789" s="242">
        <v>51.438961029052734</v>
      </c>
      <c r="BU789" s="256">
        <v>42200</v>
      </c>
      <c r="BV789" s="242">
        <v>17.461757659912109</v>
      </c>
      <c r="BW789" s="256">
        <v>42200</v>
      </c>
      <c r="BX789" s="242">
        <v>18.527000000000001</v>
      </c>
      <c r="BY789" s="256">
        <v>42200</v>
      </c>
      <c r="CD789" s="257">
        <v>7.1</v>
      </c>
      <c r="CE789" s="159">
        <v>42191</v>
      </c>
      <c r="CM789" s="255">
        <v>1</v>
      </c>
      <c r="CN789" s="256">
        <v>42180</v>
      </c>
      <c r="CO789" s="140" t="s">
        <v>8447</v>
      </c>
    </row>
    <row r="790" spans="1:93" ht="12.75" customHeight="1">
      <c r="A790" s="126" t="s">
        <v>7652</v>
      </c>
      <c r="B790" s="161" t="s">
        <v>7502</v>
      </c>
      <c r="C790" s="268" t="s">
        <v>269</v>
      </c>
      <c r="D790" s="257">
        <v>1</v>
      </c>
      <c r="E790" s="179">
        <v>66</v>
      </c>
      <c r="F790" s="257">
        <v>4</v>
      </c>
      <c r="G790" s="257">
        <v>2</v>
      </c>
      <c r="J790" s="265"/>
      <c r="L790" s="257">
        <v>8</v>
      </c>
      <c r="N790" s="257">
        <v>6.13</v>
      </c>
      <c r="O790" s="159">
        <v>42191</v>
      </c>
      <c r="T790" s="257">
        <v>16.84</v>
      </c>
      <c r="U790" s="256">
        <v>42200</v>
      </c>
      <c r="V790" s="145">
        <v>18.5</v>
      </c>
      <c r="W790" s="159">
        <v>42191</v>
      </c>
      <c r="AD790" s="145">
        <f>(N790/V790)*(((100-CD790)/100)*((100-2)/100))*100</f>
        <v>30.134417297297293</v>
      </c>
      <c r="AF790" s="257">
        <f>(N790/V790)*(((100-CD790)/(100-9))*100)</f>
        <v>33.79055539055539</v>
      </c>
      <c r="AG790" s="159">
        <v>42191</v>
      </c>
      <c r="AJ790" s="257">
        <v>155</v>
      </c>
      <c r="AN790" s="257">
        <v>101</v>
      </c>
      <c r="BB790" s="257">
        <v>7</v>
      </c>
      <c r="BN790" s="242">
        <v>64.55</v>
      </c>
      <c r="BO790" s="256">
        <v>42200</v>
      </c>
      <c r="BT790" s="242">
        <v>48.885261535644531</v>
      </c>
      <c r="BU790" s="256">
        <v>42200</v>
      </c>
      <c r="BV790" s="242">
        <v>18.613826751708984</v>
      </c>
      <c r="BW790" s="256">
        <v>42200</v>
      </c>
      <c r="BX790" s="242">
        <v>19.437000000000001</v>
      </c>
      <c r="BY790" s="256">
        <v>42200</v>
      </c>
      <c r="CD790" s="257">
        <v>7.2</v>
      </c>
      <c r="CE790" s="159">
        <v>42191</v>
      </c>
      <c r="CM790" s="255">
        <v>1</v>
      </c>
      <c r="CN790" s="256">
        <v>42180</v>
      </c>
      <c r="CO790" s="140" t="s">
        <v>8447</v>
      </c>
    </row>
    <row r="791" spans="1:93" ht="12.75" customHeight="1">
      <c r="A791" s="126" t="s">
        <v>7609</v>
      </c>
      <c r="B791" s="161" t="s">
        <v>7464</v>
      </c>
      <c r="C791" s="268" t="s">
        <v>269</v>
      </c>
      <c r="D791" s="257">
        <v>1</v>
      </c>
      <c r="E791" s="179">
        <v>23</v>
      </c>
      <c r="F791" s="257">
        <v>2</v>
      </c>
      <c r="G791" s="257">
        <v>28</v>
      </c>
      <c r="J791" s="283"/>
      <c r="L791" s="257">
        <v>9</v>
      </c>
      <c r="N791" s="257">
        <v>6.12</v>
      </c>
      <c r="O791" s="159">
        <v>42191</v>
      </c>
      <c r="P791" s="144"/>
      <c r="R791" s="145"/>
      <c r="T791" s="257">
        <v>18.079999999999998</v>
      </c>
      <c r="U791" s="256">
        <v>42200</v>
      </c>
      <c r="V791" s="145">
        <v>18.5</v>
      </c>
      <c r="W791" s="159">
        <v>42191</v>
      </c>
      <c r="X791" s="145"/>
      <c r="Z791" s="145"/>
      <c r="AB791" s="145"/>
      <c r="AD791" s="145">
        <f>(N791/V791)*(((100-CD791)/100)*((100-2)/100))*100</f>
        <v>30.182516756756755</v>
      </c>
      <c r="AF791" s="257">
        <v>34.5</v>
      </c>
      <c r="AG791" s="159">
        <v>42191</v>
      </c>
      <c r="AJ791" s="257">
        <v>160</v>
      </c>
      <c r="AL791" s="145"/>
      <c r="AN791" s="257">
        <v>106</v>
      </c>
      <c r="BB791" s="257">
        <v>7</v>
      </c>
      <c r="BN791" s="242">
        <v>64.021000000000001</v>
      </c>
      <c r="BO791" s="256">
        <v>42200</v>
      </c>
      <c r="BT791" s="242">
        <v>52.4249267578125</v>
      </c>
      <c r="BU791" s="256">
        <v>42200</v>
      </c>
      <c r="BV791" s="242">
        <v>17.633310317993164</v>
      </c>
      <c r="BW791" s="256">
        <v>42200</v>
      </c>
      <c r="BX791" s="242">
        <v>53.481000000000002</v>
      </c>
      <c r="BY791" s="256">
        <v>42200</v>
      </c>
      <c r="CD791" s="257">
        <v>6.9</v>
      </c>
      <c r="CE791" s="159">
        <v>42191</v>
      </c>
      <c r="CM791" s="255">
        <v>3</v>
      </c>
      <c r="CN791" s="256">
        <v>42180</v>
      </c>
      <c r="CO791" s="140" t="s">
        <v>8447</v>
      </c>
    </row>
    <row r="792" spans="1:93" ht="12.75" customHeight="1">
      <c r="A792" s="126" t="s">
        <v>7625</v>
      </c>
      <c r="B792" s="161" t="s">
        <v>7478</v>
      </c>
      <c r="C792" s="268" t="s">
        <v>269</v>
      </c>
      <c r="D792" s="257">
        <v>1</v>
      </c>
      <c r="E792" s="179">
        <v>39</v>
      </c>
      <c r="F792" s="257">
        <v>6</v>
      </c>
      <c r="G792" s="257">
        <v>5</v>
      </c>
      <c r="J792" s="265"/>
      <c r="L792" s="257">
        <v>8</v>
      </c>
      <c r="N792" s="257">
        <v>6.16</v>
      </c>
      <c r="O792" s="159">
        <v>42191</v>
      </c>
      <c r="T792" s="257">
        <v>18</v>
      </c>
      <c r="U792" s="256">
        <v>42200</v>
      </c>
      <c r="V792" s="145">
        <v>18.5</v>
      </c>
      <c r="W792" s="159">
        <v>42191</v>
      </c>
      <c r="AD792" s="145">
        <f>(N792/V792)*(((100-CD792)/100)*((100-2)/100))*100</f>
        <v>30.249262702702701</v>
      </c>
      <c r="AF792" s="257">
        <f>(N792/V792)*(((100-CD792)/(100-9))*100)</f>
        <v>33.919334719334714</v>
      </c>
      <c r="AG792" s="159">
        <v>42191</v>
      </c>
      <c r="AJ792" s="257">
        <v>150</v>
      </c>
      <c r="AN792" s="257">
        <v>102</v>
      </c>
      <c r="BB792" s="257">
        <v>7</v>
      </c>
      <c r="BN792" s="242">
        <v>67.498999999999995</v>
      </c>
      <c r="BO792" s="256">
        <v>42200</v>
      </c>
      <c r="BT792" s="242">
        <v>52.059181213378906</v>
      </c>
      <c r="BU792" s="256">
        <v>42200</v>
      </c>
      <c r="BV792" s="242">
        <v>15.312286376953125</v>
      </c>
      <c r="BW792" s="256">
        <v>42200</v>
      </c>
      <c r="BX792" s="242">
        <v>13.922000000000001</v>
      </c>
      <c r="BY792" s="256">
        <v>42200</v>
      </c>
      <c r="CD792" s="257">
        <v>7.3</v>
      </c>
      <c r="CE792" s="159">
        <v>42191</v>
      </c>
      <c r="CM792" s="255">
        <v>1</v>
      </c>
      <c r="CN792" s="256">
        <v>42180</v>
      </c>
      <c r="CO792" s="140" t="s">
        <v>8447</v>
      </c>
    </row>
    <row r="793" spans="1:93" ht="12.75" customHeight="1">
      <c r="A793" s="126" t="s">
        <v>7723</v>
      </c>
      <c r="B793" s="161" t="s">
        <v>7789</v>
      </c>
      <c r="C793" s="268" t="s">
        <v>267</v>
      </c>
      <c r="D793" s="257">
        <v>4</v>
      </c>
      <c r="E793" s="179">
        <v>137</v>
      </c>
      <c r="F793" s="257">
        <v>21</v>
      </c>
      <c r="G793" s="257">
        <v>19</v>
      </c>
      <c r="J793" s="265"/>
      <c r="L793" s="257">
        <v>9</v>
      </c>
      <c r="N793" s="257">
        <v>6.16</v>
      </c>
      <c r="O793" s="159">
        <v>42191</v>
      </c>
      <c r="T793" s="257">
        <v>17.47</v>
      </c>
      <c r="U793" s="256">
        <v>42200</v>
      </c>
      <c r="V793" s="145">
        <v>18.5</v>
      </c>
      <c r="W793" s="159">
        <v>42191</v>
      </c>
      <c r="AD793" s="145">
        <f>(N793/V793)*(((100-CD793)/100)*((100-2)/100))*100</f>
        <v>30.249262702702701</v>
      </c>
      <c r="AF793" s="257">
        <v>34.58</v>
      </c>
      <c r="AG793" s="159">
        <v>42191</v>
      </c>
      <c r="AJ793" s="257">
        <v>120</v>
      </c>
      <c r="AN793" s="257">
        <v>100</v>
      </c>
      <c r="BB793" s="257">
        <v>7</v>
      </c>
      <c r="BN793" s="242">
        <v>62.896999999999998</v>
      </c>
      <c r="BO793" s="256">
        <v>42200</v>
      </c>
      <c r="BT793" s="242">
        <v>50.534801483154297</v>
      </c>
      <c r="BU793" s="256">
        <v>42200</v>
      </c>
      <c r="BV793" s="242">
        <v>17.319828033447266</v>
      </c>
      <c r="BW793" s="256">
        <v>42200</v>
      </c>
      <c r="BX793" s="242">
        <v>15.446</v>
      </c>
      <c r="BY793" s="256">
        <v>42200</v>
      </c>
      <c r="CD793" s="257">
        <v>7.3</v>
      </c>
      <c r="CE793" s="159">
        <v>42191</v>
      </c>
      <c r="CM793" s="255">
        <v>7</v>
      </c>
      <c r="CN793" s="256">
        <v>42180</v>
      </c>
      <c r="CO793" s="140" t="s">
        <v>8447</v>
      </c>
    </row>
    <row r="794" spans="1:93" ht="12.75" customHeight="1">
      <c r="A794" s="126" t="s">
        <v>7716</v>
      </c>
      <c r="B794" s="161" t="s">
        <v>7553</v>
      </c>
      <c r="C794" s="268" t="s">
        <v>269</v>
      </c>
      <c r="D794" s="257">
        <v>1</v>
      </c>
      <c r="E794" s="179">
        <v>130</v>
      </c>
      <c r="F794" s="257">
        <v>6</v>
      </c>
      <c r="G794" s="257">
        <v>8</v>
      </c>
      <c r="J794" s="265"/>
      <c r="L794" s="257">
        <v>8</v>
      </c>
      <c r="N794" s="257">
        <v>6.17</v>
      </c>
      <c r="O794" s="159">
        <v>42191</v>
      </c>
      <c r="T794" s="257">
        <v>17.62</v>
      </c>
      <c r="U794" s="256">
        <v>42200</v>
      </c>
      <c r="V794" s="145">
        <v>18.5</v>
      </c>
      <c r="W794" s="159">
        <v>42191</v>
      </c>
      <c r="AD794" s="145">
        <f>(N794/V794)*(((100-CD794)/100)*((100-2)/100))*100</f>
        <v>30.331052972972966</v>
      </c>
      <c r="AF794" s="257">
        <f>(N794/V794)*(((100-CD794)/(100-9))*100)</f>
        <v>34.011048411048407</v>
      </c>
      <c r="AG794" s="159">
        <v>42191</v>
      </c>
      <c r="AJ794" s="257">
        <v>145</v>
      </c>
      <c r="AN794" s="257">
        <v>103</v>
      </c>
      <c r="BB794" s="257">
        <v>5</v>
      </c>
      <c r="BN794" s="242">
        <v>64.494</v>
      </c>
      <c r="BO794" s="256">
        <v>42200</v>
      </c>
      <c r="BT794" s="242">
        <v>50.817047119140625</v>
      </c>
      <c r="BU794" s="256">
        <v>42200</v>
      </c>
      <c r="BV794" s="242">
        <v>16.962509155273437</v>
      </c>
      <c r="BW794" s="256">
        <v>42200</v>
      </c>
      <c r="BX794" s="242">
        <v>19.449000000000002</v>
      </c>
      <c r="BY794" s="256">
        <v>42200</v>
      </c>
      <c r="CD794" s="257">
        <v>7.2</v>
      </c>
      <c r="CE794" s="159">
        <v>42191</v>
      </c>
      <c r="CM794" s="255">
        <v>1</v>
      </c>
      <c r="CN794" s="256">
        <v>42180</v>
      </c>
      <c r="CO794" s="140" t="s">
        <v>8447</v>
      </c>
    </row>
    <row r="795" spans="1:93" ht="12.75" customHeight="1">
      <c r="A795" s="126" t="s">
        <v>7650</v>
      </c>
      <c r="B795" s="161" t="s">
        <v>7500</v>
      </c>
      <c r="C795" s="268" t="s">
        <v>267</v>
      </c>
      <c r="D795" s="257">
        <v>3</v>
      </c>
      <c r="E795" s="179">
        <v>64</v>
      </c>
      <c r="F795" s="257">
        <v>13</v>
      </c>
      <c r="G795" s="257">
        <v>21</v>
      </c>
      <c r="J795" s="265"/>
      <c r="L795" s="257">
        <v>8</v>
      </c>
      <c r="N795" s="257">
        <v>6.19</v>
      </c>
      <c r="O795" s="159">
        <v>42191</v>
      </c>
      <c r="T795" s="257">
        <v>17.989999999999998</v>
      </c>
      <c r="U795" s="256">
        <v>42200</v>
      </c>
      <c r="V795" s="145">
        <v>18.5</v>
      </c>
      <c r="W795" s="159">
        <v>42191</v>
      </c>
      <c r="AD795" s="145">
        <f>(N795/V795)*(((100-CD795)/100)*((100-2)/100))*100</f>
        <v>30.429370810810809</v>
      </c>
      <c r="AF795" s="257">
        <f>(N795/V795)*(((100-CD795)/(100-9))*100)</f>
        <v>34.121294921294918</v>
      </c>
      <c r="AG795" s="159">
        <v>42191</v>
      </c>
      <c r="AJ795" s="257">
        <v>130</v>
      </c>
      <c r="AN795" s="257">
        <v>99</v>
      </c>
      <c r="BB795" s="257">
        <v>5</v>
      </c>
      <c r="BN795" s="242">
        <v>64.554000000000002</v>
      </c>
      <c r="BO795" s="256">
        <v>42200</v>
      </c>
      <c r="BT795" s="242">
        <v>51.717544555664063</v>
      </c>
      <c r="BU795" s="256">
        <v>42200</v>
      </c>
      <c r="BV795" s="242">
        <v>16.794065475463867</v>
      </c>
      <c r="BW795" s="256">
        <v>42200</v>
      </c>
      <c r="BX795" s="242">
        <v>18.571000000000002</v>
      </c>
      <c r="BY795" s="256">
        <v>42200</v>
      </c>
      <c r="CD795" s="257">
        <v>7.2</v>
      </c>
      <c r="CE795" s="159">
        <v>42191</v>
      </c>
      <c r="CM795" s="255">
        <v>1</v>
      </c>
      <c r="CN795" s="256">
        <v>42180</v>
      </c>
      <c r="CO795" s="140" t="s">
        <v>8447</v>
      </c>
    </row>
    <row r="796" spans="1:93" ht="12.75" customHeight="1">
      <c r="A796" s="126" t="s">
        <v>7742</v>
      </c>
      <c r="B796" s="161" t="s">
        <v>7566</v>
      </c>
      <c r="C796" s="268" t="s">
        <v>269</v>
      </c>
      <c r="D796" s="257">
        <v>1</v>
      </c>
      <c r="E796" s="179">
        <v>156</v>
      </c>
      <c r="F796" s="257">
        <v>6</v>
      </c>
      <c r="G796" s="257">
        <v>30</v>
      </c>
      <c r="J796" s="265"/>
      <c r="L796" s="257">
        <v>6</v>
      </c>
      <c r="N796" s="257">
        <v>6.19</v>
      </c>
      <c r="O796" s="159">
        <v>42191</v>
      </c>
      <c r="T796" s="257">
        <v>16.829999999999998</v>
      </c>
      <c r="U796" s="256">
        <v>42200</v>
      </c>
      <c r="V796" s="145">
        <v>18.5</v>
      </c>
      <c r="W796" s="159">
        <v>42191</v>
      </c>
      <c r="AD796" s="145">
        <f>(N796/V796)*(((100-CD796)/100)*((100-2)/100))*100</f>
        <v>30.429370810810809</v>
      </c>
      <c r="AF796" s="257">
        <v>34.79</v>
      </c>
      <c r="AG796" s="159">
        <v>42191</v>
      </c>
      <c r="AJ796" s="257">
        <v>145</v>
      </c>
      <c r="AN796" s="257">
        <v>101</v>
      </c>
      <c r="BB796" s="257">
        <v>7</v>
      </c>
      <c r="BN796" s="242">
        <v>62.957000000000001</v>
      </c>
      <c r="BO796" s="256">
        <v>42200</v>
      </c>
      <c r="BT796" s="242">
        <v>48.371593475341797</v>
      </c>
      <c r="BU796" s="256">
        <v>42200</v>
      </c>
      <c r="BV796" s="242">
        <v>19.810531616210938</v>
      </c>
      <c r="BW796" s="256">
        <v>42200</v>
      </c>
      <c r="BX796" s="242">
        <v>19.148</v>
      </c>
      <c r="BY796" s="256">
        <v>42200</v>
      </c>
      <c r="CD796" s="257">
        <v>7.2</v>
      </c>
      <c r="CE796" s="159">
        <v>42191</v>
      </c>
      <c r="CM796" s="255">
        <v>3</v>
      </c>
      <c r="CN796" s="256">
        <v>42180</v>
      </c>
      <c r="CO796" s="140" t="s">
        <v>8447</v>
      </c>
    </row>
    <row r="797" spans="1:93" ht="12.75" customHeight="1">
      <c r="A797" s="126" t="s">
        <v>7683</v>
      </c>
      <c r="B797" s="161" t="s">
        <v>7530</v>
      </c>
      <c r="C797" s="268" t="s">
        <v>269</v>
      </c>
      <c r="D797" s="257">
        <v>1</v>
      </c>
      <c r="E797" s="179">
        <v>97</v>
      </c>
      <c r="F797" s="257">
        <v>2</v>
      </c>
      <c r="G797" s="257">
        <v>25</v>
      </c>
      <c r="J797" s="265"/>
      <c r="L797" s="257">
        <v>7</v>
      </c>
      <c r="N797" s="257">
        <v>6.2</v>
      </c>
      <c r="O797" s="159">
        <v>42191</v>
      </c>
      <c r="T797" s="257">
        <v>17.55</v>
      </c>
      <c r="U797" s="256">
        <v>42200</v>
      </c>
      <c r="V797" s="145">
        <v>18.5</v>
      </c>
      <c r="W797" s="159">
        <v>42191</v>
      </c>
      <c r="AD797" s="145">
        <f>(N797/V797)*(((100-CD797)/100)*((100-2)/100))*100</f>
        <v>30.511372972972971</v>
      </c>
      <c r="AF797" s="257">
        <f>(N797/V797)*(((100-CD797)/(100-9))*100)</f>
        <v>34.213246213246222</v>
      </c>
      <c r="AG797" s="159">
        <v>42191</v>
      </c>
      <c r="AJ797" s="257">
        <v>160</v>
      </c>
      <c r="AN797" s="257">
        <v>100</v>
      </c>
      <c r="BB797" s="257">
        <v>5</v>
      </c>
      <c r="BN797" s="242">
        <v>60.265999999999998</v>
      </c>
      <c r="BO797" s="256">
        <v>42200</v>
      </c>
      <c r="BT797" s="242">
        <v>50.309600830078125</v>
      </c>
      <c r="BU797" s="256">
        <v>42200</v>
      </c>
      <c r="BV797" s="242">
        <v>16.888357162475586</v>
      </c>
      <c r="BW797" s="256">
        <v>42200</v>
      </c>
      <c r="BX797" s="242">
        <v>13.907</v>
      </c>
      <c r="BY797" s="256">
        <v>42200</v>
      </c>
      <c r="CD797" s="257">
        <v>7.1</v>
      </c>
      <c r="CE797" s="159">
        <v>42191</v>
      </c>
      <c r="CM797" s="255">
        <v>1</v>
      </c>
      <c r="CN797" s="256">
        <v>42180</v>
      </c>
      <c r="CO797" s="140" t="s">
        <v>8447</v>
      </c>
    </row>
    <row r="798" spans="1:93" ht="12.75" customHeight="1">
      <c r="A798" s="126" t="s">
        <v>7715</v>
      </c>
      <c r="B798" s="161" t="s">
        <v>8216</v>
      </c>
      <c r="C798" s="268" t="s">
        <v>269</v>
      </c>
      <c r="D798" s="257">
        <v>1</v>
      </c>
      <c r="E798" s="179">
        <v>129</v>
      </c>
      <c r="F798" s="257">
        <v>6</v>
      </c>
      <c r="G798" s="257">
        <v>12</v>
      </c>
      <c r="J798" s="265"/>
      <c r="L798" s="257">
        <v>9</v>
      </c>
      <c r="N798" s="257">
        <v>6.21</v>
      </c>
      <c r="O798" s="159">
        <v>42191</v>
      </c>
      <c r="T798" s="257">
        <v>17.86</v>
      </c>
      <c r="U798" s="256">
        <v>42200</v>
      </c>
      <c r="V798" s="145">
        <v>18.5</v>
      </c>
      <c r="W798" s="159">
        <v>42191</v>
      </c>
      <c r="AD798" s="145">
        <f>(N798/V798)*(((100-CD798)/100)*((100-2)/100))*100</f>
        <v>30.527688648648649</v>
      </c>
      <c r="AF798" s="257">
        <f>(N798/V798)*(((100-CD798)/(100-9))*100)</f>
        <v>34.23154143154143</v>
      </c>
      <c r="AG798" s="159">
        <v>42191</v>
      </c>
      <c r="AJ798" s="257">
        <v>150</v>
      </c>
      <c r="AN798" s="257">
        <v>102</v>
      </c>
      <c r="BB798" s="257">
        <v>5</v>
      </c>
      <c r="BN798" s="242">
        <v>60.521000000000001</v>
      </c>
      <c r="BO798" s="256">
        <v>42200</v>
      </c>
      <c r="BT798" s="242">
        <v>51.181976318359375</v>
      </c>
      <c r="BU798" s="256">
        <v>42200</v>
      </c>
      <c r="BV798" s="242">
        <v>17.051109313964844</v>
      </c>
      <c r="BW798" s="256">
        <v>42200</v>
      </c>
      <c r="BX798" s="242">
        <v>21.756</v>
      </c>
      <c r="BY798" s="256">
        <v>42200</v>
      </c>
      <c r="CD798" s="257">
        <v>7.2</v>
      </c>
      <c r="CE798" s="159">
        <v>42191</v>
      </c>
      <c r="CM798" s="255">
        <v>1</v>
      </c>
      <c r="CN798" s="256">
        <v>42180</v>
      </c>
      <c r="CO798" s="140" t="s">
        <v>8447</v>
      </c>
    </row>
    <row r="799" spans="1:93" ht="12.75" customHeight="1">
      <c r="A799" s="126" t="s">
        <v>7758</v>
      </c>
      <c r="B799" s="161" t="s">
        <v>7793</v>
      </c>
      <c r="C799" s="268" t="s">
        <v>269</v>
      </c>
      <c r="D799" s="257">
        <v>2</v>
      </c>
      <c r="E799" s="179">
        <v>172</v>
      </c>
      <c r="F799" s="257">
        <v>9</v>
      </c>
      <c r="G799" s="257">
        <v>27</v>
      </c>
      <c r="J799" s="265"/>
      <c r="L799" s="257">
        <v>8</v>
      </c>
      <c r="N799" s="257">
        <v>6.2</v>
      </c>
      <c r="O799" s="159">
        <v>42191</v>
      </c>
      <c r="T799" s="257">
        <v>16.82</v>
      </c>
      <c r="U799" s="256">
        <v>42200</v>
      </c>
      <c r="V799" s="145">
        <v>18.5</v>
      </c>
      <c r="W799" s="159">
        <v>42191</v>
      </c>
      <c r="AD799" s="145">
        <f>(N799/V799)*(((100-CD799)/100)*((100-2)/100))*100</f>
        <v>30.544216216216221</v>
      </c>
      <c r="AF799" s="257">
        <v>34.92</v>
      </c>
      <c r="AG799" s="159">
        <v>42191</v>
      </c>
      <c r="AJ799" s="257">
        <v>125</v>
      </c>
      <c r="AN799" s="257">
        <v>107</v>
      </c>
      <c r="BB799" s="257">
        <v>7</v>
      </c>
      <c r="BN799" s="242">
        <v>61.008000000000003</v>
      </c>
      <c r="BO799" s="256">
        <v>42200</v>
      </c>
      <c r="BT799" s="242">
        <v>48.178485870361328</v>
      </c>
      <c r="BU799" s="256">
        <v>42200</v>
      </c>
      <c r="BV799" s="242">
        <v>19.20025634765625</v>
      </c>
      <c r="BW799" s="256">
        <v>42200</v>
      </c>
      <c r="BX799" s="242">
        <v>22.37</v>
      </c>
      <c r="BY799" s="256">
        <v>42200</v>
      </c>
      <c r="CD799" s="257">
        <v>7</v>
      </c>
      <c r="CE799" s="159">
        <v>42191</v>
      </c>
      <c r="CM799" s="255">
        <v>3</v>
      </c>
      <c r="CN799" s="256">
        <v>42180</v>
      </c>
      <c r="CO799" s="140" t="s">
        <v>8448</v>
      </c>
    </row>
    <row r="800" spans="1:93" ht="12.75" customHeight="1">
      <c r="A800" s="126" t="s">
        <v>7759</v>
      </c>
      <c r="B800" s="161" t="s">
        <v>7794</v>
      </c>
      <c r="C800" s="268" t="s">
        <v>267</v>
      </c>
      <c r="D800" s="257">
        <v>4</v>
      </c>
      <c r="E800" s="179">
        <v>173</v>
      </c>
      <c r="F800" s="257">
        <v>23</v>
      </c>
      <c r="G800" s="257">
        <v>18</v>
      </c>
      <c r="J800" s="265"/>
      <c r="L800" s="257">
        <v>5</v>
      </c>
      <c r="N800" s="257">
        <v>6.25</v>
      </c>
      <c r="O800" s="159">
        <v>42191</v>
      </c>
      <c r="T800" s="257">
        <v>17.87</v>
      </c>
      <c r="U800" s="256">
        <v>42200</v>
      </c>
      <c r="V800" s="145">
        <v>18.5</v>
      </c>
      <c r="W800" s="159">
        <v>42191</v>
      </c>
      <c r="AD800" s="145">
        <f>(N800/V800)*(((100-CD800)/100)*((100-2)/100))*100</f>
        <v>30.591891891891894</v>
      </c>
      <c r="AF800" s="257">
        <v>34.97</v>
      </c>
      <c r="AG800" s="159">
        <v>42191</v>
      </c>
      <c r="AJ800" s="257">
        <v>120</v>
      </c>
      <c r="AN800" s="257">
        <v>106</v>
      </c>
      <c r="BB800" s="257">
        <v>9</v>
      </c>
      <c r="BN800" s="242">
        <v>65.222999999999999</v>
      </c>
      <c r="BO800" s="256">
        <v>42200</v>
      </c>
      <c r="BT800" s="242">
        <v>51.114856719970703</v>
      </c>
      <c r="BU800" s="256">
        <v>42200</v>
      </c>
      <c r="BV800" s="242">
        <v>17.061357498168945</v>
      </c>
      <c r="BW800" s="256">
        <v>42200</v>
      </c>
      <c r="BX800" s="242">
        <v>20.808</v>
      </c>
      <c r="BY800" s="256">
        <v>42200</v>
      </c>
      <c r="CD800" s="257">
        <v>7.6</v>
      </c>
      <c r="CE800" s="159">
        <v>42191</v>
      </c>
      <c r="CM800" s="255">
        <v>1</v>
      </c>
      <c r="CN800" s="256">
        <v>42180</v>
      </c>
      <c r="CO800" s="140" t="s">
        <v>8447</v>
      </c>
    </row>
    <row r="801" spans="1:93" ht="12.75" customHeight="1">
      <c r="A801" s="126" t="s">
        <v>7720</v>
      </c>
      <c r="B801" s="161" t="s">
        <v>7787</v>
      </c>
      <c r="C801" s="268" t="s">
        <v>267</v>
      </c>
      <c r="D801" s="257">
        <v>4</v>
      </c>
      <c r="E801" s="179">
        <v>134</v>
      </c>
      <c r="F801" s="257">
        <v>19</v>
      </c>
      <c r="G801" s="257">
        <v>11</v>
      </c>
      <c r="J801" s="265"/>
      <c r="L801" s="257">
        <v>9</v>
      </c>
      <c r="N801" s="257">
        <v>6.26</v>
      </c>
      <c r="O801" s="159">
        <v>42191</v>
      </c>
      <c r="T801" s="257">
        <v>17.78</v>
      </c>
      <c r="U801" s="256">
        <v>42200</v>
      </c>
      <c r="V801" s="145">
        <v>18.5</v>
      </c>
      <c r="W801" s="159">
        <v>42191</v>
      </c>
      <c r="AD801" s="145">
        <f>(N801/V801)*(((100-CD801)/100)*((100-2)/100))*100</f>
        <v>30.607677837837834</v>
      </c>
      <c r="AF801" s="257">
        <f>(N801/V801)*(((100-CD801)/(100-9))*100)</f>
        <v>34.321235521235515</v>
      </c>
      <c r="AG801" s="159">
        <v>42191</v>
      </c>
      <c r="AJ801" s="257">
        <v>115</v>
      </c>
      <c r="AN801" s="257">
        <v>101</v>
      </c>
      <c r="BB801" s="257">
        <v>9</v>
      </c>
      <c r="BN801" s="242">
        <v>65.435000000000002</v>
      </c>
      <c r="BO801" s="256">
        <v>42200</v>
      </c>
      <c r="BT801" s="242">
        <v>50.82098388671875</v>
      </c>
      <c r="BU801" s="256">
        <v>42200</v>
      </c>
      <c r="BV801" s="242">
        <v>17.484485626220703</v>
      </c>
      <c r="BW801" s="256">
        <v>42200</v>
      </c>
      <c r="BX801" s="242">
        <v>18.559999999999999</v>
      </c>
      <c r="BY801" s="256">
        <v>42200</v>
      </c>
      <c r="CD801" s="257">
        <v>7.7</v>
      </c>
      <c r="CE801" s="159">
        <v>42191</v>
      </c>
      <c r="CM801" s="255">
        <v>1</v>
      </c>
      <c r="CN801" s="256">
        <v>42180</v>
      </c>
      <c r="CO801" s="140" t="s">
        <v>8447</v>
      </c>
    </row>
    <row r="802" spans="1:93" ht="12.75" customHeight="1">
      <c r="A802" s="126" t="s">
        <v>8329</v>
      </c>
      <c r="B802" s="161" t="s">
        <v>8329</v>
      </c>
      <c r="C802" s="268" t="s">
        <v>269</v>
      </c>
      <c r="D802" s="257">
        <v>1</v>
      </c>
      <c r="E802" s="281">
        <v>192</v>
      </c>
      <c r="F802" s="257">
        <v>3</v>
      </c>
      <c r="G802" s="257">
        <v>26</v>
      </c>
      <c r="J802" s="265"/>
      <c r="L802" s="257">
        <v>7</v>
      </c>
      <c r="N802" s="257">
        <v>6.21</v>
      </c>
      <c r="O802" s="159">
        <v>42191</v>
      </c>
      <c r="T802" s="257">
        <v>18.48</v>
      </c>
      <c r="U802" s="256">
        <v>42200</v>
      </c>
      <c r="V802" s="145">
        <v>18.5</v>
      </c>
      <c r="W802" s="159">
        <v>42191</v>
      </c>
      <c r="AD802" s="145">
        <f>(N802/V802)*(((100-CD802)/100)*((100-2)/100))*100</f>
        <v>30.626377297297296</v>
      </c>
      <c r="AF802" s="257">
        <v>35.01</v>
      </c>
      <c r="AG802" s="159">
        <v>42191</v>
      </c>
      <c r="AJ802" s="257">
        <v>170</v>
      </c>
      <c r="AN802" s="257">
        <v>98</v>
      </c>
      <c r="BB802" s="257">
        <v>7</v>
      </c>
      <c r="BN802" s="242">
        <v>64.936000000000007</v>
      </c>
      <c r="BO802" s="256">
        <v>42200</v>
      </c>
      <c r="BT802" s="242">
        <v>52.783355712890625</v>
      </c>
      <c r="BU802" s="256">
        <v>42200</v>
      </c>
      <c r="BV802" s="242">
        <v>16.115467071533203</v>
      </c>
      <c r="BW802" s="256">
        <v>42200</v>
      </c>
      <c r="BX802" s="242">
        <v>20.172000000000001</v>
      </c>
      <c r="BY802" s="256">
        <v>42200</v>
      </c>
      <c r="CD802" s="257">
        <v>6.9</v>
      </c>
      <c r="CE802" s="159">
        <v>42191</v>
      </c>
      <c r="CM802" s="255">
        <v>1</v>
      </c>
      <c r="CN802" s="256">
        <v>42180</v>
      </c>
      <c r="CO802" s="140" t="s">
        <v>8447</v>
      </c>
    </row>
    <row r="803" spans="1:93" ht="12.75" customHeight="1">
      <c r="A803" s="126" t="s">
        <v>7551</v>
      </c>
      <c r="B803" s="161" t="s">
        <v>7551</v>
      </c>
      <c r="C803" s="268" t="s">
        <v>269</v>
      </c>
      <c r="D803" s="257">
        <v>1</v>
      </c>
      <c r="E803" s="281">
        <v>183</v>
      </c>
      <c r="F803" s="257">
        <v>6</v>
      </c>
      <c r="G803" s="257">
        <v>22</v>
      </c>
      <c r="J803" s="265"/>
      <c r="L803" s="257">
        <v>8</v>
      </c>
      <c r="N803" s="257">
        <v>6.22</v>
      </c>
      <c r="O803" s="159">
        <v>42191</v>
      </c>
      <c r="T803" s="257">
        <v>16.510000000000002</v>
      </c>
      <c r="U803" s="256">
        <v>42200</v>
      </c>
      <c r="V803" s="145">
        <v>18.5</v>
      </c>
      <c r="W803" s="159">
        <v>42191</v>
      </c>
      <c r="AD803" s="145">
        <f>(N803/V803)*(((100-CD803)/100)*((100-2)/100))*100</f>
        <v>30.675695135135133</v>
      </c>
      <c r="AF803" s="257">
        <v>35.07</v>
      </c>
      <c r="AG803" s="159">
        <v>42191</v>
      </c>
      <c r="AJ803" s="257">
        <v>125</v>
      </c>
      <c r="AN803" s="257">
        <v>103</v>
      </c>
      <c r="BB803" s="257">
        <v>5</v>
      </c>
      <c r="BN803" s="242">
        <v>57.734999999999999</v>
      </c>
      <c r="BO803" s="256">
        <v>42200</v>
      </c>
      <c r="BT803" s="242">
        <v>47.073005676269531</v>
      </c>
      <c r="BU803" s="256">
        <v>42200</v>
      </c>
      <c r="BV803" s="242">
        <v>20.227695465087891</v>
      </c>
      <c r="BW803" s="256">
        <v>42200</v>
      </c>
      <c r="BX803" s="242">
        <v>21.434000000000001</v>
      </c>
      <c r="BY803" s="256">
        <v>42200</v>
      </c>
      <c r="CD803" s="257">
        <v>6.9</v>
      </c>
      <c r="CE803" s="159">
        <v>42191</v>
      </c>
      <c r="CM803" s="255">
        <v>3</v>
      </c>
      <c r="CN803" s="256">
        <v>42180</v>
      </c>
      <c r="CO803" s="140" t="s">
        <v>8447</v>
      </c>
    </row>
    <row r="804" spans="1:93" ht="12.75" customHeight="1">
      <c r="A804" s="126" t="s">
        <v>7724</v>
      </c>
      <c r="B804" s="161" t="s">
        <v>7790</v>
      </c>
      <c r="C804" s="268" t="s">
        <v>269</v>
      </c>
      <c r="D804" s="257">
        <v>1</v>
      </c>
      <c r="E804" s="179">
        <v>138</v>
      </c>
      <c r="F804" s="257">
        <v>3</v>
      </c>
      <c r="G804" s="257">
        <v>10</v>
      </c>
      <c r="J804" s="265"/>
      <c r="L804" s="257">
        <v>7</v>
      </c>
      <c r="N804" s="257">
        <v>6.22</v>
      </c>
      <c r="O804" s="159">
        <v>42191</v>
      </c>
      <c r="T804" s="257">
        <v>17.440000000000001</v>
      </c>
      <c r="U804" s="256">
        <v>42200</v>
      </c>
      <c r="V804" s="145">
        <v>18.5</v>
      </c>
      <c r="W804" s="159">
        <v>42191</v>
      </c>
      <c r="AD804" s="145">
        <f>(N804/V804)*(((100-CD804)/100)*((100-2)/100))*100</f>
        <v>30.675695135135133</v>
      </c>
      <c r="AF804" s="257">
        <f>(N804/V804)*(((100-CD804)/(100-9))*100)</f>
        <v>34.39750519750519</v>
      </c>
      <c r="AG804" s="159">
        <v>42191</v>
      </c>
      <c r="AJ804" s="257">
        <v>155</v>
      </c>
      <c r="AN804" s="257">
        <v>97</v>
      </c>
      <c r="BB804" s="257">
        <v>7</v>
      </c>
      <c r="BN804" s="242">
        <v>65.054000000000002</v>
      </c>
      <c r="BO804" s="256">
        <v>42200</v>
      </c>
      <c r="BT804" s="242">
        <v>49.742229461669922</v>
      </c>
      <c r="BU804" s="256">
        <v>42200</v>
      </c>
      <c r="BV804" s="242">
        <v>17.123235702514648</v>
      </c>
      <c r="BW804" s="256">
        <v>42200</v>
      </c>
      <c r="BX804" s="242">
        <v>14.208</v>
      </c>
      <c r="BY804" s="256">
        <v>42200</v>
      </c>
      <c r="CD804" s="257">
        <v>6.9</v>
      </c>
      <c r="CE804" s="159">
        <v>42191</v>
      </c>
      <c r="CM804" s="255">
        <v>1</v>
      </c>
      <c r="CN804" s="256">
        <v>42180</v>
      </c>
      <c r="CO804" s="140" t="s">
        <v>8447</v>
      </c>
    </row>
    <row r="805" spans="1:93" ht="12.75" customHeight="1">
      <c r="A805" s="126" t="s">
        <v>7670</v>
      </c>
      <c r="B805" s="161" t="s">
        <v>7519</v>
      </c>
      <c r="C805" s="268" t="s">
        <v>269</v>
      </c>
      <c r="D805" s="257">
        <v>1</v>
      </c>
      <c r="E805" s="179">
        <v>84</v>
      </c>
      <c r="F805" s="257">
        <v>2</v>
      </c>
      <c r="G805" s="257">
        <v>1</v>
      </c>
      <c r="J805" s="265"/>
      <c r="L805" s="257">
        <v>9</v>
      </c>
      <c r="N805" s="257">
        <v>6.27</v>
      </c>
      <c r="O805" s="159">
        <v>42191</v>
      </c>
      <c r="T805" s="257">
        <v>17.84</v>
      </c>
      <c r="U805" s="256">
        <v>42200</v>
      </c>
      <c r="V805" s="145">
        <v>18.5</v>
      </c>
      <c r="W805" s="159">
        <v>42191</v>
      </c>
      <c r="AD805" s="145">
        <f>(N805/V805)*(((100-CD805)/100)*((100-2)/100))*100</f>
        <v>30.689785945945946</v>
      </c>
      <c r="AF805" s="257">
        <v>35.08</v>
      </c>
      <c r="AG805" s="159">
        <v>42191</v>
      </c>
      <c r="AJ805" s="257">
        <v>145</v>
      </c>
      <c r="AN805" s="257">
        <v>107</v>
      </c>
      <c r="BB805" s="257">
        <v>9</v>
      </c>
      <c r="BN805" s="242">
        <v>63.512999999999998</v>
      </c>
      <c r="BO805" s="256">
        <v>42200</v>
      </c>
      <c r="BT805" s="242">
        <v>50.861865997314453</v>
      </c>
      <c r="BU805" s="256">
        <v>42200</v>
      </c>
      <c r="BV805" s="242">
        <v>17.413581848144531</v>
      </c>
      <c r="BW805" s="256">
        <v>42200</v>
      </c>
      <c r="BX805" s="242">
        <v>19.763999999999999</v>
      </c>
      <c r="BY805" s="256">
        <v>42200</v>
      </c>
      <c r="CD805" s="257">
        <v>7.6</v>
      </c>
      <c r="CE805" s="159">
        <v>42191</v>
      </c>
      <c r="CM805" s="255">
        <v>3</v>
      </c>
      <c r="CN805" s="256">
        <v>42180</v>
      </c>
      <c r="CO805" s="140" t="s">
        <v>8447</v>
      </c>
    </row>
    <row r="806" spans="1:93" ht="12.75" customHeight="1">
      <c r="A806" s="126" t="s">
        <v>7723</v>
      </c>
      <c r="B806" s="161" t="s">
        <v>7789</v>
      </c>
      <c r="C806" s="268" t="s">
        <v>267</v>
      </c>
      <c r="D806" s="257">
        <v>3</v>
      </c>
      <c r="E806" s="179">
        <v>137</v>
      </c>
      <c r="F806" s="257">
        <v>13</v>
      </c>
      <c r="G806" s="257">
        <v>12</v>
      </c>
      <c r="J806" s="265"/>
      <c r="L806" s="257">
        <v>9</v>
      </c>
      <c r="N806" s="257">
        <v>6.28</v>
      </c>
      <c r="O806" s="159">
        <v>42191</v>
      </c>
      <c r="T806" s="257">
        <v>17.86</v>
      </c>
      <c r="U806" s="256">
        <v>42200</v>
      </c>
      <c r="V806" s="145">
        <v>18.5</v>
      </c>
      <c r="W806" s="159">
        <v>42191</v>
      </c>
      <c r="AD806" s="145">
        <f>(N806/V806)*(((100-CD806)/100)*((100-2)/100))*100</f>
        <v>30.705465945945949</v>
      </c>
      <c r="AF806" s="257">
        <v>35.1</v>
      </c>
      <c r="AG806" s="159">
        <v>42191</v>
      </c>
      <c r="AJ806" s="257">
        <v>140</v>
      </c>
      <c r="AN806" s="257">
        <v>100</v>
      </c>
      <c r="BB806" s="257">
        <v>7</v>
      </c>
      <c r="BN806" s="242">
        <v>62.213000000000001</v>
      </c>
      <c r="BO806" s="256">
        <v>42200</v>
      </c>
      <c r="BT806" s="242">
        <v>50.886024475097656</v>
      </c>
      <c r="BU806" s="256">
        <v>42200</v>
      </c>
      <c r="BV806" s="242">
        <v>18.127662658691406</v>
      </c>
      <c r="BW806" s="256">
        <v>42200</v>
      </c>
      <c r="BX806" s="242">
        <v>12.734</v>
      </c>
      <c r="BY806" s="256">
        <v>42200</v>
      </c>
      <c r="CD806" s="257">
        <v>7.7</v>
      </c>
      <c r="CE806" s="159">
        <v>42191</v>
      </c>
      <c r="CM806" s="255">
        <v>3</v>
      </c>
      <c r="CN806" s="256">
        <v>42180</v>
      </c>
      <c r="CO806" s="140" t="s">
        <v>8447</v>
      </c>
    </row>
    <row r="807" spans="1:93" ht="12.75" customHeight="1">
      <c r="A807" s="126" t="s">
        <v>7753</v>
      </c>
      <c r="B807" s="161" t="s">
        <v>7577</v>
      </c>
      <c r="C807" s="268" t="s">
        <v>267</v>
      </c>
      <c r="D807" s="257">
        <v>3</v>
      </c>
      <c r="E807" s="179">
        <v>167</v>
      </c>
      <c r="F807" s="257">
        <v>16</v>
      </c>
      <c r="G807" s="257">
        <v>31</v>
      </c>
      <c r="J807" s="265"/>
      <c r="L807" s="257">
        <v>6</v>
      </c>
      <c r="N807" s="257">
        <v>6.24</v>
      </c>
      <c r="O807" s="159">
        <v>42191</v>
      </c>
      <c r="T807" s="257">
        <v>17.97</v>
      </c>
      <c r="U807" s="256">
        <v>42200</v>
      </c>
      <c r="V807" s="145">
        <v>18.5</v>
      </c>
      <c r="W807" s="159">
        <v>42191</v>
      </c>
      <c r="AD807" s="145">
        <f>(N807/V807)*(((100-CD807)/100)*((100-2)/100))*100</f>
        <v>30.708220540540545</v>
      </c>
      <c r="AF807" s="257">
        <v>35.1</v>
      </c>
      <c r="AG807" s="159">
        <v>42191</v>
      </c>
      <c r="AJ807" s="257">
        <v>135</v>
      </c>
      <c r="AN807" s="257">
        <v>101</v>
      </c>
      <c r="BB807" s="257">
        <v>7</v>
      </c>
      <c r="BN807" s="242">
        <v>62.814</v>
      </c>
      <c r="BO807" s="256">
        <v>42200</v>
      </c>
      <c r="BT807" s="242">
        <v>51.212818145751953</v>
      </c>
      <c r="BU807" s="256">
        <v>42200</v>
      </c>
      <c r="BV807" s="242">
        <v>18.92254638671875</v>
      </c>
      <c r="BW807" s="256">
        <v>42200</v>
      </c>
      <c r="BX807" s="242">
        <v>19.222000000000001</v>
      </c>
      <c r="BY807" s="256">
        <v>42200</v>
      </c>
      <c r="CD807" s="257">
        <v>7.1</v>
      </c>
      <c r="CE807" s="159">
        <v>42191</v>
      </c>
      <c r="CM807" s="255">
        <v>3</v>
      </c>
      <c r="CN807" s="256">
        <v>42180</v>
      </c>
      <c r="CO807" s="140" t="s">
        <v>8447</v>
      </c>
    </row>
    <row r="808" spans="1:93" ht="12.75" customHeight="1">
      <c r="A808" s="126" t="s">
        <v>7647</v>
      </c>
      <c r="B808" s="161" t="s">
        <v>7497</v>
      </c>
      <c r="C808" s="268" t="s">
        <v>269</v>
      </c>
      <c r="D808" s="257">
        <v>1</v>
      </c>
      <c r="E808" s="179">
        <v>61</v>
      </c>
      <c r="F808" s="257">
        <v>2</v>
      </c>
      <c r="G808" s="257">
        <v>21</v>
      </c>
      <c r="J808" s="265"/>
      <c r="L808" s="257">
        <v>8</v>
      </c>
      <c r="N808" s="257">
        <v>6.29</v>
      </c>
      <c r="O808" s="159">
        <v>42191</v>
      </c>
      <c r="T808" s="257">
        <v>18.47</v>
      </c>
      <c r="U808" s="256">
        <v>42200</v>
      </c>
      <c r="V808" s="145">
        <v>18.5</v>
      </c>
      <c r="W808" s="159">
        <v>42191</v>
      </c>
      <c r="AD808" s="145">
        <f>(N808/V808)*(((100-CD808)/100)*((100-2)/100))*100</f>
        <v>30.920959999999997</v>
      </c>
      <c r="AF808" s="257">
        <f>(N808/V808)*(((100-CD808)/(100-9))*100)</f>
        <v>34.67252747252747</v>
      </c>
      <c r="AG808" s="159">
        <v>42191</v>
      </c>
      <c r="AJ808" s="257">
        <v>155</v>
      </c>
      <c r="AN808" s="257">
        <v>100</v>
      </c>
      <c r="BB808" s="257">
        <v>7</v>
      </c>
      <c r="BN808" s="242">
        <v>65.801000000000002</v>
      </c>
      <c r="BO808" s="256">
        <v>42200</v>
      </c>
      <c r="BT808" s="242">
        <v>52.252449035644531</v>
      </c>
      <c r="BU808" s="256">
        <v>42200</v>
      </c>
      <c r="BV808" s="242">
        <v>16.908866882324219</v>
      </c>
      <c r="BW808" s="256">
        <v>42200</v>
      </c>
      <c r="BX808" s="242">
        <v>16.297000000000001</v>
      </c>
      <c r="BY808" s="256">
        <v>42200</v>
      </c>
      <c r="CD808" s="257">
        <v>7.2</v>
      </c>
      <c r="CE808" s="159">
        <v>42191</v>
      </c>
      <c r="CM808" s="255">
        <v>1</v>
      </c>
      <c r="CN808" s="256">
        <v>42180</v>
      </c>
      <c r="CO808" s="140" t="s">
        <v>8447</v>
      </c>
    </row>
    <row r="809" spans="1:93" ht="12.75" customHeight="1">
      <c r="A809" s="126" t="s">
        <v>7732</v>
      </c>
      <c r="B809" s="161" t="s">
        <v>7557</v>
      </c>
      <c r="C809" s="268" t="s">
        <v>269</v>
      </c>
      <c r="D809" s="257">
        <v>1</v>
      </c>
      <c r="E809" s="179">
        <v>146</v>
      </c>
      <c r="F809" s="257">
        <v>3</v>
      </c>
      <c r="G809" s="257">
        <v>17</v>
      </c>
      <c r="J809" s="265"/>
      <c r="L809" s="257">
        <v>7</v>
      </c>
      <c r="N809" s="257">
        <v>6.29</v>
      </c>
      <c r="O809" s="159">
        <v>42191</v>
      </c>
      <c r="T809" s="257">
        <v>17.78</v>
      </c>
      <c r="U809" s="256">
        <v>42200</v>
      </c>
      <c r="V809" s="145">
        <v>18.5</v>
      </c>
      <c r="W809" s="159">
        <v>42191</v>
      </c>
      <c r="AD809" s="145">
        <f>(N809/V809)*(((100-CD809)/100)*((100-2)/100))*100</f>
        <v>30.920959999999997</v>
      </c>
      <c r="AF809" s="257">
        <f>(N809/V809)*(((100-CD809)/(100-9))*100)</f>
        <v>34.67252747252747</v>
      </c>
      <c r="AG809" s="159">
        <v>42191</v>
      </c>
      <c r="AJ809" s="257">
        <v>160</v>
      </c>
      <c r="AN809" s="257">
        <v>100</v>
      </c>
      <c r="BB809" s="257">
        <v>7</v>
      </c>
      <c r="BN809" s="242">
        <v>62.47</v>
      </c>
      <c r="BO809" s="256">
        <v>42200</v>
      </c>
      <c r="BT809" s="242">
        <v>50.29315185546875</v>
      </c>
      <c r="BU809" s="256">
        <v>42200</v>
      </c>
      <c r="BV809" s="242">
        <v>18.054573059082031</v>
      </c>
      <c r="BW809" s="256">
        <v>42200</v>
      </c>
      <c r="BX809" s="242">
        <v>17.303999999999998</v>
      </c>
      <c r="BY809" s="256">
        <v>42200</v>
      </c>
      <c r="CD809" s="257">
        <v>7.2</v>
      </c>
      <c r="CE809" s="159">
        <v>42191</v>
      </c>
      <c r="CM809" s="255">
        <v>1</v>
      </c>
      <c r="CN809" s="256">
        <v>42180</v>
      </c>
      <c r="CO809" s="140" t="s">
        <v>8447</v>
      </c>
    </row>
    <row r="810" spans="1:93" ht="12.75" customHeight="1">
      <c r="A810" s="126" t="s">
        <v>7752</v>
      </c>
      <c r="B810" s="161" t="s">
        <v>7576</v>
      </c>
      <c r="C810" s="268" t="s">
        <v>269</v>
      </c>
      <c r="D810" s="257">
        <v>2</v>
      </c>
      <c r="E810" s="179">
        <v>166</v>
      </c>
      <c r="F810" s="257">
        <v>10</v>
      </c>
      <c r="G810" s="257">
        <v>11</v>
      </c>
      <c r="J810" s="265"/>
      <c r="L810" s="257">
        <v>8</v>
      </c>
      <c r="N810" s="257">
        <v>6.33</v>
      </c>
      <c r="O810" s="159">
        <v>42191</v>
      </c>
      <c r="T810" s="257">
        <v>17.73</v>
      </c>
      <c r="U810" s="256">
        <v>42200</v>
      </c>
      <c r="V810" s="145">
        <v>18.5</v>
      </c>
      <c r="W810" s="159">
        <v>42191</v>
      </c>
      <c r="AD810" s="145">
        <f>(N810/V810)*(((100-CD810)/100)*((100-2)/100))*100</f>
        <v>31.151127567567567</v>
      </c>
      <c r="AF810" s="257">
        <f>(N810/V810)*(((100-CD810)/(100-9))*100)</f>
        <v>34.930620730620738</v>
      </c>
      <c r="AG810" s="159">
        <v>42191</v>
      </c>
      <c r="AJ810" s="257">
        <v>110</v>
      </c>
      <c r="AN810" s="257">
        <v>100</v>
      </c>
      <c r="BB810" s="257">
        <v>7</v>
      </c>
      <c r="BN810" s="242">
        <v>64.566000000000003</v>
      </c>
      <c r="BO810" s="256">
        <v>42200</v>
      </c>
      <c r="BT810" s="242">
        <v>49.775657653808594</v>
      </c>
      <c r="BU810" s="256">
        <v>42200</v>
      </c>
      <c r="BV810" s="242">
        <v>17.688119888305664</v>
      </c>
      <c r="BW810" s="256">
        <v>42200</v>
      </c>
      <c r="BX810" s="242">
        <v>14.497</v>
      </c>
      <c r="BY810" s="256">
        <v>42200</v>
      </c>
      <c r="CD810" s="257">
        <v>7.1</v>
      </c>
      <c r="CE810" s="159">
        <v>42191</v>
      </c>
      <c r="CM810" s="255">
        <v>1</v>
      </c>
      <c r="CN810" s="256">
        <v>42180</v>
      </c>
      <c r="CO810" s="140" t="s">
        <v>8448</v>
      </c>
    </row>
    <row r="811" spans="1:93" ht="12.75" customHeight="1">
      <c r="A811" s="126" t="s">
        <v>7759</v>
      </c>
      <c r="B811" s="161" t="s">
        <v>7794</v>
      </c>
      <c r="C811" s="268" t="s">
        <v>267</v>
      </c>
      <c r="D811" s="257">
        <v>3</v>
      </c>
      <c r="E811" s="179">
        <v>173</v>
      </c>
      <c r="F811" s="257">
        <v>13</v>
      </c>
      <c r="G811" s="257">
        <v>9</v>
      </c>
      <c r="J811" s="265"/>
      <c r="L811" s="257">
        <v>7</v>
      </c>
      <c r="N811" s="257">
        <v>6.4</v>
      </c>
      <c r="O811" s="159">
        <v>42191</v>
      </c>
      <c r="T811" s="257">
        <v>17.760000000000002</v>
      </c>
      <c r="U811" s="256">
        <v>42200</v>
      </c>
      <c r="V811" s="145">
        <v>18.5</v>
      </c>
      <c r="W811" s="159">
        <v>42191</v>
      </c>
      <c r="AD811" s="145">
        <f>(N811/V811)*(((100-CD811)/100)*((100-2)/100))*100</f>
        <v>31.156583783783788</v>
      </c>
      <c r="AF811" s="257">
        <v>35.619999999999997</v>
      </c>
      <c r="AG811" s="159">
        <v>42191</v>
      </c>
      <c r="AJ811" s="257">
        <v>135</v>
      </c>
      <c r="AN811" s="257">
        <v>105</v>
      </c>
      <c r="BB811" s="257">
        <v>9</v>
      </c>
      <c r="BN811" s="242">
        <v>63.106999999999999</v>
      </c>
      <c r="BO811" s="256">
        <v>42200</v>
      </c>
      <c r="BT811" s="242">
        <v>49.851753234863281</v>
      </c>
      <c r="BU811" s="256">
        <v>42200</v>
      </c>
      <c r="BV811" s="242">
        <v>17.845169067382813</v>
      </c>
      <c r="BW811" s="256">
        <v>42200</v>
      </c>
      <c r="BX811" s="242">
        <v>22.776</v>
      </c>
      <c r="BY811" s="256">
        <v>42200</v>
      </c>
      <c r="CD811" s="257">
        <v>8.1</v>
      </c>
      <c r="CE811" s="159">
        <v>42191</v>
      </c>
      <c r="CM811" s="255">
        <v>1</v>
      </c>
      <c r="CN811" s="256">
        <v>42180</v>
      </c>
      <c r="CO811" s="140" t="s">
        <v>8447</v>
      </c>
    </row>
    <row r="812" spans="1:93" ht="12.75" customHeight="1">
      <c r="A812" s="126" t="s">
        <v>7760</v>
      </c>
      <c r="B812" s="161" t="s">
        <v>8310</v>
      </c>
      <c r="C812" s="268" t="s">
        <v>267</v>
      </c>
      <c r="D812" s="257">
        <v>4</v>
      </c>
      <c r="E812" s="179">
        <v>174</v>
      </c>
      <c r="F812" s="257">
        <v>20</v>
      </c>
      <c r="G812" s="257">
        <v>8</v>
      </c>
      <c r="J812" s="265"/>
      <c r="L812" s="257">
        <v>9</v>
      </c>
      <c r="N812" s="257">
        <v>6.41</v>
      </c>
      <c r="O812" s="159">
        <v>42191</v>
      </c>
      <c r="T812" s="257">
        <v>18.73</v>
      </c>
      <c r="U812" s="256">
        <v>42200</v>
      </c>
      <c r="V812" s="145">
        <v>18.5</v>
      </c>
      <c r="W812" s="159">
        <v>42191</v>
      </c>
      <c r="AD812" s="145">
        <f>(N812/V812)*(((100-CD812)/100)*((100-2)/100))*100</f>
        <v>31.171310270270268</v>
      </c>
      <c r="AF812" s="257">
        <v>35.630000000000003</v>
      </c>
      <c r="AG812" s="159">
        <v>42191</v>
      </c>
      <c r="AJ812" s="257">
        <v>120</v>
      </c>
      <c r="AN812" s="257">
        <v>101</v>
      </c>
      <c r="BB812" s="257">
        <v>9</v>
      </c>
      <c r="BN812" s="242">
        <v>62.662999999999997</v>
      </c>
      <c r="BO812" s="256">
        <v>42200</v>
      </c>
      <c r="BT812" s="242">
        <v>52.584426879882813</v>
      </c>
      <c r="BU812" s="256">
        <v>42200</v>
      </c>
      <c r="BV812" s="242">
        <v>15.786391258239746</v>
      </c>
      <c r="BW812" s="256">
        <v>42200</v>
      </c>
      <c r="BX812" s="242">
        <v>16.951000000000001</v>
      </c>
      <c r="BY812" s="256">
        <v>42200</v>
      </c>
      <c r="CD812" s="257">
        <v>8.1999999999999993</v>
      </c>
      <c r="CE812" s="159">
        <v>42191</v>
      </c>
      <c r="CM812" s="255">
        <v>1</v>
      </c>
      <c r="CN812" s="256">
        <v>42180</v>
      </c>
      <c r="CO812" s="140" t="s">
        <v>8447</v>
      </c>
    </row>
    <row r="813" spans="1:93" ht="12.75" customHeight="1">
      <c r="A813" s="126" t="s">
        <v>8329</v>
      </c>
      <c r="B813" s="161" t="s">
        <v>8329</v>
      </c>
      <c r="C813" s="268" t="s">
        <v>269</v>
      </c>
      <c r="D813" s="257">
        <v>1</v>
      </c>
      <c r="E813" s="281">
        <v>189</v>
      </c>
      <c r="F813" s="257">
        <v>4</v>
      </c>
      <c r="G813" s="257">
        <v>4</v>
      </c>
      <c r="J813" s="265"/>
      <c r="L813" s="257">
        <v>8</v>
      </c>
      <c r="N813" s="257">
        <v>6.33</v>
      </c>
      <c r="O813" s="159">
        <v>42191</v>
      </c>
      <c r="T813" s="257">
        <v>19.22</v>
      </c>
      <c r="U813" s="256">
        <v>42200</v>
      </c>
      <c r="V813" s="145">
        <v>18.5</v>
      </c>
      <c r="W813" s="159">
        <v>42191</v>
      </c>
      <c r="AD813" s="145">
        <f>(N813/V813)*(((100-CD813)/100)*((100-2)/100))*100</f>
        <v>31.184659459459457</v>
      </c>
      <c r="AF813" s="257">
        <v>35.65</v>
      </c>
      <c r="AG813" s="159">
        <v>42191</v>
      </c>
      <c r="AJ813" s="257">
        <v>160</v>
      </c>
      <c r="AN813" s="257">
        <v>98</v>
      </c>
      <c r="BB813" s="257">
        <v>7</v>
      </c>
      <c r="BN813" s="242">
        <v>65.001999999999995</v>
      </c>
      <c r="BO813" s="256">
        <v>42200</v>
      </c>
      <c r="BT813" s="242">
        <v>53.89788818359375</v>
      </c>
      <c r="BU813" s="256">
        <v>42200</v>
      </c>
      <c r="BV813" s="242">
        <v>14.615718841552734</v>
      </c>
      <c r="BW813" s="256">
        <v>42200</v>
      </c>
      <c r="BX813" s="242">
        <v>16.335000000000001</v>
      </c>
      <c r="BY813" s="256">
        <v>42200</v>
      </c>
      <c r="CD813" s="257">
        <v>7</v>
      </c>
      <c r="CE813" s="159">
        <v>42191</v>
      </c>
      <c r="CM813" s="255">
        <v>1</v>
      </c>
      <c r="CN813" s="256">
        <v>42180</v>
      </c>
      <c r="CO813" s="140" t="s">
        <v>8447</v>
      </c>
    </row>
    <row r="814" spans="1:93" ht="12.75" customHeight="1">
      <c r="A814" s="126" t="s">
        <v>8329</v>
      </c>
      <c r="B814" s="161" t="s">
        <v>8329</v>
      </c>
      <c r="C814" s="268" t="s">
        <v>269</v>
      </c>
      <c r="D814" s="257">
        <v>2</v>
      </c>
      <c r="E814" s="281">
        <v>192</v>
      </c>
      <c r="F814" s="257">
        <v>9</v>
      </c>
      <c r="G814" s="257">
        <v>13</v>
      </c>
      <c r="J814" s="265"/>
      <c r="L814" s="257">
        <v>7</v>
      </c>
      <c r="N814" s="257">
        <v>6.34</v>
      </c>
      <c r="O814" s="159">
        <v>42191</v>
      </c>
      <c r="T814" s="257">
        <v>18.8</v>
      </c>
      <c r="U814" s="256">
        <v>42200</v>
      </c>
      <c r="V814" s="145">
        <v>18.5</v>
      </c>
      <c r="W814" s="159">
        <v>42191</v>
      </c>
      <c r="AD814" s="145">
        <f>(N814/V814)*(((100-CD814)/100)*((100-2)/100))*100</f>
        <v>31.301094054054058</v>
      </c>
      <c r="AF814" s="257">
        <f>(N814/V814)*(((100-CD814)/(100-9))*100)</f>
        <v>35.098782298782304</v>
      </c>
      <c r="AG814" s="159">
        <v>42191</v>
      </c>
      <c r="AJ814" s="257">
        <v>150</v>
      </c>
      <c r="AN814" s="257">
        <v>100</v>
      </c>
      <c r="BB814" s="257">
        <v>9</v>
      </c>
      <c r="BN814" s="242">
        <v>64.025999999999996</v>
      </c>
      <c r="BO814" s="256">
        <v>42200</v>
      </c>
      <c r="BT814" s="242">
        <v>52.546424865722656</v>
      </c>
      <c r="BU814" s="256">
        <v>42200</v>
      </c>
      <c r="BV814" s="242">
        <v>15.923620223999023</v>
      </c>
      <c r="BW814" s="256">
        <v>42200</v>
      </c>
      <c r="BX814" s="242">
        <v>20.762</v>
      </c>
      <c r="BY814" s="256">
        <v>42200</v>
      </c>
      <c r="CD814" s="257">
        <v>6.8</v>
      </c>
      <c r="CE814" s="159">
        <v>42191</v>
      </c>
      <c r="CM814" s="255">
        <v>1</v>
      </c>
      <c r="CN814" s="256">
        <v>42180</v>
      </c>
      <c r="CO814" s="140" t="s">
        <v>8448</v>
      </c>
    </row>
    <row r="815" spans="1:93" ht="12.75" customHeight="1">
      <c r="A815" s="126" t="s">
        <v>7736</v>
      </c>
      <c r="B815" s="161" t="s">
        <v>7560</v>
      </c>
      <c r="C815" s="268" t="s">
        <v>267</v>
      </c>
      <c r="D815" s="257">
        <v>3</v>
      </c>
      <c r="E815" s="179">
        <v>150</v>
      </c>
      <c r="F815" s="257">
        <v>13</v>
      </c>
      <c r="G815" s="257">
        <v>3</v>
      </c>
      <c r="J815" s="265"/>
      <c r="L815" s="257">
        <v>9</v>
      </c>
      <c r="N815" s="257">
        <v>6.45</v>
      </c>
      <c r="O815" s="159">
        <v>42191</v>
      </c>
      <c r="T815" s="257">
        <v>18.37</v>
      </c>
      <c r="U815" s="256">
        <v>42200</v>
      </c>
      <c r="V815" s="145">
        <v>18.5</v>
      </c>
      <c r="W815" s="159">
        <v>42191</v>
      </c>
      <c r="AD815" s="145">
        <f>(N815/V815)*(((100-CD815)/100)*((100-2)/100))*100</f>
        <v>31.331659459459459</v>
      </c>
      <c r="AF815" s="257">
        <v>35.82</v>
      </c>
      <c r="AG815" s="159">
        <v>42191</v>
      </c>
      <c r="AJ815" s="257">
        <v>130</v>
      </c>
      <c r="AN815" s="257">
        <v>103</v>
      </c>
      <c r="BB815" s="257">
        <v>7</v>
      </c>
      <c r="BN815" s="242">
        <v>62.790999999999997</v>
      </c>
      <c r="BO815" s="256">
        <v>42200</v>
      </c>
      <c r="BT815" s="242">
        <v>51.276573181152344</v>
      </c>
      <c r="BU815" s="256">
        <v>42200</v>
      </c>
      <c r="BV815" s="242">
        <v>17.87458610534668</v>
      </c>
      <c r="BW815" s="256">
        <v>42200</v>
      </c>
      <c r="BX815" s="242">
        <v>13.638</v>
      </c>
      <c r="BY815" s="256">
        <v>42200</v>
      </c>
      <c r="CD815" s="257">
        <v>8.3000000000000007</v>
      </c>
      <c r="CE815" s="159">
        <v>42191</v>
      </c>
      <c r="CM815" s="255">
        <v>3</v>
      </c>
      <c r="CN815" s="256">
        <v>42180</v>
      </c>
      <c r="CO815" s="140" t="s">
        <v>8447</v>
      </c>
    </row>
    <row r="816" spans="1:93" ht="12.75" customHeight="1">
      <c r="A816" s="126" t="s">
        <v>7650</v>
      </c>
      <c r="B816" s="161" t="s">
        <v>7500</v>
      </c>
      <c r="C816" s="268" t="s">
        <v>269</v>
      </c>
      <c r="D816" s="257">
        <v>1</v>
      </c>
      <c r="E816" s="179">
        <v>64</v>
      </c>
      <c r="F816" s="257">
        <v>4</v>
      </c>
      <c r="G816" s="257">
        <v>6</v>
      </c>
      <c r="J816" s="265"/>
      <c r="L816" s="257">
        <v>7</v>
      </c>
      <c r="N816" s="257">
        <v>6.36</v>
      </c>
      <c r="O816" s="159">
        <v>42191</v>
      </c>
      <c r="T816" s="257">
        <v>19.170000000000002</v>
      </c>
      <c r="U816" s="256">
        <v>42200</v>
      </c>
      <c r="V816" s="145">
        <v>18.5</v>
      </c>
      <c r="W816" s="159">
        <v>42191</v>
      </c>
      <c r="AD816" s="145">
        <f>(N816/V816)*(((100-CD816)/100)*((100-2)/100))*100</f>
        <v>31.366144864864872</v>
      </c>
      <c r="AF816" s="257">
        <f>(N816/V816)*(((100-CD816)/(100-9))*100)</f>
        <v>35.171725571725574</v>
      </c>
      <c r="AG816" s="159">
        <v>42191</v>
      </c>
      <c r="AJ816" s="257">
        <v>140</v>
      </c>
      <c r="AN816" s="257">
        <v>96</v>
      </c>
      <c r="BB816" s="257">
        <v>7</v>
      </c>
      <c r="BN816" s="242">
        <v>64.382000000000005</v>
      </c>
      <c r="BO816" s="256">
        <v>42200</v>
      </c>
      <c r="BT816" s="242">
        <v>53.455032348632813</v>
      </c>
      <c r="BU816" s="256">
        <v>42200</v>
      </c>
      <c r="BV816" s="242">
        <v>16.245525360107422</v>
      </c>
      <c r="BW816" s="256">
        <v>42200</v>
      </c>
      <c r="BX816" s="242">
        <v>14.298</v>
      </c>
      <c r="BY816" s="256">
        <v>42200</v>
      </c>
      <c r="CD816" s="257">
        <v>6.9</v>
      </c>
      <c r="CE816" s="159">
        <v>42191</v>
      </c>
      <c r="CM816" s="255">
        <v>1</v>
      </c>
      <c r="CN816" s="256">
        <v>42180</v>
      </c>
      <c r="CO816" s="140" t="s">
        <v>8447</v>
      </c>
    </row>
    <row r="817" spans="1:93" ht="12.75" customHeight="1">
      <c r="A817" s="126" t="s">
        <v>7728</v>
      </c>
      <c r="B817" s="161" t="s">
        <v>7556</v>
      </c>
      <c r="C817" s="268" t="s">
        <v>269</v>
      </c>
      <c r="D817" s="257">
        <v>1</v>
      </c>
      <c r="E817" s="179">
        <v>142</v>
      </c>
      <c r="F817" s="257">
        <v>4</v>
      </c>
      <c r="G817" s="257">
        <v>19</v>
      </c>
      <c r="J817" s="265"/>
      <c r="L817" s="257">
        <v>7</v>
      </c>
      <c r="N817" s="257">
        <v>6.38</v>
      </c>
      <c r="O817" s="159">
        <v>42191</v>
      </c>
      <c r="T817" s="257">
        <v>19.62</v>
      </c>
      <c r="U817" s="256">
        <v>42200</v>
      </c>
      <c r="V817" s="145">
        <v>18.5</v>
      </c>
      <c r="W817" s="159">
        <v>42191</v>
      </c>
      <c r="AD817" s="145">
        <f>(N817/V817)*(((100-CD817)/100)*((100-2)/100))*100</f>
        <v>31.430983783783784</v>
      </c>
      <c r="AF817" s="257">
        <f>(N817/V817)*(((100-CD817)/(100-9))*100)</f>
        <v>35.24443124443124</v>
      </c>
      <c r="AG817" s="159">
        <v>42191</v>
      </c>
      <c r="AJ817" s="257">
        <v>155</v>
      </c>
      <c r="AN817" s="257">
        <v>98</v>
      </c>
      <c r="BB817" s="257">
        <v>7</v>
      </c>
      <c r="BN817" s="242">
        <v>63.503999999999998</v>
      </c>
      <c r="BO817" s="256">
        <v>42200</v>
      </c>
      <c r="BT817" s="242">
        <v>54.621902465820312</v>
      </c>
      <c r="BU817" s="256">
        <v>42200</v>
      </c>
      <c r="BV817" s="242">
        <v>14.783102035522461</v>
      </c>
      <c r="BW817" s="256">
        <v>42200</v>
      </c>
      <c r="BX817" s="242">
        <v>15.545999999999999</v>
      </c>
      <c r="BY817" s="256">
        <v>42200</v>
      </c>
      <c r="CD817" s="257">
        <v>7</v>
      </c>
      <c r="CE817" s="159">
        <v>42191</v>
      </c>
      <c r="CM817" s="255">
        <v>1</v>
      </c>
      <c r="CN817" s="256">
        <v>42180</v>
      </c>
      <c r="CO817" s="140" t="s">
        <v>8447</v>
      </c>
    </row>
    <row r="818" spans="1:93" ht="12.75" customHeight="1">
      <c r="A818" s="126" t="s">
        <v>7712</v>
      </c>
      <c r="B818" s="161" t="s">
        <v>7551</v>
      </c>
      <c r="C818" s="268" t="s">
        <v>269</v>
      </c>
      <c r="D818" s="257">
        <v>1</v>
      </c>
      <c r="E818" s="179">
        <v>126</v>
      </c>
      <c r="F818" s="257">
        <v>2</v>
      </c>
      <c r="G818" s="257">
        <v>19</v>
      </c>
      <c r="J818" s="265"/>
      <c r="L818" s="257">
        <v>9</v>
      </c>
      <c r="N818" s="257">
        <v>6.47</v>
      </c>
      <c r="O818" s="159">
        <v>42191</v>
      </c>
      <c r="T818" s="257">
        <v>18.149999999999999</v>
      </c>
      <c r="U818" s="256">
        <v>42200</v>
      </c>
      <c r="V818" s="145">
        <v>18.5</v>
      </c>
      <c r="W818" s="159">
        <v>42191</v>
      </c>
      <c r="AD818" s="145">
        <f>(N818/V818)*(((100-CD818)/100)*((100-2)/100))*100</f>
        <v>31.737273513513507</v>
      </c>
      <c r="AF818" s="257">
        <f>(N818/V818)*(((100-CD818)/(100-9))*100)</f>
        <v>35.587882387882381</v>
      </c>
      <c r="AG818" s="159">
        <v>42191</v>
      </c>
      <c r="AJ818" s="257">
        <v>145</v>
      </c>
      <c r="AN818" s="257">
        <v>100</v>
      </c>
      <c r="BB818" s="257">
        <v>5</v>
      </c>
      <c r="BN818" s="242">
        <v>61.279000000000003</v>
      </c>
      <c r="BO818" s="256">
        <v>42200</v>
      </c>
      <c r="BT818" s="242">
        <v>50.026229858398437</v>
      </c>
      <c r="BU818" s="256">
        <v>42200</v>
      </c>
      <c r="BV818" s="242">
        <v>18.106857299804688</v>
      </c>
      <c r="BW818" s="256">
        <v>42200</v>
      </c>
      <c r="BX818" s="242">
        <v>16.547000000000001</v>
      </c>
      <c r="BY818" s="256">
        <v>42200</v>
      </c>
      <c r="CD818" s="257">
        <v>7.4</v>
      </c>
      <c r="CE818" s="159">
        <v>42191</v>
      </c>
      <c r="CM818" s="255">
        <v>1</v>
      </c>
      <c r="CN818" s="256">
        <v>42180</v>
      </c>
      <c r="CO818" s="140" t="s">
        <v>8447</v>
      </c>
    </row>
    <row r="819" spans="1:93" ht="12.75" customHeight="1">
      <c r="A819" s="126" t="s">
        <v>7664</v>
      </c>
      <c r="B819" s="161" t="s">
        <v>7513</v>
      </c>
      <c r="C819" s="268" t="s">
        <v>269</v>
      </c>
      <c r="D819" s="257">
        <v>2</v>
      </c>
      <c r="E819" s="179">
        <v>78</v>
      </c>
      <c r="F819" s="257">
        <v>10</v>
      </c>
      <c r="G819" s="257">
        <v>28</v>
      </c>
      <c r="J819" s="265"/>
      <c r="L819" s="257">
        <v>6</v>
      </c>
      <c r="N819" s="257">
        <v>6.45</v>
      </c>
      <c r="O819" s="159">
        <v>42191</v>
      </c>
      <c r="T819" s="257">
        <v>16.920000000000002</v>
      </c>
      <c r="U819" s="256">
        <v>42200</v>
      </c>
      <c r="V819" s="145">
        <v>18.5</v>
      </c>
      <c r="W819" s="159">
        <v>42191</v>
      </c>
      <c r="AD819" s="145">
        <f>(N819/V819)*(((100-CD819)/100)*((100-2)/100))*100</f>
        <v>31.775837837837841</v>
      </c>
      <c r="AF819" s="257">
        <f>(N819/V819)*(((100-CD819)/(100-9))*100)</f>
        <v>35.631125631125627</v>
      </c>
      <c r="AG819" s="159">
        <v>42191</v>
      </c>
      <c r="AJ819" s="257">
        <v>145</v>
      </c>
      <c r="AN819" s="257">
        <v>100</v>
      </c>
      <c r="BB819" s="257">
        <v>5</v>
      </c>
      <c r="BN819" s="242">
        <v>59.585000000000001</v>
      </c>
      <c r="BO819" s="256">
        <v>42200</v>
      </c>
      <c r="BT819" s="242">
        <v>46.582916259765625</v>
      </c>
      <c r="BU819" s="256">
        <v>42200</v>
      </c>
      <c r="BV819" s="242">
        <v>19.012483596801758</v>
      </c>
      <c r="BW819" s="256">
        <v>42200</v>
      </c>
      <c r="BX819" s="242">
        <v>19.841000000000001</v>
      </c>
      <c r="BY819" s="256">
        <v>42200</v>
      </c>
      <c r="CD819" s="257">
        <v>7</v>
      </c>
      <c r="CE819" s="159">
        <v>42191</v>
      </c>
      <c r="CM819" s="255">
        <v>1</v>
      </c>
      <c r="CN819" s="256">
        <v>42180</v>
      </c>
      <c r="CO819" s="140" t="s">
        <v>8448</v>
      </c>
    </row>
    <row r="820" spans="1:93" ht="12.75" customHeight="1">
      <c r="A820" s="126" t="s">
        <v>7736</v>
      </c>
      <c r="B820" s="161" t="s">
        <v>7560</v>
      </c>
      <c r="C820" s="268" t="s">
        <v>269</v>
      </c>
      <c r="D820" s="257">
        <v>1</v>
      </c>
      <c r="E820" s="179">
        <v>150</v>
      </c>
      <c r="F820" s="257">
        <v>1</v>
      </c>
      <c r="G820" s="257">
        <v>5</v>
      </c>
      <c r="J820" s="265"/>
      <c r="L820" s="257">
        <v>9</v>
      </c>
      <c r="N820" s="257">
        <v>6.5</v>
      </c>
      <c r="O820" s="159">
        <v>42191</v>
      </c>
      <c r="T820" s="257">
        <v>19.079999999999998</v>
      </c>
      <c r="U820" s="256">
        <v>42200</v>
      </c>
      <c r="V820" s="145">
        <v>18.5</v>
      </c>
      <c r="W820" s="159">
        <v>42191</v>
      </c>
      <c r="AD820" s="145">
        <f>(N820/V820)*(((100-CD820)/100)*((100-2)/100))*100</f>
        <v>31.85</v>
      </c>
      <c r="AF820" s="257">
        <f>(N820/V820)*(((100-CD820)/(100-9))*100)</f>
        <v>35.714285714285715</v>
      </c>
      <c r="AG820" s="159">
        <v>42191</v>
      </c>
      <c r="AJ820" s="257">
        <v>155</v>
      </c>
      <c r="AN820" s="257">
        <v>98</v>
      </c>
      <c r="BB820" s="257">
        <v>5</v>
      </c>
      <c r="BN820" s="242">
        <v>61.9</v>
      </c>
      <c r="BO820" s="256">
        <v>42200</v>
      </c>
      <c r="BT820" s="242">
        <v>52.385154724121094</v>
      </c>
      <c r="BU820" s="256">
        <v>42200</v>
      </c>
      <c r="BV820" s="242">
        <v>17.282672882080078</v>
      </c>
      <c r="BW820" s="256">
        <v>42200</v>
      </c>
      <c r="BX820" s="242">
        <v>14.909000000000001</v>
      </c>
      <c r="BY820" s="256">
        <v>42200</v>
      </c>
      <c r="CD820" s="257">
        <v>7.5</v>
      </c>
      <c r="CE820" s="159">
        <v>42191</v>
      </c>
      <c r="CM820" s="255">
        <v>1</v>
      </c>
      <c r="CN820" s="256">
        <v>42180</v>
      </c>
      <c r="CO820" s="140" t="s">
        <v>8447</v>
      </c>
    </row>
    <row r="821" spans="1:93" ht="12.75" customHeight="1">
      <c r="A821" s="126" t="s">
        <v>7718</v>
      </c>
      <c r="B821" s="161" t="s">
        <v>7785</v>
      </c>
      <c r="C821" s="268" t="s">
        <v>269</v>
      </c>
      <c r="D821" s="257">
        <v>1</v>
      </c>
      <c r="E821" s="179">
        <v>132</v>
      </c>
      <c r="F821" s="257">
        <v>3</v>
      </c>
      <c r="G821" s="257">
        <v>19</v>
      </c>
      <c r="J821" s="265"/>
      <c r="L821" s="257">
        <v>9</v>
      </c>
      <c r="N821" s="257">
        <v>6.48</v>
      </c>
      <c r="O821" s="159">
        <v>42191</v>
      </c>
      <c r="T821" s="257">
        <v>18.84</v>
      </c>
      <c r="U821" s="256">
        <v>42200</v>
      </c>
      <c r="V821" s="145">
        <v>18.5</v>
      </c>
      <c r="W821" s="159">
        <v>42191</v>
      </c>
      <c r="AD821" s="145">
        <f>(N821/V821)*(((100-CD821)/100)*((100-2)/100))*100</f>
        <v>31.854979459459461</v>
      </c>
      <c r="AF821" s="257">
        <v>36.409999999999997</v>
      </c>
      <c r="AG821" s="159">
        <v>42191</v>
      </c>
      <c r="AJ821" s="257">
        <v>160</v>
      </c>
      <c r="AN821" s="257">
        <v>97</v>
      </c>
      <c r="BB821" s="257">
        <v>5</v>
      </c>
      <c r="BN821" s="242">
        <v>64.909000000000006</v>
      </c>
      <c r="BO821" s="256">
        <v>42200</v>
      </c>
      <c r="BT821" s="242">
        <v>51.741275787353516</v>
      </c>
      <c r="BU821" s="256">
        <v>42200</v>
      </c>
      <c r="BV821" s="242">
        <v>16.757057189941406</v>
      </c>
      <c r="BW821" s="256">
        <v>42200</v>
      </c>
      <c r="BX821" s="242">
        <v>12.925000000000001</v>
      </c>
      <c r="BY821" s="256">
        <v>42200</v>
      </c>
      <c r="CD821" s="257">
        <v>7.2</v>
      </c>
      <c r="CE821" s="159">
        <v>42191</v>
      </c>
      <c r="CM821" s="255">
        <v>3</v>
      </c>
      <c r="CN821" s="256">
        <v>42180</v>
      </c>
      <c r="CO821" s="140" t="s">
        <v>8447</v>
      </c>
    </row>
    <row r="822" spans="1:93" ht="12.75" customHeight="1">
      <c r="A822" s="126" t="s">
        <v>7750</v>
      </c>
      <c r="B822" s="161" t="s">
        <v>7574</v>
      </c>
      <c r="C822" s="268" t="s">
        <v>269</v>
      </c>
      <c r="D822" s="257">
        <v>1</v>
      </c>
      <c r="E822" s="179">
        <v>164</v>
      </c>
      <c r="F822" s="257">
        <v>3</v>
      </c>
      <c r="G822" s="257">
        <v>5</v>
      </c>
      <c r="J822" s="265"/>
      <c r="L822" s="257">
        <v>8</v>
      </c>
      <c r="N822" s="257">
        <v>6.49</v>
      </c>
      <c r="O822" s="159">
        <v>42191</v>
      </c>
      <c r="T822" s="257">
        <v>18.68</v>
      </c>
      <c r="U822" s="256">
        <v>42200</v>
      </c>
      <c r="V822" s="145">
        <v>18.5</v>
      </c>
      <c r="W822" s="159">
        <v>42191</v>
      </c>
      <c r="AD822" s="145">
        <f>(N822/V822)*(((100-CD822)/100)*((100-2)/100))*100</f>
        <v>31.869758918918922</v>
      </c>
      <c r="AF822" s="257">
        <v>36.43</v>
      </c>
      <c r="AG822" s="159">
        <v>42191</v>
      </c>
      <c r="AJ822" s="257">
        <v>145</v>
      </c>
      <c r="AN822" s="257">
        <v>99</v>
      </c>
      <c r="BB822" s="257">
        <v>5</v>
      </c>
      <c r="BN822" s="242">
        <v>62.877000000000002</v>
      </c>
      <c r="BO822" s="256">
        <v>42200</v>
      </c>
      <c r="BT822" s="242">
        <v>51.290691375732422</v>
      </c>
      <c r="BU822" s="256">
        <v>42200</v>
      </c>
      <c r="BV822" s="242">
        <v>17.154678344726562</v>
      </c>
      <c r="BW822" s="256">
        <v>42200</v>
      </c>
      <c r="BX822" s="242">
        <v>14.092000000000001</v>
      </c>
      <c r="BY822" s="256">
        <v>42200</v>
      </c>
      <c r="CD822" s="257">
        <v>7.3</v>
      </c>
      <c r="CE822" s="159">
        <v>42191</v>
      </c>
      <c r="CM822" s="255">
        <v>1</v>
      </c>
      <c r="CN822" s="256">
        <v>42180</v>
      </c>
      <c r="CO822" s="140" t="s">
        <v>8447</v>
      </c>
    </row>
    <row r="823" spans="1:93" ht="12.75" customHeight="1">
      <c r="A823" s="126" t="s">
        <v>7764</v>
      </c>
      <c r="B823" s="161" t="s">
        <v>7584</v>
      </c>
      <c r="C823" s="268" t="s">
        <v>269</v>
      </c>
      <c r="D823" s="257">
        <v>2</v>
      </c>
      <c r="E823" s="179">
        <v>178</v>
      </c>
      <c r="F823" s="257">
        <v>9</v>
      </c>
      <c r="G823" s="257">
        <v>2</v>
      </c>
      <c r="J823" s="265"/>
      <c r="L823" s="257">
        <v>8</v>
      </c>
      <c r="N823" s="257">
        <v>6.51</v>
      </c>
      <c r="O823" s="159">
        <v>42191</v>
      </c>
      <c r="T823" s="257">
        <v>17.96</v>
      </c>
      <c r="U823" s="256">
        <v>42200</v>
      </c>
      <c r="V823" s="145">
        <v>18.5</v>
      </c>
      <c r="W823" s="159">
        <v>42191</v>
      </c>
      <c r="AD823" s="145">
        <f>(N823/V823)*(((100-CD823)/100)*((100-2)/100))*100</f>
        <v>31.933485405405403</v>
      </c>
      <c r="AF823" s="257">
        <f>(N823/V823)*(((100-CD823)/(100-9))*100)</f>
        <v>35.807900207900204</v>
      </c>
      <c r="AG823" s="159">
        <v>42191</v>
      </c>
      <c r="AJ823" s="257">
        <v>150</v>
      </c>
      <c r="AN823" s="257">
        <v>103</v>
      </c>
      <c r="BB823" s="257">
        <v>9</v>
      </c>
      <c r="BN823" s="242">
        <v>61.713999999999999</v>
      </c>
      <c r="BO823" s="256">
        <v>42200</v>
      </c>
      <c r="BT823" s="242">
        <v>49.210987091064453</v>
      </c>
      <c r="BU823" s="256">
        <v>42200</v>
      </c>
      <c r="BV823" s="242">
        <v>18.149982452392578</v>
      </c>
      <c r="BW823" s="256">
        <v>42200</v>
      </c>
      <c r="BX823" s="242">
        <v>15.914</v>
      </c>
      <c r="BY823" s="256">
        <v>42200</v>
      </c>
      <c r="CD823" s="257">
        <v>7.4</v>
      </c>
      <c r="CE823" s="159">
        <v>42191</v>
      </c>
      <c r="CM823" s="255">
        <v>1</v>
      </c>
      <c r="CN823" s="256">
        <v>42180</v>
      </c>
      <c r="CO823" s="140" t="s">
        <v>8448</v>
      </c>
    </row>
    <row r="824" spans="1:93" ht="12.75" customHeight="1">
      <c r="A824" s="126" t="s">
        <v>7763</v>
      </c>
      <c r="B824" s="161" t="s">
        <v>7583</v>
      </c>
      <c r="C824" s="268" t="s">
        <v>267</v>
      </c>
      <c r="D824" s="257">
        <v>4</v>
      </c>
      <c r="E824" s="179">
        <v>177</v>
      </c>
      <c r="F824" s="257">
        <v>20</v>
      </c>
      <c r="G824" s="257">
        <v>3</v>
      </c>
      <c r="J824" s="265"/>
      <c r="L824" s="257">
        <v>8</v>
      </c>
      <c r="N824" s="257">
        <v>6.56</v>
      </c>
      <c r="O824" s="159">
        <v>42191</v>
      </c>
      <c r="T824" s="257">
        <v>19.149999999999999</v>
      </c>
      <c r="U824" s="256">
        <v>42200</v>
      </c>
      <c r="V824" s="145">
        <v>18.5</v>
      </c>
      <c r="W824" s="159">
        <v>42191</v>
      </c>
      <c r="AD824" s="145">
        <f>(N824/V824)*(((100-CD824)/100)*((100-2)/100))*100</f>
        <v>31.970248648648653</v>
      </c>
      <c r="AF824" s="257">
        <v>36.549999999999997</v>
      </c>
      <c r="AG824" s="159">
        <v>42191</v>
      </c>
      <c r="AJ824" s="257">
        <v>125</v>
      </c>
      <c r="AN824" s="257">
        <v>101</v>
      </c>
      <c r="BB824" s="257">
        <v>7</v>
      </c>
      <c r="BN824" s="242">
        <v>63.716999999999999</v>
      </c>
      <c r="BO824" s="256">
        <v>42200</v>
      </c>
      <c r="BT824" s="242">
        <v>52.389480590820313</v>
      </c>
      <c r="BU824" s="256">
        <v>42200</v>
      </c>
      <c r="BV824" s="242">
        <v>17.269645690917969</v>
      </c>
      <c r="BW824" s="256">
        <v>42200</v>
      </c>
      <c r="BX824" s="242">
        <v>18.956</v>
      </c>
      <c r="BY824" s="256">
        <v>42200</v>
      </c>
      <c r="CD824" s="257">
        <v>8</v>
      </c>
      <c r="CE824" s="159">
        <v>42191</v>
      </c>
      <c r="CM824" s="255">
        <v>1</v>
      </c>
      <c r="CN824" s="256">
        <v>42180</v>
      </c>
      <c r="CO824" s="140" t="s">
        <v>8447</v>
      </c>
    </row>
    <row r="825" spans="1:93" ht="12.75" customHeight="1">
      <c r="A825" s="126" t="s">
        <v>7696</v>
      </c>
      <c r="B825" s="161" t="s">
        <v>7542</v>
      </c>
      <c r="C825" s="268" t="s">
        <v>269</v>
      </c>
      <c r="D825" s="257">
        <v>1</v>
      </c>
      <c r="E825" s="179">
        <v>110</v>
      </c>
      <c r="F825" s="257">
        <v>2</v>
      </c>
      <c r="G825" s="257">
        <v>8</v>
      </c>
      <c r="J825" s="265"/>
      <c r="L825" s="257">
        <v>9</v>
      </c>
      <c r="N825" s="257">
        <v>6.5</v>
      </c>
      <c r="O825" s="159">
        <v>42191</v>
      </c>
      <c r="T825" s="257">
        <v>18.600000000000001</v>
      </c>
      <c r="U825" s="256">
        <v>42200</v>
      </c>
      <c r="V825" s="145">
        <v>18.5</v>
      </c>
      <c r="W825" s="159">
        <v>42191</v>
      </c>
      <c r="AD825" s="145">
        <f>(N825/V825)*(((100-CD825)/100)*((100-2)/100))*100</f>
        <v>31.987729729729729</v>
      </c>
      <c r="AF825" s="257">
        <f>(N825/V825)*(((100-CD825)/(100-9))*100)</f>
        <v>35.868725868725875</v>
      </c>
      <c r="AG825" s="159">
        <v>42191</v>
      </c>
      <c r="AJ825" s="257">
        <v>155</v>
      </c>
      <c r="AN825" s="257">
        <v>100</v>
      </c>
      <c r="BB825" s="257">
        <v>7</v>
      </c>
      <c r="BN825" s="242">
        <v>63.3</v>
      </c>
      <c r="BO825" s="256">
        <v>42200</v>
      </c>
      <c r="BT825" s="242">
        <v>50.874824523925781</v>
      </c>
      <c r="BU825" s="256">
        <v>42200</v>
      </c>
      <c r="BV825" s="242">
        <v>16.253757476806641</v>
      </c>
      <c r="BW825" s="256">
        <v>42200</v>
      </c>
      <c r="BX825" s="242">
        <v>18.315000000000001</v>
      </c>
      <c r="BY825" s="256">
        <v>42200</v>
      </c>
      <c r="CD825" s="257">
        <v>7.1</v>
      </c>
      <c r="CE825" s="159">
        <v>42191</v>
      </c>
      <c r="CM825" s="255">
        <v>1</v>
      </c>
      <c r="CN825" s="256">
        <v>42180</v>
      </c>
      <c r="CO825" s="140" t="s">
        <v>8447</v>
      </c>
    </row>
    <row r="826" spans="1:93" ht="12.75" customHeight="1">
      <c r="A826" s="126" t="s">
        <v>7739</v>
      </c>
      <c r="B826" s="161" t="s">
        <v>7563</v>
      </c>
      <c r="C826" s="268" t="s">
        <v>269</v>
      </c>
      <c r="D826" s="257">
        <v>1</v>
      </c>
      <c r="E826" s="179">
        <v>153</v>
      </c>
      <c r="F826" s="257">
        <v>6</v>
      </c>
      <c r="G826" s="257">
        <v>4</v>
      </c>
      <c r="J826" s="265"/>
      <c r="L826" s="257">
        <v>9</v>
      </c>
      <c r="N826" s="257">
        <v>6.51</v>
      </c>
      <c r="O826" s="159">
        <v>42191</v>
      </c>
      <c r="T826" s="257">
        <v>19.62</v>
      </c>
      <c r="U826" s="256">
        <v>42200</v>
      </c>
      <c r="V826" s="145">
        <v>18.5</v>
      </c>
      <c r="W826" s="159">
        <v>42191</v>
      </c>
      <c r="AD826" s="145">
        <f>(N826/V826)*(((100-CD826)/100)*((100-2)/100))*100</f>
        <v>32.071427027027028</v>
      </c>
      <c r="AF826" s="257">
        <v>36.659999999999997</v>
      </c>
      <c r="AG826" s="159">
        <v>42191</v>
      </c>
      <c r="AJ826" s="257">
        <v>165</v>
      </c>
      <c r="AN826" s="257">
        <v>98</v>
      </c>
      <c r="BB826" s="257">
        <v>7</v>
      </c>
      <c r="BN826" s="242">
        <v>64.385000000000005</v>
      </c>
      <c r="BO826" s="256">
        <v>42200</v>
      </c>
      <c r="BT826" s="242">
        <v>53.506149291992188</v>
      </c>
      <c r="BU826" s="256">
        <v>42200</v>
      </c>
      <c r="BV826" s="242">
        <v>15.361072540283203</v>
      </c>
      <c r="BW826" s="256">
        <v>42200</v>
      </c>
      <c r="BX826" s="242">
        <v>20.917999999999999</v>
      </c>
      <c r="BY826" s="256">
        <v>42200</v>
      </c>
      <c r="CD826" s="257">
        <v>7</v>
      </c>
      <c r="CE826" s="159">
        <v>42191</v>
      </c>
      <c r="CM826" s="255">
        <v>3</v>
      </c>
      <c r="CN826" s="256">
        <v>42180</v>
      </c>
      <c r="CO826" s="140" t="s">
        <v>8447</v>
      </c>
    </row>
    <row r="827" spans="1:93" ht="12.75" customHeight="1">
      <c r="A827" s="126" t="s">
        <v>7627</v>
      </c>
      <c r="B827" s="161" t="s">
        <v>7480</v>
      </c>
      <c r="C827" s="268" t="s">
        <v>269</v>
      </c>
      <c r="D827" s="257">
        <v>1</v>
      </c>
      <c r="E827" s="179">
        <v>41</v>
      </c>
      <c r="F827" s="257">
        <v>2</v>
      </c>
      <c r="G827" s="257">
        <v>15</v>
      </c>
      <c r="J827" s="265"/>
      <c r="L827" s="257">
        <v>9</v>
      </c>
      <c r="N827" s="257">
        <v>6.57</v>
      </c>
      <c r="O827" s="159">
        <v>42191</v>
      </c>
      <c r="T827" s="257">
        <v>18.11</v>
      </c>
      <c r="U827" s="256">
        <v>42200</v>
      </c>
      <c r="V827" s="145">
        <v>18.5</v>
      </c>
      <c r="W827" s="159">
        <v>42191</v>
      </c>
      <c r="AD827" s="145">
        <f>(N827/V827)*(((100-CD827)/100)*((100-2)/100))*100</f>
        <v>32.123393513513513</v>
      </c>
      <c r="AF827" s="257">
        <f>(N827/V827)*(((100-CD827)/(100-9))*100)</f>
        <v>36.020849420849423</v>
      </c>
      <c r="AG827" s="159">
        <v>42191</v>
      </c>
      <c r="AJ827" s="257">
        <v>145</v>
      </c>
      <c r="AN827" s="257">
        <v>105</v>
      </c>
      <c r="BB827" s="257">
        <v>7</v>
      </c>
      <c r="BN827" s="242">
        <v>64.426000000000002</v>
      </c>
      <c r="BO827" s="256">
        <v>42200</v>
      </c>
      <c r="BT827" s="242">
        <v>49.323574066162109</v>
      </c>
      <c r="BU827" s="256">
        <v>42200</v>
      </c>
      <c r="BV827" s="242">
        <v>16.957622528076172</v>
      </c>
      <c r="BW827" s="256">
        <v>42200</v>
      </c>
      <c r="BX827" s="242">
        <v>13.782</v>
      </c>
      <c r="BY827" s="256">
        <v>42200</v>
      </c>
      <c r="CD827" s="257">
        <v>7.7</v>
      </c>
      <c r="CE827" s="159">
        <v>42191</v>
      </c>
      <c r="CM827" s="255">
        <v>1</v>
      </c>
      <c r="CN827" s="256">
        <v>42180</v>
      </c>
      <c r="CO827" s="140" t="s">
        <v>8447</v>
      </c>
    </row>
    <row r="828" spans="1:93" ht="12.75" customHeight="1">
      <c r="A828" s="126" t="s">
        <v>7765</v>
      </c>
      <c r="B828" s="161" t="s">
        <v>7585</v>
      </c>
      <c r="C828" s="268" t="s">
        <v>269</v>
      </c>
      <c r="D828" s="257">
        <v>1</v>
      </c>
      <c r="E828" s="179">
        <v>179</v>
      </c>
      <c r="F828" s="257">
        <v>3</v>
      </c>
      <c r="G828" s="257">
        <v>24</v>
      </c>
      <c r="J828" s="265"/>
      <c r="L828" s="257">
        <v>8</v>
      </c>
      <c r="N828" s="257">
        <v>6.55</v>
      </c>
      <c r="O828" s="159">
        <v>42191</v>
      </c>
      <c r="T828" s="257">
        <v>19.010000000000002</v>
      </c>
      <c r="U828" s="256">
        <v>42200</v>
      </c>
      <c r="V828" s="145">
        <v>18.5</v>
      </c>
      <c r="W828" s="159">
        <v>42191</v>
      </c>
      <c r="AD828" s="145">
        <f>(N828/V828)*(((100-CD828)/100)*((100-2)/100))*100</f>
        <v>32.233789189189189</v>
      </c>
      <c r="AF828" s="257">
        <v>36.85</v>
      </c>
      <c r="AG828" s="159">
        <v>42191</v>
      </c>
      <c r="AJ828" s="257">
        <v>140</v>
      </c>
      <c r="AN828" s="257">
        <v>102</v>
      </c>
      <c r="BB828" s="257">
        <v>7</v>
      </c>
      <c r="BN828" s="242">
        <v>64.41</v>
      </c>
      <c r="BO828" s="256">
        <v>42200</v>
      </c>
      <c r="BT828" s="242">
        <v>51.597908020019531</v>
      </c>
      <c r="BU828" s="256">
        <v>42200</v>
      </c>
      <c r="BV828" s="242">
        <v>16.696495056152344</v>
      </c>
      <c r="BW828" s="256">
        <v>42200</v>
      </c>
      <c r="BX828" s="242">
        <v>15.311</v>
      </c>
      <c r="BY828" s="256">
        <v>42200</v>
      </c>
      <c r="CD828" s="257">
        <v>7.1</v>
      </c>
      <c r="CE828" s="159">
        <v>42191</v>
      </c>
      <c r="CM828" s="255">
        <v>1</v>
      </c>
      <c r="CN828" s="256">
        <v>42180</v>
      </c>
      <c r="CO828" s="140" t="s">
        <v>8447</v>
      </c>
    </row>
    <row r="829" spans="1:93" ht="12.75" customHeight="1">
      <c r="A829" s="126" t="s">
        <v>7755</v>
      </c>
      <c r="B829" s="161" t="s">
        <v>7579</v>
      </c>
      <c r="C829" s="268" t="s">
        <v>269</v>
      </c>
      <c r="D829" s="257">
        <v>2</v>
      </c>
      <c r="E829" s="179">
        <v>169</v>
      </c>
      <c r="F829" s="257">
        <v>10</v>
      </c>
      <c r="G829" s="257">
        <v>21</v>
      </c>
      <c r="J829" s="265"/>
      <c r="L829" s="257">
        <v>7</v>
      </c>
      <c r="N829" s="257">
        <v>6.6</v>
      </c>
      <c r="O829" s="159">
        <v>42191</v>
      </c>
      <c r="T829" s="257">
        <v>17.98</v>
      </c>
      <c r="U829" s="256">
        <v>42200</v>
      </c>
      <c r="V829" s="145">
        <v>18.5</v>
      </c>
      <c r="W829" s="159">
        <v>42191</v>
      </c>
      <c r="AD829" s="145">
        <f>(N829/V829)*(((100-CD829)/100)*((100-2)/100))*100</f>
        <v>32.27007567567567</v>
      </c>
      <c r="AF829" s="257">
        <v>36.89</v>
      </c>
      <c r="AG829" s="159">
        <v>42191</v>
      </c>
      <c r="AJ829" s="257">
        <v>135</v>
      </c>
      <c r="AN829" s="257">
        <v>105</v>
      </c>
      <c r="BB829" s="257">
        <v>7</v>
      </c>
      <c r="BN829" s="242">
        <v>64.355000000000004</v>
      </c>
      <c r="BO829" s="256">
        <v>42200</v>
      </c>
      <c r="BT829" s="242">
        <v>48.749610900878906</v>
      </c>
      <c r="BU829" s="256">
        <v>42200</v>
      </c>
      <c r="BV829" s="242">
        <v>17.918830871582031</v>
      </c>
      <c r="BW829" s="256">
        <v>42200</v>
      </c>
      <c r="BX829" s="242">
        <v>16.143000000000001</v>
      </c>
      <c r="BY829" s="256">
        <v>42200</v>
      </c>
      <c r="CD829" s="257">
        <v>7.7</v>
      </c>
      <c r="CE829" s="159">
        <v>42191</v>
      </c>
      <c r="CM829" s="255">
        <v>3</v>
      </c>
      <c r="CN829" s="256">
        <v>42180</v>
      </c>
      <c r="CO829" s="140" t="s">
        <v>8448</v>
      </c>
    </row>
    <row r="830" spans="1:93" ht="12.75" customHeight="1">
      <c r="A830" s="126" t="s">
        <v>7551</v>
      </c>
      <c r="B830" s="161" t="s">
        <v>7551</v>
      </c>
      <c r="C830" s="268" t="s">
        <v>269</v>
      </c>
      <c r="D830" s="257">
        <v>1</v>
      </c>
      <c r="E830" s="281">
        <v>181</v>
      </c>
      <c r="F830" s="257">
        <v>5</v>
      </c>
      <c r="G830" s="257">
        <v>20</v>
      </c>
      <c r="J830" s="265"/>
      <c r="L830" s="257">
        <v>8</v>
      </c>
      <c r="N830" s="257">
        <v>6.55</v>
      </c>
      <c r="O830" s="159">
        <v>42191</v>
      </c>
      <c r="T830" s="257">
        <v>18.73</v>
      </c>
      <c r="U830" s="256">
        <v>42200</v>
      </c>
      <c r="V830" s="145">
        <v>18.5</v>
      </c>
      <c r="W830" s="159">
        <v>42191</v>
      </c>
      <c r="AD830" s="145">
        <f>(N830/V830)*(((100-CD830)/100)*((100-2)/100))*100</f>
        <v>32.303183783783787</v>
      </c>
      <c r="AF830" s="257">
        <v>36.93</v>
      </c>
      <c r="AG830" s="159">
        <v>42191</v>
      </c>
      <c r="AJ830" s="257">
        <v>140</v>
      </c>
      <c r="AN830" s="257">
        <v>102</v>
      </c>
      <c r="BB830" s="257">
        <v>7</v>
      </c>
      <c r="BN830" s="242">
        <v>61.7</v>
      </c>
      <c r="BO830" s="256">
        <v>42200</v>
      </c>
      <c r="BT830" s="242">
        <v>50.709953308105469</v>
      </c>
      <c r="BU830" s="256">
        <v>42200</v>
      </c>
      <c r="BV830" s="242">
        <v>16.962783813476563</v>
      </c>
      <c r="BW830" s="256">
        <v>42200</v>
      </c>
      <c r="BX830" s="242">
        <v>19.161999999999999</v>
      </c>
      <c r="BY830" s="256">
        <v>42200</v>
      </c>
      <c r="CD830" s="257">
        <v>6.9</v>
      </c>
      <c r="CE830" s="159">
        <v>42191</v>
      </c>
      <c r="CM830" s="255">
        <v>1</v>
      </c>
      <c r="CN830" s="256">
        <v>42180</v>
      </c>
      <c r="CO830" s="140" t="s">
        <v>8447</v>
      </c>
    </row>
    <row r="831" spans="1:93" ht="12.75" customHeight="1">
      <c r="A831" s="126" t="s">
        <v>7747</v>
      </c>
      <c r="B831" s="161" t="s">
        <v>7571</v>
      </c>
      <c r="C831" s="268" t="s">
        <v>269</v>
      </c>
      <c r="D831" s="257">
        <v>1</v>
      </c>
      <c r="E831" s="179">
        <v>161</v>
      </c>
      <c r="F831" s="257">
        <v>3</v>
      </c>
      <c r="G831" s="257">
        <v>31</v>
      </c>
      <c r="J831" s="265"/>
      <c r="L831" s="257">
        <v>7</v>
      </c>
      <c r="N831" s="257">
        <v>6.59</v>
      </c>
      <c r="O831" s="159">
        <v>42191</v>
      </c>
      <c r="T831" s="257">
        <v>18.2</v>
      </c>
      <c r="U831" s="256">
        <v>42200</v>
      </c>
      <c r="V831" s="145">
        <v>18.5</v>
      </c>
      <c r="W831" s="159">
        <v>42191</v>
      </c>
      <c r="AD831" s="145">
        <f>(N831/V831)*(((100-CD831)/100)*((100-2)/100))*100</f>
        <v>32.360818378378376</v>
      </c>
      <c r="AF831" s="257">
        <v>36.99</v>
      </c>
      <c r="AG831" s="159">
        <v>42191</v>
      </c>
      <c r="AJ831" s="257">
        <v>160</v>
      </c>
      <c r="AN831" s="257">
        <v>100</v>
      </c>
      <c r="BB831" s="257">
        <v>7</v>
      </c>
      <c r="BN831" s="242">
        <v>65.882999999999996</v>
      </c>
      <c r="BO831" s="256">
        <v>42200</v>
      </c>
      <c r="BT831" s="242">
        <v>49.211196899414063</v>
      </c>
      <c r="BU831" s="256">
        <v>42200</v>
      </c>
      <c r="BV831" s="242">
        <v>19.475814819335938</v>
      </c>
      <c r="BW831" s="256">
        <v>42200</v>
      </c>
      <c r="BX831" s="242">
        <v>19.95</v>
      </c>
      <c r="BY831" s="256">
        <v>42200</v>
      </c>
      <c r="CD831" s="257">
        <v>7.3</v>
      </c>
      <c r="CE831" s="159">
        <v>42191</v>
      </c>
      <c r="CM831" s="255">
        <v>1</v>
      </c>
      <c r="CN831" s="256">
        <v>42180</v>
      </c>
      <c r="CO831" s="140" t="s">
        <v>8447</v>
      </c>
    </row>
    <row r="832" spans="1:93" ht="12.75" customHeight="1">
      <c r="A832" s="126" t="s">
        <v>7761</v>
      </c>
      <c r="B832" s="161" t="s">
        <v>8313</v>
      </c>
      <c r="C832" s="268" t="s">
        <v>269</v>
      </c>
      <c r="D832" s="257">
        <v>1</v>
      </c>
      <c r="E832" s="179">
        <v>175</v>
      </c>
      <c r="F832" s="257">
        <v>4</v>
      </c>
      <c r="G832" s="257">
        <v>24</v>
      </c>
      <c r="J832" s="265"/>
      <c r="L832" s="257">
        <v>9</v>
      </c>
      <c r="N832" s="257">
        <v>6.63</v>
      </c>
      <c r="O832" s="159">
        <v>42191</v>
      </c>
      <c r="T832" s="257">
        <v>19.34</v>
      </c>
      <c r="U832" s="256">
        <v>42200</v>
      </c>
      <c r="V832" s="145">
        <v>18.5</v>
      </c>
      <c r="W832" s="159">
        <v>42191</v>
      </c>
      <c r="AD832" s="145">
        <f>(N832/V832)*(((100-CD832)/100)*((100-2)/100))*100</f>
        <v>32.557242162162161</v>
      </c>
      <c r="AF832" s="257">
        <v>37.22</v>
      </c>
      <c r="AG832" s="159">
        <v>42191</v>
      </c>
      <c r="AJ832" s="257">
        <v>155</v>
      </c>
      <c r="AN832" s="257">
        <v>100</v>
      </c>
      <c r="BB832" s="257">
        <v>7</v>
      </c>
      <c r="BN832" s="242">
        <v>63.58</v>
      </c>
      <c r="BO832" s="256">
        <v>42200</v>
      </c>
      <c r="BT832" s="242">
        <v>51.97442626953125</v>
      </c>
      <c r="BU832" s="256">
        <v>42200</v>
      </c>
      <c r="BV832" s="242">
        <v>16.283374786376953</v>
      </c>
      <c r="BW832" s="256">
        <v>42200</v>
      </c>
      <c r="BX832" s="242">
        <v>16.878</v>
      </c>
      <c r="BY832" s="256">
        <v>42200</v>
      </c>
      <c r="CD832" s="257">
        <v>7.3</v>
      </c>
      <c r="CE832" s="159">
        <v>42191</v>
      </c>
      <c r="CM832" s="255">
        <v>1</v>
      </c>
      <c r="CN832" s="256">
        <v>42180</v>
      </c>
      <c r="CO832" s="140" t="s">
        <v>8447</v>
      </c>
    </row>
    <row r="833" spans="1:93" ht="12.75" customHeight="1">
      <c r="A833" s="126" t="s">
        <v>7763</v>
      </c>
      <c r="B833" s="161" t="s">
        <v>7583</v>
      </c>
      <c r="C833" s="268" t="s">
        <v>267</v>
      </c>
      <c r="D833" s="257">
        <v>3</v>
      </c>
      <c r="E833" s="179">
        <v>177</v>
      </c>
      <c r="F833" s="257">
        <v>13</v>
      </c>
      <c r="G833" s="257">
        <v>18</v>
      </c>
      <c r="J833" s="265"/>
      <c r="L833" s="257">
        <v>7</v>
      </c>
      <c r="N833" s="257">
        <v>6.63</v>
      </c>
      <c r="O833" s="159">
        <v>42191</v>
      </c>
      <c r="T833" s="257">
        <v>19.47</v>
      </c>
      <c r="U833" s="256">
        <v>42200</v>
      </c>
      <c r="V833" s="145">
        <v>18.5</v>
      </c>
      <c r="W833" s="159">
        <v>42191</v>
      </c>
      <c r="AD833" s="145">
        <f>(N833/V833)*(((100-CD833)/100)*((100-2)/100))*100</f>
        <v>32.627484324324321</v>
      </c>
      <c r="AF833" s="257">
        <v>37.299999999999997</v>
      </c>
      <c r="AG833" s="159">
        <v>42191</v>
      </c>
      <c r="AJ833" s="257">
        <v>135</v>
      </c>
      <c r="AN833" s="257">
        <v>100</v>
      </c>
      <c r="BB833" s="257">
        <v>7</v>
      </c>
      <c r="BN833" s="242">
        <v>64.262</v>
      </c>
      <c r="BO833" s="256">
        <v>42200</v>
      </c>
      <c r="BT833" s="242">
        <v>52.192230224609375</v>
      </c>
      <c r="BU833" s="256">
        <v>42200</v>
      </c>
      <c r="BV833" s="242">
        <v>17.322771072387695</v>
      </c>
      <c r="BW833" s="256">
        <v>42200</v>
      </c>
      <c r="BX833" s="242">
        <v>18.664000000000001</v>
      </c>
      <c r="BY833" s="256">
        <v>42200</v>
      </c>
      <c r="CD833" s="257">
        <v>7.1</v>
      </c>
      <c r="CE833" s="159">
        <v>42191</v>
      </c>
      <c r="CM833" s="255">
        <v>1</v>
      </c>
      <c r="CN833" s="256">
        <v>42180</v>
      </c>
      <c r="CO833" s="140" t="s">
        <v>8447</v>
      </c>
    </row>
    <row r="834" spans="1:93" ht="12.75" customHeight="1">
      <c r="A834" s="126" t="s">
        <v>7733</v>
      </c>
      <c r="B834" s="161" t="s">
        <v>8255</v>
      </c>
      <c r="C834" s="268" t="s">
        <v>269</v>
      </c>
      <c r="D834" s="257">
        <v>2</v>
      </c>
      <c r="E834" s="179">
        <v>147</v>
      </c>
      <c r="F834" s="257">
        <v>10</v>
      </c>
      <c r="G834" s="257">
        <v>22</v>
      </c>
      <c r="J834" s="265"/>
      <c r="L834" s="257">
        <v>8</v>
      </c>
      <c r="N834" s="257">
        <v>6.7</v>
      </c>
      <c r="O834" s="159">
        <v>42191</v>
      </c>
      <c r="T834" s="257">
        <v>18.77</v>
      </c>
      <c r="U834" s="256">
        <v>42200</v>
      </c>
      <c r="V834" s="145">
        <v>18.5</v>
      </c>
      <c r="W834" s="159">
        <v>42191</v>
      </c>
      <c r="AD834" s="145">
        <f>(N834/V834)*(((100-CD834)/100)*((100-2)/100))*100</f>
        <v>33.007459459459461</v>
      </c>
      <c r="AF834" s="257">
        <f>(N834/V834)*(((100-CD834)/(100-9))*100)</f>
        <v>37.012177012177013</v>
      </c>
      <c r="AG834" s="159">
        <v>42191</v>
      </c>
      <c r="AJ834" s="257">
        <v>135</v>
      </c>
      <c r="AN834" s="257">
        <v>103</v>
      </c>
      <c r="BB834" s="257">
        <v>9</v>
      </c>
      <c r="BN834" s="242">
        <v>66.652000000000001</v>
      </c>
      <c r="BO834" s="256">
        <v>42200</v>
      </c>
      <c r="BT834" s="242">
        <v>49.763893127441406</v>
      </c>
      <c r="BU834" s="256">
        <v>42200</v>
      </c>
      <c r="BV834" s="242">
        <v>17.477907180786133</v>
      </c>
      <c r="BW834" s="256">
        <v>42200</v>
      </c>
      <c r="BX834" s="242">
        <v>17.582999999999998</v>
      </c>
      <c r="BY834" s="256">
        <v>42200</v>
      </c>
      <c r="CD834" s="257">
        <v>7</v>
      </c>
      <c r="CE834" s="159">
        <v>42191</v>
      </c>
      <c r="CM834" s="255">
        <v>1</v>
      </c>
      <c r="CN834" s="256">
        <v>42180</v>
      </c>
      <c r="CO834" s="140" t="s">
        <v>8448</v>
      </c>
    </row>
    <row r="835" spans="1:93" ht="12.75" customHeight="1">
      <c r="A835" s="126" t="s">
        <v>7751</v>
      </c>
      <c r="B835" s="161" t="s">
        <v>7575</v>
      </c>
      <c r="C835" s="268" t="s">
        <v>269</v>
      </c>
      <c r="D835" s="257">
        <v>1</v>
      </c>
      <c r="E835" s="179">
        <v>165</v>
      </c>
      <c r="F835" s="257">
        <v>1</v>
      </c>
      <c r="G835" s="257">
        <v>30</v>
      </c>
      <c r="J835" s="265"/>
      <c r="L835" s="257">
        <v>7</v>
      </c>
      <c r="N835" s="257">
        <v>6.73</v>
      </c>
      <c r="O835" s="159">
        <v>42191</v>
      </c>
      <c r="T835" s="257">
        <v>19.73</v>
      </c>
      <c r="U835" s="256">
        <v>42200</v>
      </c>
      <c r="V835" s="145">
        <v>18.5</v>
      </c>
      <c r="W835" s="159">
        <v>42191</v>
      </c>
      <c r="AD835" s="145">
        <f>(N835/V835)*(((100-CD835)/100)*((100-2)/100))*100</f>
        <v>33.119603243243247</v>
      </c>
      <c r="AF835" s="257">
        <v>37.86</v>
      </c>
      <c r="AG835" s="159">
        <v>42191</v>
      </c>
      <c r="AJ835" s="257">
        <v>155</v>
      </c>
      <c r="AN835" s="257">
        <v>100</v>
      </c>
      <c r="BB835" s="257">
        <v>7</v>
      </c>
      <c r="BN835" s="242">
        <v>65.423000000000002</v>
      </c>
      <c r="BO835" s="256">
        <v>42200</v>
      </c>
      <c r="BT835" s="242">
        <v>52.118125915527344</v>
      </c>
      <c r="BU835" s="256">
        <v>42200</v>
      </c>
      <c r="BV835" s="242">
        <v>17.269155502319336</v>
      </c>
      <c r="BW835" s="256">
        <v>42200</v>
      </c>
      <c r="BX835" s="242">
        <v>14.766</v>
      </c>
      <c r="BY835" s="256">
        <v>42200</v>
      </c>
      <c r="CD835" s="257">
        <v>7.1</v>
      </c>
      <c r="CE835" s="159">
        <v>42191</v>
      </c>
      <c r="CM835" s="255">
        <v>1</v>
      </c>
      <c r="CN835" s="256">
        <v>42180</v>
      </c>
      <c r="CO835" s="140" t="s">
        <v>8447</v>
      </c>
    </row>
    <row r="836" spans="1:93" ht="12.75" customHeight="1">
      <c r="A836" s="126" t="s">
        <v>7720</v>
      </c>
      <c r="B836" s="161" t="s">
        <v>7787</v>
      </c>
      <c r="C836" s="268" t="s">
        <v>267</v>
      </c>
      <c r="D836" s="257">
        <v>3</v>
      </c>
      <c r="E836" s="179">
        <v>134</v>
      </c>
      <c r="F836" s="257">
        <v>18</v>
      </c>
      <c r="G836" s="257">
        <v>20</v>
      </c>
      <c r="J836" s="265"/>
      <c r="L836" s="257">
        <v>9</v>
      </c>
      <c r="N836" s="257">
        <v>6.75</v>
      </c>
      <c r="O836" s="159">
        <v>42191</v>
      </c>
      <c r="T836" s="257">
        <v>19.510000000000002</v>
      </c>
      <c r="U836" s="256">
        <v>42200</v>
      </c>
      <c r="V836" s="145">
        <v>18.5</v>
      </c>
      <c r="W836" s="159">
        <v>42191</v>
      </c>
      <c r="AD836" s="145">
        <f>(N836/V836)*(((100-CD836)/100)*((100-2)/100))*100</f>
        <v>33.182270270270266</v>
      </c>
      <c r="AF836" s="257">
        <f>(N836/V836)*(((100-CD836)/(100-9))*100)</f>
        <v>37.208197208197205</v>
      </c>
      <c r="AG836" s="159">
        <v>42191</v>
      </c>
      <c r="AJ836" s="257">
        <v>110</v>
      </c>
      <c r="AN836" s="257">
        <v>100</v>
      </c>
      <c r="BB836" s="257">
        <v>7</v>
      </c>
      <c r="BN836" s="242">
        <v>66.372</v>
      </c>
      <c r="BO836" s="256">
        <v>42200</v>
      </c>
      <c r="BT836" s="242">
        <v>51.450222015380859</v>
      </c>
      <c r="BU836" s="256">
        <v>42200</v>
      </c>
      <c r="BV836" s="242">
        <v>17.484777450561523</v>
      </c>
      <c r="BW836" s="256">
        <v>42200</v>
      </c>
      <c r="BX836" s="242">
        <v>19.398</v>
      </c>
      <c r="BY836" s="256">
        <v>42200</v>
      </c>
      <c r="CD836" s="257">
        <v>7.2</v>
      </c>
      <c r="CE836" s="159">
        <v>42191</v>
      </c>
      <c r="CM836" s="255">
        <v>1</v>
      </c>
      <c r="CN836" s="256">
        <v>42180</v>
      </c>
      <c r="CO836" s="140" t="s">
        <v>8447</v>
      </c>
    </row>
    <row r="837" spans="1:93" ht="12.75" customHeight="1">
      <c r="A837" s="126" t="s">
        <v>7763</v>
      </c>
      <c r="B837" s="161" t="s">
        <v>7583</v>
      </c>
      <c r="C837" s="268" t="s">
        <v>269</v>
      </c>
      <c r="D837" s="257">
        <v>1</v>
      </c>
      <c r="E837" s="179">
        <v>177</v>
      </c>
      <c r="F837" s="257">
        <v>3</v>
      </c>
      <c r="G837" s="257">
        <v>11</v>
      </c>
      <c r="J837" s="265"/>
      <c r="L837" s="257">
        <v>8</v>
      </c>
      <c r="N837" s="257">
        <v>6.74</v>
      </c>
      <c r="O837" s="159">
        <v>42191</v>
      </c>
      <c r="T837" s="257">
        <v>20.41</v>
      </c>
      <c r="U837" s="256">
        <v>42200</v>
      </c>
      <c r="V837" s="145">
        <v>18.5</v>
      </c>
      <c r="W837" s="159">
        <v>42191</v>
      </c>
      <c r="AD837" s="145">
        <f>(N837/V837)*(((100-CD837)/100)*((100-2)/100))*100</f>
        <v>33.204518918918922</v>
      </c>
      <c r="AF837" s="257">
        <v>37.96</v>
      </c>
      <c r="AG837" s="159">
        <v>42191</v>
      </c>
      <c r="AJ837" s="257">
        <v>165</v>
      </c>
      <c r="AN837" s="257">
        <v>99</v>
      </c>
      <c r="BB837" s="257">
        <v>7</v>
      </c>
      <c r="BN837" s="242">
        <v>65.227999999999994</v>
      </c>
      <c r="BO837" s="256">
        <v>42200</v>
      </c>
      <c r="BT837" s="242">
        <v>53.773773193359375</v>
      </c>
      <c r="BU837" s="256">
        <v>42200</v>
      </c>
      <c r="BV837" s="242">
        <v>15.409635543823242</v>
      </c>
      <c r="BW837" s="256">
        <v>42200</v>
      </c>
      <c r="BX837" s="242">
        <v>16.965</v>
      </c>
      <c r="BY837" s="256">
        <v>42200</v>
      </c>
      <c r="CD837" s="257">
        <v>7</v>
      </c>
      <c r="CE837" s="159">
        <v>42191</v>
      </c>
      <c r="CM837" s="255">
        <v>1</v>
      </c>
      <c r="CN837" s="256">
        <v>42180</v>
      </c>
      <c r="CO837" s="140" t="s">
        <v>8447</v>
      </c>
    </row>
    <row r="838" spans="1:93" ht="12.75" customHeight="1">
      <c r="A838" s="126" t="s">
        <v>7725</v>
      </c>
      <c r="B838" s="161" t="s">
        <v>7791</v>
      </c>
      <c r="C838" s="268" t="s">
        <v>269</v>
      </c>
      <c r="D838" s="257">
        <v>1</v>
      </c>
      <c r="E838" s="179">
        <v>139</v>
      </c>
      <c r="F838" s="257">
        <v>2</v>
      </c>
      <c r="G838" s="257">
        <v>10</v>
      </c>
      <c r="J838" s="265"/>
      <c r="L838" s="257">
        <v>8</v>
      </c>
      <c r="N838" s="257">
        <v>6.76</v>
      </c>
      <c r="O838" s="159">
        <v>42191</v>
      </c>
      <c r="T838" s="257">
        <v>18.95</v>
      </c>
      <c r="U838" s="256">
        <v>42200</v>
      </c>
      <c r="V838" s="145">
        <v>18.5</v>
      </c>
      <c r="W838" s="159">
        <v>42191</v>
      </c>
      <c r="AD838" s="145">
        <f>(N838/V838)*(((100-CD838)/100)*((100-2)/100))*100</f>
        <v>33.231429189189186</v>
      </c>
      <c r="AF838" s="257">
        <f>(N838/V838)*(((100-CD838)/(100-9))*100)</f>
        <v>37.263320463320461</v>
      </c>
      <c r="AG838" s="159">
        <v>42191</v>
      </c>
      <c r="AJ838" s="257">
        <v>150</v>
      </c>
      <c r="AN838" s="257">
        <v>103</v>
      </c>
      <c r="BB838" s="257">
        <v>7</v>
      </c>
      <c r="BN838" s="242">
        <v>62.628</v>
      </c>
      <c r="BO838" s="256">
        <v>42200</v>
      </c>
      <c r="BT838" s="242">
        <v>49.875797271728516</v>
      </c>
      <c r="BU838" s="256">
        <v>42200</v>
      </c>
      <c r="BV838" s="242">
        <v>18.362613677978516</v>
      </c>
      <c r="BW838" s="256">
        <v>42200</v>
      </c>
      <c r="BX838" s="242">
        <v>19.042000000000002</v>
      </c>
      <c r="BY838" s="256">
        <v>42200</v>
      </c>
      <c r="CD838" s="257">
        <v>7.2</v>
      </c>
      <c r="CE838" s="159">
        <v>42191</v>
      </c>
      <c r="CM838" s="255">
        <v>1</v>
      </c>
      <c r="CN838" s="256">
        <v>42180</v>
      </c>
      <c r="CO838" s="140" t="s">
        <v>8447</v>
      </c>
    </row>
    <row r="839" spans="1:93" ht="12.75" customHeight="1">
      <c r="A839" s="126" t="s">
        <v>7720</v>
      </c>
      <c r="B839" s="161" t="s">
        <v>7787</v>
      </c>
      <c r="C839" s="268" t="s">
        <v>269</v>
      </c>
      <c r="D839" s="257">
        <v>1</v>
      </c>
      <c r="E839" s="179">
        <v>134</v>
      </c>
      <c r="F839" s="257">
        <v>4</v>
      </c>
      <c r="G839" s="257">
        <v>5</v>
      </c>
      <c r="J839" s="265"/>
      <c r="L839" s="257">
        <v>9</v>
      </c>
      <c r="N839" s="257">
        <v>6.82</v>
      </c>
      <c r="O839" s="159">
        <v>42191</v>
      </c>
      <c r="T839" s="257">
        <v>20.28</v>
      </c>
      <c r="U839" s="256">
        <v>42200</v>
      </c>
      <c r="V839" s="145">
        <v>18.5</v>
      </c>
      <c r="W839" s="159">
        <v>42191</v>
      </c>
      <c r="AD839" s="145">
        <f>(N839/V839)*(((100-CD839)/100)*((100-2)/100))*100</f>
        <v>33.417999999999999</v>
      </c>
      <c r="AF839" s="257">
        <f>(N839/V839)*(((100-CD839)/(100-9))*100)</f>
        <v>37.472527472527474</v>
      </c>
      <c r="AG839" s="159">
        <v>42191</v>
      </c>
      <c r="AJ839" s="257">
        <v>145</v>
      </c>
      <c r="AN839" s="257">
        <v>97</v>
      </c>
      <c r="BB839" s="257">
        <v>7</v>
      </c>
      <c r="BN839" s="242">
        <v>67.013999999999996</v>
      </c>
      <c r="BO839" s="256">
        <v>42200</v>
      </c>
      <c r="BT839" s="242">
        <v>53.0780029296875</v>
      </c>
      <c r="BU839" s="256">
        <v>42200</v>
      </c>
      <c r="BV839" s="242">
        <v>16.943000793457031</v>
      </c>
      <c r="BW839" s="256">
        <v>42200</v>
      </c>
      <c r="BX839" s="242">
        <v>17.515000000000001</v>
      </c>
      <c r="BY839" s="256">
        <v>42200</v>
      </c>
      <c r="CD839" s="257">
        <v>7.5</v>
      </c>
      <c r="CE839" s="159">
        <v>42191</v>
      </c>
      <c r="CM839" s="255">
        <v>1</v>
      </c>
      <c r="CN839" s="256">
        <v>42180</v>
      </c>
      <c r="CO839" s="140" t="s">
        <v>8447</v>
      </c>
    </row>
    <row r="840" spans="1:93" ht="12.75" customHeight="1">
      <c r="A840" s="126" t="s">
        <v>7747</v>
      </c>
      <c r="B840" s="161" t="s">
        <v>7571</v>
      </c>
      <c r="C840" s="268" t="s">
        <v>269</v>
      </c>
      <c r="D840" s="257">
        <v>2</v>
      </c>
      <c r="E840" s="179">
        <v>161</v>
      </c>
      <c r="F840" s="257">
        <v>9</v>
      </c>
      <c r="G840" s="257">
        <v>3</v>
      </c>
      <c r="J840" s="265"/>
      <c r="L840" s="257">
        <v>8</v>
      </c>
      <c r="N840" s="257">
        <v>6.82</v>
      </c>
      <c r="O840" s="159">
        <v>42191</v>
      </c>
      <c r="T840" s="257">
        <v>18.39</v>
      </c>
      <c r="U840" s="256">
        <v>42200</v>
      </c>
      <c r="V840" s="145">
        <v>18.5</v>
      </c>
      <c r="W840" s="159">
        <v>42191</v>
      </c>
      <c r="AD840" s="145">
        <f>(N840/V840)*(((100-CD840)/100)*((100-2)/100))*100</f>
        <v>33.490255135135136</v>
      </c>
      <c r="AF840" s="257">
        <f>(N840/V840)*(((100-CD840)/(100-9))*100)</f>
        <v>37.553549153549149</v>
      </c>
      <c r="AG840" s="159">
        <v>42191</v>
      </c>
      <c r="AJ840" s="257">
        <v>155</v>
      </c>
      <c r="AN840" s="257">
        <v>102</v>
      </c>
      <c r="BB840" s="257">
        <v>7</v>
      </c>
      <c r="BN840" s="242">
        <v>65.739999999999995</v>
      </c>
      <c r="BO840" s="256">
        <v>42200</v>
      </c>
      <c r="BT840" s="242">
        <v>48.05340576171875</v>
      </c>
      <c r="BU840" s="256">
        <v>42200</v>
      </c>
      <c r="BV840" s="242">
        <v>20.723588943481445</v>
      </c>
      <c r="BW840" s="256">
        <v>42200</v>
      </c>
      <c r="BX840" s="242">
        <v>18.376999999999999</v>
      </c>
      <c r="BY840" s="256">
        <v>42200</v>
      </c>
      <c r="CD840" s="257">
        <v>7.3</v>
      </c>
      <c r="CE840" s="159">
        <v>42191</v>
      </c>
      <c r="CM840" s="255">
        <v>1</v>
      </c>
      <c r="CN840" s="256">
        <v>42180</v>
      </c>
      <c r="CO840" s="140" t="s">
        <v>8448</v>
      </c>
    </row>
    <row r="841" spans="1:93" ht="12.75" customHeight="1">
      <c r="A841" s="126" t="s">
        <v>7741</v>
      </c>
      <c r="B841" s="161" t="s">
        <v>7565</v>
      </c>
      <c r="C841" s="268" t="s">
        <v>269</v>
      </c>
      <c r="D841" s="257">
        <v>2</v>
      </c>
      <c r="E841" s="179">
        <v>155</v>
      </c>
      <c r="F841" s="257">
        <v>10</v>
      </c>
      <c r="G841" s="257">
        <v>10</v>
      </c>
      <c r="J841" s="265"/>
      <c r="L841" s="257">
        <v>7</v>
      </c>
      <c r="N841" s="257">
        <v>6.81</v>
      </c>
      <c r="O841" s="159">
        <v>42191</v>
      </c>
      <c r="T841" s="257">
        <v>18.98</v>
      </c>
      <c r="U841" s="256">
        <v>42200</v>
      </c>
      <c r="V841" s="145">
        <v>18.5</v>
      </c>
      <c r="W841" s="159">
        <v>42191</v>
      </c>
      <c r="AD841" s="145">
        <f>(N841/V841)*(((100-CD841)/100)*((100-2)/100))*100</f>
        <v>33.549372972972968</v>
      </c>
      <c r="AF841" s="257">
        <f>(N841/V841)*(((100-CD841)/(100-9))*100)</f>
        <v>37.61983961983961</v>
      </c>
      <c r="AG841" s="159">
        <v>42191</v>
      </c>
      <c r="AJ841" s="257">
        <v>125</v>
      </c>
      <c r="AN841" s="257">
        <v>103</v>
      </c>
      <c r="BB841" s="257">
        <v>7</v>
      </c>
      <c r="BN841" s="242">
        <v>64.277000000000001</v>
      </c>
      <c r="BO841" s="256">
        <v>42200</v>
      </c>
      <c r="BT841" s="242">
        <v>49.488002777099609</v>
      </c>
      <c r="BU841" s="256">
        <v>42200</v>
      </c>
      <c r="BV841" s="242">
        <v>17.722320556640625</v>
      </c>
      <c r="BW841" s="256">
        <v>42200</v>
      </c>
      <c r="BX841" s="242">
        <v>15.848000000000001</v>
      </c>
      <c r="BY841" s="256">
        <v>42200</v>
      </c>
      <c r="CD841" s="257">
        <v>7</v>
      </c>
      <c r="CE841" s="159">
        <v>42191</v>
      </c>
      <c r="CM841" s="255">
        <v>1</v>
      </c>
      <c r="CN841" s="256">
        <v>42180</v>
      </c>
      <c r="CO841" s="140" t="s">
        <v>8448</v>
      </c>
    </row>
    <row r="842" spans="1:93" ht="12.75" customHeight="1">
      <c r="A842" s="126" t="s">
        <v>7738</v>
      </c>
      <c r="B842" s="161" t="s">
        <v>7562</v>
      </c>
      <c r="C842" s="268" t="s">
        <v>269</v>
      </c>
      <c r="D842" s="257">
        <v>1</v>
      </c>
      <c r="E842" s="179">
        <v>152</v>
      </c>
      <c r="F842" s="257">
        <v>2</v>
      </c>
      <c r="G842" s="257">
        <v>24</v>
      </c>
      <c r="J842" s="265"/>
      <c r="L842" s="257">
        <v>9</v>
      </c>
      <c r="N842" s="257">
        <v>6.9</v>
      </c>
      <c r="O842" s="159">
        <v>42191</v>
      </c>
      <c r="T842" s="257">
        <v>19.7</v>
      </c>
      <c r="U842" s="256">
        <v>42200</v>
      </c>
      <c r="V842" s="145">
        <v>18.5</v>
      </c>
      <c r="W842" s="159">
        <v>42191</v>
      </c>
      <c r="AD842" s="145">
        <f>(N842/V842)*(((100-CD842)/100)*((100-2)/100))*100</f>
        <v>33.883102702702708</v>
      </c>
      <c r="AF842" s="257">
        <f>(N842/V842)*(((100-CD842)/(100-9))*100)</f>
        <v>37.994059994059988</v>
      </c>
      <c r="AG842" s="159">
        <v>42191</v>
      </c>
      <c r="AJ842" s="257">
        <v>155</v>
      </c>
      <c r="AN842" s="257">
        <v>100</v>
      </c>
      <c r="BB842" s="257">
        <v>7</v>
      </c>
      <c r="BN842" s="242">
        <v>64.186999999999998</v>
      </c>
      <c r="BO842" s="256">
        <v>42200</v>
      </c>
      <c r="BT842" s="242">
        <v>50.863136291503906</v>
      </c>
      <c r="BU842" s="256">
        <v>42200</v>
      </c>
      <c r="BV842" s="242">
        <v>18.067615509033203</v>
      </c>
      <c r="BW842" s="256">
        <v>42200</v>
      </c>
      <c r="BX842" s="242">
        <v>15.161</v>
      </c>
      <c r="BY842" s="256">
        <v>42200</v>
      </c>
      <c r="CD842" s="257">
        <v>7.3</v>
      </c>
      <c r="CE842" s="159">
        <v>42191</v>
      </c>
      <c r="CM842" s="255">
        <v>1</v>
      </c>
      <c r="CN842" s="256">
        <v>42180</v>
      </c>
      <c r="CO842" s="140" t="s">
        <v>8447</v>
      </c>
    </row>
    <row r="843" spans="1:93" ht="12.75" customHeight="1">
      <c r="A843" s="126" t="s">
        <v>7760</v>
      </c>
      <c r="B843" s="161" t="s">
        <v>8310</v>
      </c>
      <c r="C843" s="268" t="s">
        <v>269</v>
      </c>
      <c r="D843" s="257">
        <v>1</v>
      </c>
      <c r="E843" s="179">
        <v>174</v>
      </c>
      <c r="F843" s="257">
        <v>5</v>
      </c>
      <c r="G843" s="257">
        <v>9</v>
      </c>
      <c r="J843" s="265"/>
      <c r="L843" s="257">
        <v>9</v>
      </c>
      <c r="N843" s="257">
        <v>6.92</v>
      </c>
      <c r="O843" s="159">
        <v>42191</v>
      </c>
      <c r="T843" s="257">
        <v>20.73</v>
      </c>
      <c r="U843" s="256">
        <v>42200</v>
      </c>
      <c r="V843" s="145">
        <v>18.5</v>
      </c>
      <c r="W843" s="159">
        <v>42191</v>
      </c>
      <c r="AD843" s="145">
        <f>(N843/V843)*(((100-CD843)/100)*((100-2)/100))*100</f>
        <v>34.017971891891889</v>
      </c>
      <c r="AF843" s="257">
        <v>38.89</v>
      </c>
      <c r="AG843" s="159">
        <v>42191</v>
      </c>
      <c r="AJ843" s="257">
        <v>150</v>
      </c>
      <c r="AN843" s="257">
        <v>99</v>
      </c>
      <c r="BB843" s="257">
        <v>7</v>
      </c>
      <c r="BN843" s="242">
        <v>63.307000000000002</v>
      </c>
      <c r="BO843" s="256">
        <v>42200</v>
      </c>
      <c r="BT843" s="242">
        <v>53.313438415527344</v>
      </c>
      <c r="BU843" s="256">
        <v>42200</v>
      </c>
      <c r="BV843" s="242">
        <v>14.63319206237793</v>
      </c>
      <c r="BW843" s="256">
        <v>42200</v>
      </c>
      <c r="BX843" s="242">
        <v>17.266999999999999</v>
      </c>
      <c r="BY843" s="256">
        <v>42200</v>
      </c>
      <c r="CD843" s="257">
        <v>7.2</v>
      </c>
      <c r="CE843" s="159">
        <v>42191</v>
      </c>
      <c r="CM843" s="255">
        <v>1</v>
      </c>
      <c r="CN843" s="256">
        <v>42180</v>
      </c>
      <c r="CO843" s="140" t="s">
        <v>8447</v>
      </c>
    </row>
    <row r="844" spans="1:93" ht="12.75" customHeight="1">
      <c r="A844" s="126" t="s">
        <v>7753</v>
      </c>
      <c r="B844" s="161" t="s">
        <v>7577</v>
      </c>
      <c r="C844" s="268" t="s">
        <v>269</v>
      </c>
      <c r="D844" s="257">
        <v>1</v>
      </c>
      <c r="E844" s="179">
        <v>167</v>
      </c>
      <c r="F844" s="257">
        <v>1</v>
      </c>
      <c r="G844" s="257">
        <v>13</v>
      </c>
      <c r="J844" s="265"/>
      <c r="L844" s="257">
        <v>8</v>
      </c>
      <c r="N844" s="257">
        <v>6.93</v>
      </c>
      <c r="O844" s="159">
        <v>42191</v>
      </c>
      <c r="T844" s="257">
        <v>20.11</v>
      </c>
      <c r="U844" s="256">
        <v>42200</v>
      </c>
      <c r="V844" s="145">
        <v>18.5</v>
      </c>
      <c r="W844" s="159">
        <v>42191</v>
      </c>
      <c r="AD844" s="145">
        <f>(N844/V844)*(((100-CD844)/100)*((100-2)/100))*100</f>
        <v>34.03042054054054</v>
      </c>
      <c r="AF844" s="257">
        <v>38.9</v>
      </c>
      <c r="AG844" s="159">
        <v>42191</v>
      </c>
      <c r="AJ844" s="257">
        <v>155</v>
      </c>
      <c r="AN844" s="257">
        <v>100</v>
      </c>
      <c r="BB844" s="257">
        <v>7</v>
      </c>
      <c r="BN844" s="242">
        <v>63.34</v>
      </c>
      <c r="BO844" s="256">
        <v>42200</v>
      </c>
      <c r="BT844" s="242">
        <v>51.703441619873047</v>
      </c>
      <c r="BU844" s="256">
        <v>42200</v>
      </c>
      <c r="BV844" s="242">
        <v>18.152345657348633</v>
      </c>
      <c r="BW844" s="256">
        <v>42200</v>
      </c>
      <c r="BX844" s="242">
        <v>18.882999999999999</v>
      </c>
      <c r="BY844" s="256">
        <v>42200</v>
      </c>
      <c r="CD844" s="257">
        <v>7.3</v>
      </c>
      <c r="CE844" s="159">
        <v>42191</v>
      </c>
      <c r="CM844" s="255">
        <v>1</v>
      </c>
      <c r="CN844" s="256">
        <v>42180</v>
      </c>
      <c r="CO844" s="140" t="s">
        <v>8447</v>
      </c>
    </row>
    <row r="845" spans="1:93" ht="12.75" customHeight="1">
      <c r="A845" s="126" t="s">
        <v>7751</v>
      </c>
      <c r="B845" s="161" t="s">
        <v>7575</v>
      </c>
      <c r="C845" s="268" t="s">
        <v>269</v>
      </c>
      <c r="D845" s="257">
        <v>2</v>
      </c>
      <c r="E845" s="179">
        <v>165</v>
      </c>
      <c r="F845" s="257">
        <v>9</v>
      </c>
      <c r="G845" s="257">
        <v>4</v>
      </c>
      <c r="J845" s="265"/>
      <c r="L845" s="257">
        <v>9</v>
      </c>
      <c r="N845" s="257">
        <v>6.93</v>
      </c>
      <c r="O845" s="159">
        <v>42191</v>
      </c>
      <c r="T845" s="257">
        <v>19.72</v>
      </c>
      <c r="U845" s="256">
        <v>42200</v>
      </c>
      <c r="V845" s="145">
        <v>18.5</v>
      </c>
      <c r="W845" s="159">
        <v>42191</v>
      </c>
      <c r="AD845" s="145">
        <f>(N845/V845)*(((100-CD845)/100)*((100-2)/100))*100</f>
        <v>34.177261621621618</v>
      </c>
      <c r="AF845" s="257">
        <f>(N845/V845)*(((100-CD845)/(100-9))*100)</f>
        <v>38.323908523908521</v>
      </c>
      <c r="AG845" s="159">
        <v>42191</v>
      </c>
      <c r="AJ845" s="257">
        <v>150</v>
      </c>
      <c r="AN845" s="257">
        <v>101</v>
      </c>
      <c r="BB845" s="257">
        <v>7</v>
      </c>
      <c r="BN845" s="242">
        <v>66.268000000000001</v>
      </c>
      <c r="BO845" s="256">
        <v>42200</v>
      </c>
      <c r="BT845" s="242">
        <v>50.484592437744141</v>
      </c>
      <c r="BU845" s="256">
        <v>42200</v>
      </c>
      <c r="BV845" s="242">
        <v>18.835409164428711</v>
      </c>
      <c r="BW845" s="256">
        <v>42200</v>
      </c>
      <c r="BX845" s="242">
        <v>18.617999999999999</v>
      </c>
      <c r="BY845" s="256">
        <v>42200</v>
      </c>
      <c r="CD845" s="257">
        <v>6.9</v>
      </c>
      <c r="CE845" s="159">
        <v>42191</v>
      </c>
      <c r="CM845" s="255">
        <v>1</v>
      </c>
      <c r="CN845" s="256">
        <v>42180</v>
      </c>
      <c r="CO845" s="140" t="s">
        <v>8448</v>
      </c>
    </row>
    <row r="846" spans="1:93" ht="12.75" customHeight="1">
      <c r="A846" s="126" t="s">
        <v>7723</v>
      </c>
      <c r="B846" s="161" t="s">
        <v>7789</v>
      </c>
      <c r="C846" s="268" t="s">
        <v>269</v>
      </c>
      <c r="D846" s="257">
        <v>1</v>
      </c>
      <c r="E846" s="179">
        <v>137</v>
      </c>
      <c r="F846" s="257">
        <v>6</v>
      </c>
      <c r="G846" s="257">
        <v>1</v>
      </c>
      <c r="J846" s="265"/>
      <c r="L846" s="257">
        <v>9</v>
      </c>
      <c r="N846" s="257">
        <v>6.96</v>
      </c>
      <c r="O846" s="159">
        <v>42191</v>
      </c>
      <c r="T846" s="257">
        <v>20.59</v>
      </c>
      <c r="U846" s="256">
        <v>42200</v>
      </c>
      <c r="V846" s="145">
        <v>18.5</v>
      </c>
      <c r="W846" s="159">
        <v>42191</v>
      </c>
      <c r="AD846" s="145">
        <f>(N846/V846)*(((100-CD846)/100)*((100-2)/100))*100</f>
        <v>34.177738378378379</v>
      </c>
      <c r="AF846" s="257">
        <f>(N846/V846)*(((100-CD846)/(100-9))*100)</f>
        <v>38.324443124443121</v>
      </c>
      <c r="AG846" s="159">
        <v>42191</v>
      </c>
      <c r="AJ846" s="257">
        <v>150</v>
      </c>
      <c r="AN846" s="257">
        <v>99</v>
      </c>
      <c r="BB846" s="257">
        <v>5</v>
      </c>
      <c r="BN846" s="242">
        <v>62.963000000000001</v>
      </c>
      <c r="BO846" s="256">
        <v>42200</v>
      </c>
      <c r="BT846" s="242">
        <v>52.712932586669922</v>
      </c>
      <c r="BU846" s="256">
        <v>42200</v>
      </c>
      <c r="BV846" s="242">
        <v>17.401185989379883</v>
      </c>
      <c r="BW846" s="256">
        <v>42200</v>
      </c>
      <c r="BX846" s="242">
        <v>18.207999999999998</v>
      </c>
      <c r="BY846" s="256">
        <v>42200</v>
      </c>
      <c r="CD846" s="257">
        <v>7.3</v>
      </c>
      <c r="CE846" s="159">
        <v>42191</v>
      </c>
      <c r="CM846" s="255">
        <v>1</v>
      </c>
      <c r="CN846" s="256">
        <v>42180</v>
      </c>
      <c r="CO846" s="140" t="s">
        <v>8447</v>
      </c>
    </row>
    <row r="847" spans="1:93" ht="12.75" customHeight="1">
      <c r="A847" s="126" t="s">
        <v>7735</v>
      </c>
      <c r="B847" s="161" t="s">
        <v>7559</v>
      </c>
      <c r="C847" s="268" t="s">
        <v>269</v>
      </c>
      <c r="D847" s="257">
        <v>1</v>
      </c>
      <c r="E847" s="179">
        <v>149</v>
      </c>
      <c r="F847" s="257">
        <v>4</v>
      </c>
      <c r="G847" s="257">
        <v>28</v>
      </c>
      <c r="J847" s="265"/>
      <c r="L847" s="257">
        <v>9</v>
      </c>
      <c r="N847" s="257">
        <v>6.95</v>
      </c>
      <c r="O847" s="159">
        <v>42191</v>
      </c>
      <c r="T847" s="257">
        <v>20.440000000000001</v>
      </c>
      <c r="U847" s="256">
        <v>42200</v>
      </c>
      <c r="V847" s="145">
        <v>18.5</v>
      </c>
      <c r="W847" s="159">
        <v>42191</v>
      </c>
      <c r="AD847" s="145">
        <f>(N847/V847)*(((100-CD847)/100)*((100-2)/100))*100</f>
        <v>34.239081081081082</v>
      </c>
      <c r="AF847" s="257">
        <f>(N847/V847)*(((100-CD847)/(100-9))*100)</f>
        <v>38.393228393228391</v>
      </c>
      <c r="AG847" s="159">
        <v>42191</v>
      </c>
      <c r="AJ847" s="257">
        <v>155</v>
      </c>
      <c r="AN847" s="257">
        <v>100</v>
      </c>
      <c r="BB847" s="257">
        <v>7</v>
      </c>
      <c r="BN847" s="242">
        <v>65.703000000000003</v>
      </c>
      <c r="BO847" s="256">
        <v>42200</v>
      </c>
      <c r="BT847" s="242">
        <v>52.223922729492188</v>
      </c>
      <c r="BU847" s="256">
        <v>42200</v>
      </c>
      <c r="BV847" s="242">
        <v>15.526201248168945</v>
      </c>
      <c r="BW847" s="256">
        <v>42200</v>
      </c>
      <c r="BX847" s="242">
        <v>16.434999999999999</v>
      </c>
      <c r="BY847" s="256">
        <v>42200</v>
      </c>
      <c r="CD847" s="257">
        <v>7</v>
      </c>
      <c r="CE847" s="159">
        <v>42191</v>
      </c>
      <c r="CM847" s="255">
        <v>1</v>
      </c>
      <c r="CN847" s="256">
        <v>42180</v>
      </c>
      <c r="CO847" s="140" t="s">
        <v>8447</v>
      </c>
    </row>
    <row r="848" spans="1:93" ht="12.75" customHeight="1">
      <c r="A848" s="126" t="s">
        <v>7755</v>
      </c>
      <c r="B848" s="161" t="s">
        <v>7579</v>
      </c>
      <c r="C848" s="268" t="s">
        <v>269</v>
      </c>
      <c r="D848" s="257">
        <v>1</v>
      </c>
      <c r="E848" s="179">
        <v>169</v>
      </c>
      <c r="F848" s="257">
        <v>1</v>
      </c>
      <c r="G848" s="257">
        <v>8</v>
      </c>
      <c r="J848" s="265"/>
      <c r="L848" s="257">
        <v>8</v>
      </c>
      <c r="N848" s="257">
        <v>7</v>
      </c>
      <c r="O848" s="159">
        <v>42191</v>
      </c>
      <c r="T848" s="257">
        <v>19.670000000000002</v>
      </c>
      <c r="U848" s="256">
        <v>42200</v>
      </c>
      <c r="V848" s="145">
        <v>18.5</v>
      </c>
      <c r="W848" s="159">
        <v>42191</v>
      </c>
      <c r="AD848" s="145">
        <f>(N848/V848)*(((100-CD848)/100)*((100-2)/100))*100</f>
        <v>34.26291891891892</v>
      </c>
      <c r="AF848" s="257">
        <v>39.17</v>
      </c>
      <c r="AG848" s="159">
        <v>42191</v>
      </c>
      <c r="AJ848" s="257">
        <v>165</v>
      </c>
      <c r="AN848" s="257">
        <v>103</v>
      </c>
      <c r="BB848" s="257">
        <v>7</v>
      </c>
      <c r="BN848" s="242">
        <v>64.204999999999998</v>
      </c>
      <c r="BO848" s="256">
        <v>42200</v>
      </c>
      <c r="BT848" s="242">
        <v>50.214637756347656</v>
      </c>
      <c r="BU848" s="256">
        <v>42200</v>
      </c>
      <c r="BV848" s="242">
        <v>17.337093353271484</v>
      </c>
      <c r="BW848" s="256">
        <v>42200</v>
      </c>
      <c r="BX848" s="242">
        <v>17.873999999999999</v>
      </c>
      <c r="BY848" s="256">
        <v>42200</v>
      </c>
      <c r="CD848" s="257">
        <v>7.6</v>
      </c>
      <c r="CE848" s="159">
        <v>42191</v>
      </c>
      <c r="CM848" s="255">
        <v>1</v>
      </c>
      <c r="CN848" s="256">
        <v>42180</v>
      </c>
      <c r="CO848" s="140" t="s">
        <v>8447</v>
      </c>
    </row>
    <row r="849" spans="1:93" ht="12.75" customHeight="1">
      <c r="A849" s="126" t="s">
        <v>7762</v>
      </c>
      <c r="B849" s="161" t="s">
        <v>7582</v>
      </c>
      <c r="C849" s="268" t="s">
        <v>269</v>
      </c>
      <c r="D849" s="257">
        <v>1</v>
      </c>
      <c r="E849" s="179">
        <v>176</v>
      </c>
      <c r="F849" s="257">
        <v>4</v>
      </c>
      <c r="G849" s="257">
        <v>7</v>
      </c>
      <c r="J849" s="265"/>
      <c r="L849" s="257">
        <v>8</v>
      </c>
      <c r="N849" s="257">
        <v>7</v>
      </c>
      <c r="O849" s="159">
        <v>42191</v>
      </c>
      <c r="T849" s="257">
        <v>19.829999999999998</v>
      </c>
      <c r="U849" s="256">
        <v>42200</v>
      </c>
      <c r="V849" s="145">
        <v>18.5</v>
      </c>
      <c r="W849" s="159">
        <v>42191</v>
      </c>
      <c r="AD849" s="145">
        <f>(N849/V849)*(((100-CD849)/100)*((100-2)/100))*100</f>
        <v>34.26291891891892</v>
      </c>
      <c r="AF849" s="257">
        <v>39.17</v>
      </c>
      <c r="AG849" s="159">
        <v>42191</v>
      </c>
      <c r="AJ849" s="257">
        <v>140</v>
      </c>
      <c r="AN849" s="257">
        <v>100</v>
      </c>
      <c r="BB849" s="257">
        <v>7</v>
      </c>
      <c r="BN849" s="242">
        <v>62.386000000000003</v>
      </c>
      <c r="BO849" s="256">
        <v>42200</v>
      </c>
      <c r="BT849" s="242">
        <v>50.6263427734375</v>
      </c>
      <c r="BU849" s="256">
        <v>42200</v>
      </c>
      <c r="BV849" s="242">
        <v>16.758405685424805</v>
      </c>
      <c r="BW849" s="256">
        <v>42200</v>
      </c>
      <c r="BX849" s="242">
        <v>14.962999999999999</v>
      </c>
      <c r="BY849" s="256">
        <v>42200</v>
      </c>
      <c r="CD849" s="257">
        <v>7.6</v>
      </c>
      <c r="CE849" s="159">
        <v>42191</v>
      </c>
      <c r="CM849" s="255">
        <v>1</v>
      </c>
      <c r="CN849" s="256">
        <v>42180</v>
      </c>
      <c r="CO849" s="140" t="s">
        <v>8447</v>
      </c>
    </row>
    <row r="850" spans="1:93" ht="12.75" customHeight="1">
      <c r="A850" s="126" t="s">
        <v>7717</v>
      </c>
      <c r="B850" s="161" t="s">
        <v>7784</v>
      </c>
      <c r="C850" s="268" t="s">
        <v>267</v>
      </c>
      <c r="D850" s="257">
        <v>3</v>
      </c>
      <c r="E850" s="179">
        <v>131</v>
      </c>
      <c r="F850" s="257">
        <v>18</v>
      </c>
      <c r="G850" s="257">
        <v>27</v>
      </c>
      <c r="J850" s="265"/>
      <c r="L850" s="257">
        <v>9</v>
      </c>
      <c r="N850" s="257">
        <v>6.99</v>
      </c>
      <c r="O850" s="159">
        <v>42191</v>
      </c>
      <c r="T850" s="257">
        <v>19.920000000000002</v>
      </c>
      <c r="U850" s="256">
        <v>42200</v>
      </c>
      <c r="V850" s="145">
        <v>18.5</v>
      </c>
      <c r="W850" s="159">
        <v>42191</v>
      </c>
      <c r="AD850" s="145">
        <f>(N850/V850)*(((100-CD850)/100)*((100-2)/100))*100</f>
        <v>34.510196756756763</v>
      </c>
      <c r="AF850" s="257">
        <f>(N850/V850)*(((100-CD850)/(100-9))*100)</f>
        <v>38.697237897237905</v>
      </c>
      <c r="AG850" s="159">
        <v>42191</v>
      </c>
      <c r="AJ850" s="257">
        <v>135</v>
      </c>
      <c r="AN850" s="257">
        <v>103</v>
      </c>
      <c r="BB850" s="257">
        <v>9</v>
      </c>
      <c r="BN850" s="242">
        <v>65.778000000000006</v>
      </c>
      <c r="BO850" s="256">
        <v>42200</v>
      </c>
      <c r="BT850" s="242">
        <v>50.501651763916016</v>
      </c>
      <c r="BU850" s="256">
        <v>42200</v>
      </c>
      <c r="BV850" s="242">
        <v>16.533580780029297</v>
      </c>
      <c r="BW850" s="256">
        <v>42200</v>
      </c>
      <c r="BX850" s="242">
        <v>17.786999999999999</v>
      </c>
      <c r="BY850" s="256">
        <v>42200</v>
      </c>
      <c r="CD850" s="257">
        <v>6.8</v>
      </c>
      <c r="CE850" s="159">
        <v>42191</v>
      </c>
      <c r="CM850" s="255">
        <v>1</v>
      </c>
      <c r="CN850" s="256">
        <v>42180</v>
      </c>
      <c r="CO850" s="140" t="s">
        <v>8447</v>
      </c>
    </row>
    <row r="851" spans="1:93" ht="12.75" customHeight="1">
      <c r="A851" s="126" t="s">
        <v>7748</v>
      </c>
      <c r="B851" s="161" t="s">
        <v>7572</v>
      </c>
      <c r="C851" s="268" t="s">
        <v>269</v>
      </c>
      <c r="D851" s="257">
        <v>1</v>
      </c>
      <c r="E851" s="179">
        <v>162</v>
      </c>
      <c r="F851" s="257">
        <v>1</v>
      </c>
      <c r="G851" s="257">
        <v>21</v>
      </c>
      <c r="J851" s="265"/>
      <c r="L851" s="257">
        <v>9</v>
      </c>
      <c r="N851" s="257">
        <v>7.07</v>
      </c>
      <c r="O851" s="159">
        <v>42191</v>
      </c>
      <c r="T851" s="257">
        <v>20.77</v>
      </c>
      <c r="U851" s="256">
        <v>42200</v>
      </c>
      <c r="V851" s="145">
        <v>18.5</v>
      </c>
      <c r="W851" s="159">
        <v>42191</v>
      </c>
      <c r="AD851" s="145">
        <f>(N851/V851)*(((100-CD851)/100)*((100-2)/100))*100</f>
        <v>34.792807567567571</v>
      </c>
      <c r="AF851" s="257">
        <v>39.770000000000003</v>
      </c>
      <c r="AG851" s="159">
        <v>42191</v>
      </c>
      <c r="AJ851" s="257">
        <v>165</v>
      </c>
      <c r="AN851" s="257">
        <v>97</v>
      </c>
      <c r="BB851" s="257">
        <v>7</v>
      </c>
      <c r="BN851" s="242">
        <v>65.236999999999995</v>
      </c>
      <c r="BO851" s="256">
        <v>42200</v>
      </c>
      <c r="BT851" s="242">
        <v>52.223960876464844</v>
      </c>
      <c r="BU851" s="256">
        <v>42200</v>
      </c>
      <c r="BV851" s="242">
        <v>16.134937286376953</v>
      </c>
      <c r="BW851" s="256">
        <v>42200</v>
      </c>
      <c r="BX851" s="242">
        <v>19.986000000000001</v>
      </c>
      <c r="BY851" s="256">
        <v>42200</v>
      </c>
      <c r="CD851" s="257">
        <v>7.1</v>
      </c>
      <c r="CE851" s="159">
        <v>42191</v>
      </c>
      <c r="CM851" s="255">
        <v>1</v>
      </c>
      <c r="CN851" s="256">
        <v>42180</v>
      </c>
      <c r="CO851" s="140" t="s">
        <v>8447</v>
      </c>
    </row>
    <row r="852" spans="1:93" ht="12.75" customHeight="1">
      <c r="A852" s="126" t="s">
        <v>7717</v>
      </c>
      <c r="B852" s="161" t="s">
        <v>7784</v>
      </c>
      <c r="C852" s="268" t="s">
        <v>269</v>
      </c>
      <c r="D852" s="257">
        <v>2</v>
      </c>
      <c r="E852" s="179">
        <v>131</v>
      </c>
      <c r="F852" s="257">
        <v>12</v>
      </c>
      <c r="G852" s="257">
        <v>7</v>
      </c>
      <c r="J852" s="265"/>
      <c r="L852" s="257">
        <v>7</v>
      </c>
      <c r="N852" s="257">
        <v>7.1</v>
      </c>
      <c r="O852" s="159">
        <v>42191</v>
      </c>
      <c r="T852" s="257">
        <v>20.46</v>
      </c>
      <c r="U852" s="256">
        <v>42200</v>
      </c>
      <c r="V852" s="145">
        <v>18.5</v>
      </c>
      <c r="W852" s="159">
        <v>42191</v>
      </c>
      <c r="AD852" s="145">
        <f>(N852/V852)*(((100-CD852)/100)*((100-2)/100))*100</f>
        <v>35.01566486486486</v>
      </c>
      <c r="AF852" s="257">
        <v>40.03</v>
      </c>
      <c r="AG852" s="159">
        <v>42191</v>
      </c>
      <c r="AJ852" s="257">
        <v>135</v>
      </c>
      <c r="AN852" s="257">
        <v>103</v>
      </c>
      <c r="BB852" s="257">
        <v>9</v>
      </c>
      <c r="BN852" s="242">
        <v>65.515000000000001</v>
      </c>
      <c r="BO852" s="256">
        <v>42200</v>
      </c>
      <c r="BT852" s="242">
        <v>51.110527038574219</v>
      </c>
      <c r="BU852" s="256">
        <v>42200</v>
      </c>
      <c r="BV852" s="242">
        <v>16.187929153442383</v>
      </c>
      <c r="BW852" s="256">
        <v>42200</v>
      </c>
      <c r="BX852" s="242">
        <v>17.619</v>
      </c>
      <c r="BY852" s="256">
        <v>42200</v>
      </c>
      <c r="CD852" s="257">
        <v>6.9</v>
      </c>
      <c r="CE852" s="159">
        <v>42191</v>
      </c>
      <c r="CM852" s="255">
        <v>3</v>
      </c>
      <c r="CN852" s="256">
        <v>42180</v>
      </c>
      <c r="CO852" s="140" t="s">
        <v>8448</v>
      </c>
    </row>
    <row r="853" spans="1:93" ht="12.75" customHeight="1">
      <c r="A853" s="126" t="s">
        <v>7748</v>
      </c>
      <c r="B853" s="161" t="s">
        <v>7572</v>
      </c>
      <c r="C853" s="268" t="s">
        <v>269</v>
      </c>
      <c r="D853" s="257">
        <v>2</v>
      </c>
      <c r="E853" s="179">
        <v>162</v>
      </c>
      <c r="F853" s="257">
        <v>9</v>
      </c>
      <c r="G853" s="257">
        <v>12</v>
      </c>
      <c r="J853" s="265"/>
      <c r="L853" s="257">
        <v>9</v>
      </c>
      <c r="N853" s="257">
        <v>7.11</v>
      </c>
      <c r="O853" s="159">
        <v>42191</v>
      </c>
      <c r="T853" s="257">
        <v>20.6</v>
      </c>
      <c r="U853" s="256">
        <v>42200</v>
      </c>
      <c r="V853" s="145">
        <v>18.5</v>
      </c>
      <c r="W853" s="159">
        <v>42191</v>
      </c>
      <c r="AD853" s="145">
        <f>(N853/V853)*(((100-CD853)/100)*((100-2)/100))*100</f>
        <v>35.027318918918922</v>
      </c>
      <c r="AF853" s="257">
        <f>(N853/V853)*(((100-CD853)/(100-9))*100)</f>
        <v>39.277101277101274</v>
      </c>
      <c r="AG853" s="159">
        <v>42191</v>
      </c>
      <c r="AJ853" s="257">
        <v>155</v>
      </c>
      <c r="AN853" s="257">
        <v>100</v>
      </c>
      <c r="BB853" s="257">
        <v>5</v>
      </c>
      <c r="BN853" s="242">
        <v>65.305000000000007</v>
      </c>
      <c r="BO853" s="256">
        <v>42200</v>
      </c>
      <c r="BT853" s="242">
        <v>51.448089599609375</v>
      </c>
      <c r="BU853" s="256">
        <v>42200</v>
      </c>
      <c r="BV853" s="242">
        <v>17.413311004638672</v>
      </c>
      <c r="BW853" s="256">
        <v>42200</v>
      </c>
      <c r="BX853" s="242">
        <v>17.422999999999998</v>
      </c>
      <c r="BY853" s="256">
        <v>42200</v>
      </c>
      <c r="CD853" s="257">
        <v>7</v>
      </c>
      <c r="CE853" s="159">
        <v>42191</v>
      </c>
      <c r="CM853" s="255">
        <v>1</v>
      </c>
      <c r="CN853" s="256">
        <v>42180</v>
      </c>
      <c r="CO853" s="140" t="s">
        <v>8448</v>
      </c>
    </row>
    <row r="854" spans="1:93" ht="12.75" customHeight="1">
      <c r="A854" s="126" t="s">
        <v>7717</v>
      </c>
      <c r="B854" s="161" t="s">
        <v>7784</v>
      </c>
      <c r="C854" s="268" t="s">
        <v>267</v>
      </c>
      <c r="D854" s="257">
        <v>4</v>
      </c>
      <c r="E854" s="179">
        <v>131</v>
      </c>
      <c r="F854" s="257">
        <v>23</v>
      </c>
      <c r="G854" s="257">
        <v>10</v>
      </c>
      <c r="J854" s="265"/>
      <c r="L854" s="257">
        <v>7</v>
      </c>
      <c r="N854" s="257">
        <v>7.18</v>
      </c>
      <c r="O854" s="159">
        <v>42191</v>
      </c>
      <c r="T854" s="257">
        <v>20.7</v>
      </c>
      <c r="U854" s="256">
        <v>42200</v>
      </c>
      <c r="V854" s="145">
        <v>18.5</v>
      </c>
      <c r="W854" s="159">
        <v>42191</v>
      </c>
      <c r="AD854" s="145">
        <f>(N854/V854)*(((100-CD854)/100)*((100-2)/100))*100</f>
        <v>35.067896216216212</v>
      </c>
      <c r="AF854" s="257">
        <f>(N854/V854)*(((100-CD854)/(100-9))*100)</f>
        <v>39.322601722601718</v>
      </c>
      <c r="AG854" s="159">
        <v>42191</v>
      </c>
      <c r="AJ854" s="257">
        <v>140</v>
      </c>
      <c r="AN854" s="257">
        <v>103</v>
      </c>
      <c r="BB854" s="257">
        <v>9</v>
      </c>
      <c r="BN854" s="242">
        <v>66.265000000000001</v>
      </c>
      <c r="BO854" s="256">
        <v>42200</v>
      </c>
      <c r="BT854" s="242">
        <v>51.644004821777344</v>
      </c>
      <c r="BU854" s="256">
        <v>42200</v>
      </c>
      <c r="BV854" s="242">
        <v>15.929532051086426</v>
      </c>
      <c r="BW854" s="256">
        <v>42200</v>
      </c>
      <c r="BX854" s="242">
        <v>13.708</v>
      </c>
      <c r="BY854" s="256">
        <v>42200</v>
      </c>
      <c r="CD854" s="257">
        <v>7.8</v>
      </c>
      <c r="CE854" s="159">
        <v>42191</v>
      </c>
      <c r="CM854" s="255">
        <v>1</v>
      </c>
      <c r="CN854" s="256">
        <v>42180</v>
      </c>
      <c r="CO854" s="140" t="s">
        <v>8447</v>
      </c>
    </row>
    <row r="855" spans="1:93" ht="12.75" customHeight="1">
      <c r="A855" s="126" t="s">
        <v>7764</v>
      </c>
      <c r="B855" s="161" t="s">
        <v>7584</v>
      </c>
      <c r="C855" s="268" t="s">
        <v>269</v>
      </c>
      <c r="D855" s="257">
        <v>1</v>
      </c>
      <c r="E855" s="179">
        <v>178</v>
      </c>
      <c r="F855" s="257">
        <v>2</v>
      </c>
      <c r="G855" s="257">
        <v>20</v>
      </c>
      <c r="J855" s="265"/>
      <c r="L855" s="257">
        <v>9</v>
      </c>
      <c r="N855" s="257">
        <v>7.19</v>
      </c>
      <c r="O855" s="159">
        <v>42191</v>
      </c>
      <c r="T855" s="257">
        <v>20.309999999999999</v>
      </c>
      <c r="U855" s="256">
        <v>42200</v>
      </c>
      <c r="V855" s="145">
        <v>18.5</v>
      </c>
      <c r="W855" s="159">
        <v>42191</v>
      </c>
      <c r="AD855" s="145">
        <f>(N855/V855)*(((100-CD855)/100)*((100-2)/100))*100</f>
        <v>35.269087567567567</v>
      </c>
      <c r="AF855" s="257">
        <v>40.32</v>
      </c>
      <c r="AG855" s="159">
        <v>42191</v>
      </c>
      <c r="AJ855" s="257">
        <v>155</v>
      </c>
      <c r="AN855" s="257">
        <v>102</v>
      </c>
      <c r="BB855" s="257">
        <v>7</v>
      </c>
      <c r="BN855" s="242">
        <v>62.64</v>
      </c>
      <c r="BO855" s="256">
        <v>42200</v>
      </c>
      <c r="BT855" s="242">
        <v>50.382644653320312</v>
      </c>
      <c r="BU855" s="256">
        <v>42200</v>
      </c>
      <c r="BV855" s="242">
        <v>17.033737182617188</v>
      </c>
      <c r="BW855" s="256">
        <v>42200</v>
      </c>
      <c r="BX855" s="242">
        <v>15.510999999999999</v>
      </c>
      <c r="BY855" s="256">
        <v>42200</v>
      </c>
      <c r="CD855" s="257">
        <v>7.4</v>
      </c>
      <c r="CE855" s="159">
        <v>42191</v>
      </c>
      <c r="CM855" s="255">
        <v>1</v>
      </c>
      <c r="CN855" s="256">
        <v>42180</v>
      </c>
      <c r="CO855" s="140" t="s">
        <v>8447</v>
      </c>
    </row>
    <row r="856" spans="1:93" ht="12.75" customHeight="1">
      <c r="A856" s="126" t="s">
        <v>7761</v>
      </c>
      <c r="B856" s="161" t="s">
        <v>8313</v>
      </c>
      <c r="C856" s="268" t="s">
        <v>269</v>
      </c>
      <c r="D856" s="257">
        <v>2</v>
      </c>
      <c r="E856" s="179">
        <v>175</v>
      </c>
      <c r="F856" s="257">
        <v>10</v>
      </c>
      <c r="G856" s="257">
        <v>5</v>
      </c>
      <c r="J856" s="265"/>
      <c r="L856" s="257">
        <v>8</v>
      </c>
      <c r="N856" s="257">
        <v>7.22</v>
      </c>
      <c r="O856" s="159">
        <v>42191</v>
      </c>
      <c r="T856" s="257"/>
      <c r="U856" s="256">
        <v>42200</v>
      </c>
      <c r="V856" s="145">
        <v>18.5</v>
      </c>
      <c r="W856" s="159">
        <v>42191</v>
      </c>
      <c r="AD856" s="145">
        <f>(N856/V856)*(((100-CD856)/100)*((100-2)/100))*100</f>
        <v>35.416246486486486</v>
      </c>
      <c r="AF856" s="257">
        <f>(N856/V856)*(((100-CD856)/(100-9))*100)</f>
        <v>39.713216513216508</v>
      </c>
      <c r="AG856" s="159">
        <v>42191</v>
      </c>
      <c r="AJ856" s="257">
        <v>120</v>
      </c>
      <c r="AN856" s="257">
        <v>102</v>
      </c>
      <c r="BB856" s="257">
        <v>7</v>
      </c>
      <c r="BN856" s="286"/>
      <c r="BO856" s="256">
        <v>42200</v>
      </c>
      <c r="BT856" s="286"/>
      <c r="BU856" s="256">
        <v>42200</v>
      </c>
      <c r="BV856" s="286"/>
      <c r="BW856" s="256">
        <v>42200</v>
      </c>
      <c r="BX856" s="286"/>
      <c r="BY856" s="256">
        <v>42200</v>
      </c>
      <c r="CD856" s="257">
        <v>7.4</v>
      </c>
      <c r="CE856" s="159">
        <v>42191</v>
      </c>
      <c r="CM856" s="255">
        <v>1</v>
      </c>
      <c r="CN856" s="256">
        <v>42180</v>
      </c>
      <c r="CO856" s="140" t="s">
        <v>8448</v>
      </c>
    </row>
    <row r="857" spans="1:93" ht="12.75" customHeight="1">
      <c r="A857" s="126" t="s">
        <v>7760</v>
      </c>
      <c r="B857" s="161" t="s">
        <v>8310</v>
      </c>
      <c r="C857" s="268" t="s">
        <v>269</v>
      </c>
      <c r="D857" s="257">
        <v>2</v>
      </c>
      <c r="E857" s="179">
        <v>174</v>
      </c>
      <c r="F857" s="257">
        <v>12</v>
      </c>
      <c r="G857" s="257">
        <v>22</v>
      </c>
      <c r="J857" s="265"/>
      <c r="L857" s="257">
        <v>8</v>
      </c>
      <c r="N857" s="257">
        <v>7.21</v>
      </c>
      <c r="O857" s="159">
        <v>42191</v>
      </c>
      <c r="T857" s="257">
        <v>21.48</v>
      </c>
      <c r="U857" s="256">
        <v>42200</v>
      </c>
      <c r="V857" s="145">
        <v>18.5</v>
      </c>
      <c r="W857" s="159">
        <v>42191</v>
      </c>
      <c r="AD857" s="145">
        <f>(N857/V857)*(((100-CD857)/100)*((100-2)/100))*100</f>
        <v>35.596354594594601</v>
      </c>
      <c r="AF857" s="257">
        <f>(N857/V857)*(((100-CD857)/(100-9))*100)</f>
        <v>39.915176715176727</v>
      </c>
      <c r="AG857" s="159">
        <v>42191</v>
      </c>
      <c r="AJ857" s="257">
        <v>140</v>
      </c>
      <c r="AN857" s="257">
        <v>101</v>
      </c>
      <c r="BB857" s="257">
        <v>7</v>
      </c>
      <c r="BN857" s="242">
        <v>63.844999999999999</v>
      </c>
      <c r="BO857" s="256">
        <v>42200</v>
      </c>
      <c r="BT857" s="242">
        <v>52.7830810546875</v>
      </c>
      <c r="BU857" s="256">
        <v>42200</v>
      </c>
      <c r="BV857" s="242">
        <v>15.783912658691406</v>
      </c>
      <c r="BW857" s="256">
        <v>42200</v>
      </c>
      <c r="BX857" s="242">
        <v>15.868</v>
      </c>
      <c r="BY857" s="256">
        <v>42200</v>
      </c>
      <c r="CD857" s="257">
        <v>6.8</v>
      </c>
      <c r="CE857" s="159">
        <v>42191</v>
      </c>
      <c r="CM857" s="255">
        <v>1</v>
      </c>
      <c r="CN857" s="256">
        <v>42180</v>
      </c>
      <c r="CO857" s="140" t="s">
        <v>8448</v>
      </c>
    </row>
    <row r="858" spans="1:93" ht="12.75" customHeight="1">
      <c r="A858" s="126" t="s">
        <v>7759</v>
      </c>
      <c r="B858" s="161" t="s">
        <v>7794</v>
      </c>
      <c r="C858" s="268" t="s">
        <v>269</v>
      </c>
      <c r="D858" s="257">
        <v>1</v>
      </c>
      <c r="E858" s="179">
        <v>173</v>
      </c>
      <c r="F858" s="257">
        <v>6</v>
      </c>
      <c r="G858" s="257">
        <v>6</v>
      </c>
      <c r="J858" s="265"/>
      <c r="L858" s="257">
        <v>9</v>
      </c>
      <c r="N858" s="257">
        <v>7.28</v>
      </c>
      <c r="O858" s="159">
        <v>42191</v>
      </c>
      <c r="T858" s="257">
        <v>20.71</v>
      </c>
      <c r="U858" s="256">
        <v>42200</v>
      </c>
      <c r="V858" s="145">
        <v>18.5</v>
      </c>
      <c r="W858" s="159">
        <v>42191</v>
      </c>
      <c r="AD858" s="145">
        <f>(N858/V858)*(((100-CD858)/100)*((100-2)/100))*100</f>
        <v>35.826257297297296</v>
      </c>
      <c r="AF858" s="257">
        <v>40.950000000000003</v>
      </c>
      <c r="AG858" s="159">
        <v>42191</v>
      </c>
      <c r="AJ858" s="257">
        <v>145</v>
      </c>
      <c r="AN858" s="257">
        <v>105</v>
      </c>
      <c r="BB858" s="257">
        <v>7</v>
      </c>
      <c r="BN858" s="242">
        <v>63.735999999999997</v>
      </c>
      <c r="BO858" s="256">
        <v>42200</v>
      </c>
      <c r="BT858" s="242">
        <v>50.568416595458984</v>
      </c>
      <c r="BU858" s="256">
        <v>42200</v>
      </c>
      <c r="BV858" s="242">
        <v>17.519355773925781</v>
      </c>
      <c r="BW858" s="256">
        <v>42200</v>
      </c>
      <c r="BX858" s="242">
        <v>17.792999999999999</v>
      </c>
      <c r="BY858" s="256">
        <v>42200</v>
      </c>
      <c r="CD858" s="257">
        <v>7.1</v>
      </c>
      <c r="CE858" s="159">
        <v>42191</v>
      </c>
      <c r="CM858" s="255">
        <v>1</v>
      </c>
      <c r="CN858" s="256">
        <v>42180</v>
      </c>
      <c r="CO858" s="140" t="s">
        <v>8447</v>
      </c>
    </row>
    <row r="859" spans="1:93" ht="12.75" customHeight="1">
      <c r="A859" s="126" t="s">
        <v>7717</v>
      </c>
      <c r="B859" s="161" t="s">
        <v>7784</v>
      </c>
      <c r="C859" s="268" t="s">
        <v>269</v>
      </c>
      <c r="D859" s="257">
        <v>1</v>
      </c>
      <c r="E859" s="179">
        <v>131</v>
      </c>
      <c r="F859" s="257">
        <v>4</v>
      </c>
      <c r="G859" s="257">
        <v>17</v>
      </c>
      <c r="J859" s="265"/>
      <c r="L859" s="257">
        <v>8</v>
      </c>
      <c r="N859" s="257">
        <v>7.36</v>
      </c>
      <c r="O859" s="159">
        <v>42191</v>
      </c>
      <c r="T859" s="257">
        <v>21.6</v>
      </c>
      <c r="U859" s="256">
        <v>42200</v>
      </c>
      <c r="V859" s="145">
        <v>18.5</v>
      </c>
      <c r="W859" s="159">
        <v>42191</v>
      </c>
      <c r="AD859" s="145">
        <f>(N859/V859)*(((100-CD859)/100)*((100-2)/100))*100</f>
        <v>36.258940540540543</v>
      </c>
      <c r="AF859" s="257">
        <f>(N859/V859)*(((100-CD859)/(100-9))*100)</f>
        <v>40.658152658152659</v>
      </c>
      <c r="AG859" s="159">
        <v>42191</v>
      </c>
      <c r="AJ859" s="257">
        <v>155</v>
      </c>
      <c r="AN859" s="257">
        <v>100</v>
      </c>
      <c r="BB859" s="257">
        <v>7</v>
      </c>
      <c r="BN859" s="242">
        <v>66.486999999999995</v>
      </c>
      <c r="BO859" s="256">
        <v>42200</v>
      </c>
      <c r="BT859" s="242">
        <v>52.115337371826172</v>
      </c>
      <c r="BU859" s="256">
        <v>42200</v>
      </c>
      <c r="BV859" s="242">
        <v>15.502815246582031</v>
      </c>
      <c r="BW859" s="256">
        <v>42200</v>
      </c>
      <c r="BX859" s="242">
        <v>16.131</v>
      </c>
      <c r="BY859" s="256">
        <v>42200</v>
      </c>
      <c r="CD859" s="257">
        <v>7</v>
      </c>
      <c r="CE859" s="159">
        <v>42191</v>
      </c>
      <c r="CM859" s="255">
        <v>1</v>
      </c>
      <c r="CN859" s="256">
        <v>42180</v>
      </c>
      <c r="CO859" s="140" t="s">
        <v>8447</v>
      </c>
    </row>
    <row r="860" spans="1:93" ht="12.75" customHeight="1">
      <c r="A860" s="126" t="s">
        <v>7758</v>
      </c>
      <c r="B860" s="161" t="s">
        <v>7793</v>
      </c>
      <c r="C860" s="268" t="s">
        <v>269</v>
      </c>
      <c r="D860" s="257">
        <v>1</v>
      </c>
      <c r="E860" s="179">
        <v>172</v>
      </c>
      <c r="F860" s="257">
        <v>1</v>
      </c>
      <c r="G860" s="257">
        <v>16</v>
      </c>
      <c r="J860" s="265"/>
      <c r="L860" s="257">
        <v>8</v>
      </c>
      <c r="N860" s="257">
        <v>7.44</v>
      </c>
      <c r="O860" s="159">
        <v>42191</v>
      </c>
      <c r="T860" s="257">
        <v>21.87</v>
      </c>
      <c r="U860" s="256">
        <v>42200</v>
      </c>
      <c r="V860" s="145">
        <v>18.5</v>
      </c>
      <c r="W860" s="159">
        <v>42191</v>
      </c>
      <c r="AD860" s="145">
        <f>(N860/V860)*(((100-CD860)/100)*((100-2)/100))*100</f>
        <v>36.574235675675673</v>
      </c>
      <c r="AF860" s="257">
        <v>41.81</v>
      </c>
      <c r="AG860" s="159">
        <v>42191</v>
      </c>
      <c r="AJ860" s="257">
        <v>170</v>
      </c>
      <c r="AN860" s="257">
        <v>104</v>
      </c>
      <c r="BB860" s="257">
        <v>5</v>
      </c>
      <c r="BN860" s="242">
        <v>62.4</v>
      </c>
      <c r="BO860" s="256">
        <v>42200</v>
      </c>
      <c r="BT860" s="242">
        <v>52.307361602783203</v>
      </c>
      <c r="BU860" s="256">
        <v>42200</v>
      </c>
      <c r="BV860" s="242">
        <v>16.443939208984375</v>
      </c>
      <c r="BW860" s="256">
        <v>42200</v>
      </c>
      <c r="BX860" s="242">
        <v>16.635000000000002</v>
      </c>
      <c r="BY860" s="256">
        <v>42200</v>
      </c>
      <c r="CD860" s="257">
        <v>7.2</v>
      </c>
      <c r="CE860" s="159">
        <v>42191</v>
      </c>
      <c r="CM860" s="255">
        <v>1</v>
      </c>
      <c r="CN860" s="256">
        <v>42180</v>
      </c>
      <c r="CO860" s="140" t="s">
        <v>8447</v>
      </c>
    </row>
    <row r="861" spans="1:93" ht="12.75" customHeight="1">
      <c r="A861" s="126" t="s">
        <v>7741</v>
      </c>
      <c r="B861" s="161" t="s">
        <v>7565</v>
      </c>
      <c r="C861" s="268" t="s">
        <v>269</v>
      </c>
      <c r="D861" s="257">
        <v>1</v>
      </c>
      <c r="E861" s="179">
        <v>155</v>
      </c>
      <c r="F861" s="257">
        <v>2</v>
      </c>
      <c r="G861" s="257">
        <v>26</v>
      </c>
      <c r="J861" s="265"/>
      <c r="L861" s="257">
        <v>9</v>
      </c>
      <c r="N861" s="257">
        <v>7.72</v>
      </c>
      <c r="O861" s="159">
        <v>42191</v>
      </c>
      <c r="T861" s="257">
        <v>22.26</v>
      </c>
      <c r="U861" s="256">
        <v>42200</v>
      </c>
      <c r="V861" s="145">
        <v>18.5</v>
      </c>
      <c r="W861" s="159">
        <v>42191</v>
      </c>
      <c r="AD861" s="145">
        <f>(N861/V861)*(((100-CD861)/100)*((100-2)/100))*100</f>
        <v>37.991580540540539</v>
      </c>
      <c r="AF861" s="257">
        <f>(N861/V861)*(((100-CD861)/(100-9))*100)</f>
        <v>42.601009801009809</v>
      </c>
      <c r="AG861" s="159">
        <v>42191</v>
      </c>
      <c r="AJ861" s="257">
        <v>145</v>
      </c>
      <c r="AN861" s="257">
        <v>102</v>
      </c>
      <c r="BB861" s="257">
        <v>9</v>
      </c>
      <c r="BN861" s="242">
        <v>64.233000000000004</v>
      </c>
      <c r="BO861" s="256">
        <v>42200</v>
      </c>
      <c r="BT861" s="242">
        <v>51.246620178222656</v>
      </c>
      <c r="BU861" s="256">
        <v>42200</v>
      </c>
      <c r="BV861" s="242">
        <v>16.978347778320313</v>
      </c>
      <c r="BW861" s="256">
        <v>42200</v>
      </c>
      <c r="BX861" s="242">
        <v>16.963999999999999</v>
      </c>
      <c r="BY861" s="256">
        <v>42200</v>
      </c>
      <c r="CD861" s="257">
        <v>7.1</v>
      </c>
      <c r="CE861" s="159">
        <v>42191</v>
      </c>
      <c r="CM861" s="255">
        <v>1</v>
      </c>
      <c r="CN861" s="256">
        <v>42180</v>
      </c>
      <c r="CO861" s="140" t="s">
        <v>8447</v>
      </c>
    </row>
    <row r="862" spans="1:93" ht="12.75" customHeight="1">
      <c r="A862" s="161" t="s">
        <v>7723</v>
      </c>
      <c r="B862" s="161" t="s">
        <v>7789</v>
      </c>
      <c r="C862" s="268" t="s">
        <v>269</v>
      </c>
      <c r="D862" s="257">
        <v>2</v>
      </c>
      <c r="E862" s="179">
        <v>137</v>
      </c>
      <c r="F862" s="257">
        <v>10</v>
      </c>
      <c r="G862" s="257">
        <v>27</v>
      </c>
      <c r="J862" s="265"/>
      <c r="L862" s="257">
        <v>7</v>
      </c>
      <c r="N862" s="257">
        <v>7.91</v>
      </c>
      <c r="O862" s="159">
        <v>42191</v>
      </c>
      <c r="T862" s="257">
        <v>22.54</v>
      </c>
      <c r="U862" s="256">
        <v>42200</v>
      </c>
      <c r="V862" s="145">
        <v>18.5</v>
      </c>
      <c r="W862" s="159">
        <v>42191</v>
      </c>
      <c r="AD862" s="145">
        <f>(N862/V862)*(((100-CD862)/100)*((100-2)/100))*100</f>
        <v>38.968508108108111</v>
      </c>
      <c r="AF862" s="257">
        <f>(N862/V862)*(((100-CD862)/(100-9))*100)</f>
        <v>43.696465696465694</v>
      </c>
      <c r="AG862" s="159">
        <v>42191</v>
      </c>
      <c r="AJ862" s="257">
        <v>150</v>
      </c>
      <c r="AN862" s="257">
        <v>100</v>
      </c>
      <c r="BB862" s="257">
        <v>7</v>
      </c>
      <c r="BN862" s="242">
        <v>62.341000000000001</v>
      </c>
      <c r="BO862" s="256">
        <v>42200</v>
      </c>
      <c r="BT862" s="242">
        <v>50.601753234863281</v>
      </c>
      <c r="BU862" s="256">
        <v>42200</v>
      </c>
      <c r="BV862" s="242">
        <v>18.856441497802734</v>
      </c>
      <c r="BW862" s="256">
        <v>42200</v>
      </c>
      <c r="BX862" s="242">
        <v>20.260000000000002</v>
      </c>
      <c r="BY862" s="256">
        <v>42200</v>
      </c>
      <c r="CD862" s="257">
        <v>7</v>
      </c>
      <c r="CE862" s="159">
        <v>42191</v>
      </c>
      <c r="CM862" s="255">
        <v>1</v>
      </c>
      <c r="CN862" s="256">
        <v>42180</v>
      </c>
      <c r="CO862" s="140" t="s">
        <v>8448</v>
      </c>
    </row>
    <row r="863" spans="1:93" ht="12.75" customHeight="1">
      <c r="A863" s="161" t="s">
        <v>7720</v>
      </c>
      <c r="B863" s="161" t="s">
        <v>7787</v>
      </c>
      <c r="C863" s="268" t="s">
        <v>269</v>
      </c>
      <c r="D863" s="257">
        <v>2</v>
      </c>
      <c r="E863" s="179">
        <v>134</v>
      </c>
      <c r="F863" s="257">
        <v>10</v>
      </c>
      <c r="G863" s="257">
        <v>25</v>
      </c>
      <c r="J863" s="265"/>
      <c r="L863" s="257">
        <v>8</v>
      </c>
      <c r="N863" s="257">
        <v>8.35</v>
      </c>
      <c r="O863" s="159">
        <v>42191</v>
      </c>
      <c r="T863" s="257">
        <v>23.43</v>
      </c>
      <c r="U863" s="256">
        <v>42200</v>
      </c>
      <c r="V863" s="145">
        <v>18.5</v>
      </c>
      <c r="W863" s="159">
        <v>42191</v>
      </c>
      <c r="AD863" s="145">
        <f>(N863/V863)*(((100-CD863)/100)*((100-2)/100))*100</f>
        <v>41.136162162162158</v>
      </c>
      <c r="AF863" s="257">
        <f>(N863/V863)*(((100-CD863)/(100-9))*100)</f>
        <v>46.127116127116125</v>
      </c>
      <c r="AG863" s="159">
        <v>42191</v>
      </c>
      <c r="AJ863" s="257">
        <v>135</v>
      </c>
      <c r="AN863" s="257">
        <v>100</v>
      </c>
      <c r="BB863" s="257">
        <v>7</v>
      </c>
      <c r="BN863" s="242">
        <v>66.924999999999997</v>
      </c>
      <c r="BO863" s="256">
        <v>42200</v>
      </c>
      <c r="BT863" s="242">
        <v>49.828376770019531</v>
      </c>
      <c r="BU863" s="256">
        <v>42200</v>
      </c>
      <c r="BV863" s="242">
        <v>18.139228820800781</v>
      </c>
      <c r="BW863" s="256">
        <v>42200</v>
      </c>
      <c r="BX863" s="242">
        <v>17.547000000000001</v>
      </c>
      <c r="BY863" s="256">
        <v>42200</v>
      </c>
      <c r="CD863" s="257">
        <v>7</v>
      </c>
      <c r="CE863" s="159">
        <v>42191</v>
      </c>
      <c r="CM863" s="255">
        <v>1</v>
      </c>
      <c r="CN863" s="256">
        <v>42180</v>
      </c>
      <c r="CO863" s="140" t="s">
        <v>8448</v>
      </c>
    </row>
    <row r="864" spans="1:93" ht="12.75" customHeight="1">
      <c r="A864" s="161" t="s">
        <v>8329</v>
      </c>
      <c r="B864" s="161" t="s">
        <v>8329</v>
      </c>
      <c r="C864" s="268" t="s">
        <v>269</v>
      </c>
      <c r="D864" s="257">
        <v>2</v>
      </c>
      <c r="E864" s="281">
        <v>189</v>
      </c>
      <c r="F864" s="257">
        <v>10</v>
      </c>
      <c r="G864" s="257">
        <v>29</v>
      </c>
      <c r="J864" s="265"/>
      <c r="L864" s="257">
        <v>6</v>
      </c>
      <c r="N864" s="257">
        <v>8.58</v>
      </c>
      <c r="O864" s="159">
        <v>42191</v>
      </c>
      <c r="T864" s="257">
        <v>24.98</v>
      </c>
      <c r="U864" s="256">
        <v>42200</v>
      </c>
      <c r="V864" s="145">
        <v>18.5</v>
      </c>
      <c r="W864" s="159">
        <v>42191</v>
      </c>
      <c r="AD864" s="145">
        <f>(N864/V864)*(((100-CD864)/100)*((100-2)/100))*100</f>
        <v>42.360155675675678</v>
      </c>
      <c r="AF864" s="257">
        <f>(N864/V864)*(((100-CD864)/(100-9))*100)</f>
        <v>47.499613899613905</v>
      </c>
      <c r="AG864" s="159">
        <v>42191</v>
      </c>
      <c r="AJ864" s="257">
        <v>155</v>
      </c>
      <c r="AN864" s="257">
        <v>100</v>
      </c>
      <c r="BB864" s="257">
        <v>7</v>
      </c>
      <c r="BN864" s="242">
        <v>64.019000000000005</v>
      </c>
      <c r="BO864" s="256">
        <v>42200</v>
      </c>
      <c r="BT864" s="242">
        <v>51.602424621582031</v>
      </c>
      <c r="BU864" s="256">
        <v>42200</v>
      </c>
      <c r="BV864" s="242">
        <v>17.430423736572266</v>
      </c>
      <c r="BW864" s="256">
        <v>42200</v>
      </c>
      <c r="BX864" s="242">
        <v>19.09</v>
      </c>
      <c r="BY864" s="256">
        <v>42200</v>
      </c>
      <c r="CD864" s="257">
        <v>6.8</v>
      </c>
      <c r="CE864" s="159">
        <v>42191</v>
      </c>
      <c r="CM864" s="255">
        <v>1</v>
      </c>
      <c r="CN864" s="256">
        <v>42180</v>
      </c>
      <c r="CO864" s="140" t="s">
        <v>8448</v>
      </c>
    </row>
    <row r="865" spans="1:93" ht="12.75" customHeight="1">
      <c r="A865" s="279" t="s">
        <v>8450</v>
      </c>
      <c r="B865" s="161" t="s">
        <v>8473</v>
      </c>
      <c r="C865" s="268" t="s">
        <v>269</v>
      </c>
      <c r="D865" s="269">
        <v>1</v>
      </c>
      <c r="E865" s="270">
        <v>1</v>
      </c>
      <c r="F865" s="269"/>
      <c r="G865" s="269"/>
      <c r="H865" s="271">
        <v>1</v>
      </c>
      <c r="I865" s="271">
        <v>1</v>
      </c>
      <c r="J865" s="285"/>
      <c r="K865" s="273"/>
      <c r="L865" s="269">
        <v>9</v>
      </c>
      <c r="M865" s="274"/>
      <c r="N865" s="269">
        <v>4</v>
      </c>
      <c r="O865" s="274">
        <v>42191</v>
      </c>
      <c r="P865" s="272"/>
      <c r="Q865" s="274"/>
      <c r="R865" s="275"/>
      <c r="S865" s="274"/>
      <c r="T865" s="269"/>
      <c r="U865" s="276"/>
      <c r="V865" s="275"/>
      <c r="W865" s="274"/>
      <c r="X865" s="275"/>
      <c r="Y865" s="274"/>
      <c r="Z865" s="275"/>
      <c r="AA865" s="274"/>
      <c r="AB865" s="275"/>
      <c r="AC865" s="274"/>
      <c r="AD865" s="145" t="s">
        <v>8501</v>
      </c>
      <c r="AE865" s="274"/>
      <c r="AF865" s="269">
        <v>22.36</v>
      </c>
      <c r="AG865" s="274">
        <v>42191</v>
      </c>
      <c r="AH865" s="274"/>
      <c r="AI865" s="274"/>
      <c r="AJ865" s="269">
        <v>155</v>
      </c>
      <c r="AK865" s="274"/>
      <c r="AL865" s="275"/>
      <c r="AM865" s="274"/>
      <c r="AN865" s="269">
        <v>101</v>
      </c>
      <c r="AO865" s="274"/>
      <c r="AP865" s="275"/>
      <c r="AQ865" s="275"/>
      <c r="AR865" s="275"/>
      <c r="AS865" s="275"/>
      <c r="AT865" s="275"/>
      <c r="AU865" s="275"/>
      <c r="AV865" s="275"/>
      <c r="AW865" s="275"/>
      <c r="AX865" s="275"/>
      <c r="AY865" s="275"/>
      <c r="AZ865" s="275"/>
      <c r="BA865" s="275"/>
      <c r="BB865" s="269">
        <v>7</v>
      </c>
      <c r="BC865" s="275"/>
      <c r="BD865" s="275"/>
      <c r="BE865" s="275"/>
      <c r="BF865" s="272"/>
      <c r="BG865" s="272"/>
      <c r="BH865" s="272"/>
      <c r="BI865" s="272"/>
      <c r="BJ865" s="272"/>
      <c r="BK865" s="272"/>
      <c r="BL865" s="272"/>
      <c r="BM865" s="272"/>
      <c r="BN865" s="277"/>
      <c r="BO865" s="276">
        <v>42200</v>
      </c>
      <c r="BP865" s="272"/>
      <c r="BQ865" s="272"/>
      <c r="BR865" s="272"/>
      <c r="BS865" s="272"/>
      <c r="BT865" s="277"/>
      <c r="BU865" s="276">
        <v>42200</v>
      </c>
      <c r="BV865" s="277"/>
      <c r="BW865" s="276">
        <v>42200</v>
      </c>
      <c r="BX865" s="277"/>
      <c r="BY865" s="276">
        <v>42200</v>
      </c>
      <c r="BZ865" s="272"/>
      <c r="CA865" s="272"/>
      <c r="CB865" s="272"/>
      <c r="CC865" s="272"/>
      <c r="CD865" s="269">
        <v>7.7</v>
      </c>
      <c r="CE865" s="274">
        <v>42191</v>
      </c>
      <c r="CF865" s="272"/>
      <c r="CG865" s="272"/>
      <c r="CH865" s="272"/>
      <c r="CI865" s="272"/>
      <c r="CJ865" s="272"/>
      <c r="CK865" s="272"/>
      <c r="CL865" s="272"/>
      <c r="CM865" s="278">
        <v>9</v>
      </c>
      <c r="CN865" s="276">
        <v>42180</v>
      </c>
      <c r="CO865" s="140" t="s">
        <v>8448</v>
      </c>
    </row>
    <row r="866" spans="1:93">
      <c r="AD866" s="139">
        <f>AVERAGE(AD2:AD864)</f>
        <v>21.476248072406108</v>
      </c>
    </row>
  </sheetData>
  <sheetProtection selectLockedCells="1" selectUnlockedCells="1"/>
  <autoFilter ref="A1:CO769">
    <sortState ref="A2:CO866">
      <sortCondition ref="AD1:AD769"/>
    </sortState>
  </autoFilter>
  <sortState ref="A2:G769">
    <sortCondition ref="E2:E769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1"/>
  <sheetViews>
    <sheetView zoomScale="95" zoomScaleNormal="95" workbookViewId="0">
      <selection activeCell="E7" sqref="E7"/>
    </sheetView>
  </sheetViews>
  <sheetFormatPr baseColWidth="10" defaultColWidth="11.5703125" defaultRowHeight="12.75"/>
  <cols>
    <col min="1" max="1" width="10.28515625" style="146" customWidth="1"/>
    <col min="2" max="2" width="5.28515625" style="147" customWidth="1"/>
    <col min="3" max="3" width="9.42578125" style="146" customWidth="1"/>
    <col min="4" max="4" width="9" style="148" customWidth="1"/>
    <col min="5" max="5" width="14.140625" style="148" customWidth="1"/>
    <col min="6" max="6" width="12.42578125" style="148" customWidth="1"/>
    <col min="7" max="16384" width="11.5703125" style="149"/>
  </cols>
  <sheetData>
    <row r="1" spans="1:6">
      <c r="A1" s="150" t="s">
        <v>215</v>
      </c>
      <c r="B1" s="151" t="s">
        <v>216</v>
      </c>
      <c r="C1" s="150" t="s">
        <v>217</v>
      </c>
      <c r="D1" s="152" t="s">
        <v>218</v>
      </c>
      <c r="E1" s="152" t="s">
        <v>219</v>
      </c>
      <c r="F1" s="152" t="s">
        <v>29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Id="1" sqref="A2:B2 A1"/>
    </sheetView>
  </sheetViews>
  <sheetFormatPr baseColWidth="10" defaultColWidth="10.7109375" defaultRowHeight="12"/>
  <cols>
    <col min="1" max="1" width="9.28515625" style="153" customWidth="1"/>
    <col min="2" max="2" width="10.42578125" style="153" customWidth="1"/>
    <col min="3" max="3" width="11" style="153" customWidth="1"/>
  </cols>
  <sheetData>
    <row r="1" spans="1:3" s="155" customFormat="1">
      <c r="A1" s="154" t="s">
        <v>233</v>
      </c>
      <c r="B1" s="154" t="s">
        <v>234</v>
      </c>
      <c r="C1" s="154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A43" sqref="A43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6" t="s">
        <v>146</v>
      </c>
      <c r="B1" s="156" t="s">
        <v>286</v>
      </c>
      <c r="C1" s="156" t="s">
        <v>149</v>
      </c>
      <c r="D1" s="156" t="s">
        <v>26</v>
      </c>
      <c r="E1" s="156" t="s">
        <v>65</v>
      </c>
    </row>
    <row r="2" spans="1:5">
      <c r="A2" s="156" t="s">
        <v>287</v>
      </c>
      <c r="B2" s="156" t="s">
        <v>288</v>
      </c>
      <c r="C2" s="156" t="s">
        <v>289</v>
      </c>
      <c r="D2" s="156" t="s">
        <v>290</v>
      </c>
      <c r="E2" s="156" t="s">
        <v>291</v>
      </c>
    </row>
    <row r="3" spans="1:5">
      <c r="A3" s="156" t="s">
        <v>292</v>
      </c>
      <c r="B3" s="156" t="s">
        <v>293</v>
      </c>
      <c r="C3" s="156" t="s">
        <v>294</v>
      </c>
      <c r="D3" s="156" t="s">
        <v>295</v>
      </c>
      <c r="E3" s="156" t="s">
        <v>296</v>
      </c>
    </row>
    <row r="4" spans="1:5">
      <c r="A4" s="156" t="s">
        <v>297</v>
      </c>
      <c r="B4" s="156" t="s">
        <v>298</v>
      </c>
      <c r="C4" s="156" t="s">
        <v>299</v>
      </c>
      <c r="D4" s="156" t="s">
        <v>300</v>
      </c>
      <c r="E4" s="156" t="s">
        <v>301</v>
      </c>
    </row>
    <row r="5" spans="1:5">
      <c r="A5" s="156" t="s">
        <v>302</v>
      </c>
      <c r="B5" s="156" t="s">
        <v>303</v>
      </c>
      <c r="C5" s="156" t="s">
        <v>304</v>
      </c>
      <c r="D5" s="156" t="s">
        <v>305</v>
      </c>
      <c r="E5" s="156" t="s">
        <v>306</v>
      </c>
    </row>
    <row r="6" spans="1:5">
      <c r="A6" s="156" t="s">
        <v>307</v>
      </c>
      <c r="B6" s="156" t="s">
        <v>308</v>
      </c>
      <c r="C6" s="156" t="s">
        <v>309</v>
      </c>
      <c r="D6" s="156" t="s">
        <v>310</v>
      </c>
      <c r="E6" s="156" t="s">
        <v>90</v>
      </c>
    </row>
    <row r="7" spans="1:5">
      <c r="A7" s="156" t="s">
        <v>311</v>
      </c>
      <c r="B7" s="156" t="s">
        <v>312</v>
      </c>
      <c r="C7" s="156" t="s">
        <v>313</v>
      </c>
      <c r="D7" s="156" t="s">
        <v>314</v>
      </c>
      <c r="E7" s="156" t="s">
        <v>315</v>
      </c>
    </row>
    <row r="8" spans="1:5">
      <c r="A8" s="156" t="s">
        <v>316</v>
      </c>
      <c r="B8" s="156" t="s">
        <v>317</v>
      </c>
      <c r="C8" s="156" t="s">
        <v>318</v>
      </c>
      <c r="D8" s="156" t="s">
        <v>319</v>
      </c>
      <c r="E8" s="156" t="s">
        <v>320</v>
      </c>
    </row>
    <row r="9" spans="1:5">
      <c r="A9" s="156" t="s">
        <v>321</v>
      </c>
      <c r="B9" s="156" t="s">
        <v>322</v>
      </c>
      <c r="C9" s="156" t="s">
        <v>323</v>
      </c>
      <c r="D9" s="156" t="s">
        <v>324</v>
      </c>
      <c r="E9" s="156" t="s">
        <v>325</v>
      </c>
    </row>
    <row r="10" spans="1:5">
      <c r="A10" s="156" t="s">
        <v>326</v>
      </c>
      <c r="B10" s="156" t="s">
        <v>327</v>
      </c>
      <c r="C10" s="156" t="s">
        <v>328</v>
      </c>
      <c r="D10" s="156" t="s">
        <v>329</v>
      </c>
      <c r="E10" s="156" t="s">
        <v>330</v>
      </c>
    </row>
    <row r="11" spans="1:5">
      <c r="A11" s="156" t="s">
        <v>331</v>
      </c>
      <c r="B11" s="156" t="s">
        <v>332</v>
      </c>
      <c r="C11" s="156" t="s">
        <v>333</v>
      </c>
      <c r="D11" s="156" t="s">
        <v>334</v>
      </c>
      <c r="E11" s="156" t="s">
        <v>335</v>
      </c>
    </row>
    <row r="12" spans="1:5">
      <c r="A12" s="156" t="s">
        <v>336</v>
      </c>
      <c r="B12" s="156" t="s">
        <v>337</v>
      </c>
      <c r="C12" s="156" t="s">
        <v>338</v>
      </c>
      <c r="D12" s="156" t="s">
        <v>339</v>
      </c>
      <c r="E12" s="156" t="s">
        <v>340</v>
      </c>
    </row>
    <row r="13" spans="1:5">
      <c r="A13" s="156" t="s">
        <v>341</v>
      </c>
      <c r="B13" s="156" t="s">
        <v>342</v>
      </c>
      <c r="C13" s="156" t="s">
        <v>343</v>
      </c>
      <c r="D13" s="156" t="s">
        <v>344</v>
      </c>
      <c r="E13" s="156" t="s">
        <v>345</v>
      </c>
    </row>
    <row r="14" spans="1:5">
      <c r="A14" s="156" t="s">
        <v>346</v>
      </c>
      <c r="B14" s="156" t="s">
        <v>347</v>
      </c>
      <c r="C14" s="156" t="s">
        <v>348</v>
      </c>
      <c r="D14" s="156" t="s">
        <v>349</v>
      </c>
      <c r="E14" s="156" t="s">
        <v>350</v>
      </c>
    </row>
    <row r="15" spans="1:5">
      <c r="A15" s="156" t="s">
        <v>351</v>
      </c>
      <c r="B15" s="156" t="s">
        <v>352</v>
      </c>
      <c r="C15" s="156" t="s">
        <v>353</v>
      </c>
      <c r="D15" s="156" t="s">
        <v>354</v>
      </c>
      <c r="E15" s="156" t="s">
        <v>355</v>
      </c>
    </row>
    <row r="16" spans="1:5">
      <c r="A16" s="156" t="s">
        <v>356</v>
      </c>
      <c r="B16" s="156" t="s">
        <v>357</v>
      </c>
      <c r="C16" s="156" t="s">
        <v>358</v>
      </c>
      <c r="D16" s="156" t="s">
        <v>359</v>
      </c>
      <c r="E16" s="156" t="s">
        <v>360</v>
      </c>
    </row>
    <row r="17" spans="1:5">
      <c r="A17" s="156" t="s">
        <v>361</v>
      </c>
      <c r="B17" s="156" t="s">
        <v>362</v>
      </c>
      <c r="C17" s="156" t="s">
        <v>363</v>
      </c>
      <c r="D17" s="156" t="s">
        <v>364</v>
      </c>
      <c r="E17" s="156" t="s">
        <v>365</v>
      </c>
    </row>
    <row r="18" spans="1:5">
      <c r="A18" s="156" t="s">
        <v>366</v>
      </c>
      <c r="B18" s="156" t="s">
        <v>367</v>
      </c>
      <c r="C18" s="156" t="s">
        <v>368</v>
      </c>
      <c r="D18" s="156" t="s">
        <v>369</v>
      </c>
      <c r="E18" s="156" t="s">
        <v>370</v>
      </c>
    </row>
    <row r="19" spans="1:5">
      <c r="A19" s="156" t="s">
        <v>371</v>
      </c>
      <c r="B19" s="156" t="s">
        <v>372</v>
      </c>
      <c r="C19" s="156" t="s">
        <v>373</v>
      </c>
      <c r="D19" s="156" t="s">
        <v>374</v>
      </c>
      <c r="E19" s="156" t="s">
        <v>375</v>
      </c>
    </row>
    <row r="20" spans="1:5">
      <c r="A20" s="156" t="s">
        <v>376</v>
      </c>
      <c r="B20" s="156" t="s">
        <v>377</v>
      </c>
      <c r="C20" s="156" t="s">
        <v>378</v>
      </c>
      <c r="D20" s="156" t="s">
        <v>379</v>
      </c>
      <c r="E20" s="156" t="s">
        <v>380</v>
      </c>
    </row>
    <row r="21" spans="1:5">
      <c r="A21" s="156" t="s">
        <v>381</v>
      </c>
      <c r="B21" s="156" t="s">
        <v>382</v>
      </c>
      <c r="C21" s="156" t="s">
        <v>383</v>
      </c>
      <c r="D21" s="156" t="s">
        <v>384</v>
      </c>
      <c r="E21" s="156" t="s">
        <v>385</v>
      </c>
    </row>
    <row r="22" spans="1:5">
      <c r="A22" s="156" t="s">
        <v>386</v>
      </c>
      <c r="B22" s="156" t="s">
        <v>387</v>
      </c>
      <c r="D22" s="156" t="s">
        <v>388</v>
      </c>
      <c r="E22" s="156" t="s">
        <v>389</v>
      </c>
    </row>
    <row r="23" spans="1:5">
      <c r="A23" s="156" t="s">
        <v>390</v>
      </c>
      <c r="B23" s="156" t="s">
        <v>391</v>
      </c>
      <c r="D23" s="156" t="s">
        <v>392</v>
      </c>
      <c r="E23" s="156" t="s">
        <v>393</v>
      </c>
    </row>
    <row r="24" spans="1:5">
      <c r="A24" s="156" t="s">
        <v>394</v>
      </c>
      <c r="B24" s="156" t="s">
        <v>395</v>
      </c>
      <c r="D24" s="156" t="s">
        <v>396</v>
      </c>
      <c r="E24" s="156" t="s">
        <v>397</v>
      </c>
    </row>
    <row r="25" spans="1:5">
      <c r="A25" s="156" t="s">
        <v>398</v>
      </c>
      <c r="B25" s="156" t="s">
        <v>399</v>
      </c>
      <c r="D25" s="156" t="s">
        <v>400</v>
      </c>
    </row>
    <row r="26" spans="1:5">
      <c r="A26" s="156" t="s">
        <v>401</v>
      </c>
      <c r="B26" s="156" t="s">
        <v>402</v>
      </c>
      <c r="D26" s="156" t="s">
        <v>403</v>
      </c>
    </row>
    <row r="27" spans="1:5">
      <c r="A27" s="156" t="s">
        <v>404</v>
      </c>
      <c r="B27" s="156" t="s">
        <v>405</v>
      </c>
      <c r="D27" s="156" t="s">
        <v>406</v>
      </c>
    </row>
    <row r="28" spans="1:5">
      <c r="A28" s="156" t="s">
        <v>407</v>
      </c>
      <c r="B28" s="156" t="s">
        <v>408</v>
      </c>
      <c r="D28" s="156" t="s">
        <v>409</v>
      </c>
    </row>
    <row r="29" spans="1:5">
      <c r="A29" s="156" t="s">
        <v>410</v>
      </c>
      <c r="B29" s="156" t="s">
        <v>411</v>
      </c>
      <c r="D29" s="156" t="s">
        <v>412</v>
      </c>
    </row>
    <row r="30" spans="1:5">
      <c r="A30" s="156" t="s">
        <v>413</v>
      </c>
      <c r="B30" s="156" t="s">
        <v>414</v>
      </c>
      <c r="D30" s="156" t="s">
        <v>415</v>
      </c>
    </row>
    <row r="31" spans="1:5">
      <c r="A31" s="156" t="s">
        <v>416</v>
      </c>
      <c r="B31" s="156" t="s">
        <v>417</v>
      </c>
      <c r="D31" s="156" t="s">
        <v>418</v>
      </c>
    </row>
    <row r="32" spans="1:5">
      <c r="A32" s="156" t="s">
        <v>419</v>
      </c>
      <c r="B32" s="156" t="s">
        <v>420</v>
      </c>
      <c r="D32" s="156" t="s">
        <v>421</v>
      </c>
    </row>
    <row r="33" spans="1:4">
      <c r="A33" s="156" t="s">
        <v>422</v>
      </c>
      <c r="B33" s="156" t="s">
        <v>423</v>
      </c>
      <c r="D33" s="156" t="s">
        <v>424</v>
      </c>
    </row>
    <row r="34" spans="1:4">
      <c r="A34" s="156" t="s">
        <v>425</v>
      </c>
      <c r="B34" s="156" t="s">
        <v>426</v>
      </c>
      <c r="D34" s="156" t="s">
        <v>427</v>
      </c>
    </row>
    <row r="35" spans="1:4">
      <c r="A35" s="156" t="s">
        <v>428</v>
      </c>
      <c r="B35" s="156" t="s">
        <v>429</v>
      </c>
      <c r="D35" s="156" t="s">
        <v>430</v>
      </c>
    </row>
    <row r="36" spans="1:4">
      <c r="A36" s="156" t="s">
        <v>431</v>
      </c>
      <c r="B36" s="156" t="s">
        <v>432</v>
      </c>
      <c r="D36" s="156" t="s">
        <v>433</v>
      </c>
    </row>
    <row r="37" spans="1:4">
      <c r="A37" s="156" t="s">
        <v>434</v>
      </c>
      <c r="B37" s="156" t="s">
        <v>435</v>
      </c>
      <c r="D37" s="156" t="s">
        <v>436</v>
      </c>
    </row>
    <row r="38" spans="1:4">
      <c r="A38" s="156" t="s">
        <v>437</v>
      </c>
      <c r="B38" s="156" t="s">
        <v>438</v>
      </c>
      <c r="D38" s="156" t="s">
        <v>439</v>
      </c>
    </row>
    <row r="39" spans="1:4">
      <c r="A39" s="156" t="s">
        <v>440</v>
      </c>
      <c r="B39" s="156" t="s">
        <v>441</v>
      </c>
      <c r="D39" s="156" t="s">
        <v>442</v>
      </c>
    </row>
    <row r="40" spans="1:4">
      <c r="A40" s="156" t="s">
        <v>443</v>
      </c>
      <c r="B40" s="156" t="s">
        <v>444</v>
      </c>
      <c r="D40" s="156" t="s">
        <v>445</v>
      </c>
    </row>
    <row r="41" spans="1:4">
      <c r="A41" s="156" t="s">
        <v>446</v>
      </c>
      <c r="B41" s="156" t="s">
        <v>447</v>
      </c>
      <c r="D41" s="156" t="s">
        <v>448</v>
      </c>
    </row>
    <row r="42" spans="1:4">
      <c r="A42" s="156" t="s">
        <v>449</v>
      </c>
      <c r="B42" s="156" t="s">
        <v>450</v>
      </c>
      <c r="D42" s="156" t="s">
        <v>451</v>
      </c>
    </row>
    <row r="43" spans="1:4">
      <c r="A43" s="156" t="s">
        <v>452</v>
      </c>
      <c r="B43" s="156" t="s">
        <v>453</v>
      </c>
      <c r="D43" s="156" t="s">
        <v>454</v>
      </c>
    </row>
    <row r="44" spans="1:4">
      <c r="A44" s="156" t="s">
        <v>455</v>
      </c>
      <c r="B44" s="156" t="s">
        <v>456</v>
      </c>
      <c r="D44" s="156" t="s">
        <v>457</v>
      </c>
    </row>
    <row r="45" spans="1:4">
      <c r="A45" s="156" t="s">
        <v>458</v>
      </c>
      <c r="B45" s="156" t="s">
        <v>459</v>
      </c>
      <c r="D45" s="156" t="s">
        <v>460</v>
      </c>
    </row>
    <row r="46" spans="1:4">
      <c r="A46" s="156" t="s">
        <v>461</v>
      </c>
      <c r="B46" s="156" t="s">
        <v>462</v>
      </c>
      <c r="D46" s="156" t="s">
        <v>463</v>
      </c>
    </row>
    <row r="47" spans="1:4">
      <c r="A47" s="156" t="s">
        <v>464</v>
      </c>
      <c r="B47" s="156" t="s">
        <v>465</v>
      </c>
      <c r="D47" s="156" t="s">
        <v>466</v>
      </c>
    </row>
    <row r="48" spans="1:4">
      <c r="A48" s="156" t="s">
        <v>467</v>
      </c>
      <c r="B48" s="156" t="s">
        <v>468</v>
      </c>
      <c r="D48" s="156" t="s">
        <v>469</v>
      </c>
    </row>
    <row r="49" spans="1:4">
      <c r="A49" s="156" t="s">
        <v>470</v>
      </c>
      <c r="B49" s="156" t="s">
        <v>471</v>
      </c>
      <c r="D49" s="156" t="s">
        <v>472</v>
      </c>
    </row>
    <row r="50" spans="1:4">
      <c r="A50" s="156" t="s">
        <v>473</v>
      </c>
      <c r="B50" s="156" t="s">
        <v>474</v>
      </c>
      <c r="D50" s="156" t="s">
        <v>475</v>
      </c>
    </row>
    <row r="51" spans="1:4">
      <c r="A51" s="156" t="s">
        <v>476</v>
      </c>
      <c r="B51" s="156" t="s">
        <v>477</v>
      </c>
      <c r="D51" s="156" t="s">
        <v>478</v>
      </c>
    </row>
    <row r="52" spans="1:4">
      <c r="A52" s="156" t="s">
        <v>479</v>
      </c>
      <c r="B52" s="156" t="s">
        <v>480</v>
      </c>
      <c r="D52" s="156" t="s">
        <v>481</v>
      </c>
    </row>
    <row r="53" spans="1:4">
      <c r="A53" s="156" t="s">
        <v>482</v>
      </c>
      <c r="B53" s="156" t="s">
        <v>483</v>
      </c>
      <c r="D53" s="156" t="s">
        <v>484</v>
      </c>
    </row>
    <row r="54" spans="1:4">
      <c r="A54" s="156" t="s">
        <v>485</v>
      </c>
      <c r="B54" s="156" t="s">
        <v>486</v>
      </c>
      <c r="D54" s="156" t="s">
        <v>487</v>
      </c>
    </row>
    <row r="55" spans="1:4">
      <c r="A55" s="156" t="s">
        <v>488</v>
      </c>
      <c r="B55" s="156" t="s">
        <v>489</v>
      </c>
      <c r="D55" s="156" t="s">
        <v>490</v>
      </c>
    </row>
    <row r="56" spans="1:4">
      <c r="A56" s="156" t="s">
        <v>491</v>
      </c>
      <c r="B56" s="156" t="s">
        <v>492</v>
      </c>
      <c r="D56" s="156" t="s">
        <v>493</v>
      </c>
    </row>
    <row r="57" spans="1:4">
      <c r="A57" s="156" t="s">
        <v>494</v>
      </c>
      <c r="B57" s="156" t="s">
        <v>495</v>
      </c>
      <c r="D57" s="156" t="s">
        <v>496</v>
      </c>
    </row>
    <row r="58" spans="1:4">
      <c r="A58" s="156" t="s">
        <v>497</v>
      </c>
      <c r="B58" s="156" t="s">
        <v>498</v>
      </c>
      <c r="D58" s="156" t="s">
        <v>499</v>
      </c>
    </row>
    <row r="59" spans="1:4">
      <c r="A59" s="156" t="s">
        <v>500</v>
      </c>
      <c r="B59" s="156" t="s">
        <v>501</v>
      </c>
      <c r="D59" s="156" t="s">
        <v>502</v>
      </c>
    </row>
    <row r="60" spans="1:4">
      <c r="A60" s="156" t="s">
        <v>503</v>
      </c>
      <c r="B60" s="156" t="s">
        <v>504</v>
      </c>
      <c r="D60" s="156" t="s">
        <v>505</v>
      </c>
    </row>
    <row r="61" spans="1:4">
      <c r="A61" s="156" t="s">
        <v>506</v>
      </c>
      <c r="B61" s="156" t="s">
        <v>507</v>
      </c>
      <c r="D61" s="156" t="s">
        <v>508</v>
      </c>
    </row>
    <row r="62" spans="1:4">
      <c r="A62" s="156" t="s">
        <v>509</v>
      </c>
      <c r="B62" s="156" t="s">
        <v>510</v>
      </c>
      <c r="D62" s="156" t="s">
        <v>511</v>
      </c>
    </row>
    <row r="63" spans="1:4">
      <c r="A63" s="156" t="s">
        <v>512</v>
      </c>
      <c r="B63" s="156" t="s">
        <v>513</v>
      </c>
      <c r="D63" s="156" t="s">
        <v>514</v>
      </c>
    </row>
    <row r="64" spans="1:4">
      <c r="A64" s="156" t="s">
        <v>515</v>
      </c>
      <c r="B64" s="156" t="s">
        <v>516</v>
      </c>
      <c r="D64" s="156" t="s">
        <v>517</v>
      </c>
    </row>
    <row r="65" spans="1:4">
      <c r="A65" s="156" t="s">
        <v>518</v>
      </c>
      <c r="B65" s="156" t="s">
        <v>519</v>
      </c>
      <c r="D65" s="156" t="s">
        <v>520</v>
      </c>
    </row>
    <row r="66" spans="1:4">
      <c r="A66" s="156" t="s">
        <v>521</v>
      </c>
      <c r="B66" s="156" t="s">
        <v>522</v>
      </c>
      <c r="D66" s="156" t="s">
        <v>523</v>
      </c>
    </row>
    <row r="67" spans="1:4">
      <c r="A67" s="156" t="s">
        <v>524</v>
      </c>
      <c r="B67" s="156" t="s">
        <v>525</v>
      </c>
      <c r="D67" s="156" t="s">
        <v>526</v>
      </c>
    </row>
    <row r="68" spans="1:4">
      <c r="A68" s="156" t="s">
        <v>527</v>
      </c>
      <c r="B68" s="156" t="s">
        <v>528</v>
      </c>
      <c r="D68" s="156" t="s">
        <v>529</v>
      </c>
    </row>
    <row r="69" spans="1:4">
      <c r="A69" s="156" t="s">
        <v>530</v>
      </c>
      <c r="B69" s="156" t="s">
        <v>531</v>
      </c>
      <c r="D69" s="156" t="s">
        <v>532</v>
      </c>
    </row>
    <row r="70" spans="1:4">
      <c r="A70" s="156" t="s">
        <v>533</v>
      </c>
      <c r="B70" s="156" t="s">
        <v>534</v>
      </c>
      <c r="D70" s="156" t="s">
        <v>535</v>
      </c>
    </row>
    <row r="71" spans="1:4">
      <c r="A71" s="156" t="s">
        <v>536</v>
      </c>
      <c r="B71" s="156" t="s">
        <v>537</v>
      </c>
      <c r="D71" s="156" t="s">
        <v>538</v>
      </c>
    </row>
    <row r="72" spans="1:4">
      <c r="A72" s="156" t="s">
        <v>539</v>
      </c>
      <c r="B72" s="156" t="s">
        <v>540</v>
      </c>
      <c r="D72" s="156" t="s">
        <v>541</v>
      </c>
    </row>
    <row r="73" spans="1:4">
      <c r="A73" s="156" t="s">
        <v>542</v>
      </c>
      <c r="B73" s="156" t="s">
        <v>543</v>
      </c>
      <c r="D73" s="156" t="s">
        <v>544</v>
      </c>
    </row>
    <row r="74" spans="1:4">
      <c r="A74" s="156" t="s">
        <v>545</v>
      </c>
      <c r="B74" s="156" t="s">
        <v>546</v>
      </c>
      <c r="D74" s="156" t="s">
        <v>547</v>
      </c>
    </row>
    <row r="75" spans="1:4">
      <c r="A75" s="156" t="s">
        <v>548</v>
      </c>
      <c r="B75" s="156" t="s">
        <v>549</v>
      </c>
      <c r="D75" s="156" t="s">
        <v>550</v>
      </c>
    </row>
    <row r="76" spans="1:4">
      <c r="A76" s="156" t="s">
        <v>259</v>
      </c>
      <c r="B76" s="156" t="s">
        <v>551</v>
      </c>
      <c r="D76" s="156" t="s">
        <v>552</v>
      </c>
    </row>
    <row r="77" spans="1:4">
      <c r="A77" s="156" t="s">
        <v>553</v>
      </c>
      <c r="B77" s="156" t="s">
        <v>554</v>
      </c>
      <c r="D77" s="156" t="s">
        <v>555</v>
      </c>
    </row>
    <row r="78" spans="1:4">
      <c r="A78" s="156" t="s">
        <v>556</v>
      </c>
      <c r="B78" s="156" t="s">
        <v>557</v>
      </c>
      <c r="D78" s="156" t="s">
        <v>558</v>
      </c>
    </row>
    <row r="79" spans="1:4">
      <c r="A79" s="156" t="s">
        <v>559</v>
      </c>
      <c r="B79" s="156" t="s">
        <v>560</v>
      </c>
      <c r="D79" s="156" t="s">
        <v>561</v>
      </c>
    </row>
    <row r="80" spans="1:4">
      <c r="A80" s="156" t="s">
        <v>562</v>
      </c>
      <c r="B80" s="156" t="s">
        <v>563</v>
      </c>
      <c r="D80" s="156" t="s">
        <v>564</v>
      </c>
    </row>
    <row r="81" spans="1:4">
      <c r="A81" s="156" t="s">
        <v>565</v>
      </c>
      <c r="B81" s="156" t="s">
        <v>566</v>
      </c>
      <c r="D81" s="156" t="s">
        <v>567</v>
      </c>
    </row>
    <row r="82" spans="1:4">
      <c r="A82" s="156" t="s">
        <v>568</v>
      </c>
      <c r="B82" s="156" t="s">
        <v>569</v>
      </c>
      <c r="D82" s="156" t="s">
        <v>570</v>
      </c>
    </row>
    <row r="83" spans="1:4">
      <c r="A83" s="156" t="s">
        <v>571</v>
      </c>
      <c r="B83" s="156" t="s">
        <v>572</v>
      </c>
      <c r="D83" s="156" t="s">
        <v>573</v>
      </c>
    </row>
    <row r="84" spans="1:4">
      <c r="A84" s="156" t="s">
        <v>574</v>
      </c>
      <c r="B84" s="156" t="s">
        <v>575</v>
      </c>
      <c r="D84" s="156" t="s">
        <v>576</v>
      </c>
    </row>
    <row r="85" spans="1:4">
      <c r="A85" s="156" t="s">
        <v>577</v>
      </c>
      <c r="B85" s="156" t="s">
        <v>578</v>
      </c>
      <c r="D85" s="156" t="s">
        <v>579</v>
      </c>
    </row>
    <row r="86" spans="1:4">
      <c r="A86" s="156" t="s">
        <v>580</v>
      </c>
      <c r="B86" s="156" t="s">
        <v>581</v>
      </c>
      <c r="D86" s="156" t="s">
        <v>582</v>
      </c>
    </row>
    <row r="87" spans="1:4">
      <c r="A87" s="156" t="s">
        <v>583</v>
      </c>
      <c r="B87" s="156" t="s">
        <v>584</v>
      </c>
      <c r="D87" s="156" t="s">
        <v>585</v>
      </c>
    </row>
    <row r="88" spans="1:4">
      <c r="A88" s="156" t="s">
        <v>586</v>
      </c>
      <c r="B88" s="156" t="s">
        <v>587</v>
      </c>
      <c r="D88" s="156" t="s">
        <v>588</v>
      </c>
    </row>
    <row r="89" spans="1:4">
      <c r="A89" s="156" t="s">
        <v>589</v>
      </c>
      <c r="B89" s="156" t="s">
        <v>590</v>
      </c>
      <c r="D89" s="156" t="s">
        <v>591</v>
      </c>
    </row>
    <row r="90" spans="1:4">
      <c r="A90" s="156" t="s">
        <v>592</v>
      </c>
      <c r="B90" s="156" t="s">
        <v>593</v>
      </c>
      <c r="D90" s="156" t="s">
        <v>594</v>
      </c>
    </row>
    <row r="91" spans="1:4">
      <c r="A91" s="156" t="s">
        <v>595</v>
      </c>
      <c r="B91" s="156" t="s">
        <v>596</v>
      </c>
      <c r="D91" s="156" t="s">
        <v>597</v>
      </c>
    </row>
    <row r="92" spans="1:4">
      <c r="A92" s="156" t="s">
        <v>598</v>
      </c>
      <c r="B92" s="156" t="s">
        <v>599</v>
      </c>
      <c r="D92" s="156" t="s">
        <v>600</v>
      </c>
    </row>
    <row r="93" spans="1:4">
      <c r="A93" s="156" t="s">
        <v>601</v>
      </c>
      <c r="B93" s="156" t="s">
        <v>602</v>
      </c>
      <c r="D93" s="156" t="s">
        <v>603</v>
      </c>
    </row>
    <row r="94" spans="1:4">
      <c r="A94" s="156" t="s">
        <v>604</v>
      </c>
      <c r="B94" s="156" t="s">
        <v>605</v>
      </c>
      <c r="D94" s="156" t="s">
        <v>606</v>
      </c>
    </row>
    <row r="95" spans="1:4">
      <c r="A95" s="156" t="s">
        <v>607</v>
      </c>
      <c r="B95" s="156" t="s">
        <v>608</v>
      </c>
      <c r="D95" s="156" t="s">
        <v>119</v>
      </c>
    </row>
    <row r="96" spans="1:4">
      <c r="A96" s="156" t="s">
        <v>609</v>
      </c>
      <c r="B96" s="156" t="s">
        <v>610</v>
      </c>
      <c r="D96" s="156" t="s">
        <v>611</v>
      </c>
    </row>
    <row r="97" spans="1:4">
      <c r="A97" s="156" t="s">
        <v>612</v>
      </c>
      <c r="B97" s="156" t="s">
        <v>613</v>
      </c>
      <c r="D97" s="156" t="s">
        <v>614</v>
      </c>
    </row>
    <row r="98" spans="1:4">
      <c r="A98" s="156" t="s">
        <v>615</v>
      </c>
      <c r="B98" s="156" t="s">
        <v>616</v>
      </c>
      <c r="D98" s="156" t="s">
        <v>617</v>
      </c>
    </row>
    <row r="99" spans="1:4">
      <c r="A99" s="156" t="s">
        <v>618</v>
      </c>
      <c r="B99" s="156" t="s">
        <v>619</v>
      </c>
      <c r="D99" s="156" t="s">
        <v>620</v>
      </c>
    </row>
    <row r="100" spans="1:4">
      <c r="A100" s="156" t="s">
        <v>621</v>
      </c>
      <c r="B100" s="156" t="s">
        <v>622</v>
      </c>
      <c r="D100" s="156" t="s">
        <v>623</v>
      </c>
    </row>
    <row r="101" spans="1:4">
      <c r="A101" s="156" t="s">
        <v>624</v>
      </c>
      <c r="B101" s="156" t="s">
        <v>625</v>
      </c>
      <c r="D101" s="156" t="s">
        <v>626</v>
      </c>
    </row>
    <row r="102" spans="1:4">
      <c r="A102" s="156" t="s">
        <v>627</v>
      </c>
      <c r="B102" s="156" t="s">
        <v>628</v>
      </c>
      <c r="D102" s="156" t="s">
        <v>629</v>
      </c>
    </row>
    <row r="103" spans="1:4">
      <c r="A103" s="156" t="s">
        <v>630</v>
      </c>
      <c r="B103" s="156" t="s">
        <v>631</v>
      </c>
      <c r="D103" s="156" t="s">
        <v>632</v>
      </c>
    </row>
    <row r="104" spans="1:4">
      <c r="A104" s="156" t="s">
        <v>633</v>
      </c>
      <c r="B104" s="156" t="s">
        <v>634</v>
      </c>
      <c r="D104" s="156" t="s">
        <v>635</v>
      </c>
    </row>
    <row r="105" spans="1:4">
      <c r="A105" s="156" t="s">
        <v>636</v>
      </c>
      <c r="B105" s="156" t="s">
        <v>637</v>
      </c>
      <c r="D105" s="156" t="s">
        <v>638</v>
      </c>
    </row>
    <row r="106" spans="1:4">
      <c r="A106" s="156" t="s">
        <v>639</v>
      </c>
      <c r="B106" s="156" t="s">
        <v>640</v>
      </c>
      <c r="D106" s="156" t="s">
        <v>641</v>
      </c>
    </row>
    <row r="107" spans="1:4">
      <c r="A107" s="156" t="s">
        <v>642</v>
      </c>
      <c r="B107" s="156" t="s">
        <v>643</v>
      </c>
      <c r="D107" s="156" t="s">
        <v>644</v>
      </c>
    </row>
    <row r="108" spans="1:4">
      <c r="A108" s="156" t="s">
        <v>645</v>
      </c>
      <c r="B108" s="156" t="s">
        <v>646</v>
      </c>
      <c r="D108" s="156" t="s">
        <v>647</v>
      </c>
    </row>
    <row r="109" spans="1:4">
      <c r="A109" s="156" t="s">
        <v>648</v>
      </c>
      <c r="B109" s="156" t="s">
        <v>649</v>
      </c>
      <c r="D109" s="156" t="s">
        <v>650</v>
      </c>
    </row>
    <row r="110" spans="1:4">
      <c r="A110" s="156" t="s">
        <v>651</v>
      </c>
      <c r="B110" s="156" t="s">
        <v>652</v>
      </c>
      <c r="D110" s="156" t="s">
        <v>653</v>
      </c>
    </row>
    <row r="111" spans="1:4">
      <c r="A111" s="156" t="s">
        <v>654</v>
      </c>
      <c r="B111" s="156" t="s">
        <v>655</v>
      </c>
      <c r="D111" s="156" t="s">
        <v>656</v>
      </c>
    </row>
    <row r="112" spans="1:4">
      <c r="A112" s="156" t="s">
        <v>657</v>
      </c>
      <c r="B112" s="156" t="s">
        <v>658</v>
      </c>
      <c r="D112" s="156" t="s">
        <v>659</v>
      </c>
    </row>
    <row r="113" spans="1:4">
      <c r="A113" s="156" t="s">
        <v>660</v>
      </c>
      <c r="B113" s="156" t="s">
        <v>661</v>
      </c>
      <c r="D113" s="156" t="s">
        <v>662</v>
      </c>
    </row>
    <row r="114" spans="1:4">
      <c r="A114" s="156" t="s">
        <v>663</v>
      </c>
      <c r="B114" s="156" t="s">
        <v>664</v>
      </c>
      <c r="D114" s="156" t="s">
        <v>665</v>
      </c>
    </row>
    <row r="115" spans="1:4">
      <c r="A115" s="156" t="s">
        <v>666</v>
      </c>
      <c r="B115" s="156" t="s">
        <v>667</v>
      </c>
      <c r="D115" s="156" t="s">
        <v>668</v>
      </c>
    </row>
    <row r="116" spans="1:4">
      <c r="A116" s="156" t="s">
        <v>669</v>
      </c>
      <c r="B116" s="156" t="s">
        <v>670</v>
      </c>
      <c r="D116" s="156" t="s">
        <v>671</v>
      </c>
    </row>
    <row r="117" spans="1:4">
      <c r="A117" s="156" t="s">
        <v>672</v>
      </c>
      <c r="B117" s="156" t="s">
        <v>673</v>
      </c>
      <c r="D117" s="156" t="s">
        <v>674</v>
      </c>
    </row>
    <row r="118" spans="1:4">
      <c r="A118" s="156" t="s">
        <v>675</v>
      </c>
      <c r="B118" s="156" t="s">
        <v>676</v>
      </c>
      <c r="D118" s="156" t="s">
        <v>677</v>
      </c>
    </row>
    <row r="119" spans="1:4">
      <c r="A119" s="156" t="s">
        <v>678</v>
      </c>
      <c r="B119" s="156" t="s">
        <v>679</v>
      </c>
      <c r="D119" s="156" t="s">
        <v>680</v>
      </c>
    </row>
    <row r="120" spans="1:4">
      <c r="A120" s="156" t="s">
        <v>681</v>
      </c>
      <c r="B120" s="156" t="s">
        <v>682</v>
      </c>
      <c r="D120" s="156" t="s">
        <v>683</v>
      </c>
    </row>
    <row r="121" spans="1:4">
      <c r="A121" s="156" t="s">
        <v>684</v>
      </c>
      <c r="B121" s="156" t="s">
        <v>685</v>
      </c>
      <c r="D121" s="156" t="s">
        <v>686</v>
      </c>
    </row>
    <row r="122" spans="1:4">
      <c r="A122" s="156" t="s">
        <v>687</v>
      </c>
      <c r="B122" s="156" t="s">
        <v>688</v>
      </c>
      <c r="D122" s="156" t="s">
        <v>689</v>
      </c>
    </row>
    <row r="123" spans="1:4">
      <c r="A123" s="156" t="s">
        <v>690</v>
      </c>
      <c r="B123" s="156" t="s">
        <v>691</v>
      </c>
      <c r="D123" s="156" t="s">
        <v>692</v>
      </c>
    </row>
    <row r="124" spans="1:4">
      <c r="A124" s="156" t="s">
        <v>693</v>
      </c>
      <c r="B124" s="156" t="s">
        <v>694</v>
      </c>
      <c r="D124" s="156" t="s">
        <v>695</v>
      </c>
    </row>
    <row r="125" spans="1:4">
      <c r="A125" s="156" t="s">
        <v>696</v>
      </c>
      <c r="B125" s="156" t="s">
        <v>697</v>
      </c>
      <c r="D125" s="156" t="s">
        <v>698</v>
      </c>
    </row>
    <row r="126" spans="1:4">
      <c r="A126" s="156" t="s">
        <v>699</v>
      </c>
      <c r="B126" s="156" t="s">
        <v>700</v>
      </c>
      <c r="D126" s="156" t="s">
        <v>701</v>
      </c>
    </row>
    <row r="127" spans="1:4">
      <c r="A127" s="156" t="s">
        <v>702</v>
      </c>
      <c r="B127" s="156" t="s">
        <v>703</v>
      </c>
      <c r="D127" s="156" t="s">
        <v>704</v>
      </c>
    </row>
    <row r="128" spans="1:4">
      <c r="A128" s="156" t="s">
        <v>705</v>
      </c>
      <c r="B128" s="156" t="s">
        <v>706</v>
      </c>
      <c r="D128" s="156" t="s">
        <v>707</v>
      </c>
    </row>
    <row r="129" spans="1:4">
      <c r="A129" s="156" t="s">
        <v>708</v>
      </c>
      <c r="B129" s="156" t="s">
        <v>709</v>
      </c>
      <c r="D129" s="156" t="s">
        <v>710</v>
      </c>
    </row>
    <row r="130" spans="1:4">
      <c r="A130" s="156" t="s">
        <v>711</v>
      </c>
      <c r="B130" s="156" t="s">
        <v>712</v>
      </c>
      <c r="D130" s="156" t="s">
        <v>713</v>
      </c>
    </row>
    <row r="131" spans="1:4">
      <c r="A131" s="156" t="s">
        <v>714</v>
      </c>
      <c r="B131" s="156" t="s">
        <v>715</v>
      </c>
      <c r="D131" s="156" t="s">
        <v>716</v>
      </c>
    </row>
    <row r="132" spans="1:4">
      <c r="A132" s="156" t="s">
        <v>717</v>
      </c>
      <c r="B132" s="156" t="s">
        <v>718</v>
      </c>
      <c r="D132" s="156" t="s">
        <v>719</v>
      </c>
    </row>
    <row r="133" spans="1:4">
      <c r="A133" s="156" t="s">
        <v>720</v>
      </c>
      <c r="B133" s="156" t="s">
        <v>721</v>
      </c>
      <c r="D133" s="156" t="s">
        <v>722</v>
      </c>
    </row>
    <row r="134" spans="1:4">
      <c r="A134" s="156" t="s">
        <v>723</v>
      </c>
      <c r="B134" s="156" t="s">
        <v>724</v>
      </c>
      <c r="D134" s="156" t="s">
        <v>725</v>
      </c>
    </row>
    <row r="135" spans="1:4">
      <c r="A135" s="156" t="s">
        <v>726</v>
      </c>
      <c r="B135" s="156" t="s">
        <v>727</v>
      </c>
      <c r="D135" s="156" t="s">
        <v>728</v>
      </c>
    </row>
    <row r="136" spans="1:4">
      <c r="A136" s="156" t="s">
        <v>729</v>
      </c>
      <c r="B136" s="156" t="s">
        <v>730</v>
      </c>
      <c r="D136" s="156" t="s">
        <v>731</v>
      </c>
    </row>
    <row r="137" spans="1:4">
      <c r="A137" s="156" t="s">
        <v>732</v>
      </c>
      <c r="B137" s="156" t="s">
        <v>733</v>
      </c>
      <c r="D137" s="156" t="s">
        <v>734</v>
      </c>
    </row>
    <row r="138" spans="1:4">
      <c r="A138" s="156" t="s">
        <v>735</v>
      </c>
      <c r="B138" s="156" t="s">
        <v>736</v>
      </c>
      <c r="D138" s="156" t="s">
        <v>737</v>
      </c>
    </row>
    <row r="139" spans="1:4">
      <c r="A139" s="156" t="s">
        <v>738</v>
      </c>
      <c r="B139" s="156" t="s">
        <v>739</v>
      </c>
      <c r="D139" s="156" t="s">
        <v>740</v>
      </c>
    </row>
    <row r="140" spans="1:4">
      <c r="A140" s="156" t="s">
        <v>741</v>
      </c>
      <c r="B140" s="156" t="s">
        <v>742</v>
      </c>
      <c r="D140" s="156" t="s">
        <v>743</v>
      </c>
    </row>
    <row r="141" spans="1:4">
      <c r="A141" s="156" t="s">
        <v>744</v>
      </c>
      <c r="B141" s="156" t="s">
        <v>745</v>
      </c>
      <c r="D141" s="156" t="s">
        <v>746</v>
      </c>
    </row>
    <row r="142" spans="1:4">
      <c r="A142" s="156" t="s">
        <v>747</v>
      </c>
      <c r="B142" s="156" t="s">
        <v>748</v>
      </c>
      <c r="D142" s="156" t="s">
        <v>749</v>
      </c>
    </row>
    <row r="143" spans="1:4">
      <c r="A143" s="156" t="s">
        <v>750</v>
      </c>
      <c r="B143" s="156" t="s">
        <v>751</v>
      </c>
      <c r="D143" s="156" t="s">
        <v>752</v>
      </c>
    </row>
    <row r="144" spans="1:4">
      <c r="A144" s="156" t="s">
        <v>753</v>
      </c>
      <c r="B144" s="156" t="s">
        <v>754</v>
      </c>
      <c r="D144" s="156" t="s">
        <v>755</v>
      </c>
    </row>
    <row r="145" spans="1:4">
      <c r="A145" s="156" t="s">
        <v>756</v>
      </c>
      <c r="B145" s="156" t="s">
        <v>757</v>
      </c>
      <c r="D145" s="156" t="s">
        <v>758</v>
      </c>
    </row>
    <row r="146" spans="1:4">
      <c r="A146" s="156" t="s">
        <v>759</v>
      </c>
      <c r="B146" s="156" t="s">
        <v>760</v>
      </c>
      <c r="D146" s="156" t="s">
        <v>761</v>
      </c>
    </row>
    <row r="147" spans="1:4">
      <c r="A147" s="156" t="s">
        <v>762</v>
      </c>
      <c r="B147" s="156" t="s">
        <v>763</v>
      </c>
      <c r="D147" s="156" t="s">
        <v>764</v>
      </c>
    </row>
    <row r="148" spans="1:4">
      <c r="A148" s="156" t="s">
        <v>765</v>
      </c>
      <c r="B148" s="156" t="s">
        <v>766</v>
      </c>
      <c r="D148" s="156" t="s">
        <v>767</v>
      </c>
    </row>
    <row r="149" spans="1:4">
      <c r="A149" s="156" t="s">
        <v>768</v>
      </c>
      <c r="B149" s="156" t="s">
        <v>769</v>
      </c>
      <c r="D149" s="156" t="s">
        <v>770</v>
      </c>
    </row>
    <row r="150" spans="1:4">
      <c r="A150" s="156" t="s">
        <v>771</v>
      </c>
      <c r="B150" s="156" t="s">
        <v>772</v>
      </c>
      <c r="D150" s="156" t="s">
        <v>773</v>
      </c>
    </row>
    <row r="151" spans="1:4">
      <c r="A151" s="156" t="s">
        <v>774</v>
      </c>
      <c r="B151" s="156" t="s">
        <v>775</v>
      </c>
      <c r="D151" s="156" t="s">
        <v>776</v>
      </c>
    </row>
    <row r="152" spans="1:4">
      <c r="A152" s="156" t="s">
        <v>777</v>
      </c>
      <c r="B152" s="156" t="s">
        <v>778</v>
      </c>
      <c r="D152" s="156" t="s">
        <v>779</v>
      </c>
    </row>
    <row r="153" spans="1:4">
      <c r="A153" s="156" t="s">
        <v>780</v>
      </c>
      <c r="B153" s="156" t="s">
        <v>781</v>
      </c>
      <c r="D153" s="156" t="s">
        <v>782</v>
      </c>
    </row>
    <row r="154" spans="1:4">
      <c r="A154" s="156" t="s">
        <v>783</v>
      </c>
      <c r="B154" s="156" t="s">
        <v>784</v>
      </c>
      <c r="D154" s="156" t="s">
        <v>785</v>
      </c>
    </row>
    <row r="155" spans="1:4">
      <c r="A155" s="156" t="s">
        <v>786</v>
      </c>
      <c r="B155" s="156" t="s">
        <v>787</v>
      </c>
      <c r="D155" s="156" t="s">
        <v>788</v>
      </c>
    </row>
    <row r="156" spans="1:4">
      <c r="A156" s="156" t="s">
        <v>789</v>
      </c>
      <c r="B156" s="156" t="s">
        <v>790</v>
      </c>
      <c r="D156" s="156" t="s">
        <v>791</v>
      </c>
    </row>
    <row r="157" spans="1:4">
      <c r="A157" s="156" t="s">
        <v>792</v>
      </c>
      <c r="B157" s="156" t="s">
        <v>793</v>
      </c>
      <c r="D157" s="156" t="s">
        <v>794</v>
      </c>
    </row>
    <row r="158" spans="1:4">
      <c r="A158" s="156" t="s">
        <v>795</v>
      </c>
      <c r="B158" s="156" t="s">
        <v>796</v>
      </c>
      <c r="D158" s="156" t="s">
        <v>797</v>
      </c>
    </row>
    <row r="159" spans="1:4">
      <c r="A159" s="156" t="s">
        <v>798</v>
      </c>
      <c r="B159" s="156" t="s">
        <v>799</v>
      </c>
      <c r="D159" s="156" t="s">
        <v>800</v>
      </c>
    </row>
    <row r="160" spans="1:4">
      <c r="A160" s="156" t="s">
        <v>801</v>
      </c>
      <c r="B160" s="156" t="s">
        <v>802</v>
      </c>
      <c r="D160" s="156" t="s">
        <v>803</v>
      </c>
    </row>
    <row r="161" spans="1:4">
      <c r="A161" s="156" t="s">
        <v>804</v>
      </c>
      <c r="B161" s="156" t="s">
        <v>805</v>
      </c>
      <c r="D161" s="156" t="s">
        <v>806</v>
      </c>
    </row>
    <row r="162" spans="1:4">
      <c r="A162" s="156" t="s">
        <v>807</v>
      </c>
      <c r="B162" s="156" t="s">
        <v>808</v>
      </c>
      <c r="D162" s="156" t="s">
        <v>809</v>
      </c>
    </row>
    <row r="163" spans="1:4">
      <c r="A163" s="156" t="s">
        <v>810</v>
      </c>
      <c r="B163" s="156" t="s">
        <v>811</v>
      </c>
      <c r="D163" s="156" t="s">
        <v>812</v>
      </c>
    </row>
    <row r="164" spans="1:4">
      <c r="A164" s="156" t="s">
        <v>813</v>
      </c>
      <c r="B164" s="156" t="s">
        <v>814</v>
      </c>
      <c r="D164" s="156" t="s">
        <v>815</v>
      </c>
    </row>
    <row r="165" spans="1:4">
      <c r="A165" s="156" t="s">
        <v>816</v>
      </c>
      <c r="B165" s="156" t="s">
        <v>817</v>
      </c>
      <c r="D165" s="156" t="s">
        <v>818</v>
      </c>
    </row>
    <row r="166" spans="1:4">
      <c r="A166" s="156" t="s">
        <v>819</v>
      </c>
      <c r="B166" s="156" t="s">
        <v>820</v>
      </c>
      <c r="D166" s="156" t="s">
        <v>821</v>
      </c>
    </row>
    <row r="167" spans="1:4">
      <c r="A167" s="156" t="s">
        <v>822</v>
      </c>
      <c r="B167" s="156" t="s">
        <v>823</v>
      </c>
      <c r="D167" s="156" t="s">
        <v>824</v>
      </c>
    </row>
    <row r="168" spans="1:4">
      <c r="A168" s="156" t="s">
        <v>825</v>
      </c>
      <c r="B168" s="156" t="s">
        <v>826</v>
      </c>
      <c r="D168" s="156" t="s">
        <v>827</v>
      </c>
    </row>
    <row r="169" spans="1:4">
      <c r="A169" s="156" t="s">
        <v>828</v>
      </c>
      <c r="B169" s="156" t="s">
        <v>829</v>
      </c>
      <c r="D169" s="156" t="s">
        <v>830</v>
      </c>
    </row>
    <row r="170" spans="1:4">
      <c r="A170" s="156" t="s">
        <v>831</v>
      </c>
      <c r="B170" s="156" t="s">
        <v>832</v>
      </c>
      <c r="D170" s="156" t="s">
        <v>833</v>
      </c>
    </row>
    <row r="171" spans="1:4">
      <c r="A171" s="156" t="s">
        <v>834</v>
      </c>
      <c r="B171" s="156" t="s">
        <v>835</v>
      </c>
      <c r="D171" s="156" t="s">
        <v>836</v>
      </c>
    </row>
    <row r="172" spans="1:4">
      <c r="A172" s="156" t="s">
        <v>837</v>
      </c>
      <c r="B172" s="156" t="s">
        <v>838</v>
      </c>
      <c r="D172" s="156" t="s">
        <v>839</v>
      </c>
    </row>
    <row r="173" spans="1:4">
      <c r="A173" s="156" t="s">
        <v>840</v>
      </c>
      <c r="B173" s="156" t="s">
        <v>841</v>
      </c>
      <c r="D173" s="156" t="s">
        <v>842</v>
      </c>
    </row>
    <row r="174" spans="1:4">
      <c r="A174" s="156" t="s">
        <v>843</v>
      </c>
      <c r="B174" s="156" t="s">
        <v>844</v>
      </c>
      <c r="D174" s="156" t="s">
        <v>845</v>
      </c>
    </row>
    <row r="175" spans="1:4">
      <c r="A175" s="156" t="s">
        <v>846</v>
      </c>
      <c r="B175" s="156" t="s">
        <v>847</v>
      </c>
      <c r="D175" s="156" t="s">
        <v>848</v>
      </c>
    </row>
    <row r="176" spans="1:4">
      <c r="A176" s="156" t="s">
        <v>849</v>
      </c>
      <c r="B176" s="156" t="s">
        <v>850</v>
      </c>
      <c r="D176" s="156" t="s">
        <v>851</v>
      </c>
    </row>
    <row r="177" spans="1:4">
      <c r="A177" s="156" t="s">
        <v>852</v>
      </c>
      <c r="B177" s="156" t="s">
        <v>853</v>
      </c>
      <c r="D177" s="156" t="s">
        <v>854</v>
      </c>
    </row>
    <row r="178" spans="1:4">
      <c r="A178" s="156" t="s">
        <v>855</v>
      </c>
      <c r="B178" s="156" t="s">
        <v>856</v>
      </c>
      <c r="D178" s="156" t="s">
        <v>857</v>
      </c>
    </row>
    <row r="179" spans="1:4">
      <c r="A179" s="156" t="s">
        <v>858</v>
      </c>
      <c r="B179" s="156" t="s">
        <v>859</v>
      </c>
      <c r="D179" s="156" t="s">
        <v>860</v>
      </c>
    </row>
    <row r="180" spans="1:4">
      <c r="A180" s="156" t="s">
        <v>861</v>
      </c>
      <c r="B180" s="156" t="s">
        <v>862</v>
      </c>
      <c r="D180" s="156" t="s">
        <v>863</v>
      </c>
    </row>
    <row r="181" spans="1:4">
      <c r="A181" s="156" t="s">
        <v>864</v>
      </c>
      <c r="B181" s="156" t="s">
        <v>865</v>
      </c>
      <c r="D181" s="156" t="s">
        <v>866</v>
      </c>
    </row>
    <row r="182" spans="1:4">
      <c r="A182" s="156" t="s">
        <v>867</v>
      </c>
      <c r="B182" s="156" t="s">
        <v>868</v>
      </c>
      <c r="D182" s="156" t="s">
        <v>869</v>
      </c>
    </row>
    <row r="183" spans="1:4">
      <c r="A183" s="156" t="s">
        <v>870</v>
      </c>
      <c r="B183" s="156" t="s">
        <v>871</v>
      </c>
      <c r="D183" s="156" t="s">
        <v>872</v>
      </c>
    </row>
    <row r="184" spans="1:4">
      <c r="A184" s="156" t="s">
        <v>873</v>
      </c>
      <c r="B184" s="156" t="s">
        <v>874</v>
      </c>
      <c r="D184" s="156" t="s">
        <v>875</v>
      </c>
    </row>
    <row r="185" spans="1:4">
      <c r="A185" s="156" t="s">
        <v>876</v>
      </c>
      <c r="B185" s="156" t="s">
        <v>877</v>
      </c>
      <c r="D185" s="156" t="s">
        <v>878</v>
      </c>
    </row>
    <row r="186" spans="1:4">
      <c r="A186" s="156" t="s">
        <v>879</v>
      </c>
      <c r="B186" s="156" t="s">
        <v>880</v>
      </c>
      <c r="D186" s="156" t="s">
        <v>881</v>
      </c>
    </row>
    <row r="187" spans="1:4">
      <c r="A187" s="156" t="s">
        <v>882</v>
      </c>
      <c r="B187" s="156" t="s">
        <v>883</v>
      </c>
      <c r="D187" s="156" t="s">
        <v>884</v>
      </c>
    </row>
    <row r="188" spans="1:4">
      <c r="A188" s="156" t="s">
        <v>885</v>
      </c>
      <c r="B188" s="156" t="s">
        <v>886</v>
      </c>
      <c r="D188" s="156" t="s">
        <v>887</v>
      </c>
    </row>
    <row r="189" spans="1:4">
      <c r="A189" s="156" t="s">
        <v>888</v>
      </c>
      <c r="B189" s="156" t="s">
        <v>889</v>
      </c>
      <c r="D189" s="156" t="s">
        <v>890</v>
      </c>
    </row>
    <row r="190" spans="1:4">
      <c r="A190" s="156" t="s">
        <v>891</v>
      </c>
      <c r="B190" s="156" t="s">
        <v>892</v>
      </c>
      <c r="D190" s="156" t="s">
        <v>893</v>
      </c>
    </row>
    <row r="191" spans="1:4">
      <c r="A191" s="156" t="s">
        <v>894</v>
      </c>
      <c r="B191" s="156" t="s">
        <v>895</v>
      </c>
      <c r="D191" s="156" t="s">
        <v>896</v>
      </c>
    </row>
    <row r="192" spans="1:4">
      <c r="A192" s="156" t="s">
        <v>897</v>
      </c>
      <c r="B192" s="156" t="s">
        <v>898</v>
      </c>
      <c r="D192" s="156" t="s">
        <v>899</v>
      </c>
    </row>
    <row r="193" spans="1:4">
      <c r="A193" s="156" t="s">
        <v>900</v>
      </c>
      <c r="B193" s="156" t="s">
        <v>901</v>
      </c>
      <c r="D193" s="156" t="s">
        <v>902</v>
      </c>
    </row>
    <row r="194" spans="1:4">
      <c r="A194" s="156" t="s">
        <v>903</v>
      </c>
      <c r="B194" s="156" t="s">
        <v>904</v>
      </c>
      <c r="D194" s="156" t="s">
        <v>905</v>
      </c>
    </row>
    <row r="195" spans="1:4">
      <c r="A195" s="156" t="s">
        <v>906</v>
      </c>
      <c r="B195" s="156" t="s">
        <v>907</v>
      </c>
      <c r="D195" s="156" t="s">
        <v>908</v>
      </c>
    </row>
    <row r="196" spans="1:4">
      <c r="A196" s="156" t="s">
        <v>909</v>
      </c>
      <c r="B196" s="156" t="s">
        <v>910</v>
      </c>
      <c r="D196" s="156" t="s">
        <v>911</v>
      </c>
    </row>
    <row r="197" spans="1:4">
      <c r="A197" s="156" t="s">
        <v>912</v>
      </c>
      <c r="B197" s="156" t="s">
        <v>913</v>
      </c>
      <c r="D197" s="156" t="s">
        <v>914</v>
      </c>
    </row>
    <row r="198" spans="1:4">
      <c r="A198" s="156" t="s">
        <v>915</v>
      </c>
      <c r="B198" s="156" t="s">
        <v>916</v>
      </c>
      <c r="D198" s="156" t="s">
        <v>917</v>
      </c>
    </row>
    <row r="199" spans="1:4">
      <c r="A199" s="156" t="s">
        <v>918</v>
      </c>
      <c r="B199" s="156" t="s">
        <v>919</v>
      </c>
      <c r="D199" s="156" t="s">
        <v>920</v>
      </c>
    </row>
    <row r="200" spans="1:4">
      <c r="A200" s="156" t="s">
        <v>921</v>
      </c>
      <c r="B200" s="156" t="s">
        <v>922</v>
      </c>
      <c r="D200" s="156" t="s">
        <v>923</v>
      </c>
    </row>
    <row r="201" spans="1:4">
      <c r="A201" s="156" t="s">
        <v>924</v>
      </c>
      <c r="B201" s="156" t="s">
        <v>925</v>
      </c>
      <c r="D201" s="156" t="s">
        <v>926</v>
      </c>
    </row>
    <row r="202" spans="1:4">
      <c r="A202" s="156" t="s">
        <v>927</v>
      </c>
      <c r="B202" s="156" t="s">
        <v>928</v>
      </c>
      <c r="D202" s="156" t="s">
        <v>929</v>
      </c>
    </row>
    <row r="203" spans="1:4">
      <c r="A203" s="156" t="s">
        <v>930</v>
      </c>
      <c r="B203" s="156" t="s">
        <v>931</v>
      </c>
      <c r="D203" s="156" t="s">
        <v>932</v>
      </c>
    </row>
    <row r="204" spans="1:4">
      <c r="A204" s="156" t="s">
        <v>933</v>
      </c>
      <c r="B204" s="156" t="s">
        <v>934</v>
      </c>
      <c r="D204" s="156" t="s">
        <v>935</v>
      </c>
    </row>
    <row r="205" spans="1:4">
      <c r="A205" s="156" t="s">
        <v>936</v>
      </c>
      <c r="B205" s="156" t="s">
        <v>937</v>
      </c>
      <c r="D205" s="156" t="s">
        <v>938</v>
      </c>
    </row>
    <row r="206" spans="1:4">
      <c r="A206" s="156" t="s">
        <v>939</v>
      </c>
      <c r="B206" s="156" t="s">
        <v>940</v>
      </c>
      <c r="D206" s="156" t="s">
        <v>941</v>
      </c>
    </row>
    <row r="207" spans="1:4">
      <c r="A207" s="156" t="s">
        <v>942</v>
      </c>
      <c r="B207" s="156" t="s">
        <v>943</v>
      </c>
      <c r="D207" s="156" t="s">
        <v>944</v>
      </c>
    </row>
    <row r="208" spans="1:4">
      <c r="A208" s="156" t="s">
        <v>945</v>
      </c>
      <c r="B208" s="156" t="s">
        <v>946</v>
      </c>
      <c r="D208" s="156" t="s">
        <v>947</v>
      </c>
    </row>
    <row r="209" spans="1:4">
      <c r="A209" s="156" t="s">
        <v>948</v>
      </c>
      <c r="B209" s="156" t="s">
        <v>949</v>
      </c>
      <c r="D209" s="156" t="s">
        <v>950</v>
      </c>
    </row>
    <row r="210" spans="1:4">
      <c r="A210" s="156" t="s">
        <v>951</v>
      </c>
      <c r="B210" s="156" t="s">
        <v>952</v>
      </c>
      <c r="D210" s="156" t="s">
        <v>953</v>
      </c>
    </row>
    <row r="211" spans="1:4">
      <c r="A211" s="156" t="s">
        <v>954</v>
      </c>
      <c r="B211" s="156" t="s">
        <v>955</v>
      </c>
      <c r="D211" s="156" t="s">
        <v>956</v>
      </c>
    </row>
    <row r="212" spans="1:4">
      <c r="A212" s="156" t="s">
        <v>957</v>
      </c>
      <c r="B212" s="156" t="s">
        <v>958</v>
      </c>
      <c r="D212" s="156" t="s">
        <v>959</v>
      </c>
    </row>
    <row r="213" spans="1:4">
      <c r="A213" s="156" t="s">
        <v>960</v>
      </c>
      <c r="B213" s="156" t="s">
        <v>961</v>
      </c>
      <c r="D213" s="156" t="s">
        <v>962</v>
      </c>
    </row>
    <row r="214" spans="1:4">
      <c r="A214" s="156" t="s">
        <v>963</v>
      </c>
      <c r="B214" s="156" t="s">
        <v>964</v>
      </c>
      <c r="D214" s="156" t="s">
        <v>965</v>
      </c>
    </row>
    <row r="215" spans="1:4">
      <c r="A215" s="156" t="s">
        <v>966</v>
      </c>
      <c r="B215" s="156" t="s">
        <v>967</v>
      </c>
      <c r="D215" s="156" t="s">
        <v>968</v>
      </c>
    </row>
    <row r="216" spans="1:4">
      <c r="A216" s="156" t="s">
        <v>969</v>
      </c>
      <c r="B216" s="156" t="s">
        <v>970</v>
      </c>
      <c r="D216" s="156" t="s">
        <v>971</v>
      </c>
    </row>
    <row r="217" spans="1:4">
      <c r="A217" s="156" t="s">
        <v>972</v>
      </c>
      <c r="B217" s="156" t="s">
        <v>973</v>
      </c>
      <c r="D217" s="156" t="s">
        <v>974</v>
      </c>
    </row>
    <row r="218" spans="1:4">
      <c r="A218" s="156" t="s">
        <v>975</v>
      </c>
      <c r="B218" s="156" t="s">
        <v>976</v>
      </c>
      <c r="D218" s="156" t="s">
        <v>977</v>
      </c>
    </row>
    <row r="219" spans="1:4">
      <c r="A219" s="156" t="s">
        <v>978</v>
      </c>
      <c r="B219" s="156" t="s">
        <v>979</v>
      </c>
      <c r="D219" s="156" t="s">
        <v>980</v>
      </c>
    </row>
    <row r="220" spans="1:4">
      <c r="A220" s="156" t="s">
        <v>981</v>
      </c>
      <c r="B220" s="156" t="s">
        <v>982</v>
      </c>
      <c r="D220" s="156" t="s">
        <v>983</v>
      </c>
    </row>
    <row r="221" spans="1:4">
      <c r="A221" s="156" t="s">
        <v>984</v>
      </c>
      <c r="B221" s="156" t="s">
        <v>985</v>
      </c>
      <c r="D221" s="156" t="s">
        <v>986</v>
      </c>
    </row>
    <row r="222" spans="1:4">
      <c r="A222" s="156" t="s">
        <v>987</v>
      </c>
      <c r="B222" s="156" t="s">
        <v>988</v>
      </c>
      <c r="D222" s="156" t="s">
        <v>989</v>
      </c>
    </row>
    <row r="223" spans="1:4">
      <c r="A223" s="156" t="s">
        <v>990</v>
      </c>
      <c r="B223" s="156" t="s">
        <v>991</v>
      </c>
      <c r="D223" s="156" t="s">
        <v>992</v>
      </c>
    </row>
    <row r="224" spans="1:4">
      <c r="A224" s="156" t="s">
        <v>993</v>
      </c>
      <c r="B224" s="156" t="s">
        <v>994</v>
      </c>
      <c r="D224" s="156" t="s">
        <v>995</v>
      </c>
    </row>
    <row r="225" spans="1:4">
      <c r="A225" s="156" t="s">
        <v>996</v>
      </c>
      <c r="B225" s="156" t="s">
        <v>997</v>
      </c>
      <c r="D225" s="157" t="s">
        <v>243</v>
      </c>
    </row>
    <row r="226" spans="1:4">
      <c r="A226" s="156" t="s">
        <v>998</v>
      </c>
      <c r="B226" s="156" t="s">
        <v>999</v>
      </c>
      <c r="D226" t="s">
        <v>243</v>
      </c>
    </row>
    <row r="227" spans="1:4">
      <c r="A227" s="156" t="s">
        <v>1000</v>
      </c>
      <c r="B227" s="156" t="s">
        <v>1001</v>
      </c>
    </row>
    <row r="228" spans="1:4">
      <c r="A228" s="156" t="s">
        <v>1002</v>
      </c>
      <c r="B228" s="156" t="s">
        <v>1003</v>
      </c>
    </row>
    <row r="229" spans="1:4">
      <c r="A229" s="156" t="s">
        <v>1004</v>
      </c>
      <c r="B229" s="156" t="s">
        <v>1005</v>
      </c>
    </row>
    <row r="230" spans="1:4">
      <c r="A230" s="156" t="s">
        <v>1006</v>
      </c>
      <c r="B230" s="156" t="s">
        <v>1007</v>
      </c>
    </row>
    <row r="231" spans="1:4">
      <c r="A231" s="156" t="s">
        <v>1008</v>
      </c>
      <c r="B231" s="156" t="s">
        <v>1009</v>
      </c>
    </row>
    <row r="232" spans="1:4">
      <c r="A232" s="156" t="s">
        <v>1010</v>
      </c>
      <c r="B232" s="156" t="s">
        <v>1011</v>
      </c>
    </row>
    <row r="233" spans="1:4">
      <c r="A233" s="156" t="s">
        <v>1012</v>
      </c>
      <c r="B233" s="156" t="s">
        <v>1013</v>
      </c>
    </row>
    <row r="234" spans="1:4">
      <c r="A234" s="156" t="s">
        <v>1014</v>
      </c>
      <c r="B234" s="156" t="s">
        <v>1015</v>
      </c>
    </row>
    <row r="235" spans="1:4">
      <c r="A235" s="156" t="s">
        <v>1016</v>
      </c>
      <c r="B235" s="156" t="s">
        <v>1017</v>
      </c>
    </row>
    <row r="236" spans="1:4">
      <c r="A236" s="156" t="s">
        <v>1018</v>
      </c>
      <c r="B236" s="156" t="s">
        <v>1019</v>
      </c>
    </row>
    <row r="237" spans="1:4">
      <c r="A237" s="156" t="s">
        <v>1020</v>
      </c>
      <c r="B237" s="156" t="s">
        <v>1021</v>
      </c>
    </row>
    <row r="238" spans="1:4">
      <c r="A238" s="156" t="s">
        <v>1022</v>
      </c>
      <c r="B238" s="156" t="s">
        <v>1023</v>
      </c>
    </row>
    <row r="239" spans="1:4">
      <c r="A239" s="156" t="s">
        <v>1024</v>
      </c>
      <c r="B239" s="156" t="s">
        <v>1025</v>
      </c>
    </row>
    <row r="240" spans="1:4">
      <c r="A240" s="156" t="s">
        <v>1026</v>
      </c>
      <c r="B240" s="156" t="s">
        <v>1027</v>
      </c>
    </row>
    <row r="241" spans="1:2">
      <c r="A241" s="156" t="s">
        <v>1028</v>
      </c>
      <c r="B241" s="156" t="s">
        <v>1029</v>
      </c>
    </row>
    <row r="242" spans="1:2">
      <c r="A242" s="156" t="s">
        <v>1030</v>
      </c>
      <c r="B242" s="156" t="s">
        <v>1031</v>
      </c>
    </row>
    <row r="243" spans="1:2">
      <c r="A243" s="156" t="s">
        <v>1032</v>
      </c>
      <c r="B243" s="156" t="s">
        <v>1033</v>
      </c>
    </row>
    <row r="244" spans="1:2">
      <c r="A244" s="156" t="s">
        <v>1034</v>
      </c>
      <c r="B244" s="156" t="s">
        <v>1035</v>
      </c>
    </row>
    <row r="245" spans="1:2">
      <c r="A245" s="156" t="s">
        <v>1036</v>
      </c>
      <c r="B245" s="156" t="s">
        <v>1037</v>
      </c>
    </row>
    <row r="246" spans="1:2">
      <c r="A246" s="156" t="s">
        <v>1038</v>
      </c>
      <c r="B246" s="156" t="s">
        <v>1039</v>
      </c>
    </row>
    <row r="247" spans="1:2">
      <c r="A247" s="156" t="s">
        <v>1040</v>
      </c>
      <c r="B247" s="156" t="s">
        <v>1041</v>
      </c>
    </row>
    <row r="248" spans="1:2">
      <c r="A248" s="156" t="s">
        <v>1042</v>
      </c>
      <c r="B248" s="156" t="s">
        <v>1043</v>
      </c>
    </row>
    <row r="249" spans="1:2">
      <c r="A249" s="156" t="s">
        <v>1044</v>
      </c>
      <c r="B249" s="156" t="s">
        <v>1045</v>
      </c>
    </row>
    <row r="250" spans="1:2">
      <c r="A250" s="156" t="s">
        <v>1046</v>
      </c>
      <c r="B250" s="156" t="s">
        <v>1047</v>
      </c>
    </row>
    <row r="251" spans="1:2">
      <c r="A251" s="156" t="s">
        <v>1048</v>
      </c>
      <c r="B251" s="156" t="s">
        <v>1049</v>
      </c>
    </row>
    <row r="252" spans="1:2">
      <c r="A252" s="156" t="s">
        <v>1050</v>
      </c>
      <c r="B252" s="156" t="s">
        <v>1051</v>
      </c>
    </row>
    <row r="253" spans="1:2">
      <c r="A253" s="156" t="s">
        <v>1052</v>
      </c>
      <c r="B253" s="156" t="s">
        <v>1053</v>
      </c>
    </row>
    <row r="254" spans="1:2">
      <c r="A254" s="156" t="s">
        <v>1054</v>
      </c>
      <c r="B254" s="156" t="s">
        <v>1055</v>
      </c>
    </row>
    <row r="255" spans="1:2">
      <c r="A255" s="156" t="s">
        <v>1056</v>
      </c>
      <c r="B255" s="156" t="s">
        <v>1057</v>
      </c>
    </row>
    <row r="256" spans="1:2">
      <c r="A256" s="156" t="s">
        <v>1058</v>
      </c>
      <c r="B256" s="156" t="s">
        <v>1059</v>
      </c>
    </row>
    <row r="257" spans="1:2">
      <c r="A257" s="156" t="s">
        <v>1060</v>
      </c>
      <c r="B257" s="156" t="s">
        <v>1061</v>
      </c>
    </row>
    <row r="258" spans="1:2">
      <c r="A258" s="156" t="s">
        <v>1062</v>
      </c>
      <c r="B258" s="156" t="s">
        <v>1063</v>
      </c>
    </row>
    <row r="259" spans="1:2">
      <c r="A259" s="156" t="s">
        <v>1064</v>
      </c>
      <c r="B259" s="156" t="s">
        <v>1065</v>
      </c>
    </row>
    <row r="260" spans="1:2">
      <c r="A260" s="156" t="s">
        <v>1066</v>
      </c>
      <c r="B260" s="156" t="s">
        <v>1067</v>
      </c>
    </row>
    <row r="261" spans="1:2">
      <c r="A261" s="156" t="s">
        <v>1068</v>
      </c>
      <c r="B261" s="156" t="s">
        <v>1069</v>
      </c>
    </row>
    <row r="262" spans="1:2">
      <c r="A262" s="156" t="s">
        <v>1070</v>
      </c>
      <c r="B262" s="156" t="s">
        <v>1071</v>
      </c>
    </row>
    <row r="263" spans="1:2">
      <c r="A263" s="156" t="s">
        <v>1072</v>
      </c>
      <c r="B263" s="156" t="s">
        <v>1073</v>
      </c>
    </row>
    <row r="264" spans="1:2">
      <c r="A264" s="156" t="s">
        <v>1074</v>
      </c>
      <c r="B264" s="156" t="s">
        <v>1075</v>
      </c>
    </row>
    <row r="265" spans="1:2">
      <c r="A265" s="156" t="s">
        <v>1076</v>
      </c>
      <c r="B265" s="156" t="s">
        <v>1077</v>
      </c>
    </row>
    <row r="266" spans="1:2">
      <c r="A266" s="156" t="s">
        <v>1078</v>
      </c>
      <c r="B266" s="156" t="s">
        <v>1079</v>
      </c>
    </row>
    <row r="267" spans="1:2">
      <c r="A267" s="156" t="s">
        <v>1080</v>
      </c>
      <c r="B267" s="156" t="s">
        <v>1081</v>
      </c>
    </row>
    <row r="268" spans="1:2">
      <c r="A268" s="156" t="s">
        <v>1082</v>
      </c>
      <c r="B268" s="156" t="s">
        <v>1083</v>
      </c>
    </row>
    <row r="269" spans="1:2">
      <c r="A269" s="156" t="s">
        <v>1084</v>
      </c>
      <c r="B269" s="156" t="s">
        <v>1085</v>
      </c>
    </row>
    <row r="270" spans="1:2">
      <c r="A270" s="156" t="s">
        <v>1086</v>
      </c>
      <c r="B270" s="156" t="s">
        <v>1087</v>
      </c>
    </row>
    <row r="271" spans="1:2">
      <c r="A271" s="156" t="s">
        <v>1088</v>
      </c>
      <c r="B271" s="156" t="s">
        <v>1089</v>
      </c>
    </row>
    <row r="272" spans="1:2">
      <c r="A272" s="156" t="s">
        <v>1090</v>
      </c>
      <c r="B272" s="156" t="s">
        <v>1091</v>
      </c>
    </row>
    <row r="273" spans="1:2">
      <c r="A273" s="156" t="s">
        <v>1092</v>
      </c>
      <c r="B273" s="156" t="s">
        <v>1093</v>
      </c>
    </row>
    <row r="274" spans="1:2">
      <c r="A274" s="156" t="s">
        <v>1094</v>
      </c>
      <c r="B274" s="156" t="s">
        <v>1095</v>
      </c>
    </row>
    <row r="275" spans="1:2">
      <c r="A275" s="156" t="s">
        <v>1096</v>
      </c>
      <c r="B275" s="156" t="s">
        <v>1097</v>
      </c>
    </row>
    <row r="276" spans="1:2">
      <c r="A276" s="156" t="s">
        <v>1098</v>
      </c>
      <c r="B276" s="156" t="s">
        <v>1099</v>
      </c>
    </row>
    <row r="277" spans="1:2">
      <c r="A277" s="156" t="s">
        <v>1100</v>
      </c>
      <c r="B277" s="156" t="s">
        <v>1101</v>
      </c>
    </row>
    <row r="278" spans="1:2">
      <c r="A278" s="156" t="s">
        <v>1102</v>
      </c>
      <c r="B278" s="156" t="s">
        <v>1103</v>
      </c>
    </row>
    <row r="279" spans="1:2">
      <c r="A279" s="156" t="s">
        <v>1104</v>
      </c>
      <c r="B279" s="156" t="s">
        <v>1105</v>
      </c>
    </row>
    <row r="280" spans="1:2">
      <c r="A280" s="156" t="s">
        <v>1106</v>
      </c>
      <c r="B280" s="156" t="s">
        <v>289</v>
      </c>
    </row>
    <row r="281" spans="1:2">
      <c r="A281" s="156" t="s">
        <v>1107</v>
      </c>
      <c r="B281" s="156" t="s">
        <v>1108</v>
      </c>
    </row>
    <row r="282" spans="1:2">
      <c r="A282" s="156" t="s">
        <v>1109</v>
      </c>
      <c r="B282" s="156" t="s">
        <v>1110</v>
      </c>
    </row>
    <row r="283" spans="1:2">
      <c r="A283" s="156" t="s">
        <v>1111</v>
      </c>
      <c r="B283" s="156" t="s">
        <v>1112</v>
      </c>
    </row>
    <row r="284" spans="1:2">
      <c r="A284" s="156" t="s">
        <v>1113</v>
      </c>
      <c r="B284" s="156" t="s">
        <v>1114</v>
      </c>
    </row>
    <row r="285" spans="1:2">
      <c r="A285" s="156" t="s">
        <v>1115</v>
      </c>
      <c r="B285" s="156" t="s">
        <v>1116</v>
      </c>
    </row>
    <row r="286" spans="1:2">
      <c r="A286" s="156" t="s">
        <v>1117</v>
      </c>
      <c r="B286" s="156" t="s">
        <v>1118</v>
      </c>
    </row>
    <row r="287" spans="1:2">
      <c r="A287" s="156" t="s">
        <v>1119</v>
      </c>
      <c r="B287" s="156" t="s">
        <v>1120</v>
      </c>
    </row>
    <row r="288" spans="1:2">
      <c r="A288" s="156" t="s">
        <v>1121</v>
      </c>
      <c r="B288" s="156" t="s">
        <v>1122</v>
      </c>
    </row>
    <row r="289" spans="1:2">
      <c r="A289" s="156" t="s">
        <v>1123</v>
      </c>
      <c r="B289" s="156" t="s">
        <v>1124</v>
      </c>
    </row>
    <row r="290" spans="1:2">
      <c r="A290" s="156" t="s">
        <v>1125</v>
      </c>
      <c r="B290" s="156" t="s">
        <v>1126</v>
      </c>
    </row>
    <row r="291" spans="1:2">
      <c r="A291" s="156" t="s">
        <v>1127</v>
      </c>
      <c r="B291" s="156" t="s">
        <v>1128</v>
      </c>
    </row>
    <row r="292" spans="1:2">
      <c r="A292" s="156" t="s">
        <v>1129</v>
      </c>
      <c r="B292" s="156" t="s">
        <v>1130</v>
      </c>
    </row>
    <row r="293" spans="1:2">
      <c r="A293" s="156" t="s">
        <v>1131</v>
      </c>
      <c r="B293" s="156" t="s">
        <v>1132</v>
      </c>
    </row>
    <row r="294" spans="1:2">
      <c r="A294" s="156" t="s">
        <v>1133</v>
      </c>
      <c r="B294" s="156" t="s">
        <v>1134</v>
      </c>
    </row>
    <row r="295" spans="1:2">
      <c r="A295" s="156" t="s">
        <v>1135</v>
      </c>
      <c r="B295" s="156" t="s">
        <v>1136</v>
      </c>
    </row>
    <row r="296" spans="1:2">
      <c r="A296" s="156" t="s">
        <v>1137</v>
      </c>
      <c r="B296" s="156" t="s">
        <v>1138</v>
      </c>
    </row>
    <row r="297" spans="1:2">
      <c r="A297" s="156" t="s">
        <v>1139</v>
      </c>
      <c r="B297" s="156" t="s">
        <v>1140</v>
      </c>
    </row>
    <row r="298" spans="1:2">
      <c r="A298" s="156" t="s">
        <v>1141</v>
      </c>
      <c r="B298" s="156" t="s">
        <v>1142</v>
      </c>
    </row>
    <row r="299" spans="1:2">
      <c r="A299" s="156" t="s">
        <v>1143</v>
      </c>
      <c r="B299" s="156" t="s">
        <v>1144</v>
      </c>
    </row>
    <row r="300" spans="1:2">
      <c r="A300" s="156" t="s">
        <v>1145</v>
      </c>
      <c r="B300" s="156" t="s">
        <v>1146</v>
      </c>
    </row>
    <row r="301" spans="1:2">
      <c r="A301" s="156" t="s">
        <v>1147</v>
      </c>
      <c r="B301" s="156" t="s">
        <v>1148</v>
      </c>
    </row>
    <row r="302" spans="1:2">
      <c r="A302" s="156" t="s">
        <v>1149</v>
      </c>
      <c r="B302" s="156" t="s">
        <v>1150</v>
      </c>
    </row>
    <row r="303" spans="1:2">
      <c r="A303" s="156" t="s">
        <v>1151</v>
      </c>
      <c r="B303" s="156" t="s">
        <v>1152</v>
      </c>
    </row>
    <row r="304" spans="1:2">
      <c r="A304" s="156" t="s">
        <v>1153</v>
      </c>
      <c r="B304" s="156" t="s">
        <v>1154</v>
      </c>
    </row>
    <row r="305" spans="1:2">
      <c r="A305" s="156" t="s">
        <v>1155</v>
      </c>
      <c r="B305" s="156" t="s">
        <v>1156</v>
      </c>
    </row>
    <row r="306" spans="1:2">
      <c r="A306" s="156" t="s">
        <v>1157</v>
      </c>
      <c r="B306" s="156" t="s">
        <v>1158</v>
      </c>
    </row>
    <row r="307" spans="1:2">
      <c r="A307" s="156" t="s">
        <v>1159</v>
      </c>
      <c r="B307" s="156" t="s">
        <v>478</v>
      </c>
    </row>
    <row r="308" spans="1:2">
      <c r="A308" s="156" t="s">
        <v>1160</v>
      </c>
      <c r="B308" s="156" t="s">
        <v>1161</v>
      </c>
    </row>
    <row r="309" spans="1:2">
      <c r="A309" s="156" t="s">
        <v>1162</v>
      </c>
      <c r="B309" s="156" t="s">
        <v>1163</v>
      </c>
    </row>
    <row r="310" spans="1:2">
      <c r="A310" s="156" t="s">
        <v>1164</v>
      </c>
      <c r="B310" s="156" t="s">
        <v>1165</v>
      </c>
    </row>
    <row r="311" spans="1:2">
      <c r="A311" s="156" t="s">
        <v>1166</v>
      </c>
      <c r="B311" s="156" t="s">
        <v>1167</v>
      </c>
    </row>
    <row r="312" spans="1:2">
      <c r="A312" s="156" t="s">
        <v>1168</v>
      </c>
      <c r="B312" s="156" t="s">
        <v>1169</v>
      </c>
    </row>
    <row r="313" spans="1:2">
      <c r="A313" s="156" t="s">
        <v>1170</v>
      </c>
      <c r="B313" s="156" t="s">
        <v>1171</v>
      </c>
    </row>
    <row r="314" spans="1:2">
      <c r="A314" s="156" t="s">
        <v>1172</v>
      </c>
      <c r="B314" s="156" t="s">
        <v>1173</v>
      </c>
    </row>
    <row r="315" spans="1:2">
      <c r="A315" s="156" t="s">
        <v>1174</v>
      </c>
      <c r="B315" s="156" t="s">
        <v>1175</v>
      </c>
    </row>
    <row r="316" spans="1:2">
      <c r="A316" s="156" t="s">
        <v>1176</v>
      </c>
      <c r="B316" s="156" t="s">
        <v>1177</v>
      </c>
    </row>
    <row r="317" spans="1:2">
      <c r="A317" s="156" t="s">
        <v>1178</v>
      </c>
      <c r="B317" s="156" t="s">
        <v>1179</v>
      </c>
    </row>
    <row r="318" spans="1:2">
      <c r="A318" s="156" t="s">
        <v>1180</v>
      </c>
      <c r="B318" s="156" t="s">
        <v>1181</v>
      </c>
    </row>
    <row r="319" spans="1:2">
      <c r="A319" s="156" t="s">
        <v>1182</v>
      </c>
      <c r="B319" s="156" t="s">
        <v>1183</v>
      </c>
    </row>
    <row r="320" spans="1:2">
      <c r="A320" s="156" t="s">
        <v>1184</v>
      </c>
      <c r="B320" s="156" t="s">
        <v>1185</v>
      </c>
    </row>
    <row r="321" spans="1:2">
      <c r="A321" s="156" t="s">
        <v>1186</v>
      </c>
      <c r="B321" s="156" t="s">
        <v>1187</v>
      </c>
    </row>
    <row r="322" spans="1:2">
      <c r="A322" s="156" t="s">
        <v>1188</v>
      </c>
      <c r="B322" s="156" t="s">
        <v>1189</v>
      </c>
    </row>
    <row r="323" spans="1:2">
      <c r="A323" s="156" t="s">
        <v>1190</v>
      </c>
      <c r="B323" s="156" t="s">
        <v>1191</v>
      </c>
    </row>
    <row r="324" spans="1:2">
      <c r="A324" s="156" t="s">
        <v>1192</v>
      </c>
      <c r="B324" s="156" t="s">
        <v>1193</v>
      </c>
    </row>
    <row r="325" spans="1:2">
      <c r="A325" s="156" t="s">
        <v>1194</v>
      </c>
      <c r="B325" s="156" t="s">
        <v>1195</v>
      </c>
    </row>
    <row r="326" spans="1:2">
      <c r="A326" s="156" t="s">
        <v>1196</v>
      </c>
      <c r="B326" s="156" t="s">
        <v>1197</v>
      </c>
    </row>
    <row r="327" spans="1:2">
      <c r="A327" s="156" t="s">
        <v>1198</v>
      </c>
      <c r="B327" s="156" t="s">
        <v>1199</v>
      </c>
    </row>
    <row r="328" spans="1:2">
      <c r="A328" s="156" t="s">
        <v>1200</v>
      </c>
      <c r="B328" s="156" t="s">
        <v>1201</v>
      </c>
    </row>
    <row r="329" spans="1:2">
      <c r="A329" s="156" t="s">
        <v>1202</v>
      </c>
      <c r="B329" s="156" t="s">
        <v>1203</v>
      </c>
    </row>
    <row r="330" spans="1:2">
      <c r="A330" s="156" t="s">
        <v>1204</v>
      </c>
      <c r="B330" s="156" t="s">
        <v>1205</v>
      </c>
    </row>
    <row r="331" spans="1:2">
      <c r="A331" s="156" t="s">
        <v>1206</v>
      </c>
      <c r="B331" s="156" t="s">
        <v>1207</v>
      </c>
    </row>
    <row r="332" spans="1:2">
      <c r="A332" s="156" t="s">
        <v>1208</v>
      </c>
      <c r="B332" s="156" t="s">
        <v>1209</v>
      </c>
    </row>
    <row r="333" spans="1:2">
      <c r="A333" s="156" t="s">
        <v>1210</v>
      </c>
      <c r="B333" s="156" t="s">
        <v>1211</v>
      </c>
    </row>
    <row r="334" spans="1:2">
      <c r="A334" s="156" t="s">
        <v>1212</v>
      </c>
      <c r="B334" s="156" t="s">
        <v>1213</v>
      </c>
    </row>
    <row r="335" spans="1:2">
      <c r="A335" s="156" t="s">
        <v>1214</v>
      </c>
      <c r="B335" s="156" t="s">
        <v>1215</v>
      </c>
    </row>
    <row r="336" spans="1:2">
      <c r="A336" s="156" t="s">
        <v>1216</v>
      </c>
      <c r="B336" s="156" t="s">
        <v>1217</v>
      </c>
    </row>
    <row r="337" spans="1:2">
      <c r="A337" s="156" t="s">
        <v>1218</v>
      </c>
      <c r="B337" s="156" t="s">
        <v>1219</v>
      </c>
    </row>
    <row r="338" spans="1:2">
      <c r="A338" s="156" t="s">
        <v>1220</v>
      </c>
      <c r="B338" s="156" t="s">
        <v>1221</v>
      </c>
    </row>
    <row r="339" spans="1:2">
      <c r="A339" s="156" t="s">
        <v>1222</v>
      </c>
      <c r="B339" s="156" t="s">
        <v>1223</v>
      </c>
    </row>
    <row r="340" spans="1:2">
      <c r="A340" s="156" t="s">
        <v>1224</v>
      </c>
      <c r="B340" s="156" t="s">
        <v>1225</v>
      </c>
    </row>
    <row r="341" spans="1:2">
      <c r="A341" s="156" t="s">
        <v>1226</v>
      </c>
      <c r="B341" s="156" t="s">
        <v>1227</v>
      </c>
    </row>
    <row r="342" spans="1:2">
      <c r="A342" s="156" t="s">
        <v>1228</v>
      </c>
      <c r="B342" s="156" t="s">
        <v>1229</v>
      </c>
    </row>
    <row r="343" spans="1:2">
      <c r="A343" s="156" t="s">
        <v>1230</v>
      </c>
      <c r="B343" s="156" t="s">
        <v>1231</v>
      </c>
    </row>
    <row r="344" spans="1:2">
      <c r="A344" s="156" t="s">
        <v>1232</v>
      </c>
      <c r="B344" s="156" t="s">
        <v>1233</v>
      </c>
    </row>
    <row r="345" spans="1:2">
      <c r="A345" s="156" t="s">
        <v>1234</v>
      </c>
      <c r="B345" s="156" t="s">
        <v>1235</v>
      </c>
    </row>
    <row r="346" spans="1:2">
      <c r="A346" s="156" t="s">
        <v>1236</v>
      </c>
      <c r="B346" s="156" t="s">
        <v>1237</v>
      </c>
    </row>
    <row r="347" spans="1:2">
      <c r="A347" s="156" t="s">
        <v>1238</v>
      </c>
      <c r="B347" s="156" t="s">
        <v>1239</v>
      </c>
    </row>
    <row r="348" spans="1:2">
      <c r="A348" s="156" t="s">
        <v>1240</v>
      </c>
      <c r="B348" s="156" t="s">
        <v>1241</v>
      </c>
    </row>
    <row r="349" spans="1:2">
      <c r="A349" s="156" t="s">
        <v>1242</v>
      </c>
      <c r="B349" s="156" t="s">
        <v>1243</v>
      </c>
    </row>
    <row r="350" spans="1:2">
      <c r="A350" s="156" t="s">
        <v>1244</v>
      </c>
      <c r="B350" s="156" t="s">
        <v>1245</v>
      </c>
    </row>
    <row r="351" spans="1:2">
      <c r="A351" s="156" t="s">
        <v>1246</v>
      </c>
      <c r="B351" s="156" t="s">
        <v>1247</v>
      </c>
    </row>
    <row r="352" spans="1:2">
      <c r="A352" s="156" t="s">
        <v>1248</v>
      </c>
      <c r="B352" s="156" t="s">
        <v>1249</v>
      </c>
    </row>
    <row r="353" spans="1:2">
      <c r="A353" s="156" t="s">
        <v>1250</v>
      </c>
      <c r="B353" s="156" t="s">
        <v>1251</v>
      </c>
    </row>
    <row r="354" spans="1:2">
      <c r="A354" s="156" t="s">
        <v>1252</v>
      </c>
      <c r="B354" s="156" t="s">
        <v>1253</v>
      </c>
    </row>
    <row r="355" spans="1:2">
      <c r="A355" s="156" t="s">
        <v>1254</v>
      </c>
      <c r="B355" s="156" t="s">
        <v>1255</v>
      </c>
    </row>
    <row r="356" spans="1:2">
      <c r="A356" s="156" t="s">
        <v>1256</v>
      </c>
      <c r="B356" s="156" t="s">
        <v>1257</v>
      </c>
    </row>
    <row r="357" spans="1:2">
      <c r="A357" s="156" t="s">
        <v>1258</v>
      </c>
      <c r="B357" s="156" t="s">
        <v>1259</v>
      </c>
    </row>
    <row r="358" spans="1:2">
      <c r="A358" s="156" t="s">
        <v>1260</v>
      </c>
      <c r="B358" s="156" t="s">
        <v>1261</v>
      </c>
    </row>
    <row r="359" spans="1:2">
      <c r="A359" s="156" t="s">
        <v>1262</v>
      </c>
      <c r="B359" s="156" t="s">
        <v>1263</v>
      </c>
    </row>
    <row r="360" spans="1:2">
      <c r="A360" s="156" t="s">
        <v>1264</v>
      </c>
      <c r="B360" s="156" t="s">
        <v>1265</v>
      </c>
    </row>
    <row r="361" spans="1:2">
      <c r="A361" s="156" t="s">
        <v>1266</v>
      </c>
      <c r="B361" s="156" t="s">
        <v>1267</v>
      </c>
    </row>
    <row r="362" spans="1:2">
      <c r="A362" s="156" t="s">
        <v>1268</v>
      </c>
      <c r="B362" s="156" t="s">
        <v>1269</v>
      </c>
    </row>
    <row r="363" spans="1:2">
      <c r="A363" s="156" t="s">
        <v>1270</v>
      </c>
      <c r="B363" s="156" t="s">
        <v>1271</v>
      </c>
    </row>
    <row r="364" spans="1:2">
      <c r="A364" s="156" t="s">
        <v>1272</v>
      </c>
      <c r="B364" s="156" t="s">
        <v>1273</v>
      </c>
    </row>
    <row r="365" spans="1:2">
      <c r="A365" s="156" t="s">
        <v>1274</v>
      </c>
      <c r="B365" s="156" t="s">
        <v>1275</v>
      </c>
    </row>
    <row r="366" spans="1:2">
      <c r="A366" s="156" t="s">
        <v>1276</v>
      </c>
      <c r="B366" s="156" t="s">
        <v>1277</v>
      </c>
    </row>
    <row r="367" spans="1:2">
      <c r="A367" s="156" t="s">
        <v>1278</v>
      </c>
      <c r="B367" s="156" t="s">
        <v>1279</v>
      </c>
    </row>
    <row r="368" spans="1:2">
      <c r="A368" s="156" t="s">
        <v>1280</v>
      </c>
      <c r="B368" s="156" t="s">
        <v>1281</v>
      </c>
    </row>
    <row r="369" spans="1:2">
      <c r="A369" s="156" t="s">
        <v>1282</v>
      </c>
      <c r="B369" s="156" t="s">
        <v>1283</v>
      </c>
    </row>
    <row r="370" spans="1:2">
      <c r="A370" s="156" t="s">
        <v>1284</v>
      </c>
      <c r="B370" s="156" t="s">
        <v>1285</v>
      </c>
    </row>
    <row r="371" spans="1:2">
      <c r="A371" s="156" t="s">
        <v>1286</v>
      </c>
      <c r="B371" s="156" t="s">
        <v>1287</v>
      </c>
    </row>
    <row r="372" spans="1:2">
      <c r="A372" s="156" t="s">
        <v>1288</v>
      </c>
      <c r="B372" s="156" t="s">
        <v>1289</v>
      </c>
    </row>
    <row r="373" spans="1:2">
      <c r="A373" s="156" t="s">
        <v>1290</v>
      </c>
      <c r="B373" s="156" t="s">
        <v>1291</v>
      </c>
    </row>
    <row r="374" spans="1:2">
      <c r="A374" s="156" t="s">
        <v>1292</v>
      </c>
      <c r="B374" s="156" t="s">
        <v>1293</v>
      </c>
    </row>
    <row r="375" spans="1:2">
      <c r="A375" s="156" t="s">
        <v>1294</v>
      </c>
      <c r="B375" s="156" t="s">
        <v>1295</v>
      </c>
    </row>
    <row r="376" spans="1:2">
      <c r="A376" s="156" t="s">
        <v>1296</v>
      </c>
      <c r="B376" s="156" t="s">
        <v>1297</v>
      </c>
    </row>
    <row r="377" spans="1:2">
      <c r="A377" s="156" t="s">
        <v>1298</v>
      </c>
      <c r="B377" s="156" t="s">
        <v>1299</v>
      </c>
    </row>
    <row r="378" spans="1:2">
      <c r="A378" s="156" t="s">
        <v>1300</v>
      </c>
      <c r="B378" s="156" t="s">
        <v>1301</v>
      </c>
    </row>
    <row r="379" spans="1:2">
      <c r="A379" s="156" t="s">
        <v>1302</v>
      </c>
      <c r="B379" s="156" t="s">
        <v>1303</v>
      </c>
    </row>
    <row r="380" spans="1:2">
      <c r="A380" s="156" t="s">
        <v>1304</v>
      </c>
      <c r="B380" s="156" t="s">
        <v>1305</v>
      </c>
    </row>
    <row r="381" spans="1:2">
      <c r="A381" s="156" t="s">
        <v>1306</v>
      </c>
      <c r="B381" s="156" t="s">
        <v>1307</v>
      </c>
    </row>
    <row r="382" spans="1:2">
      <c r="A382" s="156" t="s">
        <v>1308</v>
      </c>
      <c r="B382" s="156" t="s">
        <v>1309</v>
      </c>
    </row>
    <row r="383" spans="1:2">
      <c r="A383" s="156" t="s">
        <v>1310</v>
      </c>
      <c r="B383" s="156" t="s">
        <v>1311</v>
      </c>
    </row>
    <row r="384" spans="1:2">
      <c r="A384" s="156" t="s">
        <v>1312</v>
      </c>
      <c r="B384" s="156" t="s">
        <v>1313</v>
      </c>
    </row>
    <row r="385" spans="1:2">
      <c r="A385" s="156" t="s">
        <v>1314</v>
      </c>
      <c r="B385" s="156" t="s">
        <v>1315</v>
      </c>
    </row>
    <row r="386" spans="1:2">
      <c r="A386" s="156" t="s">
        <v>1316</v>
      </c>
      <c r="B386" s="156" t="s">
        <v>1317</v>
      </c>
    </row>
    <row r="387" spans="1:2">
      <c r="A387" s="156" t="s">
        <v>1318</v>
      </c>
      <c r="B387" s="156" t="s">
        <v>1319</v>
      </c>
    </row>
    <row r="388" spans="1:2">
      <c r="A388" s="156" t="s">
        <v>1320</v>
      </c>
      <c r="B388" s="156" t="s">
        <v>1321</v>
      </c>
    </row>
    <row r="389" spans="1:2">
      <c r="A389" s="156" t="s">
        <v>1322</v>
      </c>
      <c r="B389" s="156" t="s">
        <v>1323</v>
      </c>
    </row>
    <row r="390" spans="1:2">
      <c r="A390" s="156" t="s">
        <v>1324</v>
      </c>
      <c r="B390" s="156" t="s">
        <v>1325</v>
      </c>
    </row>
    <row r="391" spans="1:2">
      <c r="A391" s="156" t="s">
        <v>1326</v>
      </c>
      <c r="B391" s="156" t="s">
        <v>1327</v>
      </c>
    </row>
    <row r="392" spans="1:2">
      <c r="A392" s="156" t="s">
        <v>1328</v>
      </c>
      <c r="B392" s="156" t="s">
        <v>1329</v>
      </c>
    </row>
    <row r="393" spans="1:2">
      <c r="A393" s="156" t="s">
        <v>1330</v>
      </c>
      <c r="B393" s="156" t="s">
        <v>1331</v>
      </c>
    </row>
    <row r="394" spans="1:2">
      <c r="A394" s="156" t="s">
        <v>1332</v>
      </c>
      <c r="B394" s="156" t="s">
        <v>1333</v>
      </c>
    </row>
    <row r="395" spans="1:2">
      <c r="A395" s="156" t="s">
        <v>1334</v>
      </c>
      <c r="B395" s="156" t="s">
        <v>1335</v>
      </c>
    </row>
    <row r="396" spans="1:2">
      <c r="A396" s="156" t="s">
        <v>1336</v>
      </c>
      <c r="B396" s="156" t="s">
        <v>1337</v>
      </c>
    </row>
    <row r="397" spans="1:2">
      <c r="A397" s="156" t="s">
        <v>1338</v>
      </c>
      <c r="B397" s="156" t="s">
        <v>1339</v>
      </c>
    </row>
    <row r="398" spans="1:2">
      <c r="A398" s="156" t="s">
        <v>1340</v>
      </c>
      <c r="B398" s="156" t="s">
        <v>1341</v>
      </c>
    </row>
    <row r="399" spans="1:2">
      <c r="A399" s="156" t="s">
        <v>1342</v>
      </c>
      <c r="B399" s="156" t="s">
        <v>1343</v>
      </c>
    </row>
    <row r="400" spans="1:2">
      <c r="A400" s="156" t="s">
        <v>1344</v>
      </c>
      <c r="B400" s="156" t="s">
        <v>1345</v>
      </c>
    </row>
    <row r="401" spans="1:2">
      <c r="A401" s="156" t="s">
        <v>1346</v>
      </c>
      <c r="B401" s="156" t="s">
        <v>1347</v>
      </c>
    </row>
    <row r="402" spans="1:2">
      <c r="A402" s="156" t="s">
        <v>1348</v>
      </c>
      <c r="B402" s="156" t="s">
        <v>1349</v>
      </c>
    </row>
    <row r="403" spans="1:2">
      <c r="A403" s="156" t="s">
        <v>1350</v>
      </c>
      <c r="B403" s="156" t="s">
        <v>1351</v>
      </c>
    </row>
    <row r="404" spans="1:2">
      <c r="A404" s="156" t="s">
        <v>1352</v>
      </c>
      <c r="B404" s="156" t="s">
        <v>1353</v>
      </c>
    </row>
    <row r="405" spans="1:2">
      <c r="A405" s="156" t="s">
        <v>1354</v>
      </c>
      <c r="B405" s="156" t="s">
        <v>1355</v>
      </c>
    </row>
    <row r="406" spans="1:2">
      <c r="A406" s="156" t="s">
        <v>1356</v>
      </c>
      <c r="B406" s="156" t="s">
        <v>1357</v>
      </c>
    </row>
    <row r="407" spans="1:2">
      <c r="A407" s="156" t="s">
        <v>1358</v>
      </c>
      <c r="B407" s="156" t="s">
        <v>1359</v>
      </c>
    </row>
    <row r="408" spans="1:2">
      <c r="A408" s="156" t="s">
        <v>1360</v>
      </c>
      <c r="B408" s="156" t="s">
        <v>1361</v>
      </c>
    </row>
    <row r="409" spans="1:2">
      <c r="A409" s="156" t="s">
        <v>1362</v>
      </c>
      <c r="B409" s="156" t="s">
        <v>1363</v>
      </c>
    </row>
    <row r="410" spans="1:2">
      <c r="A410" s="156" t="s">
        <v>1364</v>
      </c>
      <c r="B410" s="156" t="s">
        <v>1365</v>
      </c>
    </row>
    <row r="411" spans="1:2">
      <c r="A411" s="156" t="s">
        <v>1366</v>
      </c>
      <c r="B411" s="156" t="s">
        <v>1367</v>
      </c>
    </row>
    <row r="412" spans="1:2">
      <c r="A412" s="156" t="s">
        <v>1368</v>
      </c>
      <c r="B412" s="156" t="s">
        <v>1369</v>
      </c>
    </row>
    <row r="413" spans="1:2">
      <c r="A413" s="156" t="s">
        <v>1370</v>
      </c>
      <c r="B413" s="156" t="s">
        <v>1371</v>
      </c>
    </row>
    <row r="414" spans="1:2">
      <c r="A414" s="156" t="s">
        <v>1372</v>
      </c>
      <c r="B414" s="156" t="s">
        <v>1373</v>
      </c>
    </row>
    <row r="415" spans="1:2">
      <c r="A415" s="156" t="s">
        <v>1374</v>
      </c>
      <c r="B415" s="156" t="s">
        <v>1375</v>
      </c>
    </row>
    <row r="416" spans="1:2">
      <c r="A416" s="156" t="s">
        <v>1376</v>
      </c>
      <c r="B416" s="156" t="s">
        <v>1377</v>
      </c>
    </row>
    <row r="417" spans="1:2">
      <c r="A417" s="156" t="s">
        <v>1378</v>
      </c>
      <c r="B417" s="156" t="s">
        <v>1379</v>
      </c>
    </row>
    <row r="418" spans="1:2">
      <c r="A418" s="156" t="s">
        <v>1380</v>
      </c>
      <c r="B418" s="156" t="s">
        <v>1381</v>
      </c>
    </row>
    <row r="419" spans="1:2">
      <c r="A419" s="156" t="s">
        <v>1382</v>
      </c>
      <c r="B419" s="156" t="s">
        <v>1383</v>
      </c>
    </row>
    <row r="420" spans="1:2">
      <c r="A420" s="156" t="s">
        <v>1384</v>
      </c>
      <c r="B420" s="156" t="s">
        <v>1385</v>
      </c>
    </row>
    <row r="421" spans="1:2">
      <c r="A421" s="156" t="s">
        <v>1386</v>
      </c>
      <c r="B421" s="156" t="s">
        <v>1387</v>
      </c>
    </row>
    <row r="422" spans="1:2">
      <c r="A422" s="156" t="s">
        <v>1388</v>
      </c>
      <c r="B422" s="156" t="s">
        <v>1389</v>
      </c>
    </row>
    <row r="423" spans="1:2">
      <c r="A423" s="156" t="s">
        <v>1390</v>
      </c>
      <c r="B423" s="156" t="s">
        <v>1391</v>
      </c>
    </row>
    <row r="424" spans="1:2">
      <c r="A424" s="156" t="s">
        <v>1392</v>
      </c>
      <c r="B424" s="156" t="s">
        <v>1393</v>
      </c>
    </row>
    <row r="425" spans="1:2">
      <c r="A425" s="156" t="s">
        <v>1394</v>
      </c>
      <c r="B425" s="156" t="s">
        <v>1395</v>
      </c>
    </row>
    <row r="426" spans="1:2">
      <c r="A426" s="156" t="s">
        <v>1396</v>
      </c>
      <c r="B426" s="156" t="s">
        <v>1397</v>
      </c>
    </row>
    <row r="427" spans="1:2">
      <c r="A427" s="156" t="s">
        <v>1398</v>
      </c>
      <c r="B427" s="156" t="s">
        <v>1399</v>
      </c>
    </row>
    <row r="428" spans="1:2">
      <c r="A428" s="156" t="s">
        <v>1400</v>
      </c>
      <c r="B428" s="156" t="s">
        <v>1401</v>
      </c>
    </row>
    <row r="429" spans="1:2">
      <c r="A429" s="156" t="s">
        <v>1402</v>
      </c>
      <c r="B429" s="156" t="s">
        <v>1403</v>
      </c>
    </row>
    <row r="430" spans="1:2">
      <c r="A430" s="156" t="s">
        <v>1404</v>
      </c>
      <c r="B430" s="156" t="s">
        <v>1405</v>
      </c>
    </row>
    <row r="431" spans="1:2">
      <c r="A431" s="156" t="s">
        <v>1406</v>
      </c>
      <c r="B431" s="156" t="s">
        <v>1407</v>
      </c>
    </row>
    <row r="432" spans="1:2">
      <c r="A432" s="156" t="s">
        <v>1408</v>
      </c>
      <c r="B432" s="156" t="s">
        <v>1409</v>
      </c>
    </row>
    <row r="433" spans="1:2">
      <c r="A433" s="156" t="s">
        <v>1410</v>
      </c>
      <c r="B433" s="156" t="s">
        <v>1411</v>
      </c>
    </row>
    <row r="434" spans="1:2">
      <c r="A434" s="156" t="s">
        <v>1412</v>
      </c>
      <c r="B434" s="156" t="s">
        <v>1413</v>
      </c>
    </row>
    <row r="435" spans="1:2">
      <c r="A435" s="156" t="s">
        <v>1414</v>
      </c>
      <c r="B435" s="156" t="s">
        <v>1415</v>
      </c>
    </row>
    <row r="436" spans="1:2">
      <c r="A436" s="156" t="s">
        <v>1416</v>
      </c>
      <c r="B436" s="156" t="s">
        <v>1417</v>
      </c>
    </row>
    <row r="437" spans="1:2">
      <c r="A437" s="156" t="s">
        <v>1418</v>
      </c>
      <c r="B437" s="156" t="s">
        <v>1419</v>
      </c>
    </row>
    <row r="438" spans="1:2">
      <c r="A438" s="156" t="s">
        <v>1420</v>
      </c>
      <c r="B438" s="156" t="s">
        <v>1421</v>
      </c>
    </row>
    <row r="439" spans="1:2">
      <c r="A439" s="156" t="s">
        <v>1422</v>
      </c>
      <c r="B439" s="156" t="s">
        <v>1423</v>
      </c>
    </row>
    <row r="440" spans="1:2">
      <c r="A440" s="156" t="s">
        <v>1424</v>
      </c>
      <c r="B440" s="156" t="s">
        <v>1425</v>
      </c>
    </row>
    <row r="441" spans="1:2">
      <c r="A441" s="156" t="s">
        <v>1426</v>
      </c>
      <c r="B441" s="156" t="s">
        <v>1427</v>
      </c>
    </row>
    <row r="442" spans="1:2">
      <c r="A442" s="156" t="s">
        <v>1428</v>
      </c>
      <c r="B442" s="156" t="s">
        <v>1429</v>
      </c>
    </row>
    <row r="443" spans="1:2">
      <c r="A443" s="156" t="s">
        <v>1430</v>
      </c>
      <c r="B443" s="156" t="s">
        <v>1431</v>
      </c>
    </row>
    <row r="444" spans="1:2">
      <c r="A444" s="156" t="s">
        <v>1432</v>
      </c>
      <c r="B444" s="156" t="s">
        <v>1433</v>
      </c>
    </row>
    <row r="445" spans="1:2">
      <c r="A445" s="156" t="s">
        <v>1434</v>
      </c>
      <c r="B445" s="156" t="s">
        <v>1435</v>
      </c>
    </row>
    <row r="446" spans="1:2">
      <c r="A446" s="156" t="s">
        <v>1436</v>
      </c>
      <c r="B446" s="156" t="s">
        <v>1437</v>
      </c>
    </row>
    <row r="447" spans="1:2">
      <c r="A447" s="156" t="s">
        <v>1438</v>
      </c>
      <c r="B447" s="156" t="s">
        <v>1439</v>
      </c>
    </row>
    <row r="448" spans="1:2">
      <c r="A448" s="156" t="s">
        <v>1440</v>
      </c>
      <c r="B448" s="156" t="s">
        <v>1441</v>
      </c>
    </row>
    <row r="449" spans="1:2">
      <c r="A449" s="156" t="s">
        <v>1442</v>
      </c>
      <c r="B449" s="156" t="s">
        <v>1443</v>
      </c>
    </row>
    <row r="450" spans="1:2">
      <c r="A450" s="156" t="s">
        <v>1444</v>
      </c>
      <c r="B450" s="156" t="s">
        <v>1445</v>
      </c>
    </row>
    <row r="451" spans="1:2">
      <c r="A451" s="156" t="s">
        <v>1446</v>
      </c>
      <c r="B451" s="156" t="s">
        <v>1447</v>
      </c>
    </row>
    <row r="452" spans="1:2">
      <c r="A452" s="156" t="s">
        <v>1448</v>
      </c>
      <c r="B452" s="156" t="s">
        <v>1449</v>
      </c>
    </row>
    <row r="453" spans="1:2">
      <c r="A453" s="156" t="s">
        <v>1450</v>
      </c>
      <c r="B453" s="156" t="s">
        <v>1451</v>
      </c>
    </row>
    <row r="454" spans="1:2">
      <c r="A454" s="156" t="s">
        <v>1452</v>
      </c>
      <c r="B454" s="156" t="s">
        <v>1453</v>
      </c>
    </row>
    <row r="455" spans="1:2">
      <c r="A455" s="156" t="s">
        <v>1454</v>
      </c>
      <c r="B455" s="156" t="s">
        <v>1455</v>
      </c>
    </row>
    <row r="456" spans="1:2">
      <c r="A456" s="156" t="s">
        <v>1456</v>
      </c>
      <c r="B456" s="156" t="s">
        <v>1457</v>
      </c>
    </row>
    <row r="457" spans="1:2">
      <c r="A457" s="156" t="s">
        <v>1458</v>
      </c>
      <c r="B457" s="156" t="s">
        <v>1459</v>
      </c>
    </row>
    <row r="458" spans="1:2">
      <c r="A458" s="156" t="s">
        <v>1460</v>
      </c>
      <c r="B458" s="156" t="s">
        <v>1461</v>
      </c>
    </row>
    <row r="459" spans="1:2">
      <c r="A459" s="156" t="s">
        <v>1462</v>
      </c>
      <c r="B459" s="156" t="s">
        <v>1463</v>
      </c>
    </row>
    <row r="460" spans="1:2">
      <c r="A460" s="156" t="s">
        <v>1464</v>
      </c>
      <c r="B460" s="156" t="s">
        <v>1465</v>
      </c>
    </row>
    <row r="461" spans="1:2">
      <c r="A461" s="156" t="s">
        <v>1466</v>
      </c>
      <c r="B461" s="156" t="s">
        <v>1467</v>
      </c>
    </row>
    <row r="462" spans="1:2">
      <c r="A462" s="156" t="s">
        <v>1468</v>
      </c>
      <c r="B462" s="156" t="s">
        <v>1469</v>
      </c>
    </row>
    <row r="463" spans="1:2">
      <c r="A463" s="156" t="s">
        <v>1470</v>
      </c>
      <c r="B463" s="156" t="s">
        <v>1471</v>
      </c>
    </row>
    <row r="464" spans="1:2">
      <c r="A464" s="156" t="s">
        <v>1472</v>
      </c>
      <c r="B464" s="156" t="s">
        <v>1473</v>
      </c>
    </row>
    <row r="465" spans="1:2">
      <c r="A465" s="156" t="s">
        <v>1474</v>
      </c>
      <c r="B465" s="156" t="s">
        <v>1475</v>
      </c>
    </row>
    <row r="466" spans="1:2">
      <c r="A466" s="156" t="s">
        <v>1476</v>
      </c>
      <c r="B466" s="156" t="s">
        <v>1477</v>
      </c>
    </row>
    <row r="467" spans="1:2">
      <c r="A467" s="156" t="s">
        <v>1478</v>
      </c>
      <c r="B467" s="156" t="s">
        <v>1479</v>
      </c>
    </row>
    <row r="468" spans="1:2">
      <c r="A468" s="156" t="s">
        <v>1480</v>
      </c>
      <c r="B468" s="156" t="s">
        <v>1481</v>
      </c>
    </row>
    <row r="469" spans="1:2">
      <c r="A469" s="156" t="s">
        <v>1482</v>
      </c>
      <c r="B469" s="156" t="s">
        <v>1483</v>
      </c>
    </row>
    <row r="470" spans="1:2">
      <c r="A470" s="156" t="s">
        <v>1484</v>
      </c>
      <c r="B470" s="156" t="s">
        <v>1485</v>
      </c>
    </row>
    <row r="471" spans="1:2">
      <c r="A471" s="156" t="s">
        <v>1486</v>
      </c>
      <c r="B471" s="156" t="s">
        <v>1487</v>
      </c>
    </row>
    <row r="472" spans="1:2">
      <c r="A472" s="156" t="s">
        <v>1488</v>
      </c>
      <c r="B472" s="156" t="s">
        <v>1489</v>
      </c>
    </row>
    <row r="473" spans="1:2">
      <c r="A473" s="156" t="s">
        <v>1490</v>
      </c>
      <c r="B473" s="156" t="s">
        <v>1491</v>
      </c>
    </row>
    <row r="474" spans="1:2">
      <c r="A474" s="156" t="s">
        <v>1492</v>
      </c>
      <c r="B474" s="156" t="s">
        <v>1493</v>
      </c>
    </row>
    <row r="475" spans="1:2">
      <c r="A475" s="156" t="s">
        <v>1494</v>
      </c>
      <c r="B475" s="156" t="s">
        <v>1495</v>
      </c>
    </row>
    <row r="476" spans="1:2">
      <c r="A476" s="156" t="s">
        <v>1496</v>
      </c>
      <c r="B476" s="156" t="s">
        <v>1497</v>
      </c>
    </row>
    <row r="477" spans="1:2">
      <c r="A477" s="156" t="s">
        <v>1498</v>
      </c>
      <c r="B477" s="156" t="s">
        <v>1499</v>
      </c>
    </row>
    <row r="478" spans="1:2">
      <c r="A478" s="156" t="s">
        <v>1500</v>
      </c>
      <c r="B478" s="156" t="s">
        <v>1501</v>
      </c>
    </row>
    <row r="479" spans="1:2">
      <c r="A479" s="156" t="s">
        <v>1502</v>
      </c>
      <c r="B479" s="156" t="s">
        <v>1503</v>
      </c>
    </row>
    <row r="480" spans="1:2">
      <c r="A480" s="156" t="s">
        <v>1504</v>
      </c>
      <c r="B480" s="156" t="s">
        <v>1505</v>
      </c>
    </row>
    <row r="481" spans="1:2">
      <c r="A481" s="156" t="s">
        <v>1506</v>
      </c>
      <c r="B481" s="156" t="s">
        <v>1507</v>
      </c>
    </row>
    <row r="482" spans="1:2">
      <c r="A482" s="156" t="s">
        <v>1508</v>
      </c>
      <c r="B482" s="156" t="s">
        <v>1509</v>
      </c>
    </row>
    <row r="483" spans="1:2">
      <c r="A483" s="156" t="s">
        <v>1510</v>
      </c>
      <c r="B483" s="156" t="s">
        <v>1511</v>
      </c>
    </row>
    <row r="484" spans="1:2">
      <c r="A484" s="156" t="s">
        <v>1512</v>
      </c>
      <c r="B484" s="156" t="s">
        <v>1513</v>
      </c>
    </row>
    <row r="485" spans="1:2">
      <c r="A485" s="156" t="s">
        <v>1514</v>
      </c>
      <c r="B485" s="156" t="s">
        <v>1515</v>
      </c>
    </row>
    <row r="486" spans="1:2">
      <c r="A486" s="156" t="s">
        <v>1516</v>
      </c>
      <c r="B486" s="156" t="s">
        <v>1517</v>
      </c>
    </row>
    <row r="487" spans="1:2">
      <c r="A487" s="156" t="s">
        <v>1518</v>
      </c>
      <c r="B487" s="156" t="s">
        <v>1519</v>
      </c>
    </row>
    <row r="488" spans="1:2">
      <c r="A488" s="156" t="s">
        <v>1520</v>
      </c>
      <c r="B488" s="156" t="s">
        <v>1521</v>
      </c>
    </row>
    <row r="489" spans="1:2">
      <c r="A489" s="156" t="s">
        <v>1522</v>
      </c>
      <c r="B489" s="156" t="s">
        <v>1523</v>
      </c>
    </row>
    <row r="490" spans="1:2">
      <c r="A490" s="156" t="s">
        <v>1524</v>
      </c>
      <c r="B490" s="156" t="s">
        <v>1525</v>
      </c>
    </row>
    <row r="491" spans="1:2">
      <c r="A491" s="156" t="s">
        <v>1526</v>
      </c>
      <c r="B491" s="156" t="s">
        <v>1527</v>
      </c>
    </row>
    <row r="492" spans="1:2">
      <c r="A492" s="156" t="s">
        <v>1528</v>
      </c>
      <c r="B492" s="156" t="s">
        <v>1529</v>
      </c>
    </row>
    <row r="493" spans="1:2">
      <c r="A493" s="156" t="s">
        <v>1530</v>
      </c>
      <c r="B493" s="156" t="s">
        <v>1531</v>
      </c>
    </row>
    <row r="494" spans="1:2">
      <c r="A494" s="156" t="s">
        <v>1532</v>
      </c>
      <c r="B494" s="156" t="s">
        <v>1533</v>
      </c>
    </row>
    <row r="495" spans="1:2">
      <c r="A495" s="156" t="s">
        <v>1534</v>
      </c>
      <c r="B495" s="156" t="s">
        <v>1535</v>
      </c>
    </row>
    <row r="496" spans="1:2">
      <c r="A496" s="156" t="s">
        <v>1536</v>
      </c>
      <c r="B496" s="156" t="s">
        <v>1537</v>
      </c>
    </row>
    <row r="497" spans="1:2">
      <c r="A497" s="156" t="s">
        <v>1538</v>
      </c>
      <c r="B497" s="156" t="s">
        <v>1539</v>
      </c>
    </row>
    <row r="498" spans="1:2">
      <c r="A498" s="156" t="s">
        <v>1540</v>
      </c>
      <c r="B498" s="156" t="s">
        <v>1541</v>
      </c>
    </row>
    <row r="499" spans="1:2">
      <c r="A499" s="156" t="s">
        <v>1542</v>
      </c>
      <c r="B499" s="156" t="s">
        <v>1543</v>
      </c>
    </row>
    <row r="500" spans="1:2">
      <c r="A500" s="156" t="s">
        <v>1544</v>
      </c>
      <c r="B500" s="156" t="s">
        <v>1545</v>
      </c>
    </row>
    <row r="501" spans="1:2">
      <c r="A501" s="156" t="s">
        <v>1546</v>
      </c>
      <c r="B501" s="156" t="s">
        <v>294</v>
      </c>
    </row>
    <row r="502" spans="1:2">
      <c r="A502" s="156" t="s">
        <v>1547</v>
      </c>
      <c r="B502" s="156" t="s">
        <v>1548</v>
      </c>
    </row>
    <row r="503" spans="1:2">
      <c r="A503" s="156" t="s">
        <v>1549</v>
      </c>
      <c r="B503" s="156" t="s">
        <v>1550</v>
      </c>
    </row>
    <row r="504" spans="1:2">
      <c r="A504" s="156" t="s">
        <v>1551</v>
      </c>
      <c r="B504" s="156" t="s">
        <v>1552</v>
      </c>
    </row>
    <row r="505" spans="1:2">
      <c r="A505" s="156" t="s">
        <v>1553</v>
      </c>
      <c r="B505" s="156" t="s">
        <v>1554</v>
      </c>
    </row>
    <row r="506" spans="1:2">
      <c r="A506" s="156" t="s">
        <v>1555</v>
      </c>
      <c r="B506" s="156" t="s">
        <v>1556</v>
      </c>
    </row>
    <row r="507" spans="1:2">
      <c r="A507" s="156" t="s">
        <v>1557</v>
      </c>
      <c r="B507" s="156" t="s">
        <v>1558</v>
      </c>
    </row>
    <row r="508" spans="1:2">
      <c r="A508" s="156" t="s">
        <v>1559</v>
      </c>
      <c r="B508" s="156" t="s">
        <v>1560</v>
      </c>
    </row>
    <row r="509" spans="1:2">
      <c r="A509" s="156" t="s">
        <v>1561</v>
      </c>
      <c r="B509" s="156" t="s">
        <v>1562</v>
      </c>
    </row>
    <row r="510" spans="1:2">
      <c r="A510" s="156" t="s">
        <v>1563</v>
      </c>
      <c r="B510" s="156" t="s">
        <v>1564</v>
      </c>
    </row>
    <row r="511" spans="1:2">
      <c r="A511" s="156" t="s">
        <v>1565</v>
      </c>
      <c r="B511" s="156" t="s">
        <v>1566</v>
      </c>
    </row>
    <row r="512" spans="1:2">
      <c r="A512" s="156" t="s">
        <v>1567</v>
      </c>
      <c r="B512" s="156" t="s">
        <v>1568</v>
      </c>
    </row>
    <row r="513" spans="1:2">
      <c r="A513" s="156" t="s">
        <v>1569</v>
      </c>
      <c r="B513" s="156" t="s">
        <v>1570</v>
      </c>
    </row>
    <row r="514" spans="1:2">
      <c r="A514" s="156" t="s">
        <v>1571</v>
      </c>
      <c r="B514" s="156" t="s">
        <v>1572</v>
      </c>
    </row>
    <row r="515" spans="1:2">
      <c r="A515" s="156" t="s">
        <v>1573</v>
      </c>
      <c r="B515" s="156" t="s">
        <v>1574</v>
      </c>
    </row>
    <row r="516" spans="1:2">
      <c r="A516" s="156" t="s">
        <v>1575</v>
      </c>
      <c r="B516" s="156" t="s">
        <v>1576</v>
      </c>
    </row>
    <row r="517" spans="1:2">
      <c r="A517" s="156" t="s">
        <v>1577</v>
      </c>
      <c r="B517" s="156" t="s">
        <v>1578</v>
      </c>
    </row>
    <row r="518" spans="1:2">
      <c r="A518" s="156" t="s">
        <v>1579</v>
      </c>
      <c r="B518" s="156" t="s">
        <v>1580</v>
      </c>
    </row>
    <row r="519" spans="1:2">
      <c r="A519" s="156" t="s">
        <v>1581</v>
      </c>
      <c r="B519" s="156" t="s">
        <v>1582</v>
      </c>
    </row>
    <row r="520" spans="1:2">
      <c r="A520" s="156" t="s">
        <v>1583</v>
      </c>
      <c r="B520" s="156" t="s">
        <v>1584</v>
      </c>
    </row>
    <row r="521" spans="1:2">
      <c r="A521" s="156" t="s">
        <v>1585</v>
      </c>
      <c r="B521" s="156" t="s">
        <v>1586</v>
      </c>
    </row>
    <row r="522" spans="1:2">
      <c r="A522" s="156" t="s">
        <v>1587</v>
      </c>
      <c r="B522" s="156" t="s">
        <v>1588</v>
      </c>
    </row>
    <row r="523" spans="1:2">
      <c r="A523" s="156" t="s">
        <v>1589</v>
      </c>
      <c r="B523" s="156" t="s">
        <v>1590</v>
      </c>
    </row>
    <row r="524" spans="1:2">
      <c r="A524" s="156" t="s">
        <v>1591</v>
      </c>
      <c r="B524" s="156" t="s">
        <v>1592</v>
      </c>
    </row>
    <row r="525" spans="1:2">
      <c r="A525" s="156" t="s">
        <v>1593</v>
      </c>
      <c r="B525" s="156" t="s">
        <v>1594</v>
      </c>
    </row>
    <row r="526" spans="1:2">
      <c r="A526" s="156" t="s">
        <v>1595</v>
      </c>
      <c r="B526" s="156" t="s">
        <v>1596</v>
      </c>
    </row>
    <row r="527" spans="1:2">
      <c r="A527" s="156" t="s">
        <v>1597</v>
      </c>
      <c r="B527" s="156" t="s">
        <v>1598</v>
      </c>
    </row>
    <row r="528" spans="1:2">
      <c r="A528" s="156" t="s">
        <v>1599</v>
      </c>
      <c r="B528" s="156" t="s">
        <v>1600</v>
      </c>
    </row>
    <row r="529" spans="1:2">
      <c r="A529" s="156" t="s">
        <v>1601</v>
      </c>
      <c r="B529" s="156" t="s">
        <v>1602</v>
      </c>
    </row>
    <row r="530" spans="1:2">
      <c r="A530" s="156" t="s">
        <v>1603</v>
      </c>
      <c r="B530" s="156" t="s">
        <v>1604</v>
      </c>
    </row>
    <row r="531" spans="1:2">
      <c r="A531" s="156" t="s">
        <v>1605</v>
      </c>
      <c r="B531" s="156" t="s">
        <v>1606</v>
      </c>
    </row>
    <row r="532" spans="1:2">
      <c r="A532" s="156" t="s">
        <v>1607</v>
      </c>
      <c r="B532" s="156" t="s">
        <v>1608</v>
      </c>
    </row>
    <row r="533" spans="1:2">
      <c r="A533" s="156" t="s">
        <v>1609</v>
      </c>
      <c r="B533" s="156" t="s">
        <v>1610</v>
      </c>
    </row>
    <row r="534" spans="1:2">
      <c r="A534" s="156" t="s">
        <v>1611</v>
      </c>
      <c r="B534" s="156" t="s">
        <v>1612</v>
      </c>
    </row>
    <row r="535" spans="1:2">
      <c r="A535" s="156" t="s">
        <v>1613</v>
      </c>
      <c r="B535" s="156" t="s">
        <v>1614</v>
      </c>
    </row>
    <row r="536" spans="1:2">
      <c r="A536" s="156" t="s">
        <v>1615</v>
      </c>
      <c r="B536" s="156" t="s">
        <v>1616</v>
      </c>
    </row>
    <row r="537" spans="1:2">
      <c r="A537" s="156" t="s">
        <v>1617</v>
      </c>
      <c r="B537" s="156" t="s">
        <v>1618</v>
      </c>
    </row>
    <row r="538" spans="1:2">
      <c r="A538" s="156" t="s">
        <v>1619</v>
      </c>
      <c r="B538" s="156" t="s">
        <v>1620</v>
      </c>
    </row>
    <row r="539" spans="1:2">
      <c r="A539" s="156" t="s">
        <v>1621</v>
      </c>
      <c r="B539" s="156" t="s">
        <v>1622</v>
      </c>
    </row>
    <row r="540" spans="1:2">
      <c r="A540" s="156" t="s">
        <v>1623</v>
      </c>
      <c r="B540" s="156" t="s">
        <v>1624</v>
      </c>
    </row>
    <row r="541" spans="1:2">
      <c r="A541" s="156" t="s">
        <v>1625</v>
      </c>
      <c r="B541" s="156" t="s">
        <v>1626</v>
      </c>
    </row>
    <row r="542" spans="1:2">
      <c r="A542" s="156" t="s">
        <v>1627</v>
      </c>
      <c r="B542" s="156" t="s">
        <v>1628</v>
      </c>
    </row>
    <row r="543" spans="1:2">
      <c r="A543" s="156" t="s">
        <v>1629</v>
      </c>
      <c r="B543" s="156" t="s">
        <v>1630</v>
      </c>
    </row>
    <row r="544" spans="1:2">
      <c r="A544" s="156" t="s">
        <v>1631</v>
      </c>
      <c r="B544" s="156" t="s">
        <v>1632</v>
      </c>
    </row>
    <row r="545" spans="1:2">
      <c r="A545" s="156" t="s">
        <v>1633</v>
      </c>
      <c r="B545" s="156" t="s">
        <v>1634</v>
      </c>
    </row>
    <row r="546" spans="1:2">
      <c r="A546" s="156" t="s">
        <v>1635</v>
      </c>
      <c r="B546" s="156" t="s">
        <v>1636</v>
      </c>
    </row>
    <row r="547" spans="1:2">
      <c r="A547" s="156" t="s">
        <v>1637</v>
      </c>
      <c r="B547" s="156" t="s">
        <v>1638</v>
      </c>
    </row>
    <row r="548" spans="1:2">
      <c r="A548" s="156" t="s">
        <v>1639</v>
      </c>
      <c r="B548" s="156" t="s">
        <v>1640</v>
      </c>
    </row>
    <row r="549" spans="1:2">
      <c r="A549" s="156" t="s">
        <v>1641</v>
      </c>
      <c r="B549" s="156" t="s">
        <v>1642</v>
      </c>
    </row>
    <row r="550" spans="1:2">
      <c r="A550" s="156" t="s">
        <v>1643</v>
      </c>
      <c r="B550" s="156" t="s">
        <v>1644</v>
      </c>
    </row>
    <row r="551" spans="1:2">
      <c r="A551" s="156" t="s">
        <v>1645</v>
      </c>
      <c r="B551" s="156" t="s">
        <v>1646</v>
      </c>
    </row>
    <row r="552" spans="1:2">
      <c r="A552" s="156" t="s">
        <v>1647</v>
      </c>
      <c r="B552" s="156" t="s">
        <v>1648</v>
      </c>
    </row>
    <row r="553" spans="1:2">
      <c r="A553" s="156" t="s">
        <v>1649</v>
      </c>
      <c r="B553" s="156" t="s">
        <v>1650</v>
      </c>
    </row>
    <row r="554" spans="1:2">
      <c r="A554" s="156" t="s">
        <v>1651</v>
      </c>
      <c r="B554" s="156" t="s">
        <v>1652</v>
      </c>
    </row>
    <row r="555" spans="1:2">
      <c r="A555" s="156" t="s">
        <v>1653</v>
      </c>
      <c r="B555" s="156" t="s">
        <v>1654</v>
      </c>
    </row>
    <row r="556" spans="1:2">
      <c r="A556" s="156" t="s">
        <v>1655</v>
      </c>
      <c r="B556" s="156" t="s">
        <v>1656</v>
      </c>
    </row>
    <row r="557" spans="1:2">
      <c r="A557" s="156" t="s">
        <v>1657</v>
      </c>
      <c r="B557" s="156" t="s">
        <v>1658</v>
      </c>
    </row>
    <row r="558" spans="1:2">
      <c r="A558" s="156" t="s">
        <v>1659</v>
      </c>
      <c r="B558" s="156" t="s">
        <v>1660</v>
      </c>
    </row>
    <row r="559" spans="1:2">
      <c r="A559" s="156" t="s">
        <v>1661</v>
      </c>
      <c r="B559" s="156" t="s">
        <v>1662</v>
      </c>
    </row>
    <row r="560" spans="1:2">
      <c r="A560" s="156" t="s">
        <v>1663</v>
      </c>
      <c r="B560" s="156" t="s">
        <v>1664</v>
      </c>
    </row>
    <row r="561" spans="1:2">
      <c r="A561" s="156" t="s">
        <v>1665</v>
      </c>
      <c r="B561" s="156" t="s">
        <v>1666</v>
      </c>
    </row>
    <row r="562" spans="1:2">
      <c r="A562" s="156" t="s">
        <v>1667</v>
      </c>
      <c r="B562" s="156" t="s">
        <v>1668</v>
      </c>
    </row>
    <row r="563" spans="1:2">
      <c r="A563" s="156" t="s">
        <v>1669</v>
      </c>
      <c r="B563" s="156" t="s">
        <v>1670</v>
      </c>
    </row>
    <row r="564" spans="1:2">
      <c r="A564" s="156" t="s">
        <v>1671</v>
      </c>
      <c r="B564" s="156" t="s">
        <v>1672</v>
      </c>
    </row>
    <row r="565" spans="1:2">
      <c r="A565" s="156" t="s">
        <v>1673</v>
      </c>
      <c r="B565" s="156" t="s">
        <v>1674</v>
      </c>
    </row>
    <row r="566" spans="1:2">
      <c r="A566" s="156" t="s">
        <v>1675</v>
      </c>
      <c r="B566" s="156" t="s">
        <v>1676</v>
      </c>
    </row>
    <row r="567" spans="1:2">
      <c r="A567" s="156" t="s">
        <v>1677</v>
      </c>
      <c r="B567" s="156" t="s">
        <v>1678</v>
      </c>
    </row>
    <row r="568" spans="1:2">
      <c r="A568" s="156" t="s">
        <v>1679</v>
      </c>
      <c r="B568" s="156" t="s">
        <v>1680</v>
      </c>
    </row>
    <row r="569" spans="1:2">
      <c r="A569" s="156" t="s">
        <v>1681</v>
      </c>
      <c r="B569" s="156" t="s">
        <v>1682</v>
      </c>
    </row>
    <row r="570" spans="1:2">
      <c r="A570" s="156" t="s">
        <v>1683</v>
      </c>
      <c r="B570" s="156" t="s">
        <v>1684</v>
      </c>
    </row>
    <row r="571" spans="1:2">
      <c r="A571" s="156" t="s">
        <v>1685</v>
      </c>
      <c r="B571" s="156" t="s">
        <v>1686</v>
      </c>
    </row>
    <row r="572" spans="1:2">
      <c r="A572" s="156" t="s">
        <v>1687</v>
      </c>
      <c r="B572" s="156" t="s">
        <v>1688</v>
      </c>
    </row>
    <row r="573" spans="1:2">
      <c r="A573" s="156" t="s">
        <v>1689</v>
      </c>
      <c r="B573" s="156" t="s">
        <v>1690</v>
      </c>
    </row>
    <row r="574" spans="1:2">
      <c r="A574" s="156" t="s">
        <v>1691</v>
      </c>
      <c r="B574" s="156" t="s">
        <v>1692</v>
      </c>
    </row>
    <row r="575" spans="1:2">
      <c r="A575" s="156" t="s">
        <v>1693</v>
      </c>
      <c r="B575" s="156" t="s">
        <v>1694</v>
      </c>
    </row>
    <row r="576" spans="1:2">
      <c r="A576" s="156" t="s">
        <v>1695</v>
      </c>
      <c r="B576" s="156" t="s">
        <v>1696</v>
      </c>
    </row>
    <row r="577" spans="1:2">
      <c r="A577" s="156" t="s">
        <v>1697</v>
      </c>
      <c r="B577" s="156" t="s">
        <v>1698</v>
      </c>
    </row>
    <row r="578" spans="1:2">
      <c r="A578" s="156" t="s">
        <v>1699</v>
      </c>
      <c r="B578" s="156" t="s">
        <v>1700</v>
      </c>
    </row>
    <row r="579" spans="1:2">
      <c r="A579" s="156" t="s">
        <v>1701</v>
      </c>
      <c r="B579" s="156" t="s">
        <v>1702</v>
      </c>
    </row>
    <row r="580" spans="1:2">
      <c r="A580" s="156" t="s">
        <v>1703</v>
      </c>
      <c r="B580" s="156" t="s">
        <v>1704</v>
      </c>
    </row>
    <row r="581" spans="1:2">
      <c r="A581" s="156" t="s">
        <v>1705</v>
      </c>
      <c r="B581" s="156" t="s">
        <v>1706</v>
      </c>
    </row>
    <row r="582" spans="1:2">
      <c r="A582" s="156" t="s">
        <v>1707</v>
      </c>
      <c r="B582" s="156" t="s">
        <v>1708</v>
      </c>
    </row>
    <row r="583" spans="1:2">
      <c r="A583" s="156" t="s">
        <v>1709</v>
      </c>
      <c r="B583" s="156" t="s">
        <v>1710</v>
      </c>
    </row>
    <row r="584" spans="1:2">
      <c r="A584" s="156" t="s">
        <v>1711</v>
      </c>
      <c r="B584" s="156" t="s">
        <v>1712</v>
      </c>
    </row>
    <row r="585" spans="1:2">
      <c r="A585" s="156" t="s">
        <v>1713</v>
      </c>
      <c r="B585" s="156" t="s">
        <v>1714</v>
      </c>
    </row>
    <row r="586" spans="1:2">
      <c r="A586" s="156" t="s">
        <v>1715</v>
      </c>
      <c r="B586" s="156" t="s">
        <v>1716</v>
      </c>
    </row>
    <row r="587" spans="1:2">
      <c r="A587" s="156" t="s">
        <v>1717</v>
      </c>
      <c r="B587" s="156" t="s">
        <v>1718</v>
      </c>
    </row>
    <row r="588" spans="1:2">
      <c r="A588" s="156" t="s">
        <v>1719</v>
      </c>
      <c r="B588" s="156" t="s">
        <v>119</v>
      </c>
    </row>
    <row r="589" spans="1:2">
      <c r="A589" s="156" t="s">
        <v>1720</v>
      </c>
      <c r="B589" s="156" t="s">
        <v>1721</v>
      </c>
    </row>
    <row r="590" spans="1:2">
      <c r="A590" s="156" t="s">
        <v>1722</v>
      </c>
      <c r="B590" s="156" t="s">
        <v>1723</v>
      </c>
    </row>
    <row r="591" spans="1:2">
      <c r="A591" s="156" t="s">
        <v>1724</v>
      </c>
      <c r="B591" s="156" t="s">
        <v>1725</v>
      </c>
    </row>
    <row r="592" spans="1:2">
      <c r="A592" s="156" t="s">
        <v>1726</v>
      </c>
      <c r="B592" s="156" t="s">
        <v>1727</v>
      </c>
    </row>
    <row r="593" spans="1:2">
      <c r="A593" s="156" t="s">
        <v>1728</v>
      </c>
      <c r="B593" s="156" t="s">
        <v>1729</v>
      </c>
    </row>
    <row r="594" spans="1:2">
      <c r="A594" s="156" t="s">
        <v>1730</v>
      </c>
      <c r="B594" s="156" t="s">
        <v>1731</v>
      </c>
    </row>
    <row r="595" spans="1:2">
      <c r="A595" s="156" t="s">
        <v>1732</v>
      </c>
      <c r="B595" s="156" t="s">
        <v>1733</v>
      </c>
    </row>
    <row r="596" spans="1:2">
      <c r="A596" s="156" t="s">
        <v>1734</v>
      </c>
      <c r="B596" s="156" t="s">
        <v>1735</v>
      </c>
    </row>
    <row r="597" spans="1:2">
      <c r="A597" s="156" t="s">
        <v>1736</v>
      </c>
      <c r="B597" s="156" t="s">
        <v>1737</v>
      </c>
    </row>
    <row r="598" spans="1:2">
      <c r="A598" s="156" t="s">
        <v>1738</v>
      </c>
      <c r="B598" s="156" t="s">
        <v>1739</v>
      </c>
    </row>
    <row r="599" spans="1:2">
      <c r="A599" s="156" t="s">
        <v>1740</v>
      </c>
      <c r="B599" s="156" t="s">
        <v>1741</v>
      </c>
    </row>
    <row r="600" spans="1:2">
      <c r="A600" s="156" t="s">
        <v>1742</v>
      </c>
      <c r="B600" s="156" t="s">
        <v>1743</v>
      </c>
    </row>
    <row r="601" spans="1:2">
      <c r="A601" s="156" t="s">
        <v>1744</v>
      </c>
      <c r="B601" s="156" t="s">
        <v>1745</v>
      </c>
    </row>
    <row r="602" spans="1:2">
      <c r="A602" s="156" t="s">
        <v>1746</v>
      </c>
      <c r="B602" s="156" t="s">
        <v>1747</v>
      </c>
    </row>
    <row r="603" spans="1:2">
      <c r="A603" s="156" t="s">
        <v>1748</v>
      </c>
      <c r="B603" s="156" t="s">
        <v>1749</v>
      </c>
    </row>
    <row r="604" spans="1:2">
      <c r="A604" s="156" t="s">
        <v>1750</v>
      </c>
      <c r="B604" s="156" t="s">
        <v>1751</v>
      </c>
    </row>
    <row r="605" spans="1:2">
      <c r="A605" s="156" t="s">
        <v>1752</v>
      </c>
      <c r="B605" s="156" t="s">
        <v>1753</v>
      </c>
    </row>
    <row r="606" spans="1:2">
      <c r="A606" s="156" t="s">
        <v>1754</v>
      </c>
      <c r="B606" s="156" t="s">
        <v>1755</v>
      </c>
    </row>
    <row r="607" spans="1:2">
      <c r="A607" s="156" t="s">
        <v>1756</v>
      </c>
      <c r="B607" s="156" t="s">
        <v>1757</v>
      </c>
    </row>
    <row r="608" spans="1:2">
      <c r="A608" s="156" t="s">
        <v>1758</v>
      </c>
      <c r="B608" s="156" t="s">
        <v>1759</v>
      </c>
    </row>
    <row r="609" spans="1:2">
      <c r="A609" s="156" t="s">
        <v>1760</v>
      </c>
      <c r="B609" s="156" t="s">
        <v>1761</v>
      </c>
    </row>
    <row r="610" spans="1:2">
      <c r="A610" s="156" t="s">
        <v>1762</v>
      </c>
      <c r="B610" s="156" t="s">
        <v>1763</v>
      </c>
    </row>
    <row r="611" spans="1:2">
      <c r="A611" s="156" t="s">
        <v>1764</v>
      </c>
      <c r="B611" s="156" t="s">
        <v>1765</v>
      </c>
    </row>
    <row r="612" spans="1:2">
      <c r="A612" s="156" t="s">
        <v>1766</v>
      </c>
      <c r="B612" s="156" t="s">
        <v>1767</v>
      </c>
    </row>
    <row r="613" spans="1:2">
      <c r="A613" s="156" t="s">
        <v>1768</v>
      </c>
      <c r="B613" s="156" t="s">
        <v>1769</v>
      </c>
    </row>
    <row r="614" spans="1:2">
      <c r="A614" s="156" t="s">
        <v>1770</v>
      </c>
      <c r="B614" s="156" t="s">
        <v>1771</v>
      </c>
    </row>
    <row r="615" spans="1:2">
      <c r="A615" s="156" t="s">
        <v>1772</v>
      </c>
      <c r="B615" s="156" t="s">
        <v>1773</v>
      </c>
    </row>
    <row r="616" spans="1:2">
      <c r="A616" s="156" t="s">
        <v>1774</v>
      </c>
      <c r="B616" s="156" t="s">
        <v>1775</v>
      </c>
    </row>
    <row r="617" spans="1:2">
      <c r="A617" s="156" t="s">
        <v>1776</v>
      </c>
      <c r="B617" s="156" t="s">
        <v>1777</v>
      </c>
    </row>
    <row r="618" spans="1:2">
      <c r="A618" s="156" t="s">
        <v>1778</v>
      </c>
      <c r="B618" s="156" t="s">
        <v>1779</v>
      </c>
    </row>
    <row r="619" spans="1:2">
      <c r="A619" s="156" t="s">
        <v>1780</v>
      </c>
      <c r="B619" s="156" t="s">
        <v>1781</v>
      </c>
    </row>
    <row r="620" spans="1:2">
      <c r="A620" s="156" t="s">
        <v>1782</v>
      </c>
      <c r="B620" s="156" t="s">
        <v>1783</v>
      </c>
    </row>
    <row r="621" spans="1:2">
      <c r="A621" s="156" t="s">
        <v>1784</v>
      </c>
      <c r="B621" s="156" t="s">
        <v>1785</v>
      </c>
    </row>
    <row r="622" spans="1:2">
      <c r="A622" s="156" t="s">
        <v>1786</v>
      </c>
      <c r="B622" s="156" t="s">
        <v>1787</v>
      </c>
    </row>
    <row r="623" spans="1:2">
      <c r="A623" s="156" t="s">
        <v>1788</v>
      </c>
      <c r="B623" s="156" t="s">
        <v>1789</v>
      </c>
    </row>
    <row r="624" spans="1:2">
      <c r="A624" s="156" t="s">
        <v>1790</v>
      </c>
      <c r="B624" s="156" t="s">
        <v>1791</v>
      </c>
    </row>
    <row r="625" spans="1:2">
      <c r="A625" s="156" t="s">
        <v>1792</v>
      </c>
      <c r="B625" s="156" t="s">
        <v>1793</v>
      </c>
    </row>
    <row r="626" spans="1:2">
      <c r="A626" s="156" t="s">
        <v>1794</v>
      </c>
      <c r="B626" s="156" t="s">
        <v>1795</v>
      </c>
    </row>
    <row r="627" spans="1:2">
      <c r="A627" s="156" t="s">
        <v>1796</v>
      </c>
      <c r="B627" s="156" t="s">
        <v>299</v>
      </c>
    </row>
    <row r="628" spans="1:2">
      <c r="A628" s="156" t="s">
        <v>1797</v>
      </c>
      <c r="B628" s="156" t="s">
        <v>1798</v>
      </c>
    </row>
    <row r="629" spans="1:2">
      <c r="A629" s="156" t="s">
        <v>1799</v>
      </c>
      <c r="B629" s="156" t="s">
        <v>1800</v>
      </c>
    </row>
    <row r="630" spans="1:2">
      <c r="A630" s="156" t="s">
        <v>1801</v>
      </c>
      <c r="B630" s="156" t="s">
        <v>1802</v>
      </c>
    </row>
    <row r="631" spans="1:2">
      <c r="A631" s="156" t="s">
        <v>1803</v>
      </c>
      <c r="B631" s="156" t="s">
        <v>1804</v>
      </c>
    </row>
    <row r="632" spans="1:2">
      <c r="A632" s="156" t="s">
        <v>1805</v>
      </c>
      <c r="B632" s="156" t="s">
        <v>1806</v>
      </c>
    </row>
    <row r="633" spans="1:2">
      <c r="A633" s="156" t="s">
        <v>1807</v>
      </c>
      <c r="B633" s="156" t="s">
        <v>1808</v>
      </c>
    </row>
    <row r="634" spans="1:2">
      <c r="A634" s="156" t="s">
        <v>1809</v>
      </c>
      <c r="B634" s="156" t="s">
        <v>1810</v>
      </c>
    </row>
    <row r="635" spans="1:2">
      <c r="A635" s="156" t="s">
        <v>1811</v>
      </c>
      <c r="B635" s="156" t="s">
        <v>1812</v>
      </c>
    </row>
    <row r="636" spans="1:2">
      <c r="A636" s="156" t="s">
        <v>1813</v>
      </c>
      <c r="B636" s="156" t="s">
        <v>1814</v>
      </c>
    </row>
    <row r="637" spans="1:2">
      <c r="A637" s="156" t="s">
        <v>1815</v>
      </c>
      <c r="B637" s="156" t="s">
        <v>1816</v>
      </c>
    </row>
    <row r="638" spans="1:2">
      <c r="A638" s="156" t="s">
        <v>1817</v>
      </c>
      <c r="B638" s="156" t="s">
        <v>1818</v>
      </c>
    </row>
    <row r="639" spans="1:2">
      <c r="A639" s="156" t="s">
        <v>1819</v>
      </c>
      <c r="B639" s="156" t="s">
        <v>1820</v>
      </c>
    </row>
    <row r="640" spans="1:2">
      <c r="A640" s="156" t="s">
        <v>1821</v>
      </c>
      <c r="B640" s="156" t="s">
        <v>1822</v>
      </c>
    </row>
    <row r="641" spans="1:2">
      <c r="A641" s="156" t="s">
        <v>1823</v>
      </c>
      <c r="B641" s="156" t="s">
        <v>1824</v>
      </c>
    </row>
    <row r="642" spans="1:2">
      <c r="A642" s="156" t="s">
        <v>1825</v>
      </c>
      <c r="B642" s="156" t="s">
        <v>1826</v>
      </c>
    </row>
    <row r="643" spans="1:2">
      <c r="A643" s="156" t="s">
        <v>1827</v>
      </c>
      <c r="B643" s="156" t="s">
        <v>1828</v>
      </c>
    </row>
    <row r="644" spans="1:2">
      <c r="A644" s="156" t="s">
        <v>1829</v>
      </c>
      <c r="B644" s="156" t="s">
        <v>1830</v>
      </c>
    </row>
    <row r="645" spans="1:2">
      <c r="A645" s="156" t="s">
        <v>1831</v>
      </c>
      <c r="B645" s="156" t="s">
        <v>1832</v>
      </c>
    </row>
    <row r="646" spans="1:2">
      <c r="A646" s="156" t="s">
        <v>1833</v>
      </c>
      <c r="B646" s="156" t="s">
        <v>1834</v>
      </c>
    </row>
    <row r="647" spans="1:2">
      <c r="A647" s="156" t="s">
        <v>1835</v>
      </c>
      <c r="B647" s="156" t="s">
        <v>1836</v>
      </c>
    </row>
    <row r="648" spans="1:2">
      <c r="A648" s="156" t="s">
        <v>1837</v>
      </c>
      <c r="B648" s="156" t="s">
        <v>1838</v>
      </c>
    </row>
    <row r="649" spans="1:2">
      <c r="A649" s="156" t="s">
        <v>1839</v>
      </c>
      <c r="B649" s="156" t="s">
        <v>1840</v>
      </c>
    </row>
    <row r="650" spans="1:2">
      <c r="A650" s="156" t="s">
        <v>1841</v>
      </c>
      <c r="B650" s="156" t="s">
        <v>1842</v>
      </c>
    </row>
    <row r="651" spans="1:2">
      <c r="A651" s="156" t="s">
        <v>1843</v>
      </c>
      <c r="B651" s="156" t="s">
        <v>1844</v>
      </c>
    </row>
    <row r="652" spans="1:2">
      <c r="A652" s="156" t="s">
        <v>1845</v>
      </c>
      <c r="B652" s="156" t="s">
        <v>1846</v>
      </c>
    </row>
    <row r="653" spans="1:2">
      <c r="A653" s="156" t="s">
        <v>1847</v>
      </c>
      <c r="B653" s="156" t="s">
        <v>1848</v>
      </c>
    </row>
    <row r="654" spans="1:2">
      <c r="A654" s="156" t="s">
        <v>1849</v>
      </c>
      <c r="B654" s="156" t="s">
        <v>1850</v>
      </c>
    </row>
    <row r="655" spans="1:2">
      <c r="A655" s="156" t="s">
        <v>1851</v>
      </c>
      <c r="B655" s="156" t="s">
        <v>1852</v>
      </c>
    </row>
    <row r="656" spans="1:2">
      <c r="A656" s="156" t="s">
        <v>1853</v>
      </c>
      <c r="B656" s="156" t="s">
        <v>1854</v>
      </c>
    </row>
    <row r="657" spans="1:2">
      <c r="A657" s="156" t="s">
        <v>1855</v>
      </c>
      <c r="B657" s="156" t="s">
        <v>1856</v>
      </c>
    </row>
    <row r="658" spans="1:2">
      <c r="A658" s="156" t="s">
        <v>1857</v>
      </c>
      <c r="B658" s="156" t="s">
        <v>1858</v>
      </c>
    </row>
    <row r="659" spans="1:2">
      <c r="A659" s="156" t="s">
        <v>1859</v>
      </c>
      <c r="B659" s="156" t="s">
        <v>1860</v>
      </c>
    </row>
    <row r="660" spans="1:2">
      <c r="A660" s="156" t="s">
        <v>1861</v>
      </c>
      <c r="B660" s="156" t="s">
        <v>1862</v>
      </c>
    </row>
    <row r="661" spans="1:2">
      <c r="A661" s="156" t="s">
        <v>1863</v>
      </c>
      <c r="B661" s="156" t="s">
        <v>1864</v>
      </c>
    </row>
    <row r="662" spans="1:2">
      <c r="A662" s="156" t="s">
        <v>1865</v>
      </c>
      <c r="B662" s="156" t="s">
        <v>1866</v>
      </c>
    </row>
    <row r="663" spans="1:2">
      <c r="A663" s="156" t="s">
        <v>1867</v>
      </c>
      <c r="B663" s="156" t="s">
        <v>1868</v>
      </c>
    </row>
    <row r="664" spans="1:2">
      <c r="A664" s="156" t="s">
        <v>1869</v>
      </c>
      <c r="B664" s="156" t="s">
        <v>1870</v>
      </c>
    </row>
    <row r="665" spans="1:2">
      <c r="A665" s="156" t="s">
        <v>1871</v>
      </c>
      <c r="B665" s="156" t="s">
        <v>1872</v>
      </c>
    </row>
    <row r="666" spans="1:2">
      <c r="A666" s="156" t="s">
        <v>1873</v>
      </c>
      <c r="B666" s="156" t="s">
        <v>1874</v>
      </c>
    </row>
    <row r="667" spans="1:2">
      <c r="A667" s="156" t="s">
        <v>1875</v>
      </c>
      <c r="B667" s="156" t="s">
        <v>1876</v>
      </c>
    </row>
    <row r="668" spans="1:2">
      <c r="A668" s="156" t="s">
        <v>1877</v>
      </c>
      <c r="B668" s="156" t="s">
        <v>1878</v>
      </c>
    </row>
    <row r="669" spans="1:2">
      <c r="A669" s="156" t="s">
        <v>1879</v>
      </c>
      <c r="B669" s="156" t="s">
        <v>1880</v>
      </c>
    </row>
    <row r="670" spans="1:2">
      <c r="A670" s="156" t="s">
        <v>1881</v>
      </c>
      <c r="B670" s="156" t="s">
        <v>1882</v>
      </c>
    </row>
    <row r="671" spans="1:2">
      <c r="A671" s="156" t="s">
        <v>1883</v>
      </c>
      <c r="B671" s="156" t="s">
        <v>1884</v>
      </c>
    </row>
    <row r="672" spans="1:2">
      <c r="A672" s="156" t="s">
        <v>1885</v>
      </c>
      <c r="B672" s="156" t="s">
        <v>1886</v>
      </c>
    </row>
    <row r="673" spans="1:2">
      <c r="A673" s="156" t="s">
        <v>1887</v>
      </c>
      <c r="B673" s="156" t="s">
        <v>1888</v>
      </c>
    </row>
    <row r="674" spans="1:2">
      <c r="A674" s="156" t="s">
        <v>1889</v>
      </c>
      <c r="B674" s="156" t="s">
        <v>1890</v>
      </c>
    </row>
    <row r="675" spans="1:2">
      <c r="A675" s="156" t="s">
        <v>1891</v>
      </c>
      <c r="B675" s="156" t="s">
        <v>1892</v>
      </c>
    </row>
    <row r="676" spans="1:2">
      <c r="A676" s="156" t="s">
        <v>1893</v>
      </c>
      <c r="B676" s="156" t="s">
        <v>1894</v>
      </c>
    </row>
    <row r="677" spans="1:2">
      <c r="A677" s="156" t="s">
        <v>1895</v>
      </c>
      <c r="B677" s="156" t="s">
        <v>1896</v>
      </c>
    </row>
    <row r="678" spans="1:2">
      <c r="A678" s="156" t="s">
        <v>1897</v>
      </c>
      <c r="B678" s="156" t="s">
        <v>1898</v>
      </c>
    </row>
    <row r="679" spans="1:2">
      <c r="A679" s="156" t="s">
        <v>1899</v>
      </c>
      <c r="B679" s="156" t="s">
        <v>1900</v>
      </c>
    </row>
    <row r="680" spans="1:2">
      <c r="A680" s="156" t="s">
        <v>1901</v>
      </c>
      <c r="B680" s="156" t="s">
        <v>1902</v>
      </c>
    </row>
    <row r="681" spans="1:2">
      <c r="A681" s="156" t="s">
        <v>1903</v>
      </c>
      <c r="B681" s="156" t="s">
        <v>1904</v>
      </c>
    </row>
    <row r="682" spans="1:2">
      <c r="A682" s="156" t="s">
        <v>1905</v>
      </c>
      <c r="B682" s="156" t="s">
        <v>1906</v>
      </c>
    </row>
    <row r="683" spans="1:2">
      <c r="A683" s="156" t="s">
        <v>1907</v>
      </c>
      <c r="B683" s="156" t="s">
        <v>1908</v>
      </c>
    </row>
    <row r="684" spans="1:2">
      <c r="A684" s="156" t="s">
        <v>1909</v>
      </c>
      <c r="B684" s="156" t="s">
        <v>1910</v>
      </c>
    </row>
    <row r="685" spans="1:2">
      <c r="A685" s="156" t="s">
        <v>1911</v>
      </c>
      <c r="B685" s="156" t="s">
        <v>1912</v>
      </c>
    </row>
    <row r="686" spans="1:2">
      <c r="A686" s="156" t="s">
        <v>1913</v>
      </c>
      <c r="B686" s="156" t="s">
        <v>1914</v>
      </c>
    </row>
    <row r="687" spans="1:2">
      <c r="A687" s="156" t="s">
        <v>1915</v>
      </c>
      <c r="B687" s="156" t="s">
        <v>1916</v>
      </c>
    </row>
    <row r="688" spans="1:2">
      <c r="A688" s="156" t="s">
        <v>1917</v>
      </c>
      <c r="B688" s="156" t="s">
        <v>1918</v>
      </c>
    </row>
    <row r="689" spans="1:2">
      <c r="A689" s="156" t="s">
        <v>1919</v>
      </c>
      <c r="B689" s="156" t="s">
        <v>1920</v>
      </c>
    </row>
    <row r="690" spans="1:2">
      <c r="A690" s="156" t="s">
        <v>1921</v>
      </c>
      <c r="B690" s="156" t="s">
        <v>1922</v>
      </c>
    </row>
    <row r="691" spans="1:2">
      <c r="A691" s="156" t="s">
        <v>1923</v>
      </c>
      <c r="B691" s="156" t="s">
        <v>1924</v>
      </c>
    </row>
    <row r="692" spans="1:2">
      <c r="A692" s="156" t="s">
        <v>1925</v>
      </c>
      <c r="B692" s="156" t="s">
        <v>1926</v>
      </c>
    </row>
    <row r="693" spans="1:2">
      <c r="A693" s="156" t="s">
        <v>1927</v>
      </c>
      <c r="B693" s="156" t="s">
        <v>1928</v>
      </c>
    </row>
    <row r="694" spans="1:2">
      <c r="A694" s="156" t="s">
        <v>1929</v>
      </c>
      <c r="B694" s="156" t="s">
        <v>1930</v>
      </c>
    </row>
    <row r="695" spans="1:2">
      <c r="A695" s="156" t="s">
        <v>1931</v>
      </c>
      <c r="B695" s="156" t="s">
        <v>1932</v>
      </c>
    </row>
    <row r="696" spans="1:2">
      <c r="A696" s="156" t="s">
        <v>1933</v>
      </c>
      <c r="B696" s="156" t="s">
        <v>1934</v>
      </c>
    </row>
    <row r="697" spans="1:2">
      <c r="A697" s="156" t="s">
        <v>1935</v>
      </c>
      <c r="B697" s="156" t="s">
        <v>1936</v>
      </c>
    </row>
    <row r="698" spans="1:2">
      <c r="A698" s="156" t="s">
        <v>1937</v>
      </c>
      <c r="B698" s="156" t="s">
        <v>1938</v>
      </c>
    </row>
    <row r="699" spans="1:2">
      <c r="A699" s="156" t="s">
        <v>1939</v>
      </c>
      <c r="B699" s="156" t="s">
        <v>1940</v>
      </c>
    </row>
    <row r="700" spans="1:2">
      <c r="A700" s="156" t="s">
        <v>1941</v>
      </c>
      <c r="B700" s="156" t="s">
        <v>1942</v>
      </c>
    </row>
    <row r="701" spans="1:2">
      <c r="A701" s="156" t="s">
        <v>1943</v>
      </c>
      <c r="B701" s="156" t="s">
        <v>1944</v>
      </c>
    </row>
    <row r="702" spans="1:2">
      <c r="A702" s="156" t="s">
        <v>1945</v>
      </c>
      <c r="B702" s="156" t="s">
        <v>1946</v>
      </c>
    </row>
    <row r="703" spans="1:2">
      <c r="A703" s="156" t="s">
        <v>1947</v>
      </c>
      <c r="B703" s="156" t="s">
        <v>1948</v>
      </c>
    </row>
    <row r="704" spans="1:2">
      <c r="A704" s="156" t="s">
        <v>1949</v>
      </c>
      <c r="B704" s="156" t="s">
        <v>1950</v>
      </c>
    </row>
    <row r="705" spans="1:2">
      <c r="A705" s="156" t="s">
        <v>1951</v>
      </c>
      <c r="B705" s="156" t="s">
        <v>1952</v>
      </c>
    </row>
    <row r="706" spans="1:2">
      <c r="A706" s="156" t="s">
        <v>1953</v>
      </c>
      <c r="B706" s="156" t="s">
        <v>1954</v>
      </c>
    </row>
    <row r="707" spans="1:2">
      <c r="A707" s="156" t="s">
        <v>1955</v>
      </c>
      <c r="B707" s="156" t="s">
        <v>1956</v>
      </c>
    </row>
    <row r="708" spans="1:2">
      <c r="A708" s="156" t="s">
        <v>1957</v>
      </c>
      <c r="B708" s="156" t="s">
        <v>1958</v>
      </c>
    </row>
    <row r="709" spans="1:2">
      <c r="A709" s="156" t="s">
        <v>1959</v>
      </c>
      <c r="B709" s="156" t="s">
        <v>1960</v>
      </c>
    </row>
    <row r="710" spans="1:2">
      <c r="A710" s="156" t="s">
        <v>1961</v>
      </c>
      <c r="B710" s="156" t="s">
        <v>1962</v>
      </c>
    </row>
    <row r="711" spans="1:2">
      <c r="A711" s="156" t="s">
        <v>1963</v>
      </c>
      <c r="B711" s="156" t="s">
        <v>1964</v>
      </c>
    </row>
    <row r="712" spans="1:2">
      <c r="A712" s="156" t="s">
        <v>1965</v>
      </c>
      <c r="B712" s="156" t="s">
        <v>1966</v>
      </c>
    </row>
    <row r="713" spans="1:2">
      <c r="A713" s="156" t="s">
        <v>1967</v>
      </c>
      <c r="B713" s="156" t="s">
        <v>1968</v>
      </c>
    </row>
    <row r="714" spans="1:2">
      <c r="A714" s="156" t="s">
        <v>1969</v>
      </c>
      <c r="B714" s="156" t="s">
        <v>1970</v>
      </c>
    </row>
    <row r="715" spans="1:2">
      <c r="A715" s="156" t="s">
        <v>1971</v>
      </c>
      <c r="B715" s="156" t="s">
        <v>1972</v>
      </c>
    </row>
    <row r="716" spans="1:2">
      <c r="A716" s="156" t="s">
        <v>1973</v>
      </c>
      <c r="B716" s="156" t="s">
        <v>1974</v>
      </c>
    </row>
    <row r="717" spans="1:2">
      <c r="A717" s="156" t="s">
        <v>1975</v>
      </c>
      <c r="B717" s="156" t="s">
        <v>1976</v>
      </c>
    </row>
    <row r="718" spans="1:2">
      <c r="A718" s="156" t="s">
        <v>1977</v>
      </c>
      <c r="B718" s="156" t="s">
        <v>1978</v>
      </c>
    </row>
    <row r="719" spans="1:2">
      <c r="A719" s="156" t="s">
        <v>1979</v>
      </c>
      <c r="B719" s="156" t="s">
        <v>1980</v>
      </c>
    </row>
    <row r="720" spans="1:2">
      <c r="A720" s="156" t="s">
        <v>1981</v>
      </c>
      <c r="B720" s="156" t="s">
        <v>1982</v>
      </c>
    </row>
    <row r="721" spans="1:2">
      <c r="A721" s="156" t="s">
        <v>1983</v>
      </c>
      <c r="B721" s="156" t="s">
        <v>1984</v>
      </c>
    </row>
    <row r="722" spans="1:2">
      <c r="A722" s="156" t="s">
        <v>1985</v>
      </c>
      <c r="B722" s="156" t="s">
        <v>1986</v>
      </c>
    </row>
    <row r="723" spans="1:2">
      <c r="A723" s="156" t="s">
        <v>1987</v>
      </c>
      <c r="B723" s="156" t="s">
        <v>1988</v>
      </c>
    </row>
    <row r="724" spans="1:2">
      <c r="A724" s="156" t="s">
        <v>1989</v>
      </c>
      <c r="B724" s="156" t="s">
        <v>1990</v>
      </c>
    </row>
    <row r="725" spans="1:2">
      <c r="A725" s="156" t="s">
        <v>1991</v>
      </c>
      <c r="B725" s="156" t="s">
        <v>1992</v>
      </c>
    </row>
    <row r="726" spans="1:2">
      <c r="A726" s="156" t="s">
        <v>1993</v>
      </c>
      <c r="B726" s="156" t="s">
        <v>1994</v>
      </c>
    </row>
    <row r="727" spans="1:2">
      <c r="A727" s="156" t="s">
        <v>1995</v>
      </c>
      <c r="B727" s="156" t="s">
        <v>1996</v>
      </c>
    </row>
    <row r="728" spans="1:2">
      <c r="A728" s="156" t="s">
        <v>1997</v>
      </c>
      <c r="B728" s="156" t="s">
        <v>1998</v>
      </c>
    </row>
    <row r="729" spans="1:2">
      <c r="A729" s="156" t="s">
        <v>1999</v>
      </c>
      <c r="B729" s="156" t="s">
        <v>2000</v>
      </c>
    </row>
    <row r="730" spans="1:2">
      <c r="A730" s="156" t="s">
        <v>2001</v>
      </c>
      <c r="B730" s="156" t="s">
        <v>2002</v>
      </c>
    </row>
    <row r="731" spans="1:2">
      <c r="A731" s="156" t="s">
        <v>2003</v>
      </c>
      <c r="B731" s="156" t="s">
        <v>2004</v>
      </c>
    </row>
    <row r="732" spans="1:2">
      <c r="A732" s="156" t="s">
        <v>2005</v>
      </c>
      <c r="B732" s="156" t="s">
        <v>2006</v>
      </c>
    </row>
    <row r="733" spans="1:2">
      <c r="A733" s="156" t="s">
        <v>2007</v>
      </c>
      <c r="B733" s="156" t="s">
        <v>2008</v>
      </c>
    </row>
    <row r="734" spans="1:2">
      <c r="A734" s="156" t="s">
        <v>2009</v>
      </c>
      <c r="B734" s="156" t="s">
        <v>2010</v>
      </c>
    </row>
    <row r="735" spans="1:2">
      <c r="A735" s="156" t="s">
        <v>2011</v>
      </c>
      <c r="B735" s="156" t="s">
        <v>2012</v>
      </c>
    </row>
    <row r="736" spans="1:2">
      <c r="A736" s="156" t="s">
        <v>2013</v>
      </c>
      <c r="B736" s="156" t="s">
        <v>2014</v>
      </c>
    </row>
    <row r="737" spans="1:2">
      <c r="A737" s="156" t="s">
        <v>2015</v>
      </c>
      <c r="B737" s="156" t="s">
        <v>2016</v>
      </c>
    </row>
    <row r="738" spans="1:2">
      <c r="A738" s="156" t="s">
        <v>2017</v>
      </c>
      <c r="B738" s="156" t="s">
        <v>2018</v>
      </c>
    </row>
    <row r="739" spans="1:2">
      <c r="A739" s="156" t="s">
        <v>2019</v>
      </c>
      <c r="B739" s="156" t="s">
        <v>2020</v>
      </c>
    </row>
    <row r="740" spans="1:2">
      <c r="A740" s="156" t="s">
        <v>2021</v>
      </c>
      <c r="B740" s="156" t="s">
        <v>2022</v>
      </c>
    </row>
    <row r="741" spans="1:2">
      <c r="A741" s="156" t="s">
        <v>2023</v>
      </c>
      <c r="B741" s="156" t="s">
        <v>2024</v>
      </c>
    </row>
    <row r="742" spans="1:2">
      <c r="A742" s="156" t="s">
        <v>2025</v>
      </c>
      <c r="B742" s="156" t="s">
        <v>2026</v>
      </c>
    </row>
    <row r="743" spans="1:2">
      <c r="A743" s="156" t="s">
        <v>2027</v>
      </c>
      <c r="B743" s="156" t="s">
        <v>2028</v>
      </c>
    </row>
    <row r="744" spans="1:2">
      <c r="A744" s="156" t="s">
        <v>2029</v>
      </c>
      <c r="B744" s="156" t="s">
        <v>2030</v>
      </c>
    </row>
    <row r="745" spans="1:2">
      <c r="A745" s="156" t="s">
        <v>2031</v>
      </c>
      <c r="B745" s="156" t="s">
        <v>2032</v>
      </c>
    </row>
    <row r="746" spans="1:2">
      <c r="A746" s="156" t="s">
        <v>2033</v>
      </c>
      <c r="B746" s="156" t="s">
        <v>2034</v>
      </c>
    </row>
    <row r="747" spans="1:2">
      <c r="A747" s="156" t="s">
        <v>2035</v>
      </c>
      <c r="B747" s="156" t="s">
        <v>2036</v>
      </c>
    </row>
    <row r="748" spans="1:2">
      <c r="A748" s="156" t="s">
        <v>2037</v>
      </c>
      <c r="B748" s="156" t="s">
        <v>2038</v>
      </c>
    </row>
    <row r="749" spans="1:2">
      <c r="A749" s="156" t="s">
        <v>2039</v>
      </c>
      <c r="B749" s="156" t="s">
        <v>2040</v>
      </c>
    </row>
    <row r="750" spans="1:2">
      <c r="A750" s="156" t="s">
        <v>2041</v>
      </c>
      <c r="B750" s="156" t="s">
        <v>2042</v>
      </c>
    </row>
    <row r="751" spans="1:2">
      <c r="A751" s="156" t="s">
        <v>2043</v>
      </c>
      <c r="B751" s="156" t="s">
        <v>2044</v>
      </c>
    </row>
    <row r="752" spans="1:2">
      <c r="A752" s="156" t="s">
        <v>2045</v>
      </c>
      <c r="B752" s="156" t="s">
        <v>2046</v>
      </c>
    </row>
    <row r="753" spans="1:2">
      <c r="A753" s="156" t="s">
        <v>2047</v>
      </c>
      <c r="B753" s="156" t="s">
        <v>2048</v>
      </c>
    </row>
    <row r="754" spans="1:2">
      <c r="A754" s="156" t="s">
        <v>2049</v>
      </c>
      <c r="B754" s="156" t="s">
        <v>2050</v>
      </c>
    </row>
    <row r="755" spans="1:2">
      <c r="A755" s="156" t="s">
        <v>2051</v>
      </c>
      <c r="B755" s="156" t="s">
        <v>2052</v>
      </c>
    </row>
    <row r="756" spans="1:2">
      <c r="A756" s="156" t="s">
        <v>2053</v>
      </c>
      <c r="B756" s="156" t="s">
        <v>2054</v>
      </c>
    </row>
    <row r="757" spans="1:2">
      <c r="A757" s="156" t="s">
        <v>2055</v>
      </c>
      <c r="B757" s="156" t="s">
        <v>2056</v>
      </c>
    </row>
    <row r="758" spans="1:2">
      <c r="A758" s="156" t="s">
        <v>2057</v>
      </c>
      <c r="B758" s="156" t="s">
        <v>2058</v>
      </c>
    </row>
    <row r="759" spans="1:2">
      <c r="A759" s="156" t="s">
        <v>2059</v>
      </c>
      <c r="B759" s="156" t="s">
        <v>2060</v>
      </c>
    </row>
    <row r="760" spans="1:2">
      <c r="A760" s="156" t="s">
        <v>2061</v>
      </c>
      <c r="B760" s="156" t="s">
        <v>2062</v>
      </c>
    </row>
    <row r="761" spans="1:2">
      <c r="A761" s="156" t="s">
        <v>2063</v>
      </c>
      <c r="B761" s="156" t="s">
        <v>2064</v>
      </c>
    </row>
    <row r="762" spans="1:2">
      <c r="A762" s="156" t="s">
        <v>2065</v>
      </c>
      <c r="B762" s="156" t="s">
        <v>2066</v>
      </c>
    </row>
    <row r="763" spans="1:2">
      <c r="A763" s="156" t="s">
        <v>2067</v>
      </c>
      <c r="B763" s="156" t="s">
        <v>2068</v>
      </c>
    </row>
    <row r="764" spans="1:2">
      <c r="A764" s="156" t="s">
        <v>2069</v>
      </c>
      <c r="B764" s="156" t="s">
        <v>2070</v>
      </c>
    </row>
    <row r="765" spans="1:2">
      <c r="A765" s="156" t="s">
        <v>2071</v>
      </c>
      <c r="B765" s="156" t="s">
        <v>2072</v>
      </c>
    </row>
    <row r="766" spans="1:2">
      <c r="A766" s="156" t="s">
        <v>2073</v>
      </c>
      <c r="B766" s="156" t="s">
        <v>2074</v>
      </c>
    </row>
    <row r="767" spans="1:2">
      <c r="A767" s="156" t="s">
        <v>2075</v>
      </c>
      <c r="B767" s="156" t="s">
        <v>2076</v>
      </c>
    </row>
    <row r="768" spans="1:2">
      <c r="A768" s="156" t="s">
        <v>2077</v>
      </c>
      <c r="B768" s="156" t="s">
        <v>2078</v>
      </c>
    </row>
    <row r="769" spans="1:2">
      <c r="A769" s="156" t="s">
        <v>2079</v>
      </c>
      <c r="B769" s="156" t="s">
        <v>2080</v>
      </c>
    </row>
    <row r="770" spans="1:2">
      <c r="A770" s="156" t="s">
        <v>2081</v>
      </c>
      <c r="B770" s="156" t="s">
        <v>2082</v>
      </c>
    </row>
    <row r="771" spans="1:2">
      <c r="A771" s="156" t="s">
        <v>2083</v>
      </c>
      <c r="B771" s="156" t="s">
        <v>2084</v>
      </c>
    </row>
    <row r="772" spans="1:2">
      <c r="A772" s="156" t="s">
        <v>2085</v>
      </c>
      <c r="B772" s="156" t="s">
        <v>2086</v>
      </c>
    </row>
    <row r="773" spans="1:2">
      <c r="A773" s="156" t="s">
        <v>2087</v>
      </c>
      <c r="B773" s="156" t="s">
        <v>2088</v>
      </c>
    </row>
    <row r="774" spans="1:2">
      <c r="A774" s="156" t="s">
        <v>2089</v>
      </c>
      <c r="B774" s="156" t="s">
        <v>2090</v>
      </c>
    </row>
    <row r="775" spans="1:2">
      <c r="A775" s="156" t="s">
        <v>2091</v>
      </c>
      <c r="B775" s="156" t="s">
        <v>2092</v>
      </c>
    </row>
    <row r="776" spans="1:2">
      <c r="A776" s="156" t="s">
        <v>2093</v>
      </c>
      <c r="B776" s="156" t="s">
        <v>2094</v>
      </c>
    </row>
    <row r="777" spans="1:2">
      <c r="A777" s="156" t="s">
        <v>2095</v>
      </c>
      <c r="B777" s="156" t="s">
        <v>2096</v>
      </c>
    </row>
    <row r="778" spans="1:2">
      <c r="A778" s="156" t="s">
        <v>2097</v>
      </c>
      <c r="B778" s="156" t="s">
        <v>2098</v>
      </c>
    </row>
    <row r="779" spans="1:2">
      <c r="A779" s="156" t="s">
        <v>2099</v>
      </c>
      <c r="B779" s="156" t="s">
        <v>2100</v>
      </c>
    </row>
    <row r="780" spans="1:2">
      <c r="A780" s="156" t="s">
        <v>2101</v>
      </c>
      <c r="B780" s="156" t="s">
        <v>2102</v>
      </c>
    </row>
    <row r="781" spans="1:2">
      <c r="A781" s="156" t="s">
        <v>2103</v>
      </c>
      <c r="B781" s="156" t="s">
        <v>2104</v>
      </c>
    </row>
    <row r="782" spans="1:2">
      <c r="A782" s="156" t="s">
        <v>2105</v>
      </c>
      <c r="B782" s="156" t="s">
        <v>2106</v>
      </c>
    </row>
    <row r="783" spans="1:2">
      <c r="A783" s="156" t="s">
        <v>2107</v>
      </c>
      <c r="B783" s="156" t="s">
        <v>2108</v>
      </c>
    </row>
    <row r="784" spans="1:2">
      <c r="A784" s="156" t="s">
        <v>2109</v>
      </c>
      <c r="B784" s="156" t="s">
        <v>2110</v>
      </c>
    </row>
    <row r="785" spans="1:2">
      <c r="A785" s="156" t="s">
        <v>2111</v>
      </c>
      <c r="B785" s="156" t="s">
        <v>2112</v>
      </c>
    </row>
    <row r="786" spans="1:2">
      <c r="A786" s="156" t="s">
        <v>2113</v>
      </c>
      <c r="B786" s="156" t="s">
        <v>2114</v>
      </c>
    </row>
    <row r="787" spans="1:2">
      <c r="A787" s="156" t="s">
        <v>2115</v>
      </c>
      <c r="B787" s="156" t="s">
        <v>2116</v>
      </c>
    </row>
    <row r="788" spans="1:2">
      <c r="A788" s="156" t="s">
        <v>2117</v>
      </c>
      <c r="B788" s="156" t="s">
        <v>2118</v>
      </c>
    </row>
    <row r="789" spans="1:2">
      <c r="A789" s="156" t="s">
        <v>2119</v>
      </c>
      <c r="B789" s="156" t="s">
        <v>2120</v>
      </c>
    </row>
    <row r="790" spans="1:2">
      <c r="A790" s="156" t="s">
        <v>2121</v>
      </c>
      <c r="B790" s="156" t="s">
        <v>2122</v>
      </c>
    </row>
    <row r="791" spans="1:2">
      <c r="A791" s="156" t="s">
        <v>2123</v>
      </c>
      <c r="B791" s="156" t="s">
        <v>2124</v>
      </c>
    </row>
    <row r="792" spans="1:2">
      <c r="A792" s="156" t="s">
        <v>2125</v>
      </c>
      <c r="B792" s="156" t="s">
        <v>2126</v>
      </c>
    </row>
    <row r="793" spans="1:2">
      <c r="A793" s="156" t="s">
        <v>2127</v>
      </c>
      <c r="B793" s="156" t="s">
        <v>2128</v>
      </c>
    </row>
    <row r="794" spans="1:2">
      <c r="A794" s="156" t="s">
        <v>2129</v>
      </c>
      <c r="B794" s="156" t="s">
        <v>2130</v>
      </c>
    </row>
    <row r="795" spans="1:2">
      <c r="A795" s="156" t="s">
        <v>2131</v>
      </c>
      <c r="B795" s="156" t="s">
        <v>2132</v>
      </c>
    </row>
    <row r="796" spans="1:2">
      <c r="A796" s="156" t="s">
        <v>2133</v>
      </c>
      <c r="B796" s="156" t="s">
        <v>2134</v>
      </c>
    </row>
    <row r="797" spans="1:2">
      <c r="A797" s="156" t="s">
        <v>2135</v>
      </c>
      <c r="B797" s="156" t="s">
        <v>2136</v>
      </c>
    </row>
    <row r="798" spans="1:2">
      <c r="A798" s="156" t="s">
        <v>2137</v>
      </c>
      <c r="B798" s="156" t="s">
        <v>2138</v>
      </c>
    </row>
    <row r="799" spans="1:2">
      <c r="A799" s="156" t="s">
        <v>2139</v>
      </c>
      <c r="B799" s="156" t="s">
        <v>2140</v>
      </c>
    </row>
    <row r="800" spans="1:2">
      <c r="A800" s="156" t="s">
        <v>2141</v>
      </c>
      <c r="B800" s="156" t="s">
        <v>2142</v>
      </c>
    </row>
    <row r="801" spans="1:2">
      <c r="A801" s="156" t="s">
        <v>2143</v>
      </c>
      <c r="B801" s="156" t="s">
        <v>2144</v>
      </c>
    </row>
    <row r="802" spans="1:2">
      <c r="A802" s="156" t="s">
        <v>2145</v>
      </c>
      <c r="B802" s="156" t="s">
        <v>2146</v>
      </c>
    </row>
    <row r="803" spans="1:2">
      <c r="A803" s="156" t="s">
        <v>2147</v>
      </c>
      <c r="B803" s="156" t="s">
        <v>2148</v>
      </c>
    </row>
    <row r="804" spans="1:2">
      <c r="A804" s="156" t="s">
        <v>2149</v>
      </c>
      <c r="B804" s="156" t="s">
        <v>2150</v>
      </c>
    </row>
    <row r="805" spans="1:2">
      <c r="A805" s="156" t="s">
        <v>2151</v>
      </c>
      <c r="B805" s="156" t="s">
        <v>2152</v>
      </c>
    </row>
    <row r="806" spans="1:2">
      <c r="A806" s="156" t="s">
        <v>2153</v>
      </c>
      <c r="B806" s="156" t="s">
        <v>2154</v>
      </c>
    </row>
    <row r="807" spans="1:2">
      <c r="A807" s="156" t="s">
        <v>2155</v>
      </c>
      <c r="B807" s="156" t="s">
        <v>2156</v>
      </c>
    </row>
    <row r="808" spans="1:2">
      <c r="A808" s="156" t="s">
        <v>2157</v>
      </c>
      <c r="B808" s="156" t="s">
        <v>2158</v>
      </c>
    </row>
    <row r="809" spans="1:2">
      <c r="A809" s="156" t="s">
        <v>2159</v>
      </c>
      <c r="B809" s="156" t="s">
        <v>2160</v>
      </c>
    </row>
    <row r="810" spans="1:2">
      <c r="A810" s="156" t="s">
        <v>2161</v>
      </c>
      <c r="B810" s="156" t="s">
        <v>2162</v>
      </c>
    </row>
    <row r="811" spans="1:2">
      <c r="A811" s="156" t="s">
        <v>2163</v>
      </c>
      <c r="B811" s="156" t="s">
        <v>2164</v>
      </c>
    </row>
    <row r="812" spans="1:2">
      <c r="A812" s="156" t="s">
        <v>2165</v>
      </c>
      <c r="B812" s="156" t="s">
        <v>2166</v>
      </c>
    </row>
    <row r="813" spans="1:2">
      <c r="A813" s="156" t="s">
        <v>2167</v>
      </c>
      <c r="B813" s="156" t="s">
        <v>2168</v>
      </c>
    </row>
    <row r="814" spans="1:2">
      <c r="A814" s="156" t="s">
        <v>2169</v>
      </c>
      <c r="B814" s="156" t="s">
        <v>2170</v>
      </c>
    </row>
    <row r="815" spans="1:2">
      <c r="A815" s="156" t="s">
        <v>2171</v>
      </c>
      <c r="B815" s="156" t="s">
        <v>2172</v>
      </c>
    </row>
    <row r="816" spans="1:2">
      <c r="A816" s="156" t="s">
        <v>2173</v>
      </c>
      <c r="B816" s="156" t="s">
        <v>2174</v>
      </c>
    </row>
    <row r="817" spans="1:2">
      <c r="A817" s="156" t="s">
        <v>2175</v>
      </c>
      <c r="B817" s="156" t="s">
        <v>2176</v>
      </c>
    </row>
    <row r="818" spans="1:2">
      <c r="A818" s="156" t="s">
        <v>2177</v>
      </c>
      <c r="B818" s="156" t="s">
        <v>2178</v>
      </c>
    </row>
    <row r="819" spans="1:2">
      <c r="A819" s="156" t="s">
        <v>2179</v>
      </c>
      <c r="B819" s="156" t="s">
        <v>2180</v>
      </c>
    </row>
    <row r="820" spans="1:2">
      <c r="A820" s="156" t="s">
        <v>2181</v>
      </c>
      <c r="B820" s="156" t="s">
        <v>2182</v>
      </c>
    </row>
    <row r="821" spans="1:2">
      <c r="A821" s="156" t="s">
        <v>2183</v>
      </c>
      <c r="B821" s="156" t="s">
        <v>2184</v>
      </c>
    </row>
    <row r="822" spans="1:2">
      <c r="A822" s="156" t="s">
        <v>2185</v>
      </c>
      <c r="B822" s="156" t="s">
        <v>2186</v>
      </c>
    </row>
    <row r="823" spans="1:2">
      <c r="A823" s="156" t="s">
        <v>2187</v>
      </c>
      <c r="B823" s="156" t="s">
        <v>2188</v>
      </c>
    </row>
    <row r="824" spans="1:2">
      <c r="A824" s="156" t="s">
        <v>2189</v>
      </c>
      <c r="B824" s="156" t="s">
        <v>2190</v>
      </c>
    </row>
    <row r="825" spans="1:2">
      <c r="A825" s="156" t="s">
        <v>2191</v>
      </c>
      <c r="B825" s="156" t="s">
        <v>2192</v>
      </c>
    </row>
    <row r="826" spans="1:2">
      <c r="A826" s="156" t="s">
        <v>2193</v>
      </c>
      <c r="B826" s="156" t="s">
        <v>2194</v>
      </c>
    </row>
    <row r="827" spans="1:2">
      <c r="A827" s="156" t="s">
        <v>2195</v>
      </c>
      <c r="B827" s="156" t="s">
        <v>2196</v>
      </c>
    </row>
    <row r="828" spans="1:2">
      <c r="A828" s="156" t="s">
        <v>2197</v>
      </c>
      <c r="B828" s="156" t="s">
        <v>2198</v>
      </c>
    </row>
    <row r="829" spans="1:2">
      <c r="A829" s="156" t="s">
        <v>2199</v>
      </c>
      <c r="B829" s="156" t="s">
        <v>2200</v>
      </c>
    </row>
    <row r="830" spans="1:2">
      <c r="A830" s="156" t="s">
        <v>2201</v>
      </c>
      <c r="B830" s="156" t="s">
        <v>2202</v>
      </c>
    </row>
    <row r="831" spans="1:2">
      <c r="A831" s="156" t="s">
        <v>2203</v>
      </c>
      <c r="B831" s="156" t="s">
        <v>2204</v>
      </c>
    </row>
    <row r="832" spans="1:2">
      <c r="A832" s="156" t="s">
        <v>2205</v>
      </c>
      <c r="B832" s="156" t="s">
        <v>2206</v>
      </c>
    </row>
    <row r="833" spans="1:2">
      <c r="A833" s="156" t="s">
        <v>2207</v>
      </c>
      <c r="B833" s="156" t="s">
        <v>2208</v>
      </c>
    </row>
    <row r="834" spans="1:2">
      <c r="A834" s="156" t="s">
        <v>2209</v>
      </c>
      <c r="B834" s="156" t="s">
        <v>2210</v>
      </c>
    </row>
    <row r="835" spans="1:2">
      <c r="A835" s="156" t="s">
        <v>2211</v>
      </c>
      <c r="B835" s="156" t="s">
        <v>2212</v>
      </c>
    </row>
    <row r="836" spans="1:2">
      <c r="A836" s="156" t="s">
        <v>2213</v>
      </c>
      <c r="B836" s="156" t="s">
        <v>2214</v>
      </c>
    </row>
    <row r="837" spans="1:2">
      <c r="A837" s="156" t="s">
        <v>2215</v>
      </c>
      <c r="B837" s="156" t="s">
        <v>2216</v>
      </c>
    </row>
    <row r="838" spans="1:2">
      <c r="A838" s="156" t="s">
        <v>2217</v>
      </c>
      <c r="B838" s="156" t="s">
        <v>2218</v>
      </c>
    </row>
    <row r="839" spans="1:2">
      <c r="A839" s="156" t="s">
        <v>2219</v>
      </c>
      <c r="B839" s="156" t="s">
        <v>2220</v>
      </c>
    </row>
    <row r="840" spans="1:2">
      <c r="A840" s="156" t="s">
        <v>2221</v>
      </c>
      <c r="B840" s="156" t="s">
        <v>2222</v>
      </c>
    </row>
    <row r="841" spans="1:2">
      <c r="A841" s="156" t="s">
        <v>2223</v>
      </c>
      <c r="B841" s="156" t="s">
        <v>2224</v>
      </c>
    </row>
    <row r="842" spans="1:2">
      <c r="A842" s="156" t="s">
        <v>2225</v>
      </c>
      <c r="B842" s="156" t="s">
        <v>2226</v>
      </c>
    </row>
    <row r="843" spans="1:2">
      <c r="A843" s="156" t="s">
        <v>156</v>
      </c>
      <c r="B843" s="156" t="s">
        <v>2227</v>
      </c>
    </row>
    <row r="844" spans="1:2">
      <c r="A844" s="156" t="s">
        <v>2228</v>
      </c>
      <c r="B844" s="156" t="s">
        <v>2229</v>
      </c>
    </row>
    <row r="845" spans="1:2">
      <c r="A845" s="156" t="s">
        <v>2230</v>
      </c>
      <c r="B845" s="156" t="s">
        <v>2231</v>
      </c>
    </row>
    <row r="846" spans="1:2">
      <c r="A846" s="156" t="s">
        <v>2232</v>
      </c>
      <c r="B846" s="156" t="s">
        <v>2233</v>
      </c>
    </row>
    <row r="847" spans="1:2">
      <c r="A847" s="156" t="s">
        <v>2234</v>
      </c>
      <c r="B847" s="156" t="s">
        <v>2235</v>
      </c>
    </row>
    <row r="848" spans="1:2">
      <c r="A848" s="156" t="s">
        <v>2236</v>
      </c>
      <c r="B848" s="156" t="s">
        <v>2237</v>
      </c>
    </row>
    <row r="849" spans="1:2">
      <c r="A849" s="156" t="s">
        <v>2238</v>
      </c>
      <c r="B849" s="156" t="s">
        <v>2239</v>
      </c>
    </row>
    <row r="850" spans="1:2">
      <c r="A850" s="156" t="s">
        <v>2240</v>
      </c>
      <c r="B850" s="156" t="s">
        <v>2241</v>
      </c>
    </row>
    <row r="851" spans="1:2">
      <c r="A851" s="156" t="s">
        <v>2242</v>
      </c>
      <c r="B851" s="156" t="s">
        <v>2243</v>
      </c>
    </row>
    <row r="852" spans="1:2">
      <c r="A852" s="156" t="s">
        <v>2244</v>
      </c>
      <c r="B852" s="156" t="s">
        <v>2245</v>
      </c>
    </row>
    <row r="853" spans="1:2">
      <c r="A853" s="156" t="s">
        <v>2246</v>
      </c>
      <c r="B853" s="156" t="s">
        <v>2247</v>
      </c>
    </row>
    <row r="854" spans="1:2">
      <c r="A854" s="156" t="s">
        <v>2248</v>
      </c>
      <c r="B854" s="156" t="s">
        <v>2249</v>
      </c>
    </row>
    <row r="855" spans="1:2">
      <c r="A855" s="156" t="s">
        <v>2250</v>
      </c>
      <c r="B855" s="156" t="s">
        <v>2251</v>
      </c>
    </row>
    <row r="856" spans="1:2">
      <c r="A856" s="156" t="s">
        <v>2252</v>
      </c>
      <c r="B856" s="156" t="s">
        <v>2253</v>
      </c>
    </row>
    <row r="857" spans="1:2">
      <c r="A857" s="156" t="s">
        <v>2254</v>
      </c>
      <c r="B857" s="156" t="s">
        <v>2255</v>
      </c>
    </row>
    <row r="858" spans="1:2">
      <c r="A858" s="156" t="s">
        <v>2256</v>
      </c>
      <c r="B858" s="156" t="s">
        <v>2257</v>
      </c>
    </row>
    <row r="859" spans="1:2">
      <c r="A859" s="156" t="s">
        <v>2258</v>
      </c>
      <c r="B859" s="156" t="s">
        <v>2259</v>
      </c>
    </row>
    <row r="860" spans="1:2">
      <c r="A860" s="156" t="s">
        <v>2260</v>
      </c>
      <c r="B860" s="156" t="s">
        <v>2261</v>
      </c>
    </row>
    <row r="861" spans="1:2">
      <c r="A861" s="156" t="s">
        <v>2262</v>
      </c>
      <c r="B861" s="156" t="s">
        <v>2263</v>
      </c>
    </row>
    <row r="862" spans="1:2">
      <c r="A862" s="156" t="s">
        <v>2264</v>
      </c>
      <c r="B862" s="156" t="s">
        <v>2265</v>
      </c>
    </row>
    <row r="863" spans="1:2">
      <c r="A863" s="156" t="s">
        <v>2266</v>
      </c>
      <c r="B863" s="156" t="s">
        <v>2267</v>
      </c>
    </row>
    <row r="864" spans="1:2">
      <c r="A864" s="156" t="s">
        <v>2268</v>
      </c>
      <c r="B864" s="156" t="s">
        <v>2269</v>
      </c>
    </row>
    <row r="865" spans="1:2">
      <c r="A865" s="156" t="s">
        <v>2270</v>
      </c>
      <c r="B865" s="156" t="s">
        <v>2271</v>
      </c>
    </row>
    <row r="866" spans="1:2">
      <c r="A866" s="156" t="s">
        <v>2272</v>
      </c>
      <c r="B866" s="156" t="s">
        <v>2273</v>
      </c>
    </row>
    <row r="867" spans="1:2">
      <c r="A867" s="156" t="s">
        <v>2274</v>
      </c>
      <c r="B867" s="156" t="s">
        <v>2275</v>
      </c>
    </row>
    <row r="868" spans="1:2">
      <c r="A868" s="156" t="s">
        <v>2276</v>
      </c>
      <c r="B868" s="156" t="s">
        <v>2277</v>
      </c>
    </row>
    <row r="869" spans="1:2">
      <c r="A869" s="156" t="s">
        <v>2278</v>
      </c>
      <c r="B869" s="156" t="s">
        <v>2279</v>
      </c>
    </row>
    <row r="870" spans="1:2">
      <c r="A870" s="156" t="s">
        <v>2280</v>
      </c>
      <c r="B870" s="156" t="s">
        <v>2281</v>
      </c>
    </row>
    <row r="871" spans="1:2">
      <c r="A871" s="156" t="s">
        <v>2282</v>
      </c>
      <c r="B871" s="156" t="s">
        <v>2283</v>
      </c>
    </row>
    <row r="872" spans="1:2">
      <c r="A872" s="156" t="s">
        <v>2284</v>
      </c>
      <c r="B872" s="156" t="s">
        <v>375</v>
      </c>
    </row>
    <row r="873" spans="1:2">
      <c r="A873" s="156" t="s">
        <v>2285</v>
      </c>
      <c r="B873" s="156" t="s">
        <v>2286</v>
      </c>
    </row>
    <row r="874" spans="1:2">
      <c r="A874" s="156" t="s">
        <v>2287</v>
      </c>
      <c r="B874" s="156" t="s">
        <v>2288</v>
      </c>
    </row>
    <row r="875" spans="1:2">
      <c r="A875" s="156" t="s">
        <v>2289</v>
      </c>
      <c r="B875" s="156" t="s">
        <v>2290</v>
      </c>
    </row>
    <row r="876" spans="1:2">
      <c r="A876" s="156" t="s">
        <v>2291</v>
      </c>
      <c r="B876" s="156" t="s">
        <v>2292</v>
      </c>
    </row>
    <row r="877" spans="1:2">
      <c r="A877" s="156" t="s">
        <v>2293</v>
      </c>
      <c r="B877" s="156" t="s">
        <v>2294</v>
      </c>
    </row>
    <row r="878" spans="1:2">
      <c r="A878" s="156" t="s">
        <v>2295</v>
      </c>
      <c r="B878" s="156" t="s">
        <v>2296</v>
      </c>
    </row>
    <row r="879" spans="1:2">
      <c r="A879" s="156" t="s">
        <v>2297</v>
      </c>
      <c r="B879" s="156" t="s">
        <v>2298</v>
      </c>
    </row>
    <row r="880" spans="1:2">
      <c r="A880" s="156" t="s">
        <v>2299</v>
      </c>
      <c r="B880" s="156" t="s">
        <v>2300</v>
      </c>
    </row>
    <row r="881" spans="1:2">
      <c r="A881" s="156" t="s">
        <v>2301</v>
      </c>
      <c r="B881" s="156" t="s">
        <v>2302</v>
      </c>
    </row>
    <row r="882" spans="1:2">
      <c r="A882" s="156" t="s">
        <v>2303</v>
      </c>
      <c r="B882" s="156" t="s">
        <v>2304</v>
      </c>
    </row>
    <row r="883" spans="1:2">
      <c r="A883" s="156" t="s">
        <v>2305</v>
      </c>
      <c r="B883" s="156" t="s">
        <v>2306</v>
      </c>
    </row>
    <row r="884" spans="1:2">
      <c r="A884" s="156" t="s">
        <v>2307</v>
      </c>
      <c r="B884" s="156" t="s">
        <v>2308</v>
      </c>
    </row>
    <row r="885" spans="1:2">
      <c r="A885" s="156" t="s">
        <v>2309</v>
      </c>
      <c r="B885" s="156" t="s">
        <v>2310</v>
      </c>
    </row>
    <row r="886" spans="1:2">
      <c r="A886" s="156" t="s">
        <v>2311</v>
      </c>
      <c r="B886" s="156" t="s">
        <v>2312</v>
      </c>
    </row>
    <row r="887" spans="1:2">
      <c r="A887" s="156" t="s">
        <v>2313</v>
      </c>
      <c r="B887" s="156" t="s">
        <v>2314</v>
      </c>
    </row>
    <row r="888" spans="1:2">
      <c r="A888" s="156" t="s">
        <v>2315</v>
      </c>
      <c r="B888" s="156" t="s">
        <v>2316</v>
      </c>
    </row>
    <row r="889" spans="1:2">
      <c r="A889" s="156" t="s">
        <v>2317</v>
      </c>
      <c r="B889" s="156" t="s">
        <v>2318</v>
      </c>
    </row>
    <row r="890" spans="1:2">
      <c r="A890" s="156" t="s">
        <v>2319</v>
      </c>
      <c r="B890" s="156" t="s">
        <v>2320</v>
      </c>
    </row>
    <row r="891" spans="1:2">
      <c r="A891" s="156" t="s">
        <v>2321</v>
      </c>
      <c r="B891" s="156" t="s">
        <v>2322</v>
      </c>
    </row>
    <row r="892" spans="1:2">
      <c r="A892" s="156" t="s">
        <v>2323</v>
      </c>
      <c r="B892" s="156" t="s">
        <v>2324</v>
      </c>
    </row>
    <row r="893" spans="1:2">
      <c r="A893" s="156" t="s">
        <v>2325</v>
      </c>
      <c r="B893" s="156" t="s">
        <v>2326</v>
      </c>
    </row>
    <row r="894" spans="1:2">
      <c r="A894" s="156" t="s">
        <v>2327</v>
      </c>
      <c r="B894" s="156" t="s">
        <v>2328</v>
      </c>
    </row>
    <row r="895" spans="1:2">
      <c r="A895" s="156" t="s">
        <v>2329</v>
      </c>
      <c r="B895" s="156" t="s">
        <v>2330</v>
      </c>
    </row>
    <row r="896" spans="1:2">
      <c r="A896" s="156" t="s">
        <v>2331</v>
      </c>
      <c r="B896" s="156" t="s">
        <v>2332</v>
      </c>
    </row>
    <row r="897" spans="1:2">
      <c r="A897" s="156" t="s">
        <v>2333</v>
      </c>
      <c r="B897" s="156" t="s">
        <v>2334</v>
      </c>
    </row>
    <row r="898" spans="1:2">
      <c r="A898" s="156" t="s">
        <v>2335</v>
      </c>
      <c r="B898" s="156" t="s">
        <v>2336</v>
      </c>
    </row>
    <row r="899" spans="1:2">
      <c r="A899" s="156" t="s">
        <v>2337</v>
      </c>
      <c r="B899" s="156" t="s">
        <v>2338</v>
      </c>
    </row>
    <row r="900" spans="1:2">
      <c r="A900" s="156" t="s">
        <v>2339</v>
      </c>
      <c r="B900" s="156" t="s">
        <v>2340</v>
      </c>
    </row>
    <row r="901" spans="1:2">
      <c r="A901" s="156" t="s">
        <v>2341</v>
      </c>
      <c r="B901" s="156" t="s">
        <v>2342</v>
      </c>
    </row>
    <row r="902" spans="1:2">
      <c r="A902" s="156" t="s">
        <v>2343</v>
      </c>
      <c r="B902" s="156" t="s">
        <v>2344</v>
      </c>
    </row>
    <row r="903" spans="1:2">
      <c r="A903" s="156" t="s">
        <v>2345</v>
      </c>
      <c r="B903" s="156" t="s">
        <v>2346</v>
      </c>
    </row>
    <row r="904" spans="1:2">
      <c r="A904" s="156" t="s">
        <v>2347</v>
      </c>
      <c r="B904" s="156" t="s">
        <v>2348</v>
      </c>
    </row>
    <row r="905" spans="1:2">
      <c r="A905" s="156" t="s">
        <v>2349</v>
      </c>
      <c r="B905" s="156" t="s">
        <v>2350</v>
      </c>
    </row>
    <row r="906" spans="1:2">
      <c r="A906" s="156" t="s">
        <v>2351</v>
      </c>
      <c r="B906" s="156" t="s">
        <v>2352</v>
      </c>
    </row>
    <row r="907" spans="1:2">
      <c r="A907" s="156" t="s">
        <v>2353</v>
      </c>
      <c r="B907" s="156" t="s">
        <v>2354</v>
      </c>
    </row>
    <row r="908" spans="1:2">
      <c r="A908" s="156" t="s">
        <v>2355</v>
      </c>
      <c r="B908" s="156" t="s">
        <v>2356</v>
      </c>
    </row>
    <row r="909" spans="1:2">
      <c r="A909" s="156" t="s">
        <v>2357</v>
      </c>
      <c r="B909" s="156" t="s">
        <v>2358</v>
      </c>
    </row>
    <row r="910" spans="1:2">
      <c r="A910" s="156" t="s">
        <v>2359</v>
      </c>
      <c r="B910" s="156" t="s">
        <v>2360</v>
      </c>
    </row>
    <row r="911" spans="1:2">
      <c r="A911" s="156" t="s">
        <v>2361</v>
      </c>
      <c r="B911" s="156" t="s">
        <v>2362</v>
      </c>
    </row>
    <row r="912" spans="1:2">
      <c r="A912" s="156" t="s">
        <v>2363</v>
      </c>
      <c r="B912" s="156" t="s">
        <v>2364</v>
      </c>
    </row>
    <row r="913" spans="1:2">
      <c r="A913" s="156" t="s">
        <v>2365</v>
      </c>
      <c r="B913" s="156" t="s">
        <v>2366</v>
      </c>
    </row>
    <row r="914" spans="1:2">
      <c r="A914" s="156" t="s">
        <v>2367</v>
      </c>
      <c r="B914" s="156" t="s">
        <v>2368</v>
      </c>
    </row>
    <row r="915" spans="1:2">
      <c r="A915" s="156" t="s">
        <v>2369</v>
      </c>
      <c r="B915" s="156" t="s">
        <v>2370</v>
      </c>
    </row>
    <row r="916" spans="1:2">
      <c r="A916" s="156" t="s">
        <v>2371</v>
      </c>
      <c r="B916" s="156" t="s">
        <v>2372</v>
      </c>
    </row>
    <row r="917" spans="1:2">
      <c r="A917" s="156" t="s">
        <v>2373</v>
      </c>
      <c r="B917" s="156" t="s">
        <v>2374</v>
      </c>
    </row>
    <row r="918" spans="1:2">
      <c r="A918" s="156" t="s">
        <v>2375</v>
      </c>
      <c r="B918" s="156" t="s">
        <v>2376</v>
      </c>
    </row>
    <row r="919" spans="1:2">
      <c r="A919" s="156" t="s">
        <v>2377</v>
      </c>
      <c r="B919" s="156" t="s">
        <v>2378</v>
      </c>
    </row>
    <row r="920" spans="1:2">
      <c r="A920" s="156" t="s">
        <v>2379</v>
      </c>
      <c r="B920" s="156" t="s">
        <v>2380</v>
      </c>
    </row>
    <row r="921" spans="1:2">
      <c r="A921" s="156" t="s">
        <v>2381</v>
      </c>
      <c r="B921" s="156" t="s">
        <v>2382</v>
      </c>
    </row>
    <row r="922" spans="1:2">
      <c r="A922" s="156" t="s">
        <v>2383</v>
      </c>
      <c r="B922" s="156" t="s">
        <v>2384</v>
      </c>
    </row>
    <row r="923" spans="1:2">
      <c r="A923" s="156" t="s">
        <v>2385</v>
      </c>
      <c r="B923" s="156" t="s">
        <v>2386</v>
      </c>
    </row>
    <row r="924" spans="1:2">
      <c r="A924" s="156" t="s">
        <v>2387</v>
      </c>
      <c r="B924" s="156" t="s">
        <v>2388</v>
      </c>
    </row>
    <row r="925" spans="1:2">
      <c r="A925" s="156" t="s">
        <v>2389</v>
      </c>
      <c r="B925" s="156" t="s">
        <v>2390</v>
      </c>
    </row>
    <row r="926" spans="1:2">
      <c r="A926" s="156" t="s">
        <v>2391</v>
      </c>
      <c r="B926" s="156" t="s">
        <v>2392</v>
      </c>
    </row>
    <row r="927" spans="1:2">
      <c r="A927" s="156" t="s">
        <v>2393</v>
      </c>
      <c r="B927" s="156" t="s">
        <v>2394</v>
      </c>
    </row>
    <row r="928" spans="1:2">
      <c r="A928" s="156" t="s">
        <v>2395</v>
      </c>
      <c r="B928" s="156" t="s">
        <v>2396</v>
      </c>
    </row>
    <row r="929" spans="1:2">
      <c r="A929" s="156" t="s">
        <v>2397</v>
      </c>
      <c r="B929" s="156" t="s">
        <v>2398</v>
      </c>
    </row>
    <row r="930" spans="1:2">
      <c r="A930" s="156" t="s">
        <v>2399</v>
      </c>
      <c r="B930" s="156" t="s">
        <v>2400</v>
      </c>
    </row>
    <row r="931" spans="1:2">
      <c r="A931" s="156" t="s">
        <v>2401</v>
      </c>
      <c r="B931" s="156" t="s">
        <v>2402</v>
      </c>
    </row>
    <row r="932" spans="1:2">
      <c r="A932" s="156" t="s">
        <v>2403</v>
      </c>
      <c r="B932" s="156" t="s">
        <v>2404</v>
      </c>
    </row>
    <row r="933" spans="1:2">
      <c r="A933" s="156" t="s">
        <v>2405</v>
      </c>
      <c r="B933" s="156" t="s">
        <v>2406</v>
      </c>
    </row>
    <row r="934" spans="1:2">
      <c r="A934" s="156" t="s">
        <v>2407</v>
      </c>
      <c r="B934" s="156" t="s">
        <v>2408</v>
      </c>
    </row>
    <row r="935" spans="1:2">
      <c r="A935" s="156" t="s">
        <v>2409</v>
      </c>
      <c r="B935" s="156" t="s">
        <v>2410</v>
      </c>
    </row>
    <row r="936" spans="1:2">
      <c r="A936" s="156" t="s">
        <v>2411</v>
      </c>
      <c r="B936" s="156" t="s">
        <v>2412</v>
      </c>
    </row>
    <row r="937" spans="1:2">
      <c r="A937" s="156" t="s">
        <v>2413</v>
      </c>
      <c r="B937" s="156" t="s">
        <v>2414</v>
      </c>
    </row>
    <row r="938" spans="1:2">
      <c r="A938" s="156" t="s">
        <v>2415</v>
      </c>
      <c r="B938" s="156" t="s">
        <v>2416</v>
      </c>
    </row>
    <row r="939" spans="1:2">
      <c r="A939" s="156" t="s">
        <v>2417</v>
      </c>
      <c r="B939" s="156" t="s">
        <v>2418</v>
      </c>
    </row>
    <row r="940" spans="1:2">
      <c r="A940" s="156" t="s">
        <v>2419</v>
      </c>
      <c r="B940" s="156" t="s">
        <v>2420</v>
      </c>
    </row>
    <row r="941" spans="1:2">
      <c r="A941" s="156" t="s">
        <v>2421</v>
      </c>
      <c r="B941" s="156" t="s">
        <v>2422</v>
      </c>
    </row>
    <row r="942" spans="1:2">
      <c r="A942" s="156" t="s">
        <v>2423</v>
      </c>
      <c r="B942" s="156" t="s">
        <v>2424</v>
      </c>
    </row>
    <row r="943" spans="1:2">
      <c r="A943" s="156" t="s">
        <v>2425</v>
      </c>
      <c r="B943" s="156" t="s">
        <v>2426</v>
      </c>
    </row>
    <row r="944" spans="1:2">
      <c r="A944" s="156" t="s">
        <v>2427</v>
      </c>
      <c r="B944" s="156" t="s">
        <v>2428</v>
      </c>
    </row>
    <row r="945" spans="1:2">
      <c r="A945" s="156" t="s">
        <v>2429</v>
      </c>
      <c r="B945" s="156" t="s">
        <v>2430</v>
      </c>
    </row>
    <row r="946" spans="1:2">
      <c r="A946" s="156" t="s">
        <v>2431</v>
      </c>
      <c r="B946" s="156" t="s">
        <v>2432</v>
      </c>
    </row>
    <row r="947" spans="1:2">
      <c r="A947" s="156" t="s">
        <v>2433</v>
      </c>
      <c r="B947" s="156" t="s">
        <v>2434</v>
      </c>
    </row>
    <row r="948" spans="1:2">
      <c r="A948" s="156" t="s">
        <v>2435</v>
      </c>
      <c r="B948" s="156" t="s">
        <v>2436</v>
      </c>
    </row>
    <row r="949" spans="1:2">
      <c r="A949" s="156" t="s">
        <v>2437</v>
      </c>
      <c r="B949" s="156" t="s">
        <v>2438</v>
      </c>
    </row>
    <row r="950" spans="1:2">
      <c r="A950" s="156" t="s">
        <v>2439</v>
      </c>
      <c r="B950" s="156" t="s">
        <v>2440</v>
      </c>
    </row>
    <row r="951" spans="1:2">
      <c r="A951" s="156" t="s">
        <v>2441</v>
      </c>
      <c r="B951" s="156" t="s">
        <v>2442</v>
      </c>
    </row>
    <row r="952" spans="1:2">
      <c r="A952" s="156" t="s">
        <v>2443</v>
      </c>
      <c r="B952" s="156" t="s">
        <v>2444</v>
      </c>
    </row>
    <row r="953" spans="1:2">
      <c r="A953" s="156" t="s">
        <v>2445</v>
      </c>
      <c r="B953" s="156" t="s">
        <v>2446</v>
      </c>
    </row>
    <row r="954" spans="1:2">
      <c r="A954" s="156" t="s">
        <v>2447</v>
      </c>
      <c r="B954" s="156" t="s">
        <v>2448</v>
      </c>
    </row>
    <row r="955" spans="1:2">
      <c r="A955" s="156" t="s">
        <v>2449</v>
      </c>
      <c r="B955" s="156" t="s">
        <v>2450</v>
      </c>
    </row>
    <row r="956" spans="1:2">
      <c r="A956" s="156" t="s">
        <v>2451</v>
      </c>
      <c r="B956" s="156" t="s">
        <v>2452</v>
      </c>
    </row>
    <row r="957" spans="1:2">
      <c r="A957" s="156" t="s">
        <v>2453</v>
      </c>
      <c r="B957" s="156" t="s">
        <v>2454</v>
      </c>
    </row>
    <row r="958" spans="1:2">
      <c r="A958" s="156" t="s">
        <v>2455</v>
      </c>
      <c r="B958" s="156" t="s">
        <v>2456</v>
      </c>
    </row>
    <row r="959" spans="1:2">
      <c r="A959" s="156" t="s">
        <v>2457</v>
      </c>
      <c r="B959" s="156" t="s">
        <v>2458</v>
      </c>
    </row>
    <row r="960" spans="1:2">
      <c r="A960" s="156" t="s">
        <v>2459</v>
      </c>
      <c r="B960" s="156" t="s">
        <v>2460</v>
      </c>
    </row>
    <row r="961" spans="1:2">
      <c r="A961" s="156" t="s">
        <v>2461</v>
      </c>
      <c r="B961" s="156" t="s">
        <v>2462</v>
      </c>
    </row>
    <row r="962" spans="1:2">
      <c r="A962" s="156" t="s">
        <v>2463</v>
      </c>
      <c r="B962" s="156" t="s">
        <v>2464</v>
      </c>
    </row>
    <row r="963" spans="1:2">
      <c r="A963" s="156" t="s">
        <v>2465</v>
      </c>
      <c r="B963" s="156" t="s">
        <v>2466</v>
      </c>
    </row>
    <row r="964" spans="1:2">
      <c r="A964" s="156" t="s">
        <v>2467</v>
      </c>
      <c r="B964" s="156" t="s">
        <v>2468</v>
      </c>
    </row>
    <row r="965" spans="1:2">
      <c r="A965" s="156" t="s">
        <v>2469</v>
      </c>
      <c r="B965" s="156" t="s">
        <v>2470</v>
      </c>
    </row>
    <row r="966" spans="1:2">
      <c r="A966" s="156" t="s">
        <v>2471</v>
      </c>
      <c r="B966" s="156" t="s">
        <v>304</v>
      </c>
    </row>
    <row r="967" spans="1:2">
      <c r="A967" s="156" t="s">
        <v>2472</v>
      </c>
      <c r="B967" s="156" t="s">
        <v>2473</v>
      </c>
    </row>
    <row r="968" spans="1:2">
      <c r="A968" s="156" t="s">
        <v>2474</v>
      </c>
      <c r="B968" s="156" t="s">
        <v>2475</v>
      </c>
    </row>
    <row r="969" spans="1:2">
      <c r="A969" s="156" t="s">
        <v>2476</v>
      </c>
      <c r="B969" s="156" t="s">
        <v>2477</v>
      </c>
    </row>
    <row r="970" spans="1:2">
      <c r="A970" s="156" t="s">
        <v>2478</v>
      </c>
      <c r="B970" s="156" t="s">
        <v>2479</v>
      </c>
    </row>
    <row r="971" spans="1:2">
      <c r="A971" s="156" t="s">
        <v>2480</v>
      </c>
      <c r="B971" s="156" t="s">
        <v>2481</v>
      </c>
    </row>
    <row r="972" spans="1:2">
      <c r="A972" s="156" t="s">
        <v>2482</v>
      </c>
      <c r="B972" s="156" t="s">
        <v>2483</v>
      </c>
    </row>
    <row r="973" spans="1:2">
      <c r="A973" s="156" t="s">
        <v>2484</v>
      </c>
      <c r="B973" s="156" t="s">
        <v>2485</v>
      </c>
    </row>
    <row r="974" spans="1:2">
      <c r="A974" s="156" t="s">
        <v>2486</v>
      </c>
      <c r="B974" s="156" t="s">
        <v>2487</v>
      </c>
    </row>
    <row r="975" spans="1:2">
      <c r="A975" s="156" t="s">
        <v>2488</v>
      </c>
      <c r="B975" s="156" t="s">
        <v>2489</v>
      </c>
    </row>
    <row r="976" spans="1:2">
      <c r="A976" s="156" t="s">
        <v>2490</v>
      </c>
      <c r="B976" s="156" t="s">
        <v>2491</v>
      </c>
    </row>
    <row r="977" spans="1:2">
      <c r="A977" s="156" t="s">
        <v>2492</v>
      </c>
      <c r="B977" s="156" t="s">
        <v>2493</v>
      </c>
    </row>
    <row r="978" spans="1:2">
      <c r="A978" s="156" t="s">
        <v>2494</v>
      </c>
      <c r="B978" s="156" t="s">
        <v>2495</v>
      </c>
    </row>
    <row r="979" spans="1:2">
      <c r="A979" s="156" t="s">
        <v>2496</v>
      </c>
      <c r="B979" s="156" t="s">
        <v>2497</v>
      </c>
    </row>
    <row r="980" spans="1:2">
      <c r="A980" s="156" t="s">
        <v>2498</v>
      </c>
      <c r="B980" s="156" t="s">
        <v>2499</v>
      </c>
    </row>
    <row r="981" spans="1:2">
      <c r="A981" s="156" t="s">
        <v>2500</v>
      </c>
      <c r="B981" s="156" t="s">
        <v>2501</v>
      </c>
    </row>
    <row r="982" spans="1:2">
      <c r="A982" s="156" t="s">
        <v>2502</v>
      </c>
      <c r="B982" s="156" t="s">
        <v>2503</v>
      </c>
    </row>
    <row r="983" spans="1:2">
      <c r="A983" s="156" t="s">
        <v>2504</v>
      </c>
      <c r="B983" s="156" t="s">
        <v>2505</v>
      </c>
    </row>
    <row r="984" spans="1:2">
      <c r="A984" s="156" t="s">
        <v>2506</v>
      </c>
      <c r="B984" s="156" t="s">
        <v>2507</v>
      </c>
    </row>
    <row r="985" spans="1:2">
      <c r="A985" s="156" t="s">
        <v>2508</v>
      </c>
      <c r="B985" s="156" t="s">
        <v>2509</v>
      </c>
    </row>
    <row r="986" spans="1:2">
      <c r="A986" s="156" t="s">
        <v>2510</v>
      </c>
      <c r="B986" s="156" t="s">
        <v>2511</v>
      </c>
    </row>
    <row r="987" spans="1:2">
      <c r="A987" s="156" t="s">
        <v>2512</v>
      </c>
      <c r="B987" s="156" t="s">
        <v>2513</v>
      </c>
    </row>
    <row r="988" spans="1:2">
      <c r="A988" s="156" t="s">
        <v>2514</v>
      </c>
      <c r="B988" s="156" t="s">
        <v>2515</v>
      </c>
    </row>
    <row r="989" spans="1:2">
      <c r="A989" s="156" t="s">
        <v>2516</v>
      </c>
      <c r="B989" s="156" t="s">
        <v>2517</v>
      </c>
    </row>
    <row r="990" spans="1:2">
      <c r="A990" s="156" t="s">
        <v>2518</v>
      </c>
      <c r="B990" s="156" t="s">
        <v>2519</v>
      </c>
    </row>
    <row r="991" spans="1:2">
      <c r="A991" s="156" t="s">
        <v>2520</v>
      </c>
      <c r="B991" s="156" t="s">
        <v>309</v>
      </c>
    </row>
    <row r="992" spans="1:2">
      <c r="A992" s="156" t="s">
        <v>2521</v>
      </c>
      <c r="B992" s="156" t="s">
        <v>2522</v>
      </c>
    </row>
    <row r="993" spans="1:2">
      <c r="A993" s="156" t="s">
        <v>2523</v>
      </c>
      <c r="B993" s="156" t="s">
        <v>2524</v>
      </c>
    </row>
    <row r="994" spans="1:2">
      <c r="A994" s="156" t="s">
        <v>2525</v>
      </c>
      <c r="B994" s="156" t="s">
        <v>2526</v>
      </c>
    </row>
    <row r="995" spans="1:2">
      <c r="A995" s="156" t="s">
        <v>2527</v>
      </c>
      <c r="B995" s="156" t="s">
        <v>2528</v>
      </c>
    </row>
    <row r="996" spans="1:2">
      <c r="A996" s="156" t="s">
        <v>2529</v>
      </c>
      <c r="B996" s="156" t="s">
        <v>2530</v>
      </c>
    </row>
    <row r="997" spans="1:2">
      <c r="A997" s="156" t="s">
        <v>2531</v>
      </c>
      <c r="B997" s="156" t="s">
        <v>2532</v>
      </c>
    </row>
    <row r="998" spans="1:2">
      <c r="A998" s="156" t="s">
        <v>2533</v>
      </c>
      <c r="B998" s="156" t="s">
        <v>2534</v>
      </c>
    </row>
    <row r="999" spans="1:2">
      <c r="A999" s="156" t="s">
        <v>2535</v>
      </c>
      <c r="B999" s="156" t="s">
        <v>2536</v>
      </c>
    </row>
    <row r="1000" spans="1:2">
      <c r="A1000" s="156" t="s">
        <v>2537</v>
      </c>
      <c r="B1000" s="156" t="s">
        <v>2538</v>
      </c>
    </row>
    <row r="1001" spans="1:2">
      <c r="A1001" s="156" t="s">
        <v>2539</v>
      </c>
      <c r="B1001" s="156" t="s">
        <v>2540</v>
      </c>
    </row>
    <row r="1002" spans="1:2">
      <c r="A1002" s="156" t="s">
        <v>2541</v>
      </c>
      <c r="B1002" s="156" t="s">
        <v>2542</v>
      </c>
    </row>
    <row r="1003" spans="1:2">
      <c r="A1003" s="156" t="s">
        <v>2543</v>
      </c>
      <c r="B1003" s="156" t="s">
        <v>2544</v>
      </c>
    </row>
    <row r="1004" spans="1:2">
      <c r="A1004" s="156" t="s">
        <v>2545</v>
      </c>
      <c r="B1004" s="156" t="s">
        <v>2546</v>
      </c>
    </row>
    <row r="1005" spans="1:2">
      <c r="A1005" s="156" t="s">
        <v>2547</v>
      </c>
      <c r="B1005" s="156" t="s">
        <v>2548</v>
      </c>
    </row>
    <row r="1006" spans="1:2">
      <c r="A1006" s="156" t="s">
        <v>2549</v>
      </c>
      <c r="B1006" s="156" t="s">
        <v>2550</v>
      </c>
    </row>
    <row r="1007" spans="1:2">
      <c r="A1007" s="156" t="s">
        <v>2551</v>
      </c>
      <c r="B1007" s="156" t="s">
        <v>2552</v>
      </c>
    </row>
    <row r="1008" spans="1:2">
      <c r="A1008" s="156" t="s">
        <v>2553</v>
      </c>
      <c r="B1008" s="156" t="s">
        <v>2554</v>
      </c>
    </row>
    <row r="1009" spans="1:2">
      <c r="A1009" s="156" t="s">
        <v>2555</v>
      </c>
      <c r="B1009" s="156" t="s">
        <v>2556</v>
      </c>
    </row>
    <row r="1010" spans="1:2">
      <c r="A1010" s="156" t="s">
        <v>2557</v>
      </c>
      <c r="B1010" s="156" t="s">
        <v>2558</v>
      </c>
    </row>
    <row r="1011" spans="1:2">
      <c r="A1011" s="156" t="s">
        <v>2559</v>
      </c>
      <c r="B1011" s="156" t="s">
        <v>2560</v>
      </c>
    </row>
    <row r="1012" spans="1:2">
      <c r="A1012" s="156" t="s">
        <v>2561</v>
      </c>
      <c r="B1012" s="156" t="s">
        <v>2562</v>
      </c>
    </row>
    <row r="1013" spans="1:2">
      <c r="A1013" s="156" t="s">
        <v>2563</v>
      </c>
      <c r="B1013" s="156" t="s">
        <v>2564</v>
      </c>
    </row>
    <row r="1014" spans="1:2">
      <c r="A1014" s="156" t="s">
        <v>2565</v>
      </c>
      <c r="B1014" s="156" t="s">
        <v>2566</v>
      </c>
    </row>
    <row r="1015" spans="1:2">
      <c r="A1015" s="156" t="s">
        <v>2567</v>
      </c>
      <c r="B1015" s="156" t="s">
        <v>2568</v>
      </c>
    </row>
    <row r="1016" spans="1:2">
      <c r="A1016" s="156" t="s">
        <v>2569</v>
      </c>
      <c r="B1016" s="156" t="s">
        <v>2570</v>
      </c>
    </row>
    <row r="1017" spans="1:2">
      <c r="A1017" s="156" t="s">
        <v>2571</v>
      </c>
      <c r="B1017" s="156" t="s">
        <v>2572</v>
      </c>
    </row>
    <row r="1018" spans="1:2">
      <c r="A1018" s="156" t="s">
        <v>2573</v>
      </c>
      <c r="B1018" s="156" t="s">
        <v>2574</v>
      </c>
    </row>
    <row r="1019" spans="1:2">
      <c r="A1019" s="156" t="s">
        <v>2575</v>
      </c>
      <c r="B1019" s="156" t="s">
        <v>2576</v>
      </c>
    </row>
    <row r="1020" spans="1:2">
      <c r="A1020" s="156" t="s">
        <v>2577</v>
      </c>
      <c r="B1020" s="156" t="s">
        <v>2578</v>
      </c>
    </row>
    <row r="1021" spans="1:2">
      <c r="A1021" s="156" t="s">
        <v>2579</v>
      </c>
      <c r="B1021" s="156" t="s">
        <v>2580</v>
      </c>
    </row>
    <row r="1022" spans="1:2">
      <c r="A1022" s="156" t="s">
        <v>2581</v>
      </c>
      <c r="B1022" s="156" t="s">
        <v>2582</v>
      </c>
    </row>
    <row r="1023" spans="1:2">
      <c r="A1023" s="156" t="s">
        <v>2583</v>
      </c>
      <c r="B1023" s="156" t="s">
        <v>2584</v>
      </c>
    </row>
    <row r="1024" spans="1:2">
      <c r="A1024" s="156" t="s">
        <v>2585</v>
      </c>
      <c r="B1024" s="156" t="s">
        <v>2586</v>
      </c>
    </row>
    <row r="1025" spans="1:2">
      <c r="A1025" s="156" t="s">
        <v>2587</v>
      </c>
      <c r="B1025" s="156" t="s">
        <v>2588</v>
      </c>
    </row>
    <row r="1026" spans="1:2">
      <c r="A1026" s="156" t="s">
        <v>2589</v>
      </c>
      <c r="B1026" s="156" t="s">
        <v>2590</v>
      </c>
    </row>
    <row r="1027" spans="1:2">
      <c r="A1027" s="156" t="s">
        <v>2591</v>
      </c>
      <c r="B1027" s="156" t="s">
        <v>2592</v>
      </c>
    </row>
    <row r="1028" spans="1:2">
      <c r="A1028" s="156" t="s">
        <v>2593</v>
      </c>
      <c r="B1028" s="156" t="s">
        <v>2594</v>
      </c>
    </row>
    <row r="1029" spans="1:2">
      <c r="A1029" s="156" t="s">
        <v>2595</v>
      </c>
      <c r="B1029" s="156" t="s">
        <v>2596</v>
      </c>
    </row>
    <row r="1030" spans="1:2">
      <c r="A1030" s="156" t="s">
        <v>2597</v>
      </c>
      <c r="B1030" s="156" t="s">
        <v>2598</v>
      </c>
    </row>
    <row r="1031" spans="1:2">
      <c r="A1031" s="156" t="s">
        <v>2599</v>
      </c>
      <c r="B1031" s="156" t="s">
        <v>2600</v>
      </c>
    </row>
    <row r="1032" spans="1:2">
      <c r="A1032" s="156" t="s">
        <v>2601</v>
      </c>
      <c r="B1032" s="156" t="s">
        <v>2602</v>
      </c>
    </row>
    <row r="1033" spans="1:2">
      <c r="A1033" s="156" t="s">
        <v>2603</v>
      </c>
      <c r="B1033" s="156" t="s">
        <v>2604</v>
      </c>
    </row>
    <row r="1034" spans="1:2">
      <c r="A1034" s="156" t="s">
        <v>2605</v>
      </c>
      <c r="B1034" s="156" t="s">
        <v>2606</v>
      </c>
    </row>
    <row r="1035" spans="1:2">
      <c r="A1035" s="156" t="s">
        <v>2607</v>
      </c>
      <c r="B1035" s="156" t="s">
        <v>2608</v>
      </c>
    </row>
    <row r="1036" spans="1:2">
      <c r="A1036" s="156" t="s">
        <v>2609</v>
      </c>
      <c r="B1036" s="156" t="s">
        <v>2610</v>
      </c>
    </row>
    <row r="1037" spans="1:2">
      <c r="A1037" s="156" t="s">
        <v>2611</v>
      </c>
      <c r="B1037" s="156" t="s">
        <v>2612</v>
      </c>
    </row>
    <row r="1038" spans="1:2">
      <c r="A1038" s="156" t="s">
        <v>2613</v>
      </c>
      <c r="B1038" s="156" t="s">
        <v>2614</v>
      </c>
    </row>
    <row r="1039" spans="1:2">
      <c r="A1039" s="156" t="s">
        <v>2615</v>
      </c>
      <c r="B1039" s="156" t="s">
        <v>2616</v>
      </c>
    </row>
    <row r="1040" spans="1:2">
      <c r="A1040" s="156" t="s">
        <v>2617</v>
      </c>
      <c r="B1040" s="156" t="s">
        <v>2618</v>
      </c>
    </row>
    <row r="1041" spans="1:2">
      <c r="A1041" s="156" t="s">
        <v>2619</v>
      </c>
      <c r="B1041" s="156" t="s">
        <v>2620</v>
      </c>
    </row>
    <row r="1042" spans="1:2">
      <c r="A1042" s="156" t="s">
        <v>2621</v>
      </c>
      <c r="B1042" s="156" t="s">
        <v>2622</v>
      </c>
    </row>
    <row r="1043" spans="1:2">
      <c r="A1043" s="156" t="s">
        <v>2623</v>
      </c>
      <c r="B1043" s="156" t="s">
        <v>2624</v>
      </c>
    </row>
    <row r="1044" spans="1:2">
      <c r="A1044" s="156" t="s">
        <v>2625</v>
      </c>
      <c r="B1044" s="156" t="s">
        <v>2626</v>
      </c>
    </row>
    <row r="1045" spans="1:2">
      <c r="A1045" s="156" t="s">
        <v>2627</v>
      </c>
      <c r="B1045" s="156" t="s">
        <v>2628</v>
      </c>
    </row>
    <row r="1046" spans="1:2">
      <c r="A1046" s="156" t="s">
        <v>2629</v>
      </c>
      <c r="B1046" s="156" t="s">
        <v>2630</v>
      </c>
    </row>
    <row r="1047" spans="1:2">
      <c r="A1047" s="156" t="s">
        <v>2631</v>
      </c>
      <c r="B1047" s="156" t="s">
        <v>2632</v>
      </c>
    </row>
    <row r="1048" spans="1:2">
      <c r="A1048" s="156" t="s">
        <v>2633</v>
      </c>
      <c r="B1048" s="156" t="s">
        <v>2634</v>
      </c>
    </row>
    <row r="1049" spans="1:2">
      <c r="A1049" s="156" t="s">
        <v>2635</v>
      </c>
      <c r="B1049" s="156" t="s">
        <v>2636</v>
      </c>
    </row>
    <row r="1050" spans="1:2">
      <c r="A1050" s="156" t="s">
        <v>2637</v>
      </c>
      <c r="B1050" s="156" t="s">
        <v>2638</v>
      </c>
    </row>
    <row r="1051" spans="1:2">
      <c r="A1051" s="156" t="s">
        <v>2639</v>
      </c>
      <c r="B1051" s="156" t="s">
        <v>2640</v>
      </c>
    </row>
    <row r="1052" spans="1:2">
      <c r="A1052" s="156" t="s">
        <v>2641</v>
      </c>
      <c r="B1052" s="156" t="s">
        <v>2642</v>
      </c>
    </row>
    <row r="1053" spans="1:2">
      <c r="A1053" s="156" t="s">
        <v>2643</v>
      </c>
      <c r="B1053" s="156" t="s">
        <v>2644</v>
      </c>
    </row>
    <row r="1054" spans="1:2">
      <c r="A1054" s="156" t="s">
        <v>2645</v>
      </c>
      <c r="B1054" s="156" t="s">
        <v>2646</v>
      </c>
    </row>
    <row r="1055" spans="1:2">
      <c r="A1055" s="156" t="s">
        <v>2647</v>
      </c>
      <c r="B1055" s="156" t="s">
        <v>2648</v>
      </c>
    </row>
    <row r="1056" spans="1:2">
      <c r="A1056" s="156" t="s">
        <v>2649</v>
      </c>
      <c r="B1056" s="156" t="s">
        <v>2650</v>
      </c>
    </row>
    <row r="1057" spans="1:2">
      <c r="A1057" s="156" t="s">
        <v>2651</v>
      </c>
      <c r="B1057" s="156" t="s">
        <v>2652</v>
      </c>
    </row>
    <row r="1058" spans="1:2">
      <c r="A1058" s="156" t="s">
        <v>2653</v>
      </c>
      <c r="B1058" s="156" t="s">
        <v>2654</v>
      </c>
    </row>
    <row r="1059" spans="1:2">
      <c r="A1059" s="156" t="s">
        <v>2655</v>
      </c>
      <c r="B1059" s="156" t="s">
        <v>2656</v>
      </c>
    </row>
    <row r="1060" spans="1:2">
      <c r="A1060" s="156" t="s">
        <v>2657</v>
      </c>
      <c r="B1060" s="156" t="s">
        <v>2658</v>
      </c>
    </row>
    <row r="1061" spans="1:2">
      <c r="A1061" s="156" t="s">
        <v>2659</v>
      </c>
      <c r="B1061" s="156" t="s">
        <v>2660</v>
      </c>
    </row>
    <row r="1062" spans="1:2">
      <c r="A1062" s="156" t="s">
        <v>2661</v>
      </c>
      <c r="B1062" s="156" t="s">
        <v>2662</v>
      </c>
    </row>
    <row r="1063" spans="1:2">
      <c r="A1063" s="156" t="s">
        <v>2663</v>
      </c>
      <c r="B1063" s="156" t="s">
        <v>2664</v>
      </c>
    </row>
    <row r="1064" spans="1:2">
      <c r="A1064" s="156" t="s">
        <v>2665</v>
      </c>
      <c r="B1064" s="156" t="s">
        <v>2666</v>
      </c>
    </row>
    <row r="1065" spans="1:2">
      <c r="A1065" s="156" t="s">
        <v>2667</v>
      </c>
      <c r="B1065" s="156" t="s">
        <v>2668</v>
      </c>
    </row>
    <row r="1066" spans="1:2">
      <c r="A1066" s="156" t="s">
        <v>2669</v>
      </c>
      <c r="B1066" s="156" t="s">
        <v>2670</v>
      </c>
    </row>
    <row r="1067" spans="1:2">
      <c r="A1067" s="156" t="s">
        <v>2671</v>
      </c>
      <c r="B1067" s="156" t="s">
        <v>2672</v>
      </c>
    </row>
    <row r="1068" spans="1:2">
      <c r="A1068" s="156" t="s">
        <v>2673</v>
      </c>
      <c r="B1068" s="156" t="s">
        <v>2674</v>
      </c>
    </row>
    <row r="1069" spans="1:2">
      <c r="A1069" s="156" t="s">
        <v>2675</v>
      </c>
      <c r="B1069" s="156" t="s">
        <v>2676</v>
      </c>
    </row>
    <row r="1070" spans="1:2">
      <c r="A1070" s="156" t="s">
        <v>2677</v>
      </c>
      <c r="B1070" s="156" t="s">
        <v>2678</v>
      </c>
    </row>
    <row r="1071" spans="1:2">
      <c r="A1071" s="156" t="s">
        <v>2679</v>
      </c>
      <c r="B1071" s="156" t="s">
        <v>2680</v>
      </c>
    </row>
    <row r="1072" spans="1:2">
      <c r="A1072" s="156" t="s">
        <v>2681</v>
      </c>
      <c r="B1072" s="156" t="s">
        <v>2682</v>
      </c>
    </row>
    <row r="1073" spans="1:2">
      <c r="A1073" s="156" t="s">
        <v>2683</v>
      </c>
      <c r="B1073" s="156" t="s">
        <v>2684</v>
      </c>
    </row>
    <row r="1074" spans="1:2">
      <c r="A1074" s="156" t="s">
        <v>2685</v>
      </c>
      <c r="B1074" s="156" t="s">
        <v>2686</v>
      </c>
    </row>
    <row r="1075" spans="1:2">
      <c r="A1075" s="156" t="s">
        <v>2687</v>
      </c>
      <c r="B1075" s="156" t="s">
        <v>2688</v>
      </c>
    </row>
    <row r="1076" spans="1:2">
      <c r="A1076" s="156" t="s">
        <v>2689</v>
      </c>
      <c r="B1076" s="156" t="s">
        <v>2690</v>
      </c>
    </row>
    <row r="1077" spans="1:2">
      <c r="A1077" s="156" t="s">
        <v>2691</v>
      </c>
      <c r="B1077" s="156" t="s">
        <v>2692</v>
      </c>
    </row>
    <row r="1078" spans="1:2">
      <c r="A1078" s="156" t="s">
        <v>2693</v>
      </c>
      <c r="B1078" s="156" t="s">
        <v>2694</v>
      </c>
    </row>
    <row r="1079" spans="1:2">
      <c r="A1079" s="156" t="s">
        <v>2695</v>
      </c>
      <c r="B1079" s="156" t="s">
        <v>2696</v>
      </c>
    </row>
    <row r="1080" spans="1:2">
      <c r="A1080" s="156" t="s">
        <v>2697</v>
      </c>
      <c r="B1080" s="156" t="s">
        <v>2698</v>
      </c>
    </row>
    <row r="1081" spans="1:2">
      <c r="A1081" s="156" t="s">
        <v>2699</v>
      </c>
      <c r="B1081" s="156" t="s">
        <v>2700</v>
      </c>
    </row>
    <row r="1082" spans="1:2">
      <c r="A1082" s="156" t="s">
        <v>2701</v>
      </c>
      <c r="B1082" s="156" t="s">
        <v>2702</v>
      </c>
    </row>
    <row r="1083" spans="1:2">
      <c r="A1083" s="156" t="s">
        <v>2703</v>
      </c>
      <c r="B1083" s="156" t="s">
        <v>2704</v>
      </c>
    </row>
    <row r="1084" spans="1:2">
      <c r="A1084" s="156" t="s">
        <v>2705</v>
      </c>
      <c r="B1084" s="156" t="s">
        <v>2706</v>
      </c>
    </row>
    <row r="1085" spans="1:2">
      <c r="A1085" s="156" t="s">
        <v>2707</v>
      </c>
      <c r="B1085" s="156" t="s">
        <v>2708</v>
      </c>
    </row>
    <row r="1086" spans="1:2">
      <c r="A1086" s="156" t="s">
        <v>2709</v>
      </c>
      <c r="B1086" s="156" t="s">
        <v>2710</v>
      </c>
    </row>
    <row r="1087" spans="1:2">
      <c r="A1087" s="156" t="s">
        <v>2711</v>
      </c>
      <c r="B1087" s="156" t="s">
        <v>2712</v>
      </c>
    </row>
    <row r="1088" spans="1:2">
      <c r="A1088" s="156" t="s">
        <v>2713</v>
      </c>
      <c r="B1088" s="156" t="s">
        <v>2714</v>
      </c>
    </row>
    <row r="1089" spans="1:2">
      <c r="A1089" s="156" t="s">
        <v>2715</v>
      </c>
      <c r="B1089" s="156" t="s">
        <v>2716</v>
      </c>
    </row>
    <row r="1090" spans="1:2">
      <c r="A1090" s="156" t="s">
        <v>2717</v>
      </c>
      <c r="B1090" s="156" t="s">
        <v>2718</v>
      </c>
    </row>
    <row r="1091" spans="1:2">
      <c r="A1091" s="156" t="s">
        <v>2719</v>
      </c>
      <c r="B1091" s="156" t="s">
        <v>2720</v>
      </c>
    </row>
    <row r="1092" spans="1:2">
      <c r="A1092" s="156" t="s">
        <v>2721</v>
      </c>
      <c r="B1092" s="156" t="s">
        <v>2722</v>
      </c>
    </row>
    <row r="1093" spans="1:2">
      <c r="A1093" s="156" t="s">
        <v>2723</v>
      </c>
      <c r="B1093" s="156" t="s">
        <v>2724</v>
      </c>
    </row>
    <row r="1094" spans="1:2">
      <c r="A1094" s="156" t="s">
        <v>2725</v>
      </c>
      <c r="B1094" s="156" t="s">
        <v>2726</v>
      </c>
    </row>
    <row r="1095" spans="1:2">
      <c r="A1095" s="156" t="s">
        <v>2727</v>
      </c>
      <c r="B1095" s="156" t="s">
        <v>2728</v>
      </c>
    </row>
    <row r="1096" spans="1:2">
      <c r="A1096" s="156" t="s">
        <v>2729</v>
      </c>
      <c r="B1096" s="156" t="s">
        <v>2730</v>
      </c>
    </row>
    <row r="1097" spans="1:2">
      <c r="A1097" s="156" t="s">
        <v>2731</v>
      </c>
      <c r="B1097" s="156" t="s">
        <v>2732</v>
      </c>
    </row>
    <row r="1098" spans="1:2">
      <c r="A1098" s="156" t="s">
        <v>2733</v>
      </c>
      <c r="B1098" s="156" t="s">
        <v>2734</v>
      </c>
    </row>
    <row r="1099" spans="1:2">
      <c r="A1099" s="156" t="s">
        <v>2735</v>
      </c>
      <c r="B1099" s="156" t="s">
        <v>2736</v>
      </c>
    </row>
    <row r="1100" spans="1:2">
      <c r="A1100" s="156" t="s">
        <v>2737</v>
      </c>
      <c r="B1100" s="156" t="s">
        <v>2738</v>
      </c>
    </row>
    <row r="1101" spans="1:2">
      <c r="A1101" s="156" t="s">
        <v>2739</v>
      </c>
      <c r="B1101" s="156" t="s">
        <v>2740</v>
      </c>
    </row>
    <row r="1102" spans="1:2">
      <c r="A1102" s="156" t="s">
        <v>2741</v>
      </c>
      <c r="B1102" s="156" t="s">
        <v>2742</v>
      </c>
    </row>
    <row r="1103" spans="1:2">
      <c r="A1103" s="156" t="s">
        <v>2743</v>
      </c>
      <c r="B1103" s="156" t="s">
        <v>2744</v>
      </c>
    </row>
    <row r="1104" spans="1:2">
      <c r="A1104" s="156" t="s">
        <v>2745</v>
      </c>
      <c r="B1104" s="156" t="s">
        <v>2746</v>
      </c>
    </row>
    <row r="1105" spans="1:2">
      <c r="A1105" s="156" t="s">
        <v>2747</v>
      </c>
      <c r="B1105" s="156" t="s">
        <v>2748</v>
      </c>
    </row>
    <row r="1106" spans="1:2">
      <c r="A1106" s="156" t="s">
        <v>2749</v>
      </c>
      <c r="B1106" s="156" t="s">
        <v>2750</v>
      </c>
    </row>
    <row r="1107" spans="1:2">
      <c r="A1107" s="156" t="s">
        <v>2751</v>
      </c>
      <c r="B1107" s="156" t="s">
        <v>2752</v>
      </c>
    </row>
    <row r="1108" spans="1:2">
      <c r="A1108" s="156" t="s">
        <v>2753</v>
      </c>
      <c r="B1108" s="156" t="s">
        <v>2754</v>
      </c>
    </row>
    <row r="1109" spans="1:2">
      <c r="A1109" s="156" t="s">
        <v>2755</v>
      </c>
      <c r="B1109" s="156" t="s">
        <v>2756</v>
      </c>
    </row>
    <row r="1110" spans="1:2">
      <c r="A1110" s="156" t="s">
        <v>2757</v>
      </c>
      <c r="B1110" s="156" t="s">
        <v>2758</v>
      </c>
    </row>
    <row r="1111" spans="1:2">
      <c r="A1111" s="156" t="s">
        <v>2759</v>
      </c>
      <c r="B1111" s="156" t="s">
        <v>2760</v>
      </c>
    </row>
    <row r="1112" spans="1:2">
      <c r="A1112" s="156" t="s">
        <v>2761</v>
      </c>
      <c r="B1112" s="156" t="s">
        <v>2762</v>
      </c>
    </row>
    <row r="1113" spans="1:2">
      <c r="A1113" s="156" t="s">
        <v>2763</v>
      </c>
      <c r="B1113" s="156" t="s">
        <v>2764</v>
      </c>
    </row>
    <row r="1114" spans="1:2">
      <c r="A1114" s="156" t="s">
        <v>2765</v>
      </c>
      <c r="B1114" s="156" t="s">
        <v>2766</v>
      </c>
    </row>
    <row r="1115" spans="1:2">
      <c r="A1115" s="156" t="s">
        <v>2767</v>
      </c>
      <c r="B1115" s="156" t="s">
        <v>2768</v>
      </c>
    </row>
    <row r="1116" spans="1:2">
      <c r="A1116" s="156" t="s">
        <v>2769</v>
      </c>
      <c r="B1116" s="156" t="s">
        <v>2770</v>
      </c>
    </row>
    <row r="1117" spans="1:2">
      <c r="A1117" s="156" t="s">
        <v>2771</v>
      </c>
      <c r="B1117" s="156" t="s">
        <v>2772</v>
      </c>
    </row>
    <row r="1118" spans="1:2">
      <c r="A1118" s="156" t="s">
        <v>2773</v>
      </c>
      <c r="B1118" s="156" t="s">
        <v>2774</v>
      </c>
    </row>
    <row r="1119" spans="1:2">
      <c r="A1119" s="156" t="s">
        <v>2775</v>
      </c>
      <c r="B1119" s="156" t="s">
        <v>2776</v>
      </c>
    </row>
    <row r="1120" spans="1:2">
      <c r="A1120" s="156" t="s">
        <v>2777</v>
      </c>
      <c r="B1120" s="156" t="s">
        <v>2778</v>
      </c>
    </row>
    <row r="1121" spans="1:2">
      <c r="A1121" s="156" t="s">
        <v>2779</v>
      </c>
      <c r="B1121" s="156" t="s">
        <v>2780</v>
      </c>
    </row>
    <row r="1122" spans="1:2">
      <c r="A1122" s="156" t="s">
        <v>2781</v>
      </c>
      <c r="B1122" s="156" t="s">
        <v>2782</v>
      </c>
    </row>
    <row r="1123" spans="1:2">
      <c r="A1123" s="156" t="s">
        <v>2783</v>
      </c>
      <c r="B1123" s="156" t="s">
        <v>2784</v>
      </c>
    </row>
    <row r="1124" spans="1:2">
      <c r="A1124" s="156" t="s">
        <v>2785</v>
      </c>
      <c r="B1124" s="156" t="s">
        <v>2786</v>
      </c>
    </row>
    <row r="1125" spans="1:2">
      <c r="A1125" s="156" t="s">
        <v>2787</v>
      </c>
      <c r="B1125" s="156" t="s">
        <v>2788</v>
      </c>
    </row>
    <row r="1126" spans="1:2">
      <c r="A1126" s="156" t="s">
        <v>2789</v>
      </c>
      <c r="B1126" s="156" t="s">
        <v>2790</v>
      </c>
    </row>
    <row r="1127" spans="1:2">
      <c r="A1127" s="156" t="s">
        <v>2791</v>
      </c>
      <c r="B1127" s="156" t="s">
        <v>2792</v>
      </c>
    </row>
    <row r="1128" spans="1:2">
      <c r="A1128" s="156" t="s">
        <v>2793</v>
      </c>
      <c r="B1128" s="156" t="s">
        <v>2794</v>
      </c>
    </row>
    <row r="1129" spans="1:2">
      <c r="A1129" s="156" t="s">
        <v>2795</v>
      </c>
      <c r="B1129" s="156" t="s">
        <v>2796</v>
      </c>
    </row>
    <row r="1130" spans="1:2">
      <c r="A1130" s="156" t="s">
        <v>2797</v>
      </c>
      <c r="B1130" s="156" t="s">
        <v>2798</v>
      </c>
    </row>
    <row r="1131" spans="1:2">
      <c r="A1131" s="156" t="s">
        <v>2799</v>
      </c>
      <c r="B1131" s="156" t="s">
        <v>2800</v>
      </c>
    </row>
    <row r="1132" spans="1:2">
      <c r="A1132" s="156" t="s">
        <v>2801</v>
      </c>
      <c r="B1132" s="156" t="s">
        <v>2802</v>
      </c>
    </row>
    <row r="1133" spans="1:2">
      <c r="A1133" s="156" t="s">
        <v>2803</v>
      </c>
      <c r="B1133" s="156" t="s">
        <v>2804</v>
      </c>
    </row>
    <row r="1134" spans="1:2">
      <c r="A1134" s="156" t="s">
        <v>2805</v>
      </c>
      <c r="B1134" s="156" t="s">
        <v>2806</v>
      </c>
    </row>
    <row r="1135" spans="1:2">
      <c r="A1135" s="156" t="s">
        <v>2807</v>
      </c>
      <c r="B1135" s="156" t="s">
        <v>2808</v>
      </c>
    </row>
    <row r="1136" spans="1:2">
      <c r="A1136" s="156" t="s">
        <v>2809</v>
      </c>
      <c r="B1136" s="156" t="s">
        <v>2810</v>
      </c>
    </row>
    <row r="1137" spans="1:2">
      <c r="A1137" s="156" t="s">
        <v>2811</v>
      </c>
      <c r="B1137" s="156" t="s">
        <v>2812</v>
      </c>
    </row>
    <row r="1138" spans="1:2">
      <c r="A1138" s="156" t="s">
        <v>2813</v>
      </c>
      <c r="B1138" s="156" t="s">
        <v>2814</v>
      </c>
    </row>
    <row r="1139" spans="1:2">
      <c r="A1139" s="156" t="s">
        <v>2815</v>
      </c>
      <c r="B1139" s="156" t="s">
        <v>2816</v>
      </c>
    </row>
    <row r="1140" spans="1:2">
      <c r="A1140" s="156" t="s">
        <v>2817</v>
      </c>
      <c r="B1140" s="156" t="s">
        <v>2818</v>
      </c>
    </row>
    <row r="1141" spans="1:2">
      <c r="A1141" s="156" t="s">
        <v>2819</v>
      </c>
      <c r="B1141" s="156" t="s">
        <v>2820</v>
      </c>
    </row>
    <row r="1142" spans="1:2">
      <c r="A1142" s="156" t="s">
        <v>2821</v>
      </c>
      <c r="B1142" s="156" t="s">
        <v>2822</v>
      </c>
    </row>
    <row r="1143" spans="1:2">
      <c r="A1143" s="156" t="s">
        <v>2823</v>
      </c>
      <c r="B1143" s="156" t="s">
        <v>2824</v>
      </c>
    </row>
    <row r="1144" spans="1:2">
      <c r="A1144" s="156" t="s">
        <v>2825</v>
      </c>
      <c r="B1144" s="156" t="s">
        <v>2826</v>
      </c>
    </row>
    <row r="1145" spans="1:2">
      <c r="A1145" s="156" t="s">
        <v>2827</v>
      </c>
      <c r="B1145" s="156" t="s">
        <v>2828</v>
      </c>
    </row>
    <row r="1146" spans="1:2">
      <c r="A1146" s="156" t="s">
        <v>2829</v>
      </c>
      <c r="B1146" s="156" t="s">
        <v>2830</v>
      </c>
    </row>
    <row r="1147" spans="1:2">
      <c r="A1147" s="156" t="s">
        <v>2831</v>
      </c>
      <c r="B1147" s="156" t="s">
        <v>2832</v>
      </c>
    </row>
    <row r="1148" spans="1:2">
      <c r="A1148" s="156" t="s">
        <v>2833</v>
      </c>
      <c r="B1148" s="156" t="s">
        <v>2834</v>
      </c>
    </row>
    <row r="1149" spans="1:2">
      <c r="A1149" s="156" t="s">
        <v>2835</v>
      </c>
      <c r="B1149" s="156" t="s">
        <v>2836</v>
      </c>
    </row>
    <row r="1150" spans="1:2">
      <c r="A1150" s="156" t="s">
        <v>2837</v>
      </c>
      <c r="B1150" s="156" t="s">
        <v>2838</v>
      </c>
    </row>
    <row r="1151" spans="1:2">
      <c r="A1151" s="156" t="s">
        <v>2839</v>
      </c>
      <c r="B1151" s="156" t="s">
        <v>2840</v>
      </c>
    </row>
    <row r="1152" spans="1:2">
      <c r="A1152" s="156" t="s">
        <v>2841</v>
      </c>
      <c r="B1152" s="156" t="s">
        <v>2842</v>
      </c>
    </row>
    <row r="1153" spans="1:2">
      <c r="A1153" s="156" t="s">
        <v>2843</v>
      </c>
      <c r="B1153" s="156" t="s">
        <v>2844</v>
      </c>
    </row>
    <row r="1154" spans="1:2">
      <c r="A1154" s="156" t="s">
        <v>2845</v>
      </c>
      <c r="B1154" s="156" t="s">
        <v>2846</v>
      </c>
    </row>
    <row r="1155" spans="1:2">
      <c r="A1155" s="156" t="s">
        <v>2847</v>
      </c>
      <c r="B1155" s="156" t="s">
        <v>2848</v>
      </c>
    </row>
    <row r="1156" spans="1:2">
      <c r="A1156" s="156" t="s">
        <v>2849</v>
      </c>
      <c r="B1156" s="156" t="s">
        <v>2850</v>
      </c>
    </row>
    <row r="1157" spans="1:2">
      <c r="A1157" s="156" t="s">
        <v>2851</v>
      </c>
      <c r="B1157" s="156" t="s">
        <v>2852</v>
      </c>
    </row>
    <row r="1158" spans="1:2">
      <c r="A1158" s="156" t="s">
        <v>2853</v>
      </c>
      <c r="B1158" s="156" t="s">
        <v>2854</v>
      </c>
    </row>
    <row r="1159" spans="1:2">
      <c r="A1159" s="156" t="s">
        <v>2855</v>
      </c>
      <c r="B1159" s="156" t="s">
        <v>2856</v>
      </c>
    </row>
    <row r="1160" spans="1:2">
      <c r="A1160" s="156" t="s">
        <v>2857</v>
      </c>
      <c r="B1160" s="156" t="s">
        <v>2858</v>
      </c>
    </row>
    <row r="1161" spans="1:2">
      <c r="A1161" s="156" t="s">
        <v>2859</v>
      </c>
      <c r="B1161" s="156" t="s">
        <v>2860</v>
      </c>
    </row>
    <row r="1162" spans="1:2">
      <c r="A1162" s="156" t="s">
        <v>2861</v>
      </c>
      <c r="B1162" s="156" t="s">
        <v>2862</v>
      </c>
    </row>
    <row r="1163" spans="1:2">
      <c r="A1163" s="156" t="s">
        <v>2863</v>
      </c>
      <c r="B1163" s="156" t="s">
        <v>2864</v>
      </c>
    </row>
    <row r="1164" spans="1:2">
      <c r="A1164" s="156" t="s">
        <v>2865</v>
      </c>
      <c r="B1164" s="156" t="s">
        <v>2866</v>
      </c>
    </row>
    <row r="1165" spans="1:2">
      <c r="A1165" s="156" t="s">
        <v>2867</v>
      </c>
      <c r="B1165" s="156" t="s">
        <v>2868</v>
      </c>
    </row>
    <row r="1166" spans="1:2">
      <c r="A1166" s="156" t="s">
        <v>2869</v>
      </c>
      <c r="B1166" s="156" t="s">
        <v>2870</v>
      </c>
    </row>
    <row r="1167" spans="1:2">
      <c r="A1167" s="156" t="s">
        <v>2871</v>
      </c>
      <c r="B1167" s="156" t="s">
        <v>2872</v>
      </c>
    </row>
    <row r="1168" spans="1:2">
      <c r="A1168" s="156" t="s">
        <v>2873</v>
      </c>
      <c r="B1168" s="156" t="s">
        <v>2874</v>
      </c>
    </row>
    <row r="1169" spans="1:2">
      <c r="A1169" s="156" t="s">
        <v>2875</v>
      </c>
      <c r="B1169" s="156" t="s">
        <v>2876</v>
      </c>
    </row>
    <row r="1170" spans="1:2">
      <c r="A1170" s="156" t="s">
        <v>2877</v>
      </c>
      <c r="B1170" s="156" t="s">
        <v>2878</v>
      </c>
    </row>
    <row r="1171" spans="1:2">
      <c r="A1171" s="156" t="s">
        <v>2879</v>
      </c>
      <c r="B1171" s="156" t="s">
        <v>2880</v>
      </c>
    </row>
    <row r="1172" spans="1:2">
      <c r="A1172" s="156" t="s">
        <v>2881</v>
      </c>
      <c r="B1172" s="156" t="s">
        <v>2882</v>
      </c>
    </row>
    <row r="1173" spans="1:2">
      <c r="A1173" s="156" t="s">
        <v>2883</v>
      </c>
      <c r="B1173" s="156" t="s">
        <v>2884</v>
      </c>
    </row>
    <row r="1174" spans="1:2">
      <c r="A1174" s="156" t="s">
        <v>2885</v>
      </c>
      <c r="B1174" s="156" t="s">
        <v>2886</v>
      </c>
    </row>
    <row r="1175" spans="1:2">
      <c r="A1175" s="156" t="s">
        <v>2887</v>
      </c>
      <c r="B1175" s="156" t="s">
        <v>2888</v>
      </c>
    </row>
    <row r="1176" spans="1:2">
      <c r="A1176" s="156" t="s">
        <v>2889</v>
      </c>
      <c r="B1176" s="156" t="s">
        <v>2890</v>
      </c>
    </row>
    <row r="1177" spans="1:2">
      <c r="A1177" s="156" t="s">
        <v>2891</v>
      </c>
      <c r="B1177" s="156" t="s">
        <v>2892</v>
      </c>
    </row>
    <row r="1178" spans="1:2">
      <c r="A1178" s="156" t="s">
        <v>2893</v>
      </c>
      <c r="B1178" s="156" t="s">
        <v>2894</v>
      </c>
    </row>
    <row r="1179" spans="1:2">
      <c r="A1179" s="156" t="s">
        <v>2895</v>
      </c>
      <c r="B1179" s="156" t="s">
        <v>2896</v>
      </c>
    </row>
    <row r="1180" spans="1:2">
      <c r="A1180" s="156" t="s">
        <v>2897</v>
      </c>
      <c r="B1180" s="156" t="s">
        <v>2898</v>
      </c>
    </row>
    <row r="1181" spans="1:2">
      <c r="A1181" s="156" t="s">
        <v>2899</v>
      </c>
      <c r="B1181" s="156" t="s">
        <v>2900</v>
      </c>
    </row>
    <row r="1182" spans="1:2">
      <c r="A1182" s="156" t="s">
        <v>2901</v>
      </c>
      <c r="B1182" s="156" t="s">
        <v>2902</v>
      </c>
    </row>
    <row r="1183" spans="1:2">
      <c r="A1183" s="156" t="s">
        <v>2903</v>
      </c>
      <c r="B1183" s="156" t="s">
        <v>2904</v>
      </c>
    </row>
    <row r="1184" spans="1:2">
      <c r="A1184" s="156" t="s">
        <v>2905</v>
      </c>
      <c r="B1184" s="156" t="s">
        <v>2906</v>
      </c>
    </row>
    <row r="1185" spans="1:2">
      <c r="A1185" s="156" t="s">
        <v>2907</v>
      </c>
      <c r="B1185" s="156" t="s">
        <v>2908</v>
      </c>
    </row>
    <row r="1186" spans="1:2">
      <c r="A1186" s="156" t="s">
        <v>2909</v>
      </c>
      <c r="B1186" s="156" t="s">
        <v>2910</v>
      </c>
    </row>
    <row r="1187" spans="1:2">
      <c r="A1187" s="156" t="s">
        <v>2911</v>
      </c>
      <c r="B1187" s="156" t="s">
        <v>2912</v>
      </c>
    </row>
    <row r="1188" spans="1:2">
      <c r="A1188" s="156" t="s">
        <v>2913</v>
      </c>
      <c r="B1188" s="156" t="s">
        <v>2914</v>
      </c>
    </row>
    <row r="1189" spans="1:2">
      <c r="A1189" s="156" t="s">
        <v>2915</v>
      </c>
      <c r="B1189" s="156" t="s">
        <v>2916</v>
      </c>
    </row>
    <row r="1190" spans="1:2">
      <c r="A1190" s="156" t="s">
        <v>2917</v>
      </c>
      <c r="B1190" s="156" t="s">
        <v>2918</v>
      </c>
    </row>
    <row r="1191" spans="1:2">
      <c r="A1191" s="156" t="s">
        <v>2919</v>
      </c>
      <c r="B1191" s="156" t="s">
        <v>2920</v>
      </c>
    </row>
    <row r="1192" spans="1:2">
      <c r="A1192" s="156" t="s">
        <v>2921</v>
      </c>
      <c r="B1192" s="156" t="s">
        <v>2922</v>
      </c>
    </row>
    <row r="1193" spans="1:2">
      <c r="A1193" s="156" t="s">
        <v>2923</v>
      </c>
      <c r="B1193" s="156" t="s">
        <v>2924</v>
      </c>
    </row>
    <row r="1194" spans="1:2">
      <c r="A1194" s="156" t="s">
        <v>2925</v>
      </c>
      <c r="B1194" s="156" t="s">
        <v>2926</v>
      </c>
    </row>
    <row r="1195" spans="1:2">
      <c r="A1195" s="156" t="s">
        <v>2927</v>
      </c>
      <c r="B1195" s="156" t="s">
        <v>2928</v>
      </c>
    </row>
    <row r="1196" spans="1:2">
      <c r="A1196" s="156" t="s">
        <v>2929</v>
      </c>
      <c r="B1196" s="156" t="s">
        <v>2930</v>
      </c>
    </row>
    <row r="1197" spans="1:2">
      <c r="A1197" s="156" t="s">
        <v>2931</v>
      </c>
      <c r="B1197" s="156" t="s">
        <v>2932</v>
      </c>
    </row>
    <row r="1198" spans="1:2">
      <c r="A1198" s="156" t="s">
        <v>2933</v>
      </c>
      <c r="B1198" s="156" t="s">
        <v>2934</v>
      </c>
    </row>
    <row r="1199" spans="1:2">
      <c r="A1199" s="156" t="s">
        <v>2935</v>
      </c>
      <c r="B1199" s="156" t="s">
        <v>2936</v>
      </c>
    </row>
    <row r="1200" spans="1:2">
      <c r="A1200" s="156" t="s">
        <v>2937</v>
      </c>
      <c r="B1200" s="156" t="s">
        <v>2938</v>
      </c>
    </row>
    <row r="1201" spans="1:2">
      <c r="A1201" s="156" t="s">
        <v>2939</v>
      </c>
      <c r="B1201" s="156" t="s">
        <v>2940</v>
      </c>
    </row>
    <row r="1202" spans="1:2">
      <c r="A1202" s="156" t="s">
        <v>2941</v>
      </c>
      <c r="B1202" s="156" t="s">
        <v>2942</v>
      </c>
    </row>
    <row r="1203" spans="1:2">
      <c r="A1203" s="156" t="s">
        <v>2943</v>
      </c>
      <c r="B1203" s="156" t="s">
        <v>2944</v>
      </c>
    </row>
    <row r="1204" spans="1:2">
      <c r="A1204" s="156" t="s">
        <v>2945</v>
      </c>
      <c r="B1204" s="156" t="s">
        <v>2946</v>
      </c>
    </row>
    <row r="1205" spans="1:2">
      <c r="A1205" s="156" t="s">
        <v>2947</v>
      </c>
      <c r="B1205" s="156" t="s">
        <v>2948</v>
      </c>
    </row>
    <row r="1206" spans="1:2">
      <c r="A1206" s="156" t="s">
        <v>2949</v>
      </c>
      <c r="B1206" s="156" t="s">
        <v>2950</v>
      </c>
    </row>
    <row r="1207" spans="1:2">
      <c r="A1207" s="156" t="s">
        <v>2951</v>
      </c>
      <c r="B1207" s="156" t="s">
        <v>2952</v>
      </c>
    </row>
    <row r="1208" spans="1:2">
      <c r="A1208" s="156" t="s">
        <v>2953</v>
      </c>
      <c r="B1208" s="156" t="s">
        <v>2954</v>
      </c>
    </row>
    <row r="1209" spans="1:2">
      <c r="A1209" s="156" t="s">
        <v>2955</v>
      </c>
      <c r="B1209" s="156" t="s">
        <v>2956</v>
      </c>
    </row>
    <row r="1210" spans="1:2">
      <c r="A1210" s="156" t="s">
        <v>2957</v>
      </c>
      <c r="B1210" s="156" t="s">
        <v>2958</v>
      </c>
    </row>
    <row r="1211" spans="1:2">
      <c r="A1211" s="156" t="s">
        <v>2959</v>
      </c>
      <c r="B1211" s="156" t="s">
        <v>2960</v>
      </c>
    </row>
    <row r="1212" spans="1:2">
      <c r="A1212" s="156" t="s">
        <v>2961</v>
      </c>
      <c r="B1212" s="156" t="s">
        <v>2962</v>
      </c>
    </row>
    <row r="1213" spans="1:2">
      <c r="A1213" s="156" t="s">
        <v>2963</v>
      </c>
      <c r="B1213" s="156" t="s">
        <v>2964</v>
      </c>
    </row>
    <row r="1214" spans="1:2">
      <c r="A1214" s="156" t="s">
        <v>2965</v>
      </c>
      <c r="B1214" s="156" t="s">
        <v>2966</v>
      </c>
    </row>
    <row r="1215" spans="1:2">
      <c r="A1215" s="156" t="s">
        <v>2967</v>
      </c>
      <c r="B1215" s="156" t="s">
        <v>2968</v>
      </c>
    </row>
    <row r="1216" spans="1:2">
      <c r="A1216" s="156" t="s">
        <v>2969</v>
      </c>
      <c r="B1216" s="156" t="s">
        <v>2970</v>
      </c>
    </row>
    <row r="1217" spans="1:2">
      <c r="A1217" s="156" t="s">
        <v>2971</v>
      </c>
      <c r="B1217" s="156" t="s">
        <v>2972</v>
      </c>
    </row>
    <row r="1218" spans="1:2">
      <c r="A1218" s="156" t="s">
        <v>2973</v>
      </c>
      <c r="B1218" s="156" t="s">
        <v>2974</v>
      </c>
    </row>
    <row r="1219" spans="1:2">
      <c r="A1219" s="156" t="s">
        <v>2975</v>
      </c>
      <c r="B1219" s="156" t="s">
        <v>2976</v>
      </c>
    </row>
    <row r="1220" spans="1:2">
      <c r="A1220" s="156" t="s">
        <v>2977</v>
      </c>
      <c r="B1220" s="156" t="s">
        <v>2978</v>
      </c>
    </row>
    <row r="1221" spans="1:2">
      <c r="A1221" s="156" t="s">
        <v>2979</v>
      </c>
      <c r="B1221" s="156" t="s">
        <v>2980</v>
      </c>
    </row>
    <row r="1222" spans="1:2">
      <c r="A1222" s="156" t="s">
        <v>2981</v>
      </c>
      <c r="B1222" s="156" t="s">
        <v>2982</v>
      </c>
    </row>
    <row r="1223" spans="1:2">
      <c r="A1223" s="156" t="s">
        <v>2983</v>
      </c>
      <c r="B1223" s="156" t="s">
        <v>2984</v>
      </c>
    </row>
    <row r="1224" spans="1:2">
      <c r="A1224" s="156" t="s">
        <v>2985</v>
      </c>
      <c r="B1224" s="156" t="s">
        <v>2986</v>
      </c>
    </row>
    <row r="1225" spans="1:2">
      <c r="A1225" s="156" t="s">
        <v>2987</v>
      </c>
      <c r="B1225" s="156" t="s">
        <v>2988</v>
      </c>
    </row>
    <row r="1226" spans="1:2">
      <c r="A1226" s="156" t="s">
        <v>2989</v>
      </c>
      <c r="B1226" s="156" t="s">
        <v>2990</v>
      </c>
    </row>
    <row r="1227" spans="1:2">
      <c r="A1227" s="156" t="s">
        <v>2991</v>
      </c>
      <c r="B1227" s="156" t="s">
        <v>2992</v>
      </c>
    </row>
    <row r="1228" spans="1:2">
      <c r="A1228" s="156" t="s">
        <v>2993</v>
      </c>
      <c r="B1228" s="156" t="s">
        <v>2994</v>
      </c>
    </row>
    <row r="1229" spans="1:2">
      <c r="A1229" s="156" t="s">
        <v>2995</v>
      </c>
      <c r="B1229" s="156" t="s">
        <v>2996</v>
      </c>
    </row>
    <row r="1230" spans="1:2">
      <c r="A1230" s="156" t="s">
        <v>2997</v>
      </c>
      <c r="B1230" s="156" t="s">
        <v>2998</v>
      </c>
    </row>
    <row r="1231" spans="1:2">
      <c r="A1231" s="156" t="s">
        <v>2999</v>
      </c>
      <c r="B1231" s="156" t="s">
        <v>3000</v>
      </c>
    </row>
    <row r="1232" spans="1:2">
      <c r="A1232" s="156" t="s">
        <v>3001</v>
      </c>
      <c r="B1232" s="156" t="s">
        <v>3002</v>
      </c>
    </row>
    <row r="1233" spans="1:2">
      <c r="A1233" s="156" t="s">
        <v>3003</v>
      </c>
      <c r="B1233" s="156" t="s">
        <v>3004</v>
      </c>
    </row>
    <row r="1234" spans="1:2">
      <c r="A1234" s="156" t="s">
        <v>3005</v>
      </c>
      <c r="B1234" s="156" t="s">
        <v>3006</v>
      </c>
    </row>
    <row r="1235" spans="1:2">
      <c r="A1235" s="156" t="s">
        <v>3007</v>
      </c>
      <c r="B1235" s="156" t="s">
        <v>3008</v>
      </c>
    </row>
    <row r="1236" spans="1:2">
      <c r="A1236" s="156" t="s">
        <v>3009</v>
      </c>
      <c r="B1236" s="156" t="s">
        <v>3010</v>
      </c>
    </row>
    <row r="1237" spans="1:2">
      <c r="A1237" s="156" t="s">
        <v>3011</v>
      </c>
      <c r="B1237" s="156" t="s">
        <v>3012</v>
      </c>
    </row>
    <row r="1238" spans="1:2">
      <c r="A1238" s="156" t="s">
        <v>3013</v>
      </c>
      <c r="B1238" s="156" t="s">
        <v>3014</v>
      </c>
    </row>
    <row r="1239" spans="1:2">
      <c r="A1239" s="156" t="s">
        <v>3015</v>
      </c>
      <c r="B1239" s="156" t="s">
        <v>3016</v>
      </c>
    </row>
    <row r="1240" spans="1:2">
      <c r="A1240" s="156" t="s">
        <v>3017</v>
      </c>
      <c r="B1240" s="156" t="s">
        <v>3018</v>
      </c>
    </row>
    <row r="1241" spans="1:2">
      <c r="A1241" s="156" t="s">
        <v>3019</v>
      </c>
      <c r="B1241" s="156" t="s">
        <v>3020</v>
      </c>
    </row>
    <row r="1242" spans="1:2">
      <c r="A1242" s="156" t="s">
        <v>3021</v>
      </c>
      <c r="B1242" s="156" t="s">
        <v>3022</v>
      </c>
    </row>
    <row r="1243" spans="1:2">
      <c r="A1243" s="156" t="s">
        <v>3023</v>
      </c>
      <c r="B1243" s="156" t="s">
        <v>3024</v>
      </c>
    </row>
    <row r="1244" spans="1:2">
      <c r="A1244" s="156" t="s">
        <v>3025</v>
      </c>
      <c r="B1244" s="156" t="s">
        <v>3026</v>
      </c>
    </row>
    <row r="1245" spans="1:2">
      <c r="A1245" s="156" t="s">
        <v>3027</v>
      </c>
      <c r="B1245" s="156" t="s">
        <v>3028</v>
      </c>
    </row>
    <row r="1246" spans="1:2">
      <c r="A1246" s="156" t="s">
        <v>3029</v>
      </c>
      <c r="B1246" s="156" t="s">
        <v>3030</v>
      </c>
    </row>
    <row r="1247" spans="1:2">
      <c r="A1247" s="156" t="s">
        <v>3031</v>
      </c>
      <c r="B1247" s="156" t="s">
        <v>3032</v>
      </c>
    </row>
    <row r="1248" spans="1:2">
      <c r="A1248" s="156" t="s">
        <v>3033</v>
      </c>
      <c r="B1248" s="156" t="s">
        <v>3034</v>
      </c>
    </row>
    <row r="1249" spans="1:2">
      <c r="A1249" s="156" t="s">
        <v>3035</v>
      </c>
      <c r="B1249" s="156" t="s">
        <v>3036</v>
      </c>
    </row>
    <row r="1250" spans="1:2">
      <c r="A1250" s="156" t="s">
        <v>3037</v>
      </c>
      <c r="B1250" s="156" t="s">
        <v>3038</v>
      </c>
    </row>
    <row r="1251" spans="1:2">
      <c r="A1251" s="156" t="s">
        <v>3039</v>
      </c>
      <c r="B1251" s="156" t="s">
        <v>3040</v>
      </c>
    </row>
    <row r="1252" spans="1:2">
      <c r="A1252" s="156" t="s">
        <v>3041</v>
      </c>
      <c r="B1252" s="156" t="s">
        <v>3042</v>
      </c>
    </row>
    <row r="1253" spans="1:2">
      <c r="A1253" s="156" t="s">
        <v>3043</v>
      </c>
      <c r="B1253" s="156" t="s">
        <v>3044</v>
      </c>
    </row>
    <row r="1254" spans="1:2">
      <c r="A1254" s="156" t="s">
        <v>3045</v>
      </c>
      <c r="B1254" s="156" t="s">
        <v>3046</v>
      </c>
    </row>
    <row r="1255" spans="1:2">
      <c r="A1255" s="156" t="s">
        <v>3047</v>
      </c>
      <c r="B1255" s="156" t="s">
        <v>3048</v>
      </c>
    </row>
    <row r="1256" spans="1:2">
      <c r="A1256" s="156" t="s">
        <v>3049</v>
      </c>
      <c r="B1256" s="156" t="s">
        <v>3050</v>
      </c>
    </row>
    <row r="1257" spans="1:2">
      <c r="A1257" s="156" t="s">
        <v>3051</v>
      </c>
      <c r="B1257" s="156" t="s">
        <v>3052</v>
      </c>
    </row>
    <row r="1258" spans="1:2">
      <c r="A1258" s="156" t="s">
        <v>3053</v>
      </c>
      <c r="B1258" s="156" t="s">
        <v>3054</v>
      </c>
    </row>
    <row r="1259" spans="1:2">
      <c r="A1259" s="156" t="s">
        <v>3055</v>
      </c>
      <c r="B1259" s="156" t="s">
        <v>3056</v>
      </c>
    </row>
    <row r="1260" spans="1:2">
      <c r="A1260" s="156" t="s">
        <v>3057</v>
      </c>
      <c r="B1260" s="156" t="s">
        <v>3058</v>
      </c>
    </row>
    <row r="1261" spans="1:2">
      <c r="A1261" s="156" t="s">
        <v>3059</v>
      </c>
      <c r="B1261" s="156" t="s">
        <v>3060</v>
      </c>
    </row>
    <row r="1262" spans="1:2">
      <c r="A1262" s="156" t="s">
        <v>3061</v>
      </c>
      <c r="B1262" s="156" t="s">
        <v>313</v>
      </c>
    </row>
    <row r="1263" spans="1:2">
      <c r="A1263" s="156" t="s">
        <v>3062</v>
      </c>
      <c r="B1263" s="156" t="s">
        <v>3063</v>
      </c>
    </row>
    <row r="1264" spans="1:2">
      <c r="A1264" s="156" t="s">
        <v>3064</v>
      </c>
      <c r="B1264" s="156" t="s">
        <v>3065</v>
      </c>
    </row>
    <row r="1265" spans="1:2">
      <c r="A1265" s="156" t="s">
        <v>3066</v>
      </c>
      <c r="B1265" s="156" t="s">
        <v>3067</v>
      </c>
    </row>
    <row r="1266" spans="1:2">
      <c r="A1266" s="156" t="s">
        <v>3068</v>
      </c>
      <c r="B1266" s="156" t="s">
        <v>3069</v>
      </c>
    </row>
    <row r="1267" spans="1:2">
      <c r="A1267" s="156" t="s">
        <v>3070</v>
      </c>
      <c r="B1267" s="156" t="s">
        <v>3071</v>
      </c>
    </row>
    <row r="1268" spans="1:2">
      <c r="A1268" s="156" t="s">
        <v>3072</v>
      </c>
      <c r="B1268" s="156" t="s">
        <v>3073</v>
      </c>
    </row>
    <row r="1269" spans="1:2">
      <c r="A1269" s="156" t="s">
        <v>3074</v>
      </c>
      <c r="B1269" s="156" t="s">
        <v>318</v>
      </c>
    </row>
    <row r="1270" spans="1:2">
      <c r="A1270" s="156" t="s">
        <v>3075</v>
      </c>
      <c r="B1270" s="156" t="s">
        <v>3076</v>
      </c>
    </row>
    <row r="1271" spans="1:2">
      <c r="A1271" s="156" t="s">
        <v>3077</v>
      </c>
      <c r="B1271" s="156" t="s">
        <v>3078</v>
      </c>
    </row>
    <row r="1272" spans="1:2">
      <c r="A1272" s="156" t="s">
        <v>3079</v>
      </c>
      <c r="B1272" s="156" t="s">
        <v>3080</v>
      </c>
    </row>
    <row r="1273" spans="1:2">
      <c r="A1273" s="156" t="s">
        <v>3081</v>
      </c>
      <c r="B1273" s="156" t="s">
        <v>3082</v>
      </c>
    </row>
    <row r="1274" spans="1:2">
      <c r="A1274" s="156" t="s">
        <v>3083</v>
      </c>
      <c r="B1274" s="156" t="s">
        <v>3084</v>
      </c>
    </row>
    <row r="1275" spans="1:2">
      <c r="A1275" s="156" t="s">
        <v>3085</v>
      </c>
      <c r="B1275" s="156" t="s">
        <v>3086</v>
      </c>
    </row>
    <row r="1276" spans="1:2">
      <c r="A1276" s="156" t="s">
        <v>3087</v>
      </c>
      <c r="B1276" s="156" t="s">
        <v>3088</v>
      </c>
    </row>
    <row r="1277" spans="1:2">
      <c r="A1277" s="156" t="s">
        <v>3089</v>
      </c>
      <c r="B1277" s="156" t="s">
        <v>3090</v>
      </c>
    </row>
    <row r="1278" spans="1:2">
      <c r="A1278" s="156" t="s">
        <v>3091</v>
      </c>
      <c r="B1278" s="156" t="s">
        <v>3092</v>
      </c>
    </row>
    <row r="1279" spans="1:2">
      <c r="A1279" s="156" t="s">
        <v>3093</v>
      </c>
      <c r="B1279" s="156" t="s">
        <v>323</v>
      </c>
    </row>
    <row r="1280" spans="1:2">
      <c r="A1280" s="156" t="s">
        <v>3094</v>
      </c>
      <c r="B1280" s="156" t="s">
        <v>3095</v>
      </c>
    </row>
    <row r="1281" spans="1:2">
      <c r="A1281" s="156" t="s">
        <v>3096</v>
      </c>
      <c r="B1281" s="156" t="s">
        <v>3097</v>
      </c>
    </row>
    <row r="1282" spans="1:2">
      <c r="A1282" s="156" t="s">
        <v>3098</v>
      </c>
      <c r="B1282" s="156" t="s">
        <v>3099</v>
      </c>
    </row>
    <row r="1283" spans="1:2">
      <c r="A1283" s="156" t="s">
        <v>3100</v>
      </c>
      <c r="B1283" s="156" t="s">
        <v>328</v>
      </c>
    </row>
    <row r="1284" spans="1:2">
      <c r="A1284" s="156" t="s">
        <v>3101</v>
      </c>
      <c r="B1284" s="156" t="s">
        <v>333</v>
      </c>
    </row>
    <row r="1285" spans="1:2">
      <c r="A1285" s="156" t="s">
        <v>3102</v>
      </c>
      <c r="B1285" s="156" t="s">
        <v>338</v>
      </c>
    </row>
    <row r="1286" spans="1:2">
      <c r="A1286" s="156" t="s">
        <v>3103</v>
      </c>
      <c r="B1286" s="156" t="s">
        <v>3104</v>
      </c>
    </row>
    <row r="1287" spans="1:2">
      <c r="A1287" s="156" t="s">
        <v>3105</v>
      </c>
      <c r="B1287" s="156" t="s">
        <v>3106</v>
      </c>
    </row>
    <row r="1288" spans="1:2">
      <c r="A1288" s="156" t="s">
        <v>3107</v>
      </c>
      <c r="B1288" s="156" t="s">
        <v>3108</v>
      </c>
    </row>
    <row r="1289" spans="1:2">
      <c r="A1289" s="156" t="s">
        <v>3109</v>
      </c>
      <c r="B1289" s="156" t="s">
        <v>3110</v>
      </c>
    </row>
    <row r="1290" spans="1:2">
      <c r="A1290" s="156" t="s">
        <v>3111</v>
      </c>
      <c r="B1290" s="156" t="s">
        <v>3112</v>
      </c>
    </row>
    <row r="1291" spans="1:2">
      <c r="A1291" s="156" t="s">
        <v>3113</v>
      </c>
      <c r="B1291" s="156" t="s">
        <v>3114</v>
      </c>
    </row>
    <row r="1292" spans="1:2">
      <c r="A1292" s="156" t="s">
        <v>3115</v>
      </c>
      <c r="B1292" s="156" t="s">
        <v>3116</v>
      </c>
    </row>
    <row r="1293" spans="1:2">
      <c r="A1293" s="156" t="s">
        <v>3117</v>
      </c>
      <c r="B1293" s="156" t="s">
        <v>3118</v>
      </c>
    </row>
    <row r="1294" spans="1:2">
      <c r="A1294" s="156" t="s">
        <v>3119</v>
      </c>
      <c r="B1294" s="156" t="s">
        <v>3120</v>
      </c>
    </row>
    <row r="1295" spans="1:2">
      <c r="A1295" s="156" t="s">
        <v>3121</v>
      </c>
      <c r="B1295" s="156" t="s">
        <v>3122</v>
      </c>
    </row>
    <row r="1296" spans="1:2">
      <c r="A1296" s="156" t="s">
        <v>3123</v>
      </c>
      <c r="B1296" s="156" t="s">
        <v>3124</v>
      </c>
    </row>
    <row r="1297" spans="1:2">
      <c r="A1297" s="156" t="s">
        <v>3125</v>
      </c>
      <c r="B1297" s="156" t="s">
        <v>3126</v>
      </c>
    </row>
    <row r="1298" spans="1:2">
      <c r="A1298" s="156" t="s">
        <v>3127</v>
      </c>
      <c r="B1298" s="156" t="s">
        <v>3128</v>
      </c>
    </row>
    <row r="1299" spans="1:2">
      <c r="A1299" s="156" t="s">
        <v>3129</v>
      </c>
      <c r="B1299" s="156" t="s">
        <v>3130</v>
      </c>
    </row>
    <row r="1300" spans="1:2">
      <c r="A1300" s="156" t="s">
        <v>3131</v>
      </c>
      <c r="B1300" s="156" t="s">
        <v>343</v>
      </c>
    </row>
    <row r="1301" spans="1:2">
      <c r="A1301" s="156" t="s">
        <v>3132</v>
      </c>
      <c r="B1301" s="156" t="s">
        <v>3133</v>
      </c>
    </row>
    <row r="1302" spans="1:2">
      <c r="A1302" s="156" t="s">
        <v>3134</v>
      </c>
      <c r="B1302" s="156" t="s">
        <v>3135</v>
      </c>
    </row>
    <row r="1303" spans="1:2">
      <c r="A1303" s="156" t="s">
        <v>3136</v>
      </c>
      <c r="B1303" s="156" t="s">
        <v>348</v>
      </c>
    </row>
    <row r="1304" spans="1:2">
      <c r="A1304" s="156" t="s">
        <v>3137</v>
      </c>
      <c r="B1304" s="156" t="s">
        <v>3138</v>
      </c>
    </row>
    <row r="1305" spans="1:2">
      <c r="A1305" s="156" t="s">
        <v>3139</v>
      </c>
      <c r="B1305" s="156" t="s">
        <v>3140</v>
      </c>
    </row>
    <row r="1306" spans="1:2">
      <c r="A1306" s="156" t="s">
        <v>3141</v>
      </c>
      <c r="B1306" s="156" t="s">
        <v>3142</v>
      </c>
    </row>
    <row r="1307" spans="1:2">
      <c r="A1307" s="156" t="s">
        <v>3143</v>
      </c>
      <c r="B1307" s="156" t="s">
        <v>3144</v>
      </c>
    </row>
    <row r="1308" spans="1:2">
      <c r="A1308" s="156" t="s">
        <v>3145</v>
      </c>
      <c r="B1308" s="156" t="s">
        <v>3146</v>
      </c>
    </row>
    <row r="1309" spans="1:2">
      <c r="A1309" s="156" t="s">
        <v>3147</v>
      </c>
      <c r="B1309" s="156" t="s">
        <v>3148</v>
      </c>
    </row>
    <row r="1310" spans="1:2">
      <c r="A1310" s="156" t="s">
        <v>3149</v>
      </c>
      <c r="B1310" s="156" t="s">
        <v>3150</v>
      </c>
    </row>
    <row r="1311" spans="1:2">
      <c r="A1311" s="156" t="s">
        <v>3151</v>
      </c>
      <c r="B1311" s="156" t="s">
        <v>3152</v>
      </c>
    </row>
    <row r="1312" spans="1:2">
      <c r="A1312" s="156" t="s">
        <v>3153</v>
      </c>
      <c r="B1312" s="156" t="s">
        <v>3154</v>
      </c>
    </row>
    <row r="1313" spans="1:2">
      <c r="A1313" s="156" t="s">
        <v>3155</v>
      </c>
      <c r="B1313" s="156" t="s">
        <v>3156</v>
      </c>
    </row>
    <row r="1314" spans="1:2">
      <c r="A1314" s="156" t="s">
        <v>3157</v>
      </c>
      <c r="B1314" s="156" t="s">
        <v>3158</v>
      </c>
    </row>
    <row r="1315" spans="1:2">
      <c r="A1315" s="156" t="s">
        <v>3159</v>
      </c>
      <c r="B1315" s="156" t="s">
        <v>3160</v>
      </c>
    </row>
    <row r="1316" spans="1:2">
      <c r="A1316" s="156" t="s">
        <v>3161</v>
      </c>
      <c r="B1316" s="156" t="s">
        <v>3162</v>
      </c>
    </row>
    <row r="1317" spans="1:2">
      <c r="A1317" s="156" t="s">
        <v>3163</v>
      </c>
      <c r="B1317" s="156" t="s">
        <v>3164</v>
      </c>
    </row>
    <row r="1318" spans="1:2">
      <c r="A1318" s="156" t="s">
        <v>3165</v>
      </c>
      <c r="B1318" s="156" t="s">
        <v>3166</v>
      </c>
    </row>
    <row r="1319" spans="1:2">
      <c r="A1319" s="156" t="s">
        <v>3167</v>
      </c>
      <c r="B1319" s="156" t="s">
        <v>3168</v>
      </c>
    </row>
    <row r="1320" spans="1:2">
      <c r="A1320" s="156" t="s">
        <v>3169</v>
      </c>
      <c r="B1320" s="156" t="s">
        <v>3170</v>
      </c>
    </row>
    <row r="1321" spans="1:2">
      <c r="A1321" s="156" t="s">
        <v>3171</v>
      </c>
      <c r="B1321" s="156" t="s">
        <v>3172</v>
      </c>
    </row>
    <row r="1322" spans="1:2">
      <c r="A1322" s="156" t="s">
        <v>3173</v>
      </c>
      <c r="B1322" s="156" t="s">
        <v>3174</v>
      </c>
    </row>
    <row r="1323" spans="1:2">
      <c r="A1323" s="156" t="s">
        <v>3175</v>
      </c>
      <c r="B1323" s="156" t="s">
        <v>3176</v>
      </c>
    </row>
    <row r="1324" spans="1:2">
      <c r="A1324" s="156" t="s">
        <v>3177</v>
      </c>
      <c r="B1324" s="156" t="s">
        <v>3178</v>
      </c>
    </row>
    <row r="1325" spans="1:2">
      <c r="A1325" s="156" t="s">
        <v>3179</v>
      </c>
      <c r="B1325" s="156" t="s">
        <v>3180</v>
      </c>
    </row>
    <row r="1326" spans="1:2">
      <c r="A1326" s="156" t="s">
        <v>3181</v>
      </c>
      <c r="B1326" s="156" t="s">
        <v>3182</v>
      </c>
    </row>
    <row r="1327" spans="1:2">
      <c r="A1327" s="156" t="s">
        <v>3183</v>
      </c>
      <c r="B1327" s="156" t="s">
        <v>3184</v>
      </c>
    </row>
    <row r="1328" spans="1:2">
      <c r="A1328" s="156" t="s">
        <v>3185</v>
      </c>
      <c r="B1328" s="156" t="s">
        <v>3186</v>
      </c>
    </row>
    <row r="1329" spans="1:2">
      <c r="A1329" s="156" t="s">
        <v>3187</v>
      </c>
      <c r="B1329" s="156" t="s">
        <v>3188</v>
      </c>
    </row>
    <row r="1330" spans="1:2">
      <c r="A1330" s="156" t="s">
        <v>3189</v>
      </c>
      <c r="B1330" s="156" t="s">
        <v>3190</v>
      </c>
    </row>
    <row r="1331" spans="1:2">
      <c r="A1331" s="156" t="s">
        <v>3191</v>
      </c>
      <c r="B1331" s="156" t="s">
        <v>3192</v>
      </c>
    </row>
    <row r="1332" spans="1:2">
      <c r="A1332" s="156" t="s">
        <v>3193</v>
      </c>
      <c r="B1332" s="156" t="s">
        <v>3194</v>
      </c>
    </row>
    <row r="1333" spans="1:2">
      <c r="A1333" s="156" t="s">
        <v>3195</v>
      </c>
      <c r="B1333" s="156" t="s">
        <v>3196</v>
      </c>
    </row>
    <row r="1334" spans="1:2">
      <c r="A1334" s="156" t="s">
        <v>3197</v>
      </c>
      <c r="B1334" s="156" t="s">
        <v>3198</v>
      </c>
    </row>
    <row r="1335" spans="1:2">
      <c r="A1335" s="156" t="s">
        <v>3199</v>
      </c>
      <c r="B1335" s="156" t="s">
        <v>3200</v>
      </c>
    </row>
    <row r="1336" spans="1:2">
      <c r="A1336" s="156" t="s">
        <v>3201</v>
      </c>
      <c r="B1336" s="156" t="s">
        <v>3202</v>
      </c>
    </row>
    <row r="1337" spans="1:2">
      <c r="A1337" s="156" t="s">
        <v>3203</v>
      </c>
      <c r="B1337" s="156" t="s">
        <v>3204</v>
      </c>
    </row>
    <row r="1338" spans="1:2">
      <c r="A1338" s="156" t="s">
        <v>3205</v>
      </c>
      <c r="B1338" s="156" t="s">
        <v>3206</v>
      </c>
    </row>
    <row r="1339" spans="1:2">
      <c r="A1339" s="156" t="s">
        <v>3207</v>
      </c>
      <c r="B1339" s="156" t="s">
        <v>3208</v>
      </c>
    </row>
    <row r="1340" spans="1:2">
      <c r="A1340" s="156" t="s">
        <v>3209</v>
      </c>
      <c r="B1340" s="156" t="s">
        <v>3210</v>
      </c>
    </row>
    <row r="1341" spans="1:2">
      <c r="A1341" s="156" t="s">
        <v>3211</v>
      </c>
      <c r="B1341" s="156" t="s">
        <v>3212</v>
      </c>
    </row>
    <row r="1342" spans="1:2">
      <c r="A1342" s="156" t="s">
        <v>3213</v>
      </c>
      <c r="B1342" s="156" t="s">
        <v>3214</v>
      </c>
    </row>
    <row r="1343" spans="1:2">
      <c r="A1343" s="156" t="s">
        <v>3215</v>
      </c>
      <c r="B1343" s="156" t="s">
        <v>3216</v>
      </c>
    </row>
    <row r="1344" spans="1:2">
      <c r="A1344" s="156" t="s">
        <v>3217</v>
      </c>
      <c r="B1344" s="156" t="s">
        <v>3218</v>
      </c>
    </row>
    <row r="1345" spans="1:2">
      <c r="A1345" s="156" t="s">
        <v>3219</v>
      </c>
      <c r="B1345" s="156" t="s">
        <v>3220</v>
      </c>
    </row>
    <row r="1346" spans="1:2">
      <c r="A1346" s="156" t="s">
        <v>3221</v>
      </c>
      <c r="B1346" s="156" t="s">
        <v>3222</v>
      </c>
    </row>
    <row r="1347" spans="1:2">
      <c r="A1347" s="156" t="s">
        <v>3223</v>
      </c>
      <c r="B1347" s="156" t="s">
        <v>3224</v>
      </c>
    </row>
    <row r="1348" spans="1:2">
      <c r="A1348" s="156" t="s">
        <v>3225</v>
      </c>
      <c r="B1348" s="156" t="s">
        <v>3226</v>
      </c>
    </row>
    <row r="1349" spans="1:2">
      <c r="A1349" s="156" t="s">
        <v>3227</v>
      </c>
      <c r="B1349" s="156" t="s">
        <v>3228</v>
      </c>
    </row>
    <row r="1350" spans="1:2">
      <c r="A1350" s="156" t="s">
        <v>3229</v>
      </c>
      <c r="B1350" s="156" t="s">
        <v>3230</v>
      </c>
    </row>
    <row r="1351" spans="1:2">
      <c r="A1351" s="156" t="s">
        <v>3231</v>
      </c>
      <c r="B1351" s="156" t="s">
        <v>3232</v>
      </c>
    </row>
    <row r="1352" spans="1:2">
      <c r="A1352" s="156" t="s">
        <v>3233</v>
      </c>
      <c r="B1352" s="156" t="s">
        <v>3234</v>
      </c>
    </row>
    <row r="1353" spans="1:2">
      <c r="A1353" s="156" t="s">
        <v>3235</v>
      </c>
      <c r="B1353" s="156" t="s">
        <v>3236</v>
      </c>
    </row>
    <row r="1354" spans="1:2">
      <c r="A1354" s="156" t="s">
        <v>3237</v>
      </c>
      <c r="B1354" s="156" t="s">
        <v>3238</v>
      </c>
    </row>
    <row r="1355" spans="1:2">
      <c r="A1355" s="156" t="s">
        <v>3239</v>
      </c>
      <c r="B1355" s="156" t="s">
        <v>353</v>
      </c>
    </row>
    <row r="1356" spans="1:2">
      <c r="A1356" s="156" t="s">
        <v>3240</v>
      </c>
      <c r="B1356" s="156" t="s">
        <v>3241</v>
      </c>
    </row>
    <row r="1357" spans="1:2">
      <c r="A1357" s="156" t="s">
        <v>3242</v>
      </c>
      <c r="B1357" s="156" t="s">
        <v>358</v>
      </c>
    </row>
    <row r="1358" spans="1:2">
      <c r="A1358" s="156" t="s">
        <v>3243</v>
      </c>
      <c r="B1358" s="156" t="s">
        <v>3244</v>
      </c>
    </row>
    <row r="1359" spans="1:2">
      <c r="A1359" s="156" t="s">
        <v>3245</v>
      </c>
      <c r="B1359" s="156" t="s">
        <v>3246</v>
      </c>
    </row>
    <row r="1360" spans="1:2">
      <c r="A1360" s="156" t="s">
        <v>3247</v>
      </c>
      <c r="B1360" s="156" t="s">
        <v>3248</v>
      </c>
    </row>
    <row r="1361" spans="1:2">
      <c r="A1361" s="156" t="s">
        <v>3249</v>
      </c>
      <c r="B1361" s="156" t="s">
        <v>3250</v>
      </c>
    </row>
    <row r="1362" spans="1:2">
      <c r="A1362" s="156" t="s">
        <v>3251</v>
      </c>
      <c r="B1362" s="156" t="s">
        <v>3252</v>
      </c>
    </row>
    <row r="1363" spans="1:2">
      <c r="A1363" s="156" t="s">
        <v>3253</v>
      </c>
      <c r="B1363" s="156" t="s">
        <v>3254</v>
      </c>
    </row>
    <row r="1364" spans="1:2">
      <c r="A1364" s="156" t="s">
        <v>3255</v>
      </c>
      <c r="B1364" s="156" t="s">
        <v>3256</v>
      </c>
    </row>
    <row r="1365" spans="1:2">
      <c r="A1365" s="156" t="s">
        <v>3257</v>
      </c>
      <c r="B1365" s="156" t="s">
        <v>3258</v>
      </c>
    </row>
    <row r="1366" spans="1:2">
      <c r="A1366" s="156" t="s">
        <v>3259</v>
      </c>
      <c r="B1366" s="156" t="s">
        <v>3260</v>
      </c>
    </row>
    <row r="1367" spans="1:2">
      <c r="A1367" s="156" t="s">
        <v>3261</v>
      </c>
      <c r="B1367" s="156" t="s">
        <v>3262</v>
      </c>
    </row>
    <row r="1368" spans="1:2">
      <c r="A1368" s="156" t="s">
        <v>3263</v>
      </c>
      <c r="B1368" s="156" t="s">
        <v>3264</v>
      </c>
    </row>
    <row r="1369" spans="1:2">
      <c r="A1369" s="156" t="s">
        <v>3265</v>
      </c>
      <c r="B1369" s="156" t="s">
        <v>3266</v>
      </c>
    </row>
    <row r="1370" spans="1:2">
      <c r="A1370" s="156" t="s">
        <v>3267</v>
      </c>
      <c r="B1370" s="156" t="s">
        <v>3268</v>
      </c>
    </row>
    <row r="1371" spans="1:2">
      <c r="A1371" s="156" t="s">
        <v>3269</v>
      </c>
      <c r="B1371" s="156" t="s">
        <v>3270</v>
      </c>
    </row>
    <row r="1372" spans="1:2">
      <c r="A1372" s="156" t="s">
        <v>3271</v>
      </c>
      <c r="B1372" s="156" t="s">
        <v>3272</v>
      </c>
    </row>
    <row r="1373" spans="1:2">
      <c r="A1373" s="156" t="s">
        <v>3273</v>
      </c>
      <c r="B1373" s="156" t="s">
        <v>3274</v>
      </c>
    </row>
    <row r="1374" spans="1:2">
      <c r="A1374" s="156" t="s">
        <v>3275</v>
      </c>
      <c r="B1374" s="156" t="s">
        <v>3276</v>
      </c>
    </row>
    <row r="1375" spans="1:2">
      <c r="A1375" s="156" t="s">
        <v>3277</v>
      </c>
      <c r="B1375" s="156" t="s">
        <v>3278</v>
      </c>
    </row>
    <row r="1376" spans="1:2">
      <c r="A1376" s="156" t="s">
        <v>3279</v>
      </c>
      <c r="B1376" s="156" t="s">
        <v>3280</v>
      </c>
    </row>
    <row r="1377" spans="1:2">
      <c r="A1377" s="156" t="s">
        <v>3281</v>
      </c>
      <c r="B1377" s="156" t="s">
        <v>3282</v>
      </c>
    </row>
    <row r="1378" spans="1:2">
      <c r="A1378" s="156" t="s">
        <v>3283</v>
      </c>
      <c r="B1378" s="156" t="s">
        <v>3284</v>
      </c>
    </row>
    <row r="1379" spans="1:2">
      <c r="A1379" s="156" t="s">
        <v>3285</v>
      </c>
      <c r="B1379" s="156" t="s">
        <v>3286</v>
      </c>
    </row>
    <row r="1380" spans="1:2">
      <c r="A1380" s="156" t="s">
        <v>3287</v>
      </c>
      <c r="B1380" s="156" t="s">
        <v>3288</v>
      </c>
    </row>
    <row r="1381" spans="1:2">
      <c r="A1381" s="156" t="s">
        <v>3289</v>
      </c>
      <c r="B1381" s="156" t="s">
        <v>3290</v>
      </c>
    </row>
    <row r="1382" spans="1:2">
      <c r="A1382" s="156" t="s">
        <v>3291</v>
      </c>
      <c r="B1382" s="156" t="s">
        <v>3292</v>
      </c>
    </row>
    <row r="1383" spans="1:2">
      <c r="A1383" s="156" t="s">
        <v>3293</v>
      </c>
      <c r="B1383" s="156" t="s">
        <v>3294</v>
      </c>
    </row>
    <row r="1384" spans="1:2">
      <c r="A1384" s="156" t="s">
        <v>3295</v>
      </c>
      <c r="B1384" s="156" t="s">
        <v>3296</v>
      </c>
    </row>
    <row r="1385" spans="1:2">
      <c r="A1385" s="156" t="s">
        <v>3297</v>
      </c>
      <c r="B1385" s="156" t="s">
        <v>920</v>
      </c>
    </row>
    <row r="1386" spans="1:2">
      <c r="A1386" s="156" t="s">
        <v>3298</v>
      </c>
      <c r="B1386" s="156" t="s">
        <v>3299</v>
      </c>
    </row>
    <row r="1387" spans="1:2">
      <c r="A1387" s="156" t="s">
        <v>3300</v>
      </c>
      <c r="B1387" s="156" t="s">
        <v>363</v>
      </c>
    </row>
    <row r="1388" spans="1:2">
      <c r="A1388" s="156" t="s">
        <v>3301</v>
      </c>
      <c r="B1388" s="156" t="s">
        <v>3302</v>
      </c>
    </row>
    <row r="1389" spans="1:2">
      <c r="A1389" s="156" t="s">
        <v>3303</v>
      </c>
      <c r="B1389" s="156" t="s">
        <v>368</v>
      </c>
    </row>
    <row r="1390" spans="1:2">
      <c r="A1390" s="156" t="s">
        <v>3304</v>
      </c>
      <c r="B1390" s="156" t="s">
        <v>3305</v>
      </c>
    </row>
    <row r="1391" spans="1:2">
      <c r="A1391" s="156" t="s">
        <v>3306</v>
      </c>
      <c r="B1391" s="156" t="s">
        <v>373</v>
      </c>
    </row>
    <row r="1392" spans="1:2">
      <c r="A1392" s="156" t="s">
        <v>3307</v>
      </c>
      <c r="B1392" s="156" t="s">
        <v>378</v>
      </c>
    </row>
    <row r="1393" spans="1:2">
      <c r="A1393" s="156" t="s">
        <v>3308</v>
      </c>
      <c r="B1393" s="156" t="s">
        <v>120</v>
      </c>
    </row>
    <row r="1394" spans="1:2">
      <c r="A1394" s="156" t="s">
        <v>3309</v>
      </c>
      <c r="B1394" s="156" t="s">
        <v>3310</v>
      </c>
    </row>
    <row r="1395" spans="1:2">
      <c r="A1395" s="156" t="s">
        <v>3311</v>
      </c>
      <c r="B1395" s="156" t="s">
        <v>3312</v>
      </c>
    </row>
    <row r="1396" spans="1:2">
      <c r="A1396" s="156" t="s">
        <v>3313</v>
      </c>
      <c r="B1396" s="156" t="s">
        <v>3314</v>
      </c>
    </row>
    <row r="1397" spans="1:2">
      <c r="A1397" s="156" t="s">
        <v>3315</v>
      </c>
      <c r="B1397" s="156" t="s">
        <v>383</v>
      </c>
    </row>
    <row r="1398" spans="1:2">
      <c r="A1398" s="156" t="s">
        <v>3316</v>
      </c>
      <c r="B1398" s="156" t="s">
        <v>3317</v>
      </c>
    </row>
    <row r="1399" spans="1:2">
      <c r="A1399" s="156" t="s">
        <v>3318</v>
      </c>
      <c r="B1399" s="156" t="s">
        <v>3319</v>
      </c>
    </row>
    <row r="1400" spans="1:2">
      <c r="A1400" s="156" t="s">
        <v>3320</v>
      </c>
      <c r="B1400" s="156" t="s">
        <v>3321</v>
      </c>
    </row>
    <row r="1401" spans="1:2">
      <c r="A1401" s="156" t="s">
        <v>3322</v>
      </c>
      <c r="B1401" s="156" t="s">
        <v>3323</v>
      </c>
    </row>
    <row r="1402" spans="1:2">
      <c r="A1402" s="156" t="s">
        <v>3324</v>
      </c>
      <c r="B1402" s="156" t="s">
        <v>3325</v>
      </c>
    </row>
    <row r="1403" spans="1:2">
      <c r="A1403" s="156" t="s">
        <v>3326</v>
      </c>
      <c r="B1403" s="156" t="s">
        <v>3327</v>
      </c>
    </row>
    <row r="1404" spans="1:2">
      <c r="A1404" s="156" t="s">
        <v>3328</v>
      </c>
      <c r="B1404" s="156" t="s">
        <v>3329</v>
      </c>
    </row>
    <row r="1405" spans="1:2">
      <c r="A1405" s="156" t="s">
        <v>3330</v>
      </c>
      <c r="B1405" s="156" t="s">
        <v>3331</v>
      </c>
    </row>
    <row r="1406" spans="1:2">
      <c r="A1406" s="156" t="s">
        <v>3332</v>
      </c>
      <c r="B1406" s="156" t="s">
        <v>3333</v>
      </c>
    </row>
    <row r="1407" spans="1:2">
      <c r="A1407" s="156" t="s">
        <v>3334</v>
      </c>
      <c r="B1407" s="156" t="s">
        <v>3335</v>
      </c>
    </row>
    <row r="1408" spans="1:2">
      <c r="A1408" s="156" t="s">
        <v>3336</v>
      </c>
      <c r="B1408" s="156" t="s">
        <v>3337</v>
      </c>
    </row>
    <row r="1409" spans="1:2">
      <c r="A1409" s="156" t="s">
        <v>3338</v>
      </c>
      <c r="B1409" s="156" t="s">
        <v>3339</v>
      </c>
    </row>
    <row r="1410" spans="1:2">
      <c r="A1410" s="156" t="s">
        <v>3340</v>
      </c>
      <c r="B1410" s="156" t="s">
        <v>3341</v>
      </c>
    </row>
    <row r="1411" spans="1:2">
      <c r="A1411" s="156" t="s">
        <v>3342</v>
      </c>
      <c r="B1411" s="156" t="s">
        <v>3343</v>
      </c>
    </row>
    <row r="1412" spans="1:2">
      <c r="A1412" s="156" t="s">
        <v>3344</v>
      </c>
      <c r="B1412" s="156" t="s">
        <v>3345</v>
      </c>
    </row>
    <row r="1413" spans="1:2">
      <c r="A1413" s="156" t="s">
        <v>3346</v>
      </c>
      <c r="B1413" s="156" t="s">
        <v>3347</v>
      </c>
    </row>
    <row r="1414" spans="1:2">
      <c r="A1414" s="156" t="s">
        <v>3348</v>
      </c>
      <c r="B1414" s="156" t="s">
        <v>3349</v>
      </c>
    </row>
    <row r="1415" spans="1:2">
      <c r="A1415" s="156" t="s">
        <v>3350</v>
      </c>
      <c r="B1415" s="156" t="s">
        <v>3351</v>
      </c>
    </row>
    <row r="1416" spans="1:2">
      <c r="A1416" s="156" t="s">
        <v>3352</v>
      </c>
      <c r="B1416" s="156" t="s">
        <v>3353</v>
      </c>
    </row>
    <row r="1417" spans="1:2">
      <c r="A1417" s="156" t="s">
        <v>3354</v>
      </c>
      <c r="B1417" s="156" t="s">
        <v>3355</v>
      </c>
    </row>
    <row r="1418" spans="1:2">
      <c r="A1418" s="156" t="s">
        <v>3356</v>
      </c>
      <c r="B1418" s="156" t="s">
        <v>3357</v>
      </c>
    </row>
    <row r="1419" spans="1:2">
      <c r="A1419" s="156" t="s">
        <v>3358</v>
      </c>
      <c r="B1419" s="156" t="s">
        <v>3359</v>
      </c>
    </row>
    <row r="1420" spans="1:2">
      <c r="A1420" s="156" t="s">
        <v>3360</v>
      </c>
      <c r="B1420" s="156" t="s">
        <v>3361</v>
      </c>
    </row>
    <row r="1421" spans="1:2">
      <c r="A1421" s="156" t="s">
        <v>3362</v>
      </c>
      <c r="B1421" s="156" t="s">
        <v>3363</v>
      </c>
    </row>
    <row r="1422" spans="1:2">
      <c r="A1422" s="156" t="s">
        <v>3364</v>
      </c>
      <c r="B1422" s="156" t="s">
        <v>3365</v>
      </c>
    </row>
    <row r="1423" spans="1:2">
      <c r="A1423" s="156" t="s">
        <v>3366</v>
      </c>
      <c r="B1423" s="156" t="s">
        <v>3367</v>
      </c>
    </row>
    <row r="1424" spans="1:2">
      <c r="A1424" s="156" t="s">
        <v>3368</v>
      </c>
      <c r="B1424" s="156" t="s">
        <v>3369</v>
      </c>
    </row>
    <row r="1425" spans="1:2">
      <c r="A1425" s="156" t="s">
        <v>3370</v>
      </c>
      <c r="B1425" s="156" t="s">
        <v>3371</v>
      </c>
    </row>
    <row r="1426" spans="1:2">
      <c r="A1426" s="156" t="s">
        <v>3372</v>
      </c>
      <c r="B1426" s="156" t="s">
        <v>3373</v>
      </c>
    </row>
    <row r="1427" spans="1:2">
      <c r="A1427" s="156" t="s">
        <v>3374</v>
      </c>
      <c r="B1427" s="156" t="s">
        <v>3375</v>
      </c>
    </row>
    <row r="1428" spans="1:2">
      <c r="A1428" s="156" t="s">
        <v>3376</v>
      </c>
      <c r="B1428" s="156" t="s">
        <v>3377</v>
      </c>
    </row>
    <row r="1429" spans="1:2">
      <c r="A1429" s="156" t="s">
        <v>3378</v>
      </c>
      <c r="B1429" s="156" t="s">
        <v>3379</v>
      </c>
    </row>
    <row r="1430" spans="1:2">
      <c r="A1430" s="156" t="s">
        <v>3380</v>
      </c>
      <c r="B1430" s="156" t="s">
        <v>3381</v>
      </c>
    </row>
    <row r="1431" spans="1:2">
      <c r="A1431" s="156" t="s">
        <v>3382</v>
      </c>
      <c r="B1431" s="156" t="s">
        <v>3383</v>
      </c>
    </row>
    <row r="1432" spans="1:2">
      <c r="A1432" s="156" t="s">
        <v>3384</v>
      </c>
      <c r="B1432" s="156" t="s">
        <v>3385</v>
      </c>
    </row>
    <row r="1433" spans="1:2">
      <c r="A1433" s="156" t="s">
        <v>3386</v>
      </c>
      <c r="B1433" s="156" t="s">
        <v>3387</v>
      </c>
    </row>
    <row r="1434" spans="1:2">
      <c r="A1434" s="156" t="s">
        <v>3388</v>
      </c>
      <c r="B1434" s="156" t="s">
        <v>3389</v>
      </c>
    </row>
    <row r="1435" spans="1:2">
      <c r="A1435" s="156" t="s">
        <v>3390</v>
      </c>
      <c r="B1435" s="156" t="s">
        <v>3391</v>
      </c>
    </row>
    <row r="1436" spans="1:2">
      <c r="A1436" s="156" t="s">
        <v>3392</v>
      </c>
      <c r="B1436" s="156" t="s">
        <v>3393</v>
      </c>
    </row>
    <row r="1437" spans="1:2">
      <c r="A1437" s="156" t="s">
        <v>3394</v>
      </c>
      <c r="B1437" s="156" t="s">
        <v>3395</v>
      </c>
    </row>
    <row r="1438" spans="1:2">
      <c r="A1438" s="156" t="s">
        <v>3396</v>
      </c>
      <c r="B1438" s="156" t="s">
        <v>3397</v>
      </c>
    </row>
    <row r="1439" spans="1:2">
      <c r="A1439" s="156" t="s">
        <v>3398</v>
      </c>
      <c r="B1439" s="156" t="s">
        <v>3399</v>
      </c>
    </row>
    <row r="1440" spans="1:2">
      <c r="A1440" s="156" t="s">
        <v>3400</v>
      </c>
      <c r="B1440" s="156" t="s">
        <v>3401</v>
      </c>
    </row>
    <row r="1441" spans="1:2">
      <c r="A1441" s="156" t="s">
        <v>3402</v>
      </c>
      <c r="B1441" s="156" t="s">
        <v>3403</v>
      </c>
    </row>
    <row r="1442" spans="1:2">
      <c r="A1442" s="156" t="s">
        <v>3404</v>
      </c>
      <c r="B1442" s="156" t="s">
        <v>3405</v>
      </c>
    </row>
    <row r="1443" spans="1:2">
      <c r="A1443" s="156" t="s">
        <v>3406</v>
      </c>
      <c r="B1443" s="156" t="s">
        <v>3407</v>
      </c>
    </row>
    <row r="1444" spans="1:2">
      <c r="A1444" s="156" t="s">
        <v>3408</v>
      </c>
      <c r="B1444" s="156" t="s">
        <v>3409</v>
      </c>
    </row>
    <row r="1445" spans="1:2">
      <c r="A1445" s="156" t="s">
        <v>3410</v>
      </c>
      <c r="B1445" s="156" t="s">
        <v>3411</v>
      </c>
    </row>
    <row r="1446" spans="1:2">
      <c r="A1446" s="156" t="s">
        <v>3412</v>
      </c>
      <c r="B1446" s="156" t="s">
        <v>3413</v>
      </c>
    </row>
    <row r="1447" spans="1:2">
      <c r="A1447" s="156" t="s">
        <v>3414</v>
      </c>
      <c r="B1447" s="156" t="s">
        <v>3415</v>
      </c>
    </row>
    <row r="1448" spans="1:2">
      <c r="A1448" s="156" t="s">
        <v>3416</v>
      </c>
      <c r="B1448" s="156" t="s">
        <v>3417</v>
      </c>
    </row>
    <row r="1449" spans="1:2">
      <c r="A1449" s="156" t="s">
        <v>3418</v>
      </c>
      <c r="B1449" s="156" t="s">
        <v>3419</v>
      </c>
    </row>
    <row r="1450" spans="1:2">
      <c r="A1450" s="156" t="s">
        <v>3420</v>
      </c>
      <c r="B1450" s="156" t="s">
        <v>3421</v>
      </c>
    </row>
    <row r="1451" spans="1:2">
      <c r="A1451" s="156" t="s">
        <v>3422</v>
      </c>
      <c r="B1451" s="156" t="s">
        <v>3423</v>
      </c>
    </row>
    <row r="1452" spans="1:2">
      <c r="A1452" s="156" t="s">
        <v>3424</v>
      </c>
      <c r="B1452" s="156" t="s">
        <v>3425</v>
      </c>
    </row>
    <row r="1453" spans="1:2">
      <c r="A1453" s="156" t="s">
        <v>3426</v>
      </c>
      <c r="B1453" s="156" t="s">
        <v>3427</v>
      </c>
    </row>
    <row r="1454" spans="1:2">
      <c r="A1454" s="156" t="s">
        <v>3428</v>
      </c>
      <c r="B1454" s="156" t="s">
        <v>3429</v>
      </c>
    </row>
    <row r="1455" spans="1:2">
      <c r="A1455" s="156" t="s">
        <v>3430</v>
      </c>
      <c r="B1455" s="156" t="s">
        <v>3431</v>
      </c>
    </row>
    <row r="1456" spans="1:2">
      <c r="A1456" s="156" t="s">
        <v>3432</v>
      </c>
      <c r="B1456" s="156" t="s">
        <v>3433</v>
      </c>
    </row>
    <row r="1457" spans="1:2">
      <c r="A1457" s="156" t="s">
        <v>3434</v>
      </c>
      <c r="B1457" s="156" t="s">
        <v>3435</v>
      </c>
    </row>
    <row r="1458" spans="1:2">
      <c r="A1458" s="156" t="s">
        <v>3436</v>
      </c>
    </row>
    <row r="1459" spans="1:2">
      <c r="A1459" s="156" t="s">
        <v>3437</v>
      </c>
    </row>
    <row r="1460" spans="1:2">
      <c r="A1460" s="156" t="s">
        <v>3438</v>
      </c>
    </row>
    <row r="1461" spans="1:2">
      <c r="A1461" s="156" t="s">
        <v>3439</v>
      </c>
    </row>
    <row r="1462" spans="1:2">
      <c r="A1462" s="156" t="s">
        <v>3440</v>
      </c>
    </row>
    <row r="1463" spans="1:2">
      <c r="A1463" s="156" t="s">
        <v>3441</v>
      </c>
    </row>
    <row r="1464" spans="1:2">
      <c r="A1464" s="156" t="s">
        <v>3442</v>
      </c>
    </row>
    <row r="1465" spans="1:2">
      <c r="A1465" s="156" t="s">
        <v>3443</v>
      </c>
    </row>
    <row r="1466" spans="1:2">
      <c r="A1466" s="156" t="s">
        <v>3444</v>
      </c>
    </row>
    <row r="1467" spans="1:2">
      <c r="A1467" s="156" t="s">
        <v>3445</v>
      </c>
    </row>
    <row r="1468" spans="1:2">
      <c r="A1468" s="156" t="s">
        <v>3446</v>
      </c>
    </row>
    <row r="1469" spans="1:2">
      <c r="A1469" s="156" t="s">
        <v>3447</v>
      </c>
    </row>
    <row r="1470" spans="1:2">
      <c r="A1470" s="156" t="s">
        <v>3448</v>
      </c>
    </row>
    <row r="1471" spans="1:2">
      <c r="A1471" s="156" t="s">
        <v>3449</v>
      </c>
    </row>
    <row r="1472" spans="1:2">
      <c r="A1472" s="156" t="s">
        <v>3450</v>
      </c>
    </row>
    <row r="1473" spans="1:1">
      <c r="A1473" s="156" t="s">
        <v>3451</v>
      </c>
    </row>
    <row r="1474" spans="1:1">
      <c r="A1474" s="156" t="s">
        <v>3452</v>
      </c>
    </row>
    <row r="1475" spans="1:1">
      <c r="A1475" s="156" t="s">
        <v>3453</v>
      </c>
    </row>
    <row r="1476" spans="1:1">
      <c r="A1476" s="156" t="s">
        <v>3454</v>
      </c>
    </row>
    <row r="1477" spans="1:1">
      <c r="A1477" s="156" t="s">
        <v>3455</v>
      </c>
    </row>
    <row r="1478" spans="1:1">
      <c r="A1478" s="156" t="s">
        <v>3456</v>
      </c>
    </row>
    <row r="1479" spans="1:1">
      <c r="A1479" s="156" t="s">
        <v>3457</v>
      </c>
    </row>
    <row r="1480" spans="1:1">
      <c r="A1480" s="156" t="s">
        <v>3458</v>
      </c>
    </row>
    <row r="1481" spans="1:1">
      <c r="A1481" s="156" t="s">
        <v>3459</v>
      </c>
    </row>
    <row r="1482" spans="1:1">
      <c r="A1482" s="156" t="s">
        <v>3460</v>
      </c>
    </row>
    <row r="1483" spans="1:1">
      <c r="A1483" s="156" t="s">
        <v>3461</v>
      </c>
    </row>
    <row r="1484" spans="1:1">
      <c r="A1484" s="156" t="s">
        <v>3462</v>
      </c>
    </row>
    <row r="1485" spans="1:1">
      <c r="A1485" s="156" t="s">
        <v>3463</v>
      </c>
    </row>
    <row r="1486" spans="1:1">
      <c r="A1486" s="156" t="s">
        <v>3464</v>
      </c>
    </row>
    <row r="1487" spans="1:1">
      <c r="A1487" s="156" t="s">
        <v>3465</v>
      </c>
    </row>
    <row r="1488" spans="1:1">
      <c r="A1488" s="156" t="s">
        <v>3466</v>
      </c>
    </row>
    <row r="1489" spans="1:1">
      <c r="A1489" s="156" t="s">
        <v>3467</v>
      </c>
    </row>
    <row r="1490" spans="1:1">
      <c r="A1490" s="156" t="s">
        <v>3468</v>
      </c>
    </row>
    <row r="1491" spans="1:1">
      <c r="A1491" s="156" t="s">
        <v>3469</v>
      </c>
    </row>
    <row r="1492" spans="1:1">
      <c r="A1492" s="156" t="s">
        <v>3470</v>
      </c>
    </row>
    <row r="1493" spans="1:1">
      <c r="A1493" s="156" t="s">
        <v>3471</v>
      </c>
    </row>
    <row r="1494" spans="1:1">
      <c r="A1494" s="156" t="s">
        <v>3472</v>
      </c>
    </row>
    <row r="1495" spans="1:1">
      <c r="A1495" s="156" t="s">
        <v>3473</v>
      </c>
    </row>
    <row r="1496" spans="1:1">
      <c r="A1496" s="156" t="s">
        <v>3474</v>
      </c>
    </row>
    <row r="1497" spans="1:1">
      <c r="A1497" s="156" t="s">
        <v>3475</v>
      </c>
    </row>
    <row r="1498" spans="1:1">
      <c r="A1498" s="156" t="s">
        <v>3476</v>
      </c>
    </row>
    <row r="1499" spans="1:1">
      <c r="A1499" s="156" t="s">
        <v>3477</v>
      </c>
    </row>
    <row r="1500" spans="1:1">
      <c r="A1500" s="156" t="s">
        <v>3478</v>
      </c>
    </row>
    <row r="1501" spans="1:1">
      <c r="A1501" s="156" t="s">
        <v>3479</v>
      </c>
    </row>
    <row r="1502" spans="1:1">
      <c r="A1502" s="156" t="s">
        <v>3480</v>
      </c>
    </row>
    <row r="1503" spans="1:1">
      <c r="A1503" s="156" t="s">
        <v>3481</v>
      </c>
    </row>
    <row r="1504" spans="1:1">
      <c r="A1504" s="156" t="s">
        <v>3482</v>
      </c>
    </row>
    <row r="1505" spans="1:1">
      <c r="A1505" s="156" t="s">
        <v>3483</v>
      </c>
    </row>
    <row r="1506" spans="1:1">
      <c r="A1506" s="156" t="s">
        <v>3484</v>
      </c>
    </row>
    <row r="1507" spans="1:1">
      <c r="A1507" s="156" t="s">
        <v>3485</v>
      </c>
    </row>
    <row r="1508" spans="1:1">
      <c r="A1508" s="156" t="s">
        <v>3486</v>
      </c>
    </row>
    <row r="1509" spans="1:1">
      <c r="A1509" s="156" t="s">
        <v>3487</v>
      </c>
    </row>
    <row r="1510" spans="1:1">
      <c r="A1510" s="156" t="s">
        <v>3488</v>
      </c>
    </row>
    <row r="1511" spans="1:1">
      <c r="A1511" s="156" t="s">
        <v>3489</v>
      </c>
    </row>
    <row r="1512" spans="1:1">
      <c r="A1512" s="156" t="s">
        <v>3490</v>
      </c>
    </row>
    <row r="1513" spans="1:1">
      <c r="A1513" s="156" t="s">
        <v>3491</v>
      </c>
    </row>
    <row r="1514" spans="1:1">
      <c r="A1514" s="156" t="s">
        <v>3492</v>
      </c>
    </row>
    <row r="1515" spans="1:1">
      <c r="A1515" s="156" t="s">
        <v>3493</v>
      </c>
    </row>
    <row r="1516" spans="1:1">
      <c r="A1516" s="156" t="s">
        <v>3494</v>
      </c>
    </row>
    <row r="1517" spans="1:1">
      <c r="A1517" s="156" t="s">
        <v>3495</v>
      </c>
    </row>
    <row r="1518" spans="1:1">
      <c r="A1518" s="156" t="s">
        <v>3496</v>
      </c>
    </row>
    <row r="1519" spans="1:1">
      <c r="A1519" s="156" t="s">
        <v>3497</v>
      </c>
    </row>
    <row r="1520" spans="1:1">
      <c r="A1520" s="156" t="s">
        <v>3498</v>
      </c>
    </row>
    <row r="1521" spans="1:1">
      <c r="A1521" s="156" t="s">
        <v>3499</v>
      </c>
    </row>
    <row r="1522" spans="1:1">
      <c r="A1522" s="156" t="s">
        <v>3500</v>
      </c>
    </row>
    <row r="1523" spans="1:1">
      <c r="A1523" s="156" t="s">
        <v>3501</v>
      </c>
    </row>
    <row r="1524" spans="1:1">
      <c r="A1524" s="156" t="s">
        <v>3502</v>
      </c>
    </row>
    <row r="1525" spans="1:1">
      <c r="A1525" s="156" t="s">
        <v>3503</v>
      </c>
    </row>
    <row r="1526" spans="1:1">
      <c r="A1526" s="156" t="s">
        <v>3504</v>
      </c>
    </row>
    <row r="1527" spans="1:1">
      <c r="A1527" s="156" t="s">
        <v>3505</v>
      </c>
    </row>
    <row r="1528" spans="1:1">
      <c r="A1528" s="156" t="s">
        <v>3506</v>
      </c>
    </row>
    <row r="1529" spans="1:1">
      <c r="A1529" s="156" t="s">
        <v>3507</v>
      </c>
    </row>
    <row r="1530" spans="1:1">
      <c r="A1530" s="156" t="s">
        <v>3508</v>
      </c>
    </row>
    <row r="1531" spans="1:1">
      <c r="A1531" s="156" t="s">
        <v>3509</v>
      </c>
    </row>
    <row r="1532" spans="1:1">
      <c r="A1532" s="156" t="s">
        <v>3510</v>
      </c>
    </row>
    <row r="1533" spans="1:1">
      <c r="A1533" s="156" t="s">
        <v>3511</v>
      </c>
    </row>
    <row r="1534" spans="1:1">
      <c r="A1534" s="156" t="s">
        <v>3512</v>
      </c>
    </row>
    <row r="1535" spans="1:1">
      <c r="A1535" s="156" t="s">
        <v>3513</v>
      </c>
    </row>
    <row r="1536" spans="1:1">
      <c r="A1536" s="156" t="s">
        <v>3514</v>
      </c>
    </row>
    <row r="1537" spans="1:1">
      <c r="A1537" s="156" t="s">
        <v>3515</v>
      </c>
    </row>
    <row r="1538" spans="1:1">
      <c r="A1538" s="156" t="s">
        <v>3516</v>
      </c>
    </row>
    <row r="1539" spans="1:1">
      <c r="A1539" s="156" t="s">
        <v>3517</v>
      </c>
    </row>
    <row r="1540" spans="1:1">
      <c r="A1540" s="156" t="s">
        <v>3518</v>
      </c>
    </row>
    <row r="1541" spans="1:1">
      <c r="A1541" s="156" t="s">
        <v>3519</v>
      </c>
    </row>
    <row r="1542" spans="1:1">
      <c r="A1542" s="156" t="s">
        <v>3520</v>
      </c>
    </row>
    <row r="1543" spans="1:1">
      <c r="A1543" s="156" t="s">
        <v>3521</v>
      </c>
    </row>
    <row r="1544" spans="1:1">
      <c r="A1544" s="156" t="s">
        <v>3522</v>
      </c>
    </row>
    <row r="1545" spans="1:1">
      <c r="A1545" s="156" t="s">
        <v>3523</v>
      </c>
    </row>
    <row r="1546" spans="1:1">
      <c r="A1546" s="156" t="s">
        <v>3524</v>
      </c>
    </row>
    <row r="1547" spans="1:1">
      <c r="A1547" s="156" t="s">
        <v>3525</v>
      </c>
    </row>
    <row r="1548" spans="1:1">
      <c r="A1548" s="156" t="s">
        <v>3526</v>
      </c>
    </row>
    <row r="1549" spans="1:1">
      <c r="A1549" s="156" t="s">
        <v>3527</v>
      </c>
    </row>
    <row r="1550" spans="1:1">
      <c r="A1550" s="156" t="s">
        <v>3528</v>
      </c>
    </row>
    <row r="1551" spans="1:1">
      <c r="A1551" s="156" t="s">
        <v>3529</v>
      </c>
    </row>
    <row r="1552" spans="1:1">
      <c r="A1552" s="156" t="s">
        <v>3530</v>
      </c>
    </row>
    <row r="1553" spans="1:1">
      <c r="A1553" s="156" t="s">
        <v>3531</v>
      </c>
    </row>
    <row r="1554" spans="1:1">
      <c r="A1554" s="156" t="s">
        <v>3532</v>
      </c>
    </row>
    <row r="1555" spans="1:1">
      <c r="A1555" s="156" t="s">
        <v>3533</v>
      </c>
    </row>
    <row r="1556" spans="1:1">
      <c r="A1556" s="156" t="s">
        <v>3534</v>
      </c>
    </row>
    <row r="1557" spans="1:1">
      <c r="A1557" s="156" t="s">
        <v>3535</v>
      </c>
    </row>
    <row r="1558" spans="1:1">
      <c r="A1558" s="156" t="s">
        <v>3536</v>
      </c>
    </row>
    <row r="1559" spans="1:1">
      <c r="A1559" s="156" t="s">
        <v>3537</v>
      </c>
    </row>
    <row r="1560" spans="1:1">
      <c r="A1560" s="156" t="s">
        <v>3538</v>
      </c>
    </row>
    <row r="1561" spans="1:1">
      <c r="A1561" s="156" t="s">
        <v>3539</v>
      </c>
    </row>
    <row r="1562" spans="1:1">
      <c r="A1562" s="156" t="s">
        <v>3540</v>
      </c>
    </row>
    <row r="1563" spans="1:1">
      <c r="A1563" s="156" t="s">
        <v>3541</v>
      </c>
    </row>
    <row r="1564" spans="1:1">
      <c r="A1564" s="156" t="s">
        <v>3542</v>
      </c>
    </row>
    <row r="1565" spans="1:1">
      <c r="A1565" s="156" t="s">
        <v>3543</v>
      </c>
    </row>
    <row r="1566" spans="1:1">
      <c r="A1566" s="156" t="s">
        <v>3544</v>
      </c>
    </row>
    <row r="1567" spans="1:1">
      <c r="A1567" s="156" t="s">
        <v>3545</v>
      </c>
    </row>
    <row r="1568" spans="1:1">
      <c r="A1568" s="156" t="s">
        <v>3546</v>
      </c>
    </row>
    <row r="1569" spans="1:1">
      <c r="A1569" s="156" t="s">
        <v>3547</v>
      </c>
    </row>
    <row r="1570" spans="1:1">
      <c r="A1570" s="156" t="s">
        <v>3548</v>
      </c>
    </row>
    <row r="1571" spans="1:1">
      <c r="A1571" s="156" t="s">
        <v>3549</v>
      </c>
    </row>
    <row r="1572" spans="1:1">
      <c r="A1572" s="156" t="s">
        <v>3550</v>
      </c>
    </row>
    <row r="1573" spans="1:1">
      <c r="A1573" s="156" t="s">
        <v>3551</v>
      </c>
    </row>
    <row r="1574" spans="1:1">
      <c r="A1574" s="156" t="s">
        <v>3552</v>
      </c>
    </row>
    <row r="1575" spans="1:1">
      <c r="A1575" s="156" t="s">
        <v>3553</v>
      </c>
    </row>
    <row r="1576" spans="1:1">
      <c r="A1576" s="156" t="s">
        <v>3554</v>
      </c>
    </row>
    <row r="1577" spans="1:1">
      <c r="A1577" s="156" t="s">
        <v>3555</v>
      </c>
    </row>
    <row r="1578" spans="1:1">
      <c r="A1578" s="156" t="s">
        <v>3556</v>
      </c>
    </row>
    <row r="1579" spans="1:1">
      <c r="A1579" s="156" t="s">
        <v>3557</v>
      </c>
    </row>
    <row r="1580" spans="1:1">
      <c r="A1580" s="156" t="s">
        <v>3558</v>
      </c>
    </row>
    <row r="1581" spans="1:1">
      <c r="A1581" s="156" t="s">
        <v>3559</v>
      </c>
    </row>
    <row r="1582" spans="1:1">
      <c r="A1582" s="156" t="s">
        <v>3560</v>
      </c>
    </row>
    <row r="1583" spans="1:1">
      <c r="A1583" s="156" t="s">
        <v>3561</v>
      </c>
    </row>
    <row r="1584" spans="1:1">
      <c r="A1584" s="156" t="s">
        <v>3562</v>
      </c>
    </row>
    <row r="1585" spans="1:1">
      <c r="A1585" s="156" t="s">
        <v>3563</v>
      </c>
    </row>
    <row r="1586" spans="1:1">
      <c r="A1586" s="156" t="s">
        <v>3564</v>
      </c>
    </row>
    <row r="1587" spans="1:1">
      <c r="A1587" s="156" t="s">
        <v>3565</v>
      </c>
    </row>
    <row r="1588" spans="1:1">
      <c r="A1588" s="156" t="s">
        <v>3566</v>
      </c>
    </row>
    <row r="1589" spans="1:1">
      <c r="A1589" s="156" t="s">
        <v>3567</v>
      </c>
    </row>
    <row r="1590" spans="1:1">
      <c r="A1590" s="156" t="s">
        <v>3568</v>
      </c>
    </row>
    <row r="1591" spans="1:1">
      <c r="A1591" s="156" t="s">
        <v>3569</v>
      </c>
    </row>
    <row r="1592" spans="1:1">
      <c r="A1592" s="156" t="s">
        <v>3570</v>
      </c>
    </row>
    <row r="1593" spans="1:1">
      <c r="A1593" s="156" t="s">
        <v>3571</v>
      </c>
    </row>
    <row r="1594" spans="1:1">
      <c r="A1594" s="156" t="s">
        <v>3572</v>
      </c>
    </row>
    <row r="1595" spans="1:1">
      <c r="A1595" s="156" t="s">
        <v>3573</v>
      </c>
    </row>
    <row r="1596" spans="1:1">
      <c r="A1596" s="156" t="s">
        <v>3574</v>
      </c>
    </row>
    <row r="1597" spans="1:1">
      <c r="A1597" s="156" t="s">
        <v>3575</v>
      </c>
    </row>
    <row r="1598" spans="1:1">
      <c r="A1598" s="156" t="s">
        <v>3576</v>
      </c>
    </row>
    <row r="1599" spans="1:1">
      <c r="A1599" s="156" t="s">
        <v>3577</v>
      </c>
    </row>
    <row r="1600" spans="1:1">
      <c r="A1600" s="156" t="s">
        <v>3578</v>
      </c>
    </row>
    <row r="1601" spans="1:1">
      <c r="A1601" s="156" t="s">
        <v>3579</v>
      </c>
    </row>
    <row r="1602" spans="1:1">
      <c r="A1602" s="156" t="s">
        <v>3580</v>
      </c>
    </row>
    <row r="1603" spans="1:1">
      <c r="A1603" s="156" t="s">
        <v>3581</v>
      </c>
    </row>
    <row r="1604" spans="1:1">
      <c r="A1604" s="156" t="s">
        <v>3582</v>
      </c>
    </row>
    <row r="1605" spans="1:1">
      <c r="A1605" s="156" t="s">
        <v>3583</v>
      </c>
    </row>
    <row r="1606" spans="1:1">
      <c r="A1606" s="156" t="s">
        <v>3584</v>
      </c>
    </row>
    <row r="1607" spans="1:1">
      <c r="A1607" s="156" t="s">
        <v>3585</v>
      </c>
    </row>
    <row r="1608" spans="1:1">
      <c r="A1608" s="156" t="s">
        <v>3586</v>
      </c>
    </row>
    <row r="1609" spans="1:1">
      <c r="A1609" s="156" t="s">
        <v>3587</v>
      </c>
    </row>
    <row r="1610" spans="1:1">
      <c r="A1610" s="156" t="s">
        <v>3588</v>
      </c>
    </row>
    <row r="1611" spans="1:1">
      <c r="A1611" s="156" t="s">
        <v>3589</v>
      </c>
    </row>
    <row r="1612" spans="1:1">
      <c r="A1612" s="156" t="s">
        <v>3590</v>
      </c>
    </row>
    <row r="1613" spans="1:1">
      <c r="A1613" s="156" t="s">
        <v>3591</v>
      </c>
    </row>
    <row r="1614" spans="1:1">
      <c r="A1614" s="156" t="s">
        <v>3592</v>
      </c>
    </row>
    <row r="1615" spans="1:1">
      <c r="A1615" s="156" t="s">
        <v>3593</v>
      </c>
    </row>
    <row r="1616" spans="1:1">
      <c r="A1616" s="156" t="s">
        <v>3594</v>
      </c>
    </row>
    <row r="1617" spans="1:1">
      <c r="A1617" s="156" t="s">
        <v>3595</v>
      </c>
    </row>
    <row r="1618" spans="1:1">
      <c r="A1618" s="156" t="s">
        <v>3596</v>
      </c>
    </row>
    <row r="1619" spans="1:1">
      <c r="A1619" s="156" t="s">
        <v>3597</v>
      </c>
    </row>
    <row r="1620" spans="1:1">
      <c r="A1620" s="156" t="s">
        <v>3598</v>
      </c>
    </row>
    <row r="1621" spans="1:1">
      <c r="A1621" s="156" t="s">
        <v>3599</v>
      </c>
    </row>
    <row r="1622" spans="1:1">
      <c r="A1622" s="156" t="s">
        <v>3600</v>
      </c>
    </row>
    <row r="1623" spans="1:1">
      <c r="A1623" s="156" t="s">
        <v>3601</v>
      </c>
    </row>
    <row r="1624" spans="1:1">
      <c r="A1624" s="156" t="s">
        <v>3602</v>
      </c>
    </row>
    <row r="1625" spans="1:1">
      <c r="A1625" s="156" t="s">
        <v>3603</v>
      </c>
    </row>
    <row r="1626" spans="1:1">
      <c r="A1626" s="156" t="s">
        <v>3604</v>
      </c>
    </row>
    <row r="1627" spans="1:1">
      <c r="A1627" s="156" t="s">
        <v>3605</v>
      </c>
    </row>
    <row r="1628" spans="1:1">
      <c r="A1628" s="156" t="s">
        <v>3606</v>
      </c>
    </row>
    <row r="1629" spans="1:1">
      <c r="A1629" s="156" t="s">
        <v>3607</v>
      </c>
    </row>
    <row r="1630" spans="1:1">
      <c r="A1630" s="156" t="s">
        <v>3608</v>
      </c>
    </row>
    <row r="1631" spans="1:1">
      <c r="A1631" s="156" t="s">
        <v>3609</v>
      </c>
    </row>
    <row r="1632" spans="1:1">
      <c r="A1632" s="156" t="s">
        <v>3610</v>
      </c>
    </row>
    <row r="1633" spans="1:1">
      <c r="A1633" s="156" t="s">
        <v>3611</v>
      </c>
    </row>
    <row r="1634" spans="1:1">
      <c r="A1634" s="156" t="s">
        <v>3612</v>
      </c>
    </row>
    <row r="1635" spans="1:1">
      <c r="A1635" s="156" t="s">
        <v>3613</v>
      </c>
    </row>
    <row r="1636" spans="1:1">
      <c r="A1636" s="156" t="s">
        <v>3614</v>
      </c>
    </row>
    <row r="1637" spans="1:1">
      <c r="A1637" s="156" t="s">
        <v>3615</v>
      </c>
    </row>
    <row r="1638" spans="1:1">
      <c r="A1638" s="156" t="s">
        <v>3616</v>
      </c>
    </row>
    <row r="1639" spans="1:1">
      <c r="A1639" s="156" t="s">
        <v>3617</v>
      </c>
    </row>
    <row r="1640" spans="1:1">
      <c r="A1640" s="156" t="s">
        <v>3618</v>
      </c>
    </row>
    <row r="1641" spans="1:1">
      <c r="A1641" s="156" t="s">
        <v>3619</v>
      </c>
    </row>
    <row r="1642" spans="1:1">
      <c r="A1642" s="156" t="s">
        <v>3620</v>
      </c>
    </row>
    <row r="1643" spans="1:1">
      <c r="A1643" s="156" t="s">
        <v>3621</v>
      </c>
    </row>
    <row r="1644" spans="1:1">
      <c r="A1644" s="156" t="s">
        <v>3622</v>
      </c>
    </row>
    <row r="1645" spans="1:1">
      <c r="A1645" s="156" t="s">
        <v>3623</v>
      </c>
    </row>
    <row r="1646" spans="1:1">
      <c r="A1646" s="156" t="s">
        <v>3624</v>
      </c>
    </row>
    <row r="1647" spans="1:1">
      <c r="A1647" s="156" t="s">
        <v>3625</v>
      </c>
    </row>
    <row r="1648" spans="1:1">
      <c r="A1648" s="156" t="s">
        <v>3626</v>
      </c>
    </row>
    <row r="1649" spans="1:1">
      <c r="A1649" s="156" t="s">
        <v>3627</v>
      </c>
    </row>
    <row r="1650" spans="1:1">
      <c r="A1650" s="156" t="s">
        <v>3628</v>
      </c>
    </row>
    <row r="1651" spans="1:1">
      <c r="A1651" s="156" t="s">
        <v>3629</v>
      </c>
    </row>
    <row r="1652" spans="1:1">
      <c r="A1652" s="156" t="s">
        <v>3630</v>
      </c>
    </row>
    <row r="1653" spans="1:1">
      <c r="A1653" s="156" t="s">
        <v>3631</v>
      </c>
    </row>
    <row r="1654" spans="1:1">
      <c r="A1654" s="156" t="s">
        <v>3632</v>
      </c>
    </row>
    <row r="1655" spans="1:1">
      <c r="A1655" s="156" t="s">
        <v>3633</v>
      </c>
    </row>
    <row r="1656" spans="1:1">
      <c r="A1656" s="156" t="s">
        <v>3634</v>
      </c>
    </row>
    <row r="1657" spans="1:1">
      <c r="A1657" s="156" t="s">
        <v>3635</v>
      </c>
    </row>
    <row r="1658" spans="1:1">
      <c r="A1658" s="156" t="s">
        <v>3636</v>
      </c>
    </row>
    <row r="1659" spans="1:1">
      <c r="A1659" s="156" t="s">
        <v>3637</v>
      </c>
    </row>
    <row r="1660" spans="1:1">
      <c r="A1660" s="156" t="s">
        <v>3638</v>
      </c>
    </row>
    <row r="1661" spans="1:1">
      <c r="A1661" s="156" t="s">
        <v>3639</v>
      </c>
    </row>
    <row r="1662" spans="1:1">
      <c r="A1662" s="156" t="s">
        <v>3640</v>
      </c>
    </row>
    <row r="1663" spans="1:1">
      <c r="A1663" s="156" t="s">
        <v>3641</v>
      </c>
    </row>
    <row r="1664" spans="1:1">
      <c r="A1664" s="156" t="s">
        <v>3642</v>
      </c>
    </row>
    <row r="1665" spans="1:1">
      <c r="A1665" s="156" t="s">
        <v>3643</v>
      </c>
    </row>
    <row r="1666" spans="1:1">
      <c r="A1666" s="156" t="s">
        <v>3644</v>
      </c>
    </row>
    <row r="1667" spans="1:1">
      <c r="A1667" s="156" t="s">
        <v>3645</v>
      </c>
    </row>
    <row r="1668" spans="1:1">
      <c r="A1668" s="156" t="s">
        <v>3646</v>
      </c>
    </row>
    <row r="1669" spans="1:1">
      <c r="A1669" s="156" t="s">
        <v>3647</v>
      </c>
    </row>
    <row r="1670" spans="1:1">
      <c r="A1670" s="156" t="s">
        <v>3648</v>
      </c>
    </row>
    <row r="1671" spans="1:1">
      <c r="A1671" s="156" t="s">
        <v>3649</v>
      </c>
    </row>
    <row r="1672" spans="1:1">
      <c r="A1672" s="156" t="s">
        <v>3650</v>
      </c>
    </row>
    <row r="1673" spans="1:1">
      <c r="A1673" s="156" t="s">
        <v>3651</v>
      </c>
    </row>
    <row r="1674" spans="1:1">
      <c r="A1674" s="156" t="s">
        <v>3652</v>
      </c>
    </row>
    <row r="1675" spans="1:1">
      <c r="A1675" s="156" t="s">
        <v>3653</v>
      </c>
    </row>
    <row r="1676" spans="1:1">
      <c r="A1676" s="156" t="s">
        <v>3654</v>
      </c>
    </row>
    <row r="1677" spans="1:1">
      <c r="A1677" s="156" t="s">
        <v>3655</v>
      </c>
    </row>
    <row r="1678" spans="1:1">
      <c r="A1678" s="156" t="s">
        <v>3656</v>
      </c>
    </row>
    <row r="1679" spans="1:1">
      <c r="A1679" s="156" t="s">
        <v>3657</v>
      </c>
    </row>
    <row r="1680" spans="1:1">
      <c r="A1680" s="156" t="s">
        <v>3658</v>
      </c>
    </row>
    <row r="1681" spans="1:1">
      <c r="A1681" s="156" t="s">
        <v>3659</v>
      </c>
    </row>
    <row r="1682" spans="1:1">
      <c r="A1682" s="156" t="s">
        <v>3660</v>
      </c>
    </row>
    <row r="1683" spans="1:1">
      <c r="A1683" s="156" t="s">
        <v>3661</v>
      </c>
    </row>
    <row r="1684" spans="1:1">
      <c r="A1684" s="156" t="s">
        <v>3662</v>
      </c>
    </row>
    <row r="1685" spans="1:1">
      <c r="A1685" s="156" t="s">
        <v>3663</v>
      </c>
    </row>
    <row r="1686" spans="1:1">
      <c r="A1686" s="156" t="s">
        <v>3664</v>
      </c>
    </row>
    <row r="1687" spans="1:1">
      <c r="A1687" s="156" t="s">
        <v>3665</v>
      </c>
    </row>
    <row r="1688" spans="1:1">
      <c r="A1688" s="156" t="s">
        <v>3666</v>
      </c>
    </row>
    <row r="1689" spans="1:1">
      <c r="A1689" s="156" t="s">
        <v>3667</v>
      </c>
    </row>
    <row r="1690" spans="1:1">
      <c r="A1690" s="156" t="s">
        <v>3668</v>
      </c>
    </row>
    <row r="1691" spans="1:1">
      <c r="A1691" s="156" t="s">
        <v>3669</v>
      </c>
    </row>
    <row r="1692" spans="1:1">
      <c r="A1692" s="156" t="s">
        <v>3670</v>
      </c>
    </row>
    <row r="1693" spans="1:1">
      <c r="A1693" s="156" t="s">
        <v>3671</v>
      </c>
    </row>
    <row r="1694" spans="1:1">
      <c r="A1694" s="156" t="s">
        <v>3672</v>
      </c>
    </row>
    <row r="1695" spans="1:1">
      <c r="A1695" s="156" t="s">
        <v>3673</v>
      </c>
    </row>
    <row r="1696" spans="1:1">
      <c r="A1696" s="156" t="s">
        <v>3674</v>
      </c>
    </row>
    <row r="1697" spans="1:1">
      <c r="A1697" s="156" t="s">
        <v>3675</v>
      </c>
    </row>
    <row r="1698" spans="1:1">
      <c r="A1698" s="156" t="s">
        <v>3676</v>
      </c>
    </row>
    <row r="1699" spans="1:1">
      <c r="A1699" s="156" t="s">
        <v>3677</v>
      </c>
    </row>
    <row r="1700" spans="1:1">
      <c r="A1700" s="156" t="s">
        <v>3678</v>
      </c>
    </row>
    <row r="1701" spans="1:1">
      <c r="A1701" s="156" t="s">
        <v>3679</v>
      </c>
    </row>
    <row r="1702" spans="1:1">
      <c r="A1702" s="156" t="s">
        <v>3680</v>
      </c>
    </row>
    <row r="1703" spans="1:1">
      <c r="A1703" s="156" t="s">
        <v>3681</v>
      </c>
    </row>
    <row r="1704" spans="1:1">
      <c r="A1704" s="156" t="s">
        <v>3682</v>
      </c>
    </row>
    <row r="1705" spans="1:1">
      <c r="A1705" s="156" t="s">
        <v>3683</v>
      </c>
    </row>
    <row r="1706" spans="1:1">
      <c r="A1706" s="156" t="s">
        <v>3684</v>
      </c>
    </row>
    <row r="1707" spans="1:1">
      <c r="A1707" s="156" t="s">
        <v>3685</v>
      </c>
    </row>
    <row r="1708" spans="1:1">
      <c r="A1708" s="156" t="s">
        <v>3686</v>
      </c>
    </row>
    <row r="1709" spans="1:1">
      <c r="A1709" s="156" t="s">
        <v>3687</v>
      </c>
    </row>
    <row r="1710" spans="1:1">
      <c r="A1710" s="156" t="s">
        <v>3688</v>
      </c>
    </row>
    <row r="1711" spans="1:1">
      <c r="A1711" s="156" t="s">
        <v>3689</v>
      </c>
    </row>
    <row r="1712" spans="1:1">
      <c r="A1712" s="156" t="s">
        <v>3690</v>
      </c>
    </row>
    <row r="1713" spans="1:1">
      <c r="A1713" s="156" t="s">
        <v>3691</v>
      </c>
    </row>
    <row r="1714" spans="1:1">
      <c r="A1714" s="156" t="s">
        <v>3692</v>
      </c>
    </row>
    <row r="1715" spans="1:1">
      <c r="A1715" s="156" t="s">
        <v>3693</v>
      </c>
    </row>
    <row r="1716" spans="1:1">
      <c r="A1716" s="156" t="s">
        <v>3694</v>
      </c>
    </row>
    <row r="1717" spans="1:1">
      <c r="A1717" s="156" t="s">
        <v>3695</v>
      </c>
    </row>
    <row r="1718" spans="1:1">
      <c r="A1718" s="156" t="s">
        <v>3696</v>
      </c>
    </row>
    <row r="1719" spans="1:1">
      <c r="A1719" s="156" t="s">
        <v>3697</v>
      </c>
    </row>
    <row r="1720" spans="1:1">
      <c r="A1720" s="156" t="s">
        <v>3698</v>
      </c>
    </row>
    <row r="1721" spans="1:1">
      <c r="A1721" s="156" t="s">
        <v>3699</v>
      </c>
    </row>
    <row r="1722" spans="1:1">
      <c r="A1722" s="156" t="s">
        <v>3700</v>
      </c>
    </row>
    <row r="1723" spans="1:1">
      <c r="A1723" s="156" t="s">
        <v>3701</v>
      </c>
    </row>
    <row r="1724" spans="1:1">
      <c r="A1724" s="156" t="s">
        <v>3702</v>
      </c>
    </row>
    <row r="1725" spans="1:1">
      <c r="A1725" s="156" t="s">
        <v>3703</v>
      </c>
    </row>
    <row r="1726" spans="1:1">
      <c r="A1726" s="156" t="s">
        <v>3704</v>
      </c>
    </row>
    <row r="1727" spans="1:1">
      <c r="A1727" s="156" t="s">
        <v>3705</v>
      </c>
    </row>
    <row r="1728" spans="1:1">
      <c r="A1728" s="156" t="s">
        <v>3706</v>
      </c>
    </row>
    <row r="1729" spans="1:1">
      <c r="A1729" s="156" t="s">
        <v>3707</v>
      </c>
    </row>
    <row r="1730" spans="1:1">
      <c r="A1730" s="156" t="s">
        <v>3708</v>
      </c>
    </row>
    <row r="1731" spans="1:1">
      <c r="A1731" s="156" t="s">
        <v>3709</v>
      </c>
    </row>
    <row r="1732" spans="1:1">
      <c r="A1732" s="156" t="s">
        <v>3710</v>
      </c>
    </row>
    <row r="1733" spans="1:1">
      <c r="A1733" s="156" t="s">
        <v>3711</v>
      </c>
    </row>
    <row r="1734" spans="1:1">
      <c r="A1734" s="156" t="s">
        <v>3712</v>
      </c>
    </row>
    <row r="1735" spans="1:1">
      <c r="A1735" s="156" t="s">
        <v>3713</v>
      </c>
    </row>
    <row r="1736" spans="1:1">
      <c r="A1736" s="156" t="s">
        <v>3714</v>
      </c>
    </row>
    <row r="1737" spans="1:1">
      <c r="A1737" s="156" t="s">
        <v>3715</v>
      </c>
    </row>
    <row r="1738" spans="1:1">
      <c r="A1738" s="156" t="s">
        <v>3716</v>
      </c>
    </row>
    <row r="1739" spans="1:1">
      <c r="A1739" s="156" t="s">
        <v>3717</v>
      </c>
    </row>
    <row r="1740" spans="1:1">
      <c r="A1740" s="156" t="s">
        <v>3718</v>
      </c>
    </row>
    <row r="1741" spans="1:1">
      <c r="A1741" s="156" t="s">
        <v>3719</v>
      </c>
    </row>
    <row r="1742" spans="1:1">
      <c r="A1742" s="156" t="s">
        <v>3720</v>
      </c>
    </row>
    <row r="1743" spans="1:1">
      <c r="A1743" s="156" t="s">
        <v>3721</v>
      </c>
    </row>
    <row r="1744" spans="1:1">
      <c r="A1744" s="156" t="s">
        <v>3722</v>
      </c>
    </row>
    <row r="1745" spans="1:1">
      <c r="A1745" s="156" t="s">
        <v>3723</v>
      </c>
    </row>
    <row r="1746" spans="1:1">
      <c r="A1746" s="156" t="s">
        <v>3724</v>
      </c>
    </row>
    <row r="1747" spans="1:1">
      <c r="A1747" s="156" t="s">
        <v>3725</v>
      </c>
    </row>
    <row r="1748" spans="1:1">
      <c r="A1748" s="156" t="s">
        <v>3726</v>
      </c>
    </row>
    <row r="1749" spans="1:1">
      <c r="A1749" s="156" t="s">
        <v>3727</v>
      </c>
    </row>
    <row r="1750" spans="1:1">
      <c r="A1750" s="156" t="s">
        <v>3728</v>
      </c>
    </row>
    <row r="1751" spans="1:1">
      <c r="A1751" s="156" t="s">
        <v>3729</v>
      </c>
    </row>
    <row r="1752" spans="1:1">
      <c r="A1752" s="156" t="s">
        <v>3730</v>
      </c>
    </row>
    <row r="1753" spans="1:1">
      <c r="A1753" s="156" t="s">
        <v>3731</v>
      </c>
    </row>
    <row r="1754" spans="1:1">
      <c r="A1754" s="156" t="s">
        <v>3732</v>
      </c>
    </row>
    <row r="1755" spans="1:1">
      <c r="A1755" s="156" t="s">
        <v>3733</v>
      </c>
    </row>
    <row r="1756" spans="1:1">
      <c r="A1756" s="156" t="s">
        <v>3734</v>
      </c>
    </row>
    <row r="1757" spans="1:1">
      <c r="A1757" s="156" t="s">
        <v>3735</v>
      </c>
    </row>
    <row r="1758" spans="1:1">
      <c r="A1758" s="156" t="s">
        <v>3736</v>
      </c>
    </row>
    <row r="1759" spans="1:1">
      <c r="A1759" s="156" t="s">
        <v>3737</v>
      </c>
    </row>
    <row r="1760" spans="1:1">
      <c r="A1760" s="156" t="s">
        <v>3738</v>
      </c>
    </row>
    <row r="1761" spans="1:1">
      <c r="A1761" s="156" t="s">
        <v>3739</v>
      </c>
    </row>
    <row r="1762" spans="1:1">
      <c r="A1762" s="156" t="s">
        <v>3740</v>
      </c>
    </row>
    <row r="1763" spans="1:1">
      <c r="A1763" s="156" t="s">
        <v>3741</v>
      </c>
    </row>
    <row r="1764" spans="1:1">
      <c r="A1764" s="156" t="s">
        <v>3742</v>
      </c>
    </row>
    <row r="1765" spans="1:1">
      <c r="A1765" s="156" t="s">
        <v>3743</v>
      </c>
    </row>
    <row r="1766" spans="1:1">
      <c r="A1766" s="156" t="s">
        <v>3744</v>
      </c>
    </row>
    <row r="1767" spans="1:1">
      <c r="A1767" s="156" t="s">
        <v>3745</v>
      </c>
    </row>
    <row r="1768" spans="1:1">
      <c r="A1768" s="156" t="s">
        <v>3746</v>
      </c>
    </row>
    <row r="1769" spans="1:1">
      <c r="A1769" s="156" t="s">
        <v>3747</v>
      </c>
    </row>
    <row r="1770" spans="1:1">
      <c r="A1770" s="156" t="s">
        <v>3748</v>
      </c>
    </row>
    <row r="1771" spans="1:1">
      <c r="A1771" s="156" t="s">
        <v>3749</v>
      </c>
    </row>
    <row r="1772" spans="1:1">
      <c r="A1772" s="156" t="s">
        <v>3750</v>
      </c>
    </row>
    <row r="1773" spans="1:1">
      <c r="A1773" s="156" t="s">
        <v>3751</v>
      </c>
    </row>
    <row r="1774" spans="1:1">
      <c r="A1774" s="156" t="s">
        <v>3752</v>
      </c>
    </row>
    <row r="1775" spans="1:1">
      <c r="A1775" s="156" t="s">
        <v>3753</v>
      </c>
    </row>
    <row r="1776" spans="1:1">
      <c r="A1776" s="156" t="s">
        <v>3754</v>
      </c>
    </row>
    <row r="1777" spans="1:1">
      <c r="A1777" s="156" t="s">
        <v>3755</v>
      </c>
    </row>
    <row r="1778" spans="1:1">
      <c r="A1778" s="156" t="s">
        <v>3756</v>
      </c>
    </row>
    <row r="1779" spans="1:1">
      <c r="A1779" s="156" t="s">
        <v>3757</v>
      </c>
    </row>
    <row r="1780" spans="1:1">
      <c r="A1780" s="156" t="s">
        <v>3758</v>
      </c>
    </row>
    <row r="1781" spans="1:1">
      <c r="A1781" s="156" t="s">
        <v>3759</v>
      </c>
    </row>
    <row r="1782" spans="1:1">
      <c r="A1782" s="156" t="s">
        <v>3760</v>
      </c>
    </row>
    <row r="1783" spans="1:1">
      <c r="A1783" s="156" t="s">
        <v>3761</v>
      </c>
    </row>
    <row r="1784" spans="1:1">
      <c r="A1784" s="156" t="s">
        <v>3762</v>
      </c>
    </row>
    <row r="1785" spans="1:1">
      <c r="A1785" s="156" t="s">
        <v>3763</v>
      </c>
    </row>
    <row r="1786" spans="1:1">
      <c r="A1786" s="156" t="s">
        <v>3764</v>
      </c>
    </row>
    <row r="1787" spans="1:1">
      <c r="A1787" s="156" t="s">
        <v>3765</v>
      </c>
    </row>
    <row r="1788" spans="1:1">
      <c r="A1788" s="156" t="s">
        <v>3766</v>
      </c>
    </row>
    <row r="1789" spans="1:1">
      <c r="A1789" s="156" t="s">
        <v>3767</v>
      </c>
    </row>
    <row r="1790" spans="1:1">
      <c r="A1790" s="156" t="s">
        <v>3768</v>
      </c>
    </row>
    <row r="1791" spans="1:1">
      <c r="A1791" s="156" t="s">
        <v>3769</v>
      </c>
    </row>
    <row r="1792" spans="1:1">
      <c r="A1792" s="156" t="s">
        <v>3770</v>
      </c>
    </row>
    <row r="1793" spans="1:1">
      <c r="A1793" s="156" t="s">
        <v>3771</v>
      </c>
    </row>
    <row r="1794" spans="1:1">
      <c r="A1794" s="156" t="s">
        <v>3772</v>
      </c>
    </row>
    <row r="1795" spans="1:1">
      <c r="A1795" s="156" t="s">
        <v>3773</v>
      </c>
    </row>
    <row r="1796" spans="1:1">
      <c r="A1796" s="156" t="s">
        <v>3774</v>
      </c>
    </row>
    <row r="1797" spans="1:1">
      <c r="A1797" s="156" t="s">
        <v>3775</v>
      </c>
    </row>
    <row r="1798" spans="1:1">
      <c r="A1798" s="156" t="s">
        <v>3776</v>
      </c>
    </row>
    <row r="1799" spans="1:1">
      <c r="A1799" s="156" t="s">
        <v>3777</v>
      </c>
    </row>
    <row r="1800" spans="1:1">
      <c r="A1800" s="156" t="s">
        <v>3778</v>
      </c>
    </row>
    <row r="1801" spans="1:1">
      <c r="A1801" s="156" t="s">
        <v>3779</v>
      </c>
    </row>
    <row r="1802" spans="1:1">
      <c r="A1802" s="156" t="s">
        <v>3780</v>
      </c>
    </row>
    <row r="1803" spans="1:1">
      <c r="A1803" s="156" t="s">
        <v>3781</v>
      </c>
    </row>
    <row r="1804" spans="1:1">
      <c r="A1804" s="156" t="s">
        <v>3782</v>
      </c>
    </row>
    <row r="1805" spans="1:1">
      <c r="A1805" s="156" t="s">
        <v>3783</v>
      </c>
    </row>
    <row r="1806" spans="1:1">
      <c r="A1806" s="156" t="s">
        <v>3784</v>
      </c>
    </row>
    <row r="1807" spans="1:1">
      <c r="A1807" s="156" t="s">
        <v>3785</v>
      </c>
    </row>
    <row r="1808" spans="1:1">
      <c r="A1808" s="156" t="s">
        <v>3786</v>
      </c>
    </row>
    <row r="1809" spans="1:1">
      <c r="A1809" s="156" t="s">
        <v>3787</v>
      </c>
    </row>
    <row r="1810" spans="1:1">
      <c r="A1810" s="156" t="s">
        <v>3788</v>
      </c>
    </row>
    <row r="1811" spans="1:1">
      <c r="A1811" s="156" t="s">
        <v>3789</v>
      </c>
    </row>
    <row r="1812" spans="1:1">
      <c r="A1812" s="156" t="s">
        <v>3790</v>
      </c>
    </row>
    <row r="1813" spans="1:1">
      <c r="A1813" s="156" t="s">
        <v>3791</v>
      </c>
    </row>
    <row r="1814" spans="1:1">
      <c r="A1814" s="156" t="s">
        <v>3792</v>
      </c>
    </row>
    <row r="1815" spans="1:1">
      <c r="A1815" s="156" t="s">
        <v>3793</v>
      </c>
    </row>
    <row r="1816" spans="1:1">
      <c r="A1816" s="156" t="s">
        <v>3794</v>
      </c>
    </row>
    <row r="1817" spans="1:1">
      <c r="A1817" s="156" t="s">
        <v>3795</v>
      </c>
    </row>
    <row r="1818" spans="1:1">
      <c r="A1818" s="156" t="s">
        <v>3796</v>
      </c>
    </row>
    <row r="1819" spans="1:1">
      <c r="A1819" s="156" t="s">
        <v>3797</v>
      </c>
    </row>
    <row r="1820" spans="1:1">
      <c r="A1820" s="156" t="s">
        <v>3798</v>
      </c>
    </row>
    <row r="1821" spans="1:1">
      <c r="A1821" s="156" t="s">
        <v>3799</v>
      </c>
    </row>
    <row r="1822" spans="1:1">
      <c r="A1822" s="156" t="s">
        <v>3800</v>
      </c>
    </row>
    <row r="1823" spans="1:1">
      <c r="A1823" s="156" t="s">
        <v>3801</v>
      </c>
    </row>
    <row r="1824" spans="1:1">
      <c r="A1824" s="156" t="s">
        <v>3802</v>
      </c>
    </row>
    <row r="1825" spans="1:1">
      <c r="A1825" s="156" t="s">
        <v>3803</v>
      </c>
    </row>
    <row r="1826" spans="1:1">
      <c r="A1826" s="156" t="s">
        <v>3804</v>
      </c>
    </row>
    <row r="1827" spans="1:1">
      <c r="A1827" s="156" t="s">
        <v>3805</v>
      </c>
    </row>
    <row r="1828" spans="1:1">
      <c r="A1828" s="156" t="s">
        <v>3806</v>
      </c>
    </row>
    <row r="1829" spans="1:1">
      <c r="A1829" s="156" t="s">
        <v>3807</v>
      </c>
    </row>
    <row r="1830" spans="1:1">
      <c r="A1830" s="156" t="s">
        <v>3808</v>
      </c>
    </row>
    <row r="1831" spans="1:1">
      <c r="A1831" s="156" t="s">
        <v>3809</v>
      </c>
    </row>
    <row r="1832" spans="1:1">
      <c r="A1832" s="156" t="s">
        <v>3810</v>
      </c>
    </row>
    <row r="1833" spans="1:1">
      <c r="A1833" s="156" t="s">
        <v>3811</v>
      </c>
    </row>
    <row r="1834" spans="1:1">
      <c r="A1834" s="156" t="s">
        <v>3812</v>
      </c>
    </row>
    <row r="1835" spans="1:1">
      <c r="A1835" s="156" t="s">
        <v>3813</v>
      </c>
    </row>
    <row r="1836" spans="1:1">
      <c r="A1836" s="156" t="s">
        <v>3814</v>
      </c>
    </row>
    <row r="1837" spans="1:1">
      <c r="A1837" s="156" t="s">
        <v>3815</v>
      </c>
    </row>
    <row r="1838" spans="1:1">
      <c r="A1838" s="156" t="s">
        <v>3816</v>
      </c>
    </row>
    <row r="1839" spans="1:1">
      <c r="A1839" s="156" t="s">
        <v>3817</v>
      </c>
    </row>
    <row r="1840" spans="1:1">
      <c r="A1840" s="156" t="s">
        <v>3818</v>
      </c>
    </row>
    <row r="1841" spans="1:1">
      <c r="A1841" s="156" t="s">
        <v>3819</v>
      </c>
    </row>
    <row r="1842" spans="1:1">
      <c r="A1842" s="156" t="s">
        <v>3820</v>
      </c>
    </row>
    <row r="1843" spans="1:1">
      <c r="A1843" s="156" t="s">
        <v>3821</v>
      </c>
    </row>
    <row r="1844" spans="1:1">
      <c r="A1844" s="156" t="s">
        <v>3822</v>
      </c>
    </row>
    <row r="1845" spans="1:1">
      <c r="A1845" s="156" t="s">
        <v>3823</v>
      </c>
    </row>
    <row r="1846" spans="1:1">
      <c r="A1846" s="156" t="s">
        <v>3824</v>
      </c>
    </row>
    <row r="1847" spans="1:1">
      <c r="A1847" s="156" t="s">
        <v>3825</v>
      </c>
    </row>
    <row r="1848" spans="1:1">
      <c r="A1848" s="156" t="s">
        <v>3826</v>
      </c>
    </row>
    <row r="1849" spans="1:1">
      <c r="A1849" s="156" t="s">
        <v>3827</v>
      </c>
    </row>
    <row r="1850" spans="1:1">
      <c r="A1850" s="156" t="s">
        <v>3828</v>
      </c>
    </row>
    <row r="1851" spans="1:1">
      <c r="A1851" s="156" t="s">
        <v>3829</v>
      </c>
    </row>
    <row r="1852" spans="1:1">
      <c r="A1852" s="156" t="s">
        <v>3830</v>
      </c>
    </row>
    <row r="1853" spans="1:1">
      <c r="A1853" s="156" t="s">
        <v>3831</v>
      </c>
    </row>
    <row r="1854" spans="1:1">
      <c r="A1854" s="156" t="s">
        <v>3832</v>
      </c>
    </row>
    <row r="1855" spans="1:1">
      <c r="A1855" s="156" t="s">
        <v>3833</v>
      </c>
    </row>
    <row r="1856" spans="1:1">
      <c r="A1856" s="156" t="s">
        <v>3834</v>
      </c>
    </row>
    <row r="1857" spans="1:1">
      <c r="A1857" s="156" t="s">
        <v>3835</v>
      </c>
    </row>
    <row r="1858" spans="1:1">
      <c r="A1858" s="156" t="s">
        <v>3836</v>
      </c>
    </row>
    <row r="1859" spans="1:1">
      <c r="A1859" s="156" t="s">
        <v>3837</v>
      </c>
    </row>
    <row r="1860" spans="1:1">
      <c r="A1860" s="156" t="s">
        <v>3838</v>
      </c>
    </row>
    <row r="1861" spans="1:1">
      <c r="A1861" s="156" t="s">
        <v>3839</v>
      </c>
    </row>
    <row r="1862" spans="1:1">
      <c r="A1862" s="156" t="s">
        <v>3840</v>
      </c>
    </row>
    <row r="1863" spans="1:1">
      <c r="A1863" s="156" t="s">
        <v>3841</v>
      </c>
    </row>
    <row r="1864" spans="1:1">
      <c r="A1864" s="156" t="s">
        <v>3842</v>
      </c>
    </row>
    <row r="1865" spans="1:1">
      <c r="A1865" s="156" t="s">
        <v>3843</v>
      </c>
    </row>
    <row r="1866" spans="1:1">
      <c r="A1866" s="156" t="s">
        <v>3844</v>
      </c>
    </row>
    <row r="1867" spans="1:1">
      <c r="A1867" s="156" t="s">
        <v>3845</v>
      </c>
    </row>
    <row r="1868" spans="1:1">
      <c r="A1868" s="156" t="s">
        <v>3846</v>
      </c>
    </row>
    <row r="1869" spans="1:1">
      <c r="A1869" s="156" t="s">
        <v>3847</v>
      </c>
    </row>
    <row r="1870" spans="1:1">
      <c r="A1870" s="156" t="s">
        <v>3848</v>
      </c>
    </row>
    <row r="1871" spans="1:1">
      <c r="A1871" s="156" t="s">
        <v>3849</v>
      </c>
    </row>
    <row r="1872" spans="1:1">
      <c r="A1872" s="156" t="s">
        <v>3850</v>
      </c>
    </row>
    <row r="1873" spans="1:1">
      <c r="A1873" s="156" t="s">
        <v>3851</v>
      </c>
    </row>
    <row r="1874" spans="1:1">
      <c r="A1874" s="156" t="s">
        <v>3852</v>
      </c>
    </row>
    <row r="1875" spans="1:1">
      <c r="A1875" s="156" t="s">
        <v>3853</v>
      </c>
    </row>
    <row r="1876" spans="1:1">
      <c r="A1876" s="156" t="s">
        <v>3854</v>
      </c>
    </row>
    <row r="1877" spans="1:1">
      <c r="A1877" s="156" t="s">
        <v>3855</v>
      </c>
    </row>
    <row r="1878" spans="1:1">
      <c r="A1878" s="156" t="s">
        <v>3856</v>
      </c>
    </row>
    <row r="1879" spans="1:1">
      <c r="A1879" s="156" t="s">
        <v>3857</v>
      </c>
    </row>
    <row r="1880" spans="1:1">
      <c r="A1880" s="156" t="s">
        <v>3858</v>
      </c>
    </row>
    <row r="1881" spans="1:1">
      <c r="A1881" s="156" t="s">
        <v>3859</v>
      </c>
    </row>
    <row r="1882" spans="1:1">
      <c r="A1882" s="156" t="s">
        <v>3860</v>
      </c>
    </row>
    <row r="1883" spans="1:1">
      <c r="A1883" s="156" t="s">
        <v>3861</v>
      </c>
    </row>
    <row r="1884" spans="1:1">
      <c r="A1884" s="156" t="s">
        <v>3862</v>
      </c>
    </row>
    <row r="1885" spans="1:1">
      <c r="A1885" s="156" t="s">
        <v>3863</v>
      </c>
    </row>
    <row r="1886" spans="1:1">
      <c r="A1886" s="156" t="s">
        <v>3864</v>
      </c>
    </row>
    <row r="1887" spans="1:1">
      <c r="A1887" s="156" t="s">
        <v>3865</v>
      </c>
    </row>
    <row r="1888" spans="1:1">
      <c r="A1888" s="156" t="s">
        <v>3866</v>
      </c>
    </row>
    <row r="1889" spans="1:1">
      <c r="A1889" s="156" t="s">
        <v>3867</v>
      </c>
    </row>
    <row r="1890" spans="1:1">
      <c r="A1890" s="156" t="s">
        <v>3868</v>
      </c>
    </row>
    <row r="1891" spans="1:1">
      <c r="A1891" s="156" t="s">
        <v>3869</v>
      </c>
    </row>
    <row r="1892" spans="1:1">
      <c r="A1892" s="156" t="s">
        <v>3870</v>
      </c>
    </row>
    <row r="1893" spans="1:1">
      <c r="A1893" s="156" t="s">
        <v>3871</v>
      </c>
    </row>
    <row r="1894" spans="1:1">
      <c r="A1894" s="156" t="s">
        <v>3872</v>
      </c>
    </row>
    <row r="1895" spans="1:1">
      <c r="A1895" s="156" t="s">
        <v>3873</v>
      </c>
    </row>
    <row r="1896" spans="1:1">
      <c r="A1896" s="156" t="s">
        <v>3874</v>
      </c>
    </row>
    <row r="1897" spans="1:1">
      <c r="A1897" s="156" t="s">
        <v>3875</v>
      </c>
    </row>
    <row r="1898" spans="1:1">
      <c r="A1898" s="156" t="s">
        <v>3876</v>
      </c>
    </row>
    <row r="1899" spans="1:1">
      <c r="A1899" s="156" t="s">
        <v>3877</v>
      </c>
    </row>
    <row r="1900" spans="1:1">
      <c r="A1900" s="156" t="s">
        <v>3878</v>
      </c>
    </row>
    <row r="1901" spans="1:1">
      <c r="A1901" s="156" t="s">
        <v>3879</v>
      </c>
    </row>
    <row r="1902" spans="1:1">
      <c r="A1902" s="156" t="s">
        <v>3880</v>
      </c>
    </row>
    <row r="1903" spans="1:1">
      <c r="A1903" s="156" t="s">
        <v>3881</v>
      </c>
    </row>
    <row r="1904" spans="1:1">
      <c r="A1904" s="156" t="s">
        <v>3882</v>
      </c>
    </row>
    <row r="1905" spans="1:1">
      <c r="A1905" s="156" t="s">
        <v>3883</v>
      </c>
    </row>
    <row r="1906" spans="1:1">
      <c r="A1906" s="156" t="s">
        <v>3884</v>
      </c>
    </row>
    <row r="1907" spans="1:1">
      <c r="A1907" s="156" t="s">
        <v>3885</v>
      </c>
    </row>
    <row r="1908" spans="1:1">
      <c r="A1908" s="156" t="s">
        <v>3886</v>
      </c>
    </row>
    <row r="1909" spans="1:1">
      <c r="A1909" s="156" t="s">
        <v>3887</v>
      </c>
    </row>
    <row r="1910" spans="1:1">
      <c r="A1910" s="156" t="s">
        <v>3888</v>
      </c>
    </row>
    <row r="1911" spans="1:1">
      <c r="A1911" s="156" t="s">
        <v>3889</v>
      </c>
    </row>
    <row r="1912" spans="1:1">
      <c r="A1912" s="156" t="s">
        <v>3890</v>
      </c>
    </row>
    <row r="1913" spans="1:1">
      <c r="A1913" s="156" t="s">
        <v>3891</v>
      </c>
    </row>
    <row r="1914" spans="1:1">
      <c r="A1914" s="156" t="s">
        <v>3892</v>
      </c>
    </row>
    <row r="1915" spans="1:1">
      <c r="A1915" s="156" t="s">
        <v>3893</v>
      </c>
    </row>
    <row r="1916" spans="1:1">
      <c r="A1916" s="156" t="s">
        <v>3894</v>
      </c>
    </row>
    <row r="1917" spans="1:1">
      <c r="A1917" s="156" t="s">
        <v>3895</v>
      </c>
    </row>
    <row r="1918" spans="1:1">
      <c r="A1918" s="156" t="s">
        <v>3896</v>
      </c>
    </row>
    <row r="1919" spans="1:1">
      <c r="A1919" s="156" t="s">
        <v>3897</v>
      </c>
    </row>
    <row r="1920" spans="1:1">
      <c r="A1920" s="156" t="s">
        <v>3898</v>
      </c>
    </row>
    <row r="1921" spans="1:1">
      <c r="A1921" s="156" t="s">
        <v>3899</v>
      </c>
    </row>
    <row r="1922" spans="1:1">
      <c r="A1922" s="156" t="s">
        <v>3900</v>
      </c>
    </row>
    <row r="1923" spans="1:1">
      <c r="A1923" s="156" t="s">
        <v>3901</v>
      </c>
    </row>
    <row r="1924" spans="1:1">
      <c r="A1924" s="156" t="s">
        <v>3902</v>
      </c>
    </row>
    <row r="1925" spans="1:1">
      <c r="A1925" s="156" t="s">
        <v>3903</v>
      </c>
    </row>
    <row r="1926" spans="1:1">
      <c r="A1926" s="156" t="s">
        <v>3904</v>
      </c>
    </row>
    <row r="1927" spans="1:1">
      <c r="A1927" s="156" t="s">
        <v>3905</v>
      </c>
    </row>
    <row r="1928" spans="1:1">
      <c r="A1928" s="156" t="s">
        <v>3906</v>
      </c>
    </row>
    <row r="1929" spans="1:1">
      <c r="A1929" s="156" t="s">
        <v>3907</v>
      </c>
    </row>
    <row r="1930" spans="1:1">
      <c r="A1930" s="156" t="s">
        <v>3908</v>
      </c>
    </row>
    <row r="1931" spans="1:1">
      <c r="A1931" s="156" t="s">
        <v>3909</v>
      </c>
    </row>
    <row r="1932" spans="1:1">
      <c r="A1932" s="156" t="s">
        <v>3910</v>
      </c>
    </row>
    <row r="1933" spans="1:1">
      <c r="A1933" s="156" t="s">
        <v>3911</v>
      </c>
    </row>
    <row r="1934" spans="1:1">
      <c r="A1934" s="156" t="s">
        <v>3912</v>
      </c>
    </row>
    <row r="1935" spans="1:1">
      <c r="A1935" s="156" t="s">
        <v>3913</v>
      </c>
    </row>
    <row r="1936" spans="1:1">
      <c r="A1936" s="156" t="s">
        <v>3914</v>
      </c>
    </row>
    <row r="1937" spans="1:1">
      <c r="A1937" s="156" t="s">
        <v>3915</v>
      </c>
    </row>
    <row r="1938" spans="1:1">
      <c r="A1938" s="156" t="s">
        <v>3916</v>
      </c>
    </row>
    <row r="1939" spans="1:1">
      <c r="A1939" s="156" t="s">
        <v>3917</v>
      </c>
    </row>
    <row r="1940" spans="1:1">
      <c r="A1940" s="156" t="s">
        <v>3918</v>
      </c>
    </row>
    <row r="1941" spans="1:1">
      <c r="A1941" s="156" t="s">
        <v>3919</v>
      </c>
    </row>
    <row r="1942" spans="1:1">
      <c r="A1942" s="156" t="s">
        <v>3920</v>
      </c>
    </row>
    <row r="1943" spans="1:1">
      <c r="A1943" s="156" t="s">
        <v>3921</v>
      </c>
    </row>
    <row r="1944" spans="1:1">
      <c r="A1944" s="156" t="s">
        <v>3922</v>
      </c>
    </row>
    <row r="1945" spans="1:1">
      <c r="A1945" s="156" t="s">
        <v>3923</v>
      </c>
    </row>
    <row r="1946" spans="1:1">
      <c r="A1946" s="156" t="s">
        <v>3924</v>
      </c>
    </row>
    <row r="1947" spans="1:1">
      <c r="A1947" s="156" t="s">
        <v>3925</v>
      </c>
    </row>
    <row r="1948" spans="1:1">
      <c r="A1948" s="156" t="s">
        <v>3926</v>
      </c>
    </row>
    <row r="1949" spans="1:1">
      <c r="A1949" s="156" t="s">
        <v>3927</v>
      </c>
    </row>
    <row r="1950" spans="1:1">
      <c r="A1950" s="156" t="s">
        <v>3928</v>
      </c>
    </row>
    <row r="1951" spans="1:1">
      <c r="A1951" s="156" t="s">
        <v>3929</v>
      </c>
    </row>
    <row r="1952" spans="1:1">
      <c r="A1952" s="156" t="s">
        <v>3930</v>
      </c>
    </row>
    <row r="1953" spans="1:1">
      <c r="A1953" s="156" t="s">
        <v>3931</v>
      </c>
    </row>
    <row r="1954" spans="1:1">
      <c r="A1954" s="156" t="s">
        <v>3932</v>
      </c>
    </row>
    <row r="1955" spans="1:1">
      <c r="A1955" s="156" t="s">
        <v>3933</v>
      </c>
    </row>
    <row r="1956" spans="1:1">
      <c r="A1956" s="156" t="s">
        <v>3934</v>
      </c>
    </row>
    <row r="1957" spans="1:1">
      <c r="A1957" s="156" t="s">
        <v>3935</v>
      </c>
    </row>
    <row r="1958" spans="1:1">
      <c r="A1958" s="156" t="s">
        <v>3936</v>
      </c>
    </row>
    <row r="1959" spans="1:1">
      <c r="A1959" s="156" t="s">
        <v>3937</v>
      </c>
    </row>
    <row r="1960" spans="1:1">
      <c r="A1960" s="156" t="s">
        <v>3938</v>
      </c>
    </row>
    <row r="1961" spans="1:1">
      <c r="A1961" s="156" t="s">
        <v>3939</v>
      </c>
    </row>
    <row r="1962" spans="1:1">
      <c r="A1962" s="156" t="s">
        <v>3940</v>
      </c>
    </row>
    <row r="1963" spans="1:1">
      <c r="A1963" s="156" t="s">
        <v>3941</v>
      </c>
    </row>
    <row r="1964" spans="1:1">
      <c r="A1964" s="156" t="s">
        <v>3942</v>
      </c>
    </row>
    <row r="1965" spans="1:1">
      <c r="A1965" s="156" t="s">
        <v>3943</v>
      </c>
    </row>
    <row r="1966" spans="1:1">
      <c r="A1966" s="156" t="s">
        <v>3944</v>
      </c>
    </row>
    <row r="1967" spans="1:1">
      <c r="A1967" s="156" t="s">
        <v>3945</v>
      </c>
    </row>
    <row r="1968" spans="1:1">
      <c r="A1968" s="156" t="s">
        <v>3946</v>
      </c>
    </row>
    <row r="1969" spans="1:1">
      <c r="A1969" s="156" t="s">
        <v>3947</v>
      </c>
    </row>
    <row r="1970" spans="1:1">
      <c r="A1970" s="156" t="s">
        <v>3948</v>
      </c>
    </row>
    <row r="1971" spans="1:1">
      <c r="A1971" s="156" t="s">
        <v>3949</v>
      </c>
    </row>
    <row r="1972" spans="1:1">
      <c r="A1972" s="156" t="s">
        <v>3950</v>
      </c>
    </row>
    <row r="1973" spans="1:1">
      <c r="A1973" s="156" t="s">
        <v>3951</v>
      </c>
    </row>
    <row r="1974" spans="1:1">
      <c r="A1974" s="156" t="s">
        <v>3952</v>
      </c>
    </row>
    <row r="1975" spans="1:1">
      <c r="A1975" s="156" t="s">
        <v>3953</v>
      </c>
    </row>
    <row r="1976" spans="1:1">
      <c r="A1976" s="156" t="s">
        <v>3954</v>
      </c>
    </row>
    <row r="1977" spans="1:1">
      <c r="A1977" s="156" t="s">
        <v>3955</v>
      </c>
    </row>
    <row r="1978" spans="1:1">
      <c r="A1978" s="156" t="s">
        <v>3956</v>
      </c>
    </row>
    <row r="1979" spans="1:1">
      <c r="A1979" s="156" t="s">
        <v>3957</v>
      </c>
    </row>
    <row r="1980" spans="1:1">
      <c r="A1980" s="156" t="s">
        <v>3958</v>
      </c>
    </row>
    <row r="1981" spans="1:1">
      <c r="A1981" s="156" t="s">
        <v>3959</v>
      </c>
    </row>
    <row r="1982" spans="1:1">
      <c r="A1982" s="156" t="s">
        <v>3960</v>
      </c>
    </row>
    <row r="1983" spans="1:1">
      <c r="A1983" s="156" t="s">
        <v>3961</v>
      </c>
    </row>
    <row r="1984" spans="1:1">
      <c r="A1984" s="156" t="s">
        <v>3962</v>
      </c>
    </row>
    <row r="1985" spans="1:1">
      <c r="A1985" s="156" t="s">
        <v>3963</v>
      </c>
    </row>
    <row r="1986" spans="1:1">
      <c r="A1986" s="156" t="s">
        <v>3964</v>
      </c>
    </row>
    <row r="1987" spans="1:1">
      <c r="A1987" s="156" t="s">
        <v>3965</v>
      </c>
    </row>
    <row r="1988" spans="1:1">
      <c r="A1988" s="156" t="s">
        <v>3966</v>
      </c>
    </row>
    <row r="1989" spans="1:1">
      <c r="A1989" s="156" t="s">
        <v>3967</v>
      </c>
    </row>
    <row r="1990" spans="1:1">
      <c r="A1990" s="156" t="s">
        <v>3968</v>
      </c>
    </row>
    <row r="1991" spans="1:1">
      <c r="A1991" s="156" t="s">
        <v>3969</v>
      </c>
    </row>
    <row r="1992" spans="1:1">
      <c r="A1992" s="156" t="s">
        <v>3970</v>
      </c>
    </row>
    <row r="1993" spans="1:1">
      <c r="A1993" s="156" t="s">
        <v>3971</v>
      </c>
    </row>
    <row r="1994" spans="1:1">
      <c r="A1994" s="156" t="s">
        <v>3972</v>
      </c>
    </row>
    <row r="1995" spans="1:1">
      <c r="A1995" s="156" t="s">
        <v>3973</v>
      </c>
    </row>
    <row r="1996" spans="1:1">
      <c r="A1996" s="156" t="s">
        <v>3974</v>
      </c>
    </row>
    <row r="1997" spans="1:1">
      <c r="A1997" s="156" t="s">
        <v>3975</v>
      </c>
    </row>
    <row r="1998" spans="1:1">
      <c r="A1998" s="156" t="s">
        <v>3976</v>
      </c>
    </row>
    <row r="1999" spans="1:1">
      <c r="A1999" s="156" t="s">
        <v>3977</v>
      </c>
    </row>
    <row r="2000" spans="1:1">
      <c r="A2000" s="156" t="s">
        <v>3978</v>
      </c>
    </row>
    <row r="2001" spans="1:1">
      <c r="A2001" s="156" t="s">
        <v>3979</v>
      </c>
    </row>
    <row r="2002" spans="1:1">
      <c r="A2002" s="156" t="s">
        <v>3980</v>
      </c>
    </row>
    <row r="2003" spans="1:1">
      <c r="A2003" s="156" t="s">
        <v>3981</v>
      </c>
    </row>
    <row r="2004" spans="1:1">
      <c r="A2004" s="156" t="s">
        <v>3982</v>
      </c>
    </row>
    <row r="2005" spans="1:1">
      <c r="A2005" s="156" t="s">
        <v>3983</v>
      </c>
    </row>
    <row r="2006" spans="1:1">
      <c r="A2006" s="156" t="s">
        <v>3984</v>
      </c>
    </row>
    <row r="2007" spans="1:1">
      <c r="A2007" s="156" t="s">
        <v>3985</v>
      </c>
    </row>
    <row r="2008" spans="1:1">
      <c r="A2008" s="156" t="s">
        <v>3986</v>
      </c>
    </row>
    <row r="2009" spans="1:1">
      <c r="A2009" s="156" t="s">
        <v>3987</v>
      </c>
    </row>
    <row r="2010" spans="1:1">
      <c r="A2010" s="156" t="s">
        <v>3988</v>
      </c>
    </row>
    <row r="2011" spans="1:1">
      <c r="A2011" s="156" t="s">
        <v>3989</v>
      </c>
    </row>
    <row r="2012" spans="1:1">
      <c r="A2012" s="156" t="s">
        <v>3990</v>
      </c>
    </row>
    <row r="2013" spans="1:1">
      <c r="A2013" s="156" t="s">
        <v>3991</v>
      </c>
    </row>
    <row r="2014" spans="1:1">
      <c r="A2014" s="156" t="s">
        <v>3992</v>
      </c>
    </row>
    <row r="2015" spans="1:1">
      <c r="A2015" s="156" t="s">
        <v>3993</v>
      </c>
    </row>
    <row r="2016" spans="1:1">
      <c r="A2016" s="156" t="s">
        <v>3994</v>
      </c>
    </row>
    <row r="2017" spans="1:1">
      <c r="A2017" s="156" t="s">
        <v>3995</v>
      </c>
    </row>
    <row r="2018" spans="1:1">
      <c r="A2018" s="156" t="s">
        <v>3996</v>
      </c>
    </row>
    <row r="2019" spans="1:1">
      <c r="A2019" s="156" t="s">
        <v>3997</v>
      </c>
    </row>
    <row r="2020" spans="1:1">
      <c r="A2020" s="156" t="s">
        <v>3998</v>
      </c>
    </row>
    <row r="2021" spans="1:1">
      <c r="A2021" s="156" t="s">
        <v>3999</v>
      </c>
    </row>
    <row r="2022" spans="1:1">
      <c r="A2022" s="156" t="s">
        <v>4000</v>
      </c>
    </row>
    <row r="2023" spans="1:1">
      <c r="A2023" s="156" t="s">
        <v>4001</v>
      </c>
    </row>
    <row r="2024" spans="1:1">
      <c r="A2024" s="156" t="s">
        <v>4002</v>
      </c>
    </row>
    <row r="2025" spans="1:1">
      <c r="A2025" s="156" t="s">
        <v>4003</v>
      </c>
    </row>
    <row r="2026" spans="1:1">
      <c r="A2026" s="156" t="s">
        <v>4004</v>
      </c>
    </row>
    <row r="2027" spans="1:1">
      <c r="A2027" s="156" t="s">
        <v>4005</v>
      </c>
    </row>
    <row r="2028" spans="1:1">
      <c r="A2028" s="156" t="s">
        <v>4006</v>
      </c>
    </row>
    <row r="2029" spans="1:1">
      <c r="A2029" s="156" t="s">
        <v>4007</v>
      </c>
    </row>
    <row r="2030" spans="1:1">
      <c r="A2030" s="156" t="s">
        <v>4008</v>
      </c>
    </row>
    <row r="2031" spans="1:1">
      <c r="A2031" s="156" t="s">
        <v>4009</v>
      </c>
    </row>
    <row r="2032" spans="1:1">
      <c r="A2032" s="156" t="s">
        <v>4010</v>
      </c>
    </row>
    <row r="2033" spans="1:1">
      <c r="A2033" s="156" t="s">
        <v>4011</v>
      </c>
    </row>
    <row r="2034" spans="1:1">
      <c r="A2034" s="156" t="s">
        <v>4012</v>
      </c>
    </row>
    <row r="2035" spans="1:1">
      <c r="A2035" s="156" t="s">
        <v>4013</v>
      </c>
    </row>
    <row r="2036" spans="1:1">
      <c r="A2036" s="156" t="s">
        <v>4014</v>
      </c>
    </row>
    <row r="2037" spans="1:1">
      <c r="A2037" s="156" t="s">
        <v>4015</v>
      </c>
    </row>
    <row r="2038" spans="1:1">
      <c r="A2038" s="156" t="s">
        <v>4016</v>
      </c>
    </row>
    <row r="2039" spans="1:1">
      <c r="A2039" s="156" t="s">
        <v>4017</v>
      </c>
    </row>
    <row r="2040" spans="1:1">
      <c r="A2040" s="156" t="s">
        <v>4018</v>
      </c>
    </row>
    <row r="2041" spans="1:1">
      <c r="A2041" s="156" t="s">
        <v>4019</v>
      </c>
    </row>
    <row r="2042" spans="1:1">
      <c r="A2042" s="156" t="s">
        <v>4020</v>
      </c>
    </row>
    <row r="2043" spans="1:1">
      <c r="A2043" s="156" t="s">
        <v>4021</v>
      </c>
    </row>
    <row r="2044" spans="1:1">
      <c r="A2044" s="156" t="s">
        <v>4022</v>
      </c>
    </row>
    <row r="2045" spans="1:1">
      <c r="A2045" s="156" t="s">
        <v>4023</v>
      </c>
    </row>
    <row r="2046" spans="1:1">
      <c r="A2046" s="156" t="s">
        <v>4024</v>
      </c>
    </row>
    <row r="2047" spans="1:1">
      <c r="A2047" s="156" t="s">
        <v>4025</v>
      </c>
    </row>
    <row r="2048" spans="1:1">
      <c r="A2048" s="156" t="s">
        <v>4026</v>
      </c>
    </row>
    <row r="2049" spans="1:1">
      <c r="A2049" s="156" t="s">
        <v>4027</v>
      </c>
    </row>
    <row r="2050" spans="1:1">
      <c r="A2050" s="156" t="s">
        <v>4028</v>
      </c>
    </row>
    <row r="2051" spans="1:1">
      <c r="A2051" s="156" t="s">
        <v>4029</v>
      </c>
    </row>
    <row r="2052" spans="1:1">
      <c r="A2052" s="156" t="s">
        <v>4030</v>
      </c>
    </row>
    <row r="2053" spans="1:1">
      <c r="A2053" s="156" t="s">
        <v>4031</v>
      </c>
    </row>
    <row r="2054" spans="1:1">
      <c r="A2054" s="156" t="s">
        <v>4032</v>
      </c>
    </row>
    <row r="2055" spans="1:1">
      <c r="A2055" s="156" t="s">
        <v>4033</v>
      </c>
    </row>
    <row r="2056" spans="1:1">
      <c r="A2056" s="156" t="s">
        <v>4034</v>
      </c>
    </row>
    <row r="2057" spans="1:1">
      <c r="A2057" s="156" t="s">
        <v>4035</v>
      </c>
    </row>
    <row r="2058" spans="1:1">
      <c r="A2058" s="156" t="s">
        <v>4036</v>
      </c>
    </row>
    <row r="2059" spans="1:1">
      <c r="A2059" s="156" t="s">
        <v>4037</v>
      </c>
    </row>
    <row r="2060" spans="1:1">
      <c r="A2060" s="156" t="s">
        <v>4038</v>
      </c>
    </row>
    <row r="2061" spans="1:1">
      <c r="A2061" s="156" t="s">
        <v>4039</v>
      </c>
    </row>
    <row r="2062" spans="1:1">
      <c r="A2062" s="156" t="s">
        <v>4040</v>
      </c>
    </row>
    <row r="2063" spans="1:1">
      <c r="A2063" s="156" t="s">
        <v>4041</v>
      </c>
    </row>
    <row r="2064" spans="1:1">
      <c r="A2064" s="156" t="s">
        <v>4042</v>
      </c>
    </row>
    <row r="2065" spans="1:1">
      <c r="A2065" s="156" t="s">
        <v>4043</v>
      </c>
    </row>
    <row r="2066" spans="1:1">
      <c r="A2066" s="156" t="s">
        <v>4044</v>
      </c>
    </row>
    <row r="2067" spans="1:1">
      <c r="A2067" s="156" t="s">
        <v>4045</v>
      </c>
    </row>
    <row r="2068" spans="1:1">
      <c r="A2068" s="156" t="s">
        <v>4046</v>
      </c>
    </row>
    <row r="2069" spans="1:1">
      <c r="A2069" s="156" t="s">
        <v>4047</v>
      </c>
    </row>
    <row r="2070" spans="1:1">
      <c r="A2070" s="156" t="s">
        <v>4048</v>
      </c>
    </row>
    <row r="2071" spans="1:1">
      <c r="A2071" s="156" t="s">
        <v>4049</v>
      </c>
    </row>
    <row r="2072" spans="1:1">
      <c r="A2072" s="156" t="s">
        <v>4050</v>
      </c>
    </row>
    <row r="2073" spans="1:1">
      <c r="A2073" s="156" t="s">
        <v>4051</v>
      </c>
    </row>
    <row r="2074" spans="1:1">
      <c r="A2074" s="156" t="s">
        <v>4052</v>
      </c>
    </row>
    <row r="2075" spans="1:1">
      <c r="A2075" s="156" t="s">
        <v>4053</v>
      </c>
    </row>
    <row r="2076" spans="1:1">
      <c r="A2076" s="156" t="s">
        <v>4054</v>
      </c>
    </row>
    <row r="2077" spans="1:1">
      <c r="A2077" s="156" t="s">
        <v>4055</v>
      </c>
    </row>
    <row r="2078" spans="1:1">
      <c r="A2078" s="156" t="s">
        <v>4056</v>
      </c>
    </row>
    <row r="2079" spans="1:1">
      <c r="A2079" s="156" t="s">
        <v>4057</v>
      </c>
    </row>
    <row r="2080" spans="1:1">
      <c r="A2080" s="156" t="s">
        <v>4058</v>
      </c>
    </row>
    <row r="2081" spans="1:1">
      <c r="A2081" s="156" t="s">
        <v>4059</v>
      </c>
    </row>
    <row r="2082" spans="1:1">
      <c r="A2082" s="156" t="s">
        <v>4060</v>
      </c>
    </row>
    <row r="2083" spans="1:1">
      <c r="A2083" s="156" t="s">
        <v>4061</v>
      </c>
    </row>
    <row r="2084" spans="1:1">
      <c r="A2084" s="156" t="s">
        <v>4062</v>
      </c>
    </row>
    <row r="2085" spans="1:1">
      <c r="A2085" s="156" t="s">
        <v>4063</v>
      </c>
    </row>
    <row r="2086" spans="1:1">
      <c r="A2086" s="156" t="s">
        <v>4064</v>
      </c>
    </row>
    <row r="2087" spans="1:1">
      <c r="A2087" s="156" t="s">
        <v>4065</v>
      </c>
    </row>
    <row r="2088" spans="1:1">
      <c r="A2088" s="156" t="s">
        <v>4066</v>
      </c>
    </row>
    <row r="2089" spans="1:1">
      <c r="A2089" s="156" t="s">
        <v>4067</v>
      </c>
    </row>
    <row r="2090" spans="1:1">
      <c r="A2090" s="156" t="s">
        <v>4068</v>
      </c>
    </row>
    <row r="2091" spans="1:1">
      <c r="A2091" s="156" t="s">
        <v>4069</v>
      </c>
    </row>
    <row r="2092" spans="1:1">
      <c r="A2092" s="156" t="s">
        <v>4070</v>
      </c>
    </row>
    <row r="2093" spans="1:1">
      <c r="A2093" s="156" t="s">
        <v>4071</v>
      </c>
    </row>
    <row r="2094" spans="1:1">
      <c r="A2094" s="156" t="s">
        <v>4072</v>
      </c>
    </row>
    <row r="2095" spans="1:1">
      <c r="A2095" s="156" t="s">
        <v>4073</v>
      </c>
    </row>
    <row r="2096" spans="1:1">
      <c r="A2096" s="156" t="s">
        <v>4074</v>
      </c>
    </row>
    <row r="2097" spans="1:1">
      <c r="A2097" s="156" t="s">
        <v>4075</v>
      </c>
    </row>
    <row r="2098" spans="1:1">
      <c r="A2098" s="156" t="s">
        <v>4076</v>
      </c>
    </row>
    <row r="2099" spans="1:1">
      <c r="A2099" s="156" t="s">
        <v>4077</v>
      </c>
    </row>
    <row r="2100" spans="1:1">
      <c r="A2100" s="156" t="s">
        <v>4078</v>
      </c>
    </row>
    <row r="2101" spans="1:1">
      <c r="A2101" s="156" t="s">
        <v>4079</v>
      </c>
    </row>
    <row r="2102" spans="1:1">
      <c r="A2102" s="156" t="s">
        <v>4080</v>
      </c>
    </row>
    <row r="2103" spans="1:1">
      <c r="A2103" s="156" t="s">
        <v>4081</v>
      </c>
    </row>
    <row r="2104" spans="1:1">
      <c r="A2104" s="156" t="s">
        <v>4082</v>
      </c>
    </row>
    <row r="2105" spans="1:1">
      <c r="A2105" s="156" t="s">
        <v>4083</v>
      </c>
    </row>
    <row r="2106" spans="1:1">
      <c r="A2106" s="156" t="s">
        <v>4084</v>
      </c>
    </row>
    <row r="2107" spans="1:1">
      <c r="A2107" s="156" t="s">
        <v>4085</v>
      </c>
    </row>
    <row r="2108" spans="1:1">
      <c r="A2108" s="156" t="s">
        <v>4086</v>
      </c>
    </row>
    <row r="2109" spans="1:1">
      <c r="A2109" s="156" t="s">
        <v>4087</v>
      </c>
    </row>
    <row r="2110" spans="1:1">
      <c r="A2110" s="156" t="s">
        <v>4088</v>
      </c>
    </row>
    <row r="2111" spans="1:1">
      <c r="A2111" s="156" t="s">
        <v>4089</v>
      </c>
    </row>
    <row r="2112" spans="1:1">
      <c r="A2112" s="156" t="s">
        <v>4090</v>
      </c>
    </row>
    <row r="2113" spans="1:1">
      <c r="A2113" s="156" t="s">
        <v>4091</v>
      </c>
    </row>
    <row r="2114" spans="1:1">
      <c r="A2114" s="156" t="s">
        <v>4092</v>
      </c>
    </row>
    <row r="2115" spans="1:1">
      <c r="A2115" s="156" t="s">
        <v>4093</v>
      </c>
    </row>
    <row r="2116" spans="1:1">
      <c r="A2116" s="156" t="s">
        <v>4094</v>
      </c>
    </row>
    <row r="2117" spans="1:1">
      <c r="A2117" s="156" t="s">
        <v>4095</v>
      </c>
    </row>
    <row r="2118" spans="1:1">
      <c r="A2118" s="156" t="s">
        <v>4096</v>
      </c>
    </row>
    <row r="2119" spans="1:1">
      <c r="A2119" s="156" t="s">
        <v>4097</v>
      </c>
    </row>
    <row r="2120" spans="1:1">
      <c r="A2120" s="156" t="s">
        <v>4098</v>
      </c>
    </row>
    <row r="2121" spans="1:1">
      <c r="A2121" s="156" t="s">
        <v>4099</v>
      </c>
    </row>
    <row r="2122" spans="1:1">
      <c r="A2122" s="156" t="s">
        <v>4100</v>
      </c>
    </row>
    <row r="2123" spans="1:1">
      <c r="A2123" s="156" t="s">
        <v>4101</v>
      </c>
    </row>
    <row r="2124" spans="1:1">
      <c r="A2124" s="156" t="s">
        <v>4102</v>
      </c>
    </row>
    <row r="2125" spans="1:1">
      <c r="A2125" s="156" t="s">
        <v>4103</v>
      </c>
    </row>
    <row r="2126" spans="1:1">
      <c r="A2126" s="156" t="s">
        <v>4104</v>
      </c>
    </row>
    <row r="2127" spans="1:1">
      <c r="A2127" s="156" t="s">
        <v>4105</v>
      </c>
    </row>
    <row r="2128" spans="1:1">
      <c r="A2128" s="156" t="s">
        <v>4106</v>
      </c>
    </row>
    <row r="2129" spans="1:1">
      <c r="A2129" s="156" t="s">
        <v>4107</v>
      </c>
    </row>
    <row r="2130" spans="1:1">
      <c r="A2130" s="156" t="s">
        <v>4108</v>
      </c>
    </row>
    <row r="2131" spans="1:1">
      <c r="A2131" s="156" t="s">
        <v>4109</v>
      </c>
    </row>
    <row r="2132" spans="1:1">
      <c r="A2132" s="156" t="s">
        <v>4110</v>
      </c>
    </row>
    <row r="2133" spans="1:1">
      <c r="A2133" s="156" t="s">
        <v>4111</v>
      </c>
    </row>
    <row r="2134" spans="1:1">
      <c r="A2134" s="156" t="s">
        <v>4112</v>
      </c>
    </row>
    <row r="2135" spans="1:1">
      <c r="A2135" s="156" t="s">
        <v>4113</v>
      </c>
    </row>
    <row r="2136" spans="1:1">
      <c r="A2136" s="156" t="s">
        <v>4114</v>
      </c>
    </row>
    <row r="2137" spans="1:1">
      <c r="A2137" s="156" t="s">
        <v>4115</v>
      </c>
    </row>
    <row r="2138" spans="1:1">
      <c r="A2138" s="156" t="s">
        <v>4116</v>
      </c>
    </row>
    <row r="2139" spans="1:1">
      <c r="A2139" s="156" t="s">
        <v>4117</v>
      </c>
    </row>
    <row r="2140" spans="1:1">
      <c r="A2140" s="156" t="s">
        <v>4118</v>
      </c>
    </row>
    <row r="2141" spans="1:1">
      <c r="A2141" s="156" t="s">
        <v>4119</v>
      </c>
    </row>
    <row r="2142" spans="1:1">
      <c r="A2142" s="156" t="s">
        <v>4120</v>
      </c>
    </row>
    <row r="2143" spans="1:1">
      <c r="A2143" s="156" t="s">
        <v>4121</v>
      </c>
    </row>
    <row r="2144" spans="1:1">
      <c r="A2144" s="156" t="s">
        <v>4122</v>
      </c>
    </row>
    <row r="2145" spans="1:1">
      <c r="A2145" s="156" t="s">
        <v>4123</v>
      </c>
    </row>
    <row r="2146" spans="1:1">
      <c r="A2146" s="156" t="s">
        <v>4124</v>
      </c>
    </row>
    <row r="2147" spans="1:1">
      <c r="A2147" s="156" t="s">
        <v>4125</v>
      </c>
    </row>
    <row r="2148" spans="1:1">
      <c r="A2148" s="156" t="s">
        <v>4126</v>
      </c>
    </row>
    <row r="2149" spans="1:1">
      <c r="A2149" s="156" t="s">
        <v>4127</v>
      </c>
    </row>
    <row r="2150" spans="1:1">
      <c r="A2150" s="156" t="s">
        <v>4128</v>
      </c>
    </row>
    <row r="2151" spans="1:1">
      <c r="A2151" s="156" t="s">
        <v>4129</v>
      </c>
    </row>
    <row r="2152" spans="1:1">
      <c r="A2152" s="156" t="s">
        <v>4130</v>
      </c>
    </row>
    <row r="2153" spans="1:1">
      <c r="A2153" s="156" t="s">
        <v>4131</v>
      </c>
    </row>
    <row r="2154" spans="1:1">
      <c r="A2154" s="156" t="s">
        <v>4132</v>
      </c>
    </row>
    <row r="2155" spans="1:1">
      <c r="A2155" s="156" t="s">
        <v>4133</v>
      </c>
    </row>
    <row r="2156" spans="1:1">
      <c r="A2156" s="156" t="s">
        <v>4134</v>
      </c>
    </row>
    <row r="2157" spans="1:1">
      <c r="A2157" s="156" t="s">
        <v>4135</v>
      </c>
    </row>
    <row r="2158" spans="1:1">
      <c r="A2158" s="156" t="s">
        <v>4136</v>
      </c>
    </row>
    <row r="2159" spans="1:1">
      <c r="A2159" s="156" t="s">
        <v>4137</v>
      </c>
    </row>
    <row r="2160" spans="1:1">
      <c r="A2160" s="156" t="s">
        <v>4138</v>
      </c>
    </row>
    <row r="2161" spans="1:1">
      <c r="A2161" s="156" t="s">
        <v>4139</v>
      </c>
    </row>
    <row r="2162" spans="1:1">
      <c r="A2162" s="156" t="s">
        <v>4140</v>
      </c>
    </row>
    <row r="2163" spans="1:1">
      <c r="A2163" s="156" t="s">
        <v>4141</v>
      </c>
    </row>
    <row r="2164" spans="1:1">
      <c r="A2164" s="156" t="s">
        <v>4142</v>
      </c>
    </row>
    <row r="2165" spans="1:1">
      <c r="A2165" s="156" t="s">
        <v>4143</v>
      </c>
    </row>
    <row r="2166" spans="1:1">
      <c r="A2166" s="156" t="s">
        <v>4144</v>
      </c>
    </row>
    <row r="2167" spans="1:1">
      <c r="A2167" s="156" t="s">
        <v>4145</v>
      </c>
    </row>
    <row r="2168" spans="1:1">
      <c r="A2168" s="156" t="s">
        <v>4146</v>
      </c>
    </row>
    <row r="2169" spans="1:1">
      <c r="A2169" s="156" t="s">
        <v>4147</v>
      </c>
    </row>
    <row r="2170" spans="1:1">
      <c r="A2170" s="156" t="s">
        <v>4148</v>
      </c>
    </row>
    <row r="2171" spans="1:1">
      <c r="A2171" s="156" t="s">
        <v>4149</v>
      </c>
    </row>
    <row r="2172" spans="1:1">
      <c r="A2172" s="156" t="s">
        <v>4150</v>
      </c>
    </row>
    <row r="2173" spans="1:1">
      <c r="A2173" s="156" t="s">
        <v>4151</v>
      </c>
    </row>
    <row r="2174" spans="1:1">
      <c r="A2174" s="156" t="s">
        <v>4152</v>
      </c>
    </row>
    <row r="2175" spans="1:1">
      <c r="A2175" s="156" t="s">
        <v>4153</v>
      </c>
    </row>
    <row r="2176" spans="1:1">
      <c r="A2176" s="156" t="s">
        <v>4154</v>
      </c>
    </row>
    <row r="2177" spans="1:1">
      <c r="A2177" s="156" t="s">
        <v>4155</v>
      </c>
    </row>
    <row r="2178" spans="1:1">
      <c r="A2178" s="156" t="s">
        <v>4156</v>
      </c>
    </row>
    <row r="2179" spans="1:1">
      <c r="A2179" s="156" t="s">
        <v>4157</v>
      </c>
    </row>
    <row r="2180" spans="1:1">
      <c r="A2180" s="156" t="s">
        <v>4158</v>
      </c>
    </row>
    <row r="2181" spans="1:1">
      <c r="A2181" s="156" t="s">
        <v>4159</v>
      </c>
    </row>
    <row r="2182" spans="1:1">
      <c r="A2182" s="156" t="s">
        <v>4160</v>
      </c>
    </row>
    <row r="2183" spans="1:1">
      <c r="A2183" s="156" t="s">
        <v>4161</v>
      </c>
    </row>
    <row r="2184" spans="1:1">
      <c r="A2184" s="156" t="s">
        <v>4162</v>
      </c>
    </row>
    <row r="2185" spans="1:1">
      <c r="A2185" s="156" t="s">
        <v>4163</v>
      </c>
    </row>
    <row r="2186" spans="1:1">
      <c r="A2186" s="156" t="s">
        <v>4164</v>
      </c>
    </row>
    <row r="2187" spans="1:1">
      <c r="A2187" s="156" t="s">
        <v>4165</v>
      </c>
    </row>
    <row r="2188" spans="1:1">
      <c r="A2188" s="156" t="s">
        <v>4166</v>
      </c>
    </row>
    <row r="2189" spans="1:1">
      <c r="A2189" s="156" t="s">
        <v>4167</v>
      </c>
    </row>
    <row r="2190" spans="1:1">
      <c r="A2190" s="156" t="s">
        <v>4168</v>
      </c>
    </row>
    <row r="2191" spans="1:1">
      <c r="A2191" s="156" t="s">
        <v>4169</v>
      </c>
    </row>
    <row r="2192" spans="1:1">
      <c r="A2192" s="156" t="s">
        <v>4170</v>
      </c>
    </row>
    <row r="2193" spans="1:1">
      <c r="A2193" s="156" t="s">
        <v>4171</v>
      </c>
    </row>
    <row r="2194" spans="1:1">
      <c r="A2194" s="156" t="s">
        <v>4172</v>
      </c>
    </row>
    <row r="2195" spans="1:1">
      <c r="A2195" s="156" t="s">
        <v>4173</v>
      </c>
    </row>
    <row r="2196" spans="1:1">
      <c r="A2196" s="156" t="s">
        <v>4174</v>
      </c>
    </row>
    <row r="2197" spans="1:1">
      <c r="A2197" s="156" t="s">
        <v>4175</v>
      </c>
    </row>
    <row r="2198" spans="1:1">
      <c r="A2198" s="156" t="s">
        <v>4176</v>
      </c>
    </row>
    <row r="2199" spans="1:1">
      <c r="A2199" s="156" t="s">
        <v>4177</v>
      </c>
    </row>
    <row r="2200" spans="1:1">
      <c r="A2200" s="156" t="s">
        <v>4178</v>
      </c>
    </row>
    <row r="2201" spans="1:1">
      <c r="A2201" s="156" t="s">
        <v>4179</v>
      </c>
    </row>
    <row r="2202" spans="1:1">
      <c r="A2202" s="156" t="s">
        <v>4180</v>
      </c>
    </row>
    <row r="2203" spans="1:1">
      <c r="A2203" s="156" t="s">
        <v>4181</v>
      </c>
    </row>
    <row r="2204" spans="1:1">
      <c r="A2204" s="156" t="s">
        <v>4182</v>
      </c>
    </row>
    <row r="2205" spans="1:1">
      <c r="A2205" s="156" t="s">
        <v>4183</v>
      </c>
    </row>
    <row r="2206" spans="1:1">
      <c r="A2206" s="156" t="s">
        <v>4184</v>
      </c>
    </row>
    <row r="2207" spans="1:1">
      <c r="A2207" s="156" t="s">
        <v>4185</v>
      </c>
    </row>
    <row r="2208" spans="1:1">
      <c r="A2208" s="156" t="s">
        <v>4186</v>
      </c>
    </row>
    <row r="2209" spans="1:1">
      <c r="A2209" s="156" t="s">
        <v>4187</v>
      </c>
    </row>
    <row r="2210" spans="1:1">
      <c r="A2210" s="156" t="s">
        <v>4188</v>
      </c>
    </row>
    <row r="2211" spans="1:1">
      <c r="A2211" s="156" t="s">
        <v>4189</v>
      </c>
    </row>
    <row r="2212" spans="1:1">
      <c r="A2212" s="156" t="s">
        <v>4190</v>
      </c>
    </row>
    <row r="2213" spans="1:1">
      <c r="A2213" s="156" t="s">
        <v>4191</v>
      </c>
    </row>
    <row r="2214" spans="1:1">
      <c r="A2214" s="156" t="s">
        <v>4192</v>
      </c>
    </row>
    <row r="2215" spans="1:1">
      <c r="A2215" s="156" t="s">
        <v>4193</v>
      </c>
    </row>
    <row r="2216" spans="1:1">
      <c r="A2216" s="156" t="s">
        <v>4194</v>
      </c>
    </row>
    <row r="2217" spans="1:1">
      <c r="A2217" s="156" t="s">
        <v>4195</v>
      </c>
    </row>
    <row r="2218" spans="1:1">
      <c r="A2218" s="156" t="s">
        <v>4196</v>
      </c>
    </row>
    <row r="2219" spans="1:1">
      <c r="A2219" s="156" t="s">
        <v>4197</v>
      </c>
    </row>
    <row r="2220" spans="1:1">
      <c r="A2220" s="156" t="s">
        <v>4198</v>
      </c>
    </row>
    <row r="2221" spans="1:1">
      <c r="A2221" s="156" t="s">
        <v>4199</v>
      </c>
    </row>
    <row r="2222" spans="1:1">
      <c r="A2222" s="156" t="s">
        <v>4200</v>
      </c>
    </row>
    <row r="2223" spans="1:1">
      <c r="A2223" s="156" t="s">
        <v>4201</v>
      </c>
    </row>
    <row r="2224" spans="1:1">
      <c r="A2224" s="156" t="s">
        <v>4202</v>
      </c>
    </row>
    <row r="2225" spans="1:1">
      <c r="A2225" s="156" t="s">
        <v>4203</v>
      </c>
    </row>
    <row r="2226" spans="1:1">
      <c r="A2226" s="156" t="s">
        <v>4204</v>
      </c>
    </row>
    <row r="2227" spans="1:1">
      <c r="A2227" s="156" t="s">
        <v>4205</v>
      </c>
    </row>
    <row r="2228" spans="1:1">
      <c r="A2228" s="156" t="s">
        <v>4206</v>
      </c>
    </row>
    <row r="2229" spans="1:1">
      <c r="A2229" s="156" t="s">
        <v>4207</v>
      </c>
    </row>
    <row r="2230" spans="1:1">
      <c r="A2230" s="156" t="s">
        <v>4208</v>
      </c>
    </row>
    <row r="2231" spans="1:1">
      <c r="A2231" s="156" t="s">
        <v>4209</v>
      </c>
    </row>
    <row r="2232" spans="1:1">
      <c r="A2232" s="156" t="s">
        <v>4210</v>
      </c>
    </row>
    <row r="2233" spans="1:1">
      <c r="A2233" s="156" t="s">
        <v>4211</v>
      </c>
    </row>
    <row r="2234" spans="1:1">
      <c r="A2234" s="156" t="s">
        <v>4212</v>
      </c>
    </row>
    <row r="2235" spans="1:1">
      <c r="A2235" s="156" t="s">
        <v>4213</v>
      </c>
    </row>
    <row r="2236" spans="1:1">
      <c r="A2236" s="156" t="s">
        <v>4214</v>
      </c>
    </row>
    <row r="2237" spans="1:1">
      <c r="A2237" s="156" t="s">
        <v>4215</v>
      </c>
    </row>
    <row r="2238" spans="1:1">
      <c r="A2238" s="156" t="s">
        <v>4216</v>
      </c>
    </row>
    <row r="2239" spans="1:1">
      <c r="A2239" s="156" t="s">
        <v>4217</v>
      </c>
    </row>
    <row r="2240" spans="1:1">
      <c r="A2240" s="156" t="s">
        <v>4218</v>
      </c>
    </row>
    <row r="2241" spans="1:1">
      <c r="A2241" s="156" t="s">
        <v>4219</v>
      </c>
    </row>
    <row r="2242" spans="1:1">
      <c r="A2242" s="156" t="s">
        <v>4220</v>
      </c>
    </row>
    <row r="2243" spans="1:1">
      <c r="A2243" s="156" t="s">
        <v>4221</v>
      </c>
    </row>
    <row r="2244" spans="1:1">
      <c r="A2244" s="156" t="s">
        <v>4222</v>
      </c>
    </row>
    <row r="2245" spans="1:1">
      <c r="A2245" s="156" t="s">
        <v>4223</v>
      </c>
    </row>
    <row r="2246" spans="1:1">
      <c r="A2246" s="156" t="s">
        <v>4224</v>
      </c>
    </row>
    <row r="2247" spans="1:1">
      <c r="A2247" s="156" t="s">
        <v>4225</v>
      </c>
    </row>
    <row r="2248" spans="1:1">
      <c r="A2248" s="156" t="s">
        <v>4226</v>
      </c>
    </row>
    <row r="2249" spans="1:1">
      <c r="A2249" s="156" t="s">
        <v>4227</v>
      </c>
    </row>
    <row r="2250" spans="1:1">
      <c r="A2250" s="156" t="s">
        <v>4228</v>
      </c>
    </row>
    <row r="2251" spans="1:1">
      <c r="A2251" s="156" t="s">
        <v>4229</v>
      </c>
    </row>
    <row r="2252" spans="1:1">
      <c r="A2252" s="156" t="s">
        <v>4230</v>
      </c>
    </row>
    <row r="2253" spans="1:1">
      <c r="A2253" s="156" t="s">
        <v>4231</v>
      </c>
    </row>
    <row r="2254" spans="1:1">
      <c r="A2254" s="156" t="s">
        <v>4232</v>
      </c>
    </row>
    <row r="2255" spans="1:1">
      <c r="A2255" s="156" t="s">
        <v>4233</v>
      </c>
    </row>
    <row r="2256" spans="1:1">
      <c r="A2256" s="156" t="s">
        <v>4234</v>
      </c>
    </row>
    <row r="2257" spans="1:1">
      <c r="A2257" s="156" t="s">
        <v>4235</v>
      </c>
    </row>
    <row r="2258" spans="1:1">
      <c r="A2258" s="156" t="s">
        <v>4236</v>
      </c>
    </row>
    <row r="2259" spans="1:1">
      <c r="A2259" s="156" t="s">
        <v>4237</v>
      </c>
    </row>
    <row r="2260" spans="1:1">
      <c r="A2260" s="156" t="s">
        <v>4238</v>
      </c>
    </row>
    <row r="2261" spans="1:1">
      <c r="A2261" s="156" t="s">
        <v>4239</v>
      </c>
    </row>
    <row r="2262" spans="1:1">
      <c r="A2262" s="156" t="s">
        <v>4240</v>
      </c>
    </row>
    <row r="2263" spans="1:1">
      <c r="A2263" s="156" t="s">
        <v>4241</v>
      </c>
    </row>
    <row r="2264" spans="1:1">
      <c r="A2264" s="156" t="s">
        <v>4242</v>
      </c>
    </row>
    <row r="2265" spans="1:1">
      <c r="A2265" s="156" t="s">
        <v>4243</v>
      </c>
    </row>
    <row r="2266" spans="1:1">
      <c r="A2266" s="156" t="s">
        <v>4244</v>
      </c>
    </row>
    <row r="2267" spans="1:1">
      <c r="A2267" s="156" t="s">
        <v>4245</v>
      </c>
    </row>
    <row r="2268" spans="1:1">
      <c r="A2268" s="156" t="s">
        <v>4246</v>
      </c>
    </row>
    <row r="2269" spans="1:1">
      <c r="A2269" s="156" t="s">
        <v>4247</v>
      </c>
    </row>
    <row r="2270" spans="1:1">
      <c r="A2270" s="156" t="s">
        <v>4248</v>
      </c>
    </row>
    <row r="2271" spans="1:1">
      <c r="A2271" s="156" t="s">
        <v>4249</v>
      </c>
    </row>
    <row r="2272" spans="1:1">
      <c r="A2272" s="156" t="s">
        <v>4250</v>
      </c>
    </row>
    <row r="2273" spans="1:1">
      <c r="A2273" s="156" t="s">
        <v>4251</v>
      </c>
    </row>
    <row r="2274" spans="1:1">
      <c r="A2274" s="156" t="s">
        <v>4252</v>
      </c>
    </row>
    <row r="2275" spans="1:1">
      <c r="A2275" s="156" t="s">
        <v>4253</v>
      </c>
    </row>
    <row r="2276" spans="1:1">
      <c r="A2276" s="156" t="s">
        <v>4254</v>
      </c>
    </row>
    <row r="2277" spans="1:1">
      <c r="A2277" s="156" t="s">
        <v>4255</v>
      </c>
    </row>
    <row r="2278" spans="1:1">
      <c r="A2278" s="156" t="s">
        <v>4256</v>
      </c>
    </row>
    <row r="2279" spans="1:1">
      <c r="A2279" s="156" t="s">
        <v>4257</v>
      </c>
    </row>
    <row r="2280" spans="1:1">
      <c r="A2280" s="156" t="s">
        <v>4258</v>
      </c>
    </row>
    <row r="2281" spans="1:1">
      <c r="A2281" s="156" t="s">
        <v>4259</v>
      </c>
    </row>
    <row r="2282" spans="1:1">
      <c r="A2282" s="156" t="s">
        <v>4260</v>
      </c>
    </row>
    <row r="2283" spans="1:1">
      <c r="A2283" s="156" t="s">
        <v>4261</v>
      </c>
    </row>
    <row r="2284" spans="1:1">
      <c r="A2284" s="156" t="s">
        <v>4262</v>
      </c>
    </row>
    <row r="2285" spans="1:1">
      <c r="A2285" s="156" t="s">
        <v>4263</v>
      </c>
    </row>
    <row r="2286" spans="1:1">
      <c r="A2286" s="156" t="s">
        <v>4264</v>
      </c>
    </row>
    <row r="2287" spans="1:1">
      <c r="A2287" s="156" t="s">
        <v>4265</v>
      </c>
    </row>
    <row r="2288" spans="1:1">
      <c r="A2288" s="156" t="s">
        <v>4266</v>
      </c>
    </row>
    <row r="2289" spans="1:1">
      <c r="A2289" s="156" t="s">
        <v>4267</v>
      </c>
    </row>
    <row r="2290" spans="1:1">
      <c r="A2290" s="156" t="s">
        <v>4268</v>
      </c>
    </row>
    <row r="2291" spans="1:1">
      <c r="A2291" s="156" t="s">
        <v>4269</v>
      </c>
    </row>
    <row r="2292" spans="1:1">
      <c r="A2292" s="156" t="s">
        <v>4270</v>
      </c>
    </row>
    <row r="2293" spans="1:1">
      <c r="A2293" s="156" t="s">
        <v>4271</v>
      </c>
    </row>
    <row r="2294" spans="1:1">
      <c r="A2294" s="156" t="s">
        <v>4272</v>
      </c>
    </row>
    <row r="2295" spans="1:1">
      <c r="A2295" s="156" t="s">
        <v>4273</v>
      </c>
    </row>
    <row r="2296" spans="1:1">
      <c r="A2296" s="156" t="s">
        <v>4274</v>
      </c>
    </row>
    <row r="2297" spans="1:1">
      <c r="A2297" s="156" t="s">
        <v>4275</v>
      </c>
    </row>
    <row r="2298" spans="1:1">
      <c r="A2298" s="156" t="s">
        <v>4276</v>
      </c>
    </row>
    <row r="2299" spans="1:1">
      <c r="A2299" s="156" t="s">
        <v>4277</v>
      </c>
    </row>
    <row r="2300" spans="1:1">
      <c r="A2300" s="156" t="s">
        <v>4278</v>
      </c>
    </row>
    <row r="2301" spans="1:1">
      <c r="A2301" s="156" t="s">
        <v>4279</v>
      </c>
    </row>
    <row r="2302" spans="1:1">
      <c r="A2302" s="156" t="s">
        <v>4280</v>
      </c>
    </row>
    <row r="2303" spans="1:1">
      <c r="A2303" s="156" t="s">
        <v>4281</v>
      </c>
    </row>
    <row r="2304" spans="1:1">
      <c r="A2304" s="156" t="s">
        <v>4282</v>
      </c>
    </row>
    <row r="2305" spans="1:1">
      <c r="A2305" s="156" t="s">
        <v>4283</v>
      </c>
    </row>
    <row r="2306" spans="1:1">
      <c r="A2306" s="156" t="s">
        <v>4284</v>
      </c>
    </row>
    <row r="2307" spans="1:1">
      <c r="A2307" s="156" t="s">
        <v>4285</v>
      </c>
    </row>
    <row r="2308" spans="1:1">
      <c r="A2308" s="156" t="s">
        <v>4286</v>
      </c>
    </row>
    <row r="2309" spans="1:1">
      <c r="A2309" s="156" t="s">
        <v>4287</v>
      </c>
    </row>
    <row r="2310" spans="1:1">
      <c r="A2310" s="156" t="s">
        <v>4288</v>
      </c>
    </row>
    <row r="2311" spans="1:1">
      <c r="A2311" s="156" t="s">
        <v>4289</v>
      </c>
    </row>
    <row r="2312" spans="1:1">
      <c r="A2312" s="156" t="s">
        <v>4290</v>
      </c>
    </row>
    <row r="2313" spans="1:1">
      <c r="A2313" s="156" t="s">
        <v>4291</v>
      </c>
    </row>
    <row r="2314" spans="1:1">
      <c r="A2314" s="156" t="s">
        <v>4292</v>
      </c>
    </row>
    <row r="2315" spans="1:1">
      <c r="A2315" s="156" t="s">
        <v>4293</v>
      </c>
    </row>
    <row r="2316" spans="1:1">
      <c r="A2316" s="156" t="s">
        <v>4294</v>
      </c>
    </row>
    <row r="2317" spans="1:1">
      <c r="A2317" s="156" t="s">
        <v>4295</v>
      </c>
    </row>
    <row r="2318" spans="1:1">
      <c r="A2318" s="156" t="s">
        <v>4296</v>
      </c>
    </row>
    <row r="2319" spans="1:1">
      <c r="A2319" s="156" t="s">
        <v>4297</v>
      </c>
    </row>
    <row r="2320" spans="1:1">
      <c r="A2320" s="156" t="s">
        <v>4298</v>
      </c>
    </row>
    <row r="2321" spans="1:1">
      <c r="A2321" s="156" t="s">
        <v>4299</v>
      </c>
    </row>
    <row r="2322" spans="1:1">
      <c r="A2322" s="156" t="s">
        <v>4300</v>
      </c>
    </row>
    <row r="2323" spans="1:1">
      <c r="A2323" s="156" t="s">
        <v>4301</v>
      </c>
    </row>
    <row r="2324" spans="1:1">
      <c r="A2324" s="156" t="s">
        <v>4302</v>
      </c>
    </row>
    <row r="2325" spans="1:1">
      <c r="A2325" s="156" t="s">
        <v>4303</v>
      </c>
    </row>
    <row r="2326" spans="1:1">
      <c r="A2326" s="156" t="s">
        <v>4304</v>
      </c>
    </row>
    <row r="2327" spans="1:1">
      <c r="A2327" s="156" t="s">
        <v>4305</v>
      </c>
    </row>
    <row r="2328" spans="1:1">
      <c r="A2328" s="156" t="s">
        <v>4306</v>
      </c>
    </row>
    <row r="2329" spans="1:1">
      <c r="A2329" s="156" t="s">
        <v>4307</v>
      </c>
    </row>
    <row r="2330" spans="1:1">
      <c r="A2330" s="156" t="s">
        <v>4308</v>
      </c>
    </row>
    <row r="2331" spans="1:1">
      <c r="A2331" s="156" t="s">
        <v>4309</v>
      </c>
    </row>
    <row r="2332" spans="1:1">
      <c r="A2332" s="156" t="s">
        <v>4310</v>
      </c>
    </row>
    <row r="2333" spans="1:1">
      <c r="A2333" s="156" t="s">
        <v>4311</v>
      </c>
    </row>
    <row r="2334" spans="1:1">
      <c r="A2334" s="156" t="s">
        <v>4312</v>
      </c>
    </row>
    <row r="2335" spans="1:1">
      <c r="A2335" s="156" t="s">
        <v>4313</v>
      </c>
    </row>
    <row r="2336" spans="1:1">
      <c r="A2336" s="156" t="s">
        <v>4314</v>
      </c>
    </row>
    <row r="2337" spans="1:1">
      <c r="A2337" s="156" t="s">
        <v>4315</v>
      </c>
    </row>
    <row r="2338" spans="1:1">
      <c r="A2338" s="156" t="s">
        <v>4316</v>
      </c>
    </row>
    <row r="2339" spans="1:1">
      <c r="A2339" s="156" t="s">
        <v>4317</v>
      </c>
    </row>
    <row r="2340" spans="1:1">
      <c r="A2340" s="156" t="s">
        <v>4318</v>
      </c>
    </row>
    <row r="2341" spans="1:1">
      <c r="A2341" s="156" t="s">
        <v>4319</v>
      </c>
    </row>
    <row r="2342" spans="1:1">
      <c r="A2342" s="156" t="s">
        <v>4320</v>
      </c>
    </row>
    <row r="2343" spans="1:1">
      <c r="A2343" s="156" t="s">
        <v>4321</v>
      </c>
    </row>
    <row r="2344" spans="1:1">
      <c r="A2344" s="156" t="s">
        <v>4322</v>
      </c>
    </row>
    <row r="2345" spans="1:1">
      <c r="A2345" s="156" t="s">
        <v>4323</v>
      </c>
    </row>
    <row r="2346" spans="1:1">
      <c r="A2346" s="156" t="s">
        <v>4324</v>
      </c>
    </row>
    <row r="2347" spans="1:1">
      <c r="A2347" s="156" t="s">
        <v>4325</v>
      </c>
    </row>
    <row r="2348" spans="1:1">
      <c r="A2348" s="156" t="s">
        <v>4326</v>
      </c>
    </row>
    <row r="2349" spans="1:1">
      <c r="A2349" s="156" t="s">
        <v>4327</v>
      </c>
    </row>
    <row r="2350" spans="1:1">
      <c r="A2350" s="156" t="s">
        <v>4328</v>
      </c>
    </row>
    <row r="2351" spans="1:1">
      <c r="A2351" s="156" t="s">
        <v>4329</v>
      </c>
    </row>
    <row r="2352" spans="1:1">
      <c r="A2352" s="156" t="s">
        <v>4330</v>
      </c>
    </row>
    <row r="2353" spans="1:1">
      <c r="A2353" s="156" t="s">
        <v>4331</v>
      </c>
    </row>
    <row r="2354" spans="1:1">
      <c r="A2354" s="156" t="s">
        <v>4332</v>
      </c>
    </row>
    <row r="2355" spans="1:1">
      <c r="A2355" s="156" t="s">
        <v>4333</v>
      </c>
    </row>
    <row r="2356" spans="1:1">
      <c r="A2356" s="156" t="s">
        <v>4334</v>
      </c>
    </row>
    <row r="2357" spans="1:1">
      <c r="A2357" s="156" t="s">
        <v>4335</v>
      </c>
    </row>
    <row r="2358" spans="1:1">
      <c r="A2358" s="156" t="s">
        <v>4336</v>
      </c>
    </row>
    <row r="2359" spans="1:1">
      <c r="A2359" s="156" t="s">
        <v>4337</v>
      </c>
    </row>
    <row r="2360" spans="1:1">
      <c r="A2360" s="156" t="s">
        <v>4338</v>
      </c>
    </row>
    <row r="2361" spans="1:1">
      <c r="A2361" s="156" t="s">
        <v>4339</v>
      </c>
    </row>
    <row r="2362" spans="1:1">
      <c r="A2362" s="156" t="s">
        <v>4340</v>
      </c>
    </row>
    <row r="2363" spans="1:1">
      <c r="A2363" s="156" t="s">
        <v>4341</v>
      </c>
    </row>
    <row r="2364" spans="1:1">
      <c r="A2364" s="156" t="s">
        <v>4342</v>
      </c>
    </row>
    <row r="2365" spans="1:1">
      <c r="A2365" s="156" t="s">
        <v>4343</v>
      </c>
    </row>
    <row r="2366" spans="1:1">
      <c r="A2366" s="156" t="s">
        <v>4344</v>
      </c>
    </row>
    <row r="2367" spans="1:1">
      <c r="A2367" s="156" t="s">
        <v>4345</v>
      </c>
    </row>
    <row r="2368" spans="1:1">
      <c r="A2368" s="156" t="s">
        <v>4346</v>
      </c>
    </row>
    <row r="2369" spans="1:1">
      <c r="A2369" s="156" t="s">
        <v>4347</v>
      </c>
    </row>
    <row r="2370" spans="1:1">
      <c r="A2370" s="156" t="s">
        <v>4348</v>
      </c>
    </row>
    <row r="2371" spans="1:1">
      <c r="A2371" s="156" t="s">
        <v>4349</v>
      </c>
    </row>
    <row r="2372" spans="1:1">
      <c r="A2372" s="156" t="s">
        <v>4350</v>
      </c>
    </row>
    <row r="2373" spans="1:1">
      <c r="A2373" s="156" t="s">
        <v>4351</v>
      </c>
    </row>
    <row r="2374" spans="1:1">
      <c r="A2374" s="156" t="s">
        <v>4352</v>
      </c>
    </row>
    <row r="2375" spans="1:1">
      <c r="A2375" s="156" t="s">
        <v>4353</v>
      </c>
    </row>
    <row r="2376" spans="1:1">
      <c r="A2376" s="156" t="s">
        <v>4354</v>
      </c>
    </row>
    <row r="2377" spans="1:1">
      <c r="A2377" s="156" t="s">
        <v>4355</v>
      </c>
    </row>
    <row r="2378" spans="1:1">
      <c r="A2378" s="156" t="s">
        <v>4356</v>
      </c>
    </row>
    <row r="2379" spans="1:1">
      <c r="A2379" s="156" t="s">
        <v>4357</v>
      </c>
    </row>
    <row r="2380" spans="1:1">
      <c r="A2380" s="156" t="s">
        <v>4358</v>
      </c>
    </row>
    <row r="2381" spans="1:1">
      <c r="A2381" s="156" t="s">
        <v>4359</v>
      </c>
    </row>
    <row r="2382" spans="1:1">
      <c r="A2382" s="156" t="s">
        <v>4360</v>
      </c>
    </row>
    <row r="2383" spans="1:1">
      <c r="A2383" s="156" t="s">
        <v>4361</v>
      </c>
    </row>
    <row r="2384" spans="1:1">
      <c r="A2384" s="156" t="s">
        <v>4362</v>
      </c>
    </row>
    <row r="2385" spans="1:1">
      <c r="A2385" s="156" t="s">
        <v>4363</v>
      </c>
    </row>
    <row r="2386" spans="1:1">
      <c r="A2386" s="156" t="s">
        <v>4364</v>
      </c>
    </row>
    <row r="2387" spans="1:1">
      <c r="A2387" s="156" t="s">
        <v>4365</v>
      </c>
    </row>
    <row r="2388" spans="1:1">
      <c r="A2388" s="156" t="s">
        <v>4366</v>
      </c>
    </row>
    <row r="2389" spans="1:1">
      <c r="A2389" s="156" t="s">
        <v>4367</v>
      </c>
    </row>
    <row r="2390" spans="1:1">
      <c r="A2390" s="156" t="s">
        <v>4368</v>
      </c>
    </row>
    <row r="2391" spans="1:1">
      <c r="A2391" s="156" t="s">
        <v>4369</v>
      </c>
    </row>
    <row r="2392" spans="1:1">
      <c r="A2392" s="156" t="s">
        <v>4370</v>
      </c>
    </row>
    <row r="2393" spans="1:1">
      <c r="A2393" s="156" t="s">
        <v>4371</v>
      </c>
    </row>
    <row r="2394" spans="1:1">
      <c r="A2394" s="156" t="s">
        <v>4372</v>
      </c>
    </row>
    <row r="2395" spans="1:1">
      <c r="A2395" s="156" t="s">
        <v>4373</v>
      </c>
    </row>
    <row r="2396" spans="1:1">
      <c r="A2396" s="156" t="s">
        <v>4374</v>
      </c>
    </row>
    <row r="2397" spans="1:1">
      <c r="A2397" s="156" t="s">
        <v>4375</v>
      </c>
    </row>
    <row r="2398" spans="1:1">
      <c r="A2398" s="156" t="s">
        <v>4376</v>
      </c>
    </row>
    <row r="2399" spans="1:1">
      <c r="A2399" s="156" t="s">
        <v>4377</v>
      </c>
    </row>
    <row r="2400" spans="1:1">
      <c r="A2400" s="156" t="s">
        <v>4378</v>
      </c>
    </row>
    <row r="2401" spans="1:1">
      <c r="A2401" s="156" t="s">
        <v>4379</v>
      </c>
    </row>
    <row r="2402" spans="1:1">
      <c r="A2402" s="156" t="s">
        <v>4380</v>
      </c>
    </row>
    <row r="2403" spans="1:1">
      <c r="A2403" s="156" t="s">
        <v>4381</v>
      </c>
    </row>
    <row r="2404" spans="1:1">
      <c r="A2404" s="156" t="s">
        <v>4382</v>
      </c>
    </row>
    <row r="2405" spans="1:1">
      <c r="A2405" s="156" t="s">
        <v>4383</v>
      </c>
    </row>
    <row r="2406" spans="1:1">
      <c r="A2406" s="156" t="s">
        <v>4384</v>
      </c>
    </row>
    <row r="2407" spans="1:1">
      <c r="A2407" s="156" t="s">
        <v>4385</v>
      </c>
    </row>
    <row r="2408" spans="1:1">
      <c r="A2408" s="156" t="s">
        <v>4386</v>
      </c>
    </row>
    <row r="2409" spans="1:1">
      <c r="A2409" s="156" t="s">
        <v>4387</v>
      </c>
    </row>
    <row r="2410" spans="1:1">
      <c r="A2410" s="156" t="s">
        <v>4388</v>
      </c>
    </row>
    <row r="2411" spans="1:1">
      <c r="A2411" s="156" t="s">
        <v>4389</v>
      </c>
    </row>
    <row r="2412" spans="1:1">
      <c r="A2412" s="156" t="s">
        <v>4390</v>
      </c>
    </row>
    <row r="2413" spans="1:1">
      <c r="A2413" s="156" t="s">
        <v>4391</v>
      </c>
    </row>
    <row r="2414" spans="1:1">
      <c r="A2414" s="156" t="s">
        <v>4392</v>
      </c>
    </row>
    <row r="2415" spans="1:1">
      <c r="A2415" s="156" t="s">
        <v>4393</v>
      </c>
    </row>
    <row r="2416" spans="1:1">
      <c r="A2416" s="156" t="s">
        <v>4394</v>
      </c>
    </row>
    <row r="2417" spans="1:1">
      <c r="A2417" s="156" t="s">
        <v>4395</v>
      </c>
    </row>
    <row r="2418" spans="1:1">
      <c r="A2418" s="156" t="s">
        <v>4396</v>
      </c>
    </row>
    <row r="2419" spans="1:1">
      <c r="A2419" s="156" t="s">
        <v>4397</v>
      </c>
    </row>
    <row r="2420" spans="1:1">
      <c r="A2420" s="156" t="s">
        <v>4398</v>
      </c>
    </row>
    <row r="2421" spans="1:1">
      <c r="A2421" s="156" t="s">
        <v>4399</v>
      </c>
    </row>
    <row r="2422" spans="1:1">
      <c r="A2422" s="156" t="s">
        <v>4400</v>
      </c>
    </row>
    <row r="2423" spans="1:1">
      <c r="A2423" s="156" t="s">
        <v>4401</v>
      </c>
    </row>
    <row r="2424" spans="1:1">
      <c r="A2424" s="156" t="s">
        <v>4402</v>
      </c>
    </row>
    <row r="2425" spans="1:1">
      <c r="A2425" s="156" t="s">
        <v>4403</v>
      </c>
    </row>
    <row r="2426" spans="1:1">
      <c r="A2426" s="156" t="s">
        <v>4404</v>
      </c>
    </row>
    <row r="2427" spans="1:1">
      <c r="A2427" s="156" t="s">
        <v>4405</v>
      </c>
    </row>
    <row r="2428" spans="1:1">
      <c r="A2428" s="156" t="s">
        <v>4406</v>
      </c>
    </row>
    <row r="2429" spans="1:1">
      <c r="A2429" s="156" t="s">
        <v>4407</v>
      </c>
    </row>
    <row r="2430" spans="1:1">
      <c r="A2430" s="156" t="s">
        <v>4408</v>
      </c>
    </row>
    <row r="2431" spans="1:1">
      <c r="A2431" s="156" t="s">
        <v>4409</v>
      </c>
    </row>
    <row r="2432" spans="1:1">
      <c r="A2432" s="156" t="s">
        <v>4410</v>
      </c>
    </row>
    <row r="2433" spans="1:1">
      <c r="A2433" s="156" t="s">
        <v>4411</v>
      </c>
    </row>
    <row r="2434" spans="1:1">
      <c r="A2434" s="156" t="s">
        <v>4412</v>
      </c>
    </row>
    <row r="2435" spans="1:1">
      <c r="A2435" s="156" t="s">
        <v>4413</v>
      </c>
    </row>
    <row r="2436" spans="1:1">
      <c r="A2436" s="156" t="s">
        <v>4414</v>
      </c>
    </row>
    <row r="2437" spans="1:1">
      <c r="A2437" s="156" t="s">
        <v>4415</v>
      </c>
    </row>
    <row r="2438" spans="1:1">
      <c r="A2438" s="156" t="s">
        <v>4416</v>
      </c>
    </row>
    <row r="2439" spans="1:1">
      <c r="A2439" s="156" t="s">
        <v>4417</v>
      </c>
    </row>
    <row r="2440" spans="1:1">
      <c r="A2440" s="156" t="s">
        <v>4418</v>
      </c>
    </row>
    <row r="2441" spans="1:1">
      <c r="A2441" s="156" t="s">
        <v>4419</v>
      </c>
    </row>
    <row r="2442" spans="1:1">
      <c r="A2442" s="156" t="s">
        <v>4420</v>
      </c>
    </row>
    <row r="2443" spans="1:1">
      <c r="A2443" s="156" t="s">
        <v>4421</v>
      </c>
    </row>
    <row r="2444" spans="1:1">
      <c r="A2444" s="156" t="s">
        <v>4422</v>
      </c>
    </row>
    <row r="2445" spans="1:1">
      <c r="A2445" s="156" t="s">
        <v>4423</v>
      </c>
    </row>
    <row r="2446" spans="1:1">
      <c r="A2446" s="156" t="s">
        <v>4424</v>
      </c>
    </row>
    <row r="2447" spans="1:1">
      <c r="A2447" s="156" t="s">
        <v>4425</v>
      </c>
    </row>
    <row r="2448" spans="1:1">
      <c r="A2448" s="156" t="s">
        <v>4426</v>
      </c>
    </row>
    <row r="2449" spans="1:1">
      <c r="A2449" s="156" t="s">
        <v>4427</v>
      </c>
    </row>
    <row r="2450" spans="1:1">
      <c r="A2450" s="156" t="s">
        <v>4428</v>
      </c>
    </row>
    <row r="2451" spans="1:1">
      <c r="A2451" s="156" t="s">
        <v>4429</v>
      </c>
    </row>
    <row r="2452" spans="1:1">
      <c r="A2452" s="156" t="s">
        <v>4430</v>
      </c>
    </row>
    <row r="2453" spans="1:1">
      <c r="A2453" s="156" t="s">
        <v>4431</v>
      </c>
    </row>
    <row r="2454" spans="1:1">
      <c r="A2454" s="156" t="s">
        <v>4432</v>
      </c>
    </row>
    <row r="2455" spans="1:1">
      <c r="A2455" s="156" t="s">
        <v>4433</v>
      </c>
    </row>
    <row r="2456" spans="1:1">
      <c r="A2456" s="156" t="s">
        <v>4434</v>
      </c>
    </row>
    <row r="2457" spans="1:1">
      <c r="A2457" s="156" t="s">
        <v>4435</v>
      </c>
    </row>
    <row r="2458" spans="1:1">
      <c r="A2458" s="156" t="s">
        <v>4436</v>
      </c>
    </row>
    <row r="2459" spans="1:1">
      <c r="A2459" s="156" t="s">
        <v>4437</v>
      </c>
    </row>
    <row r="2460" spans="1:1">
      <c r="A2460" s="156" t="s">
        <v>4438</v>
      </c>
    </row>
    <row r="2461" spans="1:1">
      <c r="A2461" s="156" t="s">
        <v>4439</v>
      </c>
    </row>
    <row r="2462" spans="1:1">
      <c r="A2462" s="156" t="s">
        <v>4440</v>
      </c>
    </row>
    <row r="2463" spans="1:1">
      <c r="A2463" s="156" t="s">
        <v>4441</v>
      </c>
    </row>
    <row r="2464" spans="1:1">
      <c r="A2464" s="156" t="s">
        <v>4442</v>
      </c>
    </row>
    <row r="2465" spans="1:1">
      <c r="A2465" s="156" t="s">
        <v>4443</v>
      </c>
    </row>
    <row r="2466" spans="1:1">
      <c r="A2466" s="156" t="s">
        <v>4444</v>
      </c>
    </row>
    <row r="2467" spans="1:1">
      <c r="A2467" s="156" t="s">
        <v>4445</v>
      </c>
    </row>
    <row r="2468" spans="1:1">
      <c r="A2468" s="156" t="s">
        <v>4446</v>
      </c>
    </row>
    <row r="2469" spans="1:1">
      <c r="A2469" s="156" t="s">
        <v>4447</v>
      </c>
    </row>
    <row r="2470" spans="1:1">
      <c r="A2470" s="156" t="s">
        <v>4448</v>
      </c>
    </row>
    <row r="2471" spans="1:1">
      <c r="A2471" s="156" t="s">
        <v>4449</v>
      </c>
    </row>
    <row r="2472" spans="1:1">
      <c r="A2472" s="156" t="s">
        <v>4450</v>
      </c>
    </row>
    <row r="2473" spans="1:1">
      <c r="A2473" s="156" t="s">
        <v>4451</v>
      </c>
    </row>
    <row r="2474" spans="1:1">
      <c r="A2474" s="156" t="s">
        <v>4452</v>
      </c>
    </row>
    <row r="2475" spans="1:1">
      <c r="A2475" s="156" t="s">
        <v>4453</v>
      </c>
    </row>
    <row r="2476" spans="1:1">
      <c r="A2476" s="156" t="s">
        <v>4454</v>
      </c>
    </row>
    <row r="2477" spans="1:1">
      <c r="A2477" s="156" t="s">
        <v>4455</v>
      </c>
    </row>
    <row r="2478" spans="1:1">
      <c r="A2478" s="156" t="s">
        <v>4456</v>
      </c>
    </row>
    <row r="2479" spans="1:1">
      <c r="A2479" s="156" t="s">
        <v>4457</v>
      </c>
    </row>
    <row r="2480" spans="1:1">
      <c r="A2480" s="156" t="s">
        <v>4458</v>
      </c>
    </row>
    <row r="2481" spans="1:1">
      <c r="A2481" s="156" t="s">
        <v>4459</v>
      </c>
    </row>
    <row r="2482" spans="1:1">
      <c r="A2482" s="156" t="s">
        <v>4460</v>
      </c>
    </row>
    <row r="2483" spans="1:1">
      <c r="A2483" s="156" t="s">
        <v>4461</v>
      </c>
    </row>
    <row r="2484" spans="1:1">
      <c r="A2484" s="156" t="s">
        <v>4462</v>
      </c>
    </row>
    <row r="2485" spans="1:1">
      <c r="A2485" s="156" t="s">
        <v>4463</v>
      </c>
    </row>
    <row r="2486" spans="1:1">
      <c r="A2486" s="156" t="s">
        <v>4464</v>
      </c>
    </row>
    <row r="2487" spans="1:1">
      <c r="A2487" s="156" t="s">
        <v>4465</v>
      </c>
    </row>
    <row r="2488" spans="1:1">
      <c r="A2488" s="156" t="s">
        <v>4466</v>
      </c>
    </row>
    <row r="2489" spans="1:1">
      <c r="A2489" s="156" t="s">
        <v>4467</v>
      </c>
    </row>
    <row r="2490" spans="1:1">
      <c r="A2490" s="156" t="s">
        <v>4468</v>
      </c>
    </row>
    <row r="2491" spans="1:1">
      <c r="A2491" s="156" t="s">
        <v>4469</v>
      </c>
    </row>
    <row r="2492" spans="1:1">
      <c r="A2492" s="156" t="s">
        <v>4470</v>
      </c>
    </row>
    <row r="2493" spans="1:1">
      <c r="A2493" s="156" t="s">
        <v>4471</v>
      </c>
    </row>
    <row r="2494" spans="1:1">
      <c r="A2494" s="156" t="s">
        <v>4472</v>
      </c>
    </row>
    <row r="2495" spans="1:1">
      <c r="A2495" s="156" t="s">
        <v>4473</v>
      </c>
    </row>
    <row r="2496" spans="1:1">
      <c r="A2496" s="156" t="s">
        <v>4474</v>
      </c>
    </row>
    <row r="2497" spans="1:1">
      <c r="A2497" s="156" t="s">
        <v>4475</v>
      </c>
    </row>
    <row r="2498" spans="1:1">
      <c r="A2498" s="156" t="s">
        <v>4476</v>
      </c>
    </row>
    <row r="2499" spans="1:1">
      <c r="A2499" s="156" t="s">
        <v>4477</v>
      </c>
    </row>
    <row r="2500" spans="1:1">
      <c r="A2500" s="156" t="s">
        <v>4478</v>
      </c>
    </row>
    <row r="2501" spans="1:1">
      <c r="A2501" s="156" t="s">
        <v>4479</v>
      </c>
    </row>
    <row r="2502" spans="1:1">
      <c r="A2502" s="156" t="s">
        <v>4480</v>
      </c>
    </row>
    <row r="2503" spans="1:1">
      <c r="A2503" s="156" t="s">
        <v>4481</v>
      </c>
    </row>
    <row r="2504" spans="1:1">
      <c r="A2504" s="156" t="s">
        <v>4482</v>
      </c>
    </row>
    <row r="2505" spans="1:1">
      <c r="A2505" s="156" t="s">
        <v>4483</v>
      </c>
    </row>
    <row r="2506" spans="1:1">
      <c r="A2506" s="156" t="s">
        <v>4484</v>
      </c>
    </row>
    <row r="2507" spans="1:1">
      <c r="A2507" s="156" t="s">
        <v>4485</v>
      </c>
    </row>
    <row r="2508" spans="1:1">
      <c r="A2508" s="156" t="s">
        <v>4486</v>
      </c>
    </row>
    <row r="2509" spans="1:1">
      <c r="A2509" s="156" t="s">
        <v>4487</v>
      </c>
    </row>
    <row r="2510" spans="1:1">
      <c r="A2510" s="156" t="s">
        <v>4488</v>
      </c>
    </row>
    <row r="2511" spans="1:1">
      <c r="A2511" s="156" t="s">
        <v>4489</v>
      </c>
    </row>
    <row r="2512" spans="1:1">
      <c r="A2512" s="156" t="s">
        <v>4490</v>
      </c>
    </row>
    <row r="2513" spans="1:1">
      <c r="A2513" s="156" t="s">
        <v>4491</v>
      </c>
    </row>
    <row r="2514" spans="1:1">
      <c r="A2514" s="156" t="s">
        <v>4492</v>
      </c>
    </row>
    <row r="2515" spans="1:1">
      <c r="A2515" s="156" t="s">
        <v>4493</v>
      </c>
    </row>
    <row r="2516" spans="1:1">
      <c r="A2516" s="156" t="s">
        <v>4494</v>
      </c>
    </row>
    <row r="2517" spans="1:1">
      <c r="A2517" s="156" t="s">
        <v>4495</v>
      </c>
    </row>
    <row r="2518" spans="1:1">
      <c r="A2518" s="156" t="s">
        <v>4496</v>
      </c>
    </row>
    <row r="2519" spans="1:1">
      <c r="A2519" s="156" t="s">
        <v>4497</v>
      </c>
    </row>
    <row r="2520" spans="1:1">
      <c r="A2520" s="156" t="s">
        <v>4498</v>
      </c>
    </row>
    <row r="2521" spans="1:1">
      <c r="A2521" s="156" t="s">
        <v>4499</v>
      </c>
    </row>
    <row r="2522" spans="1:1">
      <c r="A2522" s="156" t="s">
        <v>4500</v>
      </c>
    </row>
    <row r="2523" spans="1:1">
      <c r="A2523" s="156" t="s">
        <v>4501</v>
      </c>
    </row>
    <row r="2524" spans="1:1">
      <c r="A2524" s="156" t="s">
        <v>4502</v>
      </c>
    </row>
    <row r="2525" spans="1:1">
      <c r="A2525" s="156" t="s">
        <v>4503</v>
      </c>
    </row>
    <row r="2526" spans="1:1">
      <c r="A2526" s="156" t="s">
        <v>4504</v>
      </c>
    </row>
    <row r="2527" spans="1:1">
      <c r="A2527" s="156" t="s">
        <v>4505</v>
      </c>
    </row>
    <row r="2528" spans="1:1">
      <c r="A2528" s="156" t="s">
        <v>4506</v>
      </c>
    </row>
    <row r="2529" spans="1:1">
      <c r="A2529" s="156" t="s">
        <v>4507</v>
      </c>
    </row>
    <row r="2530" spans="1:1">
      <c r="A2530" s="156" t="s">
        <v>4508</v>
      </c>
    </row>
    <row r="2531" spans="1:1">
      <c r="A2531" s="156" t="s">
        <v>4509</v>
      </c>
    </row>
    <row r="2532" spans="1:1">
      <c r="A2532" s="156" t="s">
        <v>4510</v>
      </c>
    </row>
    <row r="2533" spans="1:1">
      <c r="A2533" s="156" t="s">
        <v>4511</v>
      </c>
    </row>
    <row r="2534" spans="1:1">
      <c r="A2534" s="156" t="s">
        <v>4512</v>
      </c>
    </row>
    <row r="2535" spans="1:1">
      <c r="A2535" s="156" t="s">
        <v>4513</v>
      </c>
    </row>
    <row r="2536" spans="1:1">
      <c r="A2536" s="156" t="s">
        <v>4514</v>
      </c>
    </row>
    <row r="2537" spans="1:1">
      <c r="A2537" s="156" t="s">
        <v>4515</v>
      </c>
    </row>
    <row r="2538" spans="1:1">
      <c r="A2538" s="156" t="s">
        <v>4516</v>
      </c>
    </row>
    <row r="2539" spans="1:1">
      <c r="A2539" s="156" t="s">
        <v>4517</v>
      </c>
    </row>
    <row r="2540" spans="1:1">
      <c r="A2540" s="156" t="s">
        <v>4518</v>
      </c>
    </row>
    <row r="2541" spans="1:1">
      <c r="A2541" s="156" t="s">
        <v>4519</v>
      </c>
    </row>
    <row r="2542" spans="1:1">
      <c r="A2542" s="156" t="s">
        <v>4520</v>
      </c>
    </row>
    <row r="2543" spans="1:1">
      <c r="A2543" s="156" t="s">
        <v>4521</v>
      </c>
    </row>
    <row r="2544" spans="1:1">
      <c r="A2544" s="156" t="s">
        <v>4522</v>
      </c>
    </row>
    <row r="2545" spans="1:1">
      <c r="A2545" s="156" t="s">
        <v>4523</v>
      </c>
    </row>
    <row r="2546" spans="1:1">
      <c r="A2546" s="156" t="s">
        <v>4524</v>
      </c>
    </row>
    <row r="2547" spans="1:1">
      <c r="A2547" s="156" t="s">
        <v>4525</v>
      </c>
    </row>
    <row r="2548" spans="1:1">
      <c r="A2548" s="156" t="s">
        <v>4526</v>
      </c>
    </row>
    <row r="2549" spans="1:1">
      <c r="A2549" s="156" t="s">
        <v>4527</v>
      </c>
    </row>
    <row r="2550" spans="1:1">
      <c r="A2550" s="156" t="s">
        <v>4528</v>
      </c>
    </row>
    <row r="2551" spans="1:1">
      <c r="A2551" s="156" t="s">
        <v>4529</v>
      </c>
    </row>
    <row r="2552" spans="1:1">
      <c r="A2552" s="156" t="s">
        <v>4530</v>
      </c>
    </row>
    <row r="2553" spans="1:1">
      <c r="A2553" s="156" t="s">
        <v>4531</v>
      </c>
    </row>
    <row r="2554" spans="1:1">
      <c r="A2554" s="156" t="s">
        <v>4532</v>
      </c>
    </row>
    <row r="2555" spans="1:1">
      <c r="A2555" s="156" t="s">
        <v>4533</v>
      </c>
    </row>
    <row r="2556" spans="1:1">
      <c r="A2556" s="156" t="s">
        <v>4534</v>
      </c>
    </row>
    <row r="2557" spans="1:1">
      <c r="A2557" s="156" t="s">
        <v>4535</v>
      </c>
    </row>
    <row r="2558" spans="1:1">
      <c r="A2558" s="156" t="s">
        <v>4536</v>
      </c>
    </row>
    <row r="2559" spans="1:1">
      <c r="A2559" s="156" t="s">
        <v>4537</v>
      </c>
    </row>
    <row r="2560" spans="1:1">
      <c r="A2560" s="156" t="s">
        <v>4538</v>
      </c>
    </row>
    <row r="2561" spans="1:1">
      <c r="A2561" s="156" t="s">
        <v>4539</v>
      </c>
    </row>
    <row r="2562" spans="1:1">
      <c r="A2562" s="156" t="s">
        <v>4540</v>
      </c>
    </row>
    <row r="2563" spans="1:1">
      <c r="A2563" s="156" t="s">
        <v>4541</v>
      </c>
    </row>
    <row r="2564" spans="1:1">
      <c r="A2564" s="156" t="s">
        <v>4542</v>
      </c>
    </row>
    <row r="2565" spans="1:1">
      <c r="A2565" s="156" t="s">
        <v>4543</v>
      </c>
    </row>
    <row r="2566" spans="1:1">
      <c r="A2566" s="156" t="s">
        <v>4544</v>
      </c>
    </row>
    <row r="2567" spans="1:1">
      <c r="A2567" s="156" t="s">
        <v>4545</v>
      </c>
    </row>
    <row r="2568" spans="1:1">
      <c r="A2568" s="156" t="s">
        <v>4546</v>
      </c>
    </row>
    <row r="2569" spans="1:1">
      <c r="A2569" s="156" t="s">
        <v>4547</v>
      </c>
    </row>
    <row r="2570" spans="1:1">
      <c r="A2570" s="156" t="s">
        <v>4548</v>
      </c>
    </row>
    <row r="2571" spans="1:1">
      <c r="A2571" s="156" t="s">
        <v>4549</v>
      </c>
    </row>
    <row r="2572" spans="1:1">
      <c r="A2572" s="156" t="s">
        <v>4550</v>
      </c>
    </row>
    <row r="2573" spans="1:1">
      <c r="A2573" s="156" t="s">
        <v>4551</v>
      </c>
    </row>
    <row r="2574" spans="1:1">
      <c r="A2574" s="156" t="s">
        <v>4552</v>
      </c>
    </row>
    <row r="2575" spans="1:1">
      <c r="A2575" s="156" t="s">
        <v>4553</v>
      </c>
    </row>
    <row r="2576" spans="1:1">
      <c r="A2576" s="156" t="s">
        <v>4554</v>
      </c>
    </row>
    <row r="2577" spans="1:1">
      <c r="A2577" s="156" t="s">
        <v>4555</v>
      </c>
    </row>
    <row r="2578" spans="1:1">
      <c r="A2578" s="156" t="s">
        <v>4556</v>
      </c>
    </row>
    <row r="2579" spans="1:1">
      <c r="A2579" s="156" t="s">
        <v>4557</v>
      </c>
    </row>
    <row r="2580" spans="1:1">
      <c r="A2580" s="156" t="s">
        <v>4558</v>
      </c>
    </row>
    <row r="2581" spans="1:1">
      <c r="A2581" s="156" t="s">
        <v>4559</v>
      </c>
    </row>
    <row r="2582" spans="1:1">
      <c r="A2582" s="156" t="s">
        <v>4560</v>
      </c>
    </row>
    <row r="2583" spans="1:1">
      <c r="A2583" s="156" t="s">
        <v>4561</v>
      </c>
    </row>
    <row r="2584" spans="1:1">
      <c r="A2584" s="156" t="s">
        <v>4562</v>
      </c>
    </row>
    <row r="2585" spans="1:1">
      <c r="A2585" s="156" t="s">
        <v>4563</v>
      </c>
    </row>
    <row r="2586" spans="1:1">
      <c r="A2586" s="156" t="s">
        <v>4564</v>
      </c>
    </row>
    <row r="2587" spans="1:1">
      <c r="A2587" s="156" t="s">
        <v>4565</v>
      </c>
    </row>
    <row r="2588" spans="1:1">
      <c r="A2588" s="156" t="s">
        <v>4566</v>
      </c>
    </row>
    <row r="2589" spans="1:1">
      <c r="A2589" s="156" t="s">
        <v>4567</v>
      </c>
    </row>
    <row r="2590" spans="1:1">
      <c r="A2590" s="156" t="s">
        <v>4568</v>
      </c>
    </row>
    <row r="2591" spans="1:1">
      <c r="A2591" s="156" t="s">
        <v>4569</v>
      </c>
    </row>
    <row r="2592" spans="1:1">
      <c r="A2592" s="156" t="s">
        <v>4570</v>
      </c>
    </row>
    <row r="2593" spans="1:1">
      <c r="A2593" s="156" t="s">
        <v>4571</v>
      </c>
    </row>
    <row r="2594" spans="1:1">
      <c r="A2594" s="156" t="s">
        <v>4572</v>
      </c>
    </row>
    <row r="2595" spans="1:1">
      <c r="A2595" s="156" t="s">
        <v>4573</v>
      </c>
    </row>
    <row r="2596" spans="1:1">
      <c r="A2596" s="156" t="s">
        <v>4574</v>
      </c>
    </row>
    <row r="2597" spans="1:1">
      <c r="A2597" s="156" t="s">
        <v>4575</v>
      </c>
    </row>
    <row r="2598" spans="1:1">
      <c r="A2598" s="156" t="s">
        <v>4576</v>
      </c>
    </row>
    <row r="2599" spans="1:1">
      <c r="A2599" s="156" t="s">
        <v>4577</v>
      </c>
    </row>
    <row r="2600" spans="1:1">
      <c r="A2600" s="156" t="s">
        <v>4578</v>
      </c>
    </row>
    <row r="2601" spans="1:1">
      <c r="A2601" s="156" t="s">
        <v>4579</v>
      </c>
    </row>
    <row r="2602" spans="1:1">
      <c r="A2602" s="156" t="s">
        <v>4580</v>
      </c>
    </row>
    <row r="2603" spans="1:1">
      <c r="A2603" s="156" t="s">
        <v>4581</v>
      </c>
    </row>
    <row r="2604" spans="1:1">
      <c r="A2604" s="156" t="s">
        <v>4582</v>
      </c>
    </row>
    <row r="2605" spans="1:1">
      <c r="A2605" s="156" t="s">
        <v>4583</v>
      </c>
    </row>
    <row r="2606" spans="1:1">
      <c r="A2606" s="156" t="s">
        <v>4584</v>
      </c>
    </row>
    <row r="2607" spans="1:1">
      <c r="A2607" s="156" t="s">
        <v>4585</v>
      </c>
    </row>
    <row r="2608" spans="1:1">
      <c r="A2608" s="156" t="s">
        <v>4586</v>
      </c>
    </row>
    <row r="2609" spans="1:1">
      <c r="A2609" s="156" t="s">
        <v>4587</v>
      </c>
    </row>
    <row r="2610" spans="1:1">
      <c r="A2610" s="156" t="s">
        <v>4588</v>
      </c>
    </row>
    <row r="2611" spans="1:1">
      <c r="A2611" s="156" t="s">
        <v>4589</v>
      </c>
    </row>
    <row r="2612" spans="1:1">
      <c r="A2612" s="156" t="s">
        <v>4590</v>
      </c>
    </row>
    <row r="2613" spans="1:1">
      <c r="A2613" s="156" t="s">
        <v>4591</v>
      </c>
    </row>
    <row r="2614" spans="1:1">
      <c r="A2614" s="156" t="s">
        <v>4592</v>
      </c>
    </row>
    <row r="2615" spans="1:1">
      <c r="A2615" s="156" t="s">
        <v>4593</v>
      </c>
    </row>
    <row r="2616" spans="1:1">
      <c r="A2616" s="156" t="s">
        <v>4594</v>
      </c>
    </row>
    <row r="2617" spans="1:1">
      <c r="A2617" s="156" t="s">
        <v>4595</v>
      </c>
    </row>
    <row r="2618" spans="1:1">
      <c r="A2618" s="156" t="s">
        <v>4596</v>
      </c>
    </row>
    <row r="2619" spans="1:1">
      <c r="A2619" s="156" t="s">
        <v>4597</v>
      </c>
    </row>
    <row r="2620" spans="1:1">
      <c r="A2620" s="156" t="s">
        <v>4598</v>
      </c>
    </row>
    <row r="2621" spans="1:1">
      <c r="A2621" s="156" t="s">
        <v>4599</v>
      </c>
    </row>
    <row r="2622" spans="1:1">
      <c r="A2622" s="156" t="s">
        <v>4600</v>
      </c>
    </row>
    <row r="2623" spans="1:1">
      <c r="A2623" s="156" t="s">
        <v>4601</v>
      </c>
    </row>
    <row r="2624" spans="1:1">
      <c r="A2624" s="156" t="s">
        <v>4602</v>
      </c>
    </row>
    <row r="2625" spans="1:1">
      <c r="A2625" s="156" t="s">
        <v>4603</v>
      </c>
    </row>
    <row r="2626" spans="1:1">
      <c r="A2626" s="156" t="s">
        <v>4604</v>
      </c>
    </row>
    <row r="2627" spans="1:1">
      <c r="A2627" s="156" t="s">
        <v>4605</v>
      </c>
    </row>
    <row r="2628" spans="1:1">
      <c r="A2628" s="156" t="s">
        <v>4606</v>
      </c>
    </row>
    <row r="2629" spans="1:1">
      <c r="A2629" s="156" t="s">
        <v>4607</v>
      </c>
    </row>
    <row r="2630" spans="1:1">
      <c r="A2630" s="156" t="s">
        <v>4608</v>
      </c>
    </row>
    <row r="2631" spans="1:1">
      <c r="A2631" s="156" t="s">
        <v>4609</v>
      </c>
    </row>
    <row r="2632" spans="1:1">
      <c r="A2632" s="156" t="s">
        <v>4610</v>
      </c>
    </row>
    <row r="2633" spans="1:1">
      <c r="A2633" s="156" t="s">
        <v>4611</v>
      </c>
    </row>
    <row r="2634" spans="1:1">
      <c r="A2634" s="156" t="s">
        <v>4612</v>
      </c>
    </row>
    <row r="2635" spans="1:1">
      <c r="A2635" s="156" t="s">
        <v>4613</v>
      </c>
    </row>
    <row r="2636" spans="1:1">
      <c r="A2636" s="156" t="s">
        <v>4614</v>
      </c>
    </row>
    <row r="2637" spans="1:1">
      <c r="A2637" s="156" t="s">
        <v>4615</v>
      </c>
    </row>
    <row r="2638" spans="1:1">
      <c r="A2638" s="156" t="s">
        <v>4616</v>
      </c>
    </row>
    <row r="2639" spans="1:1">
      <c r="A2639" s="156" t="s">
        <v>4617</v>
      </c>
    </row>
    <row r="2640" spans="1:1">
      <c r="A2640" s="156" t="s">
        <v>4618</v>
      </c>
    </row>
    <row r="2641" spans="1:1">
      <c r="A2641" s="156" t="s">
        <v>4619</v>
      </c>
    </row>
    <row r="2642" spans="1:1">
      <c r="A2642" s="156" t="s">
        <v>4620</v>
      </c>
    </row>
    <row r="2643" spans="1:1">
      <c r="A2643" s="156" t="s">
        <v>4621</v>
      </c>
    </row>
    <row r="2644" spans="1:1">
      <c r="A2644" s="156" t="s">
        <v>4622</v>
      </c>
    </row>
    <row r="2645" spans="1:1">
      <c r="A2645" s="156" t="s">
        <v>4623</v>
      </c>
    </row>
    <row r="2646" spans="1:1">
      <c r="A2646" s="156" t="s">
        <v>4624</v>
      </c>
    </row>
    <row r="2647" spans="1:1">
      <c r="A2647" s="156" t="s">
        <v>4625</v>
      </c>
    </row>
    <row r="2648" spans="1:1">
      <c r="A2648" s="156" t="s">
        <v>4626</v>
      </c>
    </row>
    <row r="2649" spans="1:1">
      <c r="A2649" s="156" t="s">
        <v>4627</v>
      </c>
    </row>
    <row r="2650" spans="1:1">
      <c r="A2650" s="156" t="s">
        <v>4628</v>
      </c>
    </row>
    <row r="2651" spans="1:1">
      <c r="A2651" s="156" t="s">
        <v>4629</v>
      </c>
    </row>
    <row r="2652" spans="1:1">
      <c r="A2652" s="156" t="s">
        <v>4630</v>
      </c>
    </row>
    <row r="2653" spans="1:1">
      <c r="A2653" s="156" t="s">
        <v>4631</v>
      </c>
    </row>
    <row r="2654" spans="1:1">
      <c r="A2654" s="156" t="s">
        <v>4632</v>
      </c>
    </row>
    <row r="2655" spans="1:1">
      <c r="A2655" s="156" t="s">
        <v>4633</v>
      </c>
    </row>
    <row r="2656" spans="1:1">
      <c r="A2656" s="156" t="s">
        <v>4634</v>
      </c>
    </row>
    <row r="2657" spans="1:1">
      <c r="A2657" s="156" t="s">
        <v>4635</v>
      </c>
    </row>
    <row r="2658" spans="1:1">
      <c r="A2658" s="156" t="s">
        <v>4636</v>
      </c>
    </row>
    <row r="2659" spans="1:1">
      <c r="A2659" s="156" t="s">
        <v>4637</v>
      </c>
    </row>
    <row r="2660" spans="1:1">
      <c r="A2660" s="156" t="s">
        <v>4638</v>
      </c>
    </row>
    <row r="2661" spans="1:1">
      <c r="A2661" s="156" t="s">
        <v>4639</v>
      </c>
    </row>
    <row r="2662" spans="1:1">
      <c r="A2662" s="156" t="s">
        <v>4640</v>
      </c>
    </row>
    <row r="2663" spans="1:1">
      <c r="A2663" s="156" t="s">
        <v>4641</v>
      </c>
    </row>
    <row r="2664" spans="1:1">
      <c r="A2664" s="156" t="s">
        <v>4642</v>
      </c>
    </row>
    <row r="2665" spans="1:1">
      <c r="A2665" s="156" t="s">
        <v>4643</v>
      </c>
    </row>
    <row r="2666" spans="1:1">
      <c r="A2666" s="156" t="s">
        <v>4644</v>
      </c>
    </row>
    <row r="2667" spans="1:1">
      <c r="A2667" s="156" t="s">
        <v>4645</v>
      </c>
    </row>
    <row r="2668" spans="1:1">
      <c r="A2668" s="156" t="s">
        <v>4646</v>
      </c>
    </row>
    <row r="2669" spans="1:1">
      <c r="A2669" s="156" t="s">
        <v>4647</v>
      </c>
    </row>
    <row r="2670" spans="1:1">
      <c r="A2670" s="156" t="s">
        <v>4648</v>
      </c>
    </row>
    <row r="2671" spans="1:1">
      <c r="A2671" s="156" t="s">
        <v>4649</v>
      </c>
    </row>
    <row r="2672" spans="1:1">
      <c r="A2672" s="156" t="s">
        <v>4650</v>
      </c>
    </row>
    <row r="2673" spans="1:1">
      <c r="A2673" s="156" t="s">
        <v>4651</v>
      </c>
    </row>
    <row r="2674" spans="1:1">
      <c r="A2674" s="156" t="s">
        <v>4652</v>
      </c>
    </row>
    <row r="2675" spans="1:1">
      <c r="A2675" s="156" t="s">
        <v>4653</v>
      </c>
    </row>
    <row r="2676" spans="1:1">
      <c r="A2676" s="156" t="s">
        <v>4654</v>
      </c>
    </row>
    <row r="2677" spans="1:1">
      <c r="A2677" s="156" t="s">
        <v>4655</v>
      </c>
    </row>
    <row r="2678" spans="1:1">
      <c r="A2678" s="156" t="s">
        <v>4656</v>
      </c>
    </row>
    <row r="2679" spans="1:1">
      <c r="A2679" s="156" t="s">
        <v>4657</v>
      </c>
    </row>
    <row r="2680" spans="1:1">
      <c r="A2680" s="156" t="s">
        <v>4658</v>
      </c>
    </row>
    <row r="2681" spans="1:1">
      <c r="A2681" s="156" t="s">
        <v>4659</v>
      </c>
    </row>
    <row r="2682" spans="1:1">
      <c r="A2682" s="156" t="s">
        <v>4660</v>
      </c>
    </row>
    <row r="2683" spans="1:1">
      <c r="A2683" s="156" t="s">
        <v>4661</v>
      </c>
    </row>
    <row r="2684" spans="1:1">
      <c r="A2684" s="156" t="s">
        <v>4662</v>
      </c>
    </row>
    <row r="2685" spans="1:1">
      <c r="A2685" s="156" t="s">
        <v>4663</v>
      </c>
    </row>
    <row r="2686" spans="1:1">
      <c r="A2686" s="156" t="s">
        <v>4664</v>
      </c>
    </row>
    <row r="2687" spans="1:1">
      <c r="A2687" s="156" t="s">
        <v>4665</v>
      </c>
    </row>
    <row r="2688" spans="1:1">
      <c r="A2688" s="156" t="s">
        <v>4666</v>
      </c>
    </row>
    <row r="2689" spans="1:1">
      <c r="A2689" s="156" t="s">
        <v>4667</v>
      </c>
    </row>
    <row r="2690" spans="1:1">
      <c r="A2690" s="156" t="s">
        <v>4668</v>
      </c>
    </row>
    <row r="2691" spans="1:1">
      <c r="A2691" s="156" t="s">
        <v>4669</v>
      </c>
    </row>
    <row r="2692" spans="1:1">
      <c r="A2692" s="156" t="s">
        <v>4670</v>
      </c>
    </row>
    <row r="2693" spans="1:1">
      <c r="A2693" s="156" t="s">
        <v>4671</v>
      </c>
    </row>
    <row r="2694" spans="1:1">
      <c r="A2694" s="156" t="s">
        <v>4672</v>
      </c>
    </row>
    <row r="2695" spans="1:1">
      <c r="A2695" s="156" t="s">
        <v>4673</v>
      </c>
    </row>
    <row r="2696" spans="1:1">
      <c r="A2696" s="156" t="s">
        <v>4674</v>
      </c>
    </row>
    <row r="2697" spans="1:1">
      <c r="A2697" s="156" t="s">
        <v>4675</v>
      </c>
    </row>
    <row r="2698" spans="1:1">
      <c r="A2698" s="156" t="s">
        <v>4676</v>
      </c>
    </row>
    <row r="2699" spans="1:1">
      <c r="A2699" s="156" t="s">
        <v>4677</v>
      </c>
    </row>
    <row r="2700" spans="1:1">
      <c r="A2700" s="156" t="s">
        <v>4678</v>
      </c>
    </row>
    <row r="2701" spans="1:1">
      <c r="A2701" s="156" t="s">
        <v>4679</v>
      </c>
    </row>
    <row r="2702" spans="1:1">
      <c r="A2702" s="156" t="s">
        <v>4680</v>
      </c>
    </row>
    <row r="2703" spans="1:1">
      <c r="A2703" s="156" t="s">
        <v>4681</v>
      </c>
    </row>
    <row r="2704" spans="1:1">
      <c r="A2704" s="156" t="s">
        <v>4682</v>
      </c>
    </row>
    <row r="2705" spans="1:1">
      <c r="A2705" s="156" t="s">
        <v>4683</v>
      </c>
    </row>
    <row r="2706" spans="1:1">
      <c r="A2706" s="156" t="s">
        <v>4684</v>
      </c>
    </row>
    <row r="2707" spans="1:1">
      <c r="A2707" s="156" t="s">
        <v>4685</v>
      </c>
    </row>
    <row r="2708" spans="1:1">
      <c r="A2708" s="156" t="s">
        <v>4686</v>
      </c>
    </row>
    <row r="2709" spans="1:1">
      <c r="A2709" s="156" t="s">
        <v>4687</v>
      </c>
    </row>
    <row r="2710" spans="1:1">
      <c r="A2710" s="156" t="s">
        <v>4688</v>
      </c>
    </row>
    <row r="2711" spans="1:1">
      <c r="A2711" s="156" t="s">
        <v>4689</v>
      </c>
    </row>
    <row r="2712" spans="1:1">
      <c r="A2712" s="156" t="s">
        <v>4690</v>
      </c>
    </row>
    <row r="2713" spans="1:1">
      <c r="A2713" s="156" t="s">
        <v>4691</v>
      </c>
    </row>
    <row r="2714" spans="1:1">
      <c r="A2714" s="156" t="s">
        <v>4692</v>
      </c>
    </row>
    <row r="2715" spans="1:1">
      <c r="A2715" s="156" t="s">
        <v>4693</v>
      </c>
    </row>
    <row r="2716" spans="1:1">
      <c r="A2716" s="156" t="s">
        <v>4694</v>
      </c>
    </row>
    <row r="2717" spans="1:1">
      <c r="A2717" s="156" t="s">
        <v>4695</v>
      </c>
    </row>
    <row r="2718" spans="1:1">
      <c r="A2718" s="156" t="s">
        <v>4696</v>
      </c>
    </row>
    <row r="2719" spans="1:1">
      <c r="A2719" s="156" t="s">
        <v>4697</v>
      </c>
    </row>
    <row r="2720" spans="1:1">
      <c r="A2720" s="156" t="s">
        <v>4698</v>
      </c>
    </row>
    <row r="2721" spans="1:1">
      <c r="A2721" s="156" t="s">
        <v>4699</v>
      </c>
    </row>
    <row r="2722" spans="1:1">
      <c r="A2722" s="156" t="s">
        <v>4700</v>
      </c>
    </row>
    <row r="2723" spans="1:1">
      <c r="A2723" s="156" t="s">
        <v>4701</v>
      </c>
    </row>
    <row r="2724" spans="1:1">
      <c r="A2724" s="156" t="s">
        <v>4702</v>
      </c>
    </row>
    <row r="2725" spans="1:1">
      <c r="A2725" s="156" t="s">
        <v>4703</v>
      </c>
    </row>
    <row r="2726" spans="1:1">
      <c r="A2726" s="156" t="s">
        <v>4704</v>
      </c>
    </row>
    <row r="2727" spans="1:1">
      <c r="A2727" s="156" t="s">
        <v>4705</v>
      </c>
    </row>
    <row r="2728" spans="1:1">
      <c r="A2728" s="156" t="s">
        <v>4706</v>
      </c>
    </row>
    <row r="2729" spans="1:1">
      <c r="A2729" s="156" t="s">
        <v>4707</v>
      </c>
    </row>
    <row r="2730" spans="1:1">
      <c r="A2730" s="156" t="s">
        <v>4708</v>
      </c>
    </row>
    <row r="2731" spans="1:1">
      <c r="A2731" s="156" t="s">
        <v>4709</v>
      </c>
    </row>
    <row r="2732" spans="1:1">
      <c r="A2732" s="156" t="s">
        <v>4710</v>
      </c>
    </row>
    <row r="2733" spans="1:1">
      <c r="A2733" s="156" t="s">
        <v>4711</v>
      </c>
    </row>
    <row r="2734" spans="1:1">
      <c r="A2734" s="156" t="s">
        <v>4712</v>
      </c>
    </row>
    <row r="2735" spans="1:1">
      <c r="A2735" s="156" t="s">
        <v>4713</v>
      </c>
    </row>
    <row r="2736" spans="1:1">
      <c r="A2736" s="156" t="s">
        <v>4714</v>
      </c>
    </row>
    <row r="2737" spans="1:1">
      <c r="A2737" s="156" t="s">
        <v>4715</v>
      </c>
    </row>
    <row r="2738" spans="1:1">
      <c r="A2738" s="156" t="s">
        <v>4716</v>
      </c>
    </row>
    <row r="2739" spans="1:1">
      <c r="A2739" s="156" t="s">
        <v>4717</v>
      </c>
    </row>
    <row r="2740" spans="1:1">
      <c r="A2740" s="156" t="s">
        <v>4718</v>
      </c>
    </row>
    <row r="2741" spans="1:1">
      <c r="A2741" s="156" t="s">
        <v>4719</v>
      </c>
    </row>
    <row r="2742" spans="1:1">
      <c r="A2742" s="156" t="s">
        <v>4720</v>
      </c>
    </row>
    <row r="2743" spans="1:1">
      <c r="A2743" s="156" t="s">
        <v>4721</v>
      </c>
    </row>
    <row r="2744" spans="1:1">
      <c r="A2744" s="156" t="s">
        <v>4722</v>
      </c>
    </row>
    <row r="2745" spans="1:1">
      <c r="A2745" s="156" t="s">
        <v>4723</v>
      </c>
    </row>
    <row r="2746" spans="1:1">
      <c r="A2746" s="156" t="s">
        <v>4724</v>
      </c>
    </row>
    <row r="2747" spans="1:1">
      <c r="A2747" s="156" t="s">
        <v>4725</v>
      </c>
    </row>
    <row r="2748" spans="1:1">
      <c r="A2748" s="156" t="s">
        <v>4726</v>
      </c>
    </row>
    <row r="2749" spans="1:1">
      <c r="A2749" s="156" t="s">
        <v>4727</v>
      </c>
    </row>
    <row r="2750" spans="1:1">
      <c r="A2750" s="156" t="s">
        <v>4728</v>
      </c>
    </row>
    <row r="2751" spans="1:1">
      <c r="A2751" s="156" t="s">
        <v>4729</v>
      </c>
    </row>
    <row r="2752" spans="1:1">
      <c r="A2752" s="156" t="s">
        <v>4730</v>
      </c>
    </row>
    <row r="2753" spans="1:1">
      <c r="A2753" s="156" t="s">
        <v>4731</v>
      </c>
    </row>
    <row r="2754" spans="1:1">
      <c r="A2754" s="156" t="s">
        <v>4732</v>
      </c>
    </row>
    <row r="2755" spans="1:1">
      <c r="A2755" s="156" t="s">
        <v>4733</v>
      </c>
    </row>
    <row r="2756" spans="1:1">
      <c r="A2756" s="156" t="s">
        <v>4734</v>
      </c>
    </row>
    <row r="2757" spans="1:1">
      <c r="A2757" s="156" t="s">
        <v>4735</v>
      </c>
    </row>
    <row r="2758" spans="1:1">
      <c r="A2758" s="156" t="s">
        <v>4736</v>
      </c>
    </row>
    <row r="2759" spans="1:1">
      <c r="A2759" s="156" t="s">
        <v>4737</v>
      </c>
    </row>
    <row r="2760" spans="1:1">
      <c r="A2760" s="156" t="s">
        <v>4738</v>
      </c>
    </row>
    <row r="2761" spans="1:1">
      <c r="A2761" s="156" t="s">
        <v>4739</v>
      </c>
    </row>
    <row r="2762" spans="1:1">
      <c r="A2762" s="156" t="s">
        <v>4740</v>
      </c>
    </row>
    <row r="2763" spans="1:1">
      <c r="A2763" s="156" t="s">
        <v>4741</v>
      </c>
    </row>
    <row r="2764" spans="1:1">
      <c r="A2764" s="156" t="s">
        <v>4742</v>
      </c>
    </row>
    <row r="2765" spans="1:1">
      <c r="A2765" s="156" t="s">
        <v>4743</v>
      </c>
    </row>
    <row r="2766" spans="1:1">
      <c r="A2766" s="156" t="s">
        <v>4744</v>
      </c>
    </row>
    <row r="2767" spans="1:1">
      <c r="A2767" s="156" t="s">
        <v>4745</v>
      </c>
    </row>
    <row r="2768" spans="1:1">
      <c r="A2768" s="156" t="s">
        <v>4746</v>
      </c>
    </row>
    <row r="2769" spans="1:1">
      <c r="A2769" s="156" t="s">
        <v>4747</v>
      </c>
    </row>
    <row r="2770" spans="1:1">
      <c r="A2770" s="156" t="s">
        <v>4748</v>
      </c>
    </row>
    <row r="2771" spans="1:1">
      <c r="A2771" s="156" t="s">
        <v>4749</v>
      </c>
    </row>
    <row r="2772" spans="1:1">
      <c r="A2772" s="156" t="s">
        <v>4750</v>
      </c>
    </row>
    <row r="2773" spans="1:1">
      <c r="A2773" s="156" t="s">
        <v>4751</v>
      </c>
    </row>
    <row r="2774" spans="1:1">
      <c r="A2774" s="156" t="s">
        <v>4752</v>
      </c>
    </row>
    <row r="2775" spans="1:1">
      <c r="A2775" s="156" t="s">
        <v>4753</v>
      </c>
    </row>
    <row r="2776" spans="1:1">
      <c r="A2776" s="156" t="s">
        <v>4754</v>
      </c>
    </row>
    <row r="2777" spans="1:1">
      <c r="A2777" s="156" t="s">
        <v>4755</v>
      </c>
    </row>
    <row r="2778" spans="1:1">
      <c r="A2778" s="156" t="s">
        <v>4756</v>
      </c>
    </row>
    <row r="2779" spans="1:1">
      <c r="A2779" s="156" t="s">
        <v>4757</v>
      </c>
    </row>
    <row r="2780" spans="1:1">
      <c r="A2780" s="156" t="s">
        <v>4758</v>
      </c>
    </row>
    <row r="2781" spans="1:1">
      <c r="A2781" s="156" t="s">
        <v>4759</v>
      </c>
    </row>
    <row r="2782" spans="1:1">
      <c r="A2782" s="156" t="s">
        <v>4760</v>
      </c>
    </row>
    <row r="2783" spans="1:1">
      <c r="A2783" s="156" t="s">
        <v>4761</v>
      </c>
    </row>
    <row r="2784" spans="1:1">
      <c r="A2784" s="156" t="s">
        <v>4762</v>
      </c>
    </row>
    <row r="2785" spans="1:1">
      <c r="A2785" s="156" t="s">
        <v>4763</v>
      </c>
    </row>
    <row r="2786" spans="1:1">
      <c r="A2786" s="156" t="s">
        <v>4764</v>
      </c>
    </row>
    <row r="2787" spans="1:1">
      <c r="A2787" s="156" t="s">
        <v>4765</v>
      </c>
    </row>
    <row r="2788" spans="1:1">
      <c r="A2788" s="156" t="s">
        <v>4766</v>
      </c>
    </row>
    <row r="2789" spans="1:1">
      <c r="A2789" s="156" t="s">
        <v>4767</v>
      </c>
    </row>
    <row r="2790" spans="1:1">
      <c r="A2790" s="156" t="s">
        <v>4768</v>
      </c>
    </row>
    <row r="2791" spans="1:1">
      <c r="A2791" s="156" t="s">
        <v>4769</v>
      </c>
    </row>
    <row r="2792" spans="1:1">
      <c r="A2792" s="156" t="s">
        <v>4770</v>
      </c>
    </row>
    <row r="2793" spans="1:1">
      <c r="A2793" s="156" t="s">
        <v>4771</v>
      </c>
    </row>
    <row r="2794" spans="1:1">
      <c r="A2794" s="156" t="s">
        <v>4772</v>
      </c>
    </row>
    <row r="2795" spans="1:1">
      <c r="A2795" s="156" t="s">
        <v>4773</v>
      </c>
    </row>
    <row r="2796" spans="1:1">
      <c r="A2796" s="156" t="s">
        <v>4774</v>
      </c>
    </row>
    <row r="2797" spans="1:1">
      <c r="A2797" s="156" t="s">
        <v>4775</v>
      </c>
    </row>
    <row r="2798" spans="1:1">
      <c r="A2798" s="156" t="s">
        <v>4776</v>
      </c>
    </row>
    <row r="2799" spans="1:1">
      <c r="A2799" s="156" t="s">
        <v>4777</v>
      </c>
    </row>
    <row r="2800" spans="1:1">
      <c r="A2800" s="156" t="s">
        <v>4778</v>
      </c>
    </row>
    <row r="2801" spans="1:1">
      <c r="A2801" s="156" t="s">
        <v>4779</v>
      </c>
    </row>
    <row r="2802" spans="1:1">
      <c r="A2802" s="156" t="s">
        <v>4780</v>
      </c>
    </row>
    <row r="2803" spans="1:1">
      <c r="A2803" s="156" t="s">
        <v>4781</v>
      </c>
    </row>
    <row r="2804" spans="1:1">
      <c r="A2804" s="156" t="s">
        <v>4782</v>
      </c>
    </row>
    <row r="2805" spans="1:1">
      <c r="A2805" s="156" t="s">
        <v>4783</v>
      </c>
    </row>
    <row r="2806" spans="1:1">
      <c r="A2806" s="156" t="s">
        <v>4784</v>
      </c>
    </row>
    <row r="2807" spans="1:1">
      <c r="A2807" s="156" t="s">
        <v>4785</v>
      </c>
    </row>
    <row r="2808" spans="1:1">
      <c r="A2808" s="156" t="s">
        <v>4786</v>
      </c>
    </row>
    <row r="2809" spans="1:1">
      <c r="A2809" s="156" t="s">
        <v>4787</v>
      </c>
    </row>
    <row r="2810" spans="1:1">
      <c r="A2810" s="156" t="s">
        <v>4788</v>
      </c>
    </row>
    <row r="2811" spans="1:1">
      <c r="A2811" s="156" t="s">
        <v>4789</v>
      </c>
    </row>
    <row r="2812" spans="1:1">
      <c r="A2812" s="156" t="s">
        <v>4790</v>
      </c>
    </row>
    <row r="2813" spans="1:1">
      <c r="A2813" s="156" t="s">
        <v>4791</v>
      </c>
    </row>
    <row r="2814" spans="1:1">
      <c r="A2814" s="156" t="s">
        <v>4792</v>
      </c>
    </row>
    <row r="2815" spans="1:1">
      <c r="A2815" s="156" t="s">
        <v>4793</v>
      </c>
    </row>
    <row r="2816" spans="1:1">
      <c r="A2816" s="156" t="s">
        <v>4794</v>
      </c>
    </row>
    <row r="2817" spans="1:1">
      <c r="A2817" s="156" t="s">
        <v>4795</v>
      </c>
    </row>
    <row r="2818" spans="1:1">
      <c r="A2818" s="156" t="s">
        <v>4796</v>
      </c>
    </row>
    <row r="2819" spans="1:1">
      <c r="A2819" s="156" t="s">
        <v>4797</v>
      </c>
    </row>
    <row r="2820" spans="1:1">
      <c r="A2820" s="156" t="s">
        <v>4798</v>
      </c>
    </row>
    <row r="2821" spans="1:1">
      <c r="A2821" s="156" t="s">
        <v>4799</v>
      </c>
    </row>
    <row r="2822" spans="1:1">
      <c r="A2822" s="156" t="s">
        <v>4800</v>
      </c>
    </row>
    <row r="2823" spans="1:1">
      <c r="A2823" s="156" t="s">
        <v>4801</v>
      </c>
    </row>
    <row r="2824" spans="1:1">
      <c r="A2824" s="156" t="s">
        <v>4802</v>
      </c>
    </row>
    <row r="2825" spans="1:1">
      <c r="A2825" s="156" t="s">
        <v>4803</v>
      </c>
    </row>
    <row r="2826" spans="1:1">
      <c r="A2826" s="156" t="s">
        <v>4804</v>
      </c>
    </row>
    <row r="2827" spans="1:1">
      <c r="A2827" s="156" t="s">
        <v>4805</v>
      </c>
    </row>
    <row r="2828" spans="1:1">
      <c r="A2828" s="156" t="s">
        <v>4806</v>
      </c>
    </row>
    <row r="2829" spans="1:1">
      <c r="A2829" s="156" t="s">
        <v>4807</v>
      </c>
    </row>
    <row r="2830" spans="1:1">
      <c r="A2830" s="156" t="s">
        <v>4808</v>
      </c>
    </row>
    <row r="2831" spans="1:1">
      <c r="A2831" s="156" t="s">
        <v>4809</v>
      </c>
    </row>
    <row r="2832" spans="1:1">
      <c r="A2832" s="156" t="s">
        <v>4810</v>
      </c>
    </row>
    <row r="2833" spans="1:1">
      <c r="A2833" s="156" t="s">
        <v>4811</v>
      </c>
    </row>
    <row r="2834" spans="1:1">
      <c r="A2834" s="156" t="s">
        <v>4812</v>
      </c>
    </row>
    <row r="2835" spans="1:1">
      <c r="A2835" s="156" t="s">
        <v>4813</v>
      </c>
    </row>
    <row r="2836" spans="1:1">
      <c r="A2836" s="156" t="s">
        <v>4814</v>
      </c>
    </row>
    <row r="2837" spans="1:1">
      <c r="A2837" s="156" t="s">
        <v>4815</v>
      </c>
    </row>
    <row r="2838" spans="1:1">
      <c r="A2838" s="156" t="s">
        <v>4816</v>
      </c>
    </row>
    <row r="2839" spans="1:1">
      <c r="A2839" s="156" t="s">
        <v>4817</v>
      </c>
    </row>
    <row r="2840" spans="1:1">
      <c r="A2840" s="156" t="s">
        <v>4818</v>
      </c>
    </row>
    <row r="2841" spans="1:1">
      <c r="A2841" s="156" t="s">
        <v>4819</v>
      </c>
    </row>
    <row r="2842" spans="1:1">
      <c r="A2842" s="156" t="s">
        <v>4820</v>
      </c>
    </row>
    <row r="2843" spans="1:1">
      <c r="A2843" s="156" t="s">
        <v>4821</v>
      </c>
    </row>
    <row r="2844" spans="1:1">
      <c r="A2844" s="156" t="s">
        <v>4822</v>
      </c>
    </row>
    <row r="2845" spans="1:1">
      <c r="A2845" s="156" t="s">
        <v>4823</v>
      </c>
    </row>
    <row r="2846" spans="1:1">
      <c r="A2846" s="156" t="s">
        <v>4824</v>
      </c>
    </row>
    <row r="2847" spans="1:1">
      <c r="A2847" s="156" t="s">
        <v>4825</v>
      </c>
    </row>
    <row r="2848" spans="1:1">
      <c r="A2848" s="156" t="s">
        <v>4826</v>
      </c>
    </row>
    <row r="2849" spans="1:1">
      <c r="A2849" s="156" t="s">
        <v>4827</v>
      </c>
    </row>
    <row r="2850" spans="1:1">
      <c r="A2850" s="156" t="s">
        <v>4828</v>
      </c>
    </row>
    <row r="2851" spans="1:1">
      <c r="A2851" s="156" t="s">
        <v>4829</v>
      </c>
    </row>
    <row r="2852" spans="1:1">
      <c r="A2852" s="156" t="s">
        <v>4830</v>
      </c>
    </row>
    <row r="2853" spans="1:1">
      <c r="A2853" s="156" t="s">
        <v>4831</v>
      </c>
    </row>
    <row r="2854" spans="1:1">
      <c r="A2854" s="156" t="s">
        <v>4832</v>
      </c>
    </row>
    <row r="2855" spans="1:1">
      <c r="A2855" s="156" t="s">
        <v>4833</v>
      </c>
    </row>
    <row r="2856" spans="1:1">
      <c r="A2856" s="156" t="s">
        <v>4834</v>
      </c>
    </row>
    <row r="2857" spans="1:1">
      <c r="A2857" s="156" t="s">
        <v>4835</v>
      </c>
    </row>
    <row r="2858" spans="1:1">
      <c r="A2858" s="156" t="s">
        <v>4836</v>
      </c>
    </row>
    <row r="2859" spans="1:1">
      <c r="A2859" s="156" t="s">
        <v>4837</v>
      </c>
    </row>
    <row r="2860" spans="1:1">
      <c r="A2860" s="156" t="s">
        <v>4838</v>
      </c>
    </row>
    <row r="2861" spans="1:1">
      <c r="A2861" s="156" t="s">
        <v>4839</v>
      </c>
    </row>
    <row r="2862" spans="1:1">
      <c r="A2862" s="156" t="s">
        <v>4840</v>
      </c>
    </row>
    <row r="2863" spans="1:1">
      <c r="A2863" s="156" t="s">
        <v>4841</v>
      </c>
    </row>
    <row r="2864" spans="1:1">
      <c r="A2864" s="156" t="s">
        <v>4842</v>
      </c>
    </row>
    <row r="2865" spans="1:1">
      <c r="A2865" s="156" t="s">
        <v>4843</v>
      </c>
    </row>
    <row r="2866" spans="1:1">
      <c r="A2866" s="156" t="s">
        <v>4844</v>
      </c>
    </row>
    <row r="2867" spans="1:1">
      <c r="A2867" s="156" t="s">
        <v>4845</v>
      </c>
    </row>
    <row r="2868" spans="1:1">
      <c r="A2868" s="156" t="s">
        <v>4846</v>
      </c>
    </row>
    <row r="2869" spans="1:1">
      <c r="A2869" s="156" t="s">
        <v>4847</v>
      </c>
    </row>
    <row r="2870" spans="1:1">
      <c r="A2870" s="156" t="s">
        <v>4848</v>
      </c>
    </row>
    <row r="2871" spans="1:1">
      <c r="A2871" s="156" t="s">
        <v>4849</v>
      </c>
    </row>
    <row r="2872" spans="1:1">
      <c r="A2872" s="156" t="s">
        <v>4850</v>
      </c>
    </row>
    <row r="2873" spans="1:1">
      <c r="A2873" s="156" t="s">
        <v>4851</v>
      </c>
    </row>
    <row r="2874" spans="1:1">
      <c r="A2874" s="156" t="s">
        <v>4852</v>
      </c>
    </row>
    <row r="2875" spans="1:1">
      <c r="A2875" s="156" t="s">
        <v>4853</v>
      </c>
    </row>
    <row r="2876" spans="1:1">
      <c r="A2876" s="156" t="s">
        <v>4854</v>
      </c>
    </row>
    <row r="2877" spans="1:1">
      <c r="A2877" s="156" t="s">
        <v>4855</v>
      </c>
    </row>
    <row r="2878" spans="1:1">
      <c r="A2878" s="156" t="s">
        <v>4856</v>
      </c>
    </row>
    <row r="2879" spans="1:1">
      <c r="A2879" s="156" t="s">
        <v>4857</v>
      </c>
    </row>
    <row r="2880" spans="1:1">
      <c r="A2880" s="156" t="s">
        <v>4858</v>
      </c>
    </row>
    <row r="2881" spans="1:1">
      <c r="A2881" s="156" t="s">
        <v>4859</v>
      </c>
    </row>
    <row r="2882" spans="1:1">
      <c r="A2882" s="156" t="s">
        <v>4860</v>
      </c>
    </row>
    <row r="2883" spans="1:1">
      <c r="A2883" s="156" t="s">
        <v>4861</v>
      </c>
    </row>
    <row r="2884" spans="1:1">
      <c r="A2884" s="156" t="s">
        <v>4862</v>
      </c>
    </row>
    <row r="2885" spans="1:1">
      <c r="A2885" s="156" t="s">
        <v>4863</v>
      </c>
    </row>
    <row r="2886" spans="1:1">
      <c r="A2886" s="156" t="s">
        <v>4864</v>
      </c>
    </row>
    <row r="2887" spans="1:1">
      <c r="A2887" s="156" t="s">
        <v>4865</v>
      </c>
    </row>
    <row r="2888" spans="1:1">
      <c r="A2888" s="156" t="s">
        <v>4866</v>
      </c>
    </row>
    <row r="2889" spans="1:1">
      <c r="A2889" s="156" t="s">
        <v>4867</v>
      </c>
    </row>
    <row r="2890" spans="1:1">
      <c r="A2890" s="156" t="s">
        <v>4868</v>
      </c>
    </row>
    <row r="2891" spans="1:1">
      <c r="A2891" s="156" t="s">
        <v>4869</v>
      </c>
    </row>
    <row r="2892" spans="1:1">
      <c r="A2892" s="156" t="s">
        <v>4870</v>
      </c>
    </row>
    <row r="2893" spans="1:1">
      <c r="A2893" s="156" t="s">
        <v>4871</v>
      </c>
    </row>
    <row r="2894" spans="1:1">
      <c r="A2894" s="156" t="s">
        <v>4872</v>
      </c>
    </row>
    <row r="2895" spans="1:1">
      <c r="A2895" s="156" t="s">
        <v>4873</v>
      </c>
    </row>
    <row r="2896" spans="1:1">
      <c r="A2896" s="156" t="s">
        <v>4874</v>
      </c>
    </row>
    <row r="2897" spans="1:1">
      <c r="A2897" s="156" t="s">
        <v>4875</v>
      </c>
    </row>
    <row r="2898" spans="1:1">
      <c r="A2898" s="156" t="s">
        <v>4876</v>
      </c>
    </row>
    <row r="2899" spans="1:1">
      <c r="A2899" s="156" t="s">
        <v>4877</v>
      </c>
    </row>
    <row r="2900" spans="1:1">
      <c r="A2900" s="156" t="s">
        <v>4878</v>
      </c>
    </row>
    <row r="2901" spans="1:1">
      <c r="A2901" s="156" t="s">
        <v>4879</v>
      </c>
    </row>
    <row r="2902" spans="1:1">
      <c r="A2902" s="156" t="s">
        <v>4880</v>
      </c>
    </row>
    <row r="2903" spans="1:1">
      <c r="A2903" s="156" t="s">
        <v>4881</v>
      </c>
    </row>
    <row r="2904" spans="1:1">
      <c r="A2904" s="156" t="s">
        <v>4882</v>
      </c>
    </row>
    <row r="2905" spans="1:1">
      <c r="A2905" s="156" t="s">
        <v>4883</v>
      </c>
    </row>
    <row r="2906" spans="1:1">
      <c r="A2906" s="156" t="s">
        <v>4884</v>
      </c>
    </row>
    <row r="2907" spans="1:1">
      <c r="A2907" s="156" t="s">
        <v>4885</v>
      </c>
    </row>
    <row r="2908" spans="1:1">
      <c r="A2908" s="156" t="s">
        <v>4886</v>
      </c>
    </row>
    <row r="2909" spans="1:1">
      <c r="A2909" s="156" t="s">
        <v>4887</v>
      </c>
    </row>
    <row r="2910" spans="1:1">
      <c r="A2910" s="156" t="s">
        <v>4888</v>
      </c>
    </row>
    <row r="2911" spans="1:1">
      <c r="A2911" s="156" t="s">
        <v>4889</v>
      </c>
    </row>
    <row r="2912" spans="1:1">
      <c r="A2912" s="156" t="s">
        <v>4890</v>
      </c>
    </row>
    <row r="2913" spans="1:1">
      <c r="A2913" s="156" t="s">
        <v>4891</v>
      </c>
    </row>
    <row r="2914" spans="1:1">
      <c r="A2914" s="156" t="s">
        <v>4892</v>
      </c>
    </row>
    <row r="2915" spans="1:1">
      <c r="A2915" s="156" t="s">
        <v>4893</v>
      </c>
    </row>
    <row r="2916" spans="1:1">
      <c r="A2916" s="156" t="s">
        <v>4894</v>
      </c>
    </row>
    <row r="2917" spans="1:1">
      <c r="A2917" s="156" t="s">
        <v>4895</v>
      </c>
    </row>
    <row r="2918" spans="1:1">
      <c r="A2918" s="156" t="s">
        <v>4896</v>
      </c>
    </row>
    <row r="2919" spans="1:1">
      <c r="A2919" s="156" t="s">
        <v>4897</v>
      </c>
    </row>
    <row r="2920" spans="1:1">
      <c r="A2920" s="156" t="s">
        <v>4898</v>
      </c>
    </row>
    <row r="2921" spans="1:1">
      <c r="A2921" s="156" t="s">
        <v>4899</v>
      </c>
    </row>
    <row r="2922" spans="1:1">
      <c r="A2922" s="156" t="s">
        <v>4900</v>
      </c>
    </row>
    <row r="2923" spans="1:1">
      <c r="A2923" s="156" t="s">
        <v>4901</v>
      </c>
    </row>
    <row r="2924" spans="1:1">
      <c r="A2924" s="156" t="s">
        <v>4902</v>
      </c>
    </row>
    <row r="2925" spans="1:1">
      <c r="A2925" s="156" t="s">
        <v>4903</v>
      </c>
    </row>
    <row r="2926" spans="1:1">
      <c r="A2926" s="156" t="s">
        <v>4904</v>
      </c>
    </row>
    <row r="2927" spans="1:1">
      <c r="A2927" s="156" t="s">
        <v>4905</v>
      </c>
    </row>
    <row r="2928" spans="1:1">
      <c r="A2928" s="156" t="s">
        <v>4906</v>
      </c>
    </row>
    <row r="2929" spans="1:1">
      <c r="A2929" s="156" t="s">
        <v>4907</v>
      </c>
    </row>
    <row r="2930" spans="1:1">
      <c r="A2930" s="156" t="s">
        <v>4908</v>
      </c>
    </row>
    <row r="2931" spans="1:1">
      <c r="A2931" s="156" t="s">
        <v>4909</v>
      </c>
    </row>
    <row r="2932" spans="1:1">
      <c r="A2932" s="156" t="s">
        <v>4910</v>
      </c>
    </row>
    <row r="2933" spans="1:1">
      <c r="A2933" s="156" t="s">
        <v>4911</v>
      </c>
    </row>
    <row r="2934" spans="1:1">
      <c r="A2934" s="156" t="s">
        <v>4912</v>
      </c>
    </row>
    <row r="2935" spans="1:1">
      <c r="A2935" s="156" t="s">
        <v>4913</v>
      </c>
    </row>
    <row r="2936" spans="1:1">
      <c r="A2936" s="156" t="s">
        <v>4914</v>
      </c>
    </row>
    <row r="2937" spans="1:1">
      <c r="A2937" s="156" t="s">
        <v>4915</v>
      </c>
    </row>
    <row r="2938" spans="1:1">
      <c r="A2938" s="156" t="s">
        <v>4916</v>
      </c>
    </row>
    <row r="2939" spans="1:1">
      <c r="A2939" s="156" t="s">
        <v>4917</v>
      </c>
    </row>
    <row r="2940" spans="1:1">
      <c r="A2940" s="156" t="s">
        <v>4918</v>
      </c>
    </row>
    <row r="2941" spans="1:1">
      <c r="A2941" s="156" t="s">
        <v>4919</v>
      </c>
    </row>
    <row r="2942" spans="1:1">
      <c r="A2942" s="156" t="s">
        <v>4920</v>
      </c>
    </row>
    <row r="2943" spans="1:1">
      <c r="A2943" s="156" t="s">
        <v>4921</v>
      </c>
    </row>
    <row r="2944" spans="1:1">
      <c r="A2944" s="156" t="s">
        <v>4922</v>
      </c>
    </row>
    <row r="2945" spans="1:1">
      <c r="A2945" s="156" t="s">
        <v>4923</v>
      </c>
    </row>
    <row r="2946" spans="1:1">
      <c r="A2946" s="156" t="s">
        <v>4924</v>
      </c>
    </row>
    <row r="2947" spans="1:1">
      <c r="A2947" s="156" t="s">
        <v>4925</v>
      </c>
    </row>
    <row r="2948" spans="1:1">
      <c r="A2948" s="156" t="s">
        <v>4926</v>
      </c>
    </row>
    <row r="2949" spans="1:1">
      <c r="A2949" s="156" t="s">
        <v>4927</v>
      </c>
    </row>
    <row r="2950" spans="1:1">
      <c r="A2950" s="156" t="s">
        <v>4928</v>
      </c>
    </row>
    <row r="2951" spans="1:1">
      <c r="A2951" s="156" t="s">
        <v>4929</v>
      </c>
    </row>
    <row r="2952" spans="1:1">
      <c r="A2952" s="156" t="s">
        <v>4930</v>
      </c>
    </row>
    <row r="2953" spans="1:1">
      <c r="A2953" s="156" t="s">
        <v>4931</v>
      </c>
    </row>
    <row r="2954" spans="1:1">
      <c r="A2954" s="156" t="s">
        <v>4932</v>
      </c>
    </row>
    <row r="2955" spans="1:1">
      <c r="A2955" s="156" t="s">
        <v>4933</v>
      </c>
    </row>
    <row r="2956" spans="1:1">
      <c r="A2956" s="156" t="s">
        <v>4934</v>
      </c>
    </row>
    <row r="2957" spans="1:1">
      <c r="A2957" s="156" t="s">
        <v>4935</v>
      </c>
    </row>
    <row r="2958" spans="1:1">
      <c r="A2958" s="156" t="s">
        <v>4936</v>
      </c>
    </row>
    <row r="2959" spans="1:1">
      <c r="A2959" s="156" t="s">
        <v>4937</v>
      </c>
    </row>
    <row r="2960" spans="1:1">
      <c r="A2960" s="156" t="s">
        <v>4938</v>
      </c>
    </row>
    <row r="2961" spans="1:1">
      <c r="A2961" s="156" t="s">
        <v>4939</v>
      </c>
    </row>
    <row r="2962" spans="1:1">
      <c r="A2962" s="156" t="s">
        <v>4940</v>
      </c>
    </row>
    <row r="2963" spans="1:1">
      <c r="A2963" s="156" t="s">
        <v>4941</v>
      </c>
    </row>
    <row r="2964" spans="1:1">
      <c r="A2964" s="156" t="s">
        <v>4942</v>
      </c>
    </row>
    <row r="2965" spans="1:1">
      <c r="A2965" s="156" t="s">
        <v>4943</v>
      </c>
    </row>
    <row r="2966" spans="1:1">
      <c r="A2966" s="156" t="s">
        <v>4944</v>
      </c>
    </row>
    <row r="2967" spans="1:1">
      <c r="A2967" s="156" t="s">
        <v>4945</v>
      </c>
    </row>
    <row r="2968" spans="1:1">
      <c r="A2968" s="156" t="s">
        <v>4946</v>
      </c>
    </row>
    <row r="2969" spans="1:1">
      <c r="A2969" s="156" t="s">
        <v>4947</v>
      </c>
    </row>
    <row r="2970" spans="1:1">
      <c r="A2970" s="156" t="s">
        <v>4948</v>
      </c>
    </row>
    <row r="2971" spans="1:1">
      <c r="A2971" s="156" t="s">
        <v>4949</v>
      </c>
    </row>
    <row r="2972" spans="1:1">
      <c r="A2972" s="156" t="s">
        <v>4950</v>
      </c>
    </row>
    <row r="2973" spans="1:1">
      <c r="A2973" s="156" t="s">
        <v>4951</v>
      </c>
    </row>
    <row r="2974" spans="1:1">
      <c r="A2974" s="156" t="s">
        <v>4952</v>
      </c>
    </row>
    <row r="2975" spans="1:1">
      <c r="A2975" s="156" t="s">
        <v>4953</v>
      </c>
    </row>
    <row r="2976" spans="1:1">
      <c r="A2976" s="156" t="s">
        <v>4954</v>
      </c>
    </row>
    <row r="2977" spans="1:1">
      <c r="A2977" s="156" t="s">
        <v>4955</v>
      </c>
    </row>
    <row r="2978" spans="1:1">
      <c r="A2978" s="156" t="s">
        <v>4956</v>
      </c>
    </row>
    <row r="2979" spans="1:1">
      <c r="A2979" s="156" t="s">
        <v>4957</v>
      </c>
    </row>
    <row r="2980" spans="1:1">
      <c r="A2980" s="156" t="s">
        <v>4958</v>
      </c>
    </row>
    <row r="2981" spans="1:1">
      <c r="A2981" s="156" t="s">
        <v>4959</v>
      </c>
    </row>
    <row r="2982" spans="1:1">
      <c r="A2982" s="156" t="s">
        <v>4960</v>
      </c>
    </row>
    <row r="2983" spans="1:1">
      <c r="A2983" s="156" t="s">
        <v>4961</v>
      </c>
    </row>
    <row r="2984" spans="1:1">
      <c r="A2984" s="156" t="s">
        <v>4962</v>
      </c>
    </row>
    <row r="2985" spans="1:1">
      <c r="A2985" s="156" t="s">
        <v>4963</v>
      </c>
    </row>
    <row r="2986" spans="1:1">
      <c r="A2986" s="156" t="s">
        <v>4964</v>
      </c>
    </row>
    <row r="2987" spans="1:1">
      <c r="A2987" s="156" t="s">
        <v>4965</v>
      </c>
    </row>
    <row r="2988" spans="1:1">
      <c r="A2988" s="156" t="s">
        <v>4966</v>
      </c>
    </row>
    <row r="2989" spans="1:1">
      <c r="A2989" s="156" t="s">
        <v>4967</v>
      </c>
    </row>
    <row r="2990" spans="1:1">
      <c r="A2990" s="156" t="s">
        <v>4968</v>
      </c>
    </row>
    <row r="2991" spans="1:1">
      <c r="A2991" s="156" t="s">
        <v>4969</v>
      </c>
    </row>
    <row r="2992" spans="1:1">
      <c r="A2992" s="156" t="s">
        <v>4970</v>
      </c>
    </row>
    <row r="2993" spans="1:1">
      <c r="A2993" s="156" t="s">
        <v>4971</v>
      </c>
    </row>
    <row r="2994" spans="1:1">
      <c r="A2994" s="156" t="s">
        <v>4972</v>
      </c>
    </row>
    <row r="2995" spans="1:1">
      <c r="A2995" s="156" t="s">
        <v>4973</v>
      </c>
    </row>
    <row r="2996" spans="1:1">
      <c r="A2996" s="156" t="s">
        <v>4974</v>
      </c>
    </row>
    <row r="2997" spans="1:1">
      <c r="A2997" s="156" t="s">
        <v>4975</v>
      </c>
    </row>
    <row r="2998" spans="1:1">
      <c r="A2998" s="156" t="s">
        <v>4976</v>
      </c>
    </row>
    <row r="2999" spans="1:1">
      <c r="A2999" s="156" t="s">
        <v>4977</v>
      </c>
    </row>
    <row r="3000" spans="1:1">
      <c r="A3000" s="156" t="s">
        <v>4978</v>
      </c>
    </row>
    <row r="3001" spans="1:1">
      <c r="A3001" s="156" t="s">
        <v>4979</v>
      </c>
    </row>
    <row r="3002" spans="1:1">
      <c r="A3002" s="156" t="s">
        <v>4980</v>
      </c>
    </row>
    <row r="3003" spans="1:1">
      <c r="A3003" s="156" t="s">
        <v>4981</v>
      </c>
    </row>
    <row r="3004" spans="1:1">
      <c r="A3004" s="156" t="s">
        <v>4982</v>
      </c>
    </row>
    <row r="3005" spans="1:1">
      <c r="A3005" s="156" t="s">
        <v>4983</v>
      </c>
    </row>
    <row r="3006" spans="1:1">
      <c r="A3006" s="156" t="s">
        <v>4984</v>
      </c>
    </row>
    <row r="3007" spans="1:1">
      <c r="A3007" s="156" t="s">
        <v>4985</v>
      </c>
    </row>
    <row r="3008" spans="1:1">
      <c r="A3008" s="156" t="s">
        <v>4986</v>
      </c>
    </row>
    <row r="3009" spans="1:1">
      <c r="A3009" s="156" t="s">
        <v>4987</v>
      </c>
    </row>
    <row r="3010" spans="1:1">
      <c r="A3010" s="156" t="s">
        <v>4988</v>
      </c>
    </row>
    <row r="3011" spans="1:1">
      <c r="A3011" s="156" t="s">
        <v>4989</v>
      </c>
    </row>
    <row r="3012" spans="1:1">
      <c r="A3012" s="156" t="s">
        <v>4990</v>
      </c>
    </row>
    <row r="3013" spans="1:1">
      <c r="A3013" s="156" t="s">
        <v>4991</v>
      </c>
    </row>
    <row r="3014" spans="1:1">
      <c r="A3014" s="156" t="s">
        <v>4992</v>
      </c>
    </row>
    <row r="3015" spans="1:1">
      <c r="A3015" s="156" t="s">
        <v>4993</v>
      </c>
    </row>
    <row r="3016" spans="1:1">
      <c r="A3016" s="156" t="s">
        <v>4994</v>
      </c>
    </row>
    <row r="3017" spans="1:1">
      <c r="A3017" s="156" t="s">
        <v>4995</v>
      </c>
    </row>
    <row r="3018" spans="1:1">
      <c r="A3018" s="156" t="s">
        <v>4996</v>
      </c>
    </row>
    <row r="3019" spans="1:1">
      <c r="A3019" s="156" t="s">
        <v>4997</v>
      </c>
    </row>
    <row r="3020" spans="1:1">
      <c r="A3020" s="156" t="s">
        <v>4998</v>
      </c>
    </row>
    <row r="3021" spans="1:1">
      <c r="A3021" s="156" t="s">
        <v>4999</v>
      </c>
    </row>
    <row r="3022" spans="1:1">
      <c r="A3022" s="156" t="s">
        <v>5000</v>
      </c>
    </row>
    <row r="3023" spans="1:1">
      <c r="A3023" s="156" t="s">
        <v>5001</v>
      </c>
    </row>
    <row r="3024" spans="1:1">
      <c r="A3024" s="156" t="s">
        <v>5002</v>
      </c>
    </row>
    <row r="3025" spans="1:1">
      <c r="A3025" s="156" t="s">
        <v>5003</v>
      </c>
    </row>
    <row r="3026" spans="1:1">
      <c r="A3026" s="156" t="s">
        <v>5004</v>
      </c>
    </row>
    <row r="3027" spans="1:1">
      <c r="A3027" s="156" t="s">
        <v>5005</v>
      </c>
    </row>
    <row r="3028" spans="1:1">
      <c r="A3028" s="156" t="s">
        <v>5006</v>
      </c>
    </row>
    <row r="3029" spans="1:1">
      <c r="A3029" s="156" t="s">
        <v>5007</v>
      </c>
    </row>
    <row r="3030" spans="1:1">
      <c r="A3030" s="156" t="s">
        <v>5008</v>
      </c>
    </row>
    <row r="3031" spans="1:1">
      <c r="A3031" s="156" t="s">
        <v>5009</v>
      </c>
    </row>
    <row r="3032" spans="1:1">
      <c r="A3032" s="156" t="s">
        <v>5010</v>
      </c>
    </row>
    <row r="3033" spans="1:1">
      <c r="A3033" s="156" t="s">
        <v>5011</v>
      </c>
    </row>
    <row r="3034" spans="1:1">
      <c r="A3034" s="156" t="s">
        <v>5012</v>
      </c>
    </row>
    <row r="3035" spans="1:1">
      <c r="A3035" s="156" t="s">
        <v>5013</v>
      </c>
    </row>
    <row r="3036" spans="1:1">
      <c r="A3036" s="156" t="s">
        <v>5014</v>
      </c>
    </row>
    <row r="3037" spans="1:1">
      <c r="A3037" s="156" t="s">
        <v>5015</v>
      </c>
    </row>
    <row r="3038" spans="1:1">
      <c r="A3038" s="156" t="s">
        <v>5016</v>
      </c>
    </row>
    <row r="3039" spans="1:1">
      <c r="A3039" s="156" t="s">
        <v>5017</v>
      </c>
    </row>
    <row r="3040" spans="1:1">
      <c r="A3040" s="156" t="s">
        <v>5018</v>
      </c>
    </row>
    <row r="3041" spans="1:1">
      <c r="A3041" s="156" t="s">
        <v>5019</v>
      </c>
    </row>
    <row r="3042" spans="1:1">
      <c r="A3042" s="156" t="s">
        <v>5020</v>
      </c>
    </row>
    <row r="3043" spans="1:1">
      <c r="A3043" s="156" t="s">
        <v>5021</v>
      </c>
    </row>
    <row r="3044" spans="1:1">
      <c r="A3044" s="156" t="s">
        <v>5022</v>
      </c>
    </row>
    <row r="3045" spans="1:1">
      <c r="A3045" s="156" t="s">
        <v>5023</v>
      </c>
    </row>
    <row r="3046" spans="1:1">
      <c r="A3046" s="156" t="s">
        <v>5024</v>
      </c>
    </row>
    <row r="3047" spans="1:1">
      <c r="A3047" s="156" t="s">
        <v>5025</v>
      </c>
    </row>
    <row r="3048" spans="1:1">
      <c r="A3048" s="156" t="s">
        <v>5026</v>
      </c>
    </row>
    <row r="3049" spans="1:1">
      <c r="A3049" s="156" t="s">
        <v>5027</v>
      </c>
    </row>
    <row r="3050" spans="1:1">
      <c r="A3050" s="156" t="s">
        <v>5028</v>
      </c>
    </row>
    <row r="3051" spans="1:1">
      <c r="A3051" s="156" t="s">
        <v>5029</v>
      </c>
    </row>
    <row r="3052" spans="1:1">
      <c r="A3052" s="156" t="s">
        <v>5030</v>
      </c>
    </row>
    <row r="3053" spans="1:1">
      <c r="A3053" s="156" t="s">
        <v>5031</v>
      </c>
    </row>
    <row r="3054" spans="1:1">
      <c r="A3054" s="156" t="s">
        <v>5032</v>
      </c>
    </row>
    <row r="3055" spans="1:1">
      <c r="A3055" s="156" t="s">
        <v>5033</v>
      </c>
    </row>
    <row r="3056" spans="1:1">
      <c r="A3056" s="156" t="s">
        <v>5034</v>
      </c>
    </row>
    <row r="3057" spans="1:1">
      <c r="A3057" s="156" t="s">
        <v>5035</v>
      </c>
    </row>
    <row r="3058" spans="1:1">
      <c r="A3058" s="156" t="s">
        <v>5036</v>
      </c>
    </row>
    <row r="3059" spans="1:1">
      <c r="A3059" s="156" t="s">
        <v>5037</v>
      </c>
    </row>
    <row r="3060" spans="1:1">
      <c r="A3060" s="156" t="s">
        <v>5038</v>
      </c>
    </row>
    <row r="3061" spans="1:1">
      <c r="A3061" s="156" t="s">
        <v>5039</v>
      </c>
    </row>
    <row r="3062" spans="1:1">
      <c r="A3062" s="156" t="s">
        <v>5040</v>
      </c>
    </row>
    <row r="3063" spans="1:1">
      <c r="A3063" s="156" t="s">
        <v>5041</v>
      </c>
    </row>
    <row r="3064" spans="1:1">
      <c r="A3064" s="156" t="s">
        <v>5042</v>
      </c>
    </row>
    <row r="3065" spans="1:1">
      <c r="A3065" s="156" t="s">
        <v>5043</v>
      </c>
    </row>
    <row r="3066" spans="1:1">
      <c r="A3066" s="156" t="s">
        <v>5044</v>
      </c>
    </row>
    <row r="3067" spans="1:1">
      <c r="A3067" s="156" t="s">
        <v>5045</v>
      </c>
    </row>
    <row r="3068" spans="1:1">
      <c r="A3068" s="156" t="s">
        <v>5046</v>
      </c>
    </row>
    <row r="3069" spans="1:1">
      <c r="A3069" s="156" t="s">
        <v>5047</v>
      </c>
    </row>
    <row r="3070" spans="1:1">
      <c r="A3070" s="156" t="s">
        <v>5048</v>
      </c>
    </row>
    <row r="3071" spans="1:1">
      <c r="A3071" s="156" t="s">
        <v>5049</v>
      </c>
    </row>
    <row r="3072" spans="1:1">
      <c r="A3072" s="156" t="s">
        <v>5050</v>
      </c>
    </row>
    <row r="3073" spans="1:1">
      <c r="A3073" s="156" t="s">
        <v>5051</v>
      </c>
    </row>
    <row r="3074" spans="1:1">
      <c r="A3074" s="156" t="s">
        <v>5052</v>
      </c>
    </row>
    <row r="3075" spans="1:1">
      <c r="A3075" s="156" t="s">
        <v>5053</v>
      </c>
    </row>
    <row r="3076" spans="1:1">
      <c r="A3076" s="156" t="s">
        <v>5054</v>
      </c>
    </row>
    <row r="3077" spans="1:1">
      <c r="A3077" s="156" t="s">
        <v>5055</v>
      </c>
    </row>
    <row r="3078" spans="1:1">
      <c r="A3078" s="156" t="s">
        <v>5056</v>
      </c>
    </row>
    <row r="3079" spans="1:1">
      <c r="A3079" s="156" t="s">
        <v>5057</v>
      </c>
    </row>
    <row r="3080" spans="1:1">
      <c r="A3080" s="156" t="s">
        <v>5058</v>
      </c>
    </row>
    <row r="3081" spans="1:1">
      <c r="A3081" s="156" t="s">
        <v>5059</v>
      </c>
    </row>
    <row r="3082" spans="1:1">
      <c r="A3082" s="156" t="s">
        <v>5060</v>
      </c>
    </row>
    <row r="3083" spans="1:1">
      <c r="A3083" s="156" t="s">
        <v>5061</v>
      </c>
    </row>
    <row r="3084" spans="1:1">
      <c r="A3084" s="156" t="s">
        <v>5062</v>
      </c>
    </row>
    <row r="3085" spans="1:1">
      <c r="A3085" s="156" t="s">
        <v>5063</v>
      </c>
    </row>
    <row r="3086" spans="1:1">
      <c r="A3086" s="156" t="s">
        <v>5064</v>
      </c>
    </row>
    <row r="3087" spans="1:1">
      <c r="A3087" s="156" t="s">
        <v>5065</v>
      </c>
    </row>
    <row r="3088" spans="1:1">
      <c r="A3088" s="156" t="s">
        <v>5066</v>
      </c>
    </row>
    <row r="3089" spans="1:1">
      <c r="A3089" s="156" t="s">
        <v>5067</v>
      </c>
    </row>
    <row r="3090" spans="1:1">
      <c r="A3090" s="156" t="s">
        <v>5068</v>
      </c>
    </row>
    <row r="3091" spans="1:1">
      <c r="A3091" s="156" t="s">
        <v>5069</v>
      </c>
    </row>
    <row r="3092" spans="1:1">
      <c r="A3092" s="156" t="s">
        <v>5070</v>
      </c>
    </row>
    <row r="3093" spans="1:1">
      <c r="A3093" s="156" t="s">
        <v>5071</v>
      </c>
    </row>
    <row r="3094" spans="1:1">
      <c r="A3094" s="156" t="s">
        <v>5072</v>
      </c>
    </row>
    <row r="3095" spans="1:1">
      <c r="A3095" s="156" t="s">
        <v>5073</v>
      </c>
    </row>
    <row r="3096" spans="1:1">
      <c r="A3096" s="156" t="s">
        <v>5074</v>
      </c>
    </row>
    <row r="3097" spans="1:1">
      <c r="A3097" s="156" t="s">
        <v>5075</v>
      </c>
    </row>
    <row r="3098" spans="1:1">
      <c r="A3098" s="156" t="s">
        <v>5076</v>
      </c>
    </row>
    <row r="3099" spans="1:1">
      <c r="A3099" s="156" t="s">
        <v>5077</v>
      </c>
    </row>
    <row r="3100" spans="1:1">
      <c r="A3100" s="156" t="s">
        <v>5078</v>
      </c>
    </row>
    <row r="3101" spans="1:1">
      <c r="A3101" s="156" t="s">
        <v>5079</v>
      </c>
    </row>
    <row r="3102" spans="1:1">
      <c r="A3102" s="156" t="s">
        <v>5080</v>
      </c>
    </row>
    <row r="3103" spans="1:1">
      <c r="A3103" s="156" t="s">
        <v>5081</v>
      </c>
    </row>
    <row r="3104" spans="1:1">
      <c r="A3104" s="156" t="s">
        <v>5082</v>
      </c>
    </row>
    <row r="3105" spans="1:1">
      <c r="A3105" s="156" t="s">
        <v>5083</v>
      </c>
    </row>
    <row r="3106" spans="1:1">
      <c r="A3106" s="156" t="s">
        <v>5084</v>
      </c>
    </row>
    <row r="3107" spans="1:1">
      <c r="A3107" s="156" t="s">
        <v>5085</v>
      </c>
    </row>
    <row r="3108" spans="1:1">
      <c r="A3108" s="156" t="s">
        <v>5086</v>
      </c>
    </row>
    <row r="3109" spans="1:1">
      <c r="A3109" s="156" t="s">
        <v>5087</v>
      </c>
    </row>
    <row r="3110" spans="1:1">
      <c r="A3110" s="156" t="s">
        <v>5088</v>
      </c>
    </row>
    <row r="3111" spans="1:1">
      <c r="A3111" s="156" t="s">
        <v>5089</v>
      </c>
    </row>
    <row r="3112" spans="1:1">
      <c r="A3112" s="156" t="s">
        <v>5090</v>
      </c>
    </row>
    <row r="3113" spans="1:1">
      <c r="A3113" s="156" t="s">
        <v>5091</v>
      </c>
    </row>
    <row r="3114" spans="1:1">
      <c r="A3114" s="156" t="s">
        <v>5092</v>
      </c>
    </row>
    <row r="3115" spans="1:1">
      <c r="A3115" s="156" t="s">
        <v>5093</v>
      </c>
    </row>
    <row r="3116" spans="1:1">
      <c r="A3116" s="156" t="s">
        <v>5094</v>
      </c>
    </row>
    <row r="3117" spans="1:1">
      <c r="A3117" s="156" t="s">
        <v>5095</v>
      </c>
    </row>
    <row r="3118" spans="1:1">
      <c r="A3118" s="156" t="s">
        <v>5096</v>
      </c>
    </row>
    <row r="3119" spans="1:1">
      <c r="A3119" s="156" t="s">
        <v>5097</v>
      </c>
    </row>
    <row r="3120" spans="1:1">
      <c r="A3120" s="156" t="s">
        <v>5098</v>
      </c>
    </row>
    <row r="3121" spans="1:1">
      <c r="A3121" s="156" t="s">
        <v>5099</v>
      </c>
    </row>
    <row r="3122" spans="1:1">
      <c r="A3122" s="156" t="s">
        <v>5100</v>
      </c>
    </row>
    <row r="3123" spans="1:1">
      <c r="A3123" s="156" t="s">
        <v>5101</v>
      </c>
    </row>
    <row r="3124" spans="1:1">
      <c r="A3124" s="156" t="s">
        <v>5102</v>
      </c>
    </row>
    <row r="3125" spans="1:1">
      <c r="A3125" s="156" t="s">
        <v>5103</v>
      </c>
    </row>
    <row r="3126" spans="1:1">
      <c r="A3126" s="156" t="s">
        <v>5104</v>
      </c>
    </row>
    <row r="3127" spans="1:1">
      <c r="A3127" s="156" t="s">
        <v>5105</v>
      </c>
    </row>
    <row r="3128" spans="1:1">
      <c r="A3128" s="156" t="s">
        <v>5106</v>
      </c>
    </row>
    <row r="3129" spans="1:1">
      <c r="A3129" s="156" t="s">
        <v>5107</v>
      </c>
    </row>
    <row r="3130" spans="1:1">
      <c r="A3130" s="156" t="s">
        <v>5108</v>
      </c>
    </row>
    <row r="3131" spans="1:1">
      <c r="A3131" s="156" t="s">
        <v>5109</v>
      </c>
    </row>
    <row r="3132" spans="1:1">
      <c r="A3132" s="156" t="s">
        <v>5110</v>
      </c>
    </row>
    <row r="3133" spans="1:1">
      <c r="A3133" s="156" t="s">
        <v>5111</v>
      </c>
    </row>
    <row r="3134" spans="1:1">
      <c r="A3134" s="156" t="s">
        <v>5112</v>
      </c>
    </row>
    <row r="3135" spans="1:1">
      <c r="A3135" s="156" t="s">
        <v>5113</v>
      </c>
    </row>
    <row r="3136" spans="1:1">
      <c r="A3136" s="156" t="s">
        <v>5114</v>
      </c>
    </row>
    <row r="3137" spans="1:1">
      <c r="A3137" s="156" t="s">
        <v>5115</v>
      </c>
    </row>
    <row r="3138" spans="1:1">
      <c r="A3138" s="156" t="s">
        <v>5116</v>
      </c>
    </row>
    <row r="3139" spans="1:1">
      <c r="A3139" s="156" t="s">
        <v>5117</v>
      </c>
    </row>
    <row r="3140" spans="1:1">
      <c r="A3140" s="156" t="s">
        <v>5118</v>
      </c>
    </row>
    <row r="3141" spans="1:1">
      <c r="A3141" s="156" t="s">
        <v>5119</v>
      </c>
    </row>
    <row r="3142" spans="1:1">
      <c r="A3142" s="156" t="s">
        <v>5120</v>
      </c>
    </row>
    <row r="3143" spans="1:1">
      <c r="A3143" s="156" t="s">
        <v>5121</v>
      </c>
    </row>
    <row r="3144" spans="1:1">
      <c r="A3144" s="156" t="s">
        <v>5122</v>
      </c>
    </row>
    <row r="3145" spans="1:1">
      <c r="A3145" s="156" t="s">
        <v>5123</v>
      </c>
    </row>
    <row r="3146" spans="1:1">
      <c r="A3146" s="156" t="s">
        <v>5124</v>
      </c>
    </row>
    <row r="3147" spans="1:1">
      <c r="A3147" s="156" t="s">
        <v>5125</v>
      </c>
    </row>
    <row r="3148" spans="1:1">
      <c r="A3148" s="156" t="s">
        <v>5126</v>
      </c>
    </row>
    <row r="3149" spans="1:1">
      <c r="A3149" s="156" t="s">
        <v>5127</v>
      </c>
    </row>
    <row r="3150" spans="1:1">
      <c r="A3150" s="156" t="s">
        <v>5128</v>
      </c>
    </row>
    <row r="3151" spans="1:1">
      <c r="A3151" s="156" t="s">
        <v>5129</v>
      </c>
    </row>
    <row r="3152" spans="1:1">
      <c r="A3152" s="156" t="s">
        <v>5130</v>
      </c>
    </row>
    <row r="3153" spans="1:1">
      <c r="A3153" s="156" t="s">
        <v>5131</v>
      </c>
    </row>
    <row r="3154" spans="1:1">
      <c r="A3154" s="156" t="s">
        <v>5132</v>
      </c>
    </row>
    <row r="3155" spans="1:1">
      <c r="A3155" s="156" t="s">
        <v>5133</v>
      </c>
    </row>
    <row r="3156" spans="1:1">
      <c r="A3156" s="156" t="s">
        <v>5134</v>
      </c>
    </row>
    <row r="3157" spans="1:1">
      <c r="A3157" s="156" t="s">
        <v>5135</v>
      </c>
    </row>
    <row r="3158" spans="1:1">
      <c r="A3158" s="156" t="s">
        <v>5136</v>
      </c>
    </row>
    <row r="3159" spans="1:1">
      <c r="A3159" s="156" t="s">
        <v>5137</v>
      </c>
    </row>
    <row r="3160" spans="1:1">
      <c r="A3160" s="156" t="s">
        <v>5138</v>
      </c>
    </row>
    <row r="3161" spans="1:1">
      <c r="A3161" s="156" t="s">
        <v>5139</v>
      </c>
    </row>
    <row r="3162" spans="1:1">
      <c r="A3162" s="156" t="s">
        <v>5140</v>
      </c>
    </row>
    <row r="3163" spans="1:1">
      <c r="A3163" s="156" t="s">
        <v>5141</v>
      </c>
    </row>
    <row r="3164" spans="1:1">
      <c r="A3164" s="156" t="s">
        <v>5142</v>
      </c>
    </row>
    <row r="3165" spans="1:1">
      <c r="A3165" s="156" t="s">
        <v>5143</v>
      </c>
    </row>
    <row r="3166" spans="1:1">
      <c r="A3166" s="156" t="s">
        <v>5144</v>
      </c>
    </row>
    <row r="3167" spans="1:1">
      <c r="A3167" s="156" t="s">
        <v>5145</v>
      </c>
    </row>
    <row r="3168" spans="1:1">
      <c r="A3168" s="156" t="s">
        <v>5146</v>
      </c>
    </row>
    <row r="3169" spans="1:1">
      <c r="A3169" s="156" t="s">
        <v>5147</v>
      </c>
    </row>
    <row r="3170" spans="1:1">
      <c r="A3170" s="156" t="s">
        <v>5148</v>
      </c>
    </row>
    <row r="3171" spans="1:1">
      <c r="A3171" s="156" t="s">
        <v>5149</v>
      </c>
    </row>
    <row r="3172" spans="1:1">
      <c r="A3172" s="156" t="s">
        <v>5150</v>
      </c>
    </row>
    <row r="3173" spans="1:1">
      <c r="A3173" s="156" t="s">
        <v>5151</v>
      </c>
    </row>
    <row r="3174" spans="1:1">
      <c r="A3174" s="156" t="s">
        <v>5152</v>
      </c>
    </row>
    <row r="3175" spans="1:1">
      <c r="A3175" s="156" t="s">
        <v>5153</v>
      </c>
    </row>
    <row r="3176" spans="1:1">
      <c r="A3176" s="156" t="s">
        <v>5154</v>
      </c>
    </row>
    <row r="3177" spans="1:1">
      <c r="A3177" s="156" t="s">
        <v>5155</v>
      </c>
    </row>
    <row r="3178" spans="1:1">
      <c r="A3178" s="156" t="s">
        <v>5156</v>
      </c>
    </row>
    <row r="3179" spans="1:1">
      <c r="A3179" s="156" t="s">
        <v>5157</v>
      </c>
    </row>
    <row r="3180" spans="1:1">
      <c r="A3180" s="156" t="s">
        <v>5158</v>
      </c>
    </row>
    <row r="3181" spans="1:1">
      <c r="A3181" s="156" t="s">
        <v>5159</v>
      </c>
    </row>
    <row r="3182" spans="1:1">
      <c r="A3182" s="156" t="s">
        <v>5160</v>
      </c>
    </row>
    <row r="3183" spans="1:1">
      <c r="A3183" s="156" t="s">
        <v>5161</v>
      </c>
    </row>
    <row r="3184" spans="1:1">
      <c r="A3184" s="156" t="s">
        <v>5162</v>
      </c>
    </row>
    <row r="3185" spans="1:1">
      <c r="A3185" s="156" t="s">
        <v>5163</v>
      </c>
    </row>
    <row r="3186" spans="1:1">
      <c r="A3186" s="156" t="s">
        <v>5164</v>
      </c>
    </row>
    <row r="3187" spans="1:1">
      <c r="A3187" s="156" t="s">
        <v>5165</v>
      </c>
    </row>
    <row r="3188" spans="1:1">
      <c r="A3188" s="156" t="s">
        <v>5166</v>
      </c>
    </row>
    <row r="3189" spans="1:1">
      <c r="A3189" s="156" t="s">
        <v>5167</v>
      </c>
    </row>
    <row r="3190" spans="1:1">
      <c r="A3190" s="156" t="s">
        <v>5168</v>
      </c>
    </row>
    <row r="3191" spans="1:1">
      <c r="A3191" s="156" t="s">
        <v>5169</v>
      </c>
    </row>
    <row r="3192" spans="1:1">
      <c r="A3192" s="156" t="s">
        <v>5170</v>
      </c>
    </row>
    <row r="3193" spans="1:1">
      <c r="A3193" s="156" t="s">
        <v>5171</v>
      </c>
    </row>
    <row r="3194" spans="1:1">
      <c r="A3194" s="156" t="s">
        <v>5172</v>
      </c>
    </row>
    <row r="3195" spans="1:1">
      <c r="A3195" s="156" t="s">
        <v>5173</v>
      </c>
    </row>
    <row r="3196" spans="1:1">
      <c r="A3196" s="156" t="s">
        <v>5174</v>
      </c>
    </row>
    <row r="3197" spans="1:1">
      <c r="A3197" s="156" t="s">
        <v>5175</v>
      </c>
    </row>
    <row r="3198" spans="1:1">
      <c r="A3198" s="156" t="s">
        <v>5176</v>
      </c>
    </row>
    <row r="3199" spans="1:1">
      <c r="A3199" s="156" t="s">
        <v>5177</v>
      </c>
    </row>
    <row r="3200" spans="1:1">
      <c r="A3200" s="156" t="s">
        <v>5178</v>
      </c>
    </row>
    <row r="3201" spans="1:1">
      <c r="A3201" s="156" t="s">
        <v>5179</v>
      </c>
    </row>
    <row r="3202" spans="1:1">
      <c r="A3202" s="156" t="s">
        <v>5180</v>
      </c>
    </row>
    <row r="3203" spans="1:1">
      <c r="A3203" s="156" t="s">
        <v>5181</v>
      </c>
    </row>
    <row r="3204" spans="1:1">
      <c r="A3204" s="156" t="s">
        <v>5182</v>
      </c>
    </row>
    <row r="3205" spans="1:1">
      <c r="A3205" s="156" t="s">
        <v>5183</v>
      </c>
    </row>
    <row r="3206" spans="1:1">
      <c r="A3206" s="156" t="s">
        <v>5184</v>
      </c>
    </row>
    <row r="3207" spans="1:1">
      <c r="A3207" s="156" t="s">
        <v>5185</v>
      </c>
    </row>
    <row r="3208" spans="1:1">
      <c r="A3208" s="156" t="s">
        <v>5186</v>
      </c>
    </row>
    <row r="3209" spans="1:1">
      <c r="A3209" s="156" t="s">
        <v>5187</v>
      </c>
    </row>
    <row r="3210" spans="1:1">
      <c r="A3210" s="156" t="s">
        <v>5188</v>
      </c>
    </row>
    <row r="3211" spans="1:1">
      <c r="A3211" s="156" t="s">
        <v>5189</v>
      </c>
    </row>
    <row r="3212" spans="1:1">
      <c r="A3212" s="156" t="s">
        <v>5190</v>
      </c>
    </row>
    <row r="3213" spans="1:1">
      <c r="A3213" s="156" t="s">
        <v>5191</v>
      </c>
    </row>
    <row r="3214" spans="1:1">
      <c r="A3214" s="156" t="s">
        <v>5192</v>
      </c>
    </row>
    <row r="3215" spans="1:1">
      <c r="A3215" s="156" t="s">
        <v>5193</v>
      </c>
    </row>
    <row r="3216" spans="1:1">
      <c r="A3216" s="156" t="s">
        <v>5194</v>
      </c>
    </row>
    <row r="3217" spans="1:1">
      <c r="A3217" s="156" t="s">
        <v>5195</v>
      </c>
    </row>
    <row r="3218" spans="1:1">
      <c r="A3218" s="156" t="s">
        <v>5196</v>
      </c>
    </row>
    <row r="3219" spans="1:1">
      <c r="A3219" s="156" t="s">
        <v>5197</v>
      </c>
    </row>
    <row r="3220" spans="1:1">
      <c r="A3220" s="156" t="s">
        <v>5198</v>
      </c>
    </row>
    <row r="3221" spans="1:1">
      <c r="A3221" s="156" t="s">
        <v>5199</v>
      </c>
    </row>
    <row r="3222" spans="1:1">
      <c r="A3222" s="156" t="s">
        <v>5200</v>
      </c>
    </row>
    <row r="3223" spans="1:1">
      <c r="A3223" s="156" t="s">
        <v>5201</v>
      </c>
    </row>
    <row r="3224" spans="1:1">
      <c r="A3224" s="156" t="s">
        <v>5202</v>
      </c>
    </row>
    <row r="3225" spans="1:1">
      <c r="A3225" s="156" t="s">
        <v>5203</v>
      </c>
    </row>
    <row r="3226" spans="1:1">
      <c r="A3226" s="156" t="s">
        <v>5204</v>
      </c>
    </row>
    <row r="3227" spans="1:1">
      <c r="A3227" s="156" t="s">
        <v>5205</v>
      </c>
    </row>
    <row r="3228" spans="1:1">
      <c r="A3228" s="156" t="s">
        <v>5206</v>
      </c>
    </row>
    <row r="3229" spans="1:1">
      <c r="A3229" s="156" t="s">
        <v>5207</v>
      </c>
    </row>
    <row r="3230" spans="1:1">
      <c r="A3230" s="156" t="s">
        <v>5208</v>
      </c>
    </row>
    <row r="3231" spans="1:1">
      <c r="A3231" s="156" t="s">
        <v>5209</v>
      </c>
    </row>
    <row r="3232" spans="1:1">
      <c r="A3232" s="156" t="s">
        <v>5210</v>
      </c>
    </row>
    <row r="3233" spans="1:1">
      <c r="A3233" s="156" t="s">
        <v>5211</v>
      </c>
    </row>
    <row r="3234" spans="1:1">
      <c r="A3234" s="156" t="s">
        <v>5212</v>
      </c>
    </row>
    <row r="3235" spans="1:1">
      <c r="A3235" s="156" t="s">
        <v>5213</v>
      </c>
    </row>
    <row r="3236" spans="1:1">
      <c r="A3236" s="156" t="s">
        <v>5214</v>
      </c>
    </row>
    <row r="3237" spans="1:1">
      <c r="A3237" s="156" t="s">
        <v>5215</v>
      </c>
    </row>
    <row r="3238" spans="1:1">
      <c r="A3238" s="156" t="s">
        <v>5216</v>
      </c>
    </row>
    <row r="3239" spans="1:1">
      <c r="A3239" s="156" t="s">
        <v>5217</v>
      </c>
    </row>
    <row r="3240" spans="1:1">
      <c r="A3240" s="156" t="s">
        <v>5218</v>
      </c>
    </row>
    <row r="3241" spans="1:1">
      <c r="A3241" s="156" t="s">
        <v>5219</v>
      </c>
    </row>
    <row r="3242" spans="1:1">
      <c r="A3242" s="156" t="s">
        <v>5220</v>
      </c>
    </row>
    <row r="3243" spans="1:1">
      <c r="A3243" s="156" t="s">
        <v>5221</v>
      </c>
    </row>
    <row r="3244" spans="1:1">
      <c r="A3244" s="156" t="s">
        <v>5222</v>
      </c>
    </row>
    <row r="3245" spans="1:1">
      <c r="A3245" s="156" t="s">
        <v>5223</v>
      </c>
    </row>
    <row r="3246" spans="1:1">
      <c r="A3246" s="156" t="s">
        <v>5224</v>
      </c>
    </row>
    <row r="3247" spans="1:1">
      <c r="A3247" s="156" t="s">
        <v>5225</v>
      </c>
    </row>
    <row r="3248" spans="1:1">
      <c r="A3248" s="156" t="s">
        <v>5226</v>
      </c>
    </row>
    <row r="3249" spans="1:1">
      <c r="A3249" s="156" t="s">
        <v>5227</v>
      </c>
    </row>
    <row r="3250" spans="1:1">
      <c r="A3250" s="156" t="s">
        <v>5228</v>
      </c>
    </row>
    <row r="3251" spans="1:1">
      <c r="A3251" s="156" t="s">
        <v>5229</v>
      </c>
    </row>
    <row r="3252" spans="1:1">
      <c r="A3252" s="156" t="s">
        <v>5230</v>
      </c>
    </row>
    <row r="3253" spans="1:1">
      <c r="A3253" s="156" t="s">
        <v>5231</v>
      </c>
    </row>
    <row r="3254" spans="1:1">
      <c r="A3254" s="156" t="s">
        <v>5232</v>
      </c>
    </row>
    <row r="3255" spans="1:1">
      <c r="A3255" s="156" t="s">
        <v>5233</v>
      </c>
    </row>
    <row r="3256" spans="1:1">
      <c r="A3256" s="156" t="s">
        <v>5234</v>
      </c>
    </row>
    <row r="3257" spans="1:1">
      <c r="A3257" s="156" t="s">
        <v>5235</v>
      </c>
    </row>
    <row r="3258" spans="1:1">
      <c r="A3258" s="156" t="s">
        <v>5236</v>
      </c>
    </row>
    <row r="3259" spans="1:1">
      <c r="A3259" s="156" t="s">
        <v>5237</v>
      </c>
    </row>
    <row r="3260" spans="1:1">
      <c r="A3260" s="156" t="s">
        <v>5238</v>
      </c>
    </row>
    <row r="3261" spans="1:1">
      <c r="A3261" s="156" t="s">
        <v>5239</v>
      </c>
    </row>
    <row r="3262" spans="1:1">
      <c r="A3262" s="156" t="s">
        <v>5240</v>
      </c>
    </row>
    <row r="3263" spans="1:1">
      <c r="A3263" s="156" t="s">
        <v>5241</v>
      </c>
    </row>
    <row r="3264" spans="1:1">
      <c r="A3264" s="156" t="s">
        <v>5242</v>
      </c>
    </row>
    <row r="3265" spans="1:1">
      <c r="A3265" s="156" t="s">
        <v>5243</v>
      </c>
    </row>
    <row r="3266" spans="1:1">
      <c r="A3266" s="156" t="s">
        <v>5244</v>
      </c>
    </row>
    <row r="3267" spans="1:1">
      <c r="A3267" s="156" t="s">
        <v>5245</v>
      </c>
    </row>
    <row r="3268" spans="1:1">
      <c r="A3268" s="156" t="s">
        <v>5246</v>
      </c>
    </row>
    <row r="3269" spans="1:1">
      <c r="A3269" s="156" t="s">
        <v>5247</v>
      </c>
    </row>
    <row r="3270" spans="1:1">
      <c r="A3270" s="156" t="s">
        <v>5248</v>
      </c>
    </row>
    <row r="3271" spans="1:1">
      <c r="A3271" s="156" t="s">
        <v>5249</v>
      </c>
    </row>
    <row r="3272" spans="1:1">
      <c r="A3272" s="156" t="s">
        <v>5250</v>
      </c>
    </row>
    <row r="3273" spans="1:1">
      <c r="A3273" s="156" t="s">
        <v>5251</v>
      </c>
    </row>
    <row r="3274" spans="1:1">
      <c r="A3274" s="156" t="s">
        <v>5252</v>
      </c>
    </row>
    <row r="3275" spans="1:1">
      <c r="A3275" s="156" t="s">
        <v>5253</v>
      </c>
    </row>
    <row r="3276" spans="1:1">
      <c r="A3276" s="156" t="s">
        <v>5254</v>
      </c>
    </row>
    <row r="3277" spans="1:1">
      <c r="A3277" s="156" t="s">
        <v>5255</v>
      </c>
    </row>
    <row r="3278" spans="1:1">
      <c r="A3278" s="156" t="s">
        <v>5256</v>
      </c>
    </row>
    <row r="3279" spans="1:1">
      <c r="A3279" s="156" t="s">
        <v>5257</v>
      </c>
    </row>
    <row r="3280" spans="1:1">
      <c r="A3280" s="156" t="s">
        <v>5258</v>
      </c>
    </row>
    <row r="3281" spans="1:1">
      <c r="A3281" s="156" t="s">
        <v>5259</v>
      </c>
    </row>
    <row r="3282" spans="1:1">
      <c r="A3282" s="156" t="s">
        <v>5260</v>
      </c>
    </row>
    <row r="3283" spans="1:1">
      <c r="A3283" s="156" t="s">
        <v>5261</v>
      </c>
    </row>
    <row r="3284" spans="1:1">
      <c r="A3284" s="156" t="s">
        <v>5262</v>
      </c>
    </row>
    <row r="3285" spans="1:1">
      <c r="A3285" s="156" t="s">
        <v>5263</v>
      </c>
    </row>
    <row r="3286" spans="1:1">
      <c r="A3286" s="156" t="s">
        <v>5264</v>
      </c>
    </row>
    <row r="3287" spans="1:1">
      <c r="A3287" s="156" t="s">
        <v>5265</v>
      </c>
    </row>
    <row r="3288" spans="1:1">
      <c r="A3288" s="156" t="s">
        <v>5266</v>
      </c>
    </row>
    <row r="3289" spans="1:1">
      <c r="A3289" s="156" t="s">
        <v>5267</v>
      </c>
    </row>
    <row r="3290" spans="1:1">
      <c r="A3290" s="156" t="s">
        <v>5268</v>
      </c>
    </row>
    <row r="3291" spans="1:1">
      <c r="A3291" s="156" t="s">
        <v>5269</v>
      </c>
    </row>
    <row r="3292" spans="1:1">
      <c r="A3292" s="156" t="s">
        <v>5270</v>
      </c>
    </row>
    <row r="3293" spans="1:1">
      <c r="A3293" s="156" t="s">
        <v>5271</v>
      </c>
    </row>
    <row r="3294" spans="1:1">
      <c r="A3294" s="156" t="s">
        <v>5272</v>
      </c>
    </row>
    <row r="3295" spans="1:1">
      <c r="A3295" s="156" t="s">
        <v>5273</v>
      </c>
    </row>
    <row r="3296" spans="1:1">
      <c r="A3296" s="156" t="s">
        <v>5274</v>
      </c>
    </row>
    <row r="3297" spans="1:1">
      <c r="A3297" s="156" t="s">
        <v>5275</v>
      </c>
    </row>
    <row r="3298" spans="1:1">
      <c r="A3298" s="156" t="s">
        <v>5276</v>
      </c>
    </row>
    <row r="3299" spans="1:1">
      <c r="A3299" s="156" t="s">
        <v>5277</v>
      </c>
    </row>
    <row r="3300" spans="1:1">
      <c r="A3300" s="156" t="s">
        <v>5278</v>
      </c>
    </row>
    <row r="3301" spans="1:1">
      <c r="A3301" s="156" t="s">
        <v>5279</v>
      </c>
    </row>
    <row r="3302" spans="1:1">
      <c r="A3302" s="156" t="s">
        <v>5280</v>
      </c>
    </row>
    <row r="3303" spans="1:1">
      <c r="A3303" s="156" t="s">
        <v>5281</v>
      </c>
    </row>
    <row r="3304" spans="1:1">
      <c r="A3304" s="156" t="s">
        <v>5282</v>
      </c>
    </row>
    <row r="3305" spans="1:1">
      <c r="A3305" s="156" t="s">
        <v>5283</v>
      </c>
    </row>
    <row r="3306" spans="1:1">
      <c r="A3306" s="156" t="s">
        <v>5284</v>
      </c>
    </row>
    <row r="3307" spans="1:1">
      <c r="A3307" s="156" t="s">
        <v>5285</v>
      </c>
    </row>
    <row r="3308" spans="1:1">
      <c r="A3308" s="156" t="s">
        <v>5286</v>
      </c>
    </row>
    <row r="3309" spans="1:1">
      <c r="A3309" s="156" t="s">
        <v>5287</v>
      </c>
    </row>
    <row r="3310" spans="1:1">
      <c r="A3310" s="156" t="s">
        <v>5288</v>
      </c>
    </row>
    <row r="3311" spans="1:1">
      <c r="A3311" s="156" t="s">
        <v>5289</v>
      </c>
    </row>
    <row r="3312" spans="1:1">
      <c r="A3312" s="156" t="s">
        <v>5290</v>
      </c>
    </row>
    <row r="3313" spans="1:1">
      <c r="A3313" s="156" t="s">
        <v>5291</v>
      </c>
    </row>
    <row r="3314" spans="1:1">
      <c r="A3314" s="156" t="s">
        <v>5292</v>
      </c>
    </row>
    <row r="3315" spans="1:1">
      <c r="A3315" s="156" t="s">
        <v>5293</v>
      </c>
    </row>
    <row r="3316" spans="1:1">
      <c r="A3316" s="156" t="s">
        <v>5294</v>
      </c>
    </row>
    <row r="3317" spans="1:1">
      <c r="A3317" s="156" t="s">
        <v>5295</v>
      </c>
    </row>
    <row r="3318" spans="1:1">
      <c r="A3318" s="156" t="s">
        <v>5296</v>
      </c>
    </row>
    <row r="3319" spans="1:1">
      <c r="A3319" s="156" t="s">
        <v>5297</v>
      </c>
    </row>
    <row r="3320" spans="1:1">
      <c r="A3320" s="156" t="s">
        <v>5298</v>
      </c>
    </row>
    <row r="3321" spans="1:1">
      <c r="A3321" s="156" t="s">
        <v>5299</v>
      </c>
    </row>
    <row r="3322" spans="1:1">
      <c r="A3322" s="156" t="s">
        <v>5300</v>
      </c>
    </row>
    <row r="3323" spans="1:1">
      <c r="A3323" s="156" t="s">
        <v>5301</v>
      </c>
    </row>
    <row r="3324" spans="1:1">
      <c r="A3324" s="156" t="s">
        <v>5302</v>
      </c>
    </row>
    <row r="3325" spans="1:1">
      <c r="A3325" s="156" t="s">
        <v>5303</v>
      </c>
    </row>
    <row r="3326" spans="1:1">
      <c r="A3326" s="156" t="s">
        <v>5304</v>
      </c>
    </row>
    <row r="3327" spans="1:1">
      <c r="A3327" s="156" t="s">
        <v>5305</v>
      </c>
    </row>
    <row r="3328" spans="1:1">
      <c r="A3328" s="156" t="s">
        <v>5306</v>
      </c>
    </row>
    <row r="3329" spans="1:1">
      <c r="A3329" s="156" t="s">
        <v>5307</v>
      </c>
    </row>
    <row r="3330" spans="1:1">
      <c r="A3330" s="156" t="s">
        <v>5308</v>
      </c>
    </row>
    <row r="3331" spans="1:1">
      <c r="A3331" s="156" t="s">
        <v>5309</v>
      </c>
    </row>
    <row r="3332" spans="1:1">
      <c r="A3332" s="156" t="s">
        <v>5310</v>
      </c>
    </row>
    <row r="3333" spans="1:1">
      <c r="A3333" s="156" t="s">
        <v>5311</v>
      </c>
    </row>
    <row r="3334" spans="1:1">
      <c r="A3334" s="156" t="s">
        <v>5312</v>
      </c>
    </row>
    <row r="3335" spans="1:1">
      <c r="A3335" s="156" t="s">
        <v>5313</v>
      </c>
    </row>
    <row r="3336" spans="1:1">
      <c r="A3336" s="156" t="s">
        <v>5314</v>
      </c>
    </row>
    <row r="3337" spans="1:1">
      <c r="A3337" s="156" t="s">
        <v>5315</v>
      </c>
    </row>
    <row r="3338" spans="1:1">
      <c r="A3338" s="156" t="s">
        <v>5316</v>
      </c>
    </row>
    <row r="3339" spans="1:1">
      <c r="A3339" s="156" t="s">
        <v>5317</v>
      </c>
    </row>
    <row r="3340" spans="1:1">
      <c r="A3340" s="156" t="s">
        <v>5318</v>
      </c>
    </row>
    <row r="3341" spans="1:1">
      <c r="A3341" s="156" t="s">
        <v>5319</v>
      </c>
    </row>
    <row r="3342" spans="1:1">
      <c r="A3342" s="156" t="s">
        <v>5320</v>
      </c>
    </row>
    <row r="3343" spans="1:1">
      <c r="A3343" s="156" t="s">
        <v>5321</v>
      </c>
    </row>
    <row r="3344" spans="1:1">
      <c r="A3344" s="156" t="s">
        <v>5322</v>
      </c>
    </row>
    <row r="3345" spans="1:1">
      <c r="A3345" s="156" t="s">
        <v>5323</v>
      </c>
    </row>
    <row r="3346" spans="1:1">
      <c r="A3346" s="156" t="s">
        <v>5324</v>
      </c>
    </row>
    <row r="3347" spans="1:1">
      <c r="A3347" s="156" t="s">
        <v>5325</v>
      </c>
    </row>
    <row r="3348" spans="1:1">
      <c r="A3348" s="156" t="s">
        <v>5326</v>
      </c>
    </row>
    <row r="3349" spans="1:1">
      <c r="A3349" s="156" t="s">
        <v>5327</v>
      </c>
    </row>
    <row r="3350" spans="1:1">
      <c r="A3350" s="156" t="s">
        <v>5328</v>
      </c>
    </row>
    <row r="3351" spans="1:1">
      <c r="A3351" s="156" t="s">
        <v>5329</v>
      </c>
    </row>
    <row r="3352" spans="1:1">
      <c r="A3352" s="156" t="s">
        <v>5330</v>
      </c>
    </row>
    <row r="3353" spans="1:1">
      <c r="A3353" s="156" t="s">
        <v>5331</v>
      </c>
    </row>
    <row r="3354" spans="1:1">
      <c r="A3354" s="156" t="s">
        <v>5332</v>
      </c>
    </row>
    <row r="3355" spans="1:1">
      <c r="A3355" s="156" t="s">
        <v>5333</v>
      </c>
    </row>
    <row r="3356" spans="1:1">
      <c r="A3356" s="156" t="s">
        <v>5334</v>
      </c>
    </row>
    <row r="3357" spans="1:1">
      <c r="A3357" s="156" t="s">
        <v>5335</v>
      </c>
    </row>
    <row r="3358" spans="1:1">
      <c r="A3358" s="156" t="s">
        <v>5336</v>
      </c>
    </row>
    <row r="3359" spans="1:1">
      <c r="A3359" s="156" t="s">
        <v>5337</v>
      </c>
    </row>
    <row r="3360" spans="1:1">
      <c r="A3360" s="156" t="s">
        <v>5338</v>
      </c>
    </row>
    <row r="3361" spans="1:1">
      <c r="A3361" s="156" t="s">
        <v>5339</v>
      </c>
    </row>
    <row r="3362" spans="1:1">
      <c r="A3362" s="156" t="s">
        <v>5340</v>
      </c>
    </row>
    <row r="3363" spans="1:1">
      <c r="A3363" s="156" t="s">
        <v>5341</v>
      </c>
    </row>
    <row r="3364" spans="1:1">
      <c r="A3364" s="156" t="s">
        <v>5342</v>
      </c>
    </row>
    <row r="3365" spans="1:1">
      <c r="A3365" s="156" t="s">
        <v>5343</v>
      </c>
    </row>
    <row r="3366" spans="1:1">
      <c r="A3366" s="156" t="s">
        <v>5344</v>
      </c>
    </row>
    <row r="3367" spans="1:1">
      <c r="A3367" s="156" t="s">
        <v>5345</v>
      </c>
    </row>
    <row r="3368" spans="1:1">
      <c r="A3368" s="156" t="s">
        <v>5346</v>
      </c>
    </row>
    <row r="3369" spans="1:1">
      <c r="A3369" s="156" t="s">
        <v>5347</v>
      </c>
    </row>
    <row r="3370" spans="1:1">
      <c r="A3370" s="156" t="s">
        <v>5348</v>
      </c>
    </row>
    <row r="3371" spans="1:1">
      <c r="A3371" s="156" t="s">
        <v>5349</v>
      </c>
    </row>
    <row r="3372" spans="1:1">
      <c r="A3372" s="156" t="s">
        <v>5350</v>
      </c>
    </row>
    <row r="3373" spans="1:1">
      <c r="A3373" s="156" t="s">
        <v>5351</v>
      </c>
    </row>
    <row r="3374" spans="1:1">
      <c r="A3374" s="156" t="s">
        <v>5352</v>
      </c>
    </row>
    <row r="3375" spans="1:1">
      <c r="A3375" s="156" t="s">
        <v>5353</v>
      </c>
    </row>
    <row r="3376" spans="1:1">
      <c r="A3376" s="156" t="s">
        <v>5354</v>
      </c>
    </row>
    <row r="3377" spans="1:1">
      <c r="A3377" s="156" t="s">
        <v>5355</v>
      </c>
    </row>
    <row r="3378" spans="1:1">
      <c r="A3378" s="156" t="s">
        <v>5356</v>
      </c>
    </row>
    <row r="3379" spans="1:1">
      <c r="A3379" s="156" t="s">
        <v>5357</v>
      </c>
    </row>
    <row r="3380" spans="1:1">
      <c r="A3380" s="156" t="s">
        <v>5358</v>
      </c>
    </row>
    <row r="3381" spans="1:1">
      <c r="A3381" s="156" t="s">
        <v>5359</v>
      </c>
    </row>
    <row r="3382" spans="1:1">
      <c r="A3382" s="156" t="s">
        <v>5360</v>
      </c>
    </row>
    <row r="3383" spans="1:1">
      <c r="A3383" s="156" t="s">
        <v>5361</v>
      </c>
    </row>
    <row r="3384" spans="1:1">
      <c r="A3384" s="156" t="s">
        <v>5362</v>
      </c>
    </row>
    <row r="3385" spans="1:1">
      <c r="A3385" s="156" t="s">
        <v>5363</v>
      </c>
    </row>
    <row r="3386" spans="1:1">
      <c r="A3386" s="156" t="s">
        <v>5364</v>
      </c>
    </row>
    <row r="3387" spans="1:1">
      <c r="A3387" s="156" t="s">
        <v>5365</v>
      </c>
    </row>
    <row r="3388" spans="1:1">
      <c r="A3388" s="156" t="s">
        <v>5366</v>
      </c>
    </row>
    <row r="3389" spans="1:1">
      <c r="A3389" s="156" t="s">
        <v>5367</v>
      </c>
    </row>
    <row r="3390" spans="1:1">
      <c r="A3390" s="156" t="s">
        <v>5368</v>
      </c>
    </row>
    <row r="3391" spans="1:1">
      <c r="A3391" s="156" t="s">
        <v>5369</v>
      </c>
    </row>
    <row r="3392" spans="1:1">
      <c r="A3392" s="156" t="s">
        <v>5370</v>
      </c>
    </row>
    <row r="3393" spans="1:1">
      <c r="A3393" s="156" t="s">
        <v>5371</v>
      </c>
    </row>
    <row r="3394" spans="1:1">
      <c r="A3394" s="156" t="s">
        <v>5372</v>
      </c>
    </row>
    <row r="3395" spans="1:1">
      <c r="A3395" s="156" t="s">
        <v>5373</v>
      </c>
    </row>
    <row r="3396" spans="1:1">
      <c r="A3396" s="156" t="s">
        <v>5374</v>
      </c>
    </row>
    <row r="3397" spans="1:1">
      <c r="A3397" s="156" t="s">
        <v>5375</v>
      </c>
    </row>
    <row r="3398" spans="1:1">
      <c r="A3398" s="156" t="s">
        <v>5376</v>
      </c>
    </row>
    <row r="3399" spans="1:1">
      <c r="A3399" s="156" t="s">
        <v>5377</v>
      </c>
    </row>
    <row r="3400" spans="1:1">
      <c r="A3400" s="156" t="s">
        <v>5378</v>
      </c>
    </row>
    <row r="3401" spans="1:1">
      <c r="A3401" s="156" t="s">
        <v>5379</v>
      </c>
    </row>
    <row r="3402" spans="1:1">
      <c r="A3402" s="156" t="s">
        <v>5380</v>
      </c>
    </row>
    <row r="3403" spans="1:1">
      <c r="A3403" s="156" t="s">
        <v>5381</v>
      </c>
    </row>
    <row r="3404" spans="1:1">
      <c r="A3404" s="156" t="s">
        <v>5382</v>
      </c>
    </row>
    <row r="3405" spans="1:1">
      <c r="A3405" s="156" t="s">
        <v>5383</v>
      </c>
    </row>
    <row r="3406" spans="1:1">
      <c r="A3406" s="156" t="s">
        <v>5384</v>
      </c>
    </row>
    <row r="3407" spans="1:1">
      <c r="A3407" s="156" t="s">
        <v>5385</v>
      </c>
    </row>
    <row r="3408" spans="1:1">
      <c r="A3408" s="156" t="s">
        <v>5386</v>
      </c>
    </row>
    <row r="3409" spans="1:1">
      <c r="A3409" s="156" t="s">
        <v>5387</v>
      </c>
    </row>
    <row r="3410" spans="1:1">
      <c r="A3410" s="156" t="s">
        <v>5388</v>
      </c>
    </row>
    <row r="3411" spans="1:1">
      <c r="A3411" s="156" t="s">
        <v>5389</v>
      </c>
    </row>
    <row r="3412" spans="1:1">
      <c r="A3412" s="156" t="s">
        <v>5390</v>
      </c>
    </row>
    <row r="3413" spans="1:1">
      <c r="A3413" s="156" t="s">
        <v>5391</v>
      </c>
    </row>
    <row r="3414" spans="1:1">
      <c r="A3414" s="156" t="s">
        <v>5392</v>
      </c>
    </row>
    <row r="3415" spans="1:1">
      <c r="A3415" s="156" t="s">
        <v>5393</v>
      </c>
    </row>
    <row r="3416" spans="1:1">
      <c r="A3416" s="156" t="s">
        <v>5394</v>
      </c>
    </row>
    <row r="3417" spans="1:1">
      <c r="A3417" s="156" t="s">
        <v>5395</v>
      </c>
    </row>
    <row r="3418" spans="1:1">
      <c r="A3418" s="156" t="s">
        <v>5396</v>
      </c>
    </row>
    <row r="3419" spans="1:1">
      <c r="A3419" s="156" t="s">
        <v>5397</v>
      </c>
    </row>
    <row r="3420" spans="1:1">
      <c r="A3420" s="156" t="s">
        <v>5398</v>
      </c>
    </row>
    <row r="3421" spans="1:1">
      <c r="A3421" s="156" t="s">
        <v>5399</v>
      </c>
    </row>
    <row r="3422" spans="1:1">
      <c r="A3422" s="156" t="s">
        <v>5400</v>
      </c>
    </row>
    <row r="3423" spans="1:1">
      <c r="A3423" s="156" t="s">
        <v>5401</v>
      </c>
    </row>
    <row r="3424" spans="1:1">
      <c r="A3424" s="156" t="s">
        <v>5402</v>
      </c>
    </row>
    <row r="3425" spans="1:1">
      <c r="A3425" s="156" t="s">
        <v>5403</v>
      </c>
    </row>
    <row r="3426" spans="1:1">
      <c r="A3426" s="156" t="s">
        <v>5404</v>
      </c>
    </row>
    <row r="3427" spans="1:1">
      <c r="A3427" s="156" t="s">
        <v>5405</v>
      </c>
    </row>
    <row r="3428" spans="1:1">
      <c r="A3428" s="156" t="s">
        <v>5406</v>
      </c>
    </row>
    <row r="3429" spans="1:1">
      <c r="A3429" s="156" t="s">
        <v>5407</v>
      </c>
    </row>
    <row r="3430" spans="1:1">
      <c r="A3430" s="156" t="s">
        <v>5408</v>
      </c>
    </row>
    <row r="3431" spans="1:1">
      <c r="A3431" s="156" t="s">
        <v>5409</v>
      </c>
    </row>
    <row r="3432" spans="1:1">
      <c r="A3432" s="156" t="s">
        <v>5410</v>
      </c>
    </row>
    <row r="3433" spans="1:1">
      <c r="A3433" s="156" t="s">
        <v>5411</v>
      </c>
    </row>
    <row r="3434" spans="1:1">
      <c r="A3434" s="156" t="s">
        <v>5412</v>
      </c>
    </row>
    <row r="3435" spans="1:1">
      <c r="A3435" s="156" t="s">
        <v>5413</v>
      </c>
    </row>
    <row r="3436" spans="1:1">
      <c r="A3436" s="156" t="s">
        <v>5414</v>
      </c>
    </row>
    <row r="3437" spans="1:1">
      <c r="A3437" s="156" t="s">
        <v>5415</v>
      </c>
    </row>
    <row r="3438" spans="1:1">
      <c r="A3438" s="156" t="s">
        <v>5416</v>
      </c>
    </row>
    <row r="3439" spans="1:1">
      <c r="A3439" s="156" t="s">
        <v>5417</v>
      </c>
    </row>
    <row r="3440" spans="1:1">
      <c r="A3440" s="156" t="s">
        <v>5418</v>
      </c>
    </row>
    <row r="3441" spans="1:1">
      <c r="A3441" s="156" t="s">
        <v>5419</v>
      </c>
    </row>
    <row r="3442" spans="1:1">
      <c r="A3442" s="156" t="s">
        <v>5420</v>
      </c>
    </row>
    <row r="3443" spans="1:1">
      <c r="A3443" s="156" t="s">
        <v>5421</v>
      </c>
    </row>
    <row r="3444" spans="1:1">
      <c r="A3444" s="156" t="s">
        <v>5422</v>
      </c>
    </row>
    <row r="3445" spans="1:1">
      <c r="A3445" s="156" t="s">
        <v>5423</v>
      </c>
    </row>
    <row r="3446" spans="1:1">
      <c r="A3446" s="156" t="s">
        <v>5424</v>
      </c>
    </row>
    <row r="3447" spans="1:1">
      <c r="A3447" s="156" t="s">
        <v>5425</v>
      </c>
    </row>
    <row r="3448" spans="1:1">
      <c r="A3448" s="156" t="s">
        <v>5426</v>
      </c>
    </row>
    <row r="3449" spans="1:1">
      <c r="A3449" s="156" t="s">
        <v>5427</v>
      </c>
    </row>
    <row r="3450" spans="1:1">
      <c r="A3450" s="156" t="s">
        <v>5428</v>
      </c>
    </row>
    <row r="3451" spans="1:1">
      <c r="A3451" s="156" t="s">
        <v>5429</v>
      </c>
    </row>
    <row r="3452" spans="1:1">
      <c r="A3452" s="156" t="s">
        <v>5430</v>
      </c>
    </row>
    <row r="3453" spans="1:1">
      <c r="A3453" s="156" t="s">
        <v>5431</v>
      </c>
    </row>
    <row r="3454" spans="1:1">
      <c r="A3454" s="156" t="s">
        <v>5432</v>
      </c>
    </row>
    <row r="3455" spans="1:1">
      <c r="A3455" s="156" t="s">
        <v>5433</v>
      </c>
    </row>
    <row r="3456" spans="1:1">
      <c r="A3456" s="156" t="s">
        <v>5434</v>
      </c>
    </row>
    <row r="3457" spans="1:1">
      <c r="A3457" s="156" t="s">
        <v>5435</v>
      </c>
    </row>
    <row r="3458" spans="1:1">
      <c r="A3458" s="156" t="s">
        <v>5436</v>
      </c>
    </row>
    <row r="3459" spans="1:1">
      <c r="A3459" s="156" t="s">
        <v>5437</v>
      </c>
    </row>
    <row r="3460" spans="1:1">
      <c r="A3460" s="156" t="s">
        <v>5438</v>
      </c>
    </row>
    <row r="3461" spans="1:1">
      <c r="A3461" s="156" t="s">
        <v>5439</v>
      </c>
    </row>
    <row r="3462" spans="1:1">
      <c r="A3462" s="156" t="s">
        <v>5440</v>
      </c>
    </row>
    <row r="3463" spans="1:1">
      <c r="A3463" s="156" t="s">
        <v>5441</v>
      </c>
    </row>
    <row r="3464" spans="1:1">
      <c r="A3464" s="156" t="s">
        <v>5442</v>
      </c>
    </row>
    <row r="3465" spans="1:1">
      <c r="A3465" s="156" t="s">
        <v>5443</v>
      </c>
    </row>
    <row r="3466" spans="1:1">
      <c r="A3466" s="156" t="s">
        <v>5444</v>
      </c>
    </row>
    <row r="3467" spans="1:1">
      <c r="A3467" s="156" t="s">
        <v>5445</v>
      </c>
    </row>
    <row r="3468" spans="1:1">
      <c r="A3468" s="156" t="s">
        <v>5446</v>
      </c>
    </row>
    <row r="3469" spans="1:1">
      <c r="A3469" s="156" t="s">
        <v>5447</v>
      </c>
    </row>
    <row r="3470" spans="1:1">
      <c r="A3470" s="156" t="s">
        <v>5448</v>
      </c>
    </row>
    <row r="3471" spans="1:1">
      <c r="A3471" s="156" t="s">
        <v>5449</v>
      </c>
    </row>
    <row r="3472" spans="1:1">
      <c r="A3472" s="156" t="s">
        <v>5450</v>
      </c>
    </row>
    <row r="3473" spans="1:1">
      <c r="A3473" s="156" t="s">
        <v>5451</v>
      </c>
    </row>
    <row r="3474" spans="1:1">
      <c r="A3474" s="156" t="s">
        <v>5452</v>
      </c>
    </row>
    <row r="3475" spans="1:1">
      <c r="A3475" s="156" t="s">
        <v>5453</v>
      </c>
    </row>
    <row r="3476" spans="1:1">
      <c r="A3476" s="156" t="s">
        <v>5454</v>
      </c>
    </row>
    <row r="3477" spans="1:1">
      <c r="A3477" s="156" t="s">
        <v>5455</v>
      </c>
    </row>
    <row r="3478" spans="1:1">
      <c r="A3478" s="156" t="s">
        <v>5456</v>
      </c>
    </row>
    <row r="3479" spans="1:1">
      <c r="A3479" s="156" t="s">
        <v>5457</v>
      </c>
    </row>
    <row r="3480" spans="1:1">
      <c r="A3480" s="156" t="s">
        <v>5458</v>
      </c>
    </row>
    <row r="3481" spans="1:1">
      <c r="A3481" s="156" t="s">
        <v>5459</v>
      </c>
    </row>
    <row r="3482" spans="1:1">
      <c r="A3482" s="156" t="s">
        <v>5460</v>
      </c>
    </row>
    <row r="3483" spans="1:1">
      <c r="A3483" s="156" t="s">
        <v>5461</v>
      </c>
    </row>
    <row r="3484" spans="1:1">
      <c r="A3484" s="156" t="s">
        <v>5462</v>
      </c>
    </row>
    <row r="3485" spans="1:1">
      <c r="A3485" s="156" t="s">
        <v>5463</v>
      </c>
    </row>
    <row r="3486" spans="1:1">
      <c r="A3486" s="156" t="s">
        <v>5464</v>
      </c>
    </row>
    <row r="3487" spans="1:1">
      <c r="A3487" s="156" t="s">
        <v>5465</v>
      </c>
    </row>
    <row r="3488" spans="1:1">
      <c r="A3488" s="156" t="s">
        <v>5466</v>
      </c>
    </row>
    <row r="3489" spans="1:1">
      <c r="A3489" s="156" t="s">
        <v>5467</v>
      </c>
    </row>
    <row r="3490" spans="1:1">
      <c r="A3490" s="156" t="s">
        <v>5468</v>
      </c>
    </row>
    <row r="3491" spans="1:1">
      <c r="A3491" s="156" t="s">
        <v>5469</v>
      </c>
    </row>
    <row r="3492" spans="1:1">
      <c r="A3492" s="156" t="s">
        <v>5470</v>
      </c>
    </row>
    <row r="3493" spans="1:1">
      <c r="A3493" s="156" t="s">
        <v>5471</v>
      </c>
    </row>
    <row r="3494" spans="1:1">
      <c r="A3494" s="156" t="s">
        <v>5472</v>
      </c>
    </row>
    <row r="3495" spans="1:1">
      <c r="A3495" s="156" t="s">
        <v>5473</v>
      </c>
    </row>
    <row r="3496" spans="1:1">
      <c r="A3496" s="156" t="s">
        <v>5474</v>
      </c>
    </row>
    <row r="3497" spans="1:1">
      <c r="A3497" s="156" t="s">
        <v>5475</v>
      </c>
    </row>
    <row r="3498" spans="1:1">
      <c r="A3498" s="156" t="s">
        <v>5476</v>
      </c>
    </row>
    <row r="3499" spans="1:1">
      <c r="A3499" s="156" t="s">
        <v>5477</v>
      </c>
    </row>
    <row r="3500" spans="1:1">
      <c r="A3500" s="156" t="s">
        <v>5478</v>
      </c>
    </row>
    <row r="3501" spans="1:1">
      <c r="A3501" s="156" t="s">
        <v>5479</v>
      </c>
    </row>
    <row r="3502" spans="1:1">
      <c r="A3502" s="156" t="s">
        <v>5480</v>
      </c>
    </row>
    <row r="3503" spans="1:1">
      <c r="A3503" s="156" t="s">
        <v>5481</v>
      </c>
    </row>
    <row r="3504" spans="1:1">
      <c r="A3504" s="156" t="s">
        <v>5482</v>
      </c>
    </row>
    <row r="3505" spans="1:1">
      <c r="A3505" s="156" t="s">
        <v>5483</v>
      </c>
    </row>
    <row r="3506" spans="1:1">
      <c r="A3506" s="156" t="s">
        <v>5484</v>
      </c>
    </row>
    <row r="3507" spans="1:1">
      <c r="A3507" s="156" t="s">
        <v>5485</v>
      </c>
    </row>
    <row r="3508" spans="1:1">
      <c r="A3508" s="156" t="s">
        <v>5486</v>
      </c>
    </row>
    <row r="3509" spans="1:1">
      <c r="A3509" s="156" t="s">
        <v>5487</v>
      </c>
    </row>
    <row r="3510" spans="1:1">
      <c r="A3510" s="156" t="s">
        <v>5488</v>
      </c>
    </row>
    <row r="3511" spans="1:1">
      <c r="A3511" s="156" t="s">
        <v>5489</v>
      </c>
    </row>
    <row r="3512" spans="1:1">
      <c r="A3512" s="156" t="s">
        <v>5490</v>
      </c>
    </row>
    <row r="3513" spans="1:1">
      <c r="A3513" s="156" t="s">
        <v>5491</v>
      </c>
    </row>
    <row r="3514" spans="1:1">
      <c r="A3514" s="156" t="s">
        <v>5492</v>
      </c>
    </row>
    <row r="3515" spans="1:1">
      <c r="A3515" s="156" t="s">
        <v>5493</v>
      </c>
    </row>
    <row r="3516" spans="1:1">
      <c r="A3516" s="156" t="s">
        <v>5494</v>
      </c>
    </row>
    <row r="3517" spans="1:1">
      <c r="A3517" s="156" t="s">
        <v>5495</v>
      </c>
    </row>
    <row r="3518" spans="1:1">
      <c r="A3518" s="156" t="s">
        <v>5496</v>
      </c>
    </row>
    <row r="3519" spans="1:1">
      <c r="A3519" s="156" t="s">
        <v>5497</v>
      </c>
    </row>
    <row r="3520" spans="1:1">
      <c r="A3520" s="156" t="s">
        <v>5498</v>
      </c>
    </row>
    <row r="3521" spans="1:1">
      <c r="A3521" s="156" t="s">
        <v>5499</v>
      </c>
    </row>
    <row r="3522" spans="1:1">
      <c r="A3522" s="156" t="s">
        <v>5500</v>
      </c>
    </row>
    <row r="3523" spans="1:1">
      <c r="A3523" s="156" t="s">
        <v>5501</v>
      </c>
    </row>
    <row r="3524" spans="1:1">
      <c r="A3524" s="156" t="s">
        <v>5502</v>
      </c>
    </row>
    <row r="3525" spans="1:1">
      <c r="A3525" s="156" t="s">
        <v>5503</v>
      </c>
    </row>
    <row r="3526" spans="1:1">
      <c r="A3526" s="156" t="s">
        <v>5504</v>
      </c>
    </row>
    <row r="3527" spans="1:1">
      <c r="A3527" s="156" t="s">
        <v>5505</v>
      </c>
    </row>
    <row r="3528" spans="1:1">
      <c r="A3528" s="156" t="s">
        <v>5506</v>
      </c>
    </row>
    <row r="3529" spans="1:1">
      <c r="A3529" s="156" t="s">
        <v>5507</v>
      </c>
    </row>
    <row r="3530" spans="1:1">
      <c r="A3530" s="156" t="s">
        <v>5508</v>
      </c>
    </row>
    <row r="3531" spans="1:1">
      <c r="A3531" s="156" t="s">
        <v>5509</v>
      </c>
    </row>
    <row r="3532" spans="1:1">
      <c r="A3532" s="156" t="s">
        <v>5510</v>
      </c>
    </row>
    <row r="3533" spans="1:1">
      <c r="A3533" s="156" t="s">
        <v>5511</v>
      </c>
    </row>
    <row r="3534" spans="1:1">
      <c r="A3534" s="156" t="s">
        <v>5512</v>
      </c>
    </row>
    <row r="3535" spans="1:1">
      <c r="A3535" s="156" t="s">
        <v>5513</v>
      </c>
    </row>
    <row r="3536" spans="1:1">
      <c r="A3536" s="156" t="s">
        <v>5514</v>
      </c>
    </row>
    <row r="3537" spans="1:1">
      <c r="A3537" s="156" t="s">
        <v>5515</v>
      </c>
    </row>
    <row r="3538" spans="1:1">
      <c r="A3538" s="156" t="s">
        <v>5516</v>
      </c>
    </row>
    <row r="3539" spans="1:1">
      <c r="A3539" s="156" t="s">
        <v>5517</v>
      </c>
    </row>
    <row r="3540" spans="1:1">
      <c r="A3540" s="156" t="s">
        <v>5518</v>
      </c>
    </row>
    <row r="3541" spans="1:1">
      <c r="A3541" s="156" t="s">
        <v>5519</v>
      </c>
    </row>
    <row r="3542" spans="1:1">
      <c r="A3542" s="156" t="s">
        <v>5520</v>
      </c>
    </row>
    <row r="3543" spans="1:1">
      <c r="A3543" s="156" t="s">
        <v>5521</v>
      </c>
    </row>
    <row r="3544" spans="1:1">
      <c r="A3544" s="156" t="s">
        <v>5522</v>
      </c>
    </row>
    <row r="3545" spans="1:1">
      <c r="A3545" s="156" t="s">
        <v>5523</v>
      </c>
    </row>
    <row r="3546" spans="1:1">
      <c r="A3546" s="156" t="s">
        <v>5524</v>
      </c>
    </row>
    <row r="3547" spans="1:1">
      <c r="A3547" s="156" t="s">
        <v>5525</v>
      </c>
    </row>
    <row r="3548" spans="1:1">
      <c r="A3548" s="156" t="s">
        <v>5526</v>
      </c>
    </row>
    <row r="3549" spans="1:1">
      <c r="A3549" s="156" t="s">
        <v>5527</v>
      </c>
    </row>
    <row r="3550" spans="1:1">
      <c r="A3550" s="156" t="s">
        <v>5528</v>
      </c>
    </row>
    <row r="3551" spans="1:1">
      <c r="A3551" s="156" t="s">
        <v>5529</v>
      </c>
    </row>
    <row r="3552" spans="1:1">
      <c r="A3552" s="156" t="s">
        <v>5530</v>
      </c>
    </row>
    <row r="3553" spans="1:1">
      <c r="A3553" s="156" t="s">
        <v>5531</v>
      </c>
    </row>
    <row r="3554" spans="1:1">
      <c r="A3554" s="156" t="s">
        <v>5532</v>
      </c>
    </row>
    <row r="3555" spans="1:1">
      <c r="A3555" s="156" t="s">
        <v>5533</v>
      </c>
    </row>
    <row r="3556" spans="1:1">
      <c r="A3556" s="156" t="s">
        <v>5534</v>
      </c>
    </row>
    <row r="3557" spans="1:1">
      <c r="A3557" s="156" t="s">
        <v>5535</v>
      </c>
    </row>
    <row r="3558" spans="1:1">
      <c r="A3558" s="156" t="s">
        <v>5536</v>
      </c>
    </row>
    <row r="3559" spans="1:1">
      <c r="A3559" s="156" t="s">
        <v>5537</v>
      </c>
    </row>
    <row r="3560" spans="1:1">
      <c r="A3560" s="156" t="s">
        <v>5538</v>
      </c>
    </row>
    <row r="3561" spans="1:1">
      <c r="A3561" s="156" t="s">
        <v>5539</v>
      </c>
    </row>
    <row r="3562" spans="1:1">
      <c r="A3562" s="156" t="s">
        <v>5540</v>
      </c>
    </row>
    <row r="3563" spans="1:1">
      <c r="A3563" s="156" t="s">
        <v>5541</v>
      </c>
    </row>
    <row r="3564" spans="1:1">
      <c r="A3564" s="156" t="s">
        <v>5542</v>
      </c>
    </row>
    <row r="3565" spans="1:1">
      <c r="A3565" s="156" t="s">
        <v>5543</v>
      </c>
    </row>
    <row r="3566" spans="1:1">
      <c r="A3566" s="156" t="s">
        <v>5544</v>
      </c>
    </row>
    <row r="3567" spans="1:1">
      <c r="A3567" s="156" t="s">
        <v>5545</v>
      </c>
    </row>
    <row r="3568" spans="1:1">
      <c r="A3568" s="156" t="s">
        <v>5546</v>
      </c>
    </row>
    <row r="3569" spans="1:1">
      <c r="A3569" s="156" t="s">
        <v>5547</v>
      </c>
    </row>
    <row r="3570" spans="1:1">
      <c r="A3570" s="156" t="s">
        <v>5548</v>
      </c>
    </row>
    <row r="3571" spans="1:1">
      <c r="A3571" s="156" t="s">
        <v>5549</v>
      </c>
    </row>
    <row r="3572" spans="1:1">
      <c r="A3572" s="156" t="s">
        <v>5550</v>
      </c>
    </row>
    <row r="3573" spans="1:1">
      <c r="A3573" s="156" t="s">
        <v>5551</v>
      </c>
    </row>
    <row r="3574" spans="1:1">
      <c r="A3574" s="156" t="s">
        <v>5552</v>
      </c>
    </row>
    <row r="3575" spans="1:1">
      <c r="A3575" s="156" t="s">
        <v>5553</v>
      </c>
    </row>
    <row r="3576" spans="1:1">
      <c r="A3576" s="156" t="s">
        <v>5554</v>
      </c>
    </row>
    <row r="3577" spans="1:1">
      <c r="A3577" s="156" t="s">
        <v>5555</v>
      </c>
    </row>
    <row r="3578" spans="1:1">
      <c r="A3578" s="156" t="s">
        <v>5556</v>
      </c>
    </row>
    <row r="3579" spans="1:1">
      <c r="A3579" s="156" t="s">
        <v>5557</v>
      </c>
    </row>
    <row r="3580" spans="1:1">
      <c r="A3580" s="156" t="s">
        <v>5558</v>
      </c>
    </row>
    <row r="3581" spans="1:1">
      <c r="A3581" s="156" t="s">
        <v>5559</v>
      </c>
    </row>
    <row r="3582" spans="1:1">
      <c r="A3582" s="156" t="s">
        <v>5560</v>
      </c>
    </row>
    <row r="3583" spans="1:1">
      <c r="A3583" s="156" t="s">
        <v>5561</v>
      </c>
    </row>
    <row r="3584" spans="1:1">
      <c r="A3584" s="156" t="s">
        <v>5562</v>
      </c>
    </row>
    <row r="3585" spans="1:1">
      <c r="A3585" s="156" t="s">
        <v>5563</v>
      </c>
    </row>
    <row r="3586" spans="1:1">
      <c r="A3586" s="156" t="s">
        <v>5564</v>
      </c>
    </row>
    <row r="3587" spans="1:1">
      <c r="A3587" s="156" t="s">
        <v>5565</v>
      </c>
    </row>
    <row r="3588" spans="1:1">
      <c r="A3588" s="156" t="s">
        <v>5566</v>
      </c>
    </row>
    <row r="3589" spans="1:1">
      <c r="A3589" s="156" t="s">
        <v>5567</v>
      </c>
    </row>
    <row r="3590" spans="1:1">
      <c r="A3590" s="156" t="s">
        <v>5568</v>
      </c>
    </row>
    <row r="3591" spans="1:1">
      <c r="A3591" s="156" t="s">
        <v>5569</v>
      </c>
    </row>
    <row r="3592" spans="1:1">
      <c r="A3592" s="156" t="s">
        <v>5570</v>
      </c>
    </row>
    <row r="3593" spans="1:1">
      <c r="A3593" s="156" t="s">
        <v>5571</v>
      </c>
    </row>
    <row r="3594" spans="1:1">
      <c r="A3594" s="156" t="s">
        <v>5572</v>
      </c>
    </row>
    <row r="3595" spans="1:1">
      <c r="A3595" s="156" t="s">
        <v>5573</v>
      </c>
    </row>
    <row r="3596" spans="1:1">
      <c r="A3596" s="156" t="s">
        <v>5574</v>
      </c>
    </row>
    <row r="3597" spans="1:1">
      <c r="A3597" s="156" t="s">
        <v>5575</v>
      </c>
    </row>
    <row r="3598" spans="1:1">
      <c r="A3598" s="156" t="s">
        <v>5576</v>
      </c>
    </row>
    <row r="3599" spans="1:1">
      <c r="A3599" s="156" t="s">
        <v>5577</v>
      </c>
    </row>
    <row r="3600" spans="1:1">
      <c r="A3600" s="156" t="s">
        <v>5578</v>
      </c>
    </row>
    <row r="3601" spans="1:1">
      <c r="A3601" s="156" t="s">
        <v>5579</v>
      </c>
    </row>
    <row r="3602" spans="1:1">
      <c r="A3602" s="156" t="s">
        <v>5580</v>
      </c>
    </row>
    <row r="3603" spans="1:1">
      <c r="A3603" s="156" t="s">
        <v>5581</v>
      </c>
    </row>
    <row r="3604" spans="1:1">
      <c r="A3604" s="156" t="s">
        <v>5582</v>
      </c>
    </row>
    <row r="3605" spans="1:1">
      <c r="A3605" s="156" t="s">
        <v>5583</v>
      </c>
    </row>
    <row r="3606" spans="1:1">
      <c r="A3606" s="156" t="s">
        <v>5584</v>
      </c>
    </row>
    <row r="3607" spans="1:1">
      <c r="A3607" s="156" t="s">
        <v>5585</v>
      </c>
    </row>
    <row r="3608" spans="1:1">
      <c r="A3608" s="156" t="s">
        <v>5586</v>
      </c>
    </row>
    <row r="3609" spans="1:1">
      <c r="A3609" s="156" t="s">
        <v>5587</v>
      </c>
    </row>
    <row r="3610" spans="1:1">
      <c r="A3610" s="156" t="s">
        <v>5588</v>
      </c>
    </row>
    <row r="3611" spans="1:1">
      <c r="A3611" s="156" t="s">
        <v>5589</v>
      </c>
    </row>
    <row r="3612" spans="1:1">
      <c r="A3612" s="156" t="s">
        <v>5590</v>
      </c>
    </row>
    <row r="3613" spans="1:1">
      <c r="A3613" s="156" t="s">
        <v>5591</v>
      </c>
    </row>
    <row r="3614" spans="1:1">
      <c r="A3614" s="156" t="s">
        <v>5592</v>
      </c>
    </row>
    <row r="3615" spans="1:1">
      <c r="A3615" s="156" t="s">
        <v>5593</v>
      </c>
    </row>
    <row r="3616" spans="1:1">
      <c r="A3616" s="156" t="s">
        <v>5594</v>
      </c>
    </row>
    <row r="3617" spans="1:1">
      <c r="A3617" s="156" t="s">
        <v>5595</v>
      </c>
    </row>
    <row r="3618" spans="1:1">
      <c r="A3618" s="156" t="s">
        <v>5596</v>
      </c>
    </row>
    <row r="3619" spans="1:1">
      <c r="A3619" s="156" t="s">
        <v>5597</v>
      </c>
    </row>
    <row r="3620" spans="1:1">
      <c r="A3620" s="156" t="s">
        <v>5598</v>
      </c>
    </row>
    <row r="3621" spans="1:1">
      <c r="A3621" s="156" t="s">
        <v>5599</v>
      </c>
    </row>
    <row r="3622" spans="1:1">
      <c r="A3622" s="156" t="s">
        <v>5600</v>
      </c>
    </row>
    <row r="3623" spans="1:1">
      <c r="A3623" s="156" t="s">
        <v>5601</v>
      </c>
    </row>
    <row r="3624" spans="1:1">
      <c r="A3624" s="156" t="s">
        <v>5602</v>
      </c>
    </row>
    <row r="3625" spans="1:1">
      <c r="A3625" s="156" t="s">
        <v>5603</v>
      </c>
    </row>
    <row r="3626" spans="1:1">
      <c r="A3626" s="156" t="s">
        <v>5604</v>
      </c>
    </row>
    <row r="3627" spans="1:1">
      <c r="A3627" s="156" t="s">
        <v>5605</v>
      </c>
    </row>
    <row r="3628" spans="1:1">
      <c r="A3628" s="156" t="s">
        <v>5606</v>
      </c>
    </row>
    <row r="3629" spans="1:1">
      <c r="A3629" s="156" t="s">
        <v>5607</v>
      </c>
    </row>
    <row r="3630" spans="1:1">
      <c r="A3630" s="156" t="s">
        <v>5608</v>
      </c>
    </row>
    <row r="3631" spans="1:1">
      <c r="A3631" s="156" t="s">
        <v>5609</v>
      </c>
    </row>
    <row r="3632" spans="1:1">
      <c r="A3632" s="156" t="s">
        <v>5610</v>
      </c>
    </row>
    <row r="3633" spans="1:1">
      <c r="A3633" s="156" t="s">
        <v>5611</v>
      </c>
    </row>
    <row r="3634" spans="1:1">
      <c r="A3634" s="156" t="s">
        <v>5612</v>
      </c>
    </row>
    <row r="3635" spans="1:1">
      <c r="A3635" s="156" t="s">
        <v>5613</v>
      </c>
    </row>
    <row r="3636" spans="1:1">
      <c r="A3636" s="156" t="s">
        <v>5614</v>
      </c>
    </row>
    <row r="3637" spans="1:1">
      <c r="A3637" s="156" t="s">
        <v>5615</v>
      </c>
    </row>
    <row r="3638" spans="1:1">
      <c r="A3638" s="156" t="s">
        <v>5616</v>
      </c>
    </row>
    <row r="3639" spans="1:1">
      <c r="A3639" s="156" t="s">
        <v>5617</v>
      </c>
    </row>
    <row r="3640" spans="1:1">
      <c r="A3640" s="156" t="s">
        <v>5618</v>
      </c>
    </row>
    <row r="3641" spans="1:1">
      <c r="A3641" s="156" t="s">
        <v>5619</v>
      </c>
    </row>
    <row r="3642" spans="1:1">
      <c r="A3642" s="156" t="s">
        <v>5620</v>
      </c>
    </row>
    <row r="3643" spans="1:1">
      <c r="A3643" s="156" t="s">
        <v>5621</v>
      </c>
    </row>
    <row r="3644" spans="1:1">
      <c r="A3644" s="156" t="s">
        <v>5622</v>
      </c>
    </row>
    <row r="3645" spans="1:1">
      <c r="A3645" s="156" t="s">
        <v>5623</v>
      </c>
    </row>
    <row r="3646" spans="1:1">
      <c r="A3646" s="156" t="s">
        <v>5624</v>
      </c>
    </row>
    <row r="3647" spans="1:1">
      <c r="A3647" s="156" t="s">
        <v>5625</v>
      </c>
    </row>
    <row r="3648" spans="1:1">
      <c r="A3648" s="156" t="s">
        <v>5626</v>
      </c>
    </row>
    <row r="3649" spans="1:1">
      <c r="A3649" s="156" t="s">
        <v>5627</v>
      </c>
    </row>
    <row r="3650" spans="1:1">
      <c r="A3650" s="156" t="s">
        <v>5628</v>
      </c>
    </row>
    <row r="3651" spans="1:1">
      <c r="A3651" s="156" t="s">
        <v>5629</v>
      </c>
    </row>
    <row r="3652" spans="1:1">
      <c r="A3652" s="156" t="s">
        <v>5630</v>
      </c>
    </row>
    <row r="3653" spans="1:1">
      <c r="A3653" s="156" t="s">
        <v>5631</v>
      </c>
    </row>
    <row r="3654" spans="1:1">
      <c r="A3654" s="156" t="s">
        <v>5632</v>
      </c>
    </row>
    <row r="3655" spans="1:1">
      <c r="A3655" s="156" t="s">
        <v>5633</v>
      </c>
    </row>
    <row r="3656" spans="1:1">
      <c r="A3656" s="156" t="s">
        <v>5634</v>
      </c>
    </row>
    <row r="3657" spans="1:1">
      <c r="A3657" s="156" t="s">
        <v>5635</v>
      </c>
    </row>
    <row r="3658" spans="1:1">
      <c r="A3658" s="156" t="s">
        <v>5636</v>
      </c>
    </row>
    <row r="3659" spans="1:1">
      <c r="A3659" s="156" t="s">
        <v>5637</v>
      </c>
    </row>
    <row r="3660" spans="1:1">
      <c r="A3660" s="156" t="s">
        <v>5638</v>
      </c>
    </row>
    <row r="3661" spans="1:1">
      <c r="A3661" s="156" t="s">
        <v>5639</v>
      </c>
    </row>
    <row r="3662" spans="1:1">
      <c r="A3662" s="156" t="s">
        <v>5640</v>
      </c>
    </row>
    <row r="3663" spans="1:1">
      <c r="A3663" s="156" t="s">
        <v>5641</v>
      </c>
    </row>
    <row r="3664" spans="1:1">
      <c r="A3664" s="156" t="s">
        <v>5642</v>
      </c>
    </row>
    <row r="3665" spans="1:1">
      <c r="A3665" s="156" t="s">
        <v>5643</v>
      </c>
    </row>
    <row r="3666" spans="1:1">
      <c r="A3666" s="156" t="s">
        <v>5644</v>
      </c>
    </row>
    <row r="3667" spans="1:1">
      <c r="A3667" s="156" t="s">
        <v>5645</v>
      </c>
    </row>
    <row r="3668" spans="1:1">
      <c r="A3668" s="156" t="s">
        <v>5646</v>
      </c>
    </row>
    <row r="3669" spans="1:1">
      <c r="A3669" s="156" t="s">
        <v>5647</v>
      </c>
    </row>
    <row r="3670" spans="1:1">
      <c r="A3670" s="156" t="s">
        <v>5648</v>
      </c>
    </row>
    <row r="3671" spans="1:1">
      <c r="A3671" s="156" t="s">
        <v>5649</v>
      </c>
    </row>
    <row r="3672" spans="1:1">
      <c r="A3672" s="156" t="s">
        <v>5650</v>
      </c>
    </row>
    <row r="3673" spans="1:1">
      <c r="A3673" s="156" t="s">
        <v>5651</v>
      </c>
    </row>
    <row r="3674" spans="1:1">
      <c r="A3674" s="156" t="s">
        <v>5652</v>
      </c>
    </row>
    <row r="3675" spans="1:1">
      <c r="A3675" s="156" t="s">
        <v>5653</v>
      </c>
    </row>
    <row r="3676" spans="1:1">
      <c r="A3676" s="156" t="s">
        <v>5654</v>
      </c>
    </row>
    <row r="3677" spans="1:1">
      <c r="A3677" s="156" t="s">
        <v>5655</v>
      </c>
    </row>
    <row r="3678" spans="1:1">
      <c r="A3678" s="156" t="s">
        <v>5656</v>
      </c>
    </row>
    <row r="3679" spans="1:1">
      <c r="A3679" s="156" t="s">
        <v>5657</v>
      </c>
    </row>
    <row r="3680" spans="1:1">
      <c r="A3680" s="156" t="s">
        <v>5658</v>
      </c>
    </row>
    <row r="3681" spans="1:1">
      <c r="A3681" s="156" t="s">
        <v>5659</v>
      </c>
    </row>
    <row r="3682" spans="1:1">
      <c r="A3682" s="156" t="s">
        <v>5660</v>
      </c>
    </row>
    <row r="3683" spans="1:1">
      <c r="A3683" s="156" t="s">
        <v>5661</v>
      </c>
    </row>
    <row r="3684" spans="1:1">
      <c r="A3684" s="156" t="s">
        <v>5662</v>
      </c>
    </row>
    <row r="3685" spans="1:1">
      <c r="A3685" s="156" t="s">
        <v>5663</v>
      </c>
    </row>
    <row r="3686" spans="1:1">
      <c r="A3686" s="156" t="s">
        <v>5664</v>
      </c>
    </row>
    <row r="3687" spans="1:1">
      <c r="A3687" s="156" t="s">
        <v>5665</v>
      </c>
    </row>
    <row r="3688" spans="1:1">
      <c r="A3688" s="156" t="s">
        <v>5666</v>
      </c>
    </row>
    <row r="3689" spans="1:1">
      <c r="A3689" s="156" t="s">
        <v>5667</v>
      </c>
    </row>
    <row r="3690" spans="1:1">
      <c r="A3690" s="156" t="s">
        <v>5668</v>
      </c>
    </row>
    <row r="3691" spans="1:1">
      <c r="A3691" s="156" t="s">
        <v>5669</v>
      </c>
    </row>
    <row r="3692" spans="1:1">
      <c r="A3692" s="156" t="s">
        <v>5670</v>
      </c>
    </row>
    <row r="3693" spans="1:1">
      <c r="A3693" s="156" t="s">
        <v>5671</v>
      </c>
    </row>
    <row r="3694" spans="1:1">
      <c r="A3694" s="156" t="s">
        <v>5672</v>
      </c>
    </row>
    <row r="3695" spans="1:1">
      <c r="A3695" s="156" t="s">
        <v>5673</v>
      </c>
    </row>
    <row r="3696" spans="1:1">
      <c r="A3696" s="156" t="s">
        <v>5674</v>
      </c>
    </row>
    <row r="3697" spans="1:1">
      <c r="A3697" s="156" t="s">
        <v>5675</v>
      </c>
    </row>
    <row r="3698" spans="1:1">
      <c r="A3698" s="156" t="s">
        <v>5676</v>
      </c>
    </row>
    <row r="3699" spans="1:1">
      <c r="A3699" s="156" t="s">
        <v>5677</v>
      </c>
    </row>
    <row r="3700" spans="1:1">
      <c r="A3700" s="156" t="s">
        <v>5678</v>
      </c>
    </row>
    <row r="3701" spans="1:1">
      <c r="A3701" s="156" t="s">
        <v>5679</v>
      </c>
    </row>
    <row r="3702" spans="1:1">
      <c r="A3702" s="156" t="s">
        <v>5680</v>
      </c>
    </row>
    <row r="3703" spans="1:1">
      <c r="A3703" s="156" t="s">
        <v>5681</v>
      </c>
    </row>
    <row r="3704" spans="1:1">
      <c r="A3704" s="156" t="s">
        <v>5682</v>
      </c>
    </row>
    <row r="3705" spans="1:1">
      <c r="A3705" s="156" t="s">
        <v>5683</v>
      </c>
    </row>
    <row r="3706" spans="1:1">
      <c r="A3706" s="156" t="s">
        <v>5684</v>
      </c>
    </row>
    <row r="3707" spans="1:1">
      <c r="A3707" s="156" t="s">
        <v>5685</v>
      </c>
    </row>
    <row r="3708" spans="1:1">
      <c r="A3708" s="156" t="s">
        <v>5686</v>
      </c>
    </row>
    <row r="3709" spans="1:1">
      <c r="A3709" s="156" t="s">
        <v>5687</v>
      </c>
    </row>
    <row r="3710" spans="1:1">
      <c r="A3710" s="156" t="s">
        <v>5688</v>
      </c>
    </row>
    <row r="3711" spans="1:1">
      <c r="A3711" s="156" t="s">
        <v>5689</v>
      </c>
    </row>
    <row r="3712" spans="1:1">
      <c r="A3712" s="156" t="s">
        <v>5690</v>
      </c>
    </row>
    <row r="3713" spans="1:1">
      <c r="A3713" s="156" t="s">
        <v>5691</v>
      </c>
    </row>
    <row r="3714" spans="1:1">
      <c r="A3714" s="156" t="s">
        <v>5692</v>
      </c>
    </row>
    <row r="3715" spans="1:1">
      <c r="A3715" s="156" t="s">
        <v>5693</v>
      </c>
    </row>
    <row r="3716" spans="1:1">
      <c r="A3716" s="156" t="s">
        <v>5694</v>
      </c>
    </row>
    <row r="3717" spans="1:1">
      <c r="A3717" s="156" t="s">
        <v>5695</v>
      </c>
    </row>
    <row r="3718" spans="1:1">
      <c r="A3718" s="156" t="s">
        <v>5696</v>
      </c>
    </row>
    <row r="3719" spans="1:1">
      <c r="A3719" s="156" t="s">
        <v>5697</v>
      </c>
    </row>
    <row r="3720" spans="1:1">
      <c r="A3720" s="156" t="s">
        <v>5698</v>
      </c>
    </row>
    <row r="3721" spans="1:1">
      <c r="A3721" s="156" t="s">
        <v>5699</v>
      </c>
    </row>
    <row r="3722" spans="1:1">
      <c r="A3722" s="156" t="s">
        <v>5700</v>
      </c>
    </row>
    <row r="3723" spans="1:1">
      <c r="A3723" s="156" t="s">
        <v>5701</v>
      </c>
    </row>
    <row r="3724" spans="1:1">
      <c r="A3724" s="156" t="s">
        <v>5702</v>
      </c>
    </row>
    <row r="3725" spans="1:1">
      <c r="A3725" s="156" t="s">
        <v>5703</v>
      </c>
    </row>
    <row r="3726" spans="1:1">
      <c r="A3726" s="156" t="s">
        <v>5704</v>
      </c>
    </row>
    <row r="3727" spans="1:1">
      <c r="A3727" s="156" t="s">
        <v>5705</v>
      </c>
    </row>
    <row r="3728" spans="1:1">
      <c r="A3728" s="156" t="s">
        <v>5706</v>
      </c>
    </row>
    <row r="3729" spans="1:1">
      <c r="A3729" s="156" t="s">
        <v>5707</v>
      </c>
    </row>
    <row r="3730" spans="1:1">
      <c r="A3730" s="156" t="s">
        <v>5708</v>
      </c>
    </row>
    <row r="3731" spans="1:1">
      <c r="A3731" s="156" t="s">
        <v>5709</v>
      </c>
    </row>
    <row r="3732" spans="1:1">
      <c r="A3732" s="156" t="s">
        <v>5710</v>
      </c>
    </row>
    <row r="3733" spans="1:1">
      <c r="A3733" s="156" t="s">
        <v>5711</v>
      </c>
    </row>
    <row r="3734" spans="1:1">
      <c r="A3734" s="156" t="s">
        <v>5712</v>
      </c>
    </row>
    <row r="3735" spans="1:1">
      <c r="A3735" s="156" t="s">
        <v>5713</v>
      </c>
    </row>
    <row r="3736" spans="1:1">
      <c r="A3736" s="156" t="s">
        <v>5714</v>
      </c>
    </row>
    <row r="3737" spans="1:1">
      <c r="A3737" s="156" t="s">
        <v>5715</v>
      </c>
    </row>
    <row r="3738" spans="1:1">
      <c r="A3738" s="156" t="s">
        <v>5716</v>
      </c>
    </row>
    <row r="3739" spans="1:1">
      <c r="A3739" s="156" t="s">
        <v>5717</v>
      </c>
    </row>
    <row r="3740" spans="1:1">
      <c r="A3740" s="156" t="s">
        <v>5718</v>
      </c>
    </row>
    <row r="3741" spans="1:1">
      <c r="A3741" s="156" t="s">
        <v>5719</v>
      </c>
    </row>
    <row r="3742" spans="1:1">
      <c r="A3742" s="156" t="s">
        <v>5720</v>
      </c>
    </row>
    <row r="3743" spans="1:1">
      <c r="A3743" s="156" t="s">
        <v>5721</v>
      </c>
    </row>
    <row r="3744" spans="1:1">
      <c r="A3744" s="156" t="s">
        <v>5722</v>
      </c>
    </row>
    <row r="3745" spans="1:1">
      <c r="A3745" s="156" t="s">
        <v>5723</v>
      </c>
    </row>
    <row r="3746" spans="1:1">
      <c r="A3746" s="156" t="s">
        <v>5724</v>
      </c>
    </row>
    <row r="3747" spans="1:1">
      <c r="A3747" s="156" t="s">
        <v>5725</v>
      </c>
    </row>
    <row r="3748" spans="1:1">
      <c r="A3748" s="156" t="s">
        <v>5726</v>
      </c>
    </row>
    <row r="3749" spans="1:1">
      <c r="A3749" s="156" t="s">
        <v>5727</v>
      </c>
    </row>
    <row r="3750" spans="1:1">
      <c r="A3750" s="156" t="s">
        <v>5728</v>
      </c>
    </row>
    <row r="3751" spans="1:1">
      <c r="A3751" s="156" t="s">
        <v>5729</v>
      </c>
    </row>
    <row r="3752" spans="1:1">
      <c r="A3752" s="156" t="s">
        <v>5730</v>
      </c>
    </row>
    <row r="3753" spans="1:1">
      <c r="A3753" s="156" t="s">
        <v>5731</v>
      </c>
    </row>
    <row r="3754" spans="1:1">
      <c r="A3754" s="156" t="s">
        <v>5732</v>
      </c>
    </row>
    <row r="3755" spans="1:1">
      <c r="A3755" s="156" t="s">
        <v>5733</v>
      </c>
    </row>
    <row r="3756" spans="1:1">
      <c r="A3756" s="156" t="s">
        <v>5734</v>
      </c>
    </row>
    <row r="3757" spans="1:1">
      <c r="A3757" s="156" t="s">
        <v>5735</v>
      </c>
    </row>
    <row r="3758" spans="1:1">
      <c r="A3758" s="156" t="s">
        <v>5736</v>
      </c>
    </row>
    <row r="3759" spans="1:1">
      <c r="A3759" s="156" t="s">
        <v>5737</v>
      </c>
    </row>
    <row r="3760" spans="1:1">
      <c r="A3760" s="156" t="s">
        <v>5738</v>
      </c>
    </row>
    <row r="3761" spans="1:1">
      <c r="A3761" s="156" t="s">
        <v>5739</v>
      </c>
    </row>
    <row r="3762" spans="1:1">
      <c r="A3762" s="156" t="s">
        <v>5740</v>
      </c>
    </row>
    <row r="3763" spans="1:1">
      <c r="A3763" s="156" t="s">
        <v>5741</v>
      </c>
    </row>
    <row r="3764" spans="1:1">
      <c r="A3764" s="156" t="s">
        <v>5742</v>
      </c>
    </row>
    <row r="3765" spans="1:1">
      <c r="A3765" s="156" t="s">
        <v>5743</v>
      </c>
    </row>
    <row r="3766" spans="1:1">
      <c r="A3766" s="156" t="s">
        <v>5744</v>
      </c>
    </row>
    <row r="3767" spans="1:1">
      <c r="A3767" s="156" t="s">
        <v>5745</v>
      </c>
    </row>
    <row r="3768" spans="1:1">
      <c r="A3768" s="156" t="s">
        <v>5746</v>
      </c>
    </row>
    <row r="3769" spans="1:1">
      <c r="A3769" s="156" t="s">
        <v>5747</v>
      </c>
    </row>
    <row r="3770" spans="1:1">
      <c r="A3770" s="156" t="s">
        <v>5748</v>
      </c>
    </row>
    <row r="3771" spans="1:1">
      <c r="A3771" s="156" t="s">
        <v>5749</v>
      </c>
    </row>
    <row r="3772" spans="1:1">
      <c r="A3772" s="156" t="s">
        <v>5750</v>
      </c>
    </row>
    <row r="3773" spans="1:1">
      <c r="A3773" s="156" t="s">
        <v>5751</v>
      </c>
    </row>
    <row r="3774" spans="1:1">
      <c r="A3774" s="156" t="s">
        <v>5752</v>
      </c>
    </row>
    <row r="3775" spans="1:1">
      <c r="A3775" s="156" t="s">
        <v>5753</v>
      </c>
    </row>
    <row r="3776" spans="1:1">
      <c r="A3776" s="156" t="s">
        <v>5754</v>
      </c>
    </row>
    <row r="3777" spans="1:1">
      <c r="A3777" s="156" t="s">
        <v>5755</v>
      </c>
    </row>
    <row r="3778" spans="1:1">
      <c r="A3778" s="156" t="s">
        <v>5756</v>
      </c>
    </row>
    <row r="3779" spans="1:1">
      <c r="A3779" s="156" t="s">
        <v>5757</v>
      </c>
    </row>
    <row r="3780" spans="1:1">
      <c r="A3780" s="156" t="s">
        <v>5758</v>
      </c>
    </row>
    <row r="3781" spans="1:1">
      <c r="A3781" s="156" t="s">
        <v>5759</v>
      </c>
    </row>
    <row r="3782" spans="1:1">
      <c r="A3782" s="156" t="s">
        <v>5760</v>
      </c>
    </row>
    <row r="3783" spans="1:1">
      <c r="A3783" s="156" t="s">
        <v>5761</v>
      </c>
    </row>
    <row r="3784" spans="1:1">
      <c r="A3784" s="156" t="s">
        <v>5762</v>
      </c>
    </row>
    <row r="3785" spans="1:1">
      <c r="A3785" s="156" t="s">
        <v>5763</v>
      </c>
    </row>
    <row r="3786" spans="1:1">
      <c r="A3786" s="156" t="s">
        <v>5764</v>
      </c>
    </row>
    <row r="3787" spans="1:1">
      <c r="A3787" s="156" t="s">
        <v>5765</v>
      </c>
    </row>
    <row r="3788" spans="1:1">
      <c r="A3788" s="156" t="s">
        <v>5766</v>
      </c>
    </row>
    <row r="3789" spans="1:1">
      <c r="A3789" s="156" t="s">
        <v>5767</v>
      </c>
    </row>
    <row r="3790" spans="1:1">
      <c r="A3790" s="156" t="s">
        <v>5768</v>
      </c>
    </row>
    <row r="3791" spans="1:1">
      <c r="A3791" s="156" t="s">
        <v>5769</v>
      </c>
    </row>
    <row r="3792" spans="1:1">
      <c r="A3792" s="156" t="s">
        <v>5770</v>
      </c>
    </row>
    <row r="3793" spans="1:1">
      <c r="A3793" s="156" t="s">
        <v>5771</v>
      </c>
    </row>
    <row r="3794" spans="1:1">
      <c r="A3794" s="156" t="s">
        <v>5772</v>
      </c>
    </row>
    <row r="3795" spans="1:1">
      <c r="A3795" s="156" t="s">
        <v>5773</v>
      </c>
    </row>
    <row r="3796" spans="1:1">
      <c r="A3796" s="156" t="s">
        <v>5774</v>
      </c>
    </row>
    <row r="3797" spans="1:1">
      <c r="A3797" s="156" t="s">
        <v>5775</v>
      </c>
    </row>
    <row r="3798" spans="1:1">
      <c r="A3798" s="156" t="s">
        <v>5776</v>
      </c>
    </row>
    <row r="3799" spans="1:1">
      <c r="A3799" s="156" t="s">
        <v>5777</v>
      </c>
    </row>
    <row r="3800" spans="1:1">
      <c r="A3800" s="156" t="s">
        <v>5778</v>
      </c>
    </row>
    <row r="3801" spans="1:1">
      <c r="A3801" s="156" t="s">
        <v>5779</v>
      </c>
    </row>
    <row r="3802" spans="1:1">
      <c r="A3802" s="156" t="s">
        <v>5780</v>
      </c>
    </row>
    <row r="3803" spans="1:1">
      <c r="A3803" s="156" t="s">
        <v>5781</v>
      </c>
    </row>
    <row r="3804" spans="1:1">
      <c r="A3804" s="156" t="s">
        <v>5782</v>
      </c>
    </row>
    <row r="3805" spans="1:1">
      <c r="A3805" s="156" t="s">
        <v>5783</v>
      </c>
    </row>
    <row r="3806" spans="1:1">
      <c r="A3806" s="156" t="s">
        <v>5784</v>
      </c>
    </row>
    <row r="3807" spans="1:1">
      <c r="A3807" s="156" t="s">
        <v>5785</v>
      </c>
    </row>
    <row r="3808" spans="1:1">
      <c r="A3808" s="156" t="s">
        <v>5786</v>
      </c>
    </row>
    <row r="3809" spans="1:1">
      <c r="A3809" s="156" t="s">
        <v>5787</v>
      </c>
    </row>
    <row r="3810" spans="1:1">
      <c r="A3810" s="156" t="s">
        <v>5788</v>
      </c>
    </row>
    <row r="3811" spans="1:1">
      <c r="A3811" s="156" t="s">
        <v>5789</v>
      </c>
    </row>
    <row r="3812" spans="1:1">
      <c r="A3812" s="156" t="s">
        <v>5790</v>
      </c>
    </row>
    <row r="3813" spans="1:1">
      <c r="A3813" s="156" t="s">
        <v>5791</v>
      </c>
    </row>
    <row r="3814" spans="1:1">
      <c r="A3814" s="156" t="s">
        <v>5792</v>
      </c>
    </row>
    <row r="3815" spans="1:1">
      <c r="A3815" s="156" t="s">
        <v>5793</v>
      </c>
    </row>
    <row r="3816" spans="1:1">
      <c r="A3816" s="156" t="s">
        <v>5794</v>
      </c>
    </row>
    <row r="3817" spans="1:1">
      <c r="A3817" s="156" t="s">
        <v>5795</v>
      </c>
    </row>
    <row r="3818" spans="1:1">
      <c r="A3818" s="156" t="s">
        <v>5796</v>
      </c>
    </row>
    <row r="3819" spans="1:1">
      <c r="A3819" s="156" t="s">
        <v>5797</v>
      </c>
    </row>
    <row r="3820" spans="1:1">
      <c r="A3820" s="156" t="s">
        <v>5798</v>
      </c>
    </row>
    <row r="3821" spans="1:1">
      <c r="A3821" s="156" t="s">
        <v>5799</v>
      </c>
    </row>
    <row r="3822" spans="1:1">
      <c r="A3822" s="156" t="s">
        <v>5800</v>
      </c>
    </row>
    <row r="3823" spans="1:1">
      <c r="A3823" s="156" t="s">
        <v>5801</v>
      </c>
    </row>
    <row r="3824" spans="1:1">
      <c r="A3824" s="156" t="s">
        <v>5802</v>
      </c>
    </row>
    <row r="3825" spans="1:1">
      <c r="A3825" s="156" t="s">
        <v>5803</v>
      </c>
    </row>
    <row r="3826" spans="1:1">
      <c r="A3826" s="156" t="s">
        <v>5804</v>
      </c>
    </row>
    <row r="3827" spans="1:1">
      <c r="A3827" s="156" t="s">
        <v>5805</v>
      </c>
    </row>
    <row r="3828" spans="1:1">
      <c r="A3828" s="156" t="s">
        <v>5806</v>
      </c>
    </row>
    <row r="3829" spans="1:1">
      <c r="A3829" s="156" t="s">
        <v>5807</v>
      </c>
    </row>
    <row r="3830" spans="1:1">
      <c r="A3830" s="156" t="s">
        <v>5808</v>
      </c>
    </row>
    <row r="3831" spans="1:1">
      <c r="A3831" s="156" t="s">
        <v>5809</v>
      </c>
    </row>
    <row r="3832" spans="1:1">
      <c r="A3832" s="156" t="s">
        <v>5810</v>
      </c>
    </row>
    <row r="3833" spans="1:1">
      <c r="A3833" s="156" t="s">
        <v>5811</v>
      </c>
    </row>
    <row r="3834" spans="1:1">
      <c r="A3834" s="156" t="s">
        <v>5812</v>
      </c>
    </row>
    <row r="3835" spans="1:1">
      <c r="A3835" s="156" t="s">
        <v>5813</v>
      </c>
    </row>
    <row r="3836" spans="1:1">
      <c r="A3836" s="156" t="s">
        <v>5814</v>
      </c>
    </row>
    <row r="3837" spans="1:1">
      <c r="A3837" s="156" t="s">
        <v>5815</v>
      </c>
    </row>
    <row r="3838" spans="1:1">
      <c r="A3838" s="156" t="s">
        <v>5816</v>
      </c>
    </row>
    <row r="3839" spans="1:1">
      <c r="A3839" s="156" t="s">
        <v>5817</v>
      </c>
    </row>
    <row r="3840" spans="1:1">
      <c r="A3840" s="156" t="s">
        <v>5818</v>
      </c>
    </row>
    <row r="3841" spans="1:1">
      <c r="A3841" s="156" t="s">
        <v>5819</v>
      </c>
    </row>
    <row r="3842" spans="1:1">
      <c r="A3842" s="156" t="s">
        <v>5820</v>
      </c>
    </row>
    <row r="3843" spans="1:1">
      <c r="A3843" s="156" t="s">
        <v>5821</v>
      </c>
    </row>
    <row r="3844" spans="1:1">
      <c r="A3844" s="156" t="s">
        <v>5822</v>
      </c>
    </row>
    <row r="3845" spans="1:1">
      <c r="A3845" s="156" t="s">
        <v>5823</v>
      </c>
    </row>
    <row r="3846" spans="1:1">
      <c r="A3846" s="156" t="s">
        <v>5824</v>
      </c>
    </row>
    <row r="3847" spans="1:1">
      <c r="A3847" s="156" t="s">
        <v>5825</v>
      </c>
    </row>
    <row r="3848" spans="1:1">
      <c r="A3848" s="156" t="s">
        <v>5826</v>
      </c>
    </row>
    <row r="3849" spans="1:1">
      <c r="A3849" s="156" t="s">
        <v>5827</v>
      </c>
    </row>
    <row r="3850" spans="1:1">
      <c r="A3850" s="156" t="s">
        <v>5828</v>
      </c>
    </row>
    <row r="3851" spans="1:1">
      <c r="A3851" s="156" t="s">
        <v>5829</v>
      </c>
    </row>
    <row r="3852" spans="1:1">
      <c r="A3852" s="156" t="s">
        <v>5830</v>
      </c>
    </row>
    <row r="3853" spans="1:1">
      <c r="A3853" s="156" t="s">
        <v>5831</v>
      </c>
    </row>
    <row r="3854" spans="1:1">
      <c r="A3854" s="156" t="s">
        <v>5832</v>
      </c>
    </row>
    <row r="3855" spans="1:1">
      <c r="A3855" s="156" t="s">
        <v>5833</v>
      </c>
    </row>
    <row r="3856" spans="1:1">
      <c r="A3856" s="156" t="s">
        <v>5834</v>
      </c>
    </row>
    <row r="3857" spans="1:1">
      <c r="A3857" s="156" t="s">
        <v>5835</v>
      </c>
    </row>
    <row r="3858" spans="1:1">
      <c r="A3858" s="156" t="s">
        <v>5836</v>
      </c>
    </row>
    <row r="3859" spans="1:1">
      <c r="A3859" s="156" t="s">
        <v>5837</v>
      </c>
    </row>
    <row r="3860" spans="1:1">
      <c r="A3860" s="156" t="s">
        <v>5838</v>
      </c>
    </row>
    <row r="3861" spans="1:1">
      <c r="A3861" s="156" t="s">
        <v>5839</v>
      </c>
    </row>
    <row r="3862" spans="1:1">
      <c r="A3862" s="156" t="s">
        <v>5840</v>
      </c>
    </row>
    <row r="3863" spans="1:1">
      <c r="A3863" s="156" t="s">
        <v>5841</v>
      </c>
    </row>
    <row r="3864" spans="1:1">
      <c r="A3864" s="156" t="s">
        <v>5842</v>
      </c>
    </row>
    <row r="3865" spans="1:1">
      <c r="A3865" s="156" t="s">
        <v>5843</v>
      </c>
    </row>
    <row r="3866" spans="1:1">
      <c r="A3866" s="156" t="s">
        <v>5844</v>
      </c>
    </row>
    <row r="3867" spans="1:1">
      <c r="A3867" s="156" t="s">
        <v>5845</v>
      </c>
    </row>
    <row r="3868" spans="1:1">
      <c r="A3868" s="156" t="s">
        <v>5846</v>
      </c>
    </row>
    <row r="3869" spans="1:1">
      <c r="A3869" s="156" t="s">
        <v>5847</v>
      </c>
    </row>
    <row r="3870" spans="1:1">
      <c r="A3870" s="156" t="s">
        <v>5848</v>
      </c>
    </row>
    <row r="3871" spans="1:1">
      <c r="A3871" s="156" t="s">
        <v>5849</v>
      </c>
    </row>
    <row r="3872" spans="1:1">
      <c r="A3872" s="156" t="s">
        <v>5850</v>
      </c>
    </row>
    <row r="3873" spans="1:1">
      <c r="A3873" s="156" t="s">
        <v>5851</v>
      </c>
    </row>
    <row r="3874" spans="1:1">
      <c r="A3874" s="156" t="s">
        <v>5852</v>
      </c>
    </row>
    <row r="3875" spans="1:1">
      <c r="A3875" s="156" t="s">
        <v>5853</v>
      </c>
    </row>
    <row r="3876" spans="1:1">
      <c r="A3876" s="156" t="s">
        <v>5854</v>
      </c>
    </row>
    <row r="3877" spans="1:1">
      <c r="A3877" s="156" t="s">
        <v>5855</v>
      </c>
    </row>
    <row r="3878" spans="1:1">
      <c r="A3878" s="156" t="s">
        <v>5856</v>
      </c>
    </row>
    <row r="3879" spans="1:1">
      <c r="A3879" s="156" t="s">
        <v>5857</v>
      </c>
    </row>
    <row r="3880" spans="1:1">
      <c r="A3880" s="156" t="s">
        <v>5858</v>
      </c>
    </row>
    <row r="3881" spans="1:1">
      <c r="A3881" s="156" t="s">
        <v>5859</v>
      </c>
    </row>
    <row r="3882" spans="1:1">
      <c r="A3882" s="156" t="s">
        <v>5860</v>
      </c>
    </row>
    <row r="3883" spans="1:1">
      <c r="A3883" s="156" t="s">
        <v>5861</v>
      </c>
    </row>
    <row r="3884" spans="1:1">
      <c r="A3884" s="156" t="s">
        <v>5862</v>
      </c>
    </row>
    <row r="3885" spans="1:1">
      <c r="A3885" s="156" t="s">
        <v>5863</v>
      </c>
    </row>
    <row r="3886" spans="1:1">
      <c r="A3886" s="156" t="s">
        <v>5864</v>
      </c>
    </row>
    <row r="3887" spans="1:1">
      <c r="A3887" s="156" t="s">
        <v>5865</v>
      </c>
    </row>
    <row r="3888" spans="1:1">
      <c r="A3888" s="156" t="s">
        <v>5866</v>
      </c>
    </row>
    <row r="3889" spans="1:1">
      <c r="A3889" s="156" t="s">
        <v>5867</v>
      </c>
    </row>
    <row r="3890" spans="1:1">
      <c r="A3890" s="156" t="s">
        <v>5868</v>
      </c>
    </row>
    <row r="3891" spans="1:1">
      <c r="A3891" s="156" t="s">
        <v>5869</v>
      </c>
    </row>
    <row r="3892" spans="1:1">
      <c r="A3892" s="156" t="s">
        <v>5870</v>
      </c>
    </row>
    <row r="3893" spans="1:1">
      <c r="A3893" s="156" t="s">
        <v>5871</v>
      </c>
    </row>
    <row r="3894" spans="1:1">
      <c r="A3894" s="156" t="s">
        <v>5872</v>
      </c>
    </row>
    <row r="3895" spans="1:1">
      <c r="A3895" s="156" t="s">
        <v>5873</v>
      </c>
    </row>
    <row r="3896" spans="1:1">
      <c r="A3896" s="156" t="s">
        <v>5874</v>
      </c>
    </row>
    <row r="3897" spans="1:1">
      <c r="A3897" s="156" t="s">
        <v>5875</v>
      </c>
    </row>
    <row r="3898" spans="1:1">
      <c r="A3898" s="156" t="s">
        <v>5876</v>
      </c>
    </row>
    <row r="3899" spans="1:1">
      <c r="A3899" s="156" t="s">
        <v>5877</v>
      </c>
    </row>
    <row r="3900" spans="1:1">
      <c r="A3900" s="156" t="s">
        <v>5878</v>
      </c>
    </row>
    <row r="3901" spans="1:1">
      <c r="A3901" s="156" t="s">
        <v>5879</v>
      </c>
    </row>
    <row r="3902" spans="1:1">
      <c r="A3902" s="156" t="s">
        <v>5880</v>
      </c>
    </row>
    <row r="3903" spans="1:1">
      <c r="A3903" s="156" t="s">
        <v>5881</v>
      </c>
    </row>
    <row r="3904" spans="1:1">
      <c r="A3904" s="156" t="s">
        <v>5882</v>
      </c>
    </row>
    <row r="3905" spans="1:1">
      <c r="A3905" s="156" t="s">
        <v>5883</v>
      </c>
    </row>
    <row r="3906" spans="1:1">
      <c r="A3906" s="156" t="s">
        <v>5884</v>
      </c>
    </row>
    <row r="3907" spans="1:1">
      <c r="A3907" s="156" t="s">
        <v>5885</v>
      </c>
    </row>
    <row r="3908" spans="1:1">
      <c r="A3908" s="156" t="s">
        <v>5886</v>
      </c>
    </row>
    <row r="3909" spans="1:1">
      <c r="A3909" s="156" t="s">
        <v>5887</v>
      </c>
    </row>
    <row r="3910" spans="1:1">
      <c r="A3910" s="156" t="s">
        <v>5888</v>
      </c>
    </row>
    <row r="3911" spans="1:1">
      <c r="A3911" s="156" t="s">
        <v>5889</v>
      </c>
    </row>
    <row r="3912" spans="1:1">
      <c r="A3912" s="156" t="s">
        <v>5890</v>
      </c>
    </row>
    <row r="3913" spans="1:1">
      <c r="A3913" s="156" t="s">
        <v>5891</v>
      </c>
    </row>
    <row r="3914" spans="1:1">
      <c r="A3914" s="156" t="s">
        <v>5892</v>
      </c>
    </row>
    <row r="3915" spans="1:1">
      <c r="A3915" s="156" t="s">
        <v>5893</v>
      </c>
    </row>
    <row r="3916" spans="1:1">
      <c r="A3916" s="156" t="s">
        <v>5894</v>
      </c>
    </row>
    <row r="3917" spans="1:1">
      <c r="A3917" s="156" t="s">
        <v>5895</v>
      </c>
    </row>
    <row r="3918" spans="1:1">
      <c r="A3918" s="156" t="s">
        <v>5896</v>
      </c>
    </row>
    <row r="3919" spans="1:1">
      <c r="A3919" s="156" t="s">
        <v>5897</v>
      </c>
    </row>
    <row r="3920" spans="1:1">
      <c r="A3920" s="156" t="s">
        <v>5898</v>
      </c>
    </row>
    <row r="3921" spans="1:1">
      <c r="A3921" s="156" t="s">
        <v>5899</v>
      </c>
    </row>
    <row r="3922" spans="1:1">
      <c r="A3922" s="156" t="s">
        <v>5900</v>
      </c>
    </row>
    <row r="3923" spans="1:1">
      <c r="A3923" s="156" t="s">
        <v>5901</v>
      </c>
    </row>
    <row r="3924" spans="1:1">
      <c r="A3924" s="156" t="s">
        <v>5902</v>
      </c>
    </row>
    <row r="3925" spans="1:1">
      <c r="A3925" s="156" t="s">
        <v>5903</v>
      </c>
    </row>
    <row r="3926" spans="1:1">
      <c r="A3926" s="156" t="s">
        <v>5904</v>
      </c>
    </row>
    <row r="3927" spans="1:1">
      <c r="A3927" s="156" t="s">
        <v>5905</v>
      </c>
    </row>
    <row r="3928" spans="1:1">
      <c r="A3928" s="156" t="s">
        <v>5906</v>
      </c>
    </row>
    <row r="3929" spans="1:1">
      <c r="A3929" s="156" t="s">
        <v>5907</v>
      </c>
    </row>
    <row r="3930" spans="1:1">
      <c r="A3930" s="156" t="s">
        <v>5908</v>
      </c>
    </row>
    <row r="3931" spans="1:1">
      <c r="A3931" s="156" t="s">
        <v>5909</v>
      </c>
    </row>
    <row r="3932" spans="1:1">
      <c r="A3932" s="156" t="s">
        <v>5910</v>
      </c>
    </row>
    <row r="3933" spans="1:1">
      <c r="A3933" s="156" t="s">
        <v>5911</v>
      </c>
    </row>
    <row r="3934" spans="1:1">
      <c r="A3934" s="156" t="s">
        <v>5912</v>
      </c>
    </row>
    <row r="3935" spans="1:1">
      <c r="A3935" s="156" t="s">
        <v>5913</v>
      </c>
    </row>
    <row r="3936" spans="1:1">
      <c r="A3936" s="156" t="s">
        <v>5914</v>
      </c>
    </row>
    <row r="3937" spans="1:1">
      <c r="A3937" s="156" t="s">
        <v>5915</v>
      </c>
    </row>
    <row r="3938" spans="1:1">
      <c r="A3938" s="156" t="s">
        <v>5916</v>
      </c>
    </row>
    <row r="3939" spans="1:1">
      <c r="A3939" s="156" t="s">
        <v>5917</v>
      </c>
    </row>
    <row r="3940" spans="1:1">
      <c r="A3940" s="156" t="s">
        <v>5918</v>
      </c>
    </row>
    <row r="3941" spans="1:1">
      <c r="A3941" s="156" t="s">
        <v>5919</v>
      </c>
    </row>
    <row r="3942" spans="1:1">
      <c r="A3942" s="156" t="s">
        <v>5920</v>
      </c>
    </row>
    <row r="3943" spans="1:1">
      <c r="A3943" s="156" t="s">
        <v>5921</v>
      </c>
    </row>
    <row r="3944" spans="1:1">
      <c r="A3944" s="156" t="s">
        <v>5922</v>
      </c>
    </row>
    <row r="3945" spans="1:1">
      <c r="A3945" s="156" t="s">
        <v>5923</v>
      </c>
    </row>
    <row r="3946" spans="1:1">
      <c r="A3946" s="156" t="s">
        <v>5924</v>
      </c>
    </row>
    <row r="3947" spans="1:1">
      <c r="A3947" s="156" t="s">
        <v>5925</v>
      </c>
    </row>
    <row r="3948" spans="1:1">
      <c r="A3948" s="156" t="s">
        <v>5926</v>
      </c>
    </row>
    <row r="3949" spans="1:1">
      <c r="A3949" s="156" t="s">
        <v>5927</v>
      </c>
    </row>
    <row r="3950" spans="1:1">
      <c r="A3950" s="156" t="s">
        <v>5928</v>
      </c>
    </row>
    <row r="3951" spans="1:1">
      <c r="A3951" s="156" t="s">
        <v>5929</v>
      </c>
    </row>
    <row r="3952" spans="1:1">
      <c r="A3952" s="156" t="s">
        <v>5930</v>
      </c>
    </row>
    <row r="3953" spans="1:1">
      <c r="A3953" s="156" t="s">
        <v>5931</v>
      </c>
    </row>
    <row r="3954" spans="1:1">
      <c r="A3954" s="156" t="s">
        <v>5932</v>
      </c>
    </row>
    <row r="3955" spans="1:1">
      <c r="A3955" s="156" t="s">
        <v>5933</v>
      </c>
    </row>
    <row r="3956" spans="1:1">
      <c r="A3956" s="156" t="s">
        <v>5934</v>
      </c>
    </row>
    <row r="3957" spans="1:1">
      <c r="A3957" s="156" t="s">
        <v>5935</v>
      </c>
    </row>
    <row r="3958" spans="1:1">
      <c r="A3958" s="156" t="s">
        <v>5936</v>
      </c>
    </row>
    <row r="3959" spans="1:1">
      <c r="A3959" s="156" t="s">
        <v>5937</v>
      </c>
    </row>
    <row r="3960" spans="1:1">
      <c r="A3960" s="156" t="s">
        <v>5938</v>
      </c>
    </row>
    <row r="3961" spans="1:1">
      <c r="A3961" s="156" t="s">
        <v>5939</v>
      </c>
    </row>
    <row r="3962" spans="1:1">
      <c r="A3962" s="156" t="s">
        <v>5940</v>
      </c>
    </row>
    <row r="3963" spans="1:1">
      <c r="A3963" s="156" t="s">
        <v>5941</v>
      </c>
    </row>
    <row r="3964" spans="1:1">
      <c r="A3964" s="156" t="s">
        <v>5942</v>
      </c>
    </row>
    <row r="3965" spans="1:1">
      <c r="A3965" s="156" t="s">
        <v>5943</v>
      </c>
    </row>
    <row r="3966" spans="1:1">
      <c r="A3966" s="156" t="s">
        <v>5944</v>
      </c>
    </row>
    <row r="3967" spans="1:1">
      <c r="A3967" s="156" t="s">
        <v>5945</v>
      </c>
    </row>
    <row r="3968" spans="1:1">
      <c r="A3968" s="156" t="s">
        <v>5946</v>
      </c>
    </row>
    <row r="3969" spans="1:1">
      <c r="A3969" s="156" t="s">
        <v>5947</v>
      </c>
    </row>
    <row r="3970" spans="1:1">
      <c r="A3970" s="156" t="s">
        <v>5948</v>
      </c>
    </row>
    <row r="3971" spans="1:1">
      <c r="A3971" s="156" t="s">
        <v>5949</v>
      </c>
    </row>
    <row r="3972" spans="1:1">
      <c r="A3972" s="156" t="s">
        <v>5950</v>
      </c>
    </row>
    <row r="3973" spans="1:1">
      <c r="A3973" s="156" t="s">
        <v>5951</v>
      </c>
    </row>
    <row r="3974" spans="1:1">
      <c r="A3974" s="156" t="s">
        <v>5952</v>
      </c>
    </row>
    <row r="3975" spans="1:1">
      <c r="A3975" s="156" t="s">
        <v>5953</v>
      </c>
    </row>
    <row r="3976" spans="1:1">
      <c r="A3976" s="156" t="s">
        <v>5954</v>
      </c>
    </row>
    <row r="3977" spans="1:1">
      <c r="A3977" s="156" t="s">
        <v>5955</v>
      </c>
    </row>
    <row r="3978" spans="1:1">
      <c r="A3978" s="156" t="s">
        <v>5956</v>
      </c>
    </row>
    <row r="3979" spans="1:1">
      <c r="A3979" s="156" t="s">
        <v>5957</v>
      </c>
    </row>
    <row r="3980" spans="1:1">
      <c r="A3980" s="156" t="s">
        <v>5958</v>
      </c>
    </row>
    <row r="3981" spans="1:1">
      <c r="A3981" s="156" t="s">
        <v>5959</v>
      </c>
    </row>
    <row r="3982" spans="1:1">
      <c r="A3982" s="156" t="s">
        <v>5960</v>
      </c>
    </row>
    <row r="3983" spans="1:1">
      <c r="A3983" s="156" t="s">
        <v>5961</v>
      </c>
    </row>
    <row r="3984" spans="1:1">
      <c r="A3984" s="156" t="s">
        <v>5962</v>
      </c>
    </row>
    <row r="3985" spans="1:1">
      <c r="A3985" s="156" t="s">
        <v>5963</v>
      </c>
    </row>
    <row r="3986" spans="1:1">
      <c r="A3986" s="156" t="s">
        <v>5964</v>
      </c>
    </row>
    <row r="3987" spans="1:1">
      <c r="A3987" s="156" t="s">
        <v>5965</v>
      </c>
    </row>
    <row r="3988" spans="1:1">
      <c r="A3988" s="156" t="s">
        <v>5966</v>
      </c>
    </row>
    <row r="3989" spans="1:1">
      <c r="A3989" s="156" t="s">
        <v>5967</v>
      </c>
    </row>
    <row r="3990" spans="1:1">
      <c r="A3990" s="156" t="s">
        <v>5968</v>
      </c>
    </row>
    <row r="3991" spans="1:1">
      <c r="A3991" s="156" t="s">
        <v>5969</v>
      </c>
    </row>
    <row r="3992" spans="1:1">
      <c r="A3992" s="156" t="s">
        <v>5970</v>
      </c>
    </row>
    <row r="3993" spans="1:1">
      <c r="A3993" s="156" t="s">
        <v>5971</v>
      </c>
    </row>
    <row r="3994" spans="1:1">
      <c r="A3994" s="156" t="s">
        <v>5972</v>
      </c>
    </row>
    <row r="3995" spans="1:1">
      <c r="A3995" s="156" t="s">
        <v>5973</v>
      </c>
    </row>
    <row r="3996" spans="1:1">
      <c r="A3996" s="156" t="s">
        <v>5974</v>
      </c>
    </row>
    <row r="3997" spans="1:1">
      <c r="A3997" s="156" t="s">
        <v>5975</v>
      </c>
    </row>
    <row r="3998" spans="1:1">
      <c r="A3998" s="156" t="s">
        <v>5976</v>
      </c>
    </row>
    <row r="3999" spans="1:1">
      <c r="A3999" s="156" t="s">
        <v>5977</v>
      </c>
    </row>
    <row r="4000" spans="1:1">
      <c r="A4000" s="156" t="s">
        <v>5978</v>
      </c>
    </row>
    <row r="4001" spans="1:1">
      <c r="A4001" s="156" t="s">
        <v>5979</v>
      </c>
    </row>
    <row r="4002" spans="1:1">
      <c r="A4002" s="156" t="s">
        <v>5980</v>
      </c>
    </row>
    <row r="4003" spans="1:1">
      <c r="A4003" s="156" t="s">
        <v>5981</v>
      </c>
    </row>
    <row r="4004" spans="1:1">
      <c r="A4004" s="156" t="s">
        <v>5982</v>
      </c>
    </row>
    <row r="4005" spans="1:1">
      <c r="A4005" s="156" t="s">
        <v>5983</v>
      </c>
    </row>
    <row r="4006" spans="1:1">
      <c r="A4006" s="156" t="s">
        <v>5984</v>
      </c>
    </row>
    <row r="4007" spans="1:1">
      <c r="A4007" s="156" t="s">
        <v>5985</v>
      </c>
    </row>
    <row r="4008" spans="1:1">
      <c r="A4008" s="156" t="s">
        <v>5986</v>
      </c>
    </row>
    <row r="4009" spans="1:1">
      <c r="A4009" s="156" t="s">
        <v>5987</v>
      </c>
    </row>
    <row r="4010" spans="1:1">
      <c r="A4010" s="156" t="s">
        <v>5988</v>
      </c>
    </row>
    <row r="4011" spans="1:1">
      <c r="A4011" s="156" t="s">
        <v>5989</v>
      </c>
    </row>
    <row r="4012" spans="1:1">
      <c r="A4012" s="156" t="s">
        <v>5990</v>
      </c>
    </row>
    <row r="4013" spans="1:1">
      <c r="A4013" s="156" t="s">
        <v>5991</v>
      </c>
    </row>
    <row r="4014" spans="1:1">
      <c r="A4014" s="156" t="s">
        <v>5992</v>
      </c>
    </row>
    <row r="4015" spans="1:1">
      <c r="A4015" s="156" t="s">
        <v>5993</v>
      </c>
    </row>
    <row r="4016" spans="1:1">
      <c r="A4016" s="156" t="s">
        <v>5994</v>
      </c>
    </row>
    <row r="4017" spans="1:1">
      <c r="A4017" s="156" t="s">
        <v>5995</v>
      </c>
    </row>
    <row r="4018" spans="1:1">
      <c r="A4018" s="156" t="s">
        <v>5996</v>
      </c>
    </row>
    <row r="4019" spans="1:1">
      <c r="A4019" s="156" t="s">
        <v>5997</v>
      </c>
    </row>
    <row r="4020" spans="1:1">
      <c r="A4020" s="156" t="s">
        <v>5998</v>
      </c>
    </row>
    <row r="4021" spans="1:1">
      <c r="A4021" s="156" t="s">
        <v>5999</v>
      </c>
    </row>
    <row r="4022" spans="1:1">
      <c r="A4022" s="156" t="s">
        <v>6000</v>
      </c>
    </row>
    <row r="4023" spans="1:1">
      <c r="A4023" s="156" t="s">
        <v>6001</v>
      </c>
    </row>
    <row r="4024" spans="1:1">
      <c r="A4024" s="156" t="s">
        <v>6002</v>
      </c>
    </row>
    <row r="4025" spans="1:1">
      <c r="A4025" s="156" t="s">
        <v>6003</v>
      </c>
    </row>
    <row r="4026" spans="1:1">
      <c r="A4026" s="156" t="s">
        <v>6004</v>
      </c>
    </row>
    <row r="4027" spans="1:1">
      <c r="A4027" s="156" t="s">
        <v>6005</v>
      </c>
    </row>
    <row r="4028" spans="1:1">
      <c r="A4028" s="156" t="s">
        <v>6006</v>
      </c>
    </row>
    <row r="4029" spans="1:1">
      <c r="A4029" s="156" t="s">
        <v>6007</v>
      </c>
    </row>
    <row r="4030" spans="1:1">
      <c r="A4030" s="156" t="s">
        <v>6008</v>
      </c>
    </row>
    <row r="4031" spans="1:1">
      <c r="A4031" s="156" t="s">
        <v>6009</v>
      </c>
    </row>
    <row r="4032" spans="1:1">
      <c r="A4032" s="156" t="s">
        <v>6010</v>
      </c>
    </row>
    <row r="4033" spans="1:1">
      <c r="A4033" s="156" t="s">
        <v>6011</v>
      </c>
    </row>
    <row r="4034" spans="1:1">
      <c r="A4034" s="156" t="s">
        <v>6012</v>
      </c>
    </row>
    <row r="4035" spans="1:1">
      <c r="A4035" s="156" t="s">
        <v>6013</v>
      </c>
    </row>
    <row r="4036" spans="1:1">
      <c r="A4036" s="156" t="s">
        <v>6014</v>
      </c>
    </row>
    <row r="4037" spans="1:1">
      <c r="A4037" s="156" t="s">
        <v>6015</v>
      </c>
    </row>
    <row r="4038" spans="1:1">
      <c r="A4038" s="156" t="s">
        <v>6016</v>
      </c>
    </row>
    <row r="4039" spans="1:1">
      <c r="A4039" s="156" t="s">
        <v>6017</v>
      </c>
    </row>
    <row r="4040" spans="1:1">
      <c r="A4040" s="156" t="s">
        <v>6018</v>
      </c>
    </row>
    <row r="4041" spans="1:1">
      <c r="A4041" s="156" t="s">
        <v>6019</v>
      </c>
    </row>
    <row r="4042" spans="1:1">
      <c r="A4042" s="156" t="s">
        <v>6020</v>
      </c>
    </row>
    <row r="4043" spans="1:1">
      <c r="A4043" s="156" t="s">
        <v>6021</v>
      </c>
    </row>
    <row r="4044" spans="1:1">
      <c r="A4044" s="156" t="s">
        <v>6022</v>
      </c>
    </row>
    <row r="4045" spans="1:1">
      <c r="A4045" s="156" t="s">
        <v>6023</v>
      </c>
    </row>
    <row r="4046" spans="1:1">
      <c r="A4046" s="156" t="s">
        <v>6024</v>
      </c>
    </row>
    <row r="4047" spans="1:1">
      <c r="A4047" s="156" t="s">
        <v>6025</v>
      </c>
    </row>
    <row r="4048" spans="1:1">
      <c r="A4048" s="156" t="s">
        <v>6026</v>
      </c>
    </row>
    <row r="4049" spans="1:1">
      <c r="A4049" s="156" t="s">
        <v>6027</v>
      </c>
    </row>
    <row r="4050" spans="1:1">
      <c r="A4050" s="156" t="s">
        <v>6028</v>
      </c>
    </row>
    <row r="4051" spans="1:1">
      <c r="A4051" s="156" t="s">
        <v>6029</v>
      </c>
    </row>
    <row r="4052" spans="1:1">
      <c r="A4052" s="156" t="s">
        <v>6030</v>
      </c>
    </row>
    <row r="4053" spans="1:1">
      <c r="A4053" s="156" t="s">
        <v>6031</v>
      </c>
    </row>
    <row r="4054" spans="1:1">
      <c r="A4054" s="156" t="s">
        <v>6032</v>
      </c>
    </row>
    <row r="4055" spans="1:1">
      <c r="A4055" s="156" t="s">
        <v>6033</v>
      </c>
    </row>
    <row r="4056" spans="1:1">
      <c r="A4056" s="156" t="s">
        <v>6034</v>
      </c>
    </row>
    <row r="4057" spans="1:1">
      <c r="A4057" s="156" t="s">
        <v>6035</v>
      </c>
    </row>
    <row r="4058" spans="1:1">
      <c r="A4058" s="156" t="s">
        <v>6036</v>
      </c>
    </row>
    <row r="4059" spans="1:1">
      <c r="A4059" s="156" t="s">
        <v>6037</v>
      </c>
    </row>
    <row r="4060" spans="1:1">
      <c r="A4060" s="156" t="s">
        <v>6038</v>
      </c>
    </row>
    <row r="4061" spans="1:1">
      <c r="A4061" s="156" t="s">
        <v>6039</v>
      </c>
    </row>
    <row r="4062" spans="1:1">
      <c r="A4062" s="156" t="s">
        <v>6040</v>
      </c>
    </row>
    <row r="4063" spans="1:1">
      <c r="A4063" s="156" t="s">
        <v>6041</v>
      </c>
    </row>
    <row r="4064" spans="1:1">
      <c r="A4064" s="156" t="s">
        <v>6042</v>
      </c>
    </row>
    <row r="4065" spans="1:1">
      <c r="A4065" s="156" t="s">
        <v>6043</v>
      </c>
    </row>
    <row r="4066" spans="1:1">
      <c r="A4066" s="156" t="s">
        <v>6044</v>
      </c>
    </row>
    <row r="4067" spans="1:1">
      <c r="A4067" s="156" t="s">
        <v>6045</v>
      </c>
    </row>
    <row r="4068" spans="1:1">
      <c r="A4068" s="156" t="s">
        <v>6046</v>
      </c>
    </row>
    <row r="4069" spans="1:1">
      <c r="A4069" s="156" t="s">
        <v>6047</v>
      </c>
    </row>
    <row r="4070" spans="1:1">
      <c r="A4070" s="156" t="s">
        <v>6048</v>
      </c>
    </row>
    <row r="4071" spans="1:1">
      <c r="A4071" s="156" t="s">
        <v>6049</v>
      </c>
    </row>
    <row r="4072" spans="1:1">
      <c r="A4072" s="156" t="s">
        <v>6050</v>
      </c>
    </row>
    <row r="4073" spans="1:1">
      <c r="A4073" s="156" t="s">
        <v>6051</v>
      </c>
    </row>
    <row r="4074" spans="1:1">
      <c r="A4074" s="156" t="s">
        <v>6052</v>
      </c>
    </row>
    <row r="4075" spans="1:1">
      <c r="A4075" s="156" t="s">
        <v>6053</v>
      </c>
    </row>
    <row r="4076" spans="1:1">
      <c r="A4076" s="156" t="s">
        <v>6054</v>
      </c>
    </row>
    <row r="4077" spans="1:1">
      <c r="A4077" s="156" t="s">
        <v>6055</v>
      </c>
    </row>
    <row r="4078" spans="1:1">
      <c r="A4078" s="156" t="s">
        <v>6056</v>
      </c>
    </row>
    <row r="4079" spans="1:1">
      <c r="A4079" s="156" t="s">
        <v>6057</v>
      </c>
    </row>
    <row r="4080" spans="1:1">
      <c r="A4080" s="156" t="s">
        <v>6058</v>
      </c>
    </row>
    <row r="4081" spans="1:1">
      <c r="A4081" s="156" t="s">
        <v>6059</v>
      </c>
    </row>
    <row r="4082" spans="1:1">
      <c r="A4082" s="156" t="s">
        <v>6060</v>
      </c>
    </row>
    <row r="4083" spans="1:1">
      <c r="A4083" s="156" t="s">
        <v>6061</v>
      </c>
    </row>
    <row r="4084" spans="1:1">
      <c r="A4084" s="156" t="s">
        <v>6062</v>
      </c>
    </row>
    <row r="4085" spans="1:1">
      <c r="A4085" s="156" t="s">
        <v>6063</v>
      </c>
    </row>
    <row r="4086" spans="1:1">
      <c r="A4086" s="156" t="s">
        <v>6064</v>
      </c>
    </row>
    <row r="4087" spans="1:1">
      <c r="A4087" s="156" t="s">
        <v>6065</v>
      </c>
    </row>
    <row r="4088" spans="1:1">
      <c r="A4088" s="156" t="s">
        <v>6066</v>
      </c>
    </row>
    <row r="4089" spans="1:1">
      <c r="A4089" s="156" t="s">
        <v>6067</v>
      </c>
    </row>
    <row r="4090" spans="1:1">
      <c r="A4090" s="156" t="s">
        <v>6068</v>
      </c>
    </row>
    <row r="4091" spans="1:1">
      <c r="A4091" s="156" t="s">
        <v>6069</v>
      </c>
    </row>
    <row r="4092" spans="1:1">
      <c r="A4092" s="156" t="s">
        <v>6070</v>
      </c>
    </row>
    <row r="4093" spans="1:1">
      <c r="A4093" s="156" t="s">
        <v>6071</v>
      </c>
    </row>
    <row r="4094" spans="1:1">
      <c r="A4094" s="156" t="s">
        <v>6072</v>
      </c>
    </row>
    <row r="4095" spans="1:1">
      <c r="A4095" s="156" t="s">
        <v>6073</v>
      </c>
    </row>
    <row r="4096" spans="1:1">
      <c r="A4096" s="156" t="s">
        <v>6074</v>
      </c>
    </row>
    <row r="4097" spans="1:1">
      <c r="A4097" s="156" t="s">
        <v>6075</v>
      </c>
    </row>
    <row r="4098" spans="1:1">
      <c r="A4098" s="156" t="s">
        <v>6076</v>
      </c>
    </row>
    <row r="4099" spans="1:1">
      <c r="A4099" s="156" t="s">
        <v>6077</v>
      </c>
    </row>
    <row r="4100" spans="1:1">
      <c r="A4100" s="156" t="s">
        <v>6078</v>
      </c>
    </row>
    <row r="4101" spans="1:1">
      <c r="A4101" s="156" t="s">
        <v>6079</v>
      </c>
    </row>
    <row r="4102" spans="1:1">
      <c r="A4102" s="156" t="s">
        <v>6080</v>
      </c>
    </row>
    <row r="4103" spans="1:1">
      <c r="A4103" s="156" t="s">
        <v>6081</v>
      </c>
    </row>
    <row r="4104" spans="1:1">
      <c r="A4104" s="156" t="s">
        <v>6082</v>
      </c>
    </row>
    <row r="4105" spans="1:1">
      <c r="A4105" s="156" t="s">
        <v>6083</v>
      </c>
    </row>
    <row r="4106" spans="1:1">
      <c r="A4106" s="156" t="s">
        <v>6084</v>
      </c>
    </row>
    <row r="4107" spans="1:1">
      <c r="A4107" s="156" t="s">
        <v>6085</v>
      </c>
    </row>
    <row r="4108" spans="1:1">
      <c r="A4108" s="156" t="s">
        <v>6086</v>
      </c>
    </row>
    <row r="4109" spans="1:1">
      <c r="A4109" s="156" t="s">
        <v>6087</v>
      </c>
    </row>
    <row r="4110" spans="1:1">
      <c r="A4110" s="156" t="s">
        <v>6088</v>
      </c>
    </row>
    <row r="4111" spans="1:1">
      <c r="A4111" s="156" t="s">
        <v>6089</v>
      </c>
    </row>
    <row r="4112" spans="1:1">
      <c r="A4112" s="156" t="s">
        <v>6090</v>
      </c>
    </row>
    <row r="4113" spans="1:1">
      <c r="A4113" s="156" t="s">
        <v>6091</v>
      </c>
    </row>
    <row r="4114" spans="1:1">
      <c r="A4114" s="156" t="s">
        <v>6092</v>
      </c>
    </row>
    <row r="4115" spans="1:1">
      <c r="A4115" s="156" t="s">
        <v>6093</v>
      </c>
    </row>
    <row r="4116" spans="1:1">
      <c r="A4116" s="156" t="s">
        <v>6094</v>
      </c>
    </row>
    <row r="4117" spans="1:1">
      <c r="A4117" s="156" t="s">
        <v>6095</v>
      </c>
    </row>
    <row r="4118" spans="1:1">
      <c r="A4118" s="156" t="s">
        <v>6096</v>
      </c>
    </row>
    <row r="4119" spans="1:1">
      <c r="A4119" s="156" t="s">
        <v>6097</v>
      </c>
    </row>
    <row r="4120" spans="1:1">
      <c r="A4120" s="156" t="s">
        <v>6098</v>
      </c>
    </row>
    <row r="4121" spans="1:1">
      <c r="A4121" s="156" t="s">
        <v>6099</v>
      </c>
    </row>
    <row r="4122" spans="1:1">
      <c r="A4122" s="156" t="s">
        <v>6100</v>
      </c>
    </row>
    <row r="4123" spans="1:1">
      <c r="A4123" s="156" t="s">
        <v>6101</v>
      </c>
    </row>
    <row r="4124" spans="1:1">
      <c r="A4124" s="156" t="s">
        <v>6102</v>
      </c>
    </row>
    <row r="4125" spans="1:1">
      <c r="A4125" s="156" t="s">
        <v>6103</v>
      </c>
    </row>
    <row r="4126" spans="1:1">
      <c r="A4126" s="156" t="s">
        <v>6104</v>
      </c>
    </row>
    <row r="4127" spans="1:1">
      <c r="A4127" s="156" t="s">
        <v>6105</v>
      </c>
    </row>
    <row r="4128" spans="1:1">
      <c r="A4128" s="156" t="s">
        <v>6106</v>
      </c>
    </row>
    <row r="4129" spans="1:1">
      <c r="A4129" s="156" t="s">
        <v>6107</v>
      </c>
    </row>
    <row r="4130" spans="1:1">
      <c r="A4130" s="156" t="s">
        <v>6108</v>
      </c>
    </row>
    <row r="4131" spans="1:1">
      <c r="A4131" s="156" t="s">
        <v>6109</v>
      </c>
    </row>
    <row r="4132" spans="1:1">
      <c r="A4132" s="156" t="s">
        <v>6110</v>
      </c>
    </row>
    <row r="4133" spans="1:1">
      <c r="A4133" s="156" t="s">
        <v>6111</v>
      </c>
    </row>
    <row r="4134" spans="1:1">
      <c r="A4134" s="156" t="s">
        <v>6112</v>
      </c>
    </row>
    <row r="4135" spans="1:1">
      <c r="A4135" s="156" t="s">
        <v>6113</v>
      </c>
    </row>
    <row r="4136" spans="1:1">
      <c r="A4136" s="156" t="s">
        <v>6114</v>
      </c>
    </row>
    <row r="4137" spans="1:1">
      <c r="A4137" s="156" t="s">
        <v>6115</v>
      </c>
    </row>
    <row r="4138" spans="1:1">
      <c r="A4138" s="156" t="s">
        <v>6116</v>
      </c>
    </row>
    <row r="4139" spans="1:1">
      <c r="A4139" s="156" t="s">
        <v>6117</v>
      </c>
    </row>
    <row r="4140" spans="1:1">
      <c r="A4140" s="156" t="s">
        <v>6118</v>
      </c>
    </row>
    <row r="4141" spans="1:1">
      <c r="A4141" s="156" t="s">
        <v>6119</v>
      </c>
    </row>
    <row r="4142" spans="1:1">
      <c r="A4142" s="156" t="s">
        <v>6120</v>
      </c>
    </row>
    <row r="4143" spans="1:1">
      <c r="A4143" s="156" t="s">
        <v>6121</v>
      </c>
    </row>
    <row r="4144" spans="1:1">
      <c r="A4144" s="156" t="s">
        <v>6122</v>
      </c>
    </row>
    <row r="4145" spans="1:1">
      <c r="A4145" s="156" t="s">
        <v>6123</v>
      </c>
    </row>
    <row r="4146" spans="1:1">
      <c r="A4146" s="156" t="s">
        <v>6124</v>
      </c>
    </row>
    <row r="4147" spans="1:1">
      <c r="A4147" s="156" t="s">
        <v>6125</v>
      </c>
    </row>
    <row r="4148" spans="1:1">
      <c r="A4148" s="156" t="s">
        <v>6126</v>
      </c>
    </row>
    <row r="4149" spans="1:1">
      <c r="A4149" s="156" t="s">
        <v>6127</v>
      </c>
    </row>
    <row r="4150" spans="1:1">
      <c r="A4150" s="156" t="s">
        <v>6128</v>
      </c>
    </row>
    <row r="4151" spans="1:1">
      <c r="A4151" s="156" t="s">
        <v>6129</v>
      </c>
    </row>
    <row r="4152" spans="1:1">
      <c r="A4152" s="156" t="s">
        <v>6130</v>
      </c>
    </row>
    <row r="4153" spans="1:1">
      <c r="A4153" s="156" t="s">
        <v>6131</v>
      </c>
    </row>
    <row r="4154" spans="1:1">
      <c r="A4154" s="156" t="s">
        <v>6132</v>
      </c>
    </row>
    <row r="4155" spans="1:1">
      <c r="A4155" s="156" t="s">
        <v>6133</v>
      </c>
    </row>
    <row r="4156" spans="1:1">
      <c r="A4156" s="156" t="s">
        <v>6134</v>
      </c>
    </row>
    <row r="4157" spans="1:1">
      <c r="A4157" s="156" t="s">
        <v>6135</v>
      </c>
    </row>
    <row r="4158" spans="1:1">
      <c r="A4158" s="156" t="s">
        <v>6136</v>
      </c>
    </row>
    <row r="4159" spans="1:1">
      <c r="A4159" s="156" t="s">
        <v>6137</v>
      </c>
    </row>
    <row r="4160" spans="1:1">
      <c r="A4160" s="156" t="s">
        <v>6138</v>
      </c>
    </row>
    <row r="4161" spans="1:1">
      <c r="A4161" s="156" t="s">
        <v>6139</v>
      </c>
    </row>
    <row r="4162" spans="1:1">
      <c r="A4162" s="156" t="s">
        <v>6140</v>
      </c>
    </row>
    <row r="4163" spans="1:1">
      <c r="A4163" s="156" t="s">
        <v>6141</v>
      </c>
    </row>
    <row r="4164" spans="1:1">
      <c r="A4164" s="156" t="s">
        <v>6142</v>
      </c>
    </row>
    <row r="4165" spans="1:1">
      <c r="A4165" s="156" t="s">
        <v>6143</v>
      </c>
    </row>
    <row r="4166" spans="1:1">
      <c r="A4166" s="156" t="s">
        <v>6144</v>
      </c>
    </row>
    <row r="4167" spans="1:1">
      <c r="A4167" s="156" t="s">
        <v>6145</v>
      </c>
    </row>
    <row r="4168" spans="1:1">
      <c r="A4168" s="156" t="s">
        <v>6146</v>
      </c>
    </row>
    <row r="4169" spans="1:1">
      <c r="A4169" s="156" t="s">
        <v>6147</v>
      </c>
    </row>
    <row r="4170" spans="1:1">
      <c r="A4170" s="156" t="s">
        <v>6148</v>
      </c>
    </row>
    <row r="4171" spans="1:1">
      <c r="A4171" s="156" t="s">
        <v>6149</v>
      </c>
    </row>
    <row r="4172" spans="1:1">
      <c r="A4172" s="156" t="s">
        <v>6150</v>
      </c>
    </row>
    <row r="4173" spans="1:1">
      <c r="A4173" s="156" t="s">
        <v>6151</v>
      </c>
    </row>
    <row r="4174" spans="1:1">
      <c r="A4174" s="156" t="s">
        <v>6152</v>
      </c>
    </row>
    <row r="4175" spans="1:1">
      <c r="A4175" s="156" t="s">
        <v>6153</v>
      </c>
    </row>
    <row r="4176" spans="1:1">
      <c r="A4176" s="156" t="s">
        <v>6154</v>
      </c>
    </row>
    <row r="4177" spans="1:1">
      <c r="A4177" s="156" t="s">
        <v>6155</v>
      </c>
    </row>
    <row r="4178" spans="1:1">
      <c r="A4178" s="156" t="s">
        <v>6156</v>
      </c>
    </row>
    <row r="4179" spans="1:1">
      <c r="A4179" s="156" t="s">
        <v>6157</v>
      </c>
    </row>
    <row r="4180" spans="1:1">
      <c r="A4180" s="156" t="s">
        <v>6158</v>
      </c>
    </row>
    <row r="4181" spans="1:1">
      <c r="A4181" s="156" t="s">
        <v>6159</v>
      </c>
    </row>
    <row r="4182" spans="1:1">
      <c r="A4182" s="156" t="s">
        <v>6160</v>
      </c>
    </row>
    <row r="4183" spans="1:1">
      <c r="A4183" s="156" t="s">
        <v>6161</v>
      </c>
    </row>
    <row r="4184" spans="1:1">
      <c r="A4184" s="156" t="s">
        <v>6162</v>
      </c>
    </row>
    <row r="4185" spans="1:1">
      <c r="A4185" s="156" t="s">
        <v>6163</v>
      </c>
    </row>
    <row r="4186" spans="1:1">
      <c r="A4186" s="156" t="s">
        <v>6164</v>
      </c>
    </row>
    <row r="4187" spans="1:1">
      <c r="A4187" s="156" t="s">
        <v>6165</v>
      </c>
    </row>
    <row r="4188" spans="1:1">
      <c r="A4188" s="156" t="s">
        <v>6166</v>
      </c>
    </row>
    <row r="4189" spans="1:1">
      <c r="A4189" s="156" t="s">
        <v>6167</v>
      </c>
    </row>
    <row r="4190" spans="1:1">
      <c r="A4190" s="156" t="s">
        <v>6168</v>
      </c>
    </row>
    <row r="4191" spans="1:1">
      <c r="A4191" s="156" t="s">
        <v>6169</v>
      </c>
    </row>
    <row r="4192" spans="1:1">
      <c r="A4192" s="156" t="s">
        <v>6170</v>
      </c>
    </row>
    <row r="4193" spans="1:1">
      <c r="A4193" s="156" t="s">
        <v>6171</v>
      </c>
    </row>
    <row r="4194" spans="1:1">
      <c r="A4194" s="156" t="s">
        <v>6172</v>
      </c>
    </row>
    <row r="4195" spans="1:1">
      <c r="A4195" s="156" t="s">
        <v>6173</v>
      </c>
    </row>
    <row r="4196" spans="1:1">
      <c r="A4196" s="156" t="s">
        <v>6174</v>
      </c>
    </row>
    <row r="4197" spans="1:1">
      <c r="A4197" s="156" t="s">
        <v>6175</v>
      </c>
    </row>
    <row r="4198" spans="1:1">
      <c r="A4198" s="156" t="s">
        <v>6176</v>
      </c>
    </row>
    <row r="4199" spans="1:1">
      <c r="A4199" s="156" t="s">
        <v>6177</v>
      </c>
    </row>
    <row r="4200" spans="1:1">
      <c r="A4200" s="156" t="s">
        <v>6178</v>
      </c>
    </row>
    <row r="4201" spans="1:1">
      <c r="A4201" s="156" t="s">
        <v>6179</v>
      </c>
    </row>
    <row r="4202" spans="1:1">
      <c r="A4202" s="156" t="s">
        <v>6180</v>
      </c>
    </row>
    <row r="4203" spans="1:1">
      <c r="A4203" s="156" t="s">
        <v>6181</v>
      </c>
    </row>
    <row r="4204" spans="1:1">
      <c r="A4204" s="156" t="s">
        <v>6182</v>
      </c>
    </row>
    <row r="4205" spans="1:1">
      <c r="A4205" s="156" t="s">
        <v>6183</v>
      </c>
    </row>
    <row r="4206" spans="1:1">
      <c r="A4206" s="156" t="s">
        <v>6184</v>
      </c>
    </row>
    <row r="4207" spans="1:1">
      <c r="A4207" s="156" t="s">
        <v>6185</v>
      </c>
    </row>
    <row r="4208" spans="1:1">
      <c r="A4208" s="156" t="s">
        <v>6186</v>
      </c>
    </row>
    <row r="4209" spans="1:1">
      <c r="A4209" s="156" t="s">
        <v>6187</v>
      </c>
    </row>
    <row r="4210" spans="1:1">
      <c r="A4210" s="156" t="s">
        <v>6188</v>
      </c>
    </row>
    <row r="4211" spans="1:1">
      <c r="A4211" s="156" t="s">
        <v>6189</v>
      </c>
    </row>
    <row r="4212" spans="1:1">
      <c r="A4212" s="156" t="s">
        <v>6190</v>
      </c>
    </row>
    <row r="4213" spans="1:1">
      <c r="A4213" s="156" t="s">
        <v>6191</v>
      </c>
    </row>
    <row r="4214" spans="1:1">
      <c r="A4214" s="156" t="s">
        <v>6192</v>
      </c>
    </row>
    <row r="4215" spans="1:1">
      <c r="A4215" s="156" t="s">
        <v>6193</v>
      </c>
    </row>
    <row r="4216" spans="1:1">
      <c r="A4216" s="156" t="s">
        <v>6194</v>
      </c>
    </row>
    <row r="4217" spans="1:1">
      <c r="A4217" s="156" t="s">
        <v>6195</v>
      </c>
    </row>
    <row r="4218" spans="1:1">
      <c r="A4218" s="156" t="s">
        <v>6196</v>
      </c>
    </row>
    <row r="4219" spans="1:1">
      <c r="A4219" s="156" t="s">
        <v>6197</v>
      </c>
    </row>
    <row r="4220" spans="1:1">
      <c r="A4220" s="156" t="s">
        <v>6198</v>
      </c>
    </row>
    <row r="4221" spans="1:1">
      <c r="A4221" s="156" t="s">
        <v>6199</v>
      </c>
    </row>
    <row r="4222" spans="1:1">
      <c r="A4222" s="156" t="s">
        <v>6200</v>
      </c>
    </row>
    <row r="4223" spans="1:1">
      <c r="A4223" s="156" t="s">
        <v>6201</v>
      </c>
    </row>
    <row r="4224" spans="1:1">
      <c r="A4224" s="156" t="s">
        <v>6202</v>
      </c>
    </row>
    <row r="4225" spans="1:1">
      <c r="A4225" s="156" t="s">
        <v>6203</v>
      </c>
    </row>
    <row r="4226" spans="1:1">
      <c r="A4226" s="156" t="s">
        <v>6204</v>
      </c>
    </row>
    <row r="4227" spans="1:1">
      <c r="A4227" s="156" t="s">
        <v>6205</v>
      </c>
    </row>
    <row r="4228" spans="1:1">
      <c r="A4228" s="156" t="s">
        <v>6206</v>
      </c>
    </row>
    <row r="4229" spans="1:1">
      <c r="A4229" s="156" t="s">
        <v>6207</v>
      </c>
    </row>
    <row r="4230" spans="1:1">
      <c r="A4230" s="156" t="s">
        <v>6208</v>
      </c>
    </row>
    <row r="4231" spans="1:1">
      <c r="A4231" s="156" t="s">
        <v>6209</v>
      </c>
    </row>
    <row r="4232" spans="1:1">
      <c r="A4232" s="156" t="s">
        <v>6210</v>
      </c>
    </row>
    <row r="4233" spans="1:1">
      <c r="A4233" s="156" t="s">
        <v>6211</v>
      </c>
    </row>
    <row r="4234" spans="1:1">
      <c r="A4234" s="156" t="s">
        <v>6212</v>
      </c>
    </row>
    <row r="4235" spans="1:1">
      <c r="A4235" s="156" t="s">
        <v>6213</v>
      </c>
    </row>
    <row r="4236" spans="1:1">
      <c r="A4236" s="156" t="s">
        <v>6214</v>
      </c>
    </row>
    <row r="4237" spans="1:1">
      <c r="A4237" s="156" t="s">
        <v>6215</v>
      </c>
    </row>
    <row r="4238" spans="1:1">
      <c r="A4238" s="156" t="s">
        <v>6216</v>
      </c>
    </row>
    <row r="4239" spans="1:1">
      <c r="A4239" s="156" t="s">
        <v>6217</v>
      </c>
    </row>
    <row r="4240" spans="1:1">
      <c r="A4240" s="156" t="s">
        <v>6218</v>
      </c>
    </row>
    <row r="4241" spans="1:1">
      <c r="A4241" s="156" t="s">
        <v>6219</v>
      </c>
    </row>
    <row r="4242" spans="1:1">
      <c r="A4242" s="156" t="s">
        <v>6220</v>
      </c>
    </row>
    <row r="4243" spans="1:1">
      <c r="A4243" s="156" t="s">
        <v>6221</v>
      </c>
    </row>
    <row r="4244" spans="1:1">
      <c r="A4244" s="156" t="s">
        <v>6222</v>
      </c>
    </row>
    <row r="4245" spans="1:1">
      <c r="A4245" s="156" t="s">
        <v>6223</v>
      </c>
    </row>
    <row r="4246" spans="1:1">
      <c r="A4246" s="156" t="s">
        <v>6224</v>
      </c>
    </row>
    <row r="4247" spans="1:1">
      <c r="A4247" s="156" t="s">
        <v>6225</v>
      </c>
    </row>
    <row r="4248" spans="1:1">
      <c r="A4248" s="156" t="s">
        <v>6226</v>
      </c>
    </row>
    <row r="4249" spans="1:1">
      <c r="A4249" s="156" t="s">
        <v>6227</v>
      </c>
    </row>
    <row r="4250" spans="1:1">
      <c r="A4250" s="156" t="s">
        <v>6228</v>
      </c>
    </row>
    <row r="4251" spans="1:1">
      <c r="A4251" s="156" t="s">
        <v>6229</v>
      </c>
    </row>
    <row r="4252" spans="1:1">
      <c r="A4252" s="156" t="s">
        <v>6230</v>
      </c>
    </row>
    <row r="4253" spans="1:1">
      <c r="A4253" s="156" t="s">
        <v>6231</v>
      </c>
    </row>
    <row r="4254" spans="1:1">
      <c r="A4254" s="156" t="s">
        <v>6232</v>
      </c>
    </row>
    <row r="4255" spans="1:1">
      <c r="A4255" s="156" t="s">
        <v>6233</v>
      </c>
    </row>
    <row r="4256" spans="1:1">
      <c r="A4256" s="156" t="s">
        <v>6234</v>
      </c>
    </row>
    <row r="4257" spans="1:1">
      <c r="A4257" s="156" t="s">
        <v>6235</v>
      </c>
    </row>
    <row r="4258" spans="1:1">
      <c r="A4258" s="156" t="s">
        <v>6236</v>
      </c>
    </row>
    <row r="4259" spans="1:1">
      <c r="A4259" s="156" t="s">
        <v>6237</v>
      </c>
    </row>
    <row r="4260" spans="1:1">
      <c r="A4260" s="156" t="s">
        <v>6238</v>
      </c>
    </row>
    <row r="4261" spans="1:1">
      <c r="A4261" s="156" t="s">
        <v>6239</v>
      </c>
    </row>
    <row r="4262" spans="1:1">
      <c r="A4262" s="156" t="s">
        <v>6240</v>
      </c>
    </row>
    <row r="4263" spans="1:1">
      <c r="A4263" s="156" t="s">
        <v>6241</v>
      </c>
    </row>
    <row r="4264" spans="1:1">
      <c r="A4264" s="156" t="s">
        <v>6242</v>
      </c>
    </row>
    <row r="4265" spans="1:1">
      <c r="A4265" s="156" t="s">
        <v>6243</v>
      </c>
    </row>
    <row r="4266" spans="1:1">
      <c r="A4266" s="156" t="s">
        <v>6244</v>
      </c>
    </row>
    <row r="4267" spans="1:1">
      <c r="A4267" s="156" t="s">
        <v>6245</v>
      </c>
    </row>
    <row r="4268" spans="1:1">
      <c r="A4268" s="156" t="s">
        <v>6246</v>
      </c>
    </row>
    <row r="4269" spans="1:1">
      <c r="A4269" s="156" t="s">
        <v>6247</v>
      </c>
    </row>
    <row r="4270" spans="1:1">
      <c r="A4270" s="156" t="s">
        <v>6248</v>
      </c>
    </row>
    <row r="4271" spans="1:1">
      <c r="A4271" s="156" t="s">
        <v>6249</v>
      </c>
    </row>
    <row r="4272" spans="1:1">
      <c r="A4272" s="156" t="s">
        <v>6250</v>
      </c>
    </row>
    <row r="4273" spans="1:1">
      <c r="A4273" s="156" t="s">
        <v>6251</v>
      </c>
    </row>
    <row r="4274" spans="1:1">
      <c r="A4274" s="156" t="s">
        <v>6252</v>
      </c>
    </row>
    <row r="4275" spans="1:1">
      <c r="A4275" s="156" t="s">
        <v>6253</v>
      </c>
    </row>
    <row r="4276" spans="1:1">
      <c r="A4276" s="156" t="s">
        <v>6254</v>
      </c>
    </row>
    <row r="4277" spans="1:1">
      <c r="A4277" s="156" t="s">
        <v>6255</v>
      </c>
    </row>
    <row r="4278" spans="1:1">
      <c r="A4278" s="156" t="s">
        <v>6256</v>
      </c>
    </row>
    <row r="4279" spans="1:1">
      <c r="A4279" s="156" t="s">
        <v>6257</v>
      </c>
    </row>
    <row r="4280" spans="1:1">
      <c r="A4280" s="156" t="s">
        <v>6258</v>
      </c>
    </row>
    <row r="4281" spans="1:1">
      <c r="A4281" s="156" t="s">
        <v>6259</v>
      </c>
    </row>
    <row r="4282" spans="1:1">
      <c r="A4282" s="156" t="s">
        <v>6260</v>
      </c>
    </row>
    <row r="4283" spans="1:1">
      <c r="A4283" s="156" t="s">
        <v>6261</v>
      </c>
    </row>
    <row r="4284" spans="1:1">
      <c r="A4284" s="156" t="s">
        <v>6262</v>
      </c>
    </row>
    <row r="4285" spans="1:1">
      <c r="A4285" s="156" t="s">
        <v>6263</v>
      </c>
    </row>
    <row r="4286" spans="1:1">
      <c r="A4286" s="156" t="s">
        <v>6264</v>
      </c>
    </row>
    <row r="4287" spans="1:1">
      <c r="A4287" s="156" t="s">
        <v>6265</v>
      </c>
    </row>
    <row r="4288" spans="1:1">
      <c r="A4288" s="156" t="s">
        <v>6266</v>
      </c>
    </row>
    <row r="4289" spans="1:1">
      <c r="A4289" s="156" t="s">
        <v>6267</v>
      </c>
    </row>
    <row r="4290" spans="1:1">
      <c r="A4290" s="156" t="s">
        <v>6268</v>
      </c>
    </row>
    <row r="4291" spans="1:1">
      <c r="A4291" s="156" t="s">
        <v>6269</v>
      </c>
    </row>
    <row r="4292" spans="1:1">
      <c r="A4292" s="156" t="s">
        <v>6270</v>
      </c>
    </row>
    <row r="4293" spans="1:1">
      <c r="A4293" s="156" t="s">
        <v>6271</v>
      </c>
    </row>
    <row r="4294" spans="1:1">
      <c r="A4294" s="156" t="s">
        <v>6272</v>
      </c>
    </row>
    <row r="4295" spans="1:1">
      <c r="A4295" s="156" t="s">
        <v>6273</v>
      </c>
    </row>
    <row r="4296" spans="1:1">
      <c r="A4296" s="156" t="s">
        <v>6274</v>
      </c>
    </row>
    <row r="4297" spans="1:1">
      <c r="A4297" s="156" t="s">
        <v>6275</v>
      </c>
    </row>
    <row r="4298" spans="1:1">
      <c r="A4298" s="156" t="s">
        <v>6276</v>
      </c>
    </row>
    <row r="4299" spans="1:1">
      <c r="A4299" s="156" t="s">
        <v>6277</v>
      </c>
    </row>
    <row r="4300" spans="1:1">
      <c r="A4300" s="156" t="s">
        <v>6278</v>
      </c>
    </row>
    <row r="4301" spans="1:1">
      <c r="A4301" s="156" t="s">
        <v>6279</v>
      </c>
    </row>
    <row r="4302" spans="1:1">
      <c r="A4302" s="156" t="s">
        <v>6280</v>
      </c>
    </row>
    <row r="4303" spans="1:1">
      <c r="A4303" s="156" t="s">
        <v>6281</v>
      </c>
    </row>
    <row r="4304" spans="1:1">
      <c r="A4304" s="156" t="s">
        <v>6282</v>
      </c>
    </row>
    <row r="4305" spans="1:1">
      <c r="A4305" s="156" t="s">
        <v>6283</v>
      </c>
    </row>
    <row r="4306" spans="1:1">
      <c r="A4306" s="156" t="s">
        <v>6284</v>
      </c>
    </row>
    <row r="4307" spans="1:1">
      <c r="A4307" s="156" t="s">
        <v>6285</v>
      </c>
    </row>
    <row r="4308" spans="1:1">
      <c r="A4308" s="156" t="s">
        <v>6286</v>
      </c>
    </row>
    <row r="4309" spans="1:1">
      <c r="A4309" s="156" t="s">
        <v>6287</v>
      </c>
    </row>
    <row r="4310" spans="1:1">
      <c r="A4310" s="156" t="s">
        <v>6288</v>
      </c>
    </row>
    <row r="4311" spans="1:1">
      <c r="A4311" s="156" t="s">
        <v>6289</v>
      </c>
    </row>
    <row r="4312" spans="1:1">
      <c r="A4312" s="156" t="s">
        <v>6290</v>
      </c>
    </row>
    <row r="4313" spans="1:1">
      <c r="A4313" s="156" t="s">
        <v>6291</v>
      </c>
    </row>
    <row r="4314" spans="1:1">
      <c r="A4314" s="156" t="s">
        <v>6292</v>
      </c>
    </row>
    <row r="4315" spans="1:1">
      <c r="A4315" s="156" t="s">
        <v>6293</v>
      </c>
    </row>
    <row r="4316" spans="1:1">
      <c r="A4316" s="156" t="s">
        <v>6294</v>
      </c>
    </row>
    <row r="4317" spans="1:1">
      <c r="A4317" s="156" t="s">
        <v>6295</v>
      </c>
    </row>
    <row r="4318" spans="1:1">
      <c r="A4318" s="156" t="s">
        <v>6296</v>
      </c>
    </row>
    <row r="4319" spans="1:1">
      <c r="A4319" s="156" t="s">
        <v>6297</v>
      </c>
    </row>
    <row r="4320" spans="1:1">
      <c r="A4320" s="156" t="s">
        <v>6298</v>
      </c>
    </row>
    <row r="4321" spans="1:1">
      <c r="A4321" s="156" t="s">
        <v>6299</v>
      </c>
    </row>
    <row r="4322" spans="1:1">
      <c r="A4322" s="156" t="s">
        <v>6300</v>
      </c>
    </row>
    <row r="4323" spans="1:1">
      <c r="A4323" s="156" t="s">
        <v>6301</v>
      </c>
    </row>
    <row r="4324" spans="1:1">
      <c r="A4324" s="156" t="s">
        <v>6302</v>
      </c>
    </row>
    <row r="4325" spans="1:1">
      <c r="A4325" s="156" t="s">
        <v>6303</v>
      </c>
    </row>
    <row r="4326" spans="1:1">
      <c r="A4326" s="156" t="s">
        <v>6304</v>
      </c>
    </row>
    <row r="4327" spans="1:1">
      <c r="A4327" s="156" t="s">
        <v>6305</v>
      </c>
    </row>
    <row r="4328" spans="1:1">
      <c r="A4328" s="156" t="s">
        <v>6306</v>
      </c>
    </row>
    <row r="4329" spans="1:1">
      <c r="A4329" s="156" t="s">
        <v>6307</v>
      </c>
    </row>
    <row r="4330" spans="1:1">
      <c r="A4330" s="156" t="s">
        <v>6308</v>
      </c>
    </row>
    <row r="4331" spans="1:1">
      <c r="A4331" s="156" t="s">
        <v>6309</v>
      </c>
    </row>
    <row r="4332" spans="1:1">
      <c r="A4332" s="156" t="s">
        <v>6310</v>
      </c>
    </row>
    <row r="4333" spans="1:1">
      <c r="A4333" s="156" t="s">
        <v>6311</v>
      </c>
    </row>
    <row r="4334" spans="1:1">
      <c r="A4334" s="156" t="s">
        <v>6312</v>
      </c>
    </row>
    <row r="4335" spans="1:1">
      <c r="A4335" s="156" t="s">
        <v>6313</v>
      </c>
    </row>
    <row r="4336" spans="1:1">
      <c r="A4336" s="156" t="s">
        <v>6314</v>
      </c>
    </row>
    <row r="4337" spans="1:1">
      <c r="A4337" s="156" t="s">
        <v>6315</v>
      </c>
    </row>
    <row r="4338" spans="1:1">
      <c r="A4338" s="156" t="s">
        <v>6316</v>
      </c>
    </row>
    <row r="4339" spans="1:1">
      <c r="A4339" s="156" t="s">
        <v>6317</v>
      </c>
    </row>
    <row r="4340" spans="1:1">
      <c r="A4340" s="156" t="s">
        <v>6318</v>
      </c>
    </row>
    <row r="4341" spans="1:1">
      <c r="A4341" s="156" t="s">
        <v>6319</v>
      </c>
    </row>
    <row r="4342" spans="1:1">
      <c r="A4342" s="156" t="s">
        <v>6320</v>
      </c>
    </row>
    <row r="4343" spans="1:1">
      <c r="A4343" s="156" t="s">
        <v>6321</v>
      </c>
    </row>
    <row r="4344" spans="1:1">
      <c r="A4344" s="156" t="s">
        <v>6322</v>
      </c>
    </row>
    <row r="4345" spans="1:1">
      <c r="A4345" s="156" t="s">
        <v>6323</v>
      </c>
    </row>
    <row r="4346" spans="1:1">
      <c r="A4346" s="156" t="s">
        <v>6324</v>
      </c>
    </row>
    <row r="4347" spans="1:1">
      <c r="A4347" s="156" t="s">
        <v>6325</v>
      </c>
    </row>
    <row r="4348" spans="1:1">
      <c r="A4348" s="156" t="s">
        <v>6326</v>
      </c>
    </row>
    <row r="4349" spans="1:1">
      <c r="A4349" s="156" t="s">
        <v>6327</v>
      </c>
    </row>
    <row r="4350" spans="1:1">
      <c r="A4350" s="156" t="s">
        <v>6328</v>
      </c>
    </row>
    <row r="4351" spans="1:1">
      <c r="A4351" s="156" t="s">
        <v>6329</v>
      </c>
    </row>
    <row r="4352" spans="1:1">
      <c r="A4352" s="156" t="s">
        <v>6330</v>
      </c>
    </row>
    <row r="4353" spans="1:1">
      <c r="A4353" s="156" t="s">
        <v>6331</v>
      </c>
    </row>
    <row r="4354" spans="1:1">
      <c r="A4354" s="156" t="s">
        <v>6332</v>
      </c>
    </row>
    <row r="4355" spans="1:1">
      <c r="A4355" s="156" t="s">
        <v>6333</v>
      </c>
    </row>
    <row r="4356" spans="1:1">
      <c r="A4356" s="156" t="s">
        <v>6334</v>
      </c>
    </row>
    <row r="4357" spans="1:1">
      <c r="A4357" s="156" t="s">
        <v>6335</v>
      </c>
    </row>
    <row r="4358" spans="1:1">
      <c r="A4358" s="156" t="s">
        <v>6336</v>
      </c>
    </row>
    <row r="4359" spans="1:1">
      <c r="A4359" s="156" t="s">
        <v>6337</v>
      </c>
    </row>
    <row r="4360" spans="1:1">
      <c r="A4360" s="156" t="s">
        <v>6338</v>
      </c>
    </row>
    <row r="4361" spans="1:1">
      <c r="A4361" s="156" t="s">
        <v>6339</v>
      </c>
    </row>
    <row r="4362" spans="1:1">
      <c r="A4362" s="156" t="s">
        <v>6340</v>
      </c>
    </row>
    <row r="4363" spans="1:1">
      <c r="A4363" s="156" t="s">
        <v>6341</v>
      </c>
    </row>
    <row r="4364" spans="1:1">
      <c r="A4364" s="156" t="s">
        <v>6342</v>
      </c>
    </row>
    <row r="4365" spans="1:1">
      <c r="A4365" s="156" t="s">
        <v>6343</v>
      </c>
    </row>
    <row r="4366" spans="1:1">
      <c r="A4366" s="156" t="s">
        <v>6344</v>
      </c>
    </row>
    <row r="4367" spans="1:1">
      <c r="A4367" s="156" t="s">
        <v>6345</v>
      </c>
    </row>
    <row r="4368" spans="1:1">
      <c r="A4368" s="156" t="s">
        <v>6346</v>
      </c>
    </row>
    <row r="4369" spans="1:1">
      <c r="A4369" s="156" t="s">
        <v>6347</v>
      </c>
    </row>
    <row r="4370" spans="1:1">
      <c r="A4370" s="156" t="s">
        <v>6348</v>
      </c>
    </row>
    <row r="4371" spans="1:1">
      <c r="A4371" s="156" t="s">
        <v>6349</v>
      </c>
    </row>
    <row r="4372" spans="1:1">
      <c r="A4372" s="156" t="s">
        <v>6350</v>
      </c>
    </row>
    <row r="4373" spans="1:1">
      <c r="A4373" s="156" t="s">
        <v>6351</v>
      </c>
    </row>
    <row r="4374" spans="1:1">
      <c r="A4374" s="156" t="s">
        <v>6352</v>
      </c>
    </row>
    <row r="4375" spans="1:1">
      <c r="A4375" s="156" t="s">
        <v>6353</v>
      </c>
    </row>
    <row r="4376" spans="1:1">
      <c r="A4376" s="156" t="s">
        <v>6354</v>
      </c>
    </row>
    <row r="4377" spans="1:1">
      <c r="A4377" s="156" t="s">
        <v>6355</v>
      </c>
    </row>
    <row r="4378" spans="1:1">
      <c r="A4378" s="156" t="s">
        <v>6356</v>
      </c>
    </row>
    <row r="4379" spans="1:1">
      <c r="A4379" s="156" t="s">
        <v>6357</v>
      </c>
    </row>
    <row r="4380" spans="1:1">
      <c r="A4380" s="156" t="s">
        <v>6358</v>
      </c>
    </row>
    <row r="4381" spans="1:1">
      <c r="A4381" s="156" t="s">
        <v>6359</v>
      </c>
    </row>
    <row r="4382" spans="1:1">
      <c r="A4382" s="156" t="s">
        <v>6360</v>
      </c>
    </row>
    <row r="4383" spans="1:1">
      <c r="A4383" s="156" t="s">
        <v>6361</v>
      </c>
    </row>
    <row r="4384" spans="1:1">
      <c r="A4384" s="156" t="s">
        <v>6362</v>
      </c>
    </row>
    <row r="4385" spans="1:1">
      <c r="A4385" s="156" t="s">
        <v>6363</v>
      </c>
    </row>
    <row r="4386" spans="1:1">
      <c r="A4386" s="156" t="s">
        <v>6364</v>
      </c>
    </row>
    <row r="4387" spans="1:1">
      <c r="A4387" s="156" t="s">
        <v>6365</v>
      </c>
    </row>
    <row r="4388" spans="1:1">
      <c r="A4388" s="156" t="s">
        <v>6366</v>
      </c>
    </row>
    <row r="4389" spans="1:1">
      <c r="A4389" s="156" t="s">
        <v>6367</v>
      </c>
    </row>
    <row r="4390" spans="1:1">
      <c r="A4390" s="156" t="s">
        <v>6368</v>
      </c>
    </row>
    <row r="4391" spans="1:1">
      <c r="A4391" s="156" t="s">
        <v>6369</v>
      </c>
    </row>
    <row r="4392" spans="1:1">
      <c r="A4392" s="156" t="s">
        <v>6370</v>
      </c>
    </row>
    <row r="4393" spans="1:1">
      <c r="A4393" s="156" t="s">
        <v>6371</v>
      </c>
    </row>
    <row r="4394" spans="1:1">
      <c r="A4394" s="156" t="s">
        <v>6372</v>
      </c>
    </row>
    <row r="4395" spans="1:1">
      <c r="A4395" s="156" t="s">
        <v>6373</v>
      </c>
    </row>
    <row r="4396" spans="1:1">
      <c r="A4396" s="156" t="s">
        <v>6374</v>
      </c>
    </row>
    <row r="4397" spans="1:1">
      <c r="A4397" s="156" t="s">
        <v>6375</v>
      </c>
    </row>
    <row r="4398" spans="1:1">
      <c r="A4398" s="156" t="s">
        <v>6376</v>
      </c>
    </row>
    <row r="4399" spans="1:1">
      <c r="A4399" s="156" t="s">
        <v>6377</v>
      </c>
    </row>
    <row r="4400" spans="1:1">
      <c r="A4400" s="156" t="s">
        <v>6378</v>
      </c>
    </row>
    <row r="4401" spans="1:1">
      <c r="A4401" s="156" t="s">
        <v>6379</v>
      </c>
    </row>
    <row r="4402" spans="1:1">
      <c r="A4402" s="156" t="s">
        <v>6380</v>
      </c>
    </row>
    <row r="4403" spans="1:1">
      <c r="A4403" s="156" t="s">
        <v>6381</v>
      </c>
    </row>
    <row r="4404" spans="1:1">
      <c r="A4404" s="156" t="s">
        <v>6382</v>
      </c>
    </row>
    <row r="4405" spans="1:1">
      <c r="A4405" s="156" t="s">
        <v>6383</v>
      </c>
    </row>
    <row r="4406" spans="1:1">
      <c r="A4406" s="156" t="s">
        <v>6384</v>
      </c>
    </row>
    <row r="4407" spans="1:1">
      <c r="A4407" s="156" t="s">
        <v>6385</v>
      </c>
    </row>
    <row r="4408" spans="1:1">
      <c r="A4408" s="156" t="s">
        <v>6386</v>
      </c>
    </row>
    <row r="4409" spans="1:1">
      <c r="A4409" s="156" t="s">
        <v>6387</v>
      </c>
    </row>
    <row r="4410" spans="1:1">
      <c r="A4410" s="156" t="s">
        <v>6388</v>
      </c>
    </row>
    <row r="4411" spans="1:1">
      <c r="A4411" s="156" t="s">
        <v>6389</v>
      </c>
    </row>
    <row r="4412" spans="1:1">
      <c r="A4412" s="156" t="s">
        <v>6390</v>
      </c>
    </row>
    <row r="4413" spans="1:1">
      <c r="A4413" s="156" t="s">
        <v>6391</v>
      </c>
    </row>
    <row r="4414" spans="1:1">
      <c r="A4414" s="156" t="s">
        <v>6392</v>
      </c>
    </row>
    <row r="4415" spans="1:1">
      <c r="A4415" s="156" t="s">
        <v>6393</v>
      </c>
    </row>
    <row r="4416" spans="1:1">
      <c r="A4416" s="156" t="s">
        <v>6394</v>
      </c>
    </row>
    <row r="4417" spans="1:1">
      <c r="A4417" s="156" t="s">
        <v>6395</v>
      </c>
    </row>
    <row r="4418" spans="1:1">
      <c r="A4418" s="156" t="s">
        <v>6396</v>
      </c>
    </row>
    <row r="4419" spans="1:1">
      <c r="A4419" s="156" t="s">
        <v>6397</v>
      </c>
    </row>
    <row r="4420" spans="1:1">
      <c r="A4420" s="156" t="s">
        <v>6398</v>
      </c>
    </row>
    <row r="4421" spans="1:1">
      <c r="A4421" s="156" t="s">
        <v>6399</v>
      </c>
    </row>
    <row r="4422" spans="1:1">
      <c r="A4422" s="156" t="s">
        <v>6400</v>
      </c>
    </row>
    <row r="4423" spans="1:1">
      <c r="A4423" s="156" t="s">
        <v>6401</v>
      </c>
    </row>
    <row r="4424" spans="1:1">
      <c r="A4424" s="156" t="s">
        <v>6402</v>
      </c>
    </row>
    <row r="4425" spans="1:1">
      <c r="A4425" s="156" t="s">
        <v>6403</v>
      </c>
    </row>
    <row r="4426" spans="1:1">
      <c r="A4426" s="156" t="s">
        <v>6404</v>
      </c>
    </row>
    <row r="4427" spans="1:1">
      <c r="A4427" s="156" t="s">
        <v>6405</v>
      </c>
    </row>
    <row r="4428" spans="1:1">
      <c r="A4428" s="156" t="s">
        <v>6406</v>
      </c>
    </row>
    <row r="4429" spans="1:1">
      <c r="A4429" s="156" t="s">
        <v>6407</v>
      </c>
    </row>
    <row r="4430" spans="1:1">
      <c r="A4430" s="156" t="s">
        <v>6408</v>
      </c>
    </row>
    <row r="4431" spans="1:1">
      <c r="A4431" s="156" t="s">
        <v>6409</v>
      </c>
    </row>
    <row r="4432" spans="1:1">
      <c r="A4432" s="156" t="s">
        <v>6410</v>
      </c>
    </row>
    <row r="4433" spans="1:1">
      <c r="A4433" s="156" t="s">
        <v>6411</v>
      </c>
    </row>
    <row r="4434" spans="1:1">
      <c r="A4434" s="156" t="s">
        <v>6412</v>
      </c>
    </row>
    <row r="4435" spans="1:1">
      <c r="A4435" s="156" t="s">
        <v>6413</v>
      </c>
    </row>
    <row r="4436" spans="1:1">
      <c r="A4436" s="156" t="s">
        <v>6414</v>
      </c>
    </row>
    <row r="4437" spans="1:1">
      <c r="A4437" s="156" t="s">
        <v>6415</v>
      </c>
    </row>
    <row r="4438" spans="1:1">
      <c r="A4438" s="156" t="s">
        <v>6416</v>
      </c>
    </row>
    <row r="4439" spans="1:1">
      <c r="A4439" s="156" t="s">
        <v>6417</v>
      </c>
    </row>
    <row r="4440" spans="1:1">
      <c r="A4440" s="156" t="s">
        <v>6418</v>
      </c>
    </row>
    <row r="4441" spans="1:1">
      <c r="A4441" s="156" t="s">
        <v>6419</v>
      </c>
    </row>
    <row r="4442" spans="1:1">
      <c r="A4442" s="156" t="s">
        <v>6420</v>
      </c>
    </row>
    <row r="4443" spans="1:1">
      <c r="A4443" s="156" t="s">
        <v>6421</v>
      </c>
    </row>
    <row r="4444" spans="1:1">
      <c r="A4444" s="156" t="s">
        <v>6422</v>
      </c>
    </row>
    <row r="4445" spans="1:1">
      <c r="A4445" s="156" t="s">
        <v>6423</v>
      </c>
    </row>
    <row r="4446" spans="1:1">
      <c r="A4446" s="156" t="s">
        <v>6424</v>
      </c>
    </row>
    <row r="4447" spans="1:1">
      <c r="A4447" s="156" t="s">
        <v>6425</v>
      </c>
    </row>
    <row r="4448" spans="1:1">
      <c r="A4448" s="156" t="s">
        <v>6426</v>
      </c>
    </row>
    <row r="4449" spans="1:1">
      <c r="A4449" s="156" t="s">
        <v>6427</v>
      </c>
    </row>
    <row r="4450" spans="1:1">
      <c r="A4450" s="156" t="s">
        <v>6428</v>
      </c>
    </row>
    <row r="4451" spans="1:1">
      <c r="A4451" s="156" t="s">
        <v>6429</v>
      </c>
    </row>
    <row r="4452" spans="1:1">
      <c r="A4452" s="156" t="s">
        <v>6430</v>
      </c>
    </row>
    <row r="4453" spans="1:1">
      <c r="A4453" s="156" t="s">
        <v>6431</v>
      </c>
    </row>
    <row r="4454" spans="1:1">
      <c r="A4454" s="156" t="s">
        <v>6432</v>
      </c>
    </row>
    <row r="4455" spans="1:1">
      <c r="A4455" s="156" t="s">
        <v>6433</v>
      </c>
    </row>
    <row r="4456" spans="1:1">
      <c r="A4456" s="156" t="s">
        <v>6434</v>
      </c>
    </row>
    <row r="4457" spans="1:1">
      <c r="A4457" s="156" t="s">
        <v>6435</v>
      </c>
    </row>
    <row r="4458" spans="1:1">
      <c r="A4458" s="156" t="s">
        <v>6436</v>
      </c>
    </row>
    <row r="4459" spans="1:1">
      <c r="A4459" s="156" t="s">
        <v>6437</v>
      </c>
    </row>
    <row r="4460" spans="1:1">
      <c r="A4460" s="156" t="s">
        <v>6438</v>
      </c>
    </row>
    <row r="4461" spans="1:1">
      <c r="A4461" s="156" t="s">
        <v>6439</v>
      </c>
    </row>
    <row r="4462" spans="1:1">
      <c r="A4462" s="156" t="s">
        <v>6440</v>
      </c>
    </row>
    <row r="4463" spans="1:1">
      <c r="A4463" s="156" t="s">
        <v>6441</v>
      </c>
    </row>
    <row r="4464" spans="1:1">
      <c r="A4464" s="156" t="s">
        <v>6442</v>
      </c>
    </row>
    <row r="4465" spans="1:1">
      <c r="A4465" s="156" t="s">
        <v>6443</v>
      </c>
    </row>
    <row r="4466" spans="1:1">
      <c r="A4466" s="156" t="s">
        <v>6444</v>
      </c>
    </row>
    <row r="4467" spans="1:1">
      <c r="A4467" s="156" t="s">
        <v>6445</v>
      </c>
    </row>
    <row r="4468" spans="1:1">
      <c r="A4468" s="156" t="s">
        <v>6446</v>
      </c>
    </row>
    <row r="4469" spans="1:1">
      <c r="A4469" s="156" t="s">
        <v>6447</v>
      </c>
    </row>
    <row r="4470" spans="1:1">
      <c r="A4470" s="156" t="s">
        <v>6448</v>
      </c>
    </row>
    <row r="4471" spans="1:1">
      <c r="A4471" s="156" t="s">
        <v>6449</v>
      </c>
    </row>
    <row r="4472" spans="1:1">
      <c r="A4472" s="156" t="s">
        <v>6450</v>
      </c>
    </row>
    <row r="4473" spans="1:1">
      <c r="A4473" s="156" t="s">
        <v>6451</v>
      </c>
    </row>
    <row r="4474" spans="1:1">
      <c r="A4474" s="156" t="s">
        <v>6452</v>
      </c>
    </row>
    <row r="4475" spans="1:1">
      <c r="A4475" s="156" t="s">
        <v>6453</v>
      </c>
    </row>
    <row r="4476" spans="1:1">
      <c r="A4476" s="156" t="s">
        <v>6454</v>
      </c>
    </row>
    <row r="4477" spans="1:1">
      <c r="A4477" s="156" t="s">
        <v>6455</v>
      </c>
    </row>
    <row r="4478" spans="1:1">
      <c r="A4478" s="156" t="s">
        <v>6456</v>
      </c>
    </row>
    <row r="4479" spans="1:1">
      <c r="A4479" s="156" t="s">
        <v>6457</v>
      </c>
    </row>
    <row r="4480" spans="1:1">
      <c r="A4480" s="156" t="s">
        <v>6458</v>
      </c>
    </row>
    <row r="4481" spans="1:1">
      <c r="A4481" s="156" t="s">
        <v>6459</v>
      </c>
    </row>
    <row r="4482" spans="1:1">
      <c r="A4482" s="156" t="s">
        <v>6460</v>
      </c>
    </row>
    <row r="4483" spans="1:1">
      <c r="A4483" s="156" t="s">
        <v>6461</v>
      </c>
    </row>
    <row r="4484" spans="1:1">
      <c r="A4484" s="156" t="s">
        <v>6462</v>
      </c>
    </row>
    <row r="4485" spans="1:1">
      <c r="A4485" s="156" t="s">
        <v>6463</v>
      </c>
    </row>
    <row r="4486" spans="1:1">
      <c r="A4486" s="156" t="s">
        <v>6464</v>
      </c>
    </row>
    <row r="4487" spans="1:1">
      <c r="A4487" s="156" t="s">
        <v>6465</v>
      </c>
    </row>
    <row r="4488" spans="1:1">
      <c r="A4488" s="156" t="s">
        <v>6466</v>
      </c>
    </row>
    <row r="4489" spans="1:1">
      <c r="A4489" s="156" t="s">
        <v>6467</v>
      </c>
    </row>
    <row r="4490" spans="1:1">
      <c r="A4490" s="156" t="s">
        <v>6468</v>
      </c>
    </row>
    <row r="4491" spans="1:1">
      <c r="A4491" s="156" t="s">
        <v>6469</v>
      </c>
    </row>
    <row r="4492" spans="1:1">
      <c r="A4492" s="156" t="s">
        <v>6470</v>
      </c>
    </row>
    <row r="4493" spans="1:1">
      <c r="A4493" s="156" t="s">
        <v>6471</v>
      </c>
    </row>
    <row r="4494" spans="1:1">
      <c r="A4494" s="156" t="s">
        <v>6472</v>
      </c>
    </row>
    <row r="4495" spans="1:1">
      <c r="A4495" s="156" t="s">
        <v>6473</v>
      </c>
    </row>
    <row r="4496" spans="1:1">
      <c r="A4496" s="156" t="s">
        <v>6474</v>
      </c>
    </row>
    <row r="4497" spans="1:1">
      <c r="A4497" s="156" t="s">
        <v>6475</v>
      </c>
    </row>
    <row r="4498" spans="1:1">
      <c r="A4498" s="156" t="s">
        <v>6476</v>
      </c>
    </row>
    <row r="4499" spans="1:1">
      <c r="A4499" s="156" t="s">
        <v>6477</v>
      </c>
    </row>
    <row r="4500" spans="1:1">
      <c r="A4500" s="156" t="s">
        <v>6478</v>
      </c>
    </row>
    <row r="4501" spans="1:1">
      <c r="A4501" s="156" t="s">
        <v>6479</v>
      </c>
    </row>
    <row r="4502" spans="1:1">
      <c r="A4502" s="156" t="s">
        <v>6480</v>
      </c>
    </row>
    <row r="4503" spans="1:1">
      <c r="A4503" s="156" t="s">
        <v>6481</v>
      </c>
    </row>
    <row r="4504" spans="1:1">
      <c r="A4504" s="156" t="s">
        <v>6482</v>
      </c>
    </row>
    <row r="4505" spans="1:1">
      <c r="A4505" s="156" t="s">
        <v>6483</v>
      </c>
    </row>
    <row r="4506" spans="1:1">
      <c r="A4506" s="156" t="s">
        <v>6484</v>
      </c>
    </row>
    <row r="4507" spans="1:1">
      <c r="A4507" s="156" t="s">
        <v>6485</v>
      </c>
    </row>
    <row r="4508" spans="1:1">
      <c r="A4508" s="156" t="s">
        <v>6486</v>
      </c>
    </row>
    <row r="4509" spans="1:1">
      <c r="A4509" s="156" t="s">
        <v>6487</v>
      </c>
    </row>
    <row r="4510" spans="1:1">
      <c r="A4510" s="156" t="s">
        <v>6488</v>
      </c>
    </row>
    <row r="4511" spans="1:1">
      <c r="A4511" s="156" t="s">
        <v>6489</v>
      </c>
    </row>
    <row r="4512" spans="1:1">
      <c r="A4512" s="156" t="s">
        <v>6490</v>
      </c>
    </row>
    <row r="4513" spans="1:1">
      <c r="A4513" s="156" t="s">
        <v>6491</v>
      </c>
    </row>
    <row r="4514" spans="1:1">
      <c r="A4514" s="156" t="s">
        <v>6492</v>
      </c>
    </row>
    <row r="4515" spans="1:1">
      <c r="A4515" s="156" t="s">
        <v>6493</v>
      </c>
    </row>
    <row r="4516" spans="1:1">
      <c r="A4516" s="156" t="s">
        <v>6494</v>
      </c>
    </row>
    <row r="4517" spans="1:1">
      <c r="A4517" s="156" t="s">
        <v>6495</v>
      </c>
    </row>
    <row r="4518" spans="1:1">
      <c r="A4518" s="156" t="s">
        <v>6496</v>
      </c>
    </row>
    <row r="4519" spans="1:1">
      <c r="A4519" s="156" t="s">
        <v>6497</v>
      </c>
    </row>
    <row r="4520" spans="1:1">
      <c r="A4520" s="156" t="s">
        <v>6498</v>
      </c>
    </row>
    <row r="4521" spans="1:1">
      <c r="A4521" s="156" t="s">
        <v>6499</v>
      </c>
    </row>
    <row r="4522" spans="1:1">
      <c r="A4522" s="156" t="s">
        <v>6500</v>
      </c>
    </row>
    <row r="4523" spans="1:1">
      <c r="A4523" s="156" t="s">
        <v>6501</v>
      </c>
    </row>
    <row r="4524" spans="1:1">
      <c r="A4524" s="156" t="s">
        <v>6502</v>
      </c>
    </row>
    <row r="4525" spans="1:1">
      <c r="A4525" s="156" t="s">
        <v>6503</v>
      </c>
    </row>
    <row r="4526" spans="1:1">
      <c r="A4526" s="156" t="s">
        <v>6504</v>
      </c>
    </row>
    <row r="4527" spans="1:1">
      <c r="A4527" s="156" t="s">
        <v>6505</v>
      </c>
    </row>
    <row r="4528" spans="1:1">
      <c r="A4528" s="156" t="s">
        <v>6506</v>
      </c>
    </row>
    <row r="4529" spans="1:1">
      <c r="A4529" s="156" t="s">
        <v>6507</v>
      </c>
    </row>
    <row r="4530" spans="1:1">
      <c r="A4530" s="156" t="s">
        <v>6508</v>
      </c>
    </row>
    <row r="4531" spans="1:1">
      <c r="A4531" s="156" t="s">
        <v>6509</v>
      </c>
    </row>
    <row r="4532" spans="1:1">
      <c r="A4532" s="156" t="s">
        <v>6510</v>
      </c>
    </row>
    <row r="4533" spans="1:1">
      <c r="A4533" s="156" t="s">
        <v>6511</v>
      </c>
    </row>
    <row r="4534" spans="1:1">
      <c r="A4534" s="156" t="s">
        <v>6512</v>
      </c>
    </row>
    <row r="4535" spans="1:1">
      <c r="A4535" s="156" t="s">
        <v>6513</v>
      </c>
    </row>
    <row r="4536" spans="1:1">
      <c r="A4536" s="156" t="s">
        <v>6514</v>
      </c>
    </row>
    <row r="4537" spans="1:1">
      <c r="A4537" s="156" t="s">
        <v>6515</v>
      </c>
    </row>
    <row r="4538" spans="1:1">
      <c r="A4538" s="156" t="s">
        <v>6516</v>
      </c>
    </row>
    <row r="4539" spans="1:1">
      <c r="A4539" s="156" t="s">
        <v>6517</v>
      </c>
    </row>
    <row r="4540" spans="1:1">
      <c r="A4540" s="156" t="s">
        <v>6518</v>
      </c>
    </row>
    <row r="4541" spans="1:1">
      <c r="A4541" s="156" t="s">
        <v>6519</v>
      </c>
    </row>
    <row r="4542" spans="1:1">
      <c r="A4542" s="156" t="s">
        <v>6520</v>
      </c>
    </row>
    <row r="4543" spans="1:1">
      <c r="A4543" s="156" t="s">
        <v>6521</v>
      </c>
    </row>
    <row r="4544" spans="1:1">
      <c r="A4544" s="156" t="s">
        <v>6522</v>
      </c>
    </row>
    <row r="4545" spans="1:1">
      <c r="A4545" s="156" t="s">
        <v>6523</v>
      </c>
    </row>
    <row r="4546" spans="1:1">
      <c r="A4546" s="156" t="s">
        <v>6524</v>
      </c>
    </row>
    <row r="4547" spans="1:1">
      <c r="A4547" s="156" t="s">
        <v>6525</v>
      </c>
    </row>
    <row r="4548" spans="1:1">
      <c r="A4548" s="156" t="s">
        <v>6526</v>
      </c>
    </row>
    <row r="4549" spans="1:1">
      <c r="A4549" s="156" t="s">
        <v>6527</v>
      </c>
    </row>
    <row r="4550" spans="1:1">
      <c r="A4550" s="156" t="s">
        <v>6528</v>
      </c>
    </row>
    <row r="4551" spans="1:1">
      <c r="A4551" s="156" t="s">
        <v>6529</v>
      </c>
    </row>
    <row r="4552" spans="1:1">
      <c r="A4552" s="156" t="s">
        <v>6530</v>
      </c>
    </row>
    <row r="4553" spans="1:1">
      <c r="A4553" s="156" t="s">
        <v>6531</v>
      </c>
    </row>
    <row r="4554" spans="1:1">
      <c r="A4554" s="156" t="s">
        <v>6532</v>
      </c>
    </row>
    <row r="4555" spans="1:1">
      <c r="A4555" s="156" t="s">
        <v>6533</v>
      </c>
    </row>
    <row r="4556" spans="1:1">
      <c r="A4556" s="156" t="s">
        <v>6534</v>
      </c>
    </row>
    <row r="4557" spans="1:1">
      <c r="A4557" s="156" t="s">
        <v>6535</v>
      </c>
    </row>
    <row r="4558" spans="1:1">
      <c r="A4558" s="156" t="s">
        <v>6536</v>
      </c>
    </row>
    <row r="4559" spans="1:1">
      <c r="A4559" s="156" t="s">
        <v>6537</v>
      </c>
    </row>
    <row r="4560" spans="1:1">
      <c r="A4560" s="156" t="s">
        <v>6538</v>
      </c>
    </row>
    <row r="4561" spans="1:1">
      <c r="A4561" s="156" t="s">
        <v>6539</v>
      </c>
    </row>
    <row r="4562" spans="1:1">
      <c r="A4562" s="156" t="s">
        <v>6540</v>
      </c>
    </row>
    <row r="4563" spans="1:1">
      <c r="A4563" s="156" t="s">
        <v>6541</v>
      </c>
    </row>
    <row r="4564" spans="1:1">
      <c r="A4564" s="156" t="s">
        <v>6542</v>
      </c>
    </row>
    <row r="4565" spans="1:1">
      <c r="A4565" s="156" t="s">
        <v>6543</v>
      </c>
    </row>
    <row r="4566" spans="1:1">
      <c r="A4566" s="156" t="s">
        <v>6544</v>
      </c>
    </row>
    <row r="4567" spans="1:1">
      <c r="A4567" s="156" t="s">
        <v>6545</v>
      </c>
    </row>
    <row r="4568" spans="1:1">
      <c r="A4568" s="156" t="s">
        <v>6546</v>
      </c>
    </row>
    <row r="4569" spans="1:1">
      <c r="A4569" s="156" t="s">
        <v>6547</v>
      </c>
    </row>
    <row r="4570" spans="1:1">
      <c r="A4570" s="156" t="s">
        <v>6548</v>
      </c>
    </row>
    <row r="4571" spans="1:1">
      <c r="A4571" s="156" t="s">
        <v>6549</v>
      </c>
    </row>
    <row r="4572" spans="1:1">
      <c r="A4572" s="156" t="s">
        <v>6550</v>
      </c>
    </row>
    <row r="4573" spans="1:1">
      <c r="A4573" s="156" t="s">
        <v>6551</v>
      </c>
    </row>
    <row r="4574" spans="1:1">
      <c r="A4574" s="156" t="s">
        <v>6552</v>
      </c>
    </row>
    <row r="4575" spans="1:1">
      <c r="A4575" s="156" t="s">
        <v>6553</v>
      </c>
    </row>
    <row r="4576" spans="1:1">
      <c r="A4576" s="156" t="s">
        <v>6554</v>
      </c>
    </row>
    <row r="4577" spans="1:1">
      <c r="A4577" s="156" t="s">
        <v>6555</v>
      </c>
    </row>
    <row r="4578" spans="1:1">
      <c r="A4578" s="156" t="s">
        <v>6556</v>
      </c>
    </row>
    <row r="4579" spans="1:1">
      <c r="A4579" s="156" t="s">
        <v>6557</v>
      </c>
    </row>
    <row r="4580" spans="1:1">
      <c r="A4580" s="156" t="s">
        <v>6558</v>
      </c>
    </row>
    <row r="4581" spans="1:1">
      <c r="A4581" s="156" t="s">
        <v>6559</v>
      </c>
    </row>
    <row r="4582" spans="1:1">
      <c r="A4582" s="156" t="s">
        <v>6560</v>
      </c>
    </row>
    <row r="4583" spans="1:1">
      <c r="A4583" s="156" t="s">
        <v>6561</v>
      </c>
    </row>
    <row r="4584" spans="1:1">
      <c r="A4584" s="156" t="s">
        <v>6562</v>
      </c>
    </row>
    <row r="4585" spans="1:1">
      <c r="A4585" s="156" t="s">
        <v>6563</v>
      </c>
    </row>
    <row r="4586" spans="1:1">
      <c r="A4586" s="156" t="s">
        <v>6564</v>
      </c>
    </row>
    <row r="4587" spans="1:1">
      <c r="A4587" s="156" t="s">
        <v>6565</v>
      </c>
    </row>
    <row r="4588" spans="1:1">
      <c r="A4588" s="156" t="s">
        <v>6566</v>
      </c>
    </row>
    <row r="4589" spans="1:1">
      <c r="A4589" s="156" t="s">
        <v>6567</v>
      </c>
    </row>
    <row r="4590" spans="1:1">
      <c r="A4590" s="156" t="s">
        <v>6568</v>
      </c>
    </row>
    <row r="4591" spans="1:1">
      <c r="A4591" s="156" t="s">
        <v>6569</v>
      </c>
    </row>
    <row r="4592" spans="1:1">
      <c r="A4592" s="156" t="s">
        <v>6570</v>
      </c>
    </row>
    <row r="4593" spans="1:1">
      <c r="A4593" s="156" t="s">
        <v>6571</v>
      </c>
    </row>
    <row r="4594" spans="1:1">
      <c r="A4594" s="156" t="s">
        <v>6572</v>
      </c>
    </row>
    <row r="4595" spans="1:1">
      <c r="A4595" s="156" t="s">
        <v>6573</v>
      </c>
    </row>
    <row r="4596" spans="1:1">
      <c r="A4596" s="156" t="s">
        <v>6574</v>
      </c>
    </row>
    <row r="4597" spans="1:1">
      <c r="A4597" s="156" t="s">
        <v>6575</v>
      </c>
    </row>
    <row r="4598" spans="1:1">
      <c r="A4598" s="156" t="s">
        <v>6576</v>
      </c>
    </row>
    <row r="4599" spans="1:1">
      <c r="A4599" s="156" t="s">
        <v>6577</v>
      </c>
    </row>
    <row r="4600" spans="1:1">
      <c r="A4600" s="156" t="s">
        <v>6578</v>
      </c>
    </row>
    <row r="4601" spans="1:1">
      <c r="A4601" s="156" t="s">
        <v>6579</v>
      </c>
    </row>
    <row r="4602" spans="1:1">
      <c r="A4602" s="156" t="s">
        <v>6580</v>
      </c>
    </row>
    <row r="4603" spans="1:1">
      <c r="A4603" s="156" t="s">
        <v>6581</v>
      </c>
    </row>
    <row r="4604" spans="1:1">
      <c r="A4604" s="156" t="s">
        <v>6582</v>
      </c>
    </row>
    <row r="4605" spans="1:1">
      <c r="A4605" s="156" t="s">
        <v>6583</v>
      </c>
    </row>
    <row r="4606" spans="1:1">
      <c r="A4606" s="156" t="s">
        <v>6584</v>
      </c>
    </row>
    <row r="4607" spans="1:1">
      <c r="A4607" s="156" t="s">
        <v>6585</v>
      </c>
    </row>
    <row r="4608" spans="1:1">
      <c r="A4608" s="156" t="s">
        <v>6586</v>
      </c>
    </row>
    <row r="4609" spans="1:1">
      <c r="A4609" s="156" t="s">
        <v>6587</v>
      </c>
    </row>
    <row r="4610" spans="1:1">
      <c r="A4610" s="156" t="s">
        <v>6588</v>
      </c>
    </row>
    <row r="4611" spans="1:1">
      <c r="A4611" s="156" t="s">
        <v>6589</v>
      </c>
    </row>
    <row r="4612" spans="1:1">
      <c r="A4612" s="156" t="s">
        <v>6590</v>
      </c>
    </row>
    <row r="4613" spans="1:1">
      <c r="A4613" s="156" t="s">
        <v>6591</v>
      </c>
    </row>
    <row r="4614" spans="1:1">
      <c r="A4614" s="156" t="s">
        <v>6592</v>
      </c>
    </row>
    <row r="4615" spans="1:1">
      <c r="A4615" s="156" t="s">
        <v>6593</v>
      </c>
    </row>
    <row r="4616" spans="1:1">
      <c r="A4616" s="156" t="s">
        <v>6594</v>
      </c>
    </row>
    <row r="4617" spans="1:1">
      <c r="A4617" s="156" t="s">
        <v>6595</v>
      </c>
    </row>
    <row r="4618" spans="1:1">
      <c r="A4618" s="156" t="s">
        <v>6596</v>
      </c>
    </row>
    <row r="4619" spans="1:1">
      <c r="A4619" s="156" t="s">
        <v>6597</v>
      </c>
    </row>
    <row r="4620" spans="1:1">
      <c r="A4620" s="156" t="s">
        <v>6598</v>
      </c>
    </row>
    <row r="4621" spans="1:1">
      <c r="A4621" s="156" t="s">
        <v>6599</v>
      </c>
    </row>
    <row r="4622" spans="1:1">
      <c r="A4622" s="156" t="s">
        <v>6600</v>
      </c>
    </row>
    <row r="4623" spans="1:1">
      <c r="A4623" s="156" t="s">
        <v>6601</v>
      </c>
    </row>
    <row r="4624" spans="1:1">
      <c r="A4624" s="156" t="s">
        <v>6602</v>
      </c>
    </row>
    <row r="4625" spans="1:1">
      <c r="A4625" s="156" t="s">
        <v>6603</v>
      </c>
    </row>
    <row r="4626" spans="1:1">
      <c r="A4626" s="156" t="s">
        <v>6604</v>
      </c>
    </row>
    <row r="4627" spans="1:1">
      <c r="A4627" s="156" t="s">
        <v>6605</v>
      </c>
    </row>
    <row r="4628" spans="1:1">
      <c r="A4628" s="156" t="s">
        <v>6606</v>
      </c>
    </row>
    <row r="4629" spans="1:1">
      <c r="A4629" s="156" t="s">
        <v>6607</v>
      </c>
    </row>
    <row r="4630" spans="1:1">
      <c r="A4630" s="156" t="s">
        <v>6608</v>
      </c>
    </row>
    <row r="4631" spans="1:1">
      <c r="A4631" s="156" t="s">
        <v>6609</v>
      </c>
    </row>
    <row r="4632" spans="1:1">
      <c r="A4632" s="156" t="s">
        <v>6610</v>
      </c>
    </row>
    <row r="4633" spans="1:1">
      <c r="A4633" s="156" t="s">
        <v>6611</v>
      </c>
    </row>
    <row r="4634" spans="1:1">
      <c r="A4634" s="156" t="s">
        <v>6612</v>
      </c>
    </row>
    <row r="4635" spans="1:1">
      <c r="A4635" s="156" t="s">
        <v>6613</v>
      </c>
    </row>
    <row r="4636" spans="1:1">
      <c r="A4636" s="156" t="s">
        <v>6614</v>
      </c>
    </row>
    <row r="4637" spans="1:1">
      <c r="A4637" s="156" t="s">
        <v>6615</v>
      </c>
    </row>
    <row r="4638" spans="1:1">
      <c r="A4638" s="156" t="s">
        <v>6616</v>
      </c>
    </row>
    <row r="4639" spans="1:1">
      <c r="A4639" s="156" t="s">
        <v>6617</v>
      </c>
    </row>
    <row r="4640" spans="1:1">
      <c r="A4640" s="156" t="s">
        <v>6618</v>
      </c>
    </row>
    <row r="4641" spans="1:1">
      <c r="A4641" s="156" t="s">
        <v>6619</v>
      </c>
    </row>
    <row r="4642" spans="1:1">
      <c r="A4642" s="156" t="s">
        <v>6620</v>
      </c>
    </row>
    <row r="4643" spans="1:1">
      <c r="A4643" s="156" t="s">
        <v>6621</v>
      </c>
    </row>
    <row r="4644" spans="1:1">
      <c r="A4644" s="156" t="s">
        <v>6622</v>
      </c>
    </row>
    <row r="4645" spans="1:1">
      <c r="A4645" s="156" t="s">
        <v>6623</v>
      </c>
    </row>
    <row r="4646" spans="1:1">
      <c r="A4646" s="156" t="s">
        <v>6624</v>
      </c>
    </row>
    <row r="4647" spans="1:1">
      <c r="A4647" s="156" t="s">
        <v>6625</v>
      </c>
    </row>
    <row r="4648" spans="1:1">
      <c r="A4648" s="156" t="s">
        <v>6626</v>
      </c>
    </row>
    <row r="4649" spans="1:1">
      <c r="A4649" s="156" t="s">
        <v>6627</v>
      </c>
    </row>
    <row r="4650" spans="1:1">
      <c r="A4650" s="156" t="s">
        <v>6628</v>
      </c>
    </row>
    <row r="4651" spans="1:1">
      <c r="A4651" s="156" t="s">
        <v>6629</v>
      </c>
    </row>
    <row r="4652" spans="1:1">
      <c r="A4652" s="156" t="s">
        <v>6630</v>
      </c>
    </row>
    <row r="4653" spans="1:1">
      <c r="A4653" s="156" t="s">
        <v>6631</v>
      </c>
    </row>
    <row r="4654" spans="1:1">
      <c r="A4654" s="156" t="s">
        <v>6632</v>
      </c>
    </row>
    <row r="4655" spans="1:1">
      <c r="A4655" s="156" t="s">
        <v>6633</v>
      </c>
    </row>
    <row r="4656" spans="1:1">
      <c r="A4656" s="156" t="s">
        <v>6634</v>
      </c>
    </row>
    <row r="4657" spans="1:1">
      <c r="A4657" s="156" t="s">
        <v>6635</v>
      </c>
    </row>
    <row r="4658" spans="1:1">
      <c r="A4658" s="156" t="s">
        <v>6636</v>
      </c>
    </row>
    <row r="4659" spans="1:1">
      <c r="A4659" s="156" t="s">
        <v>6637</v>
      </c>
    </row>
    <row r="4660" spans="1:1">
      <c r="A4660" s="156" t="s">
        <v>6638</v>
      </c>
    </row>
    <row r="4661" spans="1:1">
      <c r="A4661" s="156" t="s">
        <v>6639</v>
      </c>
    </row>
    <row r="4662" spans="1:1">
      <c r="A4662" s="156" t="s">
        <v>6640</v>
      </c>
    </row>
    <row r="4663" spans="1:1">
      <c r="A4663" s="156" t="s">
        <v>6641</v>
      </c>
    </row>
    <row r="4664" spans="1:1">
      <c r="A4664" s="156" t="s">
        <v>6642</v>
      </c>
    </row>
    <row r="4665" spans="1:1">
      <c r="A4665" s="156" t="s">
        <v>6643</v>
      </c>
    </row>
    <row r="4666" spans="1:1">
      <c r="A4666" s="156" t="s">
        <v>6644</v>
      </c>
    </row>
    <row r="4667" spans="1:1">
      <c r="A4667" s="156" t="s">
        <v>6645</v>
      </c>
    </row>
    <row r="4668" spans="1:1">
      <c r="A4668" s="156" t="s">
        <v>6646</v>
      </c>
    </row>
    <row r="4669" spans="1:1">
      <c r="A4669" s="156" t="s">
        <v>6647</v>
      </c>
    </row>
    <row r="4670" spans="1:1">
      <c r="A4670" s="156" t="s">
        <v>6648</v>
      </c>
    </row>
    <row r="4671" spans="1:1">
      <c r="A4671" s="156" t="s">
        <v>6649</v>
      </c>
    </row>
    <row r="4672" spans="1:1">
      <c r="A4672" s="156" t="s">
        <v>6650</v>
      </c>
    </row>
    <row r="4673" spans="1:1">
      <c r="A4673" s="156" t="s">
        <v>6651</v>
      </c>
    </row>
    <row r="4674" spans="1:1">
      <c r="A4674" s="156" t="s">
        <v>6652</v>
      </c>
    </row>
    <row r="4675" spans="1:1">
      <c r="A4675" s="156" t="s">
        <v>6653</v>
      </c>
    </row>
    <row r="4676" spans="1:1">
      <c r="A4676" s="156" t="s">
        <v>6654</v>
      </c>
    </row>
    <row r="4677" spans="1:1">
      <c r="A4677" s="156" t="s">
        <v>6655</v>
      </c>
    </row>
    <row r="4678" spans="1:1">
      <c r="A4678" s="156" t="s">
        <v>6656</v>
      </c>
    </row>
    <row r="4679" spans="1:1">
      <c r="A4679" s="156" t="s">
        <v>6657</v>
      </c>
    </row>
    <row r="4680" spans="1:1">
      <c r="A4680" s="156" t="s">
        <v>6658</v>
      </c>
    </row>
    <row r="4681" spans="1:1">
      <c r="A4681" s="156" t="s">
        <v>6659</v>
      </c>
    </row>
    <row r="4682" spans="1:1">
      <c r="A4682" s="156" t="s">
        <v>6660</v>
      </c>
    </row>
    <row r="4683" spans="1:1">
      <c r="A4683" s="156" t="s">
        <v>6661</v>
      </c>
    </row>
    <row r="4684" spans="1:1">
      <c r="A4684" s="156" t="s">
        <v>6662</v>
      </c>
    </row>
    <row r="4685" spans="1:1">
      <c r="A4685" s="156" t="s">
        <v>6663</v>
      </c>
    </row>
    <row r="4686" spans="1:1">
      <c r="A4686" s="156" t="s">
        <v>6664</v>
      </c>
    </row>
    <row r="4687" spans="1:1">
      <c r="A4687" s="156" t="s">
        <v>6665</v>
      </c>
    </row>
    <row r="4688" spans="1:1">
      <c r="A4688" s="156" t="s">
        <v>6666</v>
      </c>
    </row>
    <row r="4689" spans="1:1">
      <c r="A4689" s="156" t="s">
        <v>6667</v>
      </c>
    </row>
    <row r="4690" spans="1:1">
      <c r="A4690" s="156" t="s">
        <v>6668</v>
      </c>
    </row>
    <row r="4691" spans="1:1">
      <c r="A4691" s="156" t="s">
        <v>6669</v>
      </c>
    </row>
    <row r="4692" spans="1:1">
      <c r="A4692" s="156" t="s">
        <v>6670</v>
      </c>
    </row>
    <row r="4693" spans="1:1">
      <c r="A4693" s="156" t="s">
        <v>6671</v>
      </c>
    </row>
    <row r="4694" spans="1:1">
      <c r="A4694" s="156" t="s">
        <v>6672</v>
      </c>
    </row>
    <row r="4695" spans="1:1">
      <c r="A4695" s="156" t="s">
        <v>6673</v>
      </c>
    </row>
    <row r="4696" spans="1:1">
      <c r="A4696" s="156" t="s">
        <v>6674</v>
      </c>
    </row>
    <row r="4697" spans="1:1">
      <c r="A4697" s="156" t="s">
        <v>6675</v>
      </c>
    </row>
    <row r="4698" spans="1:1">
      <c r="A4698" s="156" t="s">
        <v>6676</v>
      </c>
    </row>
    <row r="4699" spans="1:1">
      <c r="A4699" s="156" t="s">
        <v>6677</v>
      </c>
    </row>
    <row r="4700" spans="1:1">
      <c r="A4700" s="156" t="s">
        <v>6678</v>
      </c>
    </row>
    <row r="4701" spans="1:1">
      <c r="A4701" s="156" t="s">
        <v>6679</v>
      </c>
    </row>
    <row r="4702" spans="1:1">
      <c r="A4702" s="156" t="s">
        <v>6680</v>
      </c>
    </row>
    <row r="4703" spans="1:1">
      <c r="A4703" s="156" t="s">
        <v>6681</v>
      </c>
    </row>
    <row r="4704" spans="1:1">
      <c r="A4704" s="156" t="s">
        <v>6682</v>
      </c>
    </row>
    <row r="4705" spans="1:1">
      <c r="A4705" s="156" t="s">
        <v>6683</v>
      </c>
    </row>
    <row r="4706" spans="1:1">
      <c r="A4706" s="156" t="s">
        <v>6684</v>
      </c>
    </row>
    <row r="4707" spans="1:1">
      <c r="A4707" s="156" t="s">
        <v>6685</v>
      </c>
    </row>
    <row r="4708" spans="1:1">
      <c r="A4708" s="156" t="s">
        <v>6686</v>
      </c>
    </row>
    <row r="4709" spans="1:1">
      <c r="A4709" s="156" t="s">
        <v>6687</v>
      </c>
    </row>
    <row r="4710" spans="1:1">
      <c r="A4710" s="156" t="s">
        <v>6688</v>
      </c>
    </row>
    <row r="4711" spans="1:1">
      <c r="A4711" s="156" t="s">
        <v>6689</v>
      </c>
    </row>
    <row r="4712" spans="1:1">
      <c r="A4712" s="156" t="s">
        <v>6690</v>
      </c>
    </row>
    <row r="4713" spans="1:1">
      <c r="A4713" s="156" t="s">
        <v>6691</v>
      </c>
    </row>
    <row r="4714" spans="1:1">
      <c r="A4714" s="156" t="s">
        <v>6692</v>
      </c>
    </row>
    <row r="4715" spans="1:1">
      <c r="A4715" s="156" t="s">
        <v>6693</v>
      </c>
    </row>
    <row r="4716" spans="1:1">
      <c r="A4716" s="156" t="s">
        <v>6694</v>
      </c>
    </row>
    <row r="4717" spans="1:1">
      <c r="A4717" s="156" t="s">
        <v>6695</v>
      </c>
    </row>
    <row r="4718" spans="1:1">
      <c r="A4718" s="156" t="s">
        <v>6696</v>
      </c>
    </row>
    <row r="4719" spans="1:1">
      <c r="A4719" s="156" t="s">
        <v>6697</v>
      </c>
    </row>
    <row r="4720" spans="1:1">
      <c r="A4720" s="156" t="s">
        <v>6698</v>
      </c>
    </row>
    <row r="4721" spans="1:1">
      <c r="A4721" s="156" t="s">
        <v>6699</v>
      </c>
    </row>
    <row r="4722" spans="1:1">
      <c r="A4722" s="156" t="s">
        <v>6700</v>
      </c>
    </row>
    <row r="4723" spans="1:1">
      <c r="A4723" s="156" t="s">
        <v>6701</v>
      </c>
    </row>
    <row r="4724" spans="1:1">
      <c r="A4724" s="156" t="s">
        <v>6702</v>
      </c>
    </row>
    <row r="4725" spans="1:1">
      <c r="A4725" s="156" t="s">
        <v>6703</v>
      </c>
    </row>
    <row r="4726" spans="1:1">
      <c r="A4726" s="156" t="s">
        <v>6704</v>
      </c>
    </row>
    <row r="4727" spans="1:1">
      <c r="A4727" s="156" t="s">
        <v>6705</v>
      </c>
    </row>
    <row r="4728" spans="1:1">
      <c r="A4728" s="156" t="s">
        <v>6706</v>
      </c>
    </row>
    <row r="4729" spans="1:1">
      <c r="A4729" s="156" t="s">
        <v>6707</v>
      </c>
    </row>
    <row r="4730" spans="1:1">
      <c r="A4730" s="156" t="s">
        <v>6708</v>
      </c>
    </row>
    <row r="4731" spans="1:1">
      <c r="A4731" s="156" t="s">
        <v>6709</v>
      </c>
    </row>
    <row r="4732" spans="1:1">
      <c r="A4732" s="156" t="s">
        <v>6710</v>
      </c>
    </row>
    <row r="4733" spans="1:1">
      <c r="A4733" s="156" t="s">
        <v>6711</v>
      </c>
    </row>
    <row r="4734" spans="1:1">
      <c r="A4734" s="156" t="s">
        <v>6712</v>
      </c>
    </row>
    <row r="4735" spans="1:1">
      <c r="A4735" s="156" t="s">
        <v>6713</v>
      </c>
    </row>
    <row r="4736" spans="1:1">
      <c r="A4736" s="156" t="s">
        <v>6714</v>
      </c>
    </row>
    <row r="4737" spans="1:1">
      <c r="A4737" s="156" t="s">
        <v>6715</v>
      </c>
    </row>
    <row r="4738" spans="1:1">
      <c r="A4738" s="156" t="s">
        <v>6716</v>
      </c>
    </row>
    <row r="4739" spans="1:1">
      <c r="A4739" s="156" t="s">
        <v>6717</v>
      </c>
    </row>
    <row r="4740" spans="1:1">
      <c r="A4740" s="156" t="s">
        <v>6718</v>
      </c>
    </row>
    <row r="4741" spans="1:1">
      <c r="A4741" s="156" t="s">
        <v>6719</v>
      </c>
    </row>
    <row r="4742" spans="1:1">
      <c r="A4742" s="156" t="s">
        <v>6720</v>
      </c>
    </row>
    <row r="4743" spans="1:1">
      <c r="A4743" s="156" t="s">
        <v>6721</v>
      </c>
    </row>
    <row r="4744" spans="1:1">
      <c r="A4744" s="156" t="s">
        <v>6722</v>
      </c>
    </row>
    <row r="4745" spans="1:1">
      <c r="A4745" s="156" t="s">
        <v>6723</v>
      </c>
    </row>
    <row r="4746" spans="1:1">
      <c r="A4746" s="156" t="s">
        <v>6724</v>
      </c>
    </row>
    <row r="4747" spans="1:1">
      <c r="A4747" s="156" t="s">
        <v>6725</v>
      </c>
    </row>
    <row r="4748" spans="1:1">
      <c r="A4748" s="156" t="s">
        <v>6726</v>
      </c>
    </row>
    <row r="4749" spans="1:1">
      <c r="A4749" s="156" t="s">
        <v>6727</v>
      </c>
    </row>
    <row r="4750" spans="1:1">
      <c r="A4750" s="156" t="s">
        <v>6728</v>
      </c>
    </row>
    <row r="4751" spans="1:1">
      <c r="A4751" s="156" t="s">
        <v>6729</v>
      </c>
    </row>
    <row r="4752" spans="1:1">
      <c r="A4752" s="156" t="s">
        <v>6730</v>
      </c>
    </row>
    <row r="4753" spans="1:1">
      <c r="A4753" s="156" t="s">
        <v>6731</v>
      </c>
    </row>
    <row r="4754" spans="1:1">
      <c r="A4754" s="156" t="s">
        <v>6732</v>
      </c>
    </row>
    <row r="4755" spans="1:1">
      <c r="A4755" s="156" t="s">
        <v>6733</v>
      </c>
    </row>
    <row r="4756" spans="1:1">
      <c r="A4756" s="156" t="s">
        <v>6734</v>
      </c>
    </row>
    <row r="4757" spans="1:1">
      <c r="A4757" s="156" t="s">
        <v>6735</v>
      </c>
    </row>
    <row r="4758" spans="1:1">
      <c r="A4758" s="156" t="s">
        <v>6736</v>
      </c>
    </row>
    <row r="4759" spans="1:1">
      <c r="A4759" s="156" t="s">
        <v>6737</v>
      </c>
    </row>
    <row r="4760" spans="1:1">
      <c r="A4760" s="156" t="s">
        <v>6738</v>
      </c>
    </row>
    <row r="4761" spans="1:1">
      <c r="A4761" s="156" t="s">
        <v>6739</v>
      </c>
    </row>
    <row r="4762" spans="1:1">
      <c r="A4762" s="156" t="s">
        <v>6740</v>
      </c>
    </row>
    <row r="4763" spans="1:1">
      <c r="A4763" s="156" t="s">
        <v>6741</v>
      </c>
    </row>
    <row r="4764" spans="1:1">
      <c r="A4764" s="156" t="s">
        <v>6742</v>
      </c>
    </row>
    <row r="4765" spans="1:1">
      <c r="A4765" s="156" t="s">
        <v>6743</v>
      </c>
    </row>
    <row r="4766" spans="1:1">
      <c r="A4766" s="156" t="s">
        <v>6744</v>
      </c>
    </row>
    <row r="4767" spans="1:1">
      <c r="A4767" s="156" t="s">
        <v>6745</v>
      </c>
    </row>
    <row r="4768" spans="1:1">
      <c r="A4768" s="156" t="s">
        <v>6746</v>
      </c>
    </row>
    <row r="4769" spans="1:1">
      <c r="A4769" s="156" t="s">
        <v>6747</v>
      </c>
    </row>
    <row r="4770" spans="1:1">
      <c r="A4770" s="156" t="s">
        <v>6748</v>
      </c>
    </row>
    <row r="4771" spans="1:1">
      <c r="A4771" s="156" t="s">
        <v>6749</v>
      </c>
    </row>
    <row r="4772" spans="1:1">
      <c r="A4772" s="156" t="s">
        <v>6750</v>
      </c>
    </row>
    <row r="4773" spans="1:1">
      <c r="A4773" s="156" t="s">
        <v>6751</v>
      </c>
    </row>
    <row r="4774" spans="1:1">
      <c r="A4774" s="156" t="s">
        <v>6752</v>
      </c>
    </row>
    <row r="4775" spans="1:1">
      <c r="A4775" s="156" t="s">
        <v>6753</v>
      </c>
    </row>
    <row r="4776" spans="1:1">
      <c r="A4776" s="156" t="s">
        <v>6754</v>
      </c>
    </row>
    <row r="4777" spans="1:1">
      <c r="A4777" s="156" t="s">
        <v>6755</v>
      </c>
    </row>
    <row r="4778" spans="1:1">
      <c r="A4778" s="156" t="s">
        <v>6756</v>
      </c>
    </row>
    <row r="4779" spans="1:1">
      <c r="A4779" s="156" t="s">
        <v>6757</v>
      </c>
    </row>
    <row r="4780" spans="1:1">
      <c r="A4780" s="156" t="s">
        <v>6758</v>
      </c>
    </row>
    <row r="4781" spans="1:1">
      <c r="A4781" s="156" t="s">
        <v>6759</v>
      </c>
    </row>
    <row r="4782" spans="1:1">
      <c r="A4782" s="156" t="s">
        <v>6760</v>
      </c>
    </row>
    <row r="4783" spans="1:1">
      <c r="A4783" s="156" t="s">
        <v>6761</v>
      </c>
    </row>
    <row r="4784" spans="1:1">
      <c r="A4784" s="156" t="s">
        <v>6762</v>
      </c>
    </row>
    <row r="4785" spans="1:1">
      <c r="A4785" s="156" t="s">
        <v>6763</v>
      </c>
    </row>
    <row r="4786" spans="1:1">
      <c r="A4786" s="156" t="s">
        <v>6764</v>
      </c>
    </row>
    <row r="4787" spans="1:1">
      <c r="A4787" s="156" t="s">
        <v>6765</v>
      </c>
    </row>
    <row r="4788" spans="1:1">
      <c r="A4788" s="156" t="s">
        <v>6766</v>
      </c>
    </row>
    <row r="4789" spans="1:1">
      <c r="A4789" s="156" t="s">
        <v>6767</v>
      </c>
    </row>
    <row r="4790" spans="1:1">
      <c r="A4790" s="156" t="s">
        <v>6768</v>
      </c>
    </row>
    <row r="4791" spans="1:1">
      <c r="A4791" s="156" t="s">
        <v>6769</v>
      </c>
    </row>
    <row r="4792" spans="1:1">
      <c r="A4792" s="156" t="s">
        <v>6770</v>
      </c>
    </row>
    <row r="4793" spans="1:1">
      <c r="A4793" s="156" t="s">
        <v>6771</v>
      </c>
    </row>
    <row r="4794" spans="1:1">
      <c r="A4794" s="156" t="s">
        <v>6772</v>
      </c>
    </row>
    <row r="4795" spans="1:1">
      <c r="A4795" s="156" t="s">
        <v>6773</v>
      </c>
    </row>
    <row r="4796" spans="1:1">
      <c r="A4796" s="156" t="s">
        <v>6774</v>
      </c>
    </row>
    <row r="4797" spans="1:1">
      <c r="A4797" s="156" t="s">
        <v>6775</v>
      </c>
    </row>
    <row r="4798" spans="1:1">
      <c r="A4798" s="156" t="s">
        <v>6776</v>
      </c>
    </row>
    <row r="4799" spans="1:1">
      <c r="A4799" s="156" t="s">
        <v>6777</v>
      </c>
    </row>
    <row r="4800" spans="1:1">
      <c r="A4800" s="156" t="s">
        <v>6778</v>
      </c>
    </row>
    <row r="4801" spans="1:1">
      <c r="A4801" s="156" t="s">
        <v>6779</v>
      </c>
    </row>
    <row r="4802" spans="1:1">
      <c r="A4802" s="156" t="s">
        <v>6780</v>
      </c>
    </row>
    <row r="4803" spans="1:1">
      <c r="A4803" s="156" t="s">
        <v>6781</v>
      </c>
    </row>
    <row r="4804" spans="1:1">
      <c r="A4804" s="156" t="s">
        <v>6782</v>
      </c>
    </row>
    <row r="4805" spans="1:1">
      <c r="A4805" s="156" t="s">
        <v>6783</v>
      </c>
    </row>
    <row r="4806" spans="1:1">
      <c r="A4806" s="156" t="s">
        <v>6784</v>
      </c>
    </row>
    <row r="4807" spans="1:1">
      <c r="A4807" s="156" t="s">
        <v>6785</v>
      </c>
    </row>
    <row r="4808" spans="1:1">
      <c r="A4808" s="156" t="s">
        <v>6786</v>
      </c>
    </row>
    <row r="4809" spans="1:1">
      <c r="A4809" s="156" t="s">
        <v>6787</v>
      </c>
    </row>
    <row r="4810" spans="1:1">
      <c r="A4810" s="156" t="s">
        <v>6788</v>
      </c>
    </row>
    <row r="4811" spans="1:1">
      <c r="A4811" s="156" t="s">
        <v>6789</v>
      </c>
    </row>
    <row r="4812" spans="1:1">
      <c r="A4812" s="156" t="s">
        <v>6790</v>
      </c>
    </row>
    <row r="4813" spans="1:1">
      <c r="A4813" s="156" t="s">
        <v>6791</v>
      </c>
    </row>
    <row r="4814" spans="1:1">
      <c r="A4814" s="156" t="s">
        <v>6792</v>
      </c>
    </row>
    <row r="4815" spans="1:1">
      <c r="A4815" s="156" t="s">
        <v>6793</v>
      </c>
    </row>
    <row r="4816" spans="1:1">
      <c r="A4816" s="156" t="s">
        <v>6794</v>
      </c>
    </row>
    <row r="4817" spans="1:1">
      <c r="A4817" s="156" t="s">
        <v>6795</v>
      </c>
    </row>
    <row r="4818" spans="1:1">
      <c r="A4818" s="156" t="s">
        <v>6796</v>
      </c>
    </row>
    <row r="4819" spans="1:1">
      <c r="A4819" s="156" t="s">
        <v>6797</v>
      </c>
    </row>
    <row r="4820" spans="1:1">
      <c r="A4820" s="156" t="s">
        <v>6798</v>
      </c>
    </row>
    <row r="4821" spans="1:1">
      <c r="A4821" s="156" t="s">
        <v>6799</v>
      </c>
    </row>
    <row r="4822" spans="1:1">
      <c r="A4822" s="156" t="s">
        <v>6800</v>
      </c>
    </row>
    <row r="4823" spans="1:1">
      <c r="A4823" s="156" t="s">
        <v>6801</v>
      </c>
    </row>
    <row r="4824" spans="1:1">
      <c r="A4824" s="156" t="s">
        <v>6802</v>
      </c>
    </row>
    <row r="4825" spans="1:1">
      <c r="A4825" s="156" t="s">
        <v>6803</v>
      </c>
    </row>
    <row r="4826" spans="1:1">
      <c r="A4826" s="156" t="s">
        <v>6804</v>
      </c>
    </row>
    <row r="4827" spans="1:1">
      <c r="A4827" s="156" t="s">
        <v>6805</v>
      </c>
    </row>
    <row r="4828" spans="1:1">
      <c r="A4828" s="156" t="s">
        <v>6806</v>
      </c>
    </row>
    <row r="4829" spans="1:1">
      <c r="A4829" s="156" t="s">
        <v>6807</v>
      </c>
    </row>
    <row r="4830" spans="1:1">
      <c r="A4830" s="156" t="s">
        <v>6808</v>
      </c>
    </row>
    <row r="4831" spans="1:1">
      <c r="A4831" s="156" t="s">
        <v>6809</v>
      </c>
    </row>
    <row r="4832" spans="1:1">
      <c r="A4832" s="156" t="s">
        <v>6810</v>
      </c>
    </row>
    <row r="4833" spans="1:1">
      <c r="A4833" s="156" t="s">
        <v>6811</v>
      </c>
    </row>
    <row r="4834" spans="1:1">
      <c r="A4834" s="156" t="s">
        <v>6812</v>
      </c>
    </row>
    <row r="4835" spans="1:1">
      <c r="A4835" s="156" t="s">
        <v>6813</v>
      </c>
    </row>
    <row r="4836" spans="1:1">
      <c r="A4836" s="156" t="s">
        <v>6814</v>
      </c>
    </row>
    <row r="4837" spans="1:1">
      <c r="A4837" s="156" t="s">
        <v>6815</v>
      </c>
    </row>
    <row r="4838" spans="1:1">
      <c r="A4838" s="156" t="s">
        <v>6816</v>
      </c>
    </row>
    <row r="4839" spans="1:1">
      <c r="A4839" s="156" t="s">
        <v>6817</v>
      </c>
    </row>
    <row r="4840" spans="1:1">
      <c r="A4840" s="156" t="s">
        <v>6818</v>
      </c>
    </row>
    <row r="4841" spans="1:1">
      <c r="A4841" s="156" t="s">
        <v>6819</v>
      </c>
    </row>
    <row r="4842" spans="1:1">
      <c r="A4842" s="156" t="s">
        <v>6820</v>
      </c>
    </row>
    <row r="4843" spans="1:1">
      <c r="A4843" s="156" t="s">
        <v>6821</v>
      </c>
    </row>
    <row r="4844" spans="1:1">
      <c r="A4844" s="156" t="s">
        <v>6822</v>
      </c>
    </row>
    <row r="4845" spans="1:1">
      <c r="A4845" s="156" t="s">
        <v>6823</v>
      </c>
    </row>
    <row r="4846" spans="1:1">
      <c r="A4846" s="156" t="s">
        <v>6824</v>
      </c>
    </row>
    <row r="4847" spans="1:1">
      <c r="A4847" s="156" t="s">
        <v>6825</v>
      </c>
    </row>
    <row r="4848" spans="1:1">
      <c r="A4848" s="156" t="s">
        <v>6826</v>
      </c>
    </row>
    <row r="4849" spans="1:1">
      <c r="A4849" s="156" t="s">
        <v>6827</v>
      </c>
    </row>
    <row r="4850" spans="1:1">
      <c r="A4850" s="156" t="s">
        <v>6828</v>
      </c>
    </row>
    <row r="4851" spans="1:1">
      <c r="A4851" s="156" t="s">
        <v>6829</v>
      </c>
    </row>
    <row r="4852" spans="1:1">
      <c r="A4852" s="156" t="s">
        <v>6830</v>
      </c>
    </row>
    <row r="4853" spans="1:1">
      <c r="A4853" s="156" t="s">
        <v>6831</v>
      </c>
    </row>
    <row r="4854" spans="1:1">
      <c r="A4854" s="156" t="s">
        <v>6832</v>
      </c>
    </row>
    <row r="4855" spans="1:1">
      <c r="A4855" s="156" t="s">
        <v>6833</v>
      </c>
    </row>
    <row r="4856" spans="1:1">
      <c r="A4856" s="156" t="s">
        <v>6834</v>
      </c>
    </row>
    <row r="4857" spans="1:1">
      <c r="A4857" s="156" t="s">
        <v>6835</v>
      </c>
    </row>
    <row r="4858" spans="1:1">
      <c r="A4858" s="156" t="s">
        <v>6836</v>
      </c>
    </row>
    <row r="4859" spans="1:1">
      <c r="A4859" s="156" t="s">
        <v>6837</v>
      </c>
    </row>
    <row r="4860" spans="1:1">
      <c r="A4860" s="156" t="s">
        <v>6838</v>
      </c>
    </row>
    <row r="4861" spans="1:1">
      <c r="A4861" s="156" t="s">
        <v>6839</v>
      </c>
    </row>
    <row r="4862" spans="1:1">
      <c r="A4862" s="156" t="s">
        <v>6840</v>
      </c>
    </row>
    <row r="4863" spans="1:1">
      <c r="A4863" s="156" t="s">
        <v>6841</v>
      </c>
    </row>
    <row r="4864" spans="1:1">
      <c r="A4864" s="156" t="s">
        <v>6842</v>
      </c>
    </row>
    <row r="4865" spans="1:1">
      <c r="A4865" s="156" t="s">
        <v>6843</v>
      </c>
    </row>
    <row r="4866" spans="1:1">
      <c r="A4866" s="156" t="s">
        <v>6844</v>
      </c>
    </row>
    <row r="4867" spans="1:1">
      <c r="A4867" s="156" t="s">
        <v>6845</v>
      </c>
    </row>
    <row r="4868" spans="1:1">
      <c r="A4868" s="156" t="s">
        <v>6846</v>
      </c>
    </row>
    <row r="4869" spans="1:1">
      <c r="A4869" s="156" t="s">
        <v>6847</v>
      </c>
    </row>
    <row r="4870" spans="1:1">
      <c r="A4870" s="156" t="s">
        <v>6848</v>
      </c>
    </row>
    <row r="4871" spans="1:1">
      <c r="A4871" s="156" t="s">
        <v>6849</v>
      </c>
    </row>
    <row r="4872" spans="1:1">
      <c r="A4872" s="156" t="s">
        <v>6850</v>
      </c>
    </row>
    <row r="4873" spans="1:1">
      <c r="A4873" s="156" t="s">
        <v>6851</v>
      </c>
    </row>
    <row r="4874" spans="1:1">
      <c r="A4874" s="156" t="s">
        <v>6852</v>
      </c>
    </row>
    <row r="4875" spans="1:1">
      <c r="A4875" s="156" t="s">
        <v>6853</v>
      </c>
    </row>
    <row r="4876" spans="1:1">
      <c r="A4876" s="156" t="s">
        <v>6854</v>
      </c>
    </row>
    <row r="4877" spans="1:1">
      <c r="A4877" s="156" t="s">
        <v>6855</v>
      </c>
    </row>
    <row r="4878" spans="1:1">
      <c r="A4878" s="156" t="s">
        <v>6856</v>
      </c>
    </row>
    <row r="4879" spans="1:1">
      <c r="A4879" s="156" t="s">
        <v>6857</v>
      </c>
    </row>
    <row r="4880" spans="1:1">
      <c r="A4880" s="156" t="s">
        <v>6858</v>
      </c>
    </row>
    <row r="4881" spans="1:1">
      <c r="A4881" s="156" t="s">
        <v>6859</v>
      </c>
    </row>
    <row r="4882" spans="1:1">
      <c r="A4882" s="156" t="s">
        <v>6860</v>
      </c>
    </row>
    <row r="4883" spans="1:1">
      <c r="A4883" s="156" t="s">
        <v>6861</v>
      </c>
    </row>
    <row r="4884" spans="1:1">
      <c r="A4884" s="156" t="s">
        <v>6862</v>
      </c>
    </row>
    <row r="4885" spans="1:1">
      <c r="A4885" s="156" t="s">
        <v>6863</v>
      </c>
    </row>
    <row r="4886" spans="1:1">
      <c r="A4886" s="156" t="s">
        <v>6864</v>
      </c>
    </row>
    <row r="4887" spans="1:1">
      <c r="A4887" s="156" t="s">
        <v>6865</v>
      </c>
    </row>
    <row r="4888" spans="1:1">
      <c r="A4888" s="156" t="s">
        <v>6866</v>
      </c>
    </row>
    <row r="4889" spans="1:1">
      <c r="A4889" s="156" t="s">
        <v>6867</v>
      </c>
    </row>
    <row r="4890" spans="1:1">
      <c r="A4890" s="156" t="s">
        <v>6868</v>
      </c>
    </row>
    <row r="4891" spans="1:1">
      <c r="A4891" s="156" t="s">
        <v>6869</v>
      </c>
    </row>
    <row r="4892" spans="1:1">
      <c r="A4892" s="156" t="s">
        <v>6870</v>
      </c>
    </row>
    <row r="4893" spans="1:1">
      <c r="A4893" s="156" t="s">
        <v>6871</v>
      </c>
    </row>
    <row r="4894" spans="1:1">
      <c r="A4894" s="156" t="s">
        <v>6872</v>
      </c>
    </row>
    <row r="4895" spans="1:1">
      <c r="A4895" s="156" t="s">
        <v>6873</v>
      </c>
    </row>
    <row r="4896" spans="1:1">
      <c r="A4896" s="156" t="s">
        <v>6874</v>
      </c>
    </row>
    <row r="4897" spans="1:1">
      <c r="A4897" s="156" t="s">
        <v>6875</v>
      </c>
    </row>
    <row r="4898" spans="1:1">
      <c r="A4898" s="156" t="s">
        <v>6876</v>
      </c>
    </row>
    <row r="4899" spans="1:1">
      <c r="A4899" s="156" t="s">
        <v>6877</v>
      </c>
    </row>
    <row r="4900" spans="1:1">
      <c r="A4900" s="156" t="s">
        <v>6878</v>
      </c>
    </row>
    <row r="4901" spans="1:1">
      <c r="A4901" s="156" t="s">
        <v>6879</v>
      </c>
    </row>
    <row r="4902" spans="1:1">
      <c r="A4902" s="156" t="s">
        <v>6880</v>
      </c>
    </row>
    <row r="4903" spans="1:1">
      <c r="A4903" s="156" t="s">
        <v>6881</v>
      </c>
    </row>
    <row r="4904" spans="1:1">
      <c r="A4904" s="156" t="s">
        <v>6882</v>
      </c>
    </row>
    <row r="4905" spans="1:1">
      <c r="A4905" s="156" t="s">
        <v>6883</v>
      </c>
    </row>
    <row r="4906" spans="1:1">
      <c r="A4906" s="156" t="s">
        <v>6884</v>
      </c>
    </row>
    <row r="4907" spans="1:1">
      <c r="A4907" s="156" t="s">
        <v>6885</v>
      </c>
    </row>
    <row r="4908" spans="1:1">
      <c r="A4908" s="156" t="s">
        <v>6886</v>
      </c>
    </row>
    <row r="4909" spans="1:1">
      <c r="A4909" s="156" t="s">
        <v>6887</v>
      </c>
    </row>
    <row r="4910" spans="1:1">
      <c r="A4910" s="156" t="s">
        <v>6888</v>
      </c>
    </row>
    <row r="4911" spans="1:1">
      <c r="A4911" s="156" t="s">
        <v>6889</v>
      </c>
    </row>
    <row r="4912" spans="1:1">
      <c r="A4912" s="156" t="s">
        <v>6890</v>
      </c>
    </row>
    <row r="4913" spans="1:1">
      <c r="A4913" s="156" t="s">
        <v>6891</v>
      </c>
    </row>
    <row r="4914" spans="1:1">
      <c r="A4914" s="156" t="s">
        <v>6892</v>
      </c>
    </row>
    <row r="4915" spans="1:1">
      <c r="A4915" s="156" t="s">
        <v>6893</v>
      </c>
    </row>
    <row r="4916" spans="1:1">
      <c r="A4916" s="156" t="s">
        <v>6894</v>
      </c>
    </row>
    <row r="4917" spans="1:1">
      <c r="A4917" s="156" t="s">
        <v>6895</v>
      </c>
    </row>
    <row r="4918" spans="1:1">
      <c r="A4918" s="156" t="s">
        <v>6896</v>
      </c>
    </row>
    <row r="4919" spans="1:1">
      <c r="A4919" s="156" t="s">
        <v>6897</v>
      </c>
    </row>
    <row r="4920" spans="1:1">
      <c r="A4920" s="156" t="s">
        <v>6898</v>
      </c>
    </row>
    <row r="4921" spans="1:1">
      <c r="A4921" s="156" t="s">
        <v>6899</v>
      </c>
    </row>
    <row r="4922" spans="1:1">
      <c r="A4922" s="156" t="s">
        <v>6900</v>
      </c>
    </row>
    <row r="4923" spans="1:1">
      <c r="A4923" s="156" t="s">
        <v>6901</v>
      </c>
    </row>
    <row r="4924" spans="1:1">
      <c r="A4924" s="156" t="s">
        <v>6902</v>
      </c>
    </row>
    <row r="4925" spans="1:1">
      <c r="A4925" s="156" t="s">
        <v>6903</v>
      </c>
    </row>
    <row r="4926" spans="1:1">
      <c r="A4926" s="156" t="s">
        <v>6904</v>
      </c>
    </row>
    <row r="4927" spans="1:1">
      <c r="A4927" s="156" t="s">
        <v>6905</v>
      </c>
    </row>
    <row r="4928" spans="1:1">
      <c r="A4928" s="156" t="s">
        <v>6906</v>
      </c>
    </row>
    <row r="4929" spans="1:1">
      <c r="A4929" s="156" t="s">
        <v>6907</v>
      </c>
    </row>
    <row r="4930" spans="1:1">
      <c r="A4930" s="156" t="s">
        <v>6908</v>
      </c>
    </row>
    <row r="4931" spans="1:1">
      <c r="A4931" s="156" t="s">
        <v>6909</v>
      </c>
    </row>
    <row r="4932" spans="1:1">
      <c r="A4932" s="156" t="s">
        <v>6910</v>
      </c>
    </row>
    <row r="4933" spans="1:1">
      <c r="A4933" s="156" t="s">
        <v>6911</v>
      </c>
    </row>
    <row r="4934" spans="1:1">
      <c r="A4934" s="156" t="s">
        <v>6912</v>
      </c>
    </row>
    <row r="4935" spans="1:1">
      <c r="A4935" s="156" t="s">
        <v>6913</v>
      </c>
    </row>
    <row r="4936" spans="1:1">
      <c r="A4936" s="156" t="s">
        <v>6914</v>
      </c>
    </row>
    <row r="4937" spans="1:1">
      <c r="A4937" s="156" t="s">
        <v>6915</v>
      </c>
    </row>
    <row r="4938" spans="1:1">
      <c r="A4938" s="156" t="s">
        <v>6916</v>
      </c>
    </row>
    <row r="4939" spans="1:1">
      <c r="A4939" s="156" t="s">
        <v>6917</v>
      </c>
    </row>
    <row r="4940" spans="1:1">
      <c r="A4940" s="156" t="s">
        <v>6918</v>
      </c>
    </row>
    <row r="4941" spans="1:1">
      <c r="A4941" s="156" t="s">
        <v>6919</v>
      </c>
    </row>
    <row r="4942" spans="1:1">
      <c r="A4942" s="156" t="s">
        <v>6920</v>
      </c>
    </row>
    <row r="4943" spans="1:1">
      <c r="A4943" s="156" t="s">
        <v>6921</v>
      </c>
    </row>
    <row r="4944" spans="1:1">
      <c r="A4944" s="156" t="s">
        <v>6922</v>
      </c>
    </row>
    <row r="4945" spans="1:1">
      <c r="A4945" s="156" t="s">
        <v>6923</v>
      </c>
    </row>
    <row r="4946" spans="1:1">
      <c r="A4946" s="156" t="s">
        <v>6924</v>
      </c>
    </row>
    <row r="4947" spans="1:1">
      <c r="A4947" s="156" t="s">
        <v>6925</v>
      </c>
    </row>
    <row r="4948" spans="1:1">
      <c r="A4948" s="156" t="s">
        <v>6926</v>
      </c>
    </row>
    <row r="4949" spans="1:1">
      <c r="A4949" s="156" t="s">
        <v>6927</v>
      </c>
    </row>
    <row r="4950" spans="1:1">
      <c r="A4950" s="156" t="s">
        <v>6928</v>
      </c>
    </row>
    <row r="4951" spans="1:1">
      <c r="A4951" s="156" t="s">
        <v>6929</v>
      </c>
    </row>
    <row r="4952" spans="1:1">
      <c r="A4952" s="156" t="s">
        <v>6930</v>
      </c>
    </row>
    <row r="4953" spans="1:1">
      <c r="A4953" s="156" t="s">
        <v>6931</v>
      </c>
    </row>
    <row r="4954" spans="1:1">
      <c r="A4954" s="156" t="s">
        <v>6932</v>
      </c>
    </row>
    <row r="4955" spans="1:1">
      <c r="A4955" s="156" t="s">
        <v>6933</v>
      </c>
    </row>
    <row r="4956" spans="1:1">
      <c r="A4956" s="156" t="s">
        <v>6934</v>
      </c>
    </row>
    <row r="4957" spans="1:1">
      <c r="A4957" s="156" t="s">
        <v>6935</v>
      </c>
    </row>
    <row r="4958" spans="1:1">
      <c r="A4958" s="156" t="s">
        <v>6936</v>
      </c>
    </row>
    <row r="4959" spans="1:1">
      <c r="A4959" s="156" t="s">
        <v>6937</v>
      </c>
    </row>
    <row r="4960" spans="1:1">
      <c r="A4960" s="156" t="s">
        <v>6938</v>
      </c>
    </row>
    <row r="4961" spans="1:1">
      <c r="A4961" s="156" t="s">
        <v>6939</v>
      </c>
    </row>
    <row r="4962" spans="1:1">
      <c r="A4962" s="156" t="s">
        <v>6940</v>
      </c>
    </row>
    <row r="4963" spans="1:1">
      <c r="A4963" s="156" t="s">
        <v>6941</v>
      </c>
    </row>
    <row r="4964" spans="1:1">
      <c r="A4964" s="156" t="s">
        <v>6942</v>
      </c>
    </row>
    <row r="4965" spans="1:1">
      <c r="A4965" s="156" t="s">
        <v>6943</v>
      </c>
    </row>
    <row r="4966" spans="1:1">
      <c r="A4966" s="156" t="s">
        <v>6944</v>
      </c>
    </row>
    <row r="4967" spans="1:1">
      <c r="A4967" s="156" t="s">
        <v>6945</v>
      </c>
    </row>
    <row r="4968" spans="1:1">
      <c r="A4968" s="156" t="s">
        <v>6946</v>
      </c>
    </row>
    <row r="4969" spans="1:1">
      <c r="A4969" s="156" t="s">
        <v>6947</v>
      </c>
    </row>
    <row r="4970" spans="1:1">
      <c r="A4970" s="156" t="s">
        <v>6948</v>
      </c>
    </row>
    <row r="4971" spans="1:1">
      <c r="A4971" s="156" t="s">
        <v>6949</v>
      </c>
    </row>
    <row r="4972" spans="1:1">
      <c r="A4972" s="156" t="s">
        <v>6950</v>
      </c>
    </row>
    <row r="4973" spans="1:1">
      <c r="A4973" s="156" t="s">
        <v>6951</v>
      </c>
    </row>
    <row r="4974" spans="1:1">
      <c r="A4974" s="156" t="s">
        <v>6952</v>
      </c>
    </row>
    <row r="4975" spans="1:1">
      <c r="A4975" s="156" t="s">
        <v>6953</v>
      </c>
    </row>
    <row r="4976" spans="1:1">
      <c r="A4976" s="156" t="s">
        <v>6954</v>
      </c>
    </row>
    <row r="4977" spans="1:1">
      <c r="A4977" s="156" t="s">
        <v>6955</v>
      </c>
    </row>
    <row r="4978" spans="1:1">
      <c r="A4978" s="156" t="s">
        <v>6956</v>
      </c>
    </row>
    <row r="4979" spans="1:1">
      <c r="A4979" s="156" t="s">
        <v>6957</v>
      </c>
    </row>
    <row r="4980" spans="1:1">
      <c r="A4980" s="156" t="s">
        <v>6958</v>
      </c>
    </row>
    <row r="4981" spans="1:1">
      <c r="A4981" s="156" t="s">
        <v>6959</v>
      </c>
    </row>
    <row r="4982" spans="1:1">
      <c r="A4982" s="156" t="s">
        <v>6960</v>
      </c>
    </row>
    <row r="4983" spans="1:1">
      <c r="A4983" s="156" t="s">
        <v>6961</v>
      </c>
    </row>
    <row r="4984" spans="1:1">
      <c r="A4984" s="156" t="s">
        <v>6962</v>
      </c>
    </row>
    <row r="4985" spans="1:1">
      <c r="A4985" s="156" t="s">
        <v>6963</v>
      </c>
    </row>
    <row r="4986" spans="1:1">
      <c r="A4986" s="156" t="s">
        <v>6964</v>
      </c>
    </row>
    <row r="4987" spans="1:1">
      <c r="A4987" s="156" t="s">
        <v>6965</v>
      </c>
    </row>
    <row r="4988" spans="1:1">
      <c r="A4988" s="156" t="s">
        <v>6966</v>
      </c>
    </row>
    <row r="4989" spans="1:1">
      <c r="A4989" s="156" t="s">
        <v>6967</v>
      </c>
    </row>
    <row r="4990" spans="1:1">
      <c r="A4990" s="156" t="s">
        <v>6968</v>
      </c>
    </row>
    <row r="4991" spans="1:1">
      <c r="A4991" s="156" t="s">
        <v>6969</v>
      </c>
    </row>
    <row r="4992" spans="1:1">
      <c r="A4992" s="156" t="s">
        <v>6970</v>
      </c>
    </row>
    <row r="4993" spans="1:1">
      <c r="A4993" s="156" t="s">
        <v>6971</v>
      </c>
    </row>
    <row r="4994" spans="1:1">
      <c r="A4994" s="156" t="s">
        <v>6972</v>
      </c>
    </row>
    <row r="4995" spans="1:1">
      <c r="A4995" s="156" t="s">
        <v>6973</v>
      </c>
    </row>
    <row r="4996" spans="1:1">
      <c r="A4996" s="156" t="s">
        <v>6974</v>
      </c>
    </row>
    <row r="4997" spans="1:1">
      <c r="A4997" s="156" t="s">
        <v>6975</v>
      </c>
    </row>
    <row r="4998" spans="1:1">
      <c r="A4998" s="156" t="s">
        <v>6976</v>
      </c>
    </row>
    <row r="4999" spans="1:1">
      <c r="A4999" s="156" t="s">
        <v>6977</v>
      </c>
    </row>
    <row r="5000" spans="1:1">
      <c r="A5000" s="156" t="s">
        <v>6978</v>
      </c>
    </row>
    <row r="5001" spans="1:1">
      <c r="A5001" s="156" t="s">
        <v>6979</v>
      </c>
    </row>
    <row r="5002" spans="1:1">
      <c r="A5002" s="156" t="s">
        <v>6980</v>
      </c>
    </row>
    <row r="5003" spans="1:1">
      <c r="A5003" s="156" t="s">
        <v>6981</v>
      </c>
    </row>
    <row r="5004" spans="1:1">
      <c r="A5004" s="156" t="s">
        <v>6982</v>
      </c>
    </row>
    <row r="5005" spans="1:1">
      <c r="A5005" s="156" t="s">
        <v>6983</v>
      </c>
    </row>
    <row r="5006" spans="1:1">
      <c r="A5006" s="156" t="s">
        <v>6984</v>
      </c>
    </row>
    <row r="5007" spans="1:1">
      <c r="A5007" s="156" t="s">
        <v>6985</v>
      </c>
    </row>
    <row r="5008" spans="1:1">
      <c r="A5008" s="156" t="s">
        <v>6986</v>
      </c>
    </row>
    <row r="5009" spans="1:1">
      <c r="A5009" s="156" t="s">
        <v>6987</v>
      </c>
    </row>
    <row r="5010" spans="1:1">
      <c r="A5010" s="156" t="s">
        <v>6988</v>
      </c>
    </row>
    <row r="5011" spans="1:1">
      <c r="A5011" s="156" t="s">
        <v>6989</v>
      </c>
    </row>
    <row r="5012" spans="1:1">
      <c r="A5012" s="156" t="s">
        <v>6990</v>
      </c>
    </row>
    <row r="5013" spans="1:1">
      <c r="A5013" s="156" t="s">
        <v>6991</v>
      </c>
    </row>
    <row r="5014" spans="1:1">
      <c r="A5014" s="156" t="s">
        <v>6992</v>
      </c>
    </row>
    <row r="5015" spans="1:1">
      <c r="A5015" s="156" t="s">
        <v>6993</v>
      </c>
    </row>
    <row r="5016" spans="1:1">
      <c r="A5016" s="156" t="s">
        <v>6994</v>
      </c>
    </row>
    <row r="5017" spans="1:1">
      <c r="A5017" s="156" t="s">
        <v>6995</v>
      </c>
    </row>
    <row r="5018" spans="1:1">
      <c r="A5018" s="156" t="s">
        <v>6996</v>
      </c>
    </row>
    <row r="5019" spans="1:1">
      <c r="A5019" s="156" t="s">
        <v>6997</v>
      </c>
    </row>
    <row r="5020" spans="1:1">
      <c r="A5020" s="156" t="s">
        <v>6998</v>
      </c>
    </row>
    <row r="5021" spans="1:1">
      <c r="A5021" s="156" t="s">
        <v>6999</v>
      </c>
    </row>
    <row r="5022" spans="1:1">
      <c r="A5022" s="156" t="s">
        <v>7000</v>
      </c>
    </row>
    <row r="5023" spans="1:1">
      <c r="A5023" s="156" t="s">
        <v>7001</v>
      </c>
    </row>
    <row r="5024" spans="1:1">
      <c r="A5024" s="156" t="s">
        <v>7002</v>
      </c>
    </row>
    <row r="5025" spans="1:1">
      <c r="A5025" s="156" t="s">
        <v>7003</v>
      </c>
    </row>
    <row r="5026" spans="1:1">
      <c r="A5026" s="156" t="s">
        <v>7004</v>
      </c>
    </row>
    <row r="5027" spans="1:1">
      <c r="A5027" s="156" t="s">
        <v>7005</v>
      </c>
    </row>
    <row r="5028" spans="1:1">
      <c r="A5028" s="156" t="s">
        <v>7006</v>
      </c>
    </row>
    <row r="5029" spans="1:1">
      <c r="A5029" s="156" t="s">
        <v>7007</v>
      </c>
    </row>
    <row r="5030" spans="1:1">
      <c r="A5030" s="156" t="s">
        <v>7008</v>
      </c>
    </row>
    <row r="5031" spans="1:1">
      <c r="A5031" s="156" t="s">
        <v>7009</v>
      </c>
    </row>
    <row r="5032" spans="1:1">
      <c r="A5032" s="156" t="s">
        <v>7010</v>
      </c>
    </row>
    <row r="5033" spans="1:1">
      <c r="A5033" s="156" t="s">
        <v>7011</v>
      </c>
    </row>
    <row r="5034" spans="1:1">
      <c r="A5034" s="156" t="s">
        <v>7012</v>
      </c>
    </row>
    <row r="5035" spans="1:1">
      <c r="A5035" s="156" t="s">
        <v>7013</v>
      </c>
    </row>
    <row r="5036" spans="1:1">
      <c r="A5036" s="156" t="s">
        <v>7014</v>
      </c>
    </row>
    <row r="5037" spans="1:1">
      <c r="A5037" s="156" t="s">
        <v>7015</v>
      </c>
    </row>
    <row r="5038" spans="1:1">
      <c r="A5038" s="156" t="s">
        <v>7016</v>
      </c>
    </row>
    <row r="5039" spans="1:1">
      <c r="A5039" s="156" t="s">
        <v>7017</v>
      </c>
    </row>
    <row r="5040" spans="1:1">
      <c r="A5040" s="156" t="s">
        <v>7018</v>
      </c>
    </row>
    <row r="5041" spans="1:1">
      <c r="A5041" s="156" t="s">
        <v>7019</v>
      </c>
    </row>
    <row r="5042" spans="1:1">
      <c r="A5042" s="156" t="s">
        <v>7020</v>
      </c>
    </row>
    <row r="5043" spans="1:1">
      <c r="A5043" s="156" t="s">
        <v>7021</v>
      </c>
    </row>
    <row r="5044" spans="1:1">
      <c r="A5044" s="156" t="s">
        <v>7022</v>
      </c>
    </row>
    <row r="5045" spans="1:1">
      <c r="A5045" s="156" t="s">
        <v>7023</v>
      </c>
    </row>
    <row r="5046" spans="1:1">
      <c r="A5046" s="156" t="s">
        <v>7024</v>
      </c>
    </row>
    <row r="5047" spans="1:1">
      <c r="A5047" s="156" t="s">
        <v>7025</v>
      </c>
    </row>
    <row r="5048" spans="1:1">
      <c r="A5048" s="156" t="s">
        <v>7026</v>
      </c>
    </row>
    <row r="5049" spans="1:1">
      <c r="A5049" s="156" t="s">
        <v>7027</v>
      </c>
    </row>
    <row r="5050" spans="1:1">
      <c r="A5050" s="156" t="s">
        <v>7028</v>
      </c>
    </row>
    <row r="5051" spans="1:1">
      <c r="A5051" s="156" t="s">
        <v>7029</v>
      </c>
    </row>
    <row r="5052" spans="1:1">
      <c r="A5052" s="156" t="s">
        <v>7030</v>
      </c>
    </row>
    <row r="5053" spans="1:1">
      <c r="A5053" s="156" t="s">
        <v>7031</v>
      </c>
    </row>
    <row r="5054" spans="1:1">
      <c r="A5054" s="156" t="s">
        <v>7032</v>
      </c>
    </row>
    <row r="5055" spans="1:1">
      <c r="A5055" s="156" t="s">
        <v>7033</v>
      </c>
    </row>
    <row r="5056" spans="1:1">
      <c r="A5056" s="156" t="s">
        <v>7034</v>
      </c>
    </row>
    <row r="5057" spans="1:1">
      <c r="A5057" s="156" t="s">
        <v>7035</v>
      </c>
    </row>
    <row r="5058" spans="1:1">
      <c r="A5058" s="156" t="s">
        <v>7036</v>
      </c>
    </row>
    <row r="5059" spans="1:1">
      <c r="A5059" s="156" t="s">
        <v>7037</v>
      </c>
    </row>
    <row r="5060" spans="1:1">
      <c r="A5060" s="156" t="s">
        <v>7038</v>
      </c>
    </row>
    <row r="5061" spans="1:1">
      <c r="A5061" s="156" t="s">
        <v>7039</v>
      </c>
    </row>
    <row r="5062" spans="1:1">
      <c r="A5062" s="156" t="s">
        <v>7040</v>
      </c>
    </row>
    <row r="5063" spans="1:1">
      <c r="A5063" s="156" t="s">
        <v>7041</v>
      </c>
    </row>
    <row r="5064" spans="1:1">
      <c r="A5064" s="156" t="s">
        <v>7042</v>
      </c>
    </row>
    <row r="5065" spans="1:1">
      <c r="A5065" s="156" t="s">
        <v>7043</v>
      </c>
    </row>
    <row r="5066" spans="1:1">
      <c r="A5066" s="156" t="s">
        <v>7044</v>
      </c>
    </row>
    <row r="5067" spans="1:1">
      <c r="A5067" s="156" t="s">
        <v>7045</v>
      </c>
    </row>
    <row r="5068" spans="1:1">
      <c r="A5068" s="156" t="s">
        <v>7046</v>
      </c>
    </row>
    <row r="5069" spans="1:1">
      <c r="A5069" s="156" t="s">
        <v>7047</v>
      </c>
    </row>
    <row r="5070" spans="1:1">
      <c r="A5070" s="156" t="s">
        <v>7048</v>
      </c>
    </row>
    <row r="5071" spans="1:1">
      <c r="A5071" s="156" t="s">
        <v>7049</v>
      </c>
    </row>
    <row r="5072" spans="1:1">
      <c r="A5072" s="156" t="s">
        <v>7050</v>
      </c>
    </row>
    <row r="5073" spans="1:1">
      <c r="A5073" s="156" t="s">
        <v>7051</v>
      </c>
    </row>
    <row r="5074" spans="1:1">
      <c r="A5074" s="156" t="s">
        <v>7052</v>
      </c>
    </row>
    <row r="5075" spans="1:1">
      <c r="A5075" s="156" t="s">
        <v>7053</v>
      </c>
    </row>
    <row r="5076" spans="1:1">
      <c r="A5076" s="156" t="s">
        <v>7054</v>
      </c>
    </row>
    <row r="5077" spans="1:1">
      <c r="A5077" s="156" t="s">
        <v>7055</v>
      </c>
    </row>
    <row r="5078" spans="1:1">
      <c r="A5078" s="156" t="s">
        <v>7056</v>
      </c>
    </row>
    <row r="5079" spans="1:1">
      <c r="A5079" s="156" t="s">
        <v>7057</v>
      </c>
    </row>
    <row r="5080" spans="1:1">
      <c r="A5080" s="156" t="s">
        <v>7058</v>
      </c>
    </row>
    <row r="5081" spans="1:1">
      <c r="A5081" s="156" t="s">
        <v>7059</v>
      </c>
    </row>
    <row r="5082" spans="1:1">
      <c r="A5082" s="156" t="s">
        <v>7060</v>
      </c>
    </row>
    <row r="5083" spans="1:1">
      <c r="A5083" s="156" t="s">
        <v>7061</v>
      </c>
    </row>
    <row r="5084" spans="1:1">
      <c r="A5084" s="156" t="s">
        <v>7062</v>
      </c>
    </row>
    <row r="5085" spans="1:1">
      <c r="A5085" s="156" t="s">
        <v>7063</v>
      </c>
    </row>
    <row r="5086" spans="1:1">
      <c r="A5086" s="156" t="s">
        <v>7064</v>
      </c>
    </row>
    <row r="5087" spans="1:1">
      <c r="A5087" s="156" t="s">
        <v>7065</v>
      </c>
    </row>
    <row r="5088" spans="1:1">
      <c r="A5088" s="156" t="s">
        <v>7066</v>
      </c>
    </row>
    <row r="5089" spans="1:1">
      <c r="A5089" s="156" t="s">
        <v>7067</v>
      </c>
    </row>
    <row r="5090" spans="1:1">
      <c r="A5090" s="156" t="s">
        <v>7068</v>
      </c>
    </row>
    <row r="5091" spans="1:1">
      <c r="A5091" s="156" t="s">
        <v>7069</v>
      </c>
    </row>
    <row r="5092" spans="1:1">
      <c r="A5092" s="156" t="s">
        <v>7070</v>
      </c>
    </row>
    <row r="5093" spans="1:1">
      <c r="A5093" s="156" t="s">
        <v>7071</v>
      </c>
    </row>
    <row r="5094" spans="1:1">
      <c r="A5094" s="156" t="s">
        <v>7072</v>
      </c>
    </row>
    <row r="5095" spans="1:1">
      <c r="A5095" s="156" t="s">
        <v>7073</v>
      </c>
    </row>
    <row r="5096" spans="1:1">
      <c r="A5096" s="156" t="s">
        <v>7074</v>
      </c>
    </row>
    <row r="5097" spans="1:1">
      <c r="A5097" s="156" t="s">
        <v>7075</v>
      </c>
    </row>
    <row r="5098" spans="1:1">
      <c r="A5098" s="156" t="s">
        <v>7076</v>
      </c>
    </row>
    <row r="5099" spans="1:1">
      <c r="A5099" s="156" t="s">
        <v>7077</v>
      </c>
    </row>
    <row r="5100" spans="1:1">
      <c r="A5100" s="156" t="s">
        <v>7078</v>
      </c>
    </row>
    <row r="5101" spans="1:1">
      <c r="A5101" s="156" t="s">
        <v>7079</v>
      </c>
    </row>
    <row r="5102" spans="1:1">
      <c r="A5102" s="156" t="s">
        <v>7080</v>
      </c>
    </row>
    <row r="5103" spans="1:1">
      <c r="A5103" s="156" t="s">
        <v>7081</v>
      </c>
    </row>
    <row r="5104" spans="1:1">
      <c r="A5104" s="156" t="s">
        <v>7082</v>
      </c>
    </row>
    <row r="5105" spans="1:1">
      <c r="A5105" s="156" t="s">
        <v>7083</v>
      </c>
    </row>
    <row r="5106" spans="1:1">
      <c r="A5106" s="156" t="s">
        <v>7084</v>
      </c>
    </row>
    <row r="5107" spans="1:1">
      <c r="A5107" s="156" t="s">
        <v>7085</v>
      </c>
    </row>
    <row r="5108" spans="1:1">
      <c r="A5108" s="156" t="s">
        <v>7086</v>
      </c>
    </row>
    <row r="5109" spans="1:1">
      <c r="A5109" s="156" t="s">
        <v>7087</v>
      </c>
    </row>
    <row r="5110" spans="1:1">
      <c r="A5110" s="156" t="s">
        <v>7088</v>
      </c>
    </row>
    <row r="5111" spans="1:1">
      <c r="A5111" s="156" t="s">
        <v>7089</v>
      </c>
    </row>
    <row r="5112" spans="1:1">
      <c r="A5112" s="156" t="s">
        <v>7090</v>
      </c>
    </row>
    <row r="5113" spans="1:1">
      <c r="A5113" s="156" t="s">
        <v>7091</v>
      </c>
    </row>
    <row r="5114" spans="1:1">
      <c r="A5114" s="156" t="s">
        <v>7092</v>
      </c>
    </row>
    <row r="5115" spans="1:1">
      <c r="A5115" s="156" t="s">
        <v>7093</v>
      </c>
    </row>
    <row r="5116" spans="1:1">
      <c r="A5116" s="156" t="s">
        <v>7094</v>
      </c>
    </row>
    <row r="5117" spans="1:1">
      <c r="A5117" s="156" t="s">
        <v>7095</v>
      </c>
    </row>
    <row r="5118" spans="1:1">
      <c r="A5118" s="156" t="s">
        <v>7096</v>
      </c>
    </row>
    <row r="5119" spans="1:1">
      <c r="A5119" s="156" t="s">
        <v>7097</v>
      </c>
    </row>
    <row r="5120" spans="1:1">
      <c r="A5120" s="156" t="s">
        <v>7098</v>
      </c>
    </row>
    <row r="5121" spans="1:1">
      <c r="A5121" s="156" t="s">
        <v>7099</v>
      </c>
    </row>
    <row r="5122" spans="1:1">
      <c r="A5122" s="156" t="s">
        <v>7100</v>
      </c>
    </row>
    <row r="5123" spans="1:1">
      <c r="A5123" s="156" t="s">
        <v>7101</v>
      </c>
    </row>
    <row r="5124" spans="1:1">
      <c r="A5124" s="156" t="s">
        <v>7102</v>
      </c>
    </row>
    <row r="5125" spans="1:1">
      <c r="A5125" s="156" t="s">
        <v>7103</v>
      </c>
    </row>
    <row r="5126" spans="1:1">
      <c r="A5126" s="156" t="s">
        <v>7104</v>
      </c>
    </row>
    <row r="5127" spans="1:1">
      <c r="A5127" s="156" t="s">
        <v>7105</v>
      </c>
    </row>
    <row r="5128" spans="1:1">
      <c r="A5128" s="156" t="s">
        <v>7106</v>
      </c>
    </row>
    <row r="5129" spans="1:1">
      <c r="A5129" s="156" t="s">
        <v>7107</v>
      </c>
    </row>
    <row r="5130" spans="1:1">
      <c r="A5130" s="156" t="s">
        <v>7108</v>
      </c>
    </row>
    <row r="5131" spans="1:1">
      <c r="A5131" s="156" t="s">
        <v>7109</v>
      </c>
    </row>
    <row r="5132" spans="1:1">
      <c r="A5132" s="156" t="s">
        <v>7110</v>
      </c>
    </row>
    <row r="5133" spans="1:1">
      <c r="A5133" s="156" t="s">
        <v>7111</v>
      </c>
    </row>
    <row r="5134" spans="1:1">
      <c r="A5134" s="156" t="s">
        <v>7112</v>
      </c>
    </row>
    <row r="5135" spans="1:1">
      <c r="A5135" s="156" t="s">
        <v>7113</v>
      </c>
    </row>
    <row r="5136" spans="1:1">
      <c r="A5136" s="156" t="s">
        <v>7114</v>
      </c>
    </row>
    <row r="5137" spans="1:1">
      <c r="A5137" s="156" t="s">
        <v>7115</v>
      </c>
    </row>
    <row r="5138" spans="1:1">
      <c r="A5138" s="156" t="s">
        <v>7116</v>
      </c>
    </row>
    <row r="5139" spans="1:1">
      <c r="A5139" s="156" t="s">
        <v>7117</v>
      </c>
    </row>
    <row r="5140" spans="1:1">
      <c r="A5140" s="156" t="s">
        <v>7118</v>
      </c>
    </row>
    <row r="5141" spans="1:1">
      <c r="A5141" s="156" t="s">
        <v>7119</v>
      </c>
    </row>
    <row r="5142" spans="1:1">
      <c r="A5142" s="156" t="s">
        <v>7120</v>
      </c>
    </row>
    <row r="5143" spans="1:1">
      <c r="A5143" s="156" t="s">
        <v>7121</v>
      </c>
    </row>
    <row r="5144" spans="1:1">
      <c r="A5144" s="156" t="s">
        <v>7122</v>
      </c>
    </row>
    <row r="5145" spans="1:1">
      <c r="A5145" s="156" t="s">
        <v>7123</v>
      </c>
    </row>
    <row r="5146" spans="1:1">
      <c r="A5146" s="156" t="s">
        <v>7124</v>
      </c>
    </row>
    <row r="5147" spans="1:1">
      <c r="A5147" s="156" t="s">
        <v>7125</v>
      </c>
    </row>
    <row r="5148" spans="1:1">
      <c r="A5148" s="156" t="s">
        <v>7126</v>
      </c>
    </row>
    <row r="5149" spans="1:1">
      <c r="A5149" s="156" t="s">
        <v>7127</v>
      </c>
    </row>
    <row r="5150" spans="1:1">
      <c r="A5150" s="156" t="s">
        <v>7128</v>
      </c>
    </row>
    <row r="5151" spans="1:1">
      <c r="A5151" s="156" t="s">
        <v>7129</v>
      </c>
    </row>
    <row r="5152" spans="1:1">
      <c r="A5152" s="156" t="s">
        <v>7130</v>
      </c>
    </row>
    <row r="5153" spans="1:1">
      <c r="A5153" s="156" t="s">
        <v>7131</v>
      </c>
    </row>
    <row r="5154" spans="1:1">
      <c r="A5154" s="156" t="s">
        <v>7132</v>
      </c>
    </row>
    <row r="5155" spans="1:1">
      <c r="A5155" s="156" t="s">
        <v>7133</v>
      </c>
    </row>
    <row r="5156" spans="1:1">
      <c r="A5156" s="156" t="s">
        <v>7134</v>
      </c>
    </row>
    <row r="5157" spans="1:1">
      <c r="A5157" s="156" t="s">
        <v>7135</v>
      </c>
    </row>
    <row r="5158" spans="1:1">
      <c r="A5158" s="156" t="s">
        <v>7136</v>
      </c>
    </row>
    <row r="5159" spans="1:1">
      <c r="A5159" s="156" t="s">
        <v>7137</v>
      </c>
    </row>
    <row r="5160" spans="1:1">
      <c r="A5160" s="156" t="s">
        <v>7138</v>
      </c>
    </row>
    <row r="5161" spans="1:1">
      <c r="A5161" s="156" t="s">
        <v>7139</v>
      </c>
    </row>
    <row r="5162" spans="1:1">
      <c r="A5162" s="156" t="s">
        <v>7140</v>
      </c>
    </row>
    <row r="5163" spans="1:1">
      <c r="A5163" s="156" t="s">
        <v>7141</v>
      </c>
    </row>
    <row r="5164" spans="1:1">
      <c r="A5164" s="156" t="s">
        <v>7142</v>
      </c>
    </row>
    <row r="5165" spans="1:1">
      <c r="A5165" s="156" t="s">
        <v>7143</v>
      </c>
    </row>
    <row r="5166" spans="1:1">
      <c r="A5166" s="156" t="s">
        <v>7144</v>
      </c>
    </row>
    <row r="5167" spans="1:1">
      <c r="A5167" s="156" t="s">
        <v>7145</v>
      </c>
    </row>
    <row r="5168" spans="1:1">
      <c r="A5168" s="156" t="s">
        <v>7146</v>
      </c>
    </row>
    <row r="5169" spans="1:1">
      <c r="A5169" s="156" t="s">
        <v>7147</v>
      </c>
    </row>
    <row r="5170" spans="1:1">
      <c r="A5170" s="156" t="s">
        <v>7148</v>
      </c>
    </row>
    <row r="5171" spans="1:1">
      <c r="A5171" s="156" t="s">
        <v>7149</v>
      </c>
    </row>
    <row r="5172" spans="1:1">
      <c r="A5172" s="156" t="s">
        <v>7150</v>
      </c>
    </row>
    <row r="5173" spans="1:1">
      <c r="A5173" s="156" t="s">
        <v>7151</v>
      </c>
    </row>
    <row r="5174" spans="1:1">
      <c r="A5174" s="156" t="s">
        <v>7152</v>
      </c>
    </row>
    <row r="5175" spans="1:1">
      <c r="A5175" s="156" t="s">
        <v>7153</v>
      </c>
    </row>
    <row r="5176" spans="1:1">
      <c r="A5176" s="156" t="s">
        <v>7154</v>
      </c>
    </row>
    <row r="5177" spans="1:1">
      <c r="A5177" s="156" t="s">
        <v>7155</v>
      </c>
    </row>
    <row r="5178" spans="1:1">
      <c r="A5178" s="156" t="s">
        <v>7156</v>
      </c>
    </row>
    <row r="5179" spans="1:1">
      <c r="A5179" s="156" t="s">
        <v>7157</v>
      </c>
    </row>
    <row r="5180" spans="1:1">
      <c r="A5180" s="156" t="s">
        <v>7158</v>
      </c>
    </row>
    <row r="5181" spans="1:1">
      <c r="A5181" s="156" t="s">
        <v>7159</v>
      </c>
    </row>
    <row r="5182" spans="1:1">
      <c r="A5182" s="156" t="s">
        <v>7160</v>
      </c>
    </row>
    <row r="5183" spans="1:1">
      <c r="A5183" s="156" t="s">
        <v>7161</v>
      </c>
    </row>
    <row r="5184" spans="1:1">
      <c r="A5184" s="156" t="s">
        <v>7162</v>
      </c>
    </row>
    <row r="5185" spans="1:1">
      <c r="A5185" s="156" t="s">
        <v>7163</v>
      </c>
    </row>
    <row r="5186" spans="1:1">
      <c r="A5186" s="156" t="s">
        <v>7164</v>
      </c>
    </row>
    <row r="5187" spans="1:1">
      <c r="A5187" s="156" t="s">
        <v>7165</v>
      </c>
    </row>
    <row r="5188" spans="1:1">
      <c r="A5188" s="156" t="s">
        <v>7166</v>
      </c>
    </row>
    <row r="5189" spans="1:1">
      <c r="A5189" s="156" t="s">
        <v>7167</v>
      </c>
    </row>
    <row r="5190" spans="1:1">
      <c r="A5190" s="156" t="s">
        <v>7168</v>
      </c>
    </row>
    <row r="5191" spans="1:1">
      <c r="A5191" s="156" t="s">
        <v>7169</v>
      </c>
    </row>
    <row r="5192" spans="1:1">
      <c r="A5192" s="156" t="s">
        <v>7170</v>
      </c>
    </row>
    <row r="5193" spans="1:1">
      <c r="A5193" s="156" t="s">
        <v>7171</v>
      </c>
    </row>
    <row r="5194" spans="1:1">
      <c r="A5194" s="156" t="s">
        <v>7172</v>
      </c>
    </row>
    <row r="5195" spans="1:1">
      <c r="A5195" s="156" t="s">
        <v>7173</v>
      </c>
    </row>
    <row r="5196" spans="1:1">
      <c r="A5196" s="156" t="s">
        <v>7174</v>
      </c>
    </row>
    <row r="5197" spans="1:1">
      <c r="A5197" s="156" t="s">
        <v>7175</v>
      </c>
    </row>
    <row r="5198" spans="1:1">
      <c r="A5198" s="156" t="s">
        <v>7176</v>
      </c>
    </row>
    <row r="5199" spans="1:1">
      <c r="A5199" s="156" t="s">
        <v>7177</v>
      </c>
    </row>
    <row r="5200" spans="1:1">
      <c r="A5200" s="156" t="s">
        <v>7178</v>
      </c>
    </row>
    <row r="5201" spans="1:1">
      <c r="A5201" s="156" t="s">
        <v>7179</v>
      </c>
    </row>
    <row r="5202" spans="1:1">
      <c r="A5202" s="156" t="s">
        <v>7180</v>
      </c>
    </row>
    <row r="5203" spans="1:1">
      <c r="A5203" s="156" t="s">
        <v>7181</v>
      </c>
    </row>
    <row r="5204" spans="1:1">
      <c r="A5204" s="156" t="s">
        <v>7182</v>
      </c>
    </row>
    <row r="5205" spans="1:1">
      <c r="A5205" s="156" t="s">
        <v>7183</v>
      </c>
    </row>
    <row r="5206" spans="1:1">
      <c r="A5206" s="156" t="s">
        <v>7184</v>
      </c>
    </row>
    <row r="5207" spans="1:1">
      <c r="A5207" s="156" t="s">
        <v>7185</v>
      </c>
    </row>
    <row r="5208" spans="1:1">
      <c r="A5208" s="156" t="s">
        <v>7186</v>
      </c>
    </row>
    <row r="5209" spans="1:1">
      <c r="A5209" s="156" t="s">
        <v>7187</v>
      </c>
    </row>
    <row r="5210" spans="1:1">
      <c r="A5210" s="156" t="s">
        <v>7188</v>
      </c>
    </row>
    <row r="5211" spans="1:1">
      <c r="A5211" s="156" t="s">
        <v>7189</v>
      </c>
    </row>
    <row r="5212" spans="1:1">
      <c r="A5212" s="156" t="s">
        <v>7190</v>
      </c>
    </row>
    <row r="5213" spans="1:1">
      <c r="A5213" s="156" t="s">
        <v>7191</v>
      </c>
    </row>
    <row r="5214" spans="1:1">
      <c r="A5214" s="156" t="s">
        <v>7192</v>
      </c>
    </row>
    <row r="5215" spans="1:1">
      <c r="A5215" s="156" t="s">
        <v>7193</v>
      </c>
    </row>
    <row r="5216" spans="1:1">
      <c r="A5216" s="156" t="s">
        <v>7194</v>
      </c>
    </row>
    <row r="5217" spans="1:1">
      <c r="A5217" s="156" t="s">
        <v>7195</v>
      </c>
    </row>
    <row r="5218" spans="1:1">
      <c r="A5218" s="156" t="s">
        <v>7196</v>
      </c>
    </row>
    <row r="5219" spans="1:1">
      <c r="A5219" s="156" t="s">
        <v>7197</v>
      </c>
    </row>
    <row r="5220" spans="1:1">
      <c r="A5220" s="156" t="s">
        <v>7198</v>
      </c>
    </row>
    <row r="5221" spans="1:1">
      <c r="A5221" s="156" t="s">
        <v>7199</v>
      </c>
    </row>
    <row r="5222" spans="1:1">
      <c r="A5222" s="156" t="s">
        <v>7200</v>
      </c>
    </row>
    <row r="5223" spans="1:1">
      <c r="A5223" s="156" t="s">
        <v>7201</v>
      </c>
    </row>
    <row r="5224" spans="1:1">
      <c r="A5224" s="156" t="s">
        <v>7202</v>
      </c>
    </row>
    <row r="5225" spans="1:1">
      <c r="A5225" s="156" t="s">
        <v>7203</v>
      </c>
    </row>
    <row r="5226" spans="1:1">
      <c r="A5226" s="156" t="s">
        <v>7204</v>
      </c>
    </row>
    <row r="5227" spans="1:1">
      <c r="A5227" s="156" t="s">
        <v>7205</v>
      </c>
    </row>
    <row r="5228" spans="1:1">
      <c r="A5228" s="156" t="s">
        <v>7206</v>
      </c>
    </row>
    <row r="5229" spans="1:1">
      <c r="A5229" s="156" t="s">
        <v>7207</v>
      </c>
    </row>
    <row r="5230" spans="1:1">
      <c r="A5230" s="156" t="s">
        <v>7208</v>
      </c>
    </row>
    <row r="5231" spans="1:1">
      <c r="A5231" s="156" t="s">
        <v>7209</v>
      </c>
    </row>
    <row r="5232" spans="1:1">
      <c r="A5232" s="156" t="s">
        <v>7210</v>
      </c>
    </row>
    <row r="5233" spans="1:1">
      <c r="A5233" s="156" t="s">
        <v>7211</v>
      </c>
    </row>
    <row r="5234" spans="1:1">
      <c r="A5234" s="156" t="s">
        <v>7212</v>
      </c>
    </row>
    <row r="5235" spans="1:1">
      <c r="A5235" s="156" t="s">
        <v>7213</v>
      </c>
    </row>
    <row r="5236" spans="1:1">
      <c r="A5236" s="156" t="s">
        <v>7214</v>
      </c>
    </row>
    <row r="5237" spans="1:1">
      <c r="A5237" s="156" t="s">
        <v>7215</v>
      </c>
    </row>
    <row r="5238" spans="1:1">
      <c r="A5238" s="156" t="s">
        <v>7216</v>
      </c>
    </row>
    <row r="5239" spans="1:1">
      <c r="A5239" s="156" t="s">
        <v>7217</v>
      </c>
    </row>
    <row r="5240" spans="1:1">
      <c r="A5240" s="156" t="s">
        <v>7218</v>
      </c>
    </row>
    <row r="5241" spans="1:1">
      <c r="A5241" s="156" t="s">
        <v>7219</v>
      </c>
    </row>
    <row r="5242" spans="1:1">
      <c r="A5242" s="156" t="s">
        <v>7220</v>
      </c>
    </row>
    <row r="5243" spans="1:1">
      <c r="A5243" s="156" t="s">
        <v>7221</v>
      </c>
    </row>
    <row r="5244" spans="1:1">
      <c r="A5244" s="156" t="s">
        <v>7222</v>
      </c>
    </row>
    <row r="5245" spans="1:1">
      <c r="A5245" s="156" t="s">
        <v>7223</v>
      </c>
    </row>
    <row r="5246" spans="1:1">
      <c r="A5246" s="156" t="s">
        <v>7224</v>
      </c>
    </row>
    <row r="5247" spans="1:1">
      <c r="A5247" s="156" t="s">
        <v>7225</v>
      </c>
    </row>
    <row r="5248" spans="1:1">
      <c r="A5248" s="156" t="s">
        <v>7226</v>
      </c>
    </row>
    <row r="5249" spans="1:1">
      <c r="A5249" s="156" t="s">
        <v>7227</v>
      </c>
    </row>
    <row r="5250" spans="1:1">
      <c r="A5250" s="156" t="s">
        <v>7228</v>
      </c>
    </row>
    <row r="5251" spans="1:1">
      <c r="A5251" s="156" t="s">
        <v>7229</v>
      </c>
    </row>
    <row r="5252" spans="1:1">
      <c r="A5252" s="156" t="s">
        <v>7230</v>
      </c>
    </row>
    <row r="5253" spans="1:1">
      <c r="A5253" s="156" t="s">
        <v>7231</v>
      </c>
    </row>
    <row r="5254" spans="1:1">
      <c r="A5254" s="156" t="s">
        <v>7232</v>
      </c>
    </row>
    <row r="5255" spans="1:1">
      <c r="A5255" s="156" t="s">
        <v>7233</v>
      </c>
    </row>
    <row r="5256" spans="1:1">
      <c r="A5256" s="156" t="s">
        <v>7234</v>
      </c>
    </row>
    <row r="5257" spans="1:1">
      <c r="A5257" s="156" t="s">
        <v>7235</v>
      </c>
    </row>
    <row r="5258" spans="1:1">
      <c r="A5258" s="156" t="s">
        <v>7236</v>
      </c>
    </row>
    <row r="5259" spans="1:1">
      <c r="A5259" s="156" t="s">
        <v>7237</v>
      </c>
    </row>
    <row r="5260" spans="1:1">
      <c r="A5260" s="156" t="s">
        <v>7238</v>
      </c>
    </row>
    <row r="5261" spans="1:1">
      <c r="A5261" s="156" t="s">
        <v>7239</v>
      </c>
    </row>
    <row r="5262" spans="1:1">
      <c r="A5262" s="156" t="s">
        <v>7240</v>
      </c>
    </row>
    <row r="5263" spans="1:1">
      <c r="A5263" s="156" t="s">
        <v>7241</v>
      </c>
    </row>
    <row r="5264" spans="1:1">
      <c r="A5264" s="156" t="s">
        <v>7242</v>
      </c>
    </row>
    <row r="5265" spans="1:1">
      <c r="A5265" s="156" t="s">
        <v>7243</v>
      </c>
    </row>
    <row r="5266" spans="1:1">
      <c r="A5266" s="156" t="s">
        <v>7244</v>
      </c>
    </row>
    <row r="5267" spans="1:1">
      <c r="A5267" s="156" t="s">
        <v>7245</v>
      </c>
    </row>
    <row r="5268" spans="1:1">
      <c r="A5268" s="156" t="s">
        <v>7246</v>
      </c>
    </row>
    <row r="5269" spans="1:1">
      <c r="A5269" s="156" t="s">
        <v>7247</v>
      </c>
    </row>
    <row r="5270" spans="1:1">
      <c r="A5270" s="156" t="s">
        <v>7248</v>
      </c>
    </row>
    <row r="5271" spans="1:1">
      <c r="A5271" s="156" t="s">
        <v>7249</v>
      </c>
    </row>
    <row r="5272" spans="1:1">
      <c r="A5272" s="156" t="s">
        <v>7250</v>
      </c>
    </row>
    <row r="5273" spans="1:1">
      <c r="A5273" s="156" t="s">
        <v>7251</v>
      </c>
    </row>
    <row r="5274" spans="1:1">
      <c r="A5274" s="156" t="s">
        <v>7252</v>
      </c>
    </row>
    <row r="5275" spans="1:1">
      <c r="A5275" s="156" t="s">
        <v>7253</v>
      </c>
    </row>
    <row r="5276" spans="1:1">
      <c r="A5276" s="156" t="s">
        <v>7254</v>
      </c>
    </row>
    <row r="5277" spans="1:1">
      <c r="A5277" s="156" t="s">
        <v>7255</v>
      </c>
    </row>
    <row r="5278" spans="1:1">
      <c r="A5278" s="156" t="s">
        <v>7256</v>
      </c>
    </row>
    <row r="5279" spans="1:1">
      <c r="A5279" s="156" t="s">
        <v>7257</v>
      </c>
    </row>
    <row r="5280" spans="1:1">
      <c r="A5280" s="156" t="s">
        <v>7258</v>
      </c>
    </row>
    <row r="5281" spans="1:1">
      <c r="A5281" s="156" t="s">
        <v>7259</v>
      </c>
    </row>
    <row r="5282" spans="1:1">
      <c r="A5282" s="156" t="s">
        <v>7260</v>
      </c>
    </row>
    <row r="5283" spans="1:1">
      <c r="A5283" s="156" t="s">
        <v>7261</v>
      </c>
    </row>
    <row r="5284" spans="1:1">
      <c r="A5284" s="156" t="s">
        <v>7262</v>
      </c>
    </row>
    <row r="5285" spans="1:1">
      <c r="A5285" s="156" t="s">
        <v>7263</v>
      </c>
    </row>
    <row r="5286" spans="1:1">
      <c r="A5286" s="156" t="s">
        <v>7264</v>
      </c>
    </row>
    <row r="5287" spans="1:1">
      <c r="A5287" s="156" t="s">
        <v>7265</v>
      </c>
    </row>
    <row r="5288" spans="1:1">
      <c r="A5288" s="156" t="s">
        <v>7266</v>
      </c>
    </row>
    <row r="5289" spans="1:1">
      <c r="A5289" s="156" t="s">
        <v>7267</v>
      </c>
    </row>
    <row r="5290" spans="1:1">
      <c r="A5290" s="156" t="s">
        <v>7268</v>
      </c>
    </row>
    <row r="5291" spans="1:1">
      <c r="A5291" s="156" t="s">
        <v>7269</v>
      </c>
    </row>
    <row r="5292" spans="1:1">
      <c r="A5292" s="156" t="s">
        <v>7270</v>
      </c>
    </row>
    <row r="5293" spans="1:1">
      <c r="A5293" s="156" t="s">
        <v>7271</v>
      </c>
    </row>
    <row r="5294" spans="1:1">
      <c r="A5294" s="156" t="s">
        <v>7272</v>
      </c>
    </row>
    <row r="5295" spans="1:1">
      <c r="A5295" s="156" t="s">
        <v>7273</v>
      </c>
    </row>
    <row r="5296" spans="1:1">
      <c r="A5296" s="156" t="s">
        <v>7274</v>
      </c>
    </row>
    <row r="5297" spans="1:1">
      <c r="A5297" s="156" t="s">
        <v>7275</v>
      </c>
    </row>
    <row r="5298" spans="1:1">
      <c r="A5298" s="156" t="s">
        <v>7276</v>
      </c>
    </row>
    <row r="5299" spans="1:1">
      <c r="A5299" s="156" t="s">
        <v>7277</v>
      </c>
    </row>
    <row r="5300" spans="1:1">
      <c r="A5300" s="156" t="s">
        <v>7278</v>
      </c>
    </row>
    <row r="5301" spans="1:1">
      <c r="A5301" s="156" t="s">
        <v>7279</v>
      </c>
    </row>
    <row r="5302" spans="1:1">
      <c r="A5302" s="156" t="s">
        <v>7280</v>
      </c>
    </row>
    <row r="5303" spans="1:1">
      <c r="A5303" s="156" t="s">
        <v>7281</v>
      </c>
    </row>
    <row r="5304" spans="1:1">
      <c r="A5304" s="156" t="s">
        <v>7282</v>
      </c>
    </row>
    <row r="5305" spans="1:1">
      <c r="A5305" s="156" t="s">
        <v>7283</v>
      </c>
    </row>
    <row r="5306" spans="1:1">
      <c r="A5306" s="156" t="s">
        <v>7284</v>
      </c>
    </row>
    <row r="5307" spans="1:1">
      <c r="A5307" s="156" t="s">
        <v>7285</v>
      </c>
    </row>
    <row r="5308" spans="1:1">
      <c r="A5308" s="156" t="s">
        <v>7286</v>
      </c>
    </row>
    <row r="5309" spans="1:1">
      <c r="A5309" s="156" t="s">
        <v>7287</v>
      </c>
    </row>
    <row r="5310" spans="1:1">
      <c r="A5310" s="156" t="s">
        <v>7288</v>
      </c>
    </row>
    <row r="5311" spans="1:1">
      <c r="A5311" s="156" t="s">
        <v>7289</v>
      </c>
    </row>
    <row r="5312" spans="1:1">
      <c r="A5312" s="156" t="s">
        <v>7290</v>
      </c>
    </row>
    <row r="5313" spans="1:1">
      <c r="A5313" s="156" t="s">
        <v>7291</v>
      </c>
    </row>
    <row r="5314" spans="1:1">
      <c r="A5314" s="156" t="s">
        <v>7292</v>
      </c>
    </row>
    <row r="5315" spans="1:1">
      <c r="A5315" s="156" t="s">
        <v>7293</v>
      </c>
    </row>
    <row r="5316" spans="1:1">
      <c r="A5316" s="156" t="s">
        <v>7294</v>
      </c>
    </row>
    <row r="5317" spans="1:1">
      <c r="A5317" s="156" t="s">
        <v>7295</v>
      </c>
    </row>
    <row r="5318" spans="1:1">
      <c r="A5318" s="156" t="s">
        <v>7296</v>
      </c>
    </row>
    <row r="5319" spans="1:1">
      <c r="A5319" s="156" t="s">
        <v>7297</v>
      </c>
    </row>
    <row r="5320" spans="1:1">
      <c r="A5320" s="156" t="s">
        <v>7298</v>
      </c>
    </row>
    <row r="5321" spans="1:1">
      <c r="A5321" s="156" t="s">
        <v>7299</v>
      </c>
    </row>
    <row r="5322" spans="1:1">
      <c r="A5322" s="156" t="s">
        <v>7300</v>
      </c>
    </row>
    <row r="5323" spans="1:1">
      <c r="A5323" s="156" t="s">
        <v>7301</v>
      </c>
    </row>
    <row r="5324" spans="1:1">
      <c r="A5324" s="156" t="s">
        <v>7302</v>
      </c>
    </row>
    <row r="5325" spans="1:1">
      <c r="A5325" s="156" t="s">
        <v>7303</v>
      </c>
    </row>
    <row r="5326" spans="1:1">
      <c r="A5326" s="156" t="s">
        <v>7304</v>
      </c>
    </row>
    <row r="5327" spans="1:1">
      <c r="A5327" s="156" t="s">
        <v>7305</v>
      </c>
    </row>
    <row r="5328" spans="1:1">
      <c r="A5328" s="156" t="s">
        <v>7306</v>
      </c>
    </row>
    <row r="5329" spans="1:1">
      <c r="A5329" s="156" t="s">
        <v>7307</v>
      </c>
    </row>
    <row r="5330" spans="1:1">
      <c r="A5330" s="156" t="s">
        <v>7308</v>
      </c>
    </row>
    <row r="5331" spans="1:1">
      <c r="A5331" s="156" t="s">
        <v>7309</v>
      </c>
    </row>
    <row r="5332" spans="1:1">
      <c r="A5332" s="156" t="s">
        <v>7310</v>
      </c>
    </row>
    <row r="5333" spans="1:1">
      <c r="A5333" s="156" t="s">
        <v>7311</v>
      </c>
    </row>
    <row r="5334" spans="1:1">
      <c r="A5334" s="156" t="s">
        <v>7312</v>
      </c>
    </row>
    <row r="5335" spans="1:1">
      <c r="A5335" s="156" t="s">
        <v>7313</v>
      </c>
    </row>
    <row r="5336" spans="1:1">
      <c r="A5336" s="156" t="s">
        <v>7314</v>
      </c>
    </row>
    <row r="5337" spans="1:1">
      <c r="A5337" s="156" t="s">
        <v>7315</v>
      </c>
    </row>
    <row r="5338" spans="1:1">
      <c r="A5338" s="156" t="s">
        <v>7316</v>
      </c>
    </row>
    <row r="5339" spans="1:1">
      <c r="A5339" s="156" t="s">
        <v>7317</v>
      </c>
    </row>
    <row r="5340" spans="1:1">
      <c r="A5340" s="156" t="s">
        <v>7318</v>
      </c>
    </row>
    <row r="5341" spans="1:1">
      <c r="A5341" s="156" t="s">
        <v>7319</v>
      </c>
    </row>
    <row r="5342" spans="1:1">
      <c r="A5342" s="156" t="s">
        <v>7320</v>
      </c>
    </row>
    <row r="5343" spans="1:1">
      <c r="A5343" s="156" t="s">
        <v>7321</v>
      </c>
    </row>
    <row r="5344" spans="1:1">
      <c r="A5344" s="156" t="s">
        <v>7322</v>
      </c>
    </row>
    <row r="5345" spans="1:1">
      <c r="A5345" s="156" t="s">
        <v>7323</v>
      </c>
    </row>
    <row r="5346" spans="1:1">
      <c r="A5346" s="156" t="s">
        <v>7324</v>
      </c>
    </row>
    <row r="5347" spans="1:1">
      <c r="A5347" s="156" t="s">
        <v>7325</v>
      </c>
    </row>
    <row r="5348" spans="1:1">
      <c r="A5348" s="156" t="s">
        <v>7326</v>
      </c>
    </row>
    <row r="5349" spans="1:1">
      <c r="A5349" s="156" t="s">
        <v>7327</v>
      </c>
    </row>
    <row r="5350" spans="1:1">
      <c r="A5350" s="156" t="s">
        <v>7328</v>
      </c>
    </row>
    <row r="5351" spans="1:1">
      <c r="A5351" s="156" t="s">
        <v>7329</v>
      </c>
    </row>
    <row r="5352" spans="1:1">
      <c r="A5352" s="156" t="s">
        <v>7330</v>
      </c>
    </row>
    <row r="5353" spans="1:1">
      <c r="A5353" s="156" t="s">
        <v>7331</v>
      </c>
    </row>
    <row r="5354" spans="1:1">
      <c r="A5354" s="156" t="s">
        <v>7332</v>
      </c>
    </row>
    <row r="5355" spans="1:1">
      <c r="A5355" s="156" t="s">
        <v>7333</v>
      </c>
    </row>
    <row r="5356" spans="1:1">
      <c r="A5356" s="156" t="s">
        <v>7334</v>
      </c>
    </row>
    <row r="5357" spans="1:1">
      <c r="A5357" s="156" t="s">
        <v>7335</v>
      </c>
    </row>
    <row r="5358" spans="1:1">
      <c r="A5358" s="156" t="s">
        <v>7336</v>
      </c>
    </row>
    <row r="5359" spans="1:1">
      <c r="A5359" s="156" t="s">
        <v>7337</v>
      </c>
    </row>
    <row r="5360" spans="1:1">
      <c r="A5360" s="156" t="s">
        <v>7338</v>
      </c>
    </row>
    <row r="5361" spans="1:1">
      <c r="A5361" s="156" t="s">
        <v>7339</v>
      </c>
    </row>
    <row r="5362" spans="1:1">
      <c r="A5362" s="156" t="s">
        <v>7340</v>
      </c>
    </row>
    <row r="5363" spans="1:1">
      <c r="A5363" s="156" t="s">
        <v>7341</v>
      </c>
    </row>
    <row r="5364" spans="1:1">
      <c r="A5364" s="156" t="s">
        <v>7342</v>
      </c>
    </row>
    <row r="5365" spans="1:1">
      <c r="A5365" s="156" t="s">
        <v>7343</v>
      </c>
    </row>
    <row r="5366" spans="1:1">
      <c r="A5366" s="156" t="s">
        <v>7344</v>
      </c>
    </row>
    <row r="5367" spans="1:1">
      <c r="A5367" s="156" t="s">
        <v>7345</v>
      </c>
    </row>
    <row r="5368" spans="1:1">
      <c r="A5368" s="156" t="s">
        <v>7346</v>
      </c>
    </row>
    <row r="5369" spans="1:1">
      <c r="A5369" s="156" t="s">
        <v>7347</v>
      </c>
    </row>
    <row r="5370" spans="1:1">
      <c r="A5370" s="156" t="s">
        <v>7348</v>
      </c>
    </row>
    <row r="5371" spans="1:1">
      <c r="A5371" s="156" t="s">
        <v>7349</v>
      </c>
    </row>
    <row r="5372" spans="1:1">
      <c r="A5372" s="156" t="s">
        <v>7350</v>
      </c>
    </row>
    <row r="5373" spans="1:1">
      <c r="A5373" s="156" t="s">
        <v>7351</v>
      </c>
    </row>
    <row r="5374" spans="1:1">
      <c r="A5374" s="156" t="s">
        <v>7352</v>
      </c>
    </row>
    <row r="5375" spans="1:1">
      <c r="A5375" s="156" t="s">
        <v>7353</v>
      </c>
    </row>
    <row r="5376" spans="1:1">
      <c r="A5376" s="156" t="s">
        <v>7354</v>
      </c>
    </row>
    <row r="5377" spans="1:1">
      <c r="A5377" s="156" t="s">
        <v>7355</v>
      </c>
    </row>
    <row r="5378" spans="1:1">
      <c r="A5378" s="156" t="s">
        <v>7356</v>
      </c>
    </row>
    <row r="5379" spans="1:1">
      <c r="A5379" s="156" t="s">
        <v>7357</v>
      </c>
    </row>
    <row r="5380" spans="1:1">
      <c r="A5380" s="156" t="s">
        <v>7358</v>
      </c>
    </row>
    <row r="5381" spans="1:1">
      <c r="A5381" s="156" t="s">
        <v>7359</v>
      </c>
    </row>
    <row r="5382" spans="1:1">
      <c r="A5382" s="156" t="s">
        <v>7360</v>
      </c>
    </row>
    <row r="5383" spans="1:1">
      <c r="A5383" s="156" t="s">
        <v>7361</v>
      </c>
    </row>
    <row r="5384" spans="1:1">
      <c r="A5384" s="156" t="s">
        <v>7362</v>
      </c>
    </row>
    <row r="5385" spans="1:1">
      <c r="A5385" s="156" t="s">
        <v>7363</v>
      </c>
    </row>
    <row r="5386" spans="1:1">
      <c r="A5386" s="156" t="s">
        <v>7364</v>
      </c>
    </row>
    <row r="5387" spans="1:1">
      <c r="A5387" s="156" t="s">
        <v>7365</v>
      </c>
    </row>
    <row r="5388" spans="1:1">
      <c r="A5388" s="156" t="s">
        <v>7366</v>
      </c>
    </row>
    <row r="5389" spans="1:1">
      <c r="A5389" s="156" t="s">
        <v>7367</v>
      </c>
    </row>
    <row r="5390" spans="1:1">
      <c r="A5390" s="156" t="s">
        <v>7368</v>
      </c>
    </row>
    <row r="5391" spans="1:1">
      <c r="A5391" s="156" t="s">
        <v>7369</v>
      </c>
    </row>
    <row r="5392" spans="1:1">
      <c r="A5392" s="156" t="s">
        <v>7370</v>
      </c>
    </row>
    <row r="5393" spans="1:1">
      <c r="A5393" s="156" t="s">
        <v>7371</v>
      </c>
    </row>
    <row r="5394" spans="1:1">
      <c r="A5394" s="156" t="s">
        <v>7372</v>
      </c>
    </row>
    <row r="5395" spans="1:1">
      <c r="A5395" s="156" t="s">
        <v>7373</v>
      </c>
    </row>
    <row r="5396" spans="1:1">
      <c r="A5396" s="156" t="s">
        <v>7374</v>
      </c>
    </row>
    <row r="5397" spans="1:1">
      <c r="A5397" s="156" t="s">
        <v>7375</v>
      </c>
    </row>
    <row r="5398" spans="1:1">
      <c r="A5398" s="156" t="s">
        <v>7376</v>
      </c>
    </row>
    <row r="5399" spans="1:1">
      <c r="A5399" s="156" t="s">
        <v>7377</v>
      </c>
    </row>
    <row r="5400" spans="1:1">
      <c r="A5400" s="156" t="s">
        <v>7378</v>
      </c>
    </row>
    <row r="5401" spans="1:1">
      <c r="A5401" s="156" t="s">
        <v>7379</v>
      </c>
    </row>
    <row r="5402" spans="1:1">
      <c r="A5402" s="156" t="s">
        <v>7380</v>
      </c>
    </row>
    <row r="5403" spans="1:1">
      <c r="A5403" s="156" t="s">
        <v>7381</v>
      </c>
    </row>
    <row r="5404" spans="1:1">
      <c r="A5404" s="156" t="s">
        <v>7382</v>
      </c>
    </row>
    <row r="5405" spans="1:1">
      <c r="A5405" s="156" t="s">
        <v>7383</v>
      </c>
    </row>
    <row r="5406" spans="1:1">
      <c r="A5406" s="156" t="s">
        <v>7384</v>
      </c>
    </row>
    <row r="5407" spans="1:1">
      <c r="A5407" s="156" t="s">
        <v>7385</v>
      </c>
    </row>
    <row r="5408" spans="1:1">
      <c r="A5408" s="156" t="s">
        <v>7386</v>
      </c>
    </row>
    <row r="5409" spans="1:1">
      <c r="A5409" s="156" t="s">
        <v>7387</v>
      </c>
    </row>
    <row r="5410" spans="1:1">
      <c r="A5410" s="156" t="s">
        <v>7388</v>
      </c>
    </row>
    <row r="5411" spans="1:1">
      <c r="A5411" s="156" t="s">
        <v>7389</v>
      </c>
    </row>
    <row r="5412" spans="1:1">
      <c r="A5412" s="156" t="s">
        <v>7390</v>
      </c>
    </row>
    <row r="5413" spans="1:1">
      <c r="A5413" s="156" t="s">
        <v>7391</v>
      </c>
    </row>
    <row r="5414" spans="1:1">
      <c r="A5414" s="156" t="s">
        <v>7392</v>
      </c>
    </row>
    <row r="5415" spans="1:1">
      <c r="A5415" s="156" t="s">
        <v>7393</v>
      </c>
    </row>
    <row r="5416" spans="1:1">
      <c r="A5416" s="156" t="s">
        <v>7394</v>
      </c>
    </row>
    <row r="5417" spans="1:1">
      <c r="A5417" s="156" t="s">
        <v>7395</v>
      </c>
    </row>
    <row r="5418" spans="1:1">
      <c r="A5418" s="156" t="s">
        <v>7396</v>
      </c>
    </row>
    <row r="5419" spans="1:1">
      <c r="A5419" s="156" t="s">
        <v>7397</v>
      </c>
    </row>
    <row r="5420" spans="1:1">
      <c r="A5420" s="156" t="s">
        <v>7398</v>
      </c>
    </row>
    <row r="5421" spans="1:1">
      <c r="A5421" s="156" t="s">
        <v>7399</v>
      </c>
    </row>
    <row r="5422" spans="1:1">
      <c r="A5422" s="156" t="s">
        <v>7400</v>
      </c>
    </row>
    <row r="5423" spans="1:1">
      <c r="A5423" s="156" t="s">
        <v>7401</v>
      </c>
    </row>
    <row r="5424" spans="1:1">
      <c r="A5424" s="156" t="s">
        <v>7402</v>
      </c>
    </row>
    <row r="5425" spans="1:1">
      <c r="A5425" s="156" t="s">
        <v>7403</v>
      </c>
    </row>
    <row r="5426" spans="1:1">
      <c r="A5426" s="156" t="s">
        <v>7404</v>
      </c>
    </row>
    <row r="5427" spans="1:1">
      <c r="A5427" s="156" t="s">
        <v>7405</v>
      </c>
    </row>
    <row r="5428" spans="1:1">
      <c r="A5428" s="156" t="s">
        <v>7406</v>
      </c>
    </row>
    <row r="5429" spans="1:1">
      <c r="A5429" s="156" t="s">
        <v>7407</v>
      </c>
    </row>
    <row r="5430" spans="1:1">
      <c r="A5430" s="156" t="s">
        <v>7408</v>
      </c>
    </row>
    <row r="5431" spans="1:1">
      <c r="A5431" s="156" t="s">
        <v>7409</v>
      </c>
    </row>
    <row r="5432" spans="1:1">
      <c r="A5432" s="156" t="s">
        <v>7410</v>
      </c>
    </row>
    <row r="5433" spans="1:1">
      <c r="A5433" s="156" t="s">
        <v>7411</v>
      </c>
    </row>
    <row r="5434" spans="1:1">
      <c r="A5434" s="156" t="s">
        <v>7412</v>
      </c>
    </row>
    <row r="5435" spans="1:1">
      <c r="A5435" s="156" t="s">
        <v>7413</v>
      </c>
    </row>
    <row r="5436" spans="1:1">
      <c r="A5436" s="156" t="s">
        <v>7414</v>
      </c>
    </row>
    <row r="5437" spans="1:1">
      <c r="A5437" s="156" t="s">
        <v>7415</v>
      </c>
    </row>
    <row r="5438" spans="1:1">
      <c r="A5438" s="156" t="s">
        <v>7416</v>
      </c>
    </row>
    <row r="5439" spans="1:1">
      <c r="A5439" s="156" t="s">
        <v>7417</v>
      </c>
    </row>
    <row r="5440" spans="1:1">
      <c r="A5440" s="156" t="s">
        <v>7418</v>
      </c>
    </row>
    <row r="5441" spans="1:1">
      <c r="A5441" s="156" t="s">
        <v>7419</v>
      </c>
    </row>
    <row r="5442" spans="1:1">
      <c r="A5442" s="156" t="s">
        <v>7420</v>
      </c>
    </row>
    <row r="5443" spans="1:1">
      <c r="A5443" s="156" t="s">
        <v>7421</v>
      </c>
    </row>
    <row r="5444" spans="1:1">
      <c r="A5444" s="156" t="s">
        <v>7422</v>
      </c>
    </row>
    <row r="5445" spans="1:1">
      <c r="A5445" s="156" t="s">
        <v>7423</v>
      </c>
    </row>
    <row r="5446" spans="1:1">
      <c r="A5446" s="156" t="s">
        <v>7424</v>
      </c>
    </row>
    <row r="5447" spans="1:1">
      <c r="A5447" s="156" t="s">
        <v>7425</v>
      </c>
    </row>
    <row r="5448" spans="1:1">
      <c r="A5448" s="156" t="s">
        <v>7426</v>
      </c>
    </row>
    <row r="5449" spans="1:1">
      <c r="A5449" s="156" t="s">
        <v>7427</v>
      </c>
    </row>
    <row r="5450" spans="1:1">
      <c r="A5450" s="156" t="s">
        <v>7428</v>
      </c>
    </row>
    <row r="5451" spans="1:1">
      <c r="A5451" s="156" t="s">
        <v>7429</v>
      </c>
    </row>
    <row r="5452" spans="1:1">
      <c r="A5452" s="156" t="s">
        <v>7430</v>
      </c>
    </row>
    <row r="5453" spans="1:1">
      <c r="A5453" s="156" t="s">
        <v>7431</v>
      </c>
    </row>
    <row r="5454" spans="1:1">
      <c r="A5454" s="156" t="s">
        <v>7432</v>
      </c>
    </row>
    <row r="5455" spans="1:1">
      <c r="A5455" s="156" t="s">
        <v>7433</v>
      </c>
    </row>
    <row r="5456" spans="1:1">
      <c r="A5456" s="156" t="s">
        <v>7434</v>
      </c>
    </row>
    <row r="5457" spans="1:1">
      <c r="A5457" s="156" t="s">
        <v>7435</v>
      </c>
    </row>
    <row r="5458" spans="1:1">
      <c r="A5458" s="156" t="s">
        <v>7436</v>
      </c>
    </row>
    <row r="5459" spans="1:1">
      <c r="A5459" s="156" t="s">
        <v>7437</v>
      </c>
    </row>
    <row r="5460" spans="1:1">
      <c r="A5460" s="156" t="s">
        <v>7438</v>
      </c>
    </row>
    <row r="5461" spans="1:1">
      <c r="A5461" s="156" t="s">
        <v>7439</v>
      </c>
    </row>
    <row r="5462" spans="1:1">
      <c r="A5462" s="156" t="s">
        <v>7440</v>
      </c>
    </row>
    <row r="5463" spans="1:1">
      <c r="A5463" s="156" t="s">
        <v>7441</v>
      </c>
    </row>
    <row r="5464" spans="1:1">
      <c r="A5464" s="156" t="s">
        <v>7442</v>
      </c>
    </row>
    <row r="5465" spans="1:1">
      <c r="A5465" s="156" t="s">
        <v>7443</v>
      </c>
    </row>
    <row r="5466" spans="1:1">
      <c r="A5466" s="156" t="s">
        <v>7444</v>
      </c>
    </row>
    <row r="5467" spans="1:1">
      <c r="A5467" s="156" t="s">
        <v>7445</v>
      </c>
    </row>
    <row r="5468" spans="1:1">
      <c r="A5468" s="156" t="s">
        <v>7446</v>
      </c>
    </row>
    <row r="5469" spans="1:1">
      <c r="A5469" s="156" t="s">
        <v>7447</v>
      </c>
    </row>
    <row r="5470" spans="1:1">
      <c r="A5470" s="156" t="s">
        <v>7448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workbookViewId="0">
      <selection activeCell="U37" sqref="U37"/>
    </sheetView>
  </sheetViews>
  <sheetFormatPr baseColWidth="10" defaultRowHeight="12"/>
  <cols>
    <col min="1" max="1" width="6.5703125" style="96" customWidth="1"/>
    <col min="2" max="33" width="4" bestFit="1" customWidth="1"/>
  </cols>
  <sheetData>
    <row r="1" spans="1:33" ht="13.5" thickBot="1">
      <c r="A1" s="237" t="s">
        <v>8341</v>
      </c>
      <c r="B1" s="96">
        <v>1</v>
      </c>
      <c r="C1" s="96">
        <v>2</v>
      </c>
      <c r="D1" s="96">
        <v>3</v>
      </c>
      <c r="E1" s="96">
        <v>4</v>
      </c>
      <c r="F1" s="96">
        <v>5</v>
      </c>
      <c r="G1" s="96">
        <v>6</v>
      </c>
      <c r="H1" s="96">
        <v>7</v>
      </c>
      <c r="I1" s="96">
        <v>8</v>
      </c>
      <c r="J1" s="96">
        <v>9</v>
      </c>
      <c r="K1" s="96">
        <v>10</v>
      </c>
      <c r="L1" s="96">
        <v>11</v>
      </c>
      <c r="M1" s="96">
        <v>12</v>
      </c>
      <c r="N1" s="96">
        <v>13</v>
      </c>
      <c r="O1" s="96">
        <v>14</v>
      </c>
      <c r="P1" s="96">
        <v>15</v>
      </c>
      <c r="Q1" s="96">
        <v>16</v>
      </c>
      <c r="R1" s="96">
        <v>17</v>
      </c>
      <c r="S1" s="96">
        <v>18</v>
      </c>
      <c r="T1" s="96">
        <v>19</v>
      </c>
      <c r="U1" s="96">
        <v>20</v>
      </c>
      <c r="V1" s="96">
        <v>21</v>
      </c>
      <c r="W1" s="96">
        <v>22</v>
      </c>
      <c r="X1" s="96">
        <v>23</v>
      </c>
      <c r="Y1" s="96">
        <v>24</v>
      </c>
      <c r="Z1" s="96">
        <v>25</v>
      </c>
      <c r="AA1" s="96">
        <v>26</v>
      </c>
      <c r="AB1" s="96">
        <v>27</v>
      </c>
      <c r="AC1" s="96">
        <v>28</v>
      </c>
      <c r="AD1" s="96">
        <v>29</v>
      </c>
      <c r="AE1" s="96">
        <v>30</v>
      </c>
      <c r="AF1" s="96">
        <v>31</v>
      </c>
      <c r="AG1" s="96">
        <v>32</v>
      </c>
    </row>
    <row r="2" spans="1:33">
      <c r="A2" s="96">
        <v>24</v>
      </c>
      <c r="B2" s="228">
        <v>135</v>
      </c>
      <c r="C2" s="229">
        <v>29</v>
      </c>
      <c r="D2" s="229">
        <v>108</v>
      </c>
      <c r="E2" s="229">
        <v>52</v>
      </c>
      <c r="F2" s="229">
        <v>72</v>
      </c>
      <c r="G2" s="229">
        <v>21</v>
      </c>
      <c r="H2" s="229">
        <v>122</v>
      </c>
      <c r="I2" s="229">
        <v>8</v>
      </c>
      <c r="J2" s="229">
        <v>129</v>
      </c>
      <c r="K2" s="229">
        <v>54</v>
      </c>
      <c r="L2" s="229">
        <v>4</v>
      </c>
      <c r="M2" s="229">
        <v>180</v>
      </c>
      <c r="N2" s="229">
        <v>146</v>
      </c>
      <c r="O2" s="229">
        <v>166</v>
      </c>
      <c r="P2" s="229">
        <v>125</v>
      </c>
      <c r="Q2" s="229">
        <v>12</v>
      </c>
      <c r="R2" s="229">
        <v>150</v>
      </c>
      <c r="S2" s="229">
        <v>171</v>
      </c>
      <c r="T2" s="229">
        <v>62</v>
      </c>
      <c r="U2" s="229">
        <v>163</v>
      </c>
      <c r="V2" s="229">
        <v>117</v>
      </c>
      <c r="W2" s="229">
        <v>105</v>
      </c>
      <c r="X2" s="229">
        <v>111</v>
      </c>
      <c r="Y2" s="229">
        <v>88</v>
      </c>
      <c r="Z2" s="229">
        <v>20</v>
      </c>
      <c r="AA2" s="229">
        <v>51</v>
      </c>
      <c r="AB2" s="229">
        <v>45</v>
      </c>
      <c r="AC2" s="229">
        <v>26</v>
      </c>
      <c r="AD2" s="229">
        <v>148</v>
      </c>
      <c r="AE2" s="229">
        <v>43</v>
      </c>
      <c r="AF2" s="229">
        <v>120</v>
      </c>
      <c r="AG2" s="230">
        <v>55</v>
      </c>
    </row>
    <row r="3" spans="1:33">
      <c r="A3" s="96">
        <v>23</v>
      </c>
      <c r="B3" s="231">
        <v>106</v>
      </c>
      <c r="C3" s="232">
        <v>132</v>
      </c>
      <c r="D3" s="232">
        <v>83</v>
      </c>
      <c r="E3" s="232">
        <v>36</v>
      </c>
      <c r="F3" s="232">
        <v>149</v>
      </c>
      <c r="G3" s="232">
        <v>133</v>
      </c>
      <c r="H3" s="232">
        <v>95</v>
      </c>
      <c r="I3" s="232">
        <v>77</v>
      </c>
      <c r="J3" s="232">
        <v>157</v>
      </c>
      <c r="K3" s="232">
        <v>131</v>
      </c>
      <c r="L3" s="232">
        <v>18</v>
      </c>
      <c r="M3" s="232">
        <v>1</v>
      </c>
      <c r="N3" s="232">
        <v>96</v>
      </c>
      <c r="O3" s="232">
        <v>59</v>
      </c>
      <c r="P3" s="232">
        <v>42</v>
      </c>
      <c r="Q3" s="232">
        <v>176</v>
      </c>
      <c r="R3" s="232">
        <v>84</v>
      </c>
      <c r="S3" s="232">
        <v>173</v>
      </c>
      <c r="T3" s="232">
        <v>118</v>
      </c>
      <c r="U3" s="232">
        <v>49</v>
      </c>
      <c r="V3" s="232">
        <v>127</v>
      </c>
      <c r="W3" s="232">
        <v>139</v>
      </c>
      <c r="X3" s="232">
        <v>14</v>
      </c>
      <c r="Y3" s="232">
        <v>181</v>
      </c>
      <c r="Z3" s="232">
        <v>128</v>
      </c>
      <c r="AA3" s="232">
        <v>185</v>
      </c>
      <c r="AB3" s="232">
        <v>17</v>
      </c>
      <c r="AC3" s="232">
        <v>103</v>
      </c>
      <c r="AD3" s="232">
        <v>144</v>
      </c>
      <c r="AE3" s="232">
        <v>37</v>
      </c>
      <c r="AF3" s="232">
        <v>53</v>
      </c>
      <c r="AG3" s="233">
        <v>97</v>
      </c>
    </row>
    <row r="4" spans="1:33">
      <c r="A4" s="96">
        <v>22</v>
      </c>
      <c r="B4" s="231">
        <v>162</v>
      </c>
      <c r="C4" s="232">
        <v>155</v>
      </c>
      <c r="D4" s="232">
        <v>27</v>
      </c>
      <c r="E4" s="232">
        <v>115</v>
      </c>
      <c r="F4" s="232">
        <v>13</v>
      </c>
      <c r="G4" s="232">
        <v>9</v>
      </c>
      <c r="H4" s="232">
        <v>22</v>
      </c>
      <c r="I4" s="232">
        <v>145</v>
      </c>
      <c r="J4" s="232">
        <v>109</v>
      </c>
      <c r="K4" s="232">
        <v>76</v>
      </c>
      <c r="L4" s="232">
        <v>64</v>
      </c>
      <c r="M4" s="232">
        <v>140</v>
      </c>
      <c r="N4" s="232">
        <v>92</v>
      </c>
      <c r="O4" s="232">
        <v>10</v>
      </c>
      <c r="P4" s="232">
        <v>114</v>
      </c>
      <c r="Q4" s="232">
        <v>142</v>
      </c>
      <c r="R4" s="232">
        <v>39</v>
      </c>
      <c r="S4" s="232">
        <v>91</v>
      </c>
      <c r="T4" s="232">
        <v>70</v>
      </c>
      <c r="U4" s="232">
        <v>107</v>
      </c>
      <c r="V4" s="232">
        <v>34</v>
      </c>
      <c r="W4" s="232">
        <v>87</v>
      </c>
      <c r="X4" s="232">
        <v>161</v>
      </c>
      <c r="Y4" s="232">
        <v>48</v>
      </c>
      <c r="Z4" s="232">
        <v>104</v>
      </c>
      <c r="AA4" s="232">
        <v>11</v>
      </c>
      <c r="AB4" s="232">
        <v>159</v>
      </c>
      <c r="AC4" s="232">
        <v>69</v>
      </c>
      <c r="AD4" s="232">
        <v>90</v>
      </c>
      <c r="AE4" s="232">
        <v>63</v>
      </c>
      <c r="AF4" s="232">
        <v>168</v>
      </c>
      <c r="AG4" s="233">
        <v>190</v>
      </c>
    </row>
    <row r="5" spans="1:33">
      <c r="A5" s="96">
        <v>21</v>
      </c>
      <c r="B5" s="231">
        <v>82</v>
      </c>
      <c r="C5" s="232">
        <v>74</v>
      </c>
      <c r="D5" s="232">
        <v>35</v>
      </c>
      <c r="E5" s="232">
        <v>191</v>
      </c>
      <c r="F5" s="232">
        <v>147</v>
      </c>
      <c r="G5" s="232">
        <v>80</v>
      </c>
      <c r="H5" s="232">
        <v>24</v>
      </c>
      <c r="I5" s="232">
        <v>123</v>
      </c>
      <c r="J5" s="232">
        <v>73</v>
      </c>
      <c r="K5" s="232">
        <v>164</v>
      </c>
      <c r="L5" s="232">
        <v>71</v>
      </c>
      <c r="M5" s="232">
        <v>192</v>
      </c>
      <c r="N5" s="232">
        <v>158</v>
      </c>
      <c r="O5" s="232">
        <v>5</v>
      </c>
      <c r="P5" s="232">
        <v>156</v>
      </c>
      <c r="Q5" s="232">
        <v>184</v>
      </c>
      <c r="R5" s="232">
        <v>86</v>
      </c>
      <c r="S5" s="232">
        <v>78</v>
      </c>
      <c r="T5" s="232">
        <v>137</v>
      </c>
      <c r="U5" s="232">
        <v>32</v>
      </c>
      <c r="V5" s="232">
        <v>85</v>
      </c>
      <c r="W5" s="232">
        <v>56</v>
      </c>
      <c r="X5" s="232">
        <v>58</v>
      </c>
      <c r="Y5" s="232">
        <v>57</v>
      </c>
      <c r="Z5" s="232">
        <v>188</v>
      </c>
      <c r="AA5" s="232">
        <v>121</v>
      </c>
      <c r="AB5" s="232">
        <v>94</v>
      </c>
      <c r="AC5" s="232">
        <v>19</v>
      </c>
      <c r="AD5" s="232">
        <v>6</v>
      </c>
      <c r="AE5" s="232">
        <v>187</v>
      </c>
      <c r="AF5" s="232">
        <v>38</v>
      </c>
      <c r="AG5" s="233">
        <v>98</v>
      </c>
    </row>
    <row r="6" spans="1:33">
      <c r="A6" s="96">
        <v>20</v>
      </c>
      <c r="B6" s="231">
        <v>136</v>
      </c>
      <c r="C6" s="232">
        <v>141</v>
      </c>
      <c r="D6" s="232">
        <v>177</v>
      </c>
      <c r="E6" s="232">
        <v>66</v>
      </c>
      <c r="F6" s="232">
        <v>50</v>
      </c>
      <c r="G6" s="232">
        <v>89</v>
      </c>
      <c r="H6" s="232">
        <v>178</v>
      </c>
      <c r="I6" s="232">
        <v>174</v>
      </c>
      <c r="J6" s="232">
        <v>81</v>
      </c>
      <c r="K6" s="232">
        <v>175</v>
      </c>
      <c r="L6" s="232">
        <v>79</v>
      </c>
      <c r="M6" s="232">
        <v>3</v>
      </c>
      <c r="N6" s="232">
        <v>67</v>
      </c>
      <c r="O6" s="232">
        <v>7</v>
      </c>
      <c r="P6" s="232">
        <v>130</v>
      </c>
      <c r="Q6" s="232">
        <v>30</v>
      </c>
      <c r="R6" s="232">
        <v>182</v>
      </c>
      <c r="S6" s="232">
        <v>154</v>
      </c>
      <c r="T6" s="232">
        <v>160</v>
      </c>
      <c r="U6" s="232">
        <v>124</v>
      </c>
      <c r="V6" s="232">
        <v>183</v>
      </c>
      <c r="W6" s="232">
        <v>152</v>
      </c>
      <c r="X6" s="232">
        <v>110</v>
      </c>
      <c r="Y6" s="232">
        <v>112</v>
      </c>
      <c r="Z6" s="232">
        <v>100</v>
      </c>
      <c r="AA6" s="232">
        <v>68</v>
      </c>
      <c r="AB6" s="232">
        <v>33</v>
      </c>
      <c r="AC6" s="232">
        <v>101</v>
      </c>
      <c r="AD6" s="232">
        <v>44</v>
      </c>
      <c r="AE6" s="232">
        <v>169</v>
      </c>
      <c r="AF6" s="232">
        <v>75</v>
      </c>
      <c r="AG6" s="233">
        <v>41</v>
      </c>
    </row>
    <row r="7" spans="1:33" ht="12.75" thickBot="1">
      <c r="A7" s="96">
        <v>19</v>
      </c>
      <c r="B7" s="234">
        <v>186</v>
      </c>
      <c r="C7" s="235">
        <v>31</v>
      </c>
      <c r="D7" s="235">
        <v>153</v>
      </c>
      <c r="E7" s="235">
        <v>119</v>
      </c>
      <c r="F7" s="235">
        <v>165</v>
      </c>
      <c r="G7" s="235">
        <v>65</v>
      </c>
      <c r="H7" s="235">
        <v>46</v>
      </c>
      <c r="I7" s="235">
        <v>179</v>
      </c>
      <c r="J7" s="235">
        <v>167</v>
      </c>
      <c r="K7" s="235">
        <v>60</v>
      </c>
      <c r="L7" s="235">
        <v>134</v>
      </c>
      <c r="M7" s="235">
        <v>113</v>
      </c>
      <c r="N7" s="235">
        <v>189</v>
      </c>
      <c r="O7" s="235">
        <v>138</v>
      </c>
      <c r="P7" s="235">
        <v>102</v>
      </c>
      <c r="Q7" s="235">
        <v>40</v>
      </c>
      <c r="R7" s="235">
        <v>23</v>
      </c>
      <c r="S7" s="235">
        <v>143</v>
      </c>
      <c r="T7" s="235">
        <v>99</v>
      </c>
      <c r="U7" s="235">
        <v>15</v>
      </c>
      <c r="V7" s="235">
        <v>2</v>
      </c>
      <c r="W7" s="235">
        <v>126</v>
      </c>
      <c r="X7" s="235">
        <v>28</v>
      </c>
      <c r="Y7" s="235">
        <v>170</v>
      </c>
      <c r="Z7" s="235">
        <v>61</v>
      </c>
      <c r="AA7" s="235">
        <v>93</v>
      </c>
      <c r="AB7" s="235">
        <v>116</v>
      </c>
      <c r="AC7" s="235">
        <v>16</v>
      </c>
      <c r="AD7" s="235">
        <v>25</v>
      </c>
      <c r="AE7" s="235">
        <v>172</v>
      </c>
      <c r="AF7" s="235">
        <v>151</v>
      </c>
      <c r="AG7" s="236">
        <v>47</v>
      </c>
    </row>
    <row r="8" spans="1:33">
      <c r="A8" s="96">
        <v>18</v>
      </c>
      <c r="B8" s="222">
        <v>118</v>
      </c>
      <c r="C8" s="223">
        <v>101</v>
      </c>
      <c r="D8" s="223">
        <v>91</v>
      </c>
      <c r="E8" s="223">
        <v>169</v>
      </c>
      <c r="F8" s="223">
        <v>57</v>
      </c>
      <c r="G8" s="223">
        <v>183</v>
      </c>
      <c r="H8" s="223">
        <v>55</v>
      </c>
      <c r="I8" s="223">
        <v>56</v>
      </c>
      <c r="J8" s="223">
        <v>90</v>
      </c>
      <c r="K8" s="223">
        <v>188</v>
      </c>
      <c r="L8" s="223">
        <v>124</v>
      </c>
      <c r="M8" s="223">
        <v>168</v>
      </c>
      <c r="N8" s="223">
        <v>93</v>
      </c>
      <c r="O8" s="223">
        <v>94</v>
      </c>
      <c r="P8" s="223">
        <v>182</v>
      </c>
      <c r="Q8" s="223">
        <v>28</v>
      </c>
      <c r="R8" s="223">
        <v>135</v>
      </c>
      <c r="S8" s="223">
        <v>157</v>
      </c>
      <c r="T8" s="223">
        <v>83</v>
      </c>
      <c r="U8" s="223">
        <v>134</v>
      </c>
      <c r="V8" s="223">
        <v>165</v>
      </c>
      <c r="W8" s="223">
        <v>46</v>
      </c>
      <c r="X8" s="223">
        <v>133</v>
      </c>
      <c r="Y8" s="223">
        <v>10</v>
      </c>
      <c r="Z8" s="223">
        <v>146</v>
      </c>
      <c r="AA8" s="223">
        <v>74</v>
      </c>
      <c r="AB8" s="223">
        <v>131</v>
      </c>
      <c r="AC8" s="223">
        <v>66</v>
      </c>
      <c r="AD8" s="223">
        <v>125</v>
      </c>
      <c r="AE8" s="223">
        <v>140</v>
      </c>
      <c r="AF8" s="223">
        <v>12</v>
      </c>
      <c r="AG8" s="224">
        <v>179</v>
      </c>
    </row>
    <row r="9" spans="1:33">
      <c r="A9" s="96">
        <v>17</v>
      </c>
      <c r="B9" s="219">
        <v>85</v>
      </c>
      <c r="C9" s="220">
        <v>75</v>
      </c>
      <c r="D9" s="220">
        <v>58</v>
      </c>
      <c r="E9" s="220">
        <v>116</v>
      </c>
      <c r="F9" s="220">
        <v>20</v>
      </c>
      <c r="G9" s="220">
        <v>103</v>
      </c>
      <c r="H9" s="220">
        <v>32</v>
      </c>
      <c r="I9" s="220">
        <v>48</v>
      </c>
      <c r="J9" s="220">
        <v>23</v>
      </c>
      <c r="K9" s="220">
        <v>154</v>
      </c>
      <c r="L9" s="220">
        <v>63</v>
      </c>
      <c r="M9" s="220">
        <v>47</v>
      </c>
      <c r="N9" s="220">
        <v>139</v>
      </c>
      <c r="O9" s="220">
        <v>160</v>
      </c>
      <c r="P9" s="220">
        <v>25</v>
      </c>
      <c r="Q9" s="220">
        <v>51</v>
      </c>
      <c r="R9" s="220">
        <v>114</v>
      </c>
      <c r="S9" s="220">
        <v>22</v>
      </c>
      <c r="T9" s="220">
        <v>21</v>
      </c>
      <c r="U9" s="220">
        <v>36</v>
      </c>
      <c r="V9" s="220">
        <v>106</v>
      </c>
      <c r="W9" s="220">
        <v>1</v>
      </c>
      <c r="X9" s="220">
        <v>164</v>
      </c>
      <c r="Y9" s="220">
        <v>29</v>
      </c>
      <c r="Z9" s="220">
        <v>153</v>
      </c>
      <c r="AA9" s="220">
        <v>184</v>
      </c>
      <c r="AB9" s="220">
        <v>166</v>
      </c>
      <c r="AC9" s="220">
        <v>109</v>
      </c>
      <c r="AD9" s="220">
        <v>123</v>
      </c>
      <c r="AE9" s="220">
        <v>67</v>
      </c>
      <c r="AF9" s="220">
        <v>18</v>
      </c>
      <c r="AG9" s="221">
        <v>72</v>
      </c>
    </row>
    <row r="10" spans="1:33">
      <c r="A10" s="96">
        <v>16</v>
      </c>
      <c r="B10" s="219">
        <v>112</v>
      </c>
      <c r="C10" s="220">
        <v>6</v>
      </c>
      <c r="D10" s="220">
        <v>172</v>
      </c>
      <c r="E10" s="220">
        <v>87</v>
      </c>
      <c r="F10" s="220">
        <v>70</v>
      </c>
      <c r="G10" s="220">
        <v>171</v>
      </c>
      <c r="H10" s="220">
        <v>68</v>
      </c>
      <c r="I10" s="220">
        <v>120</v>
      </c>
      <c r="J10" s="220">
        <v>19</v>
      </c>
      <c r="K10" s="220">
        <v>17</v>
      </c>
      <c r="L10" s="220">
        <v>98</v>
      </c>
      <c r="M10" s="220">
        <v>163</v>
      </c>
      <c r="N10" s="220">
        <v>86</v>
      </c>
      <c r="O10" s="220">
        <v>2</v>
      </c>
      <c r="P10" s="220">
        <v>161</v>
      </c>
      <c r="Q10" s="220">
        <v>128</v>
      </c>
      <c r="R10" s="220">
        <v>35</v>
      </c>
      <c r="S10" s="220">
        <v>102</v>
      </c>
      <c r="T10" s="220">
        <v>13</v>
      </c>
      <c r="U10" s="220">
        <v>162</v>
      </c>
      <c r="V10" s="220">
        <v>175</v>
      </c>
      <c r="W10" s="220">
        <v>52</v>
      </c>
      <c r="X10" s="220">
        <v>30</v>
      </c>
      <c r="Y10" s="220">
        <v>95</v>
      </c>
      <c r="Z10" s="220">
        <v>79</v>
      </c>
      <c r="AA10" s="220">
        <v>77</v>
      </c>
      <c r="AB10" s="220">
        <v>3</v>
      </c>
      <c r="AC10" s="220">
        <v>80</v>
      </c>
      <c r="AD10" s="220">
        <v>138</v>
      </c>
      <c r="AE10" s="220">
        <v>31</v>
      </c>
      <c r="AF10" s="220">
        <v>167</v>
      </c>
      <c r="AG10" s="221">
        <v>96</v>
      </c>
    </row>
    <row r="11" spans="1:33">
      <c r="A11" s="96">
        <v>15</v>
      </c>
      <c r="B11" s="219">
        <v>151</v>
      </c>
      <c r="C11" s="220">
        <v>143</v>
      </c>
      <c r="D11" s="220">
        <v>127</v>
      </c>
      <c r="E11" s="220">
        <v>84</v>
      </c>
      <c r="F11" s="220">
        <v>43</v>
      </c>
      <c r="G11" s="220">
        <v>99</v>
      </c>
      <c r="H11" s="220">
        <v>144</v>
      </c>
      <c r="I11" s="220">
        <v>49</v>
      </c>
      <c r="J11" s="220">
        <v>41</v>
      </c>
      <c r="K11" s="220">
        <v>111</v>
      </c>
      <c r="L11" s="220">
        <v>61</v>
      </c>
      <c r="M11" s="220">
        <v>33</v>
      </c>
      <c r="N11" s="220">
        <v>88</v>
      </c>
      <c r="O11" s="220">
        <v>69</v>
      </c>
      <c r="P11" s="220">
        <v>121</v>
      </c>
      <c r="Q11" s="220">
        <v>152</v>
      </c>
      <c r="R11" s="220">
        <v>176</v>
      </c>
      <c r="S11" s="220">
        <v>147</v>
      </c>
      <c r="T11" s="220">
        <v>71</v>
      </c>
      <c r="U11" s="220">
        <v>24</v>
      </c>
      <c r="V11" s="220">
        <v>8</v>
      </c>
      <c r="W11" s="220">
        <v>130</v>
      </c>
      <c r="X11" s="220">
        <v>113</v>
      </c>
      <c r="Y11" s="220">
        <v>136</v>
      </c>
      <c r="Z11" s="220">
        <v>9</v>
      </c>
      <c r="AA11" s="220">
        <v>76</v>
      </c>
      <c r="AB11" s="220">
        <v>155</v>
      </c>
      <c r="AC11" s="220">
        <v>59</v>
      </c>
      <c r="AD11" s="220">
        <v>92</v>
      </c>
      <c r="AE11" s="220">
        <v>108</v>
      </c>
      <c r="AF11" s="220">
        <v>115</v>
      </c>
      <c r="AG11" s="221">
        <v>73</v>
      </c>
    </row>
    <row r="12" spans="1:33">
      <c r="A12" s="96">
        <v>14</v>
      </c>
      <c r="B12" s="219">
        <v>45</v>
      </c>
      <c r="C12" s="220">
        <v>37</v>
      </c>
      <c r="D12" s="220">
        <v>44</v>
      </c>
      <c r="E12" s="220">
        <v>78</v>
      </c>
      <c r="F12" s="220">
        <v>14</v>
      </c>
      <c r="G12" s="220">
        <v>38</v>
      </c>
      <c r="H12" s="220">
        <v>39</v>
      </c>
      <c r="I12" s="220">
        <v>16</v>
      </c>
      <c r="J12" s="220">
        <v>105</v>
      </c>
      <c r="K12" s="220">
        <v>15</v>
      </c>
      <c r="L12" s="220">
        <v>62</v>
      </c>
      <c r="M12" s="220">
        <v>181</v>
      </c>
      <c r="N12" s="220">
        <v>100</v>
      </c>
      <c r="O12" s="220">
        <v>185</v>
      </c>
      <c r="P12" s="220">
        <v>117</v>
      </c>
      <c r="Q12" s="220">
        <v>190</v>
      </c>
      <c r="R12" s="220">
        <v>178</v>
      </c>
      <c r="S12" s="220">
        <v>4</v>
      </c>
      <c r="T12" s="220">
        <v>60</v>
      </c>
      <c r="U12" s="220">
        <v>50</v>
      </c>
      <c r="V12" s="220">
        <v>156</v>
      </c>
      <c r="W12" s="220">
        <v>142</v>
      </c>
      <c r="X12" s="220">
        <v>145</v>
      </c>
      <c r="Y12" s="220">
        <v>158</v>
      </c>
      <c r="Z12" s="220">
        <v>132</v>
      </c>
      <c r="AA12" s="220">
        <v>119</v>
      </c>
      <c r="AB12" s="220">
        <v>186</v>
      </c>
      <c r="AC12" s="220">
        <v>54</v>
      </c>
      <c r="AD12" s="220">
        <v>89</v>
      </c>
      <c r="AE12" s="220">
        <v>5</v>
      </c>
      <c r="AF12" s="220">
        <v>192</v>
      </c>
      <c r="AG12" s="221">
        <v>27</v>
      </c>
    </row>
    <row r="13" spans="1:33" ht="12.75" thickBot="1">
      <c r="A13" s="96">
        <v>13</v>
      </c>
      <c r="B13" s="225">
        <v>11</v>
      </c>
      <c r="C13" s="226">
        <v>159</v>
      </c>
      <c r="D13" s="226">
        <v>150</v>
      </c>
      <c r="E13" s="226">
        <v>26</v>
      </c>
      <c r="F13" s="226">
        <v>126</v>
      </c>
      <c r="G13" s="226">
        <v>104</v>
      </c>
      <c r="H13" s="226">
        <v>170</v>
      </c>
      <c r="I13" s="226">
        <v>110</v>
      </c>
      <c r="J13" s="226">
        <v>173</v>
      </c>
      <c r="K13" s="226">
        <v>34</v>
      </c>
      <c r="L13" s="226">
        <v>53</v>
      </c>
      <c r="M13" s="226">
        <v>137</v>
      </c>
      <c r="N13" s="226">
        <v>107</v>
      </c>
      <c r="O13" s="226">
        <v>148</v>
      </c>
      <c r="P13" s="226">
        <v>97</v>
      </c>
      <c r="Q13" s="226">
        <v>187</v>
      </c>
      <c r="R13" s="226">
        <v>65</v>
      </c>
      <c r="S13" s="226">
        <v>177</v>
      </c>
      <c r="T13" s="226">
        <v>174</v>
      </c>
      <c r="U13" s="226">
        <v>180</v>
      </c>
      <c r="V13" s="226">
        <v>64</v>
      </c>
      <c r="W13" s="226">
        <v>82</v>
      </c>
      <c r="X13" s="226">
        <v>122</v>
      </c>
      <c r="Y13" s="226">
        <v>40</v>
      </c>
      <c r="Z13" s="226">
        <v>191</v>
      </c>
      <c r="AA13" s="226">
        <v>129</v>
      </c>
      <c r="AB13" s="226">
        <v>81</v>
      </c>
      <c r="AC13" s="226">
        <v>189</v>
      </c>
      <c r="AD13" s="226">
        <v>149</v>
      </c>
      <c r="AE13" s="226">
        <v>42</v>
      </c>
      <c r="AF13" s="226">
        <v>141</v>
      </c>
      <c r="AG13" s="227">
        <v>7</v>
      </c>
    </row>
    <row r="14" spans="1:33">
      <c r="A14" s="96">
        <v>12</v>
      </c>
      <c r="B14" s="202">
        <v>179</v>
      </c>
      <c r="C14" s="203">
        <v>12</v>
      </c>
      <c r="D14" s="203">
        <v>185</v>
      </c>
      <c r="E14" s="203">
        <v>43</v>
      </c>
      <c r="F14" s="203">
        <v>14</v>
      </c>
      <c r="G14" s="203">
        <v>114</v>
      </c>
      <c r="H14" s="203">
        <v>131</v>
      </c>
      <c r="I14" s="203">
        <v>121</v>
      </c>
      <c r="J14" s="203">
        <v>72</v>
      </c>
      <c r="K14" s="203">
        <v>183</v>
      </c>
      <c r="L14" s="203">
        <v>145</v>
      </c>
      <c r="M14" s="203">
        <v>37</v>
      </c>
      <c r="N14" s="203">
        <v>53</v>
      </c>
      <c r="O14" s="203">
        <v>120</v>
      </c>
      <c r="P14" s="203">
        <v>156</v>
      </c>
      <c r="Q14" s="203">
        <v>181</v>
      </c>
      <c r="R14" s="203">
        <v>64</v>
      </c>
      <c r="S14" s="203">
        <v>57</v>
      </c>
      <c r="T14" s="203">
        <v>115</v>
      </c>
      <c r="U14" s="203">
        <v>125</v>
      </c>
      <c r="V14" s="203">
        <v>164</v>
      </c>
      <c r="W14" s="203">
        <v>174</v>
      </c>
      <c r="X14" s="203">
        <v>75</v>
      </c>
      <c r="Y14" s="203">
        <v>58</v>
      </c>
      <c r="Z14" s="203">
        <v>11</v>
      </c>
      <c r="AA14" s="203">
        <v>129</v>
      </c>
      <c r="AB14" s="203">
        <v>139</v>
      </c>
      <c r="AC14" s="203">
        <v>22</v>
      </c>
      <c r="AD14" s="203">
        <v>41</v>
      </c>
      <c r="AE14" s="203">
        <v>133</v>
      </c>
      <c r="AF14" s="203">
        <v>135</v>
      </c>
      <c r="AG14" s="204">
        <v>118</v>
      </c>
    </row>
    <row r="15" spans="1:33">
      <c r="A15" s="96">
        <v>11</v>
      </c>
      <c r="B15" s="205">
        <v>1</v>
      </c>
      <c r="C15" s="201">
        <v>90</v>
      </c>
      <c r="D15" s="201">
        <v>95</v>
      </c>
      <c r="E15" s="201">
        <v>31</v>
      </c>
      <c r="F15" s="201">
        <v>191</v>
      </c>
      <c r="G15" s="201">
        <v>152</v>
      </c>
      <c r="H15" s="201">
        <v>148</v>
      </c>
      <c r="I15" s="201">
        <v>15</v>
      </c>
      <c r="J15" s="201">
        <v>33</v>
      </c>
      <c r="K15" s="201">
        <v>55</v>
      </c>
      <c r="L15" s="201">
        <v>85</v>
      </c>
      <c r="M15" s="201">
        <v>56</v>
      </c>
      <c r="N15" s="201">
        <v>65</v>
      </c>
      <c r="O15" s="201">
        <v>18</v>
      </c>
      <c r="P15" s="201">
        <v>103</v>
      </c>
      <c r="Q15" s="201">
        <v>42</v>
      </c>
      <c r="R15" s="201">
        <v>177</v>
      </c>
      <c r="S15" s="201">
        <v>17</v>
      </c>
      <c r="T15" s="201">
        <v>9</v>
      </c>
      <c r="U15" s="201">
        <v>35</v>
      </c>
      <c r="V15" s="201">
        <v>71</v>
      </c>
      <c r="W15" s="201">
        <v>26</v>
      </c>
      <c r="X15" s="201">
        <v>96</v>
      </c>
      <c r="Y15" s="201">
        <v>158</v>
      </c>
      <c r="Z15" s="201">
        <v>180</v>
      </c>
      <c r="AA15" s="201">
        <v>150</v>
      </c>
      <c r="AB15" s="201">
        <v>80</v>
      </c>
      <c r="AC15" s="201">
        <v>46</v>
      </c>
      <c r="AD15" s="201">
        <v>10</v>
      </c>
      <c r="AE15" s="201">
        <v>160</v>
      </c>
      <c r="AF15" s="201">
        <v>50</v>
      </c>
      <c r="AG15" s="206">
        <v>159</v>
      </c>
    </row>
    <row r="16" spans="1:33">
      <c r="A16" s="96">
        <v>10</v>
      </c>
      <c r="B16" s="205">
        <v>163</v>
      </c>
      <c r="C16" s="201">
        <v>113</v>
      </c>
      <c r="D16" s="201">
        <v>142</v>
      </c>
      <c r="E16" s="201">
        <v>74</v>
      </c>
      <c r="F16" s="201">
        <v>175</v>
      </c>
      <c r="G16" s="201">
        <v>140</v>
      </c>
      <c r="H16" s="201">
        <v>45</v>
      </c>
      <c r="I16" s="201">
        <v>27</v>
      </c>
      <c r="J16" s="201">
        <v>182</v>
      </c>
      <c r="K16" s="201">
        <v>155</v>
      </c>
      <c r="L16" s="201">
        <v>166</v>
      </c>
      <c r="M16" s="201">
        <v>32</v>
      </c>
      <c r="N16" s="201">
        <v>23</v>
      </c>
      <c r="O16" s="201">
        <v>48</v>
      </c>
      <c r="P16" s="201">
        <v>116</v>
      </c>
      <c r="Q16" s="201">
        <v>151</v>
      </c>
      <c r="R16" s="201">
        <v>63</v>
      </c>
      <c r="S16" s="201">
        <v>99</v>
      </c>
      <c r="T16" s="201">
        <v>20</v>
      </c>
      <c r="U16" s="201">
        <v>188</v>
      </c>
      <c r="V16" s="201">
        <v>169</v>
      </c>
      <c r="W16" s="201">
        <v>147</v>
      </c>
      <c r="X16" s="201">
        <v>101</v>
      </c>
      <c r="Y16" s="201">
        <v>69</v>
      </c>
      <c r="Z16" s="201">
        <v>134</v>
      </c>
      <c r="AA16" s="201">
        <v>127</v>
      </c>
      <c r="AB16" s="201">
        <v>137</v>
      </c>
      <c r="AC16" s="201">
        <v>78</v>
      </c>
      <c r="AD16" s="201">
        <v>189</v>
      </c>
      <c r="AE16" s="201">
        <v>52</v>
      </c>
      <c r="AF16" s="201">
        <v>54</v>
      </c>
      <c r="AG16" s="206">
        <v>62</v>
      </c>
    </row>
    <row r="17" spans="1:33">
      <c r="A17" s="96">
        <v>9</v>
      </c>
      <c r="B17" s="205">
        <v>81</v>
      </c>
      <c r="C17" s="201">
        <v>178</v>
      </c>
      <c r="D17" s="201">
        <v>161</v>
      </c>
      <c r="E17" s="201">
        <v>165</v>
      </c>
      <c r="F17" s="201">
        <v>146</v>
      </c>
      <c r="G17" s="201">
        <v>104</v>
      </c>
      <c r="H17" s="201">
        <v>8</v>
      </c>
      <c r="I17" s="201">
        <v>94</v>
      </c>
      <c r="J17" s="201">
        <v>126</v>
      </c>
      <c r="K17" s="201">
        <v>86</v>
      </c>
      <c r="L17" s="201">
        <v>83</v>
      </c>
      <c r="M17" s="201">
        <v>162</v>
      </c>
      <c r="N17" s="201">
        <v>192</v>
      </c>
      <c r="O17" s="201">
        <v>29</v>
      </c>
      <c r="P17" s="201">
        <v>6</v>
      </c>
      <c r="Q17" s="201">
        <v>122</v>
      </c>
      <c r="R17" s="201">
        <v>130</v>
      </c>
      <c r="S17" s="201">
        <v>100</v>
      </c>
      <c r="T17" s="201">
        <v>173</v>
      </c>
      <c r="U17" s="201">
        <v>30</v>
      </c>
      <c r="V17" s="201">
        <v>25</v>
      </c>
      <c r="W17" s="201">
        <v>186</v>
      </c>
      <c r="X17" s="201">
        <v>66</v>
      </c>
      <c r="Y17" s="201">
        <v>93</v>
      </c>
      <c r="Z17" s="201">
        <v>91</v>
      </c>
      <c r="AA17" s="201">
        <v>38</v>
      </c>
      <c r="AB17" s="201">
        <v>172</v>
      </c>
      <c r="AC17" s="201">
        <v>67</v>
      </c>
      <c r="AD17" s="201">
        <v>39</v>
      </c>
      <c r="AE17" s="201">
        <v>47</v>
      </c>
      <c r="AF17" s="201">
        <v>168</v>
      </c>
      <c r="AG17" s="206">
        <v>157</v>
      </c>
    </row>
    <row r="18" spans="1:33">
      <c r="A18" s="96">
        <v>8</v>
      </c>
      <c r="B18" s="205">
        <v>88</v>
      </c>
      <c r="C18" s="201">
        <v>36</v>
      </c>
      <c r="D18" s="201">
        <v>97</v>
      </c>
      <c r="E18" s="201">
        <v>68</v>
      </c>
      <c r="F18" s="201">
        <v>119</v>
      </c>
      <c r="G18" s="201">
        <v>28</v>
      </c>
      <c r="H18" s="201">
        <v>108</v>
      </c>
      <c r="I18" s="201">
        <v>112</v>
      </c>
      <c r="J18" s="201">
        <v>128</v>
      </c>
      <c r="K18" s="201">
        <v>184</v>
      </c>
      <c r="L18" s="201">
        <v>143</v>
      </c>
      <c r="M18" s="201">
        <v>2</v>
      </c>
      <c r="N18" s="201">
        <v>59</v>
      </c>
      <c r="O18" s="201">
        <v>136</v>
      </c>
      <c r="P18" s="201">
        <v>111</v>
      </c>
      <c r="Q18" s="201">
        <v>132</v>
      </c>
      <c r="R18" s="201">
        <v>117</v>
      </c>
      <c r="S18" s="201">
        <v>84</v>
      </c>
      <c r="T18" s="201">
        <v>102</v>
      </c>
      <c r="U18" s="201">
        <v>82</v>
      </c>
      <c r="V18" s="201">
        <v>44</v>
      </c>
      <c r="W18" s="201">
        <v>106</v>
      </c>
      <c r="X18" s="201">
        <v>76</v>
      </c>
      <c r="Y18" s="201">
        <v>153</v>
      </c>
      <c r="Z18" s="201">
        <v>73</v>
      </c>
      <c r="AA18" s="201">
        <v>107</v>
      </c>
      <c r="AB18" s="201">
        <v>34</v>
      </c>
      <c r="AC18" s="201">
        <v>190</v>
      </c>
      <c r="AD18" s="201">
        <v>87</v>
      </c>
      <c r="AE18" s="201">
        <v>24</v>
      </c>
      <c r="AF18" s="201">
        <v>176</v>
      </c>
      <c r="AG18" s="206">
        <v>40</v>
      </c>
    </row>
    <row r="19" spans="1:33" ht="12.75" thickBot="1">
      <c r="A19" s="96">
        <v>7</v>
      </c>
      <c r="B19" s="207">
        <v>5</v>
      </c>
      <c r="C19" s="208">
        <v>154</v>
      </c>
      <c r="D19" s="208">
        <v>3</v>
      </c>
      <c r="E19" s="208">
        <v>19</v>
      </c>
      <c r="F19" s="208">
        <v>187</v>
      </c>
      <c r="G19" s="208">
        <v>149</v>
      </c>
      <c r="H19" s="208">
        <v>61</v>
      </c>
      <c r="I19" s="208">
        <v>89</v>
      </c>
      <c r="J19" s="208">
        <v>98</v>
      </c>
      <c r="K19" s="208">
        <v>171</v>
      </c>
      <c r="L19" s="208">
        <v>109</v>
      </c>
      <c r="M19" s="208">
        <v>92</v>
      </c>
      <c r="N19" s="208">
        <v>70</v>
      </c>
      <c r="O19" s="208">
        <v>4</v>
      </c>
      <c r="P19" s="208">
        <v>123</v>
      </c>
      <c r="Q19" s="208">
        <v>105</v>
      </c>
      <c r="R19" s="208">
        <v>13</v>
      </c>
      <c r="S19" s="208">
        <v>167</v>
      </c>
      <c r="T19" s="208">
        <v>144</v>
      </c>
      <c r="U19" s="208">
        <v>51</v>
      </c>
      <c r="V19" s="208">
        <v>124</v>
      </c>
      <c r="W19" s="208">
        <v>77</v>
      </c>
      <c r="X19" s="208">
        <v>49</v>
      </c>
      <c r="Y19" s="208">
        <v>21</v>
      </c>
      <c r="Z19" s="208">
        <v>141</v>
      </c>
      <c r="AA19" s="208">
        <v>138</v>
      </c>
      <c r="AB19" s="208">
        <v>79</v>
      </c>
      <c r="AC19" s="208">
        <v>16</v>
      </c>
      <c r="AD19" s="208">
        <v>7</v>
      </c>
      <c r="AE19" s="208">
        <v>60</v>
      </c>
      <c r="AF19" s="208">
        <v>110</v>
      </c>
      <c r="AG19" s="209">
        <v>170</v>
      </c>
    </row>
    <row r="20" spans="1:33">
      <c r="A20" s="96">
        <v>6</v>
      </c>
      <c r="B20" s="216">
        <v>137</v>
      </c>
      <c r="C20" s="217">
        <v>11</v>
      </c>
      <c r="D20" s="217">
        <v>35</v>
      </c>
      <c r="E20" s="217">
        <v>153</v>
      </c>
      <c r="F20" s="217">
        <v>39</v>
      </c>
      <c r="G20" s="217">
        <v>173</v>
      </c>
      <c r="H20" s="217">
        <v>124</v>
      </c>
      <c r="I20" s="217">
        <v>130</v>
      </c>
      <c r="J20" s="217">
        <v>54</v>
      </c>
      <c r="K20" s="217">
        <v>17</v>
      </c>
      <c r="L20" s="217">
        <v>147</v>
      </c>
      <c r="M20" s="217">
        <v>129</v>
      </c>
      <c r="N20" s="217">
        <v>76</v>
      </c>
      <c r="O20" s="217">
        <v>40</v>
      </c>
      <c r="P20" s="217">
        <v>67</v>
      </c>
      <c r="Q20" s="217">
        <v>24</v>
      </c>
      <c r="R20" s="217">
        <v>113</v>
      </c>
      <c r="S20" s="217">
        <v>45</v>
      </c>
      <c r="T20" s="217">
        <v>92</v>
      </c>
      <c r="U20" s="217">
        <v>70</v>
      </c>
      <c r="V20" s="217">
        <v>1</v>
      </c>
      <c r="W20" s="217">
        <v>183</v>
      </c>
      <c r="X20" s="217">
        <v>95</v>
      </c>
      <c r="Y20" s="217">
        <v>83</v>
      </c>
      <c r="Z20" s="217">
        <v>43</v>
      </c>
      <c r="AA20" s="217">
        <v>191</v>
      </c>
      <c r="AB20" s="217">
        <v>28</v>
      </c>
      <c r="AC20" s="217">
        <v>68</v>
      </c>
      <c r="AD20" s="217">
        <v>48</v>
      </c>
      <c r="AE20" s="217">
        <v>156</v>
      </c>
      <c r="AF20" s="217">
        <v>98</v>
      </c>
      <c r="AG20" s="218">
        <v>15</v>
      </c>
    </row>
    <row r="21" spans="1:33">
      <c r="A21" s="96">
        <v>5</v>
      </c>
      <c r="B21" s="210">
        <v>144</v>
      </c>
      <c r="C21" s="211">
        <v>190</v>
      </c>
      <c r="D21" s="211">
        <v>168</v>
      </c>
      <c r="E21" s="211">
        <v>38</v>
      </c>
      <c r="F21" s="211">
        <v>51</v>
      </c>
      <c r="G21" s="211">
        <v>52</v>
      </c>
      <c r="H21" s="211">
        <v>80</v>
      </c>
      <c r="I21" s="211">
        <v>159</v>
      </c>
      <c r="J21" s="211">
        <v>174</v>
      </c>
      <c r="K21" s="211">
        <v>96</v>
      </c>
      <c r="L21" s="211">
        <v>25</v>
      </c>
      <c r="M21" s="211">
        <v>93</v>
      </c>
      <c r="N21" s="211">
        <v>63</v>
      </c>
      <c r="O21" s="211">
        <v>7</v>
      </c>
      <c r="P21" s="211">
        <v>99</v>
      </c>
      <c r="Q21" s="211">
        <v>141</v>
      </c>
      <c r="R21" s="211">
        <v>88</v>
      </c>
      <c r="S21" s="211">
        <v>56</v>
      </c>
      <c r="T21" s="211">
        <v>121</v>
      </c>
      <c r="U21" s="211">
        <v>181</v>
      </c>
      <c r="V21" s="211">
        <v>74</v>
      </c>
      <c r="W21" s="211">
        <v>104</v>
      </c>
      <c r="X21" s="211">
        <v>53</v>
      </c>
      <c r="Y21" s="211">
        <v>128</v>
      </c>
      <c r="Z21" s="211">
        <v>154</v>
      </c>
      <c r="AA21" s="211">
        <v>4</v>
      </c>
      <c r="AB21" s="211">
        <v>6</v>
      </c>
      <c r="AC21" s="211">
        <v>185</v>
      </c>
      <c r="AD21" s="211">
        <v>119</v>
      </c>
      <c r="AE21" s="211">
        <v>166</v>
      </c>
      <c r="AF21" s="211">
        <v>55</v>
      </c>
      <c r="AG21" s="212">
        <v>108</v>
      </c>
    </row>
    <row r="22" spans="1:33">
      <c r="A22" s="96">
        <v>4</v>
      </c>
      <c r="B22" s="210">
        <v>30</v>
      </c>
      <c r="C22" s="211">
        <v>66</v>
      </c>
      <c r="D22" s="211">
        <v>102</v>
      </c>
      <c r="E22" s="211">
        <v>189</v>
      </c>
      <c r="F22" s="211">
        <v>134</v>
      </c>
      <c r="G22" s="211">
        <v>64</v>
      </c>
      <c r="H22" s="211">
        <v>176</v>
      </c>
      <c r="I22" s="211">
        <v>107</v>
      </c>
      <c r="J22" s="211">
        <v>44</v>
      </c>
      <c r="K22" s="211">
        <v>157</v>
      </c>
      <c r="L22" s="211">
        <v>60</v>
      </c>
      <c r="M22" s="211">
        <v>79</v>
      </c>
      <c r="N22" s="211">
        <v>186</v>
      </c>
      <c r="O22" s="211">
        <v>57</v>
      </c>
      <c r="P22" s="211">
        <v>21</v>
      </c>
      <c r="Q22" s="211">
        <v>46</v>
      </c>
      <c r="R22" s="211">
        <v>131</v>
      </c>
      <c r="S22" s="211">
        <v>59</v>
      </c>
      <c r="T22" s="211">
        <v>142</v>
      </c>
      <c r="U22" s="211">
        <v>163</v>
      </c>
      <c r="V22" s="211">
        <v>111</v>
      </c>
      <c r="W22" s="211">
        <v>31</v>
      </c>
      <c r="X22" s="211">
        <v>94</v>
      </c>
      <c r="Y22" s="211">
        <v>175</v>
      </c>
      <c r="Z22" s="211">
        <v>42</v>
      </c>
      <c r="AA22" s="211">
        <v>12</v>
      </c>
      <c r="AB22" s="211">
        <v>18</v>
      </c>
      <c r="AC22" s="211">
        <v>149</v>
      </c>
      <c r="AD22" s="211">
        <v>145</v>
      </c>
      <c r="AE22" s="211">
        <v>33</v>
      </c>
      <c r="AF22" s="211">
        <v>37</v>
      </c>
      <c r="AG22" s="212">
        <v>171</v>
      </c>
    </row>
    <row r="23" spans="1:33">
      <c r="A23" s="96">
        <v>3</v>
      </c>
      <c r="B23" s="210">
        <v>62</v>
      </c>
      <c r="C23" s="211">
        <v>188</v>
      </c>
      <c r="D23" s="211">
        <v>16</v>
      </c>
      <c r="E23" s="211">
        <v>50</v>
      </c>
      <c r="F23" s="211">
        <v>164</v>
      </c>
      <c r="G23" s="211">
        <v>77</v>
      </c>
      <c r="H23" s="211">
        <v>100</v>
      </c>
      <c r="I23" s="211">
        <v>133</v>
      </c>
      <c r="J23" s="211">
        <v>170</v>
      </c>
      <c r="K23" s="211">
        <v>138</v>
      </c>
      <c r="L23" s="211">
        <v>177</v>
      </c>
      <c r="M23" s="211">
        <v>101</v>
      </c>
      <c r="N23" s="211">
        <v>10</v>
      </c>
      <c r="O23" s="211">
        <v>69</v>
      </c>
      <c r="P23" s="211">
        <v>73</v>
      </c>
      <c r="Q23" s="211">
        <v>20</v>
      </c>
      <c r="R23" s="211">
        <v>146</v>
      </c>
      <c r="S23" s="211">
        <v>122</v>
      </c>
      <c r="T23" s="211">
        <v>132</v>
      </c>
      <c r="U23" s="211">
        <v>184</v>
      </c>
      <c r="V23" s="211">
        <v>114</v>
      </c>
      <c r="W23" s="211">
        <v>32</v>
      </c>
      <c r="X23" s="211">
        <v>136</v>
      </c>
      <c r="Y23" s="211">
        <v>179</v>
      </c>
      <c r="Z23" s="211">
        <v>8</v>
      </c>
      <c r="AA23" s="211">
        <v>192</v>
      </c>
      <c r="AB23" s="211">
        <v>109</v>
      </c>
      <c r="AC23" s="211">
        <v>103</v>
      </c>
      <c r="AD23" s="211">
        <v>90</v>
      </c>
      <c r="AE23" s="211">
        <v>89</v>
      </c>
      <c r="AF23" s="211">
        <v>161</v>
      </c>
      <c r="AG23" s="212">
        <v>72</v>
      </c>
    </row>
    <row r="24" spans="1:33">
      <c r="A24" s="96">
        <v>2</v>
      </c>
      <c r="B24" s="210">
        <v>84</v>
      </c>
      <c r="C24" s="211">
        <v>158</v>
      </c>
      <c r="D24" s="211">
        <v>127</v>
      </c>
      <c r="E24" s="211">
        <v>49</v>
      </c>
      <c r="F24" s="211">
        <v>117</v>
      </c>
      <c r="G24" s="211">
        <v>71</v>
      </c>
      <c r="H24" s="211">
        <v>115</v>
      </c>
      <c r="I24" s="211">
        <v>110</v>
      </c>
      <c r="J24" s="211">
        <v>91</v>
      </c>
      <c r="K24" s="211">
        <v>139</v>
      </c>
      <c r="L24" s="211">
        <v>82</v>
      </c>
      <c r="M24" s="211">
        <v>26</v>
      </c>
      <c r="N24" s="211">
        <v>22</v>
      </c>
      <c r="O24" s="211">
        <v>47</v>
      </c>
      <c r="P24" s="211">
        <v>41</v>
      </c>
      <c r="Q24" s="211">
        <v>118</v>
      </c>
      <c r="R24" s="211">
        <v>85</v>
      </c>
      <c r="S24" s="211">
        <v>120</v>
      </c>
      <c r="T24" s="211">
        <v>126</v>
      </c>
      <c r="U24" s="211">
        <v>178</v>
      </c>
      <c r="V24" s="211">
        <v>61</v>
      </c>
      <c r="W24" s="211">
        <v>187</v>
      </c>
      <c r="X24" s="211">
        <v>19</v>
      </c>
      <c r="Y24" s="211">
        <v>152</v>
      </c>
      <c r="Z24" s="211">
        <v>97</v>
      </c>
      <c r="AA24" s="211">
        <v>155</v>
      </c>
      <c r="AB24" s="211">
        <v>27</v>
      </c>
      <c r="AC24" s="211">
        <v>23</v>
      </c>
      <c r="AD24" s="211">
        <v>81</v>
      </c>
      <c r="AE24" s="211">
        <v>2</v>
      </c>
      <c r="AF24" s="211">
        <v>116</v>
      </c>
      <c r="AG24" s="212">
        <v>151</v>
      </c>
    </row>
    <row r="25" spans="1:33" ht="12.75" thickBot="1">
      <c r="A25" s="96">
        <v>1</v>
      </c>
      <c r="B25" s="213">
        <v>58</v>
      </c>
      <c r="C25" s="214">
        <v>13</v>
      </c>
      <c r="D25" s="214">
        <v>75</v>
      </c>
      <c r="E25" s="214">
        <v>125</v>
      </c>
      <c r="F25" s="214">
        <v>150</v>
      </c>
      <c r="G25" s="214">
        <v>34</v>
      </c>
      <c r="H25" s="214">
        <v>78</v>
      </c>
      <c r="I25" s="214">
        <v>169</v>
      </c>
      <c r="J25" s="214">
        <v>9</v>
      </c>
      <c r="K25" s="214">
        <v>106</v>
      </c>
      <c r="L25" s="214">
        <v>135</v>
      </c>
      <c r="M25" s="214">
        <v>87</v>
      </c>
      <c r="N25" s="214">
        <v>167</v>
      </c>
      <c r="O25" s="214">
        <v>180</v>
      </c>
      <c r="P25" s="214">
        <v>160</v>
      </c>
      <c r="Q25" s="214">
        <v>172</v>
      </c>
      <c r="R25" s="214">
        <v>123</v>
      </c>
      <c r="S25" s="214">
        <v>5</v>
      </c>
      <c r="T25" s="214">
        <v>65</v>
      </c>
      <c r="U25" s="214">
        <v>148</v>
      </c>
      <c r="V25" s="214">
        <v>162</v>
      </c>
      <c r="W25" s="214">
        <v>36</v>
      </c>
      <c r="X25" s="214">
        <v>182</v>
      </c>
      <c r="Y25" s="214">
        <v>3</v>
      </c>
      <c r="Z25" s="214">
        <v>140</v>
      </c>
      <c r="AA25" s="214">
        <v>112</v>
      </c>
      <c r="AB25" s="214">
        <v>14</v>
      </c>
      <c r="AC25" s="214">
        <v>86</v>
      </c>
      <c r="AD25" s="214">
        <v>105</v>
      </c>
      <c r="AE25" s="214">
        <v>165</v>
      </c>
      <c r="AF25" s="214">
        <v>143</v>
      </c>
      <c r="AG25" s="215">
        <v>29</v>
      </c>
    </row>
    <row r="31" spans="1:33" ht="15.75">
      <c r="B31" s="238" t="s">
        <v>8335</v>
      </c>
      <c r="C31" s="296" t="s">
        <v>8336</v>
      </c>
      <c r="D31" s="296"/>
    </row>
    <row r="32" spans="1:33" ht="15.75">
      <c r="B32" s="200" t="s">
        <v>8337</v>
      </c>
      <c r="C32" s="299" t="s">
        <v>8413</v>
      </c>
      <c r="D32" s="299"/>
    </row>
    <row r="33" spans="2:4" ht="15.75">
      <c r="B33" s="239" t="s">
        <v>8338</v>
      </c>
      <c r="C33" s="297" t="s">
        <v>8339</v>
      </c>
      <c r="D33" s="297"/>
    </row>
    <row r="34" spans="2:4" ht="15.75">
      <c r="B34" s="240" t="s">
        <v>8340</v>
      </c>
      <c r="C34" s="298" t="s">
        <v>8414</v>
      </c>
      <c r="D34" s="298"/>
    </row>
  </sheetData>
  <mergeCells count="4">
    <mergeCell ref="C31:D31"/>
    <mergeCell ref="C33:D33"/>
    <mergeCell ref="C34:D34"/>
    <mergeCell ref="C32:D3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E36" sqref="E36"/>
    </sheetView>
  </sheetViews>
  <sheetFormatPr baseColWidth="10" defaultRowHeight="12"/>
  <cols>
    <col min="1" max="1" width="36.42578125" bestFit="1" customWidth="1"/>
    <col min="2" max="2" width="11.85546875" bestFit="1" customWidth="1"/>
    <col min="3" max="3" width="29.28515625" bestFit="1" customWidth="1"/>
  </cols>
  <sheetData>
    <row r="1" spans="1:5" ht="15.75">
      <c r="A1" s="260" t="s">
        <v>8421</v>
      </c>
      <c r="B1" s="260" t="s">
        <v>213</v>
      </c>
      <c r="C1" s="260" t="s">
        <v>8422</v>
      </c>
      <c r="D1" s="260" t="s">
        <v>8423</v>
      </c>
      <c r="E1" s="260" t="s">
        <v>8424</v>
      </c>
    </row>
    <row r="2" spans="1:5" ht="15.75">
      <c r="A2" s="261" t="s">
        <v>8427</v>
      </c>
      <c r="B2" s="262">
        <v>41891</v>
      </c>
      <c r="C2" s="263"/>
      <c r="D2" s="263"/>
      <c r="E2" s="263"/>
    </row>
    <row r="3" spans="1:5" ht="15.75">
      <c r="A3" s="261" t="s">
        <v>8425</v>
      </c>
      <c r="B3" s="262">
        <v>41894</v>
      </c>
      <c r="C3" s="263" t="s">
        <v>8426</v>
      </c>
      <c r="D3" s="263" t="s">
        <v>8433</v>
      </c>
      <c r="E3" s="263"/>
    </row>
    <row r="4" spans="1:5" ht="15.75">
      <c r="A4" s="261" t="s">
        <v>8429</v>
      </c>
      <c r="B4" s="262">
        <v>41894</v>
      </c>
      <c r="C4" s="263"/>
      <c r="D4" s="263"/>
      <c r="E4" s="263"/>
    </row>
    <row r="5" spans="1:5" ht="15.75">
      <c r="A5" s="261" t="s">
        <v>8428</v>
      </c>
      <c r="B5" s="262">
        <v>41934</v>
      </c>
      <c r="C5" s="263" t="s">
        <v>8446</v>
      </c>
      <c r="D5" s="263"/>
      <c r="E5" s="263"/>
    </row>
    <row r="6" spans="1:5" ht="15.75">
      <c r="A6" s="261" t="s">
        <v>8425</v>
      </c>
      <c r="B6" s="262">
        <v>41935</v>
      </c>
      <c r="C6" s="263" t="s">
        <v>8432</v>
      </c>
      <c r="D6" s="263" t="s">
        <v>8434</v>
      </c>
      <c r="E6" s="263"/>
    </row>
    <row r="7" spans="1:5" ht="15.75">
      <c r="A7" s="261" t="s">
        <v>8425</v>
      </c>
      <c r="B7" s="262">
        <v>41935</v>
      </c>
      <c r="C7" s="263" t="s">
        <v>8435</v>
      </c>
      <c r="D7" s="263"/>
      <c r="E7" s="263"/>
    </row>
    <row r="8" spans="1:5" ht="15.75">
      <c r="A8" s="261" t="s">
        <v>8425</v>
      </c>
      <c r="B8" s="262">
        <v>41971</v>
      </c>
      <c r="C8" s="263" t="s">
        <v>8436</v>
      </c>
      <c r="D8" s="263"/>
      <c r="E8" s="263"/>
    </row>
    <row r="9" spans="1:5" ht="15.75">
      <c r="A9" s="261" t="s">
        <v>8437</v>
      </c>
      <c r="B9" s="262">
        <v>42051</v>
      </c>
      <c r="C9" s="263" t="s">
        <v>8449</v>
      </c>
      <c r="D9" s="263"/>
      <c r="E9" s="263"/>
    </row>
    <row r="10" spans="1:5" ht="15.75">
      <c r="A10" s="261" t="s">
        <v>8438</v>
      </c>
      <c r="B10" s="262">
        <v>42051</v>
      </c>
      <c r="C10" s="263" t="s">
        <v>8441</v>
      </c>
      <c r="D10" s="263"/>
      <c r="E10" s="263"/>
    </row>
    <row r="11" spans="1:5" ht="15.75">
      <c r="A11" s="261" t="s">
        <v>8439</v>
      </c>
      <c r="B11" s="262">
        <v>42070</v>
      </c>
      <c r="C11" s="263" t="s">
        <v>8442</v>
      </c>
      <c r="D11" s="263"/>
      <c r="E11" s="263"/>
    </row>
    <row r="12" spans="1:5" ht="15.75">
      <c r="A12" s="261" t="s">
        <v>8440</v>
      </c>
      <c r="B12" s="262">
        <v>42070</v>
      </c>
      <c r="C12" s="263" t="s">
        <v>8443</v>
      </c>
      <c r="D12" s="263"/>
      <c r="E12" s="263"/>
    </row>
    <row r="13" spans="1:5" ht="15.75">
      <c r="A13" s="261" t="s">
        <v>8430</v>
      </c>
      <c r="B13" s="262">
        <v>42118</v>
      </c>
      <c r="C13" s="263" t="s">
        <v>8445</v>
      </c>
      <c r="D13" s="263"/>
      <c r="E13" s="263"/>
    </row>
    <row r="14" spans="1:5" ht="15.75">
      <c r="A14" s="261" t="s">
        <v>8431</v>
      </c>
      <c r="B14" s="262">
        <v>42191</v>
      </c>
      <c r="C14" s="263"/>
      <c r="D14" s="263"/>
      <c r="E14" s="263"/>
    </row>
    <row r="25" spans="8:8">
      <c r="H25" s="264"/>
    </row>
    <row r="26" spans="8:8">
      <c r="H26" s="264"/>
    </row>
    <row r="27" spans="8:8">
      <c r="H27" s="264"/>
    </row>
    <row r="28" spans="8:8">
      <c r="H28" s="264"/>
    </row>
    <row r="29" spans="8:8">
      <c r="H29" s="264"/>
    </row>
    <row r="30" spans="8:8">
      <c r="H30" s="264"/>
    </row>
    <row r="31" spans="8:8">
      <c r="H31" s="264"/>
    </row>
  </sheetData>
  <sortState ref="A2:E14">
    <sortCondition ref="B2:B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8</vt:i4>
      </vt:variant>
    </vt:vector>
  </HeadingPairs>
  <TitlesOfParts>
    <vt:vector size="23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Feuil4</vt:lpstr>
      <vt:lpstr>Data</vt:lpstr>
      <vt:lpstr>Files</vt:lpstr>
      <vt:lpstr>ForestComplementaryInfo</vt:lpstr>
      <vt:lpstr>StaticData</vt:lpstr>
      <vt:lpstr>Parcellaire DATAS</vt:lpstr>
      <vt:lpstr>ITK DATAS</vt:lpstr>
      <vt:lpstr>HoldingInstitution</vt:lpstr>
      <vt:lpstr>InstitutionName</vt:lpstr>
      <vt:lpstr>ProjectAcronym</vt:lpstr>
      <vt:lpstr>SiteName</vt:lpstr>
      <vt:lpstr>TaxonScientificName</vt:lpstr>
      <vt:lpstr>PlantMaterial!Zone_d_impression</vt:lpstr>
      <vt:lpstr>README!Zone_d_impression</vt:lpstr>
      <vt:lpstr>Variable!Zone_d_impression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Anne-Sophie Bouchet</cp:lastModifiedBy>
  <cp:revision>11</cp:revision>
  <cp:lastPrinted>2014-10-27T15:52:31Z</cp:lastPrinted>
  <dcterms:created xsi:type="dcterms:W3CDTF">2013-10-04T13:51:10Z</dcterms:created>
  <dcterms:modified xsi:type="dcterms:W3CDTF">2015-12-01T15:48:04Z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