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180" windowWidth="19200" windowHeight="8010" tabRatio="903" activeTab="4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externalReferences>
    <externalReference r:id="rId18"/>
  </externalReferences>
  <definedNames>
    <definedName name="_xlnm._FilterDatabase" localSheetId="8" hidden="1">Data!$A$1:$CM$1</definedName>
    <definedName name="_xlnm._FilterDatabase" localSheetId="5" hidden="1">PlantMaterial!$A$1:$E$43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Y7" i="15" l="1"/>
  <c r="R23" i="15" l="1"/>
  <c r="R24" i="15"/>
  <c r="R25" i="15"/>
  <c r="R26" i="15"/>
  <c r="L26" i="15" s="1"/>
  <c r="J26" i="15" s="1"/>
  <c r="R27" i="15"/>
  <c r="R28" i="15"/>
  <c r="R29" i="15"/>
  <c r="R30" i="15"/>
  <c r="L30" i="15" s="1"/>
  <c r="J30" i="15" s="1"/>
  <c r="R31" i="15"/>
  <c r="L31" i="15" s="1"/>
  <c r="J31" i="15" s="1"/>
  <c r="R32" i="15"/>
  <c r="R33" i="15"/>
  <c r="R34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" i="15"/>
  <c r="I1494" i="14"/>
  <c r="G1494" i="14"/>
  <c r="E1494" i="14"/>
  <c r="C1494" i="14"/>
  <c r="I1493" i="14"/>
  <c r="G1493" i="14"/>
  <c r="E1493" i="14"/>
  <c r="C1493" i="14"/>
  <c r="I1492" i="14"/>
  <c r="G1492" i="14"/>
  <c r="E1492" i="14"/>
  <c r="C1492" i="14"/>
  <c r="I1491" i="14"/>
  <c r="G1491" i="14"/>
  <c r="E1491" i="14"/>
  <c r="C1491" i="14"/>
  <c r="I1490" i="14"/>
  <c r="G1490" i="14"/>
  <c r="E1490" i="14"/>
  <c r="C1490" i="14"/>
  <c r="I1489" i="14"/>
  <c r="G1489" i="14"/>
  <c r="E1489" i="14"/>
  <c r="C1489" i="14"/>
  <c r="I1488" i="14"/>
  <c r="G1488" i="14"/>
  <c r="E1488" i="14"/>
  <c r="C1488" i="14"/>
  <c r="I1487" i="14"/>
  <c r="G1487" i="14"/>
  <c r="E1487" i="14"/>
  <c r="C1487" i="14"/>
  <c r="I1486" i="14"/>
  <c r="G1486" i="14"/>
  <c r="E1486" i="14"/>
  <c r="C1486" i="14"/>
  <c r="I1485" i="14"/>
  <c r="G1485" i="14"/>
  <c r="E1485" i="14"/>
  <c r="C1485" i="14"/>
  <c r="I1484" i="14"/>
  <c r="G1484" i="14"/>
  <c r="E1484" i="14"/>
  <c r="C1484" i="14"/>
  <c r="I1483" i="14"/>
  <c r="G1483" i="14"/>
  <c r="E1483" i="14"/>
  <c r="C1483" i="14"/>
  <c r="I1482" i="14"/>
  <c r="G1482" i="14"/>
  <c r="E1482" i="14"/>
  <c r="C1482" i="14"/>
  <c r="I1481" i="14"/>
  <c r="G1481" i="14"/>
  <c r="E1481" i="14"/>
  <c r="C1481" i="14"/>
  <c r="I1480" i="14"/>
  <c r="G1480" i="14"/>
  <c r="E1480" i="14"/>
  <c r="C1480" i="14"/>
  <c r="I1479" i="14"/>
  <c r="G1479" i="14"/>
  <c r="E1479" i="14"/>
  <c r="C1479" i="14"/>
  <c r="I1478" i="14"/>
  <c r="G1478" i="14"/>
  <c r="E1478" i="14"/>
  <c r="C1478" i="14"/>
  <c r="I1477" i="14"/>
  <c r="G1477" i="14"/>
  <c r="E1477" i="14"/>
  <c r="C1477" i="14"/>
  <c r="I1476" i="14"/>
  <c r="G1476" i="14"/>
  <c r="E1476" i="14"/>
  <c r="C1476" i="14"/>
  <c r="I1475" i="14"/>
  <c r="G1475" i="14"/>
  <c r="E1475" i="14"/>
  <c r="C1475" i="14"/>
  <c r="I1474" i="14"/>
  <c r="G1474" i="14"/>
  <c r="E1474" i="14"/>
  <c r="C1474" i="14"/>
  <c r="I1473" i="14"/>
  <c r="G1473" i="14"/>
  <c r="E1473" i="14"/>
  <c r="C1473" i="14"/>
  <c r="I1472" i="14"/>
  <c r="G1472" i="14"/>
  <c r="E1472" i="14"/>
  <c r="C1472" i="14"/>
  <c r="I1471" i="14"/>
  <c r="G1471" i="14"/>
  <c r="E1471" i="14"/>
  <c r="C1471" i="14"/>
  <c r="I1470" i="14"/>
  <c r="G1470" i="14"/>
  <c r="E1470" i="14"/>
  <c r="C1470" i="14"/>
  <c r="I1469" i="14"/>
  <c r="G1469" i="14"/>
  <c r="E1469" i="14"/>
  <c r="C1469" i="14"/>
  <c r="I1468" i="14"/>
  <c r="G1468" i="14"/>
  <c r="E1468" i="14"/>
  <c r="C1468" i="14"/>
  <c r="I1467" i="14"/>
  <c r="G1467" i="14"/>
  <c r="E1467" i="14"/>
  <c r="C1467" i="14"/>
  <c r="I1466" i="14"/>
  <c r="G1466" i="14"/>
  <c r="E1466" i="14"/>
  <c r="C1466" i="14"/>
  <c r="I1465" i="14"/>
  <c r="G1465" i="14"/>
  <c r="E1465" i="14"/>
  <c r="C1465" i="14"/>
  <c r="I1464" i="14"/>
  <c r="G1464" i="14"/>
  <c r="E1464" i="14"/>
  <c r="C1464" i="14"/>
  <c r="I1463" i="14"/>
  <c r="G1463" i="14"/>
  <c r="E1463" i="14"/>
  <c r="C1463" i="14"/>
  <c r="I1462" i="14"/>
  <c r="G1462" i="14"/>
  <c r="E1462" i="14"/>
  <c r="C1462" i="14"/>
  <c r="I1461" i="14"/>
  <c r="G1461" i="14"/>
  <c r="E1461" i="14"/>
  <c r="C1461" i="14"/>
  <c r="I1460" i="14"/>
  <c r="G1460" i="14"/>
  <c r="E1460" i="14"/>
  <c r="C1460" i="14"/>
  <c r="I1459" i="14"/>
  <c r="G1459" i="14"/>
  <c r="E1459" i="14"/>
  <c r="C1459" i="14"/>
  <c r="I1458" i="14"/>
  <c r="G1458" i="14"/>
  <c r="E1458" i="14"/>
  <c r="C1458" i="14"/>
  <c r="I1457" i="14"/>
  <c r="G1457" i="14"/>
  <c r="E1457" i="14"/>
  <c r="C1457" i="14"/>
  <c r="I1456" i="14"/>
  <c r="G1456" i="14"/>
  <c r="E1456" i="14"/>
  <c r="C1456" i="14"/>
  <c r="I1455" i="14"/>
  <c r="G1455" i="14"/>
  <c r="E1455" i="14"/>
  <c r="C1455" i="14"/>
  <c r="I1454" i="14"/>
  <c r="G1454" i="14"/>
  <c r="E1454" i="14"/>
  <c r="C1454" i="14"/>
  <c r="I1453" i="14"/>
  <c r="G1453" i="14"/>
  <c r="E1453" i="14"/>
  <c r="C1453" i="14"/>
  <c r="I1452" i="14"/>
  <c r="G1452" i="14"/>
  <c r="E1452" i="14"/>
  <c r="C1452" i="14"/>
  <c r="I1451" i="14"/>
  <c r="G1451" i="14"/>
  <c r="E1451" i="14"/>
  <c r="C1451" i="14"/>
  <c r="I1450" i="14"/>
  <c r="G1450" i="14"/>
  <c r="E1450" i="14"/>
  <c r="C1450" i="14"/>
  <c r="I1449" i="14"/>
  <c r="G1449" i="14"/>
  <c r="E1449" i="14"/>
  <c r="C1449" i="14"/>
  <c r="I1448" i="14"/>
  <c r="G1448" i="14"/>
  <c r="E1448" i="14"/>
  <c r="C1448" i="14"/>
  <c r="I1447" i="14"/>
  <c r="G1447" i="14"/>
  <c r="E1447" i="14"/>
  <c r="C1447" i="14"/>
  <c r="I1446" i="14"/>
  <c r="G1446" i="14"/>
  <c r="E1446" i="14"/>
  <c r="C1446" i="14"/>
  <c r="I1445" i="14"/>
  <c r="G1445" i="14"/>
  <c r="E1445" i="14"/>
  <c r="C1445" i="14"/>
  <c r="I1444" i="14"/>
  <c r="G1444" i="14"/>
  <c r="E1444" i="14"/>
  <c r="C1444" i="14"/>
  <c r="I1443" i="14"/>
  <c r="G1443" i="14"/>
  <c r="E1443" i="14"/>
  <c r="C1443" i="14"/>
  <c r="I1442" i="14"/>
  <c r="G1442" i="14"/>
  <c r="E1442" i="14"/>
  <c r="C1442" i="14"/>
  <c r="I1441" i="14"/>
  <c r="G1441" i="14"/>
  <c r="E1441" i="14"/>
  <c r="C1441" i="14"/>
  <c r="I1440" i="14"/>
  <c r="G1440" i="14"/>
  <c r="E1440" i="14"/>
  <c r="C1440" i="14"/>
  <c r="I1439" i="14"/>
  <c r="G1439" i="14"/>
  <c r="E1439" i="14"/>
  <c r="C1439" i="14"/>
  <c r="I1438" i="14"/>
  <c r="G1438" i="14"/>
  <c r="E1438" i="14"/>
  <c r="C1438" i="14"/>
  <c r="I1437" i="14"/>
  <c r="G1437" i="14"/>
  <c r="E1437" i="14"/>
  <c r="C1437" i="14"/>
  <c r="I1436" i="14"/>
  <c r="G1436" i="14"/>
  <c r="E1436" i="14"/>
  <c r="C1436" i="14"/>
  <c r="I1435" i="14"/>
  <c r="G1435" i="14"/>
  <c r="E1435" i="14"/>
  <c r="C1435" i="14"/>
  <c r="I1434" i="14"/>
  <c r="G1434" i="14"/>
  <c r="E1434" i="14"/>
  <c r="C1434" i="14"/>
  <c r="I1433" i="14"/>
  <c r="G1433" i="14"/>
  <c r="E1433" i="14"/>
  <c r="C1433" i="14"/>
  <c r="I1432" i="14"/>
  <c r="G1432" i="14"/>
  <c r="E1432" i="14"/>
  <c r="C1432" i="14"/>
  <c r="I1431" i="14"/>
  <c r="G1431" i="14"/>
  <c r="E1431" i="14"/>
  <c r="C1431" i="14"/>
  <c r="I1430" i="14"/>
  <c r="G1430" i="14"/>
  <c r="E1430" i="14"/>
  <c r="C1430" i="14"/>
  <c r="I1429" i="14"/>
  <c r="G1429" i="14"/>
  <c r="E1429" i="14"/>
  <c r="C1429" i="14"/>
  <c r="I1428" i="14"/>
  <c r="G1428" i="14"/>
  <c r="E1428" i="14"/>
  <c r="C1428" i="14"/>
  <c r="I1427" i="14"/>
  <c r="G1427" i="14"/>
  <c r="E1427" i="14"/>
  <c r="C1427" i="14"/>
  <c r="I1426" i="14"/>
  <c r="G1426" i="14"/>
  <c r="E1426" i="14"/>
  <c r="C1426" i="14"/>
  <c r="I1425" i="14"/>
  <c r="G1425" i="14"/>
  <c r="E1425" i="14"/>
  <c r="C1425" i="14"/>
  <c r="I1424" i="14"/>
  <c r="G1424" i="14"/>
  <c r="E1424" i="14"/>
  <c r="C1424" i="14"/>
  <c r="I1423" i="14"/>
  <c r="G1423" i="14"/>
  <c r="E1423" i="14"/>
  <c r="C1423" i="14"/>
  <c r="I1422" i="14"/>
  <c r="G1422" i="14"/>
  <c r="E1422" i="14"/>
  <c r="C1422" i="14"/>
  <c r="I1421" i="14"/>
  <c r="G1421" i="14"/>
  <c r="E1421" i="14"/>
  <c r="C1421" i="14"/>
  <c r="I1420" i="14"/>
  <c r="G1420" i="14"/>
  <c r="E1420" i="14"/>
  <c r="C1420" i="14"/>
  <c r="I1419" i="14"/>
  <c r="G1419" i="14"/>
  <c r="E1419" i="14"/>
  <c r="C1419" i="14"/>
  <c r="I1418" i="14"/>
  <c r="G1418" i="14"/>
  <c r="E1418" i="14"/>
  <c r="C1418" i="14"/>
  <c r="I1417" i="14"/>
  <c r="G1417" i="14"/>
  <c r="E1417" i="14"/>
  <c r="C1417" i="14"/>
  <c r="I1416" i="14"/>
  <c r="G1416" i="14"/>
  <c r="E1416" i="14"/>
  <c r="C1416" i="14"/>
  <c r="I1415" i="14"/>
  <c r="G1415" i="14"/>
  <c r="E1415" i="14"/>
  <c r="C1415" i="14"/>
  <c r="I1414" i="14"/>
  <c r="G1414" i="14"/>
  <c r="E1414" i="14"/>
  <c r="C1414" i="14"/>
  <c r="I1413" i="14"/>
  <c r="G1413" i="14"/>
  <c r="E1413" i="14"/>
  <c r="C1413" i="14"/>
  <c r="I1412" i="14"/>
  <c r="G1412" i="14"/>
  <c r="E1412" i="14"/>
  <c r="C1412" i="14"/>
  <c r="I1411" i="14"/>
  <c r="G1411" i="14"/>
  <c r="E1411" i="14"/>
  <c r="C1411" i="14"/>
  <c r="I1410" i="14"/>
  <c r="G1410" i="14"/>
  <c r="E1410" i="14"/>
  <c r="C1410" i="14"/>
  <c r="I1409" i="14"/>
  <c r="G1409" i="14"/>
  <c r="E1409" i="14"/>
  <c r="C1409" i="14"/>
  <c r="I1408" i="14"/>
  <c r="G1408" i="14"/>
  <c r="E1408" i="14"/>
  <c r="C1408" i="14"/>
  <c r="I1407" i="14"/>
  <c r="G1407" i="14"/>
  <c r="E1407" i="14"/>
  <c r="C1407" i="14"/>
  <c r="I1406" i="14"/>
  <c r="G1406" i="14"/>
  <c r="E1406" i="14"/>
  <c r="C1406" i="14"/>
  <c r="I1405" i="14"/>
  <c r="G1405" i="14"/>
  <c r="E1405" i="14"/>
  <c r="C1405" i="14"/>
  <c r="I1404" i="14"/>
  <c r="G1404" i="14"/>
  <c r="E1404" i="14"/>
  <c r="C1404" i="14"/>
  <c r="I1403" i="14"/>
  <c r="G1403" i="14"/>
  <c r="E1403" i="14"/>
  <c r="C1403" i="14"/>
  <c r="I1402" i="14"/>
  <c r="G1402" i="14"/>
  <c r="E1402" i="14"/>
  <c r="C1402" i="14"/>
  <c r="I1401" i="14"/>
  <c r="G1401" i="14"/>
  <c r="E1401" i="14"/>
  <c r="C1401" i="14"/>
  <c r="I1400" i="14"/>
  <c r="G1400" i="14"/>
  <c r="E1400" i="14"/>
  <c r="C1400" i="14"/>
  <c r="I1399" i="14"/>
  <c r="G1399" i="14"/>
  <c r="E1399" i="14"/>
  <c r="C1399" i="14"/>
  <c r="I1398" i="14"/>
  <c r="G1398" i="14"/>
  <c r="E1398" i="14"/>
  <c r="C1398" i="14"/>
  <c r="I1397" i="14"/>
  <c r="G1397" i="14"/>
  <c r="E1397" i="14"/>
  <c r="C1397" i="14"/>
  <c r="I1396" i="14"/>
  <c r="G1396" i="14"/>
  <c r="E1396" i="14"/>
  <c r="C1396" i="14"/>
  <c r="I1395" i="14"/>
  <c r="G1395" i="14"/>
  <c r="E1395" i="14"/>
  <c r="C1395" i="14"/>
  <c r="I1394" i="14"/>
  <c r="G1394" i="14"/>
  <c r="E1394" i="14"/>
  <c r="C1394" i="14"/>
  <c r="I1393" i="14"/>
  <c r="G1393" i="14"/>
  <c r="E1393" i="14"/>
  <c r="C1393" i="14"/>
  <c r="I1392" i="14"/>
  <c r="G1392" i="14"/>
  <c r="E1392" i="14"/>
  <c r="C1392" i="14"/>
  <c r="I1391" i="14"/>
  <c r="G1391" i="14"/>
  <c r="E1391" i="14"/>
  <c r="C1391" i="14"/>
  <c r="I1390" i="14"/>
  <c r="G1390" i="14"/>
  <c r="E1390" i="14"/>
  <c r="C1390" i="14"/>
  <c r="I1389" i="14"/>
  <c r="G1389" i="14"/>
  <c r="E1389" i="14"/>
  <c r="C1389" i="14"/>
  <c r="I1388" i="14"/>
  <c r="G1388" i="14"/>
  <c r="E1388" i="14"/>
  <c r="C1388" i="14"/>
  <c r="I1387" i="14"/>
  <c r="G1387" i="14"/>
  <c r="E1387" i="14"/>
  <c r="C1387" i="14"/>
  <c r="I1386" i="14"/>
  <c r="G1386" i="14"/>
  <c r="E1386" i="14"/>
  <c r="C1386" i="14"/>
  <c r="I1385" i="14"/>
  <c r="G1385" i="14"/>
  <c r="E1385" i="14"/>
  <c r="C1385" i="14"/>
  <c r="I1384" i="14"/>
  <c r="G1384" i="14"/>
  <c r="E1384" i="14"/>
  <c r="C1384" i="14"/>
  <c r="I1383" i="14"/>
  <c r="G1383" i="14"/>
  <c r="E1383" i="14"/>
  <c r="C1383" i="14"/>
  <c r="I1382" i="14"/>
  <c r="G1382" i="14"/>
  <c r="E1382" i="14"/>
  <c r="C1382" i="14"/>
  <c r="I1381" i="14"/>
  <c r="G1381" i="14"/>
  <c r="E1381" i="14"/>
  <c r="C1381" i="14"/>
  <c r="I1380" i="14"/>
  <c r="G1380" i="14"/>
  <c r="E1380" i="14"/>
  <c r="C1380" i="14"/>
  <c r="I1379" i="14"/>
  <c r="G1379" i="14"/>
  <c r="E1379" i="14"/>
  <c r="C1379" i="14"/>
  <c r="I1378" i="14"/>
  <c r="G1378" i="14"/>
  <c r="E1378" i="14"/>
  <c r="C1378" i="14"/>
  <c r="I1377" i="14"/>
  <c r="G1377" i="14"/>
  <c r="E1377" i="14"/>
  <c r="C1377" i="14"/>
  <c r="I1376" i="14"/>
  <c r="G1376" i="14"/>
  <c r="E1376" i="14"/>
  <c r="C1376" i="14"/>
  <c r="I1375" i="14"/>
  <c r="G1375" i="14"/>
  <c r="E1375" i="14"/>
  <c r="C1375" i="14"/>
  <c r="I1374" i="14"/>
  <c r="G1374" i="14"/>
  <c r="E1374" i="14"/>
  <c r="C1374" i="14"/>
  <c r="I1373" i="14"/>
  <c r="G1373" i="14"/>
  <c r="E1373" i="14"/>
  <c r="C1373" i="14"/>
  <c r="I1372" i="14"/>
  <c r="G1372" i="14"/>
  <c r="E1372" i="14"/>
  <c r="C1372" i="14"/>
  <c r="I1371" i="14"/>
  <c r="G1371" i="14"/>
  <c r="E1371" i="14"/>
  <c r="C1371" i="14"/>
  <c r="I1370" i="14"/>
  <c r="G1370" i="14"/>
  <c r="E1370" i="14"/>
  <c r="C1370" i="14"/>
  <c r="I1369" i="14"/>
  <c r="G1369" i="14"/>
  <c r="E1369" i="14"/>
  <c r="C1369" i="14"/>
  <c r="I1368" i="14"/>
  <c r="G1368" i="14"/>
  <c r="E1368" i="14"/>
  <c r="C1368" i="14"/>
  <c r="I1367" i="14"/>
  <c r="G1367" i="14"/>
  <c r="E1367" i="14"/>
  <c r="C1367" i="14"/>
  <c r="I1366" i="14"/>
  <c r="G1366" i="14"/>
  <c r="E1366" i="14"/>
  <c r="C1366" i="14"/>
  <c r="I1365" i="14"/>
  <c r="G1365" i="14"/>
  <c r="E1365" i="14"/>
  <c r="C1365" i="14"/>
  <c r="I1364" i="14"/>
  <c r="G1364" i="14"/>
  <c r="E1364" i="14"/>
  <c r="C1364" i="14"/>
  <c r="I1363" i="14"/>
  <c r="G1363" i="14"/>
  <c r="E1363" i="14"/>
  <c r="C1363" i="14"/>
  <c r="I1362" i="14"/>
  <c r="G1362" i="14"/>
  <c r="E1362" i="14"/>
  <c r="C1362" i="14"/>
  <c r="I1361" i="14"/>
  <c r="G1361" i="14"/>
  <c r="E1361" i="14"/>
  <c r="C1361" i="14"/>
  <c r="I1360" i="14"/>
  <c r="G1360" i="14"/>
  <c r="E1360" i="14"/>
  <c r="C1360" i="14"/>
  <c r="I1359" i="14"/>
  <c r="G1359" i="14"/>
  <c r="E1359" i="14"/>
  <c r="C1359" i="14"/>
  <c r="I1358" i="14"/>
  <c r="G1358" i="14"/>
  <c r="E1358" i="14"/>
  <c r="C1358" i="14"/>
  <c r="I1357" i="14"/>
  <c r="G1357" i="14"/>
  <c r="E1357" i="14"/>
  <c r="C1357" i="14"/>
  <c r="I1356" i="14"/>
  <c r="G1356" i="14"/>
  <c r="E1356" i="14"/>
  <c r="C1356" i="14"/>
  <c r="I1355" i="14"/>
  <c r="G1355" i="14"/>
  <c r="E1355" i="14"/>
  <c r="C1355" i="14"/>
  <c r="I1354" i="14"/>
  <c r="G1354" i="14"/>
  <c r="E1354" i="14"/>
  <c r="C1354" i="14"/>
  <c r="I1353" i="14"/>
  <c r="G1353" i="14"/>
  <c r="E1353" i="14"/>
  <c r="C1353" i="14"/>
  <c r="I1352" i="14"/>
  <c r="G1352" i="14"/>
  <c r="E1352" i="14"/>
  <c r="C1352" i="14"/>
  <c r="I1351" i="14"/>
  <c r="G1351" i="14"/>
  <c r="E1351" i="14"/>
  <c r="C1351" i="14"/>
  <c r="I1350" i="14"/>
  <c r="G1350" i="14"/>
  <c r="E1350" i="14"/>
  <c r="C1350" i="14"/>
  <c r="I1349" i="14"/>
  <c r="G1349" i="14"/>
  <c r="E1349" i="14"/>
  <c r="C1349" i="14"/>
  <c r="I1348" i="14"/>
  <c r="G1348" i="14"/>
  <c r="E1348" i="14"/>
  <c r="C1348" i="14"/>
  <c r="I1347" i="14"/>
  <c r="G1347" i="14"/>
  <c r="E1347" i="14"/>
  <c r="C1347" i="14"/>
  <c r="I1346" i="14"/>
  <c r="G1346" i="14"/>
  <c r="E1346" i="14"/>
  <c r="C1346" i="14"/>
  <c r="I1345" i="14"/>
  <c r="G1345" i="14"/>
  <c r="E1345" i="14"/>
  <c r="C1345" i="14"/>
  <c r="I1344" i="14"/>
  <c r="G1344" i="14"/>
  <c r="E1344" i="14"/>
  <c r="C1344" i="14"/>
  <c r="I1343" i="14"/>
  <c r="G1343" i="14"/>
  <c r="E1343" i="14"/>
  <c r="C1343" i="14"/>
  <c r="I1342" i="14"/>
  <c r="G1342" i="14"/>
  <c r="E1342" i="14"/>
  <c r="C1342" i="14"/>
  <c r="I1341" i="14"/>
  <c r="G1341" i="14"/>
  <c r="E1341" i="14"/>
  <c r="C1341" i="14"/>
  <c r="I1340" i="14"/>
  <c r="G1340" i="14"/>
  <c r="E1340" i="14"/>
  <c r="C1340" i="14"/>
  <c r="I1339" i="14"/>
  <c r="G1339" i="14"/>
  <c r="E1339" i="14"/>
  <c r="C1339" i="14"/>
  <c r="I1338" i="14"/>
  <c r="G1338" i="14"/>
  <c r="E1338" i="14"/>
  <c r="C1338" i="14"/>
  <c r="I1337" i="14"/>
  <c r="G1337" i="14"/>
  <c r="E1337" i="14"/>
  <c r="C1337" i="14"/>
  <c r="I1336" i="14"/>
  <c r="G1336" i="14"/>
  <c r="E1336" i="14"/>
  <c r="C1336" i="14"/>
  <c r="I1335" i="14"/>
  <c r="G1335" i="14"/>
  <c r="E1335" i="14"/>
  <c r="C1335" i="14"/>
  <c r="I1334" i="14"/>
  <c r="G1334" i="14"/>
  <c r="E1334" i="14"/>
  <c r="C1334" i="14"/>
  <c r="I1333" i="14"/>
  <c r="G1333" i="14"/>
  <c r="E1333" i="14"/>
  <c r="C1333" i="14"/>
  <c r="I1332" i="14"/>
  <c r="G1332" i="14"/>
  <c r="E1332" i="14"/>
  <c r="C1332" i="14"/>
  <c r="I1331" i="14"/>
  <c r="G1331" i="14"/>
  <c r="E1331" i="14"/>
  <c r="C1331" i="14"/>
  <c r="I1330" i="14"/>
  <c r="G1330" i="14"/>
  <c r="E1330" i="14"/>
  <c r="C1330" i="14"/>
  <c r="I1329" i="14"/>
  <c r="G1329" i="14"/>
  <c r="E1329" i="14"/>
  <c r="C1329" i="14"/>
  <c r="I1328" i="14"/>
  <c r="G1328" i="14"/>
  <c r="E1328" i="14"/>
  <c r="C1328" i="14"/>
  <c r="I1327" i="14"/>
  <c r="G1327" i="14"/>
  <c r="E1327" i="14"/>
  <c r="C1327" i="14"/>
  <c r="I1326" i="14"/>
  <c r="G1326" i="14"/>
  <c r="E1326" i="14"/>
  <c r="C1326" i="14"/>
  <c r="I1325" i="14"/>
  <c r="G1325" i="14"/>
  <c r="E1325" i="14"/>
  <c r="C1325" i="14"/>
  <c r="I1324" i="14"/>
  <c r="G1324" i="14"/>
  <c r="E1324" i="14"/>
  <c r="C1324" i="14"/>
  <c r="I1323" i="14"/>
  <c r="G1323" i="14"/>
  <c r="E1323" i="14"/>
  <c r="C1323" i="14"/>
  <c r="I1322" i="14"/>
  <c r="G1322" i="14"/>
  <c r="E1322" i="14"/>
  <c r="C1322" i="14"/>
  <c r="I1321" i="14"/>
  <c r="G1321" i="14"/>
  <c r="E1321" i="14"/>
  <c r="C1321" i="14"/>
  <c r="I1320" i="14"/>
  <c r="G1320" i="14"/>
  <c r="E1320" i="14"/>
  <c r="C1320" i="14"/>
  <c r="I1319" i="14"/>
  <c r="G1319" i="14"/>
  <c r="E1319" i="14"/>
  <c r="C1319" i="14"/>
  <c r="I1318" i="14"/>
  <c r="G1318" i="14"/>
  <c r="E1318" i="14"/>
  <c r="C1318" i="14"/>
  <c r="I1317" i="14"/>
  <c r="G1317" i="14"/>
  <c r="E1317" i="14"/>
  <c r="C1317" i="14"/>
  <c r="I1316" i="14"/>
  <c r="G1316" i="14"/>
  <c r="E1316" i="14"/>
  <c r="C1316" i="14"/>
  <c r="I1315" i="14"/>
  <c r="G1315" i="14"/>
  <c r="E1315" i="14"/>
  <c r="C1315" i="14"/>
  <c r="I1314" i="14"/>
  <c r="G1314" i="14"/>
  <c r="E1314" i="14"/>
  <c r="C1314" i="14"/>
  <c r="I1313" i="14"/>
  <c r="G1313" i="14"/>
  <c r="E1313" i="14"/>
  <c r="C1313" i="14"/>
  <c r="I1312" i="14"/>
  <c r="G1312" i="14"/>
  <c r="E1312" i="14"/>
  <c r="C1312" i="14"/>
  <c r="I1311" i="14"/>
  <c r="G1311" i="14"/>
  <c r="E1311" i="14"/>
  <c r="C1311" i="14"/>
  <c r="I1310" i="14"/>
  <c r="G1310" i="14"/>
  <c r="E1310" i="14"/>
  <c r="C1310" i="14"/>
  <c r="I1309" i="14"/>
  <c r="G1309" i="14"/>
  <c r="E1309" i="14"/>
  <c r="C1309" i="14"/>
  <c r="I1308" i="14"/>
  <c r="G1308" i="14"/>
  <c r="E1308" i="14"/>
  <c r="C1308" i="14"/>
  <c r="I1307" i="14"/>
  <c r="G1307" i="14"/>
  <c r="E1307" i="14"/>
  <c r="C1307" i="14"/>
  <c r="I1306" i="14"/>
  <c r="G1306" i="14"/>
  <c r="E1306" i="14"/>
  <c r="C1306" i="14"/>
  <c r="I1305" i="14"/>
  <c r="G1305" i="14"/>
  <c r="E1305" i="14"/>
  <c r="C1305" i="14"/>
  <c r="I1304" i="14"/>
  <c r="G1304" i="14"/>
  <c r="E1304" i="14"/>
  <c r="C1304" i="14"/>
  <c r="I1303" i="14"/>
  <c r="G1303" i="14"/>
  <c r="E1303" i="14"/>
  <c r="C1303" i="14"/>
  <c r="I1302" i="14"/>
  <c r="G1302" i="14"/>
  <c r="E1302" i="14"/>
  <c r="C1302" i="14"/>
  <c r="I1301" i="14"/>
  <c r="G1301" i="14"/>
  <c r="E1301" i="14"/>
  <c r="C1301" i="14"/>
  <c r="I1300" i="14"/>
  <c r="G1300" i="14"/>
  <c r="E1300" i="14"/>
  <c r="C1300" i="14"/>
  <c r="I1299" i="14"/>
  <c r="G1299" i="14"/>
  <c r="E1299" i="14"/>
  <c r="C1299" i="14"/>
  <c r="I1298" i="14"/>
  <c r="G1298" i="14"/>
  <c r="E1298" i="14"/>
  <c r="C1298" i="14"/>
  <c r="I1297" i="14"/>
  <c r="G1297" i="14"/>
  <c r="E1297" i="14"/>
  <c r="C1297" i="14"/>
  <c r="I1296" i="14"/>
  <c r="G1296" i="14"/>
  <c r="E1296" i="14"/>
  <c r="C1296" i="14"/>
  <c r="I1295" i="14"/>
  <c r="G1295" i="14"/>
  <c r="E1295" i="14"/>
  <c r="C1295" i="14"/>
  <c r="I1294" i="14"/>
  <c r="G1294" i="14"/>
  <c r="E1294" i="14"/>
  <c r="C1294" i="14"/>
  <c r="I1293" i="14"/>
  <c r="G1293" i="14"/>
  <c r="E1293" i="14"/>
  <c r="C1293" i="14"/>
  <c r="I1292" i="14"/>
  <c r="G1292" i="14"/>
  <c r="E1292" i="14"/>
  <c r="C1292" i="14"/>
  <c r="I1291" i="14"/>
  <c r="G1291" i="14"/>
  <c r="E1291" i="14"/>
  <c r="C1291" i="14"/>
  <c r="I1290" i="14"/>
  <c r="G1290" i="14"/>
  <c r="E1290" i="14"/>
  <c r="C1290" i="14"/>
  <c r="I1289" i="14"/>
  <c r="G1289" i="14"/>
  <c r="E1289" i="14"/>
  <c r="C1289" i="14"/>
  <c r="I1288" i="14"/>
  <c r="G1288" i="14"/>
  <c r="E1288" i="14"/>
  <c r="C1288" i="14"/>
  <c r="I1287" i="14"/>
  <c r="G1287" i="14"/>
  <c r="E1287" i="14"/>
  <c r="C1287" i="14"/>
  <c r="I1286" i="14"/>
  <c r="G1286" i="14"/>
  <c r="E1286" i="14"/>
  <c r="C1286" i="14"/>
  <c r="I1285" i="14"/>
  <c r="G1285" i="14"/>
  <c r="E1285" i="14"/>
  <c r="C1285" i="14"/>
  <c r="I1284" i="14"/>
  <c r="G1284" i="14"/>
  <c r="E1284" i="14"/>
  <c r="C1284" i="14"/>
  <c r="I1283" i="14"/>
  <c r="G1283" i="14"/>
  <c r="E1283" i="14"/>
  <c r="C1283" i="14"/>
  <c r="I1282" i="14"/>
  <c r="G1282" i="14"/>
  <c r="E1282" i="14"/>
  <c r="C1282" i="14"/>
  <c r="I1281" i="14"/>
  <c r="G1281" i="14"/>
  <c r="E1281" i="14"/>
  <c r="C1281" i="14"/>
  <c r="I1280" i="14"/>
  <c r="G1280" i="14"/>
  <c r="E1280" i="14"/>
  <c r="C1280" i="14"/>
  <c r="I1279" i="14"/>
  <c r="G1279" i="14"/>
  <c r="E1279" i="14"/>
  <c r="C1279" i="14"/>
  <c r="I1278" i="14"/>
  <c r="G1278" i="14"/>
  <c r="E1278" i="14"/>
  <c r="C1278" i="14"/>
  <c r="I1277" i="14"/>
  <c r="G1277" i="14"/>
  <c r="E1277" i="14"/>
  <c r="C1277" i="14"/>
  <c r="I1276" i="14"/>
  <c r="G1276" i="14"/>
  <c r="E1276" i="14"/>
  <c r="C1276" i="14"/>
  <c r="I1275" i="14"/>
  <c r="G1275" i="14"/>
  <c r="E1275" i="14"/>
  <c r="C1275" i="14"/>
  <c r="I1274" i="14"/>
  <c r="G1274" i="14"/>
  <c r="E1274" i="14"/>
  <c r="C1274" i="14"/>
  <c r="I1273" i="14"/>
  <c r="G1273" i="14"/>
  <c r="E1273" i="14"/>
  <c r="C1273" i="14"/>
  <c r="I1272" i="14"/>
  <c r="G1272" i="14"/>
  <c r="E1272" i="14"/>
  <c r="C1272" i="14"/>
  <c r="I1271" i="14"/>
  <c r="G1271" i="14"/>
  <c r="E1271" i="14"/>
  <c r="C1271" i="14"/>
  <c r="I1270" i="14"/>
  <c r="G1270" i="14"/>
  <c r="E1270" i="14"/>
  <c r="C1270" i="14"/>
  <c r="I1269" i="14"/>
  <c r="G1269" i="14"/>
  <c r="E1269" i="14"/>
  <c r="C1269" i="14"/>
  <c r="I1268" i="14"/>
  <c r="G1268" i="14"/>
  <c r="E1268" i="14"/>
  <c r="C1268" i="14"/>
  <c r="I1267" i="14"/>
  <c r="G1267" i="14"/>
  <c r="E1267" i="14"/>
  <c r="C1267" i="14"/>
  <c r="I1266" i="14"/>
  <c r="G1266" i="14"/>
  <c r="E1266" i="14"/>
  <c r="C1266" i="14"/>
  <c r="I1265" i="14"/>
  <c r="G1265" i="14"/>
  <c r="E1265" i="14"/>
  <c r="C1265" i="14"/>
  <c r="I1264" i="14"/>
  <c r="G1264" i="14"/>
  <c r="E1264" i="14"/>
  <c r="C1264" i="14"/>
  <c r="I1263" i="14"/>
  <c r="G1263" i="14"/>
  <c r="E1263" i="14"/>
  <c r="C1263" i="14"/>
  <c r="I1262" i="14"/>
  <c r="G1262" i="14"/>
  <c r="E1262" i="14"/>
  <c r="C1262" i="14"/>
  <c r="I1261" i="14"/>
  <c r="G1261" i="14"/>
  <c r="E1261" i="14"/>
  <c r="C1261" i="14"/>
  <c r="I1260" i="14"/>
  <c r="G1260" i="14"/>
  <c r="E1260" i="14"/>
  <c r="C1260" i="14"/>
  <c r="I1259" i="14"/>
  <c r="G1259" i="14"/>
  <c r="E1259" i="14"/>
  <c r="C1259" i="14"/>
  <c r="I1258" i="14"/>
  <c r="G1258" i="14"/>
  <c r="E1258" i="14"/>
  <c r="C1258" i="14"/>
  <c r="I1257" i="14"/>
  <c r="G1257" i="14"/>
  <c r="E1257" i="14"/>
  <c r="C1257" i="14"/>
  <c r="I1256" i="14"/>
  <c r="G1256" i="14"/>
  <c r="E1256" i="14"/>
  <c r="C1256" i="14"/>
  <c r="I1255" i="14"/>
  <c r="G1255" i="14"/>
  <c r="E1255" i="14"/>
  <c r="C1255" i="14"/>
  <c r="I1254" i="14"/>
  <c r="G1254" i="14"/>
  <c r="E1254" i="14"/>
  <c r="C1254" i="14"/>
  <c r="I1253" i="14"/>
  <c r="G1253" i="14"/>
  <c r="E1253" i="14"/>
  <c r="C1253" i="14"/>
  <c r="I1252" i="14"/>
  <c r="G1252" i="14"/>
  <c r="E1252" i="14"/>
  <c r="C1252" i="14"/>
  <c r="I1251" i="14"/>
  <c r="G1251" i="14"/>
  <c r="E1251" i="14"/>
  <c r="C1251" i="14"/>
  <c r="I1250" i="14"/>
  <c r="G1250" i="14"/>
  <c r="E1250" i="14"/>
  <c r="C1250" i="14"/>
  <c r="I1249" i="14"/>
  <c r="G1249" i="14"/>
  <c r="E1249" i="14"/>
  <c r="C1249" i="14"/>
  <c r="I1248" i="14"/>
  <c r="G1248" i="14"/>
  <c r="E1248" i="14"/>
  <c r="C1248" i="14"/>
  <c r="I1247" i="14"/>
  <c r="G1247" i="14"/>
  <c r="E1247" i="14"/>
  <c r="C1247" i="14"/>
  <c r="I1246" i="14"/>
  <c r="G1246" i="14"/>
  <c r="E1246" i="14"/>
  <c r="C1246" i="14"/>
  <c r="I1245" i="14"/>
  <c r="G1245" i="14"/>
  <c r="E1245" i="14"/>
  <c r="C1245" i="14"/>
  <c r="I1244" i="14"/>
  <c r="G1244" i="14"/>
  <c r="E1244" i="14"/>
  <c r="C1244" i="14"/>
  <c r="I1243" i="14"/>
  <c r="G1243" i="14"/>
  <c r="E1243" i="14"/>
  <c r="C1243" i="14"/>
  <c r="I1242" i="14"/>
  <c r="G1242" i="14"/>
  <c r="E1242" i="14"/>
  <c r="C1242" i="14"/>
  <c r="I1241" i="14"/>
  <c r="G1241" i="14"/>
  <c r="E1241" i="14"/>
  <c r="C1241" i="14"/>
  <c r="I1240" i="14"/>
  <c r="G1240" i="14"/>
  <c r="E1240" i="14"/>
  <c r="C1240" i="14"/>
  <c r="I1239" i="14"/>
  <c r="G1239" i="14"/>
  <c r="E1239" i="14"/>
  <c r="C1239" i="14"/>
  <c r="I1238" i="14"/>
  <c r="G1238" i="14"/>
  <c r="E1238" i="14"/>
  <c r="C1238" i="14"/>
  <c r="I1237" i="14"/>
  <c r="G1237" i="14"/>
  <c r="E1237" i="14"/>
  <c r="C1237" i="14"/>
  <c r="I1236" i="14"/>
  <c r="G1236" i="14"/>
  <c r="E1236" i="14"/>
  <c r="C1236" i="14"/>
  <c r="I1235" i="14"/>
  <c r="G1235" i="14"/>
  <c r="E1235" i="14"/>
  <c r="C1235" i="14"/>
  <c r="I1234" i="14"/>
  <c r="G1234" i="14"/>
  <c r="E1234" i="14"/>
  <c r="C1234" i="14"/>
  <c r="I1233" i="14"/>
  <c r="G1233" i="14"/>
  <c r="E1233" i="14"/>
  <c r="C1233" i="14"/>
  <c r="I1232" i="14"/>
  <c r="G1232" i="14"/>
  <c r="E1232" i="14"/>
  <c r="C1232" i="14"/>
  <c r="I1231" i="14"/>
  <c r="G1231" i="14"/>
  <c r="E1231" i="14"/>
  <c r="C1231" i="14"/>
  <c r="I1230" i="14"/>
  <c r="G1230" i="14"/>
  <c r="E1230" i="14"/>
  <c r="C1230" i="14"/>
  <c r="I1229" i="14"/>
  <c r="G1229" i="14"/>
  <c r="E1229" i="14"/>
  <c r="C1229" i="14"/>
  <c r="I1228" i="14"/>
  <c r="G1228" i="14"/>
  <c r="E1228" i="14"/>
  <c r="C1228" i="14"/>
  <c r="I1227" i="14"/>
  <c r="G1227" i="14"/>
  <c r="E1227" i="14"/>
  <c r="C1227" i="14"/>
  <c r="I1226" i="14"/>
  <c r="G1226" i="14"/>
  <c r="E1226" i="14"/>
  <c r="C1226" i="14"/>
  <c r="I1225" i="14"/>
  <c r="G1225" i="14"/>
  <c r="E1225" i="14"/>
  <c r="C1225" i="14"/>
  <c r="I1224" i="14"/>
  <c r="G1224" i="14"/>
  <c r="E1224" i="14"/>
  <c r="C1224" i="14"/>
  <c r="I1223" i="14"/>
  <c r="G1223" i="14"/>
  <c r="E1223" i="14"/>
  <c r="C1223" i="14"/>
  <c r="I1222" i="14"/>
  <c r="G1222" i="14"/>
  <c r="E1222" i="14"/>
  <c r="C1222" i="14"/>
  <c r="I1221" i="14"/>
  <c r="G1221" i="14"/>
  <c r="E1221" i="14"/>
  <c r="C1221" i="14"/>
  <c r="I1220" i="14"/>
  <c r="G1220" i="14"/>
  <c r="E1220" i="14"/>
  <c r="C1220" i="14"/>
  <c r="I1219" i="14"/>
  <c r="G1219" i="14"/>
  <c r="E1219" i="14"/>
  <c r="C1219" i="14"/>
  <c r="I1218" i="14"/>
  <c r="G1218" i="14"/>
  <c r="E1218" i="14"/>
  <c r="C1218" i="14"/>
  <c r="I1217" i="14"/>
  <c r="G1217" i="14"/>
  <c r="E1217" i="14"/>
  <c r="C1217" i="14"/>
  <c r="I1216" i="14"/>
  <c r="G1216" i="14"/>
  <c r="E1216" i="14"/>
  <c r="C1216" i="14"/>
  <c r="I1215" i="14"/>
  <c r="G1215" i="14"/>
  <c r="E1215" i="14"/>
  <c r="C1215" i="14"/>
  <c r="I1214" i="14"/>
  <c r="G1214" i="14"/>
  <c r="E1214" i="14"/>
  <c r="C1214" i="14"/>
  <c r="I1213" i="14"/>
  <c r="G1213" i="14"/>
  <c r="E1213" i="14"/>
  <c r="C1213" i="14"/>
  <c r="I1212" i="14"/>
  <c r="G1212" i="14"/>
  <c r="E1212" i="14"/>
  <c r="C1212" i="14"/>
  <c r="I1211" i="14"/>
  <c r="G1211" i="14"/>
  <c r="E1211" i="14"/>
  <c r="C1211" i="14"/>
  <c r="I1210" i="14"/>
  <c r="G1210" i="14"/>
  <c r="E1210" i="14"/>
  <c r="C1210" i="14"/>
  <c r="I1209" i="14"/>
  <c r="G1209" i="14"/>
  <c r="E1209" i="14"/>
  <c r="C1209" i="14"/>
  <c r="I1208" i="14"/>
  <c r="G1208" i="14"/>
  <c r="E1208" i="14"/>
  <c r="C1208" i="14"/>
  <c r="I1207" i="14"/>
  <c r="G1207" i="14"/>
  <c r="E1207" i="14"/>
  <c r="C1207" i="14"/>
  <c r="I1206" i="14"/>
  <c r="G1206" i="14"/>
  <c r="E1206" i="14"/>
  <c r="C1206" i="14"/>
  <c r="I1205" i="14"/>
  <c r="G1205" i="14"/>
  <c r="E1205" i="14"/>
  <c r="C1205" i="14"/>
  <c r="I1204" i="14"/>
  <c r="G1204" i="14"/>
  <c r="E1204" i="14"/>
  <c r="C1204" i="14"/>
  <c r="I1203" i="14"/>
  <c r="G1203" i="14"/>
  <c r="E1203" i="14"/>
  <c r="C1203" i="14"/>
  <c r="I1202" i="14"/>
  <c r="G1202" i="14"/>
  <c r="E1202" i="14"/>
  <c r="C1202" i="14"/>
  <c r="I1201" i="14"/>
  <c r="G1201" i="14"/>
  <c r="E1201" i="14"/>
  <c r="C1201" i="14"/>
  <c r="I1200" i="14"/>
  <c r="G1200" i="14"/>
  <c r="E1200" i="14"/>
  <c r="C1200" i="14"/>
  <c r="I1199" i="14"/>
  <c r="G1199" i="14"/>
  <c r="E1199" i="14"/>
  <c r="C1199" i="14"/>
  <c r="I1198" i="14"/>
  <c r="G1198" i="14"/>
  <c r="E1198" i="14"/>
  <c r="C1198" i="14"/>
  <c r="I1197" i="14"/>
  <c r="G1197" i="14"/>
  <c r="E1197" i="14"/>
  <c r="C1197" i="14"/>
  <c r="I1196" i="14"/>
  <c r="G1196" i="14"/>
  <c r="E1196" i="14"/>
  <c r="C1196" i="14"/>
  <c r="I1195" i="14"/>
  <c r="G1195" i="14"/>
  <c r="E1195" i="14"/>
  <c r="C1195" i="14"/>
  <c r="I1194" i="14"/>
  <c r="G1194" i="14"/>
  <c r="E1194" i="14"/>
  <c r="C1194" i="14"/>
  <c r="I1193" i="14"/>
  <c r="G1193" i="14"/>
  <c r="E1193" i="14"/>
  <c r="C1193" i="14"/>
  <c r="I1192" i="14"/>
  <c r="G1192" i="14"/>
  <c r="E1192" i="14"/>
  <c r="C1192" i="14"/>
  <c r="I1191" i="14"/>
  <c r="G1191" i="14"/>
  <c r="E1191" i="14"/>
  <c r="C1191" i="14"/>
  <c r="I1190" i="14"/>
  <c r="G1190" i="14"/>
  <c r="E1190" i="14"/>
  <c r="C1190" i="14"/>
  <c r="I1189" i="14"/>
  <c r="G1189" i="14"/>
  <c r="E1189" i="14"/>
  <c r="C1189" i="14"/>
  <c r="I1188" i="14"/>
  <c r="G1188" i="14"/>
  <c r="E1188" i="14"/>
  <c r="C1188" i="14"/>
  <c r="I1187" i="14"/>
  <c r="G1187" i="14"/>
  <c r="E1187" i="14"/>
  <c r="C1187" i="14"/>
  <c r="I1186" i="14"/>
  <c r="G1186" i="14"/>
  <c r="E1186" i="14"/>
  <c r="C1186" i="14"/>
  <c r="I1185" i="14"/>
  <c r="G1185" i="14"/>
  <c r="E1185" i="14"/>
  <c r="C1185" i="14"/>
  <c r="I1184" i="14"/>
  <c r="G1184" i="14"/>
  <c r="E1184" i="14"/>
  <c r="C1184" i="14"/>
  <c r="I1183" i="14"/>
  <c r="G1183" i="14"/>
  <c r="E1183" i="14"/>
  <c r="C1183" i="14"/>
  <c r="I1182" i="14"/>
  <c r="G1182" i="14"/>
  <c r="E1182" i="14"/>
  <c r="C1182" i="14"/>
  <c r="I1181" i="14"/>
  <c r="G1181" i="14"/>
  <c r="E1181" i="14"/>
  <c r="C1181" i="14"/>
  <c r="I1180" i="14"/>
  <c r="G1180" i="14"/>
  <c r="E1180" i="14"/>
  <c r="C1180" i="14"/>
  <c r="I1179" i="14"/>
  <c r="G1179" i="14"/>
  <c r="E1179" i="14"/>
  <c r="C1179" i="14"/>
  <c r="I1178" i="14"/>
  <c r="G1178" i="14"/>
  <c r="E1178" i="14"/>
  <c r="C1178" i="14"/>
  <c r="I1177" i="14"/>
  <c r="G1177" i="14"/>
  <c r="E1177" i="14"/>
  <c r="C1177" i="14"/>
  <c r="I1176" i="14"/>
  <c r="G1176" i="14"/>
  <c r="E1176" i="14"/>
  <c r="C1176" i="14"/>
  <c r="I1175" i="14"/>
  <c r="G1175" i="14"/>
  <c r="E1175" i="14"/>
  <c r="C1175" i="14"/>
  <c r="I1174" i="14"/>
  <c r="G1174" i="14"/>
  <c r="E1174" i="14"/>
  <c r="C1174" i="14"/>
  <c r="I1173" i="14"/>
  <c r="G1173" i="14"/>
  <c r="E1173" i="14"/>
  <c r="C1173" i="14"/>
  <c r="I1172" i="14"/>
  <c r="G1172" i="14"/>
  <c r="E1172" i="14"/>
  <c r="C1172" i="14"/>
  <c r="I1171" i="14"/>
  <c r="G1171" i="14"/>
  <c r="E1171" i="14"/>
  <c r="C1171" i="14"/>
  <c r="I1170" i="14"/>
  <c r="G1170" i="14"/>
  <c r="E1170" i="14"/>
  <c r="C1170" i="14"/>
  <c r="I1169" i="14"/>
  <c r="G1169" i="14"/>
  <c r="E1169" i="14"/>
  <c r="C1169" i="14"/>
  <c r="I1168" i="14"/>
  <c r="G1168" i="14"/>
  <c r="E1168" i="14"/>
  <c r="C1168" i="14"/>
  <c r="I1167" i="14"/>
  <c r="G1167" i="14"/>
  <c r="E1167" i="14"/>
  <c r="C1167" i="14"/>
  <c r="I1166" i="14"/>
  <c r="G1166" i="14"/>
  <c r="E1166" i="14"/>
  <c r="C1166" i="14"/>
  <c r="I1165" i="14"/>
  <c r="G1165" i="14"/>
  <c r="E1165" i="14"/>
  <c r="C1165" i="14"/>
  <c r="I1164" i="14"/>
  <c r="G1164" i="14"/>
  <c r="E1164" i="14"/>
  <c r="C1164" i="14"/>
  <c r="I1163" i="14"/>
  <c r="G1163" i="14"/>
  <c r="E1163" i="14"/>
  <c r="C1163" i="14"/>
  <c r="I1162" i="14"/>
  <c r="G1162" i="14"/>
  <c r="E1162" i="14"/>
  <c r="C1162" i="14"/>
  <c r="I1161" i="14"/>
  <c r="G1161" i="14"/>
  <c r="E1161" i="14"/>
  <c r="C1161" i="14"/>
  <c r="I1160" i="14"/>
  <c r="G1160" i="14"/>
  <c r="E1160" i="14"/>
  <c r="C1160" i="14"/>
  <c r="I1159" i="14"/>
  <c r="G1159" i="14"/>
  <c r="E1159" i="14"/>
  <c r="C1159" i="14"/>
  <c r="I1158" i="14"/>
  <c r="G1158" i="14"/>
  <c r="E1158" i="14"/>
  <c r="C1158" i="14"/>
  <c r="I1157" i="14"/>
  <c r="G1157" i="14"/>
  <c r="E1157" i="14"/>
  <c r="C1157" i="14"/>
  <c r="I1156" i="14"/>
  <c r="G1156" i="14"/>
  <c r="E1156" i="14"/>
  <c r="C1156" i="14"/>
  <c r="I1155" i="14"/>
  <c r="G1155" i="14"/>
  <c r="E1155" i="14"/>
  <c r="C1155" i="14"/>
  <c r="I1154" i="14"/>
  <c r="G1154" i="14"/>
  <c r="E1154" i="14"/>
  <c r="C1154" i="14"/>
  <c r="I1153" i="14"/>
  <c r="G1153" i="14"/>
  <c r="E1153" i="14"/>
  <c r="C1153" i="14"/>
  <c r="I1152" i="14"/>
  <c r="G1152" i="14"/>
  <c r="E1152" i="14"/>
  <c r="C1152" i="14"/>
  <c r="I1151" i="14"/>
  <c r="G1151" i="14"/>
  <c r="E1151" i="14"/>
  <c r="C1151" i="14"/>
  <c r="I1150" i="14"/>
  <c r="G1150" i="14"/>
  <c r="E1150" i="14"/>
  <c r="C1150" i="14"/>
  <c r="I1149" i="14"/>
  <c r="G1149" i="14"/>
  <c r="E1149" i="14"/>
  <c r="C1149" i="14"/>
  <c r="I1148" i="14"/>
  <c r="G1148" i="14"/>
  <c r="E1148" i="14"/>
  <c r="C1148" i="14"/>
  <c r="I1147" i="14"/>
  <c r="G1147" i="14"/>
  <c r="E1147" i="14"/>
  <c r="C1147" i="14"/>
  <c r="I1146" i="14"/>
  <c r="G1146" i="14"/>
  <c r="E1146" i="14"/>
  <c r="C1146" i="14"/>
  <c r="I1145" i="14"/>
  <c r="G1145" i="14"/>
  <c r="E1145" i="14"/>
  <c r="C1145" i="14"/>
  <c r="I1144" i="14"/>
  <c r="G1144" i="14"/>
  <c r="E1144" i="14"/>
  <c r="C1144" i="14"/>
  <c r="I1143" i="14"/>
  <c r="G1143" i="14"/>
  <c r="E1143" i="14"/>
  <c r="C1143" i="14"/>
  <c r="I1142" i="14"/>
  <c r="G1142" i="14"/>
  <c r="E1142" i="14"/>
  <c r="C1142" i="14"/>
  <c r="I1141" i="14"/>
  <c r="G1141" i="14"/>
  <c r="E1141" i="14"/>
  <c r="C1141" i="14"/>
  <c r="I1140" i="14"/>
  <c r="G1140" i="14"/>
  <c r="E1140" i="14"/>
  <c r="C1140" i="14"/>
  <c r="I1139" i="14"/>
  <c r="G1139" i="14"/>
  <c r="E1139" i="14"/>
  <c r="C1139" i="14"/>
  <c r="I1138" i="14"/>
  <c r="G1138" i="14"/>
  <c r="E1138" i="14"/>
  <c r="C1138" i="14"/>
  <c r="I1137" i="14"/>
  <c r="G1137" i="14"/>
  <c r="E1137" i="14"/>
  <c r="C1137" i="14"/>
  <c r="I1136" i="14"/>
  <c r="G1136" i="14"/>
  <c r="E1136" i="14"/>
  <c r="C1136" i="14"/>
  <c r="I1135" i="14"/>
  <c r="G1135" i="14"/>
  <c r="E1135" i="14"/>
  <c r="C1135" i="14"/>
  <c r="I1134" i="14"/>
  <c r="G1134" i="14"/>
  <c r="E1134" i="14"/>
  <c r="C1134" i="14"/>
  <c r="I1133" i="14"/>
  <c r="G1133" i="14"/>
  <c r="E1133" i="14"/>
  <c r="C1133" i="14"/>
  <c r="I1132" i="14"/>
  <c r="G1132" i="14"/>
  <c r="E1132" i="14"/>
  <c r="C1132" i="14"/>
  <c r="I1131" i="14"/>
  <c r="G1131" i="14"/>
  <c r="E1131" i="14"/>
  <c r="C1131" i="14"/>
  <c r="I1130" i="14"/>
  <c r="G1130" i="14"/>
  <c r="E1130" i="14"/>
  <c r="C1130" i="14"/>
  <c r="I1129" i="14"/>
  <c r="G1129" i="14"/>
  <c r="E1129" i="14"/>
  <c r="C1129" i="14"/>
  <c r="I1128" i="14"/>
  <c r="G1128" i="14"/>
  <c r="E1128" i="14"/>
  <c r="C1128" i="14"/>
  <c r="I1127" i="14"/>
  <c r="G1127" i="14"/>
  <c r="E1127" i="14"/>
  <c r="C1127" i="14"/>
  <c r="I1126" i="14"/>
  <c r="G1126" i="14"/>
  <c r="E1126" i="14"/>
  <c r="C1126" i="14"/>
  <c r="I1125" i="14"/>
  <c r="G1125" i="14"/>
  <c r="E1125" i="14"/>
  <c r="C1125" i="14"/>
  <c r="I1124" i="14"/>
  <c r="G1124" i="14"/>
  <c r="E1124" i="14"/>
  <c r="C1124" i="14"/>
  <c r="I1123" i="14"/>
  <c r="G1123" i="14"/>
  <c r="E1123" i="14"/>
  <c r="C1123" i="14"/>
  <c r="I1122" i="14"/>
  <c r="G1122" i="14"/>
  <c r="E1122" i="14"/>
  <c r="C1122" i="14"/>
  <c r="I1121" i="14"/>
  <c r="G1121" i="14"/>
  <c r="E1121" i="14"/>
  <c r="C1121" i="14"/>
  <c r="I1120" i="14"/>
  <c r="G1120" i="14"/>
  <c r="E1120" i="14"/>
  <c r="C1120" i="14"/>
  <c r="I1119" i="14"/>
  <c r="G1119" i="14"/>
  <c r="E1119" i="14"/>
  <c r="C1119" i="14"/>
  <c r="I1118" i="14"/>
  <c r="G1118" i="14"/>
  <c r="E1118" i="14"/>
  <c r="C1118" i="14"/>
  <c r="I1117" i="14"/>
  <c r="G1117" i="14"/>
  <c r="E1117" i="14"/>
  <c r="C1117" i="14"/>
  <c r="I1116" i="14"/>
  <c r="G1116" i="14"/>
  <c r="E1116" i="14"/>
  <c r="C1116" i="14"/>
  <c r="I1115" i="14"/>
  <c r="G1115" i="14"/>
  <c r="E1115" i="14"/>
  <c r="C1115" i="14"/>
  <c r="I1114" i="14"/>
  <c r="G1114" i="14"/>
  <c r="E1114" i="14"/>
  <c r="C1114" i="14"/>
  <c r="I1113" i="14"/>
  <c r="G1113" i="14"/>
  <c r="E1113" i="14"/>
  <c r="C1113" i="14"/>
  <c r="I1112" i="14"/>
  <c r="G1112" i="14"/>
  <c r="E1112" i="14"/>
  <c r="C1112" i="14"/>
  <c r="I1111" i="14"/>
  <c r="G1111" i="14"/>
  <c r="E1111" i="14"/>
  <c r="C1111" i="14"/>
  <c r="I1110" i="14"/>
  <c r="G1110" i="14"/>
  <c r="E1110" i="14"/>
  <c r="C1110" i="14"/>
  <c r="I1109" i="14"/>
  <c r="G1109" i="14"/>
  <c r="E1109" i="14"/>
  <c r="C1109" i="14"/>
  <c r="I1108" i="14"/>
  <c r="G1108" i="14"/>
  <c r="E1108" i="14"/>
  <c r="C1108" i="14"/>
  <c r="I1107" i="14"/>
  <c r="G1107" i="14"/>
  <c r="E1107" i="14"/>
  <c r="C1107" i="14"/>
  <c r="I1106" i="14"/>
  <c r="G1106" i="14"/>
  <c r="E1106" i="14"/>
  <c r="C1106" i="14"/>
  <c r="I1105" i="14"/>
  <c r="G1105" i="14"/>
  <c r="E1105" i="14"/>
  <c r="C1105" i="14"/>
  <c r="I1104" i="14"/>
  <c r="G1104" i="14"/>
  <c r="E1104" i="14"/>
  <c r="C1104" i="14"/>
  <c r="I1103" i="14"/>
  <c r="G1103" i="14"/>
  <c r="E1103" i="14"/>
  <c r="C1103" i="14"/>
  <c r="I1102" i="14"/>
  <c r="G1102" i="14"/>
  <c r="E1102" i="14"/>
  <c r="C1102" i="14"/>
  <c r="I1101" i="14"/>
  <c r="G1101" i="14"/>
  <c r="E1101" i="14"/>
  <c r="C1101" i="14"/>
  <c r="I1100" i="14"/>
  <c r="G1100" i="14"/>
  <c r="E1100" i="14"/>
  <c r="C1100" i="14"/>
  <c r="I1099" i="14"/>
  <c r="G1099" i="14"/>
  <c r="E1099" i="14"/>
  <c r="C1099" i="14"/>
  <c r="I1098" i="14"/>
  <c r="G1098" i="14"/>
  <c r="E1098" i="14"/>
  <c r="C1098" i="14"/>
  <c r="I1097" i="14"/>
  <c r="G1097" i="14"/>
  <c r="E1097" i="14"/>
  <c r="C1097" i="14"/>
  <c r="I1096" i="14"/>
  <c r="G1096" i="14"/>
  <c r="E1096" i="14"/>
  <c r="C1096" i="14"/>
  <c r="I1095" i="14"/>
  <c r="G1095" i="14"/>
  <c r="E1095" i="14"/>
  <c r="C1095" i="14"/>
  <c r="I1094" i="14"/>
  <c r="G1094" i="14"/>
  <c r="E1094" i="14"/>
  <c r="C1094" i="14"/>
  <c r="I1093" i="14"/>
  <c r="G1093" i="14"/>
  <c r="E1093" i="14"/>
  <c r="C1093" i="14"/>
  <c r="I1092" i="14"/>
  <c r="G1092" i="14"/>
  <c r="E1092" i="14"/>
  <c r="C1092" i="14"/>
  <c r="I1091" i="14"/>
  <c r="G1091" i="14"/>
  <c r="E1091" i="14"/>
  <c r="C1091" i="14"/>
  <c r="I1090" i="14"/>
  <c r="G1090" i="14"/>
  <c r="E1090" i="14"/>
  <c r="C1090" i="14"/>
  <c r="I1089" i="14"/>
  <c r="G1089" i="14"/>
  <c r="E1089" i="14"/>
  <c r="C1089" i="14"/>
  <c r="I1088" i="14"/>
  <c r="G1088" i="14"/>
  <c r="E1088" i="14"/>
  <c r="C1088" i="14"/>
  <c r="I1087" i="14"/>
  <c r="G1087" i="14"/>
  <c r="E1087" i="14"/>
  <c r="C1087" i="14"/>
  <c r="I1086" i="14"/>
  <c r="G1086" i="14"/>
  <c r="E1086" i="14"/>
  <c r="C1086" i="14"/>
  <c r="I1085" i="14"/>
  <c r="G1085" i="14"/>
  <c r="E1085" i="14"/>
  <c r="C1085" i="14"/>
  <c r="I1084" i="14"/>
  <c r="G1084" i="14"/>
  <c r="E1084" i="14"/>
  <c r="C1084" i="14"/>
  <c r="I1083" i="14"/>
  <c r="G1083" i="14"/>
  <c r="E1083" i="14"/>
  <c r="C1083" i="14"/>
  <c r="I1082" i="14"/>
  <c r="G1082" i="14"/>
  <c r="E1082" i="14"/>
  <c r="C1082" i="14"/>
  <c r="I1081" i="14"/>
  <c r="G1081" i="14"/>
  <c r="E1081" i="14"/>
  <c r="C1081" i="14"/>
  <c r="I1080" i="14"/>
  <c r="G1080" i="14"/>
  <c r="E1080" i="14"/>
  <c r="C1080" i="14"/>
  <c r="I1079" i="14"/>
  <c r="G1079" i="14"/>
  <c r="E1079" i="14"/>
  <c r="C1079" i="14"/>
  <c r="I1078" i="14"/>
  <c r="G1078" i="14"/>
  <c r="E1078" i="14"/>
  <c r="C1078" i="14"/>
  <c r="I1077" i="14"/>
  <c r="G1077" i="14"/>
  <c r="E1077" i="14"/>
  <c r="C1077" i="14"/>
  <c r="I1076" i="14"/>
  <c r="G1076" i="14"/>
  <c r="E1076" i="14"/>
  <c r="C1076" i="14"/>
  <c r="I1075" i="14"/>
  <c r="G1075" i="14"/>
  <c r="E1075" i="14"/>
  <c r="C1075" i="14"/>
  <c r="I1074" i="14"/>
  <c r="G1074" i="14"/>
  <c r="E1074" i="14"/>
  <c r="C1074" i="14"/>
  <c r="I1073" i="14"/>
  <c r="G1073" i="14"/>
  <c r="E1073" i="14"/>
  <c r="C1073" i="14"/>
  <c r="I1072" i="14"/>
  <c r="G1072" i="14"/>
  <c r="E1072" i="14"/>
  <c r="C1072" i="14"/>
  <c r="I1071" i="14"/>
  <c r="G1071" i="14"/>
  <c r="E1071" i="14"/>
  <c r="C1071" i="14"/>
  <c r="I1070" i="14"/>
  <c r="G1070" i="14"/>
  <c r="E1070" i="14"/>
  <c r="C1070" i="14"/>
  <c r="I1069" i="14"/>
  <c r="G1069" i="14"/>
  <c r="E1069" i="14"/>
  <c r="C1069" i="14"/>
  <c r="I1068" i="14"/>
  <c r="G1068" i="14"/>
  <c r="E1068" i="14"/>
  <c r="C1068" i="14"/>
  <c r="I1067" i="14"/>
  <c r="G1067" i="14"/>
  <c r="E1067" i="14"/>
  <c r="C1067" i="14"/>
  <c r="I1066" i="14"/>
  <c r="G1066" i="14"/>
  <c r="E1066" i="14"/>
  <c r="C1066" i="14"/>
  <c r="I1065" i="14"/>
  <c r="G1065" i="14"/>
  <c r="E1065" i="14"/>
  <c r="C1065" i="14"/>
  <c r="I1064" i="14"/>
  <c r="G1064" i="14"/>
  <c r="E1064" i="14"/>
  <c r="C1064" i="14"/>
  <c r="I1063" i="14"/>
  <c r="G1063" i="14"/>
  <c r="E1063" i="14"/>
  <c r="C1063" i="14"/>
  <c r="I1062" i="14"/>
  <c r="G1062" i="14"/>
  <c r="E1062" i="14"/>
  <c r="C1062" i="14"/>
  <c r="I1061" i="14"/>
  <c r="G1061" i="14"/>
  <c r="E1061" i="14"/>
  <c r="C1061" i="14"/>
  <c r="I1060" i="14"/>
  <c r="G1060" i="14"/>
  <c r="E1060" i="14"/>
  <c r="C1060" i="14"/>
  <c r="I1059" i="14"/>
  <c r="G1059" i="14"/>
  <c r="E1059" i="14"/>
  <c r="C1059" i="14"/>
  <c r="I1058" i="14"/>
  <c r="G1058" i="14"/>
  <c r="E1058" i="14"/>
  <c r="C1058" i="14"/>
  <c r="I1057" i="14"/>
  <c r="G1057" i="14"/>
  <c r="E1057" i="14"/>
  <c r="C1057" i="14"/>
  <c r="I1056" i="14"/>
  <c r="G1056" i="14"/>
  <c r="E1056" i="14"/>
  <c r="C1056" i="14"/>
  <c r="I1055" i="14"/>
  <c r="G1055" i="14"/>
  <c r="E1055" i="14"/>
  <c r="C1055" i="14"/>
  <c r="I1054" i="14"/>
  <c r="G1054" i="14"/>
  <c r="E1054" i="14"/>
  <c r="C1054" i="14"/>
  <c r="I1053" i="14"/>
  <c r="G1053" i="14"/>
  <c r="E1053" i="14"/>
  <c r="C1053" i="14"/>
  <c r="I1052" i="14"/>
  <c r="G1052" i="14"/>
  <c r="E1052" i="14"/>
  <c r="C1052" i="14"/>
  <c r="I1051" i="14"/>
  <c r="G1051" i="14"/>
  <c r="E1051" i="14"/>
  <c r="C1051" i="14"/>
  <c r="I1050" i="14"/>
  <c r="G1050" i="14"/>
  <c r="E1050" i="14"/>
  <c r="C1050" i="14"/>
  <c r="I1049" i="14"/>
  <c r="G1049" i="14"/>
  <c r="E1049" i="14"/>
  <c r="C1049" i="14"/>
  <c r="I1048" i="14"/>
  <c r="G1048" i="14"/>
  <c r="E1048" i="14"/>
  <c r="C1048" i="14"/>
  <c r="I1047" i="14"/>
  <c r="G1047" i="14"/>
  <c r="E1047" i="14"/>
  <c r="C1047" i="14"/>
  <c r="I1046" i="14"/>
  <c r="G1046" i="14"/>
  <c r="E1046" i="14"/>
  <c r="C1046" i="14"/>
  <c r="I1045" i="14"/>
  <c r="G1045" i="14"/>
  <c r="E1045" i="14"/>
  <c r="C1045" i="14"/>
  <c r="I1044" i="14"/>
  <c r="G1044" i="14"/>
  <c r="E1044" i="14"/>
  <c r="C1044" i="14"/>
  <c r="I1043" i="14"/>
  <c r="G1043" i="14"/>
  <c r="E1043" i="14"/>
  <c r="C1043" i="14"/>
  <c r="I1042" i="14"/>
  <c r="G1042" i="14"/>
  <c r="E1042" i="14"/>
  <c r="C1042" i="14"/>
  <c r="I1041" i="14"/>
  <c r="G1041" i="14"/>
  <c r="E1041" i="14"/>
  <c r="C1041" i="14"/>
  <c r="I1040" i="14"/>
  <c r="G1040" i="14"/>
  <c r="E1040" i="14"/>
  <c r="C1040" i="14"/>
  <c r="I1039" i="14"/>
  <c r="G1039" i="14"/>
  <c r="E1039" i="14"/>
  <c r="C1039" i="14"/>
  <c r="I1038" i="14"/>
  <c r="G1038" i="14"/>
  <c r="E1038" i="14"/>
  <c r="C1038" i="14"/>
  <c r="I1037" i="14"/>
  <c r="G1037" i="14"/>
  <c r="E1037" i="14"/>
  <c r="C1037" i="14"/>
  <c r="I1036" i="14"/>
  <c r="G1036" i="14"/>
  <c r="E1036" i="14"/>
  <c r="C1036" i="14"/>
  <c r="I1035" i="14"/>
  <c r="G1035" i="14"/>
  <c r="E1035" i="14"/>
  <c r="C1035" i="14"/>
  <c r="I1034" i="14"/>
  <c r="G1034" i="14"/>
  <c r="E1034" i="14"/>
  <c r="C1034" i="14"/>
  <c r="I1033" i="14"/>
  <c r="G1033" i="14"/>
  <c r="E1033" i="14"/>
  <c r="C1033" i="14"/>
  <c r="I1032" i="14"/>
  <c r="G1032" i="14"/>
  <c r="E1032" i="14"/>
  <c r="C1032" i="14"/>
  <c r="I1031" i="14"/>
  <c r="G1031" i="14"/>
  <c r="E1031" i="14"/>
  <c r="C1031" i="14"/>
  <c r="I1030" i="14"/>
  <c r="G1030" i="14"/>
  <c r="E1030" i="14"/>
  <c r="C1030" i="14"/>
  <c r="I1029" i="14"/>
  <c r="G1029" i="14"/>
  <c r="E1029" i="14"/>
  <c r="C1029" i="14"/>
  <c r="I1028" i="14"/>
  <c r="G1028" i="14"/>
  <c r="E1028" i="14"/>
  <c r="C1028" i="14"/>
  <c r="I1027" i="14"/>
  <c r="G1027" i="14"/>
  <c r="E1027" i="14"/>
  <c r="C1027" i="14"/>
  <c r="I1026" i="14"/>
  <c r="G1026" i="14"/>
  <c r="E1026" i="14"/>
  <c r="C1026" i="14"/>
  <c r="I1025" i="14"/>
  <c r="G1025" i="14"/>
  <c r="E1025" i="14"/>
  <c r="C1025" i="14"/>
  <c r="I1024" i="14"/>
  <c r="G1024" i="14"/>
  <c r="E1024" i="14"/>
  <c r="C1024" i="14"/>
  <c r="I1023" i="14"/>
  <c r="G1023" i="14"/>
  <c r="E1023" i="14"/>
  <c r="C1023" i="14"/>
  <c r="I1022" i="14"/>
  <c r="G1022" i="14"/>
  <c r="E1022" i="14"/>
  <c r="C1022" i="14"/>
  <c r="I1021" i="14"/>
  <c r="G1021" i="14"/>
  <c r="E1021" i="14"/>
  <c r="C1021" i="14"/>
  <c r="I1020" i="14"/>
  <c r="G1020" i="14"/>
  <c r="E1020" i="14"/>
  <c r="C1020" i="14"/>
  <c r="I1019" i="14"/>
  <c r="G1019" i="14"/>
  <c r="E1019" i="14"/>
  <c r="C1019" i="14"/>
  <c r="I1018" i="14"/>
  <c r="G1018" i="14"/>
  <c r="E1018" i="14"/>
  <c r="C1018" i="14"/>
  <c r="I1017" i="14"/>
  <c r="G1017" i="14"/>
  <c r="E1017" i="14"/>
  <c r="C1017" i="14"/>
  <c r="I1016" i="14"/>
  <c r="G1016" i="14"/>
  <c r="E1016" i="14"/>
  <c r="C1016" i="14"/>
  <c r="I1015" i="14"/>
  <c r="G1015" i="14"/>
  <c r="E1015" i="14"/>
  <c r="C1015" i="14"/>
  <c r="I1014" i="14"/>
  <c r="G1014" i="14"/>
  <c r="E1014" i="14"/>
  <c r="C1014" i="14"/>
  <c r="I1013" i="14"/>
  <c r="G1013" i="14"/>
  <c r="E1013" i="14"/>
  <c r="C1013" i="14"/>
  <c r="I1012" i="14"/>
  <c r="G1012" i="14"/>
  <c r="E1012" i="14"/>
  <c r="C1012" i="14"/>
  <c r="I1011" i="14"/>
  <c r="G1011" i="14"/>
  <c r="E1011" i="14"/>
  <c r="C1011" i="14"/>
  <c r="I1010" i="14"/>
  <c r="G1010" i="14"/>
  <c r="E1010" i="14"/>
  <c r="C1010" i="14"/>
  <c r="I1009" i="14"/>
  <c r="G1009" i="14"/>
  <c r="E1009" i="14"/>
  <c r="C1009" i="14"/>
  <c r="I1008" i="14"/>
  <c r="G1008" i="14"/>
  <c r="E1008" i="14"/>
  <c r="C1008" i="14"/>
  <c r="I1007" i="14"/>
  <c r="G1007" i="14"/>
  <c r="E1007" i="14"/>
  <c r="C1007" i="14"/>
  <c r="I1006" i="14"/>
  <c r="G1006" i="14"/>
  <c r="E1006" i="14"/>
  <c r="C1006" i="14"/>
  <c r="I1005" i="14"/>
  <c r="G1005" i="14"/>
  <c r="E1005" i="14"/>
  <c r="C1005" i="14"/>
  <c r="I1004" i="14"/>
  <c r="G1004" i="14"/>
  <c r="E1004" i="14"/>
  <c r="C1004" i="14"/>
  <c r="I1003" i="14"/>
  <c r="G1003" i="14"/>
  <c r="E1003" i="14"/>
  <c r="C1003" i="14"/>
  <c r="I1002" i="14"/>
  <c r="G1002" i="14"/>
  <c r="E1002" i="14"/>
  <c r="C1002" i="14"/>
  <c r="I1001" i="14"/>
  <c r="G1001" i="14"/>
  <c r="E1001" i="14"/>
  <c r="C1001" i="14"/>
  <c r="I1000" i="14"/>
  <c r="G1000" i="14"/>
  <c r="E1000" i="14"/>
  <c r="C1000" i="14"/>
  <c r="I999" i="14"/>
  <c r="G999" i="14"/>
  <c r="E999" i="14"/>
  <c r="C999" i="14"/>
  <c r="I998" i="14"/>
  <c r="G998" i="14"/>
  <c r="E998" i="14"/>
  <c r="C998" i="14"/>
  <c r="I997" i="14"/>
  <c r="G997" i="14"/>
  <c r="E997" i="14"/>
  <c r="C997" i="14"/>
  <c r="I996" i="14"/>
  <c r="G996" i="14"/>
  <c r="E996" i="14"/>
  <c r="C996" i="14"/>
  <c r="I995" i="14"/>
  <c r="G995" i="14"/>
  <c r="E995" i="14"/>
  <c r="C995" i="14"/>
  <c r="I994" i="14"/>
  <c r="G994" i="14"/>
  <c r="E994" i="14"/>
  <c r="C994" i="14"/>
  <c r="I993" i="14"/>
  <c r="G993" i="14"/>
  <c r="E993" i="14"/>
  <c r="C993" i="14"/>
  <c r="I992" i="14"/>
  <c r="G992" i="14"/>
  <c r="E992" i="14"/>
  <c r="C992" i="14"/>
  <c r="I991" i="14"/>
  <c r="G991" i="14"/>
  <c r="E991" i="14"/>
  <c r="C991" i="14"/>
  <c r="I990" i="14"/>
  <c r="G990" i="14"/>
  <c r="E990" i="14"/>
  <c r="C990" i="14"/>
  <c r="I989" i="14"/>
  <c r="G989" i="14"/>
  <c r="E989" i="14"/>
  <c r="C989" i="14"/>
  <c r="I988" i="14"/>
  <c r="G988" i="14"/>
  <c r="E988" i="14"/>
  <c r="C988" i="14"/>
  <c r="I987" i="14"/>
  <c r="G987" i="14"/>
  <c r="E987" i="14"/>
  <c r="C987" i="14"/>
  <c r="I986" i="14"/>
  <c r="G986" i="14"/>
  <c r="E986" i="14"/>
  <c r="C986" i="14"/>
  <c r="I985" i="14"/>
  <c r="G985" i="14"/>
  <c r="E985" i="14"/>
  <c r="C985" i="14"/>
  <c r="I984" i="14"/>
  <c r="G984" i="14"/>
  <c r="E984" i="14"/>
  <c r="C984" i="14"/>
  <c r="I983" i="14"/>
  <c r="G983" i="14"/>
  <c r="E983" i="14"/>
  <c r="C983" i="14"/>
  <c r="I982" i="14"/>
  <c r="G982" i="14"/>
  <c r="E982" i="14"/>
  <c r="C982" i="14"/>
  <c r="I981" i="14"/>
  <c r="G981" i="14"/>
  <c r="E981" i="14"/>
  <c r="C981" i="14"/>
  <c r="I980" i="14"/>
  <c r="G980" i="14"/>
  <c r="E980" i="14"/>
  <c r="C980" i="14"/>
  <c r="I979" i="14"/>
  <c r="G979" i="14"/>
  <c r="E979" i="14"/>
  <c r="C979" i="14"/>
  <c r="I978" i="14"/>
  <c r="G978" i="14"/>
  <c r="E978" i="14"/>
  <c r="C978" i="14"/>
  <c r="I977" i="14"/>
  <c r="G977" i="14"/>
  <c r="E977" i="14"/>
  <c r="C977" i="14"/>
  <c r="I976" i="14"/>
  <c r="G976" i="14"/>
  <c r="E976" i="14"/>
  <c r="C976" i="14"/>
  <c r="I975" i="14"/>
  <c r="G975" i="14"/>
  <c r="E975" i="14"/>
  <c r="C975" i="14"/>
  <c r="I974" i="14"/>
  <c r="G974" i="14"/>
  <c r="E974" i="14"/>
  <c r="C974" i="14"/>
  <c r="I973" i="14"/>
  <c r="G973" i="14"/>
  <c r="E973" i="14"/>
  <c r="C973" i="14"/>
  <c r="I972" i="14"/>
  <c r="G972" i="14"/>
  <c r="E972" i="14"/>
  <c r="C972" i="14"/>
  <c r="I971" i="14"/>
  <c r="G971" i="14"/>
  <c r="E971" i="14"/>
  <c r="C971" i="14"/>
  <c r="I970" i="14"/>
  <c r="G970" i="14"/>
  <c r="E970" i="14"/>
  <c r="C970" i="14"/>
  <c r="I969" i="14"/>
  <c r="G969" i="14"/>
  <c r="E969" i="14"/>
  <c r="C969" i="14"/>
  <c r="I968" i="14"/>
  <c r="G968" i="14"/>
  <c r="E968" i="14"/>
  <c r="C968" i="14"/>
  <c r="I967" i="14"/>
  <c r="G967" i="14"/>
  <c r="E967" i="14"/>
  <c r="C967" i="14"/>
  <c r="I966" i="14"/>
  <c r="G966" i="14"/>
  <c r="E966" i="14"/>
  <c r="C966" i="14"/>
  <c r="I965" i="14"/>
  <c r="G965" i="14"/>
  <c r="E965" i="14"/>
  <c r="C965" i="14"/>
  <c r="I964" i="14"/>
  <c r="G964" i="14"/>
  <c r="E964" i="14"/>
  <c r="C964" i="14"/>
  <c r="I963" i="14"/>
  <c r="G963" i="14"/>
  <c r="E963" i="14"/>
  <c r="C963" i="14"/>
  <c r="I962" i="14"/>
  <c r="G962" i="14"/>
  <c r="E962" i="14"/>
  <c r="C962" i="14"/>
  <c r="I961" i="14"/>
  <c r="G961" i="14"/>
  <c r="E961" i="14"/>
  <c r="C961" i="14"/>
  <c r="I960" i="14"/>
  <c r="G960" i="14"/>
  <c r="E960" i="14"/>
  <c r="C960" i="14"/>
  <c r="I959" i="14"/>
  <c r="G959" i="14"/>
  <c r="E959" i="14"/>
  <c r="C959" i="14"/>
  <c r="I958" i="14"/>
  <c r="G958" i="14"/>
  <c r="E958" i="14"/>
  <c r="C958" i="14"/>
  <c r="I957" i="14"/>
  <c r="G957" i="14"/>
  <c r="E957" i="14"/>
  <c r="C957" i="14"/>
  <c r="I956" i="14"/>
  <c r="G956" i="14"/>
  <c r="E956" i="14"/>
  <c r="C956" i="14"/>
  <c r="I955" i="14"/>
  <c r="G955" i="14"/>
  <c r="E955" i="14"/>
  <c r="C955" i="14"/>
  <c r="I954" i="14"/>
  <c r="G954" i="14"/>
  <c r="E954" i="14"/>
  <c r="C954" i="14"/>
  <c r="I953" i="14"/>
  <c r="G953" i="14"/>
  <c r="E953" i="14"/>
  <c r="C953" i="14"/>
  <c r="I952" i="14"/>
  <c r="G952" i="14"/>
  <c r="E952" i="14"/>
  <c r="C952" i="14"/>
  <c r="I951" i="14"/>
  <c r="G951" i="14"/>
  <c r="E951" i="14"/>
  <c r="C951" i="14"/>
  <c r="I950" i="14"/>
  <c r="G950" i="14"/>
  <c r="E950" i="14"/>
  <c r="C950" i="14"/>
  <c r="I949" i="14"/>
  <c r="G949" i="14"/>
  <c r="E949" i="14"/>
  <c r="C949" i="14"/>
  <c r="I948" i="14"/>
  <c r="G948" i="14"/>
  <c r="E948" i="14"/>
  <c r="C948" i="14"/>
  <c r="I947" i="14"/>
  <c r="G947" i="14"/>
  <c r="E947" i="14"/>
  <c r="C947" i="14"/>
  <c r="I946" i="14"/>
  <c r="G946" i="14"/>
  <c r="E946" i="14"/>
  <c r="C946" i="14"/>
  <c r="I945" i="14"/>
  <c r="G945" i="14"/>
  <c r="E945" i="14"/>
  <c r="C945" i="14"/>
  <c r="I944" i="14"/>
  <c r="G944" i="14"/>
  <c r="E944" i="14"/>
  <c r="C944" i="14"/>
  <c r="I943" i="14"/>
  <c r="G943" i="14"/>
  <c r="E943" i="14"/>
  <c r="C943" i="14"/>
  <c r="I942" i="14"/>
  <c r="G942" i="14"/>
  <c r="E942" i="14"/>
  <c r="C942" i="14"/>
  <c r="I941" i="14"/>
  <c r="G941" i="14"/>
  <c r="E941" i="14"/>
  <c r="C941" i="14"/>
  <c r="I940" i="14"/>
  <c r="G940" i="14"/>
  <c r="E940" i="14"/>
  <c r="C940" i="14"/>
  <c r="I939" i="14"/>
  <c r="G939" i="14"/>
  <c r="E939" i="14"/>
  <c r="C939" i="14"/>
  <c r="I938" i="14"/>
  <c r="G938" i="14"/>
  <c r="E938" i="14"/>
  <c r="C938" i="14"/>
  <c r="I937" i="14"/>
  <c r="G937" i="14"/>
  <c r="E937" i="14"/>
  <c r="C937" i="14"/>
  <c r="I936" i="14"/>
  <c r="G936" i="14"/>
  <c r="E936" i="14"/>
  <c r="C936" i="14"/>
  <c r="I935" i="14"/>
  <c r="G935" i="14"/>
  <c r="E935" i="14"/>
  <c r="C935" i="14"/>
  <c r="I934" i="14"/>
  <c r="G934" i="14"/>
  <c r="E934" i="14"/>
  <c r="C934" i="14"/>
  <c r="I933" i="14"/>
  <c r="G933" i="14"/>
  <c r="E933" i="14"/>
  <c r="C933" i="14"/>
  <c r="I932" i="14"/>
  <c r="G932" i="14"/>
  <c r="E932" i="14"/>
  <c r="C932" i="14"/>
  <c r="I931" i="14"/>
  <c r="G931" i="14"/>
  <c r="E931" i="14"/>
  <c r="C931" i="14"/>
  <c r="I930" i="14"/>
  <c r="G930" i="14"/>
  <c r="E930" i="14"/>
  <c r="C930" i="14"/>
  <c r="I929" i="14"/>
  <c r="G929" i="14"/>
  <c r="E929" i="14"/>
  <c r="C929" i="14"/>
  <c r="I928" i="14"/>
  <c r="G928" i="14"/>
  <c r="E928" i="14"/>
  <c r="C928" i="14"/>
  <c r="I927" i="14"/>
  <c r="G927" i="14"/>
  <c r="E927" i="14"/>
  <c r="C927" i="14"/>
  <c r="I926" i="14"/>
  <c r="G926" i="14"/>
  <c r="E926" i="14"/>
  <c r="C926" i="14"/>
  <c r="I925" i="14"/>
  <c r="G925" i="14"/>
  <c r="E925" i="14"/>
  <c r="C925" i="14"/>
  <c r="I924" i="14"/>
  <c r="G924" i="14"/>
  <c r="E924" i="14"/>
  <c r="C924" i="14"/>
  <c r="I923" i="14"/>
  <c r="G923" i="14"/>
  <c r="E923" i="14"/>
  <c r="C923" i="14"/>
  <c r="I922" i="14"/>
  <c r="G922" i="14"/>
  <c r="E922" i="14"/>
  <c r="C922" i="14"/>
  <c r="I921" i="14"/>
  <c r="G921" i="14"/>
  <c r="E921" i="14"/>
  <c r="C921" i="14"/>
  <c r="I920" i="14"/>
  <c r="G920" i="14"/>
  <c r="E920" i="14"/>
  <c r="C920" i="14"/>
  <c r="I919" i="14"/>
  <c r="G919" i="14"/>
  <c r="E919" i="14"/>
  <c r="C919" i="14"/>
  <c r="I918" i="14"/>
  <c r="G918" i="14"/>
  <c r="E918" i="14"/>
  <c r="C918" i="14"/>
  <c r="I917" i="14"/>
  <c r="G917" i="14"/>
  <c r="E917" i="14"/>
  <c r="C917" i="14"/>
  <c r="I916" i="14"/>
  <c r="G916" i="14"/>
  <c r="E916" i="14"/>
  <c r="C916" i="14"/>
  <c r="I915" i="14"/>
  <c r="G915" i="14"/>
  <c r="E915" i="14"/>
  <c r="C915" i="14"/>
  <c r="I914" i="14"/>
  <c r="G914" i="14"/>
  <c r="E914" i="14"/>
  <c r="C914" i="14"/>
  <c r="I913" i="14"/>
  <c r="G913" i="14"/>
  <c r="E913" i="14"/>
  <c r="C913" i="14"/>
  <c r="I912" i="14"/>
  <c r="G912" i="14"/>
  <c r="E912" i="14"/>
  <c r="C912" i="14"/>
  <c r="I911" i="14"/>
  <c r="G911" i="14"/>
  <c r="E911" i="14"/>
  <c r="C911" i="14"/>
  <c r="I910" i="14"/>
  <c r="G910" i="14"/>
  <c r="E910" i="14"/>
  <c r="C910" i="14"/>
  <c r="I909" i="14"/>
  <c r="G909" i="14"/>
  <c r="E909" i="14"/>
  <c r="C909" i="14"/>
  <c r="I908" i="14"/>
  <c r="G908" i="14"/>
  <c r="E908" i="14"/>
  <c r="C908" i="14"/>
  <c r="I907" i="14"/>
  <c r="G907" i="14"/>
  <c r="E907" i="14"/>
  <c r="C907" i="14"/>
  <c r="I906" i="14"/>
  <c r="G906" i="14"/>
  <c r="E906" i="14"/>
  <c r="C906" i="14"/>
  <c r="I905" i="14"/>
  <c r="G905" i="14"/>
  <c r="E905" i="14"/>
  <c r="C905" i="14"/>
  <c r="I904" i="14"/>
  <c r="G904" i="14"/>
  <c r="E904" i="14"/>
  <c r="C904" i="14"/>
  <c r="I903" i="14"/>
  <c r="G903" i="14"/>
  <c r="E903" i="14"/>
  <c r="C903" i="14"/>
  <c r="I902" i="14"/>
  <c r="G902" i="14"/>
  <c r="E902" i="14"/>
  <c r="C902" i="14"/>
  <c r="I901" i="14"/>
  <c r="G901" i="14"/>
  <c r="E901" i="14"/>
  <c r="C901" i="14"/>
  <c r="I900" i="14"/>
  <c r="G900" i="14"/>
  <c r="E900" i="14"/>
  <c r="C900" i="14"/>
  <c r="I899" i="14"/>
  <c r="G899" i="14"/>
  <c r="E899" i="14"/>
  <c r="C899" i="14"/>
  <c r="I898" i="14"/>
  <c r="G898" i="14"/>
  <c r="E898" i="14"/>
  <c r="C898" i="14"/>
  <c r="I897" i="14"/>
  <c r="G897" i="14"/>
  <c r="E897" i="14"/>
  <c r="C897" i="14"/>
  <c r="I896" i="14"/>
  <c r="G896" i="14"/>
  <c r="E896" i="14"/>
  <c r="C896" i="14"/>
  <c r="I895" i="14"/>
  <c r="G895" i="14"/>
  <c r="E895" i="14"/>
  <c r="C895" i="14"/>
  <c r="I894" i="14"/>
  <c r="G894" i="14"/>
  <c r="E894" i="14"/>
  <c r="C894" i="14"/>
  <c r="I893" i="14"/>
  <c r="G893" i="14"/>
  <c r="E893" i="14"/>
  <c r="C893" i="14"/>
  <c r="I892" i="14"/>
  <c r="G892" i="14"/>
  <c r="E892" i="14"/>
  <c r="C892" i="14"/>
  <c r="I891" i="14"/>
  <c r="G891" i="14"/>
  <c r="E891" i="14"/>
  <c r="C891" i="14"/>
  <c r="I890" i="14"/>
  <c r="G890" i="14"/>
  <c r="E890" i="14"/>
  <c r="C890" i="14"/>
  <c r="I889" i="14"/>
  <c r="G889" i="14"/>
  <c r="E889" i="14"/>
  <c r="C889" i="14"/>
  <c r="I888" i="14"/>
  <c r="G888" i="14"/>
  <c r="E888" i="14"/>
  <c r="C888" i="14"/>
  <c r="I887" i="14"/>
  <c r="G887" i="14"/>
  <c r="E887" i="14"/>
  <c r="C887" i="14"/>
  <c r="I886" i="14"/>
  <c r="G886" i="14"/>
  <c r="E886" i="14"/>
  <c r="C886" i="14"/>
  <c r="I885" i="14"/>
  <c r="G885" i="14"/>
  <c r="E885" i="14"/>
  <c r="C885" i="14"/>
  <c r="I884" i="14"/>
  <c r="G884" i="14"/>
  <c r="E884" i="14"/>
  <c r="C884" i="14"/>
  <c r="I883" i="14"/>
  <c r="G883" i="14"/>
  <c r="E883" i="14"/>
  <c r="C883" i="14"/>
  <c r="I882" i="14"/>
  <c r="G882" i="14"/>
  <c r="E882" i="14"/>
  <c r="C882" i="14"/>
  <c r="I881" i="14"/>
  <c r="G881" i="14"/>
  <c r="E881" i="14"/>
  <c r="C881" i="14"/>
  <c r="I880" i="14"/>
  <c r="G880" i="14"/>
  <c r="E880" i="14"/>
  <c r="C880" i="14"/>
  <c r="I879" i="14"/>
  <c r="G879" i="14"/>
  <c r="E879" i="14"/>
  <c r="C879" i="14"/>
  <c r="I878" i="14"/>
  <c r="G878" i="14"/>
  <c r="E878" i="14"/>
  <c r="C878" i="14"/>
  <c r="I877" i="14"/>
  <c r="G877" i="14"/>
  <c r="E877" i="14"/>
  <c r="C877" i="14"/>
  <c r="I876" i="14"/>
  <c r="G876" i="14"/>
  <c r="E876" i="14"/>
  <c r="C876" i="14"/>
  <c r="I875" i="14"/>
  <c r="G875" i="14"/>
  <c r="E875" i="14"/>
  <c r="C875" i="14"/>
  <c r="I874" i="14"/>
  <c r="G874" i="14"/>
  <c r="E874" i="14"/>
  <c r="C874" i="14"/>
  <c r="I873" i="14"/>
  <c r="G873" i="14"/>
  <c r="E873" i="14"/>
  <c r="C873" i="14"/>
  <c r="I872" i="14"/>
  <c r="G872" i="14"/>
  <c r="E872" i="14"/>
  <c r="C872" i="14"/>
  <c r="I871" i="14"/>
  <c r="G871" i="14"/>
  <c r="E871" i="14"/>
  <c r="C871" i="14"/>
  <c r="I870" i="14"/>
  <c r="G870" i="14"/>
  <c r="E870" i="14"/>
  <c r="C870" i="14"/>
  <c r="I869" i="14"/>
  <c r="G869" i="14"/>
  <c r="E869" i="14"/>
  <c r="C869" i="14"/>
  <c r="I868" i="14"/>
  <c r="G868" i="14"/>
  <c r="E868" i="14"/>
  <c r="C868" i="14"/>
  <c r="I867" i="14"/>
  <c r="G867" i="14"/>
  <c r="E867" i="14"/>
  <c r="C867" i="14"/>
  <c r="I866" i="14"/>
  <c r="G866" i="14"/>
  <c r="E866" i="14"/>
  <c r="C866" i="14"/>
  <c r="I865" i="14"/>
  <c r="G865" i="14"/>
  <c r="E865" i="14"/>
  <c r="C865" i="14"/>
  <c r="I864" i="14"/>
  <c r="G864" i="14"/>
  <c r="E864" i="14"/>
  <c r="C864" i="14"/>
  <c r="I863" i="14"/>
  <c r="G863" i="14"/>
  <c r="E863" i="14"/>
  <c r="C863" i="14"/>
  <c r="I862" i="14"/>
  <c r="G862" i="14"/>
  <c r="E862" i="14"/>
  <c r="C862" i="14"/>
  <c r="I861" i="14"/>
  <c r="G861" i="14"/>
  <c r="E861" i="14"/>
  <c r="C861" i="14"/>
  <c r="I860" i="14"/>
  <c r="G860" i="14"/>
  <c r="E860" i="14"/>
  <c r="C860" i="14"/>
  <c r="I859" i="14"/>
  <c r="G859" i="14"/>
  <c r="E859" i="14"/>
  <c r="C859" i="14"/>
  <c r="I858" i="14"/>
  <c r="G858" i="14"/>
  <c r="E858" i="14"/>
  <c r="C858" i="14"/>
  <c r="I857" i="14"/>
  <c r="G857" i="14"/>
  <c r="E857" i="14"/>
  <c r="C857" i="14"/>
  <c r="I856" i="14"/>
  <c r="G856" i="14"/>
  <c r="E856" i="14"/>
  <c r="C856" i="14"/>
  <c r="I855" i="14"/>
  <c r="G855" i="14"/>
  <c r="E855" i="14"/>
  <c r="C855" i="14"/>
  <c r="I854" i="14"/>
  <c r="G854" i="14"/>
  <c r="E854" i="14"/>
  <c r="C854" i="14"/>
  <c r="I853" i="14"/>
  <c r="G853" i="14"/>
  <c r="E853" i="14"/>
  <c r="C853" i="14"/>
  <c r="I852" i="14"/>
  <c r="G852" i="14"/>
  <c r="E852" i="14"/>
  <c r="C852" i="14"/>
  <c r="I851" i="14"/>
  <c r="G851" i="14"/>
  <c r="E851" i="14"/>
  <c r="C851" i="14"/>
  <c r="I850" i="14"/>
  <c r="G850" i="14"/>
  <c r="E850" i="14"/>
  <c r="C850" i="14"/>
  <c r="I849" i="14"/>
  <c r="G849" i="14"/>
  <c r="E849" i="14"/>
  <c r="C849" i="14"/>
  <c r="I848" i="14"/>
  <c r="G848" i="14"/>
  <c r="E848" i="14"/>
  <c r="C848" i="14"/>
  <c r="I847" i="14"/>
  <c r="G847" i="14"/>
  <c r="E847" i="14"/>
  <c r="C847" i="14"/>
  <c r="I846" i="14"/>
  <c r="G846" i="14"/>
  <c r="E846" i="14"/>
  <c r="C846" i="14"/>
  <c r="I845" i="14"/>
  <c r="G845" i="14"/>
  <c r="E845" i="14"/>
  <c r="C845" i="14"/>
  <c r="I844" i="14"/>
  <c r="G844" i="14"/>
  <c r="E844" i="14"/>
  <c r="C844" i="14"/>
  <c r="I843" i="14"/>
  <c r="G843" i="14"/>
  <c r="E843" i="14"/>
  <c r="C843" i="14"/>
  <c r="I842" i="14"/>
  <c r="G842" i="14"/>
  <c r="E842" i="14"/>
  <c r="C842" i="14"/>
  <c r="I841" i="14"/>
  <c r="G841" i="14"/>
  <c r="E841" i="14"/>
  <c r="C841" i="14"/>
  <c r="I840" i="14"/>
  <c r="G840" i="14"/>
  <c r="E840" i="14"/>
  <c r="C840" i="14"/>
  <c r="I839" i="14"/>
  <c r="G839" i="14"/>
  <c r="E839" i="14"/>
  <c r="C839" i="14"/>
  <c r="I838" i="14"/>
  <c r="G838" i="14"/>
  <c r="E838" i="14"/>
  <c r="C838" i="14"/>
  <c r="I837" i="14"/>
  <c r="G837" i="14"/>
  <c r="E837" i="14"/>
  <c r="C837" i="14"/>
  <c r="I836" i="14"/>
  <c r="G836" i="14"/>
  <c r="E836" i="14"/>
  <c r="C836" i="14"/>
  <c r="I835" i="14"/>
  <c r="G835" i="14"/>
  <c r="E835" i="14"/>
  <c r="C835" i="14"/>
  <c r="I834" i="14"/>
  <c r="G834" i="14"/>
  <c r="E834" i="14"/>
  <c r="C834" i="14"/>
  <c r="I833" i="14"/>
  <c r="G833" i="14"/>
  <c r="E833" i="14"/>
  <c r="C833" i="14"/>
  <c r="I832" i="14"/>
  <c r="G832" i="14"/>
  <c r="E832" i="14"/>
  <c r="C832" i="14"/>
  <c r="I831" i="14"/>
  <c r="G831" i="14"/>
  <c r="E831" i="14"/>
  <c r="C831" i="14"/>
  <c r="I830" i="14"/>
  <c r="G830" i="14"/>
  <c r="E830" i="14"/>
  <c r="C830" i="14"/>
  <c r="I829" i="14"/>
  <c r="G829" i="14"/>
  <c r="E829" i="14"/>
  <c r="C829" i="14"/>
  <c r="I828" i="14"/>
  <c r="G828" i="14"/>
  <c r="E828" i="14"/>
  <c r="C828" i="14"/>
  <c r="I827" i="14"/>
  <c r="G827" i="14"/>
  <c r="E827" i="14"/>
  <c r="C827" i="14"/>
  <c r="I826" i="14"/>
  <c r="G826" i="14"/>
  <c r="E826" i="14"/>
  <c r="C826" i="14"/>
  <c r="I825" i="14"/>
  <c r="G825" i="14"/>
  <c r="E825" i="14"/>
  <c r="C825" i="14"/>
  <c r="I824" i="14"/>
  <c r="G824" i="14"/>
  <c r="E824" i="14"/>
  <c r="C824" i="14"/>
  <c r="I823" i="14"/>
  <c r="G823" i="14"/>
  <c r="E823" i="14"/>
  <c r="C823" i="14"/>
  <c r="I822" i="14"/>
  <c r="G822" i="14"/>
  <c r="E822" i="14"/>
  <c r="C822" i="14"/>
  <c r="I821" i="14"/>
  <c r="G821" i="14"/>
  <c r="E821" i="14"/>
  <c r="C821" i="14"/>
  <c r="I820" i="14"/>
  <c r="G820" i="14"/>
  <c r="E820" i="14"/>
  <c r="C820" i="14"/>
  <c r="I819" i="14"/>
  <c r="G819" i="14"/>
  <c r="E819" i="14"/>
  <c r="C819" i="14"/>
  <c r="I818" i="14"/>
  <c r="G818" i="14"/>
  <c r="E818" i="14"/>
  <c r="C818" i="14"/>
  <c r="I817" i="14"/>
  <c r="G817" i="14"/>
  <c r="E817" i="14"/>
  <c r="C817" i="14"/>
  <c r="I816" i="14"/>
  <c r="G816" i="14"/>
  <c r="E816" i="14"/>
  <c r="C816" i="14"/>
  <c r="I815" i="14"/>
  <c r="G815" i="14"/>
  <c r="E815" i="14"/>
  <c r="C815" i="14"/>
  <c r="I814" i="14"/>
  <c r="G814" i="14"/>
  <c r="E814" i="14"/>
  <c r="C814" i="14"/>
  <c r="I813" i="14"/>
  <c r="G813" i="14"/>
  <c r="E813" i="14"/>
  <c r="C813" i="14"/>
  <c r="I812" i="14"/>
  <c r="G812" i="14"/>
  <c r="E812" i="14"/>
  <c r="C812" i="14"/>
  <c r="I811" i="14"/>
  <c r="G811" i="14"/>
  <c r="E811" i="14"/>
  <c r="C811" i="14"/>
  <c r="I810" i="14"/>
  <c r="G810" i="14"/>
  <c r="E810" i="14"/>
  <c r="C810" i="14"/>
  <c r="I809" i="14"/>
  <c r="G809" i="14"/>
  <c r="E809" i="14"/>
  <c r="C809" i="14"/>
  <c r="I808" i="14"/>
  <c r="G808" i="14"/>
  <c r="E808" i="14"/>
  <c r="C808" i="14"/>
  <c r="I807" i="14"/>
  <c r="G807" i="14"/>
  <c r="E807" i="14"/>
  <c r="C807" i="14"/>
  <c r="I806" i="14"/>
  <c r="G806" i="14"/>
  <c r="E806" i="14"/>
  <c r="C806" i="14"/>
  <c r="I805" i="14"/>
  <c r="G805" i="14"/>
  <c r="E805" i="14"/>
  <c r="C805" i="14"/>
  <c r="I804" i="14"/>
  <c r="G804" i="14"/>
  <c r="E804" i="14"/>
  <c r="C804" i="14"/>
  <c r="I803" i="14"/>
  <c r="G803" i="14"/>
  <c r="E803" i="14"/>
  <c r="C803" i="14"/>
  <c r="I802" i="14"/>
  <c r="G802" i="14"/>
  <c r="E802" i="14"/>
  <c r="C802" i="14"/>
  <c r="I801" i="14"/>
  <c r="G801" i="14"/>
  <c r="E801" i="14"/>
  <c r="C801" i="14"/>
  <c r="I800" i="14"/>
  <c r="G800" i="14"/>
  <c r="E800" i="14"/>
  <c r="C800" i="14"/>
  <c r="I799" i="14"/>
  <c r="G799" i="14"/>
  <c r="E799" i="14"/>
  <c r="C799" i="14"/>
  <c r="I798" i="14"/>
  <c r="G798" i="14"/>
  <c r="E798" i="14"/>
  <c r="C798" i="14"/>
  <c r="I797" i="14"/>
  <c r="G797" i="14"/>
  <c r="E797" i="14"/>
  <c r="C797" i="14"/>
  <c r="I796" i="14"/>
  <c r="G796" i="14"/>
  <c r="E796" i="14"/>
  <c r="C796" i="14"/>
  <c r="I795" i="14"/>
  <c r="G795" i="14"/>
  <c r="E795" i="14"/>
  <c r="C795" i="14"/>
  <c r="I794" i="14"/>
  <c r="G794" i="14"/>
  <c r="E794" i="14"/>
  <c r="C794" i="14"/>
  <c r="I793" i="14"/>
  <c r="G793" i="14"/>
  <c r="E793" i="14"/>
  <c r="C793" i="14"/>
  <c r="I792" i="14"/>
  <c r="G792" i="14"/>
  <c r="E792" i="14"/>
  <c r="C792" i="14"/>
  <c r="I791" i="14"/>
  <c r="G791" i="14"/>
  <c r="E791" i="14"/>
  <c r="C791" i="14"/>
  <c r="I790" i="14"/>
  <c r="G790" i="14"/>
  <c r="E790" i="14"/>
  <c r="C790" i="14"/>
  <c r="I789" i="14"/>
  <c r="G789" i="14"/>
  <c r="E789" i="14"/>
  <c r="C789" i="14"/>
  <c r="I788" i="14"/>
  <c r="G788" i="14"/>
  <c r="E788" i="14"/>
  <c r="C788" i="14"/>
  <c r="I787" i="14"/>
  <c r="G787" i="14"/>
  <c r="E787" i="14"/>
  <c r="C787" i="14"/>
  <c r="I786" i="14"/>
  <c r="G786" i="14"/>
  <c r="E786" i="14"/>
  <c r="C786" i="14"/>
  <c r="I785" i="14"/>
  <c r="G785" i="14"/>
  <c r="E785" i="14"/>
  <c r="C785" i="14"/>
  <c r="I784" i="14"/>
  <c r="G784" i="14"/>
  <c r="E784" i="14"/>
  <c r="C784" i="14"/>
  <c r="I783" i="14"/>
  <c r="G783" i="14"/>
  <c r="E783" i="14"/>
  <c r="C783" i="14"/>
  <c r="I782" i="14"/>
  <c r="G782" i="14"/>
  <c r="E782" i="14"/>
  <c r="C782" i="14"/>
  <c r="I781" i="14"/>
  <c r="G781" i="14"/>
  <c r="E781" i="14"/>
  <c r="C781" i="14"/>
  <c r="I780" i="14"/>
  <c r="G780" i="14"/>
  <c r="E780" i="14"/>
  <c r="C780" i="14"/>
  <c r="I779" i="14"/>
  <c r="G779" i="14"/>
  <c r="E779" i="14"/>
  <c r="C779" i="14"/>
  <c r="I778" i="14"/>
  <c r="G778" i="14"/>
  <c r="E778" i="14"/>
  <c r="C778" i="14"/>
  <c r="I777" i="14"/>
  <c r="G777" i="14"/>
  <c r="E777" i="14"/>
  <c r="C777" i="14"/>
  <c r="I776" i="14"/>
  <c r="G776" i="14"/>
  <c r="E776" i="14"/>
  <c r="C776" i="14"/>
  <c r="I775" i="14"/>
  <c r="G775" i="14"/>
  <c r="E775" i="14"/>
  <c r="C775" i="14"/>
  <c r="I774" i="14"/>
  <c r="G774" i="14"/>
  <c r="E774" i="14"/>
  <c r="C774" i="14"/>
  <c r="I773" i="14"/>
  <c r="G773" i="14"/>
  <c r="E773" i="14"/>
  <c r="C773" i="14"/>
  <c r="I772" i="14"/>
  <c r="G772" i="14"/>
  <c r="E772" i="14"/>
  <c r="C772" i="14"/>
  <c r="I771" i="14"/>
  <c r="G771" i="14"/>
  <c r="E771" i="14"/>
  <c r="C771" i="14"/>
  <c r="I770" i="14"/>
  <c r="G770" i="14"/>
  <c r="E770" i="14"/>
  <c r="C770" i="14"/>
  <c r="I769" i="14"/>
  <c r="G769" i="14"/>
  <c r="E769" i="14"/>
  <c r="C769" i="14"/>
  <c r="I768" i="14"/>
  <c r="G768" i="14"/>
  <c r="E768" i="14"/>
  <c r="C768" i="14"/>
  <c r="I767" i="14"/>
  <c r="G767" i="14"/>
  <c r="E767" i="14"/>
  <c r="C767" i="14"/>
  <c r="I766" i="14"/>
  <c r="G766" i="14"/>
  <c r="E766" i="14"/>
  <c r="C766" i="14"/>
  <c r="I765" i="14"/>
  <c r="G765" i="14"/>
  <c r="E765" i="14"/>
  <c r="C765" i="14"/>
  <c r="I764" i="14"/>
  <c r="G764" i="14"/>
  <c r="E764" i="14"/>
  <c r="C764" i="14"/>
  <c r="I763" i="14"/>
  <c r="G763" i="14"/>
  <c r="E763" i="14"/>
  <c r="C763" i="14"/>
  <c r="I762" i="14"/>
  <c r="G762" i="14"/>
  <c r="E762" i="14"/>
  <c r="C762" i="14"/>
  <c r="I761" i="14"/>
  <c r="G761" i="14"/>
  <c r="E761" i="14"/>
  <c r="C761" i="14"/>
  <c r="I760" i="14"/>
  <c r="G760" i="14"/>
  <c r="E760" i="14"/>
  <c r="C760" i="14"/>
  <c r="I759" i="14"/>
  <c r="G759" i="14"/>
  <c r="E759" i="14"/>
  <c r="C759" i="14"/>
  <c r="I758" i="14"/>
  <c r="G758" i="14"/>
  <c r="E758" i="14"/>
  <c r="C758" i="14"/>
  <c r="I757" i="14"/>
  <c r="G757" i="14"/>
  <c r="E757" i="14"/>
  <c r="C757" i="14"/>
  <c r="I756" i="14"/>
  <c r="G756" i="14"/>
  <c r="E756" i="14"/>
  <c r="C756" i="14"/>
  <c r="I755" i="14"/>
  <c r="G755" i="14"/>
  <c r="E755" i="14"/>
  <c r="C755" i="14"/>
  <c r="I754" i="14"/>
  <c r="G754" i="14"/>
  <c r="E754" i="14"/>
  <c r="C754" i="14"/>
  <c r="I753" i="14"/>
  <c r="G753" i="14"/>
  <c r="E753" i="14"/>
  <c r="C753" i="14"/>
  <c r="I752" i="14"/>
  <c r="G752" i="14"/>
  <c r="E752" i="14"/>
  <c r="C752" i="14"/>
  <c r="I751" i="14"/>
  <c r="G751" i="14"/>
  <c r="E751" i="14"/>
  <c r="C751" i="14"/>
  <c r="I750" i="14"/>
  <c r="G750" i="14"/>
  <c r="E750" i="14"/>
  <c r="C750" i="14"/>
  <c r="I749" i="14"/>
  <c r="G749" i="14"/>
  <c r="E749" i="14"/>
  <c r="C749" i="14"/>
  <c r="I748" i="14"/>
  <c r="G748" i="14"/>
  <c r="E748" i="14"/>
  <c r="C748" i="14"/>
  <c r="I747" i="14"/>
  <c r="G747" i="14"/>
  <c r="E747" i="14"/>
  <c r="C747" i="14"/>
  <c r="I746" i="14"/>
  <c r="G746" i="14"/>
  <c r="E746" i="14"/>
  <c r="C746" i="14"/>
  <c r="I745" i="14"/>
  <c r="G745" i="14"/>
  <c r="E745" i="14"/>
  <c r="C745" i="14"/>
  <c r="I744" i="14"/>
  <c r="G744" i="14"/>
  <c r="E744" i="14"/>
  <c r="C744" i="14"/>
  <c r="I743" i="14"/>
  <c r="G743" i="14"/>
  <c r="E743" i="14"/>
  <c r="C743" i="14"/>
  <c r="I742" i="14"/>
  <c r="G742" i="14"/>
  <c r="E742" i="14"/>
  <c r="C742" i="14"/>
  <c r="I741" i="14"/>
  <c r="G741" i="14"/>
  <c r="E741" i="14"/>
  <c r="C741" i="14"/>
  <c r="I740" i="14"/>
  <c r="G740" i="14"/>
  <c r="E740" i="14"/>
  <c r="C740" i="14"/>
  <c r="I739" i="14"/>
  <c r="G739" i="14"/>
  <c r="E739" i="14"/>
  <c r="C739" i="14"/>
  <c r="I738" i="14"/>
  <c r="G738" i="14"/>
  <c r="E738" i="14"/>
  <c r="C738" i="14"/>
  <c r="I737" i="14"/>
  <c r="G737" i="14"/>
  <c r="E737" i="14"/>
  <c r="C737" i="14"/>
  <c r="I736" i="14"/>
  <c r="G736" i="14"/>
  <c r="E736" i="14"/>
  <c r="C736" i="14"/>
  <c r="I735" i="14"/>
  <c r="G735" i="14"/>
  <c r="E735" i="14"/>
  <c r="C735" i="14"/>
  <c r="I734" i="14"/>
  <c r="G734" i="14"/>
  <c r="E734" i="14"/>
  <c r="C734" i="14"/>
  <c r="I733" i="14"/>
  <c r="G733" i="14"/>
  <c r="E733" i="14"/>
  <c r="C733" i="14"/>
  <c r="I732" i="14"/>
  <c r="G732" i="14"/>
  <c r="E732" i="14"/>
  <c r="C732" i="14"/>
  <c r="I731" i="14"/>
  <c r="G731" i="14"/>
  <c r="E731" i="14"/>
  <c r="C731" i="14"/>
  <c r="I730" i="14"/>
  <c r="G730" i="14"/>
  <c r="E730" i="14"/>
  <c r="C730" i="14"/>
  <c r="I729" i="14"/>
  <c r="G729" i="14"/>
  <c r="E729" i="14"/>
  <c r="C729" i="14"/>
  <c r="I728" i="14"/>
  <c r="G728" i="14"/>
  <c r="E728" i="14"/>
  <c r="C728" i="14"/>
  <c r="I727" i="14"/>
  <c r="G727" i="14"/>
  <c r="E727" i="14"/>
  <c r="C727" i="14"/>
  <c r="I726" i="14"/>
  <c r="G726" i="14"/>
  <c r="E726" i="14"/>
  <c r="C726" i="14"/>
  <c r="I725" i="14"/>
  <c r="G725" i="14"/>
  <c r="E725" i="14"/>
  <c r="C725" i="14"/>
  <c r="I724" i="14"/>
  <c r="G724" i="14"/>
  <c r="E724" i="14"/>
  <c r="C724" i="14"/>
  <c r="I723" i="14"/>
  <c r="G723" i="14"/>
  <c r="E723" i="14"/>
  <c r="C723" i="14"/>
  <c r="I722" i="14"/>
  <c r="G722" i="14"/>
  <c r="E722" i="14"/>
  <c r="C722" i="14"/>
  <c r="I721" i="14"/>
  <c r="G721" i="14"/>
  <c r="E721" i="14"/>
  <c r="C721" i="14"/>
  <c r="I720" i="14"/>
  <c r="G720" i="14"/>
  <c r="E720" i="14"/>
  <c r="C720" i="14"/>
  <c r="I719" i="14"/>
  <c r="G719" i="14"/>
  <c r="E719" i="14"/>
  <c r="C719" i="14"/>
  <c r="I718" i="14"/>
  <c r="G718" i="14"/>
  <c r="E718" i="14"/>
  <c r="C718" i="14"/>
  <c r="I717" i="14"/>
  <c r="G717" i="14"/>
  <c r="E717" i="14"/>
  <c r="C717" i="14"/>
  <c r="I716" i="14"/>
  <c r="G716" i="14"/>
  <c r="E716" i="14"/>
  <c r="C716" i="14"/>
  <c r="I715" i="14"/>
  <c r="G715" i="14"/>
  <c r="E715" i="14"/>
  <c r="C715" i="14"/>
  <c r="I714" i="14"/>
  <c r="G714" i="14"/>
  <c r="E714" i="14"/>
  <c r="C714" i="14"/>
  <c r="I713" i="14"/>
  <c r="G713" i="14"/>
  <c r="E713" i="14"/>
  <c r="C713" i="14"/>
  <c r="I712" i="14"/>
  <c r="G712" i="14"/>
  <c r="E712" i="14"/>
  <c r="C712" i="14"/>
  <c r="I711" i="14"/>
  <c r="G711" i="14"/>
  <c r="E711" i="14"/>
  <c r="C711" i="14"/>
  <c r="I710" i="14"/>
  <c r="G710" i="14"/>
  <c r="E710" i="14"/>
  <c r="C710" i="14"/>
  <c r="I709" i="14"/>
  <c r="G709" i="14"/>
  <c r="E709" i="14"/>
  <c r="C709" i="14"/>
  <c r="I708" i="14"/>
  <c r="G708" i="14"/>
  <c r="E708" i="14"/>
  <c r="C708" i="14"/>
  <c r="I707" i="14"/>
  <c r="G707" i="14"/>
  <c r="E707" i="14"/>
  <c r="C707" i="14"/>
  <c r="I706" i="14"/>
  <c r="G706" i="14"/>
  <c r="E706" i="14"/>
  <c r="C706" i="14"/>
  <c r="I705" i="14"/>
  <c r="G705" i="14"/>
  <c r="E705" i="14"/>
  <c r="C705" i="14"/>
  <c r="I704" i="14"/>
  <c r="G704" i="14"/>
  <c r="E704" i="14"/>
  <c r="C704" i="14"/>
  <c r="I703" i="14"/>
  <c r="G703" i="14"/>
  <c r="E703" i="14"/>
  <c r="C703" i="14"/>
  <c r="I702" i="14"/>
  <c r="G702" i="14"/>
  <c r="E702" i="14"/>
  <c r="C702" i="14"/>
  <c r="I701" i="14"/>
  <c r="G701" i="14"/>
  <c r="E701" i="14"/>
  <c r="C701" i="14"/>
  <c r="I700" i="14"/>
  <c r="G700" i="14"/>
  <c r="E700" i="14"/>
  <c r="C700" i="14"/>
  <c r="I699" i="14"/>
  <c r="G699" i="14"/>
  <c r="E699" i="14"/>
  <c r="C699" i="14"/>
  <c r="I698" i="14"/>
  <c r="G698" i="14"/>
  <c r="E698" i="14"/>
  <c r="C698" i="14"/>
  <c r="I697" i="14"/>
  <c r="G697" i="14"/>
  <c r="E697" i="14"/>
  <c r="C697" i="14"/>
  <c r="I696" i="14"/>
  <c r="G696" i="14"/>
  <c r="E696" i="14"/>
  <c r="C696" i="14"/>
  <c r="I695" i="14"/>
  <c r="G695" i="14"/>
  <c r="E695" i="14"/>
  <c r="C695" i="14"/>
  <c r="I694" i="14"/>
  <c r="G694" i="14"/>
  <c r="E694" i="14"/>
  <c r="C694" i="14"/>
  <c r="I693" i="14"/>
  <c r="G693" i="14"/>
  <c r="E693" i="14"/>
  <c r="C693" i="14"/>
  <c r="I692" i="14"/>
  <c r="G692" i="14"/>
  <c r="E692" i="14"/>
  <c r="C692" i="14"/>
  <c r="I691" i="14"/>
  <c r="G691" i="14"/>
  <c r="E691" i="14"/>
  <c r="C691" i="14"/>
  <c r="I690" i="14"/>
  <c r="G690" i="14"/>
  <c r="E690" i="14"/>
  <c r="C690" i="14"/>
  <c r="I689" i="14"/>
  <c r="G689" i="14"/>
  <c r="E689" i="14"/>
  <c r="C689" i="14"/>
  <c r="I688" i="14"/>
  <c r="G688" i="14"/>
  <c r="E688" i="14"/>
  <c r="C688" i="14"/>
  <c r="I687" i="14"/>
  <c r="G687" i="14"/>
  <c r="E687" i="14"/>
  <c r="C687" i="14"/>
  <c r="I686" i="14"/>
  <c r="G686" i="14"/>
  <c r="E686" i="14"/>
  <c r="C686" i="14"/>
  <c r="I685" i="14"/>
  <c r="G685" i="14"/>
  <c r="E685" i="14"/>
  <c r="C685" i="14"/>
  <c r="I684" i="14"/>
  <c r="G684" i="14"/>
  <c r="E684" i="14"/>
  <c r="C684" i="14"/>
  <c r="I683" i="14"/>
  <c r="G683" i="14"/>
  <c r="E683" i="14"/>
  <c r="C683" i="14"/>
  <c r="I682" i="14"/>
  <c r="G682" i="14"/>
  <c r="E682" i="14"/>
  <c r="C682" i="14"/>
  <c r="I681" i="14"/>
  <c r="G681" i="14"/>
  <c r="E681" i="14"/>
  <c r="C681" i="14"/>
  <c r="I680" i="14"/>
  <c r="G680" i="14"/>
  <c r="E680" i="14"/>
  <c r="C680" i="14"/>
  <c r="I679" i="14"/>
  <c r="G679" i="14"/>
  <c r="E679" i="14"/>
  <c r="C679" i="14"/>
  <c r="I678" i="14"/>
  <c r="G678" i="14"/>
  <c r="E678" i="14"/>
  <c r="C678" i="14"/>
  <c r="I677" i="14"/>
  <c r="G677" i="14"/>
  <c r="E677" i="14"/>
  <c r="C677" i="14"/>
  <c r="I676" i="14"/>
  <c r="G676" i="14"/>
  <c r="E676" i="14"/>
  <c r="C676" i="14"/>
  <c r="I675" i="14"/>
  <c r="G675" i="14"/>
  <c r="E675" i="14"/>
  <c r="C675" i="14"/>
  <c r="I674" i="14"/>
  <c r="G674" i="14"/>
  <c r="E674" i="14"/>
  <c r="C674" i="14"/>
  <c r="I673" i="14"/>
  <c r="G673" i="14"/>
  <c r="E673" i="14"/>
  <c r="C673" i="14"/>
  <c r="I672" i="14"/>
  <c r="G672" i="14"/>
  <c r="E672" i="14"/>
  <c r="C672" i="14"/>
  <c r="I671" i="14"/>
  <c r="G671" i="14"/>
  <c r="E671" i="14"/>
  <c r="C671" i="14"/>
  <c r="I670" i="14"/>
  <c r="G670" i="14"/>
  <c r="E670" i="14"/>
  <c r="C670" i="14"/>
  <c r="I669" i="14"/>
  <c r="G669" i="14"/>
  <c r="E669" i="14"/>
  <c r="C669" i="14"/>
  <c r="I668" i="14"/>
  <c r="G668" i="14"/>
  <c r="E668" i="14"/>
  <c r="C668" i="14"/>
  <c r="I667" i="14"/>
  <c r="G667" i="14"/>
  <c r="E667" i="14"/>
  <c r="C667" i="14"/>
  <c r="I666" i="14"/>
  <c r="G666" i="14"/>
  <c r="E666" i="14"/>
  <c r="C666" i="14"/>
  <c r="I665" i="14"/>
  <c r="G665" i="14"/>
  <c r="E665" i="14"/>
  <c r="C665" i="14"/>
  <c r="I664" i="14"/>
  <c r="G664" i="14"/>
  <c r="E664" i="14"/>
  <c r="C664" i="14"/>
  <c r="I663" i="14"/>
  <c r="G663" i="14"/>
  <c r="E663" i="14"/>
  <c r="C663" i="14"/>
  <c r="I662" i="14"/>
  <c r="G662" i="14"/>
  <c r="E662" i="14"/>
  <c r="C662" i="14"/>
  <c r="I661" i="14"/>
  <c r="G661" i="14"/>
  <c r="E661" i="14"/>
  <c r="C661" i="14"/>
  <c r="I660" i="14"/>
  <c r="G660" i="14"/>
  <c r="E660" i="14"/>
  <c r="C660" i="14"/>
  <c r="I659" i="14"/>
  <c r="G659" i="14"/>
  <c r="E659" i="14"/>
  <c r="C659" i="14"/>
  <c r="I658" i="14"/>
  <c r="G658" i="14"/>
  <c r="E658" i="14"/>
  <c r="C658" i="14"/>
  <c r="I657" i="14"/>
  <c r="G657" i="14"/>
  <c r="E657" i="14"/>
  <c r="C657" i="14"/>
  <c r="I656" i="14"/>
  <c r="G656" i="14"/>
  <c r="E656" i="14"/>
  <c r="C656" i="14"/>
  <c r="I655" i="14"/>
  <c r="G655" i="14"/>
  <c r="E655" i="14"/>
  <c r="C655" i="14"/>
  <c r="I654" i="14"/>
  <c r="G654" i="14"/>
  <c r="E654" i="14"/>
  <c r="C654" i="14"/>
  <c r="I653" i="14"/>
  <c r="G653" i="14"/>
  <c r="E653" i="14"/>
  <c r="C653" i="14"/>
  <c r="I652" i="14"/>
  <c r="G652" i="14"/>
  <c r="E652" i="14"/>
  <c r="C652" i="14"/>
  <c r="I651" i="14"/>
  <c r="G651" i="14"/>
  <c r="E651" i="14"/>
  <c r="C651" i="14"/>
  <c r="I650" i="14"/>
  <c r="G650" i="14"/>
  <c r="E650" i="14"/>
  <c r="C650" i="14"/>
  <c r="I649" i="14"/>
  <c r="G649" i="14"/>
  <c r="E649" i="14"/>
  <c r="C649" i="14"/>
  <c r="I648" i="14"/>
  <c r="G648" i="14"/>
  <c r="E648" i="14"/>
  <c r="C648" i="14"/>
  <c r="I647" i="14"/>
  <c r="G647" i="14"/>
  <c r="E647" i="14"/>
  <c r="C647" i="14"/>
  <c r="I646" i="14"/>
  <c r="G646" i="14"/>
  <c r="E646" i="14"/>
  <c r="C646" i="14"/>
  <c r="I645" i="14"/>
  <c r="G645" i="14"/>
  <c r="E645" i="14"/>
  <c r="C645" i="14"/>
  <c r="I644" i="14"/>
  <c r="G644" i="14"/>
  <c r="E644" i="14"/>
  <c r="C644" i="14"/>
  <c r="I643" i="14"/>
  <c r="G643" i="14"/>
  <c r="E643" i="14"/>
  <c r="C643" i="14"/>
  <c r="I642" i="14"/>
  <c r="G642" i="14"/>
  <c r="E642" i="14"/>
  <c r="C642" i="14"/>
  <c r="I641" i="14"/>
  <c r="G641" i="14"/>
  <c r="E641" i="14"/>
  <c r="C641" i="14"/>
  <c r="I640" i="14"/>
  <c r="G640" i="14"/>
  <c r="E640" i="14"/>
  <c r="C640" i="14"/>
  <c r="I639" i="14"/>
  <c r="G639" i="14"/>
  <c r="E639" i="14"/>
  <c r="C639" i="14"/>
  <c r="I638" i="14"/>
  <c r="G638" i="14"/>
  <c r="E638" i="14"/>
  <c r="C638" i="14"/>
  <c r="I637" i="14"/>
  <c r="G637" i="14"/>
  <c r="E637" i="14"/>
  <c r="C637" i="14"/>
  <c r="I636" i="14"/>
  <c r="G636" i="14"/>
  <c r="E636" i="14"/>
  <c r="C636" i="14"/>
  <c r="I635" i="14"/>
  <c r="G635" i="14"/>
  <c r="E635" i="14"/>
  <c r="C635" i="14"/>
  <c r="I634" i="14"/>
  <c r="G634" i="14"/>
  <c r="E634" i="14"/>
  <c r="C634" i="14"/>
  <c r="I633" i="14"/>
  <c r="G633" i="14"/>
  <c r="E633" i="14"/>
  <c r="C633" i="14"/>
  <c r="I632" i="14"/>
  <c r="G632" i="14"/>
  <c r="E632" i="14"/>
  <c r="C632" i="14"/>
  <c r="I631" i="14"/>
  <c r="G631" i="14"/>
  <c r="E631" i="14"/>
  <c r="C631" i="14"/>
  <c r="I630" i="14"/>
  <c r="G630" i="14"/>
  <c r="E630" i="14"/>
  <c r="C630" i="14"/>
  <c r="I629" i="14"/>
  <c r="G629" i="14"/>
  <c r="E629" i="14"/>
  <c r="C629" i="14"/>
  <c r="I628" i="14"/>
  <c r="G628" i="14"/>
  <c r="E628" i="14"/>
  <c r="C628" i="14"/>
  <c r="I627" i="14"/>
  <c r="G627" i="14"/>
  <c r="E627" i="14"/>
  <c r="C627" i="14"/>
  <c r="I626" i="14"/>
  <c r="G626" i="14"/>
  <c r="E626" i="14"/>
  <c r="C626" i="14"/>
  <c r="I625" i="14"/>
  <c r="G625" i="14"/>
  <c r="E625" i="14"/>
  <c r="C625" i="14"/>
  <c r="I624" i="14"/>
  <c r="G624" i="14"/>
  <c r="E624" i="14"/>
  <c r="C624" i="14"/>
  <c r="I623" i="14"/>
  <c r="G623" i="14"/>
  <c r="E623" i="14"/>
  <c r="C623" i="14"/>
  <c r="I622" i="14"/>
  <c r="G622" i="14"/>
  <c r="E622" i="14"/>
  <c r="C622" i="14"/>
  <c r="I621" i="14"/>
  <c r="G621" i="14"/>
  <c r="E621" i="14"/>
  <c r="C621" i="14"/>
  <c r="I620" i="14"/>
  <c r="G620" i="14"/>
  <c r="E620" i="14"/>
  <c r="C620" i="14"/>
  <c r="I619" i="14"/>
  <c r="G619" i="14"/>
  <c r="E619" i="14"/>
  <c r="C619" i="14"/>
  <c r="I618" i="14"/>
  <c r="G618" i="14"/>
  <c r="E618" i="14"/>
  <c r="C618" i="14"/>
  <c r="I617" i="14"/>
  <c r="G617" i="14"/>
  <c r="E617" i="14"/>
  <c r="C617" i="14"/>
  <c r="I616" i="14"/>
  <c r="G616" i="14"/>
  <c r="E616" i="14"/>
  <c r="C616" i="14"/>
  <c r="I615" i="14"/>
  <c r="G615" i="14"/>
  <c r="E615" i="14"/>
  <c r="C615" i="14"/>
  <c r="I614" i="14"/>
  <c r="G614" i="14"/>
  <c r="E614" i="14"/>
  <c r="C614" i="14"/>
  <c r="I613" i="14"/>
  <c r="G613" i="14"/>
  <c r="E613" i="14"/>
  <c r="C613" i="14"/>
  <c r="I612" i="14"/>
  <c r="G612" i="14"/>
  <c r="E612" i="14"/>
  <c r="C612" i="14"/>
  <c r="I611" i="14"/>
  <c r="G611" i="14"/>
  <c r="E611" i="14"/>
  <c r="C611" i="14"/>
  <c r="I610" i="14"/>
  <c r="G610" i="14"/>
  <c r="E610" i="14"/>
  <c r="C610" i="14"/>
  <c r="I609" i="14"/>
  <c r="G609" i="14"/>
  <c r="E609" i="14"/>
  <c r="C609" i="14"/>
  <c r="I608" i="14"/>
  <c r="G608" i="14"/>
  <c r="E608" i="14"/>
  <c r="C608" i="14"/>
  <c r="I607" i="14"/>
  <c r="G607" i="14"/>
  <c r="E607" i="14"/>
  <c r="C607" i="14"/>
  <c r="I606" i="14"/>
  <c r="G606" i="14"/>
  <c r="E606" i="14"/>
  <c r="C606" i="14"/>
  <c r="I605" i="14"/>
  <c r="G605" i="14"/>
  <c r="E605" i="14"/>
  <c r="C605" i="14"/>
  <c r="I604" i="14"/>
  <c r="G604" i="14"/>
  <c r="E604" i="14"/>
  <c r="C604" i="14"/>
  <c r="I603" i="14"/>
  <c r="G603" i="14"/>
  <c r="E603" i="14"/>
  <c r="C603" i="14"/>
  <c r="I602" i="14"/>
  <c r="G602" i="14"/>
  <c r="E602" i="14"/>
  <c r="C602" i="14"/>
  <c r="I601" i="14"/>
  <c r="G601" i="14"/>
  <c r="E601" i="14"/>
  <c r="C601" i="14"/>
  <c r="I600" i="14"/>
  <c r="G600" i="14"/>
  <c r="E600" i="14"/>
  <c r="C600" i="14"/>
  <c r="I599" i="14"/>
  <c r="G599" i="14"/>
  <c r="E599" i="14"/>
  <c r="C599" i="14"/>
  <c r="I598" i="14"/>
  <c r="G598" i="14"/>
  <c r="E598" i="14"/>
  <c r="C598" i="14"/>
  <c r="I597" i="14"/>
  <c r="G597" i="14"/>
  <c r="E597" i="14"/>
  <c r="C597" i="14"/>
  <c r="I596" i="14"/>
  <c r="G596" i="14"/>
  <c r="E596" i="14"/>
  <c r="C596" i="14"/>
  <c r="I595" i="14"/>
  <c r="G595" i="14"/>
  <c r="E595" i="14"/>
  <c r="C595" i="14"/>
  <c r="I594" i="14"/>
  <c r="G594" i="14"/>
  <c r="E594" i="14"/>
  <c r="C594" i="14"/>
  <c r="I593" i="14"/>
  <c r="G593" i="14"/>
  <c r="E593" i="14"/>
  <c r="C593" i="14"/>
  <c r="I592" i="14"/>
  <c r="G592" i="14"/>
  <c r="E592" i="14"/>
  <c r="C592" i="14"/>
  <c r="I591" i="14"/>
  <c r="G591" i="14"/>
  <c r="E591" i="14"/>
  <c r="C591" i="14"/>
  <c r="I590" i="14"/>
  <c r="G590" i="14"/>
  <c r="E590" i="14"/>
  <c r="C590" i="14"/>
  <c r="I589" i="14"/>
  <c r="G589" i="14"/>
  <c r="E589" i="14"/>
  <c r="C589" i="14"/>
  <c r="I588" i="14"/>
  <c r="G588" i="14"/>
  <c r="E588" i="14"/>
  <c r="C588" i="14"/>
  <c r="I587" i="14"/>
  <c r="G587" i="14"/>
  <c r="E587" i="14"/>
  <c r="C587" i="14"/>
  <c r="I586" i="14"/>
  <c r="G586" i="14"/>
  <c r="E586" i="14"/>
  <c r="C586" i="14"/>
  <c r="I585" i="14"/>
  <c r="G585" i="14"/>
  <c r="E585" i="14"/>
  <c r="C585" i="14"/>
  <c r="I584" i="14"/>
  <c r="G584" i="14"/>
  <c r="E584" i="14"/>
  <c r="C584" i="14"/>
  <c r="I583" i="14"/>
  <c r="G583" i="14"/>
  <c r="E583" i="14"/>
  <c r="C583" i="14"/>
  <c r="I582" i="14"/>
  <c r="G582" i="14"/>
  <c r="E582" i="14"/>
  <c r="C582" i="14"/>
  <c r="I581" i="14"/>
  <c r="G581" i="14"/>
  <c r="E581" i="14"/>
  <c r="C581" i="14"/>
  <c r="I580" i="14"/>
  <c r="G580" i="14"/>
  <c r="E580" i="14"/>
  <c r="C580" i="14"/>
  <c r="I579" i="14"/>
  <c r="G579" i="14"/>
  <c r="E579" i="14"/>
  <c r="C579" i="14"/>
  <c r="I578" i="14"/>
  <c r="G578" i="14"/>
  <c r="E578" i="14"/>
  <c r="C578" i="14"/>
  <c r="I577" i="14"/>
  <c r="G577" i="14"/>
  <c r="E577" i="14"/>
  <c r="C577" i="14"/>
  <c r="I576" i="14"/>
  <c r="G576" i="14"/>
  <c r="E576" i="14"/>
  <c r="C576" i="14"/>
  <c r="I575" i="14"/>
  <c r="G575" i="14"/>
  <c r="E575" i="14"/>
  <c r="C575" i="14"/>
  <c r="I574" i="14"/>
  <c r="G574" i="14"/>
  <c r="E574" i="14"/>
  <c r="C574" i="14"/>
  <c r="I573" i="14"/>
  <c r="G573" i="14"/>
  <c r="E573" i="14"/>
  <c r="C573" i="14"/>
  <c r="I572" i="14"/>
  <c r="G572" i="14"/>
  <c r="E572" i="14"/>
  <c r="C572" i="14"/>
  <c r="I571" i="14"/>
  <c r="G571" i="14"/>
  <c r="E571" i="14"/>
  <c r="C571" i="14"/>
  <c r="I570" i="14"/>
  <c r="G570" i="14"/>
  <c r="E570" i="14"/>
  <c r="C570" i="14"/>
  <c r="I569" i="14"/>
  <c r="G569" i="14"/>
  <c r="E569" i="14"/>
  <c r="C569" i="14"/>
  <c r="I568" i="14"/>
  <c r="G568" i="14"/>
  <c r="E568" i="14"/>
  <c r="C568" i="14"/>
  <c r="I567" i="14"/>
  <c r="G567" i="14"/>
  <c r="E567" i="14"/>
  <c r="C567" i="14"/>
  <c r="I566" i="14"/>
  <c r="G566" i="14"/>
  <c r="E566" i="14"/>
  <c r="C566" i="14"/>
  <c r="I565" i="14"/>
  <c r="G565" i="14"/>
  <c r="E565" i="14"/>
  <c r="C565" i="14"/>
  <c r="I564" i="14"/>
  <c r="G564" i="14"/>
  <c r="E564" i="14"/>
  <c r="C564" i="14"/>
  <c r="I563" i="14"/>
  <c r="G563" i="14"/>
  <c r="E563" i="14"/>
  <c r="C563" i="14"/>
  <c r="I562" i="14"/>
  <c r="G562" i="14"/>
  <c r="E562" i="14"/>
  <c r="C562" i="14"/>
  <c r="I561" i="14"/>
  <c r="G561" i="14"/>
  <c r="E561" i="14"/>
  <c r="C561" i="14"/>
  <c r="I560" i="14"/>
  <c r="G560" i="14"/>
  <c r="E560" i="14"/>
  <c r="C560" i="14"/>
  <c r="I559" i="14"/>
  <c r="G559" i="14"/>
  <c r="E559" i="14"/>
  <c r="C559" i="14"/>
  <c r="I558" i="14"/>
  <c r="G558" i="14"/>
  <c r="E558" i="14"/>
  <c r="C558" i="14"/>
  <c r="I557" i="14"/>
  <c r="G557" i="14"/>
  <c r="E557" i="14"/>
  <c r="C557" i="14"/>
  <c r="I556" i="14"/>
  <c r="G556" i="14"/>
  <c r="E556" i="14"/>
  <c r="C556" i="14"/>
  <c r="I555" i="14"/>
  <c r="G555" i="14"/>
  <c r="E555" i="14"/>
  <c r="C555" i="14"/>
  <c r="I554" i="14"/>
  <c r="G554" i="14"/>
  <c r="E554" i="14"/>
  <c r="C554" i="14"/>
  <c r="I553" i="14"/>
  <c r="G553" i="14"/>
  <c r="E553" i="14"/>
  <c r="C553" i="14"/>
  <c r="I552" i="14"/>
  <c r="G552" i="14"/>
  <c r="E552" i="14"/>
  <c r="C552" i="14"/>
  <c r="I551" i="14"/>
  <c r="G551" i="14"/>
  <c r="E551" i="14"/>
  <c r="C551" i="14"/>
  <c r="I550" i="14"/>
  <c r="G550" i="14"/>
  <c r="E550" i="14"/>
  <c r="C550" i="14"/>
  <c r="I549" i="14"/>
  <c r="G549" i="14"/>
  <c r="E549" i="14"/>
  <c r="C549" i="14"/>
  <c r="I548" i="14"/>
  <c r="G548" i="14"/>
  <c r="E548" i="14"/>
  <c r="C548" i="14"/>
  <c r="I547" i="14"/>
  <c r="G547" i="14"/>
  <c r="E547" i="14"/>
  <c r="C547" i="14"/>
  <c r="I546" i="14"/>
  <c r="G546" i="14"/>
  <c r="E546" i="14"/>
  <c r="C546" i="14"/>
  <c r="I545" i="14"/>
  <c r="G545" i="14"/>
  <c r="E545" i="14"/>
  <c r="C545" i="14"/>
  <c r="I544" i="14"/>
  <c r="G544" i="14"/>
  <c r="E544" i="14"/>
  <c r="C544" i="14"/>
  <c r="I543" i="14"/>
  <c r="G543" i="14"/>
  <c r="E543" i="14"/>
  <c r="C543" i="14"/>
  <c r="I542" i="14"/>
  <c r="G542" i="14"/>
  <c r="E542" i="14"/>
  <c r="C542" i="14"/>
  <c r="I541" i="14"/>
  <c r="G541" i="14"/>
  <c r="E541" i="14"/>
  <c r="C541" i="14"/>
  <c r="I540" i="14"/>
  <c r="G540" i="14"/>
  <c r="E540" i="14"/>
  <c r="C540" i="14"/>
  <c r="I539" i="14"/>
  <c r="G539" i="14"/>
  <c r="E539" i="14"/>
  <c r="C539" i="14"/>
  <c r="I538" i="14"/>
  <c r="G538" i="14"/>
  <c r="E538" i="14"/>
  <c r="C538" i="14"/>
  <c r="I537" i="14"/>
  <c r="G537" i="14"/>
  <c r="E537" i="14"/>
  <c r="C537" i="14"/>
  <c r="I536" i="14"/>
  <c r="G536" i="14"/>
  <c r="E536" i="14"/>
  <c r="C536" i="14"/>
  <c r="I535" i="14"/>
  <c r="G535" i="14"/>
  <c r="E535" i="14"/>
  <c r="C535" i="14"/>
  <c r="I534" i="14"/>
  <c r="G534" i="14"/>
  <c r="E534" i="14"/>
  <c r="C534" i="14"/>
  <c r="I533" i="14"/>
  <c r="G533" i="14"/>
  <c r="E533" i="14"/>
  <c r="C533" i="14"/>
  <c r="I532" i="14"/>
  <c r="G532" i="14"/>
  <c r="E532" i="14"/>
  <c r="C532" i="14"/>
  <c r="I531" i="14"/>
  <c r="G531" i="14"/>
  <c r="E531" i="14"/>
  <c r="C531" i="14"/>
  <c r="I530" i="14"/>
  <c r="G530" i="14"/>
  <c r="E530" i="14"/>
  <c r="C530" i="14"/>
  <c r="I529" i="14"/>
  <c r="G529" i="14"/>
  <c r="E529" i="14"/>
  <c r="C529" i="14"/>
  <c r="I528" i="14"/>
  <c r="G528" i="14"/>
  <c r="E528" i="14"/>
  <c r="C528" i="14"/>
  <c r="I527" i="14"/>
  <c r="G527" i="14"/>
  <c r="E527" i="14"/>
  <c r="C527" i="14"/>
  <c r="I526" i="14"/>
  <c r="G526" i="14"/>
  <c r="E526" i="14"/>
  <c r="C526" i="14"/>
  <c r="I525" i="14"/>
  <c r="G525" i="14"/>
  <c r="E525" i="14"/>
  <c r="C525" i="14"/>
  <c r="I524" i="14"/>
  <c r="G524" i="14"/>
  <c r="E524" i="14"/>
  <c r="C524" i="14"/>
  <c r="I523" i="14"/>
  <c r="G523" i="14"/>
  <c r="E523" i="14"/>
  <c r="C523" i="14"/>
  <c r="I522" i="14"/>
  <c r="G522" i="14"/>
  <c r="E522" i="14"/>
  <c r="C522" i="14"/>
  <c r="I521" i="14"/>
  <c r="G521" i="14"/>
  <c r="E521" i="14"/>
  <c r="C521" i="14"/>
  <c r="I520" i="14"/>
  <c r="G520" i="14"/>
  <c r="E520" i="14"/>
  <c r="C520" i="14"/>
  <c r="I519" i="14"/>
  <c r="G519" i="14"/>
  <c r="E519" i="14"/>
  <c r="C519" i="14"/>
  <c r="I518" i="14"/>
  <c r="G518" i="14"/>
  <c r="E518" i="14"/>
  <c r="C518" i="14"/>
  <c r="I517" i="14"/>
  <c r="G517" i="14"/>
  <c r="E517" i="14"/>
  <c r="C517" i="14"/>
  <c r="I516" i="14"/>
  <c r="G516" i="14"/>
  <c r="E516" i="14"/>
  <c r="C516" i="14"/>
  <c r="I515" i="14"/>
  <c r="G515" i="14"/>
  <c r="E515" i="14"/>
  <c r="C515" i="14"/>
  <c r="I514" i="14"/>
  <c r="G514" i="14"/>
  <c r="E514" i="14"/>
  <c r="C514" i="14"/>
  <c r="I513" i="14"/>
  <c r="G513" i="14"/>
  <c r="E513" i="14"/>
  <c r="C513" i="14"/>
  <c r="I512" i="14"/>
  <c r="G512" i="14"/>
  <c r="E512" i="14"/>
  <c r="C512" i="14"/>
  <c r="I511" i="14"/>
  <c r="G511" i="14"/>
  <c r="E511" i="14"/>
  <c r="C511" i="14"/>
  <c r="I510" i="14"/>
  <c r="G510" i="14"/>
  <c r="E510" i="14"/>
  <c r="C510" i="14"/>
  <c r="I509" i="14"/>
  <c r="G509" i="14"/>
  <c r="E509" i="14"/>
  <c r="C509" i="14"/>
  <c r="I508" i="14"/>
  <c r="G508" i="14"/>
  <c r="E508" i="14"/>
  <c r="C508" i="14"/>
  <c r="I507" i="14"/>
  <c r="G507" i="14"/>
  <c r="E507" i="14"/>
  <c r="C507" i="14"/>
  <c r="I506" i="14"/>
  <c r="G506" i="14"/>
  <c r="E506" i="14"/>
  <c r="C506" i="14"/>
  <c r="I505" i="14"/>
  <c r="G505" i="14"/>
  <c r="E505" i="14"/>
  <c r="C505" i="14"/>
  <c r="I504" i="14"/>
  <c r="G504" i="14"/>
  <c r="E504" i="14"/>
  <c r="C504" i="14"/>
  <c r="I503" i="14"/>
  <c r="G503" i="14"/>
  <c r="E503" i="14"/>
  <c r="C503" i="14"/>
  <c r="I502" i="14"/>
  <c r="G502" i="14"/>
  <c r="E502" i="14"/>
  <c r="C502" i="14"/>
  <c r="I501" i="14"/>
  <c r="G501" i="14"/>
  <c r="E501" i="14"/>
  <c r="C501" i="14"/>
  <c r="I500" i="14"/>
  <c r="G500" i="14"/>
  <c r="E500" i="14"/>
  <c r="C500" i="14"/>
  <c r="I499" i="14"/>
  <c r="G499" i="14"/>
  <c r="E499" i="14"/>
  <c r="C499" i="14"/>
  <c r="I498" i="14"/>
  <c r="G498" i="14"/>
  <c r="E498" i="14"/>
  <c r="C498" i="14"/>
  <c r="I497" i="14"/>
  <c r="G497" i="14"/>
  <c r="E497" i="14"/>
  <c r="C497" i="14"/>
  <c r="I496" i="14"/>
  <c r="G496" i="14"/>
  <c r="E496" i="14"/>
  <c r="C496" i="14"/>
  <c r="I495" i="14"/>
  <c r="G495" i="14"/>
  <c r="E495" i="14"/>
  <c r="C495" i="14"/>
  <c r="I494" i="14"/>
  <c r="G494" i="14"/>
  <c r="E494" i="14"/>
  <c r="C494" i="14"/>
  <c r="I493" i="14"/>
  <c r="G493" i="14"/>
  <c r="E493" i="14"/>
  <c r="C493" i="14"/>
  <c r="I492" i="14"/>
  <c r="G492" i="14"/>
  <c r="E492" i="14"/>
  <c r="C492" i="14"/>
  <c r="I491" i="14"/>
  <c r="G491" i="14"/>
  <c r="E491" i="14"/>
  <c r="C491" i="14"/>
  <c r="I490" i="14"/>
  <c r="G490" i="14"/>
  <c r="E490" i="14"/>
  <c r="C490" i="14"/>
  <c r="I489" i="14"/>
  <c r="G489" i="14"/>
  <c r="E489" i="14"/>
  <c r="C489" i="14"/>
  <c r="I488" i="14"/>
  <c r="G488" i="14"/>
  <c r="E488" i="14"/>
  <c r="C488" i="14"/>
  <c r="I487" i="14"/>
  <c r="G487" i="14"/>
  <c r="E487" i="14"/>
  <c r="C487" i="14"/>
  <c r="I486" i="14"/>
  <c r="G486" i="14"/>
  <c r="E486" i="14"/>
  <c r="C486" i="14"/>
  <c r="I485" i="14"/>
  <c r="G485" i="14"/>
  <c r="E485" i="14"/>
  <c r="C485" i="14"/>
  <c r="I484" i="14"/>
  <c r="G484" i="14"/>
  <c r="E484" i="14"/>
  <c r="C484" i="14"/>
  <c r="I483" i="14"/>
  <c r="G483" i="14"/>
  <c r="E483" i="14"/>
  <c r="C483" i="14"/>
  <c r="I482" i="14"/>
  <c r="G482" i="14"/>
  <c r="E482" i="14"/>
  <c r="C482" i="14"/>
  <c r="I481" i="14"/>
  <c r="G481" i="14"/>
  <c r="E481" i="14"/>
  <c r="C481" i="14"/>
  <c r="I480" i="14"/>
  <c r="G480" i="14"/>
  <c r="E480" i="14"/>
  <c r="C480" i="14"/>
  <c r="I479" i="14"/>
  <c r="G479" i="14"/>
  <c r="E479" i="14"/>
  <c r="C479" i="14"/>
  <c r="I478" i="14"/>
  <c r="G478" i="14"/>
  <c r="E478" i="14"/>
  <c r="C478" i="14"/>
  <c r="I477" i="14"/>
  <c r="G477" i="14"/>
  <c r="E477" i="14"/>
  <c r="C477" i="14"/>
  <c r="I476" i="14"/>
  <c r="G476" i="14"/>
  <c r="E476" i="14"/>
  <c r="C476" i="14"/>
  <c r="I475" i="14"/>
  <c r="G475" i="14"/>
  <c r="E475" i="14"/>
  <c r="C475" i="14"/>
  <c r="I474" i="14"/>
  <c r="G474" i="14"/>
  <c r="E474" i="14"/>
  <c r="C474" i="14"/>
  <c r="I473" i="14"/>
  <c r="G473" i="14"/>
  <c r="E473" i="14"/>
  <c r="C473" i="14"/>
  <c r="I472" i="14"/>
  <c r="G472" i="14"/>
  <c r="E472" i="14"/>
  <c r="C472" i="14"/>
  <c r="I471" i="14"/>
  <c r="G471" i="14"/>
  <c r="E471" i="14"/>
  <c r="C471" i="14"/>
  <c r="I470" i="14"/>
  <c r="G470" i="14"/>
  <c r="E470" i="14"/>
  <c r="C470" i="14"/>
  <c r="I469" i="14"/>
  <c r="G469" i="14"/>
  <c r="E469" i="14"/>
  <c r="C469" i="14"/>
  <c r="I468" i="14"/>
  <c r="G468" i="14"/>
  <c r="E468" i="14"/>
  <c r="C468" i="14"/>
  <c r="I467" i="14"/>
  <c r="G467" i="14"/>
  <c r="E467" i="14"/>
  <c r="C467" i="14"/>
  <c r="I466" i="14"/>
  <c r="G466" i="14"/>
  <c r="E466" i="14"/>
  <c r="C466" i="14"/>
  <c r="I465" i="14"/>
  <c r="G465" i="14"/>
  <c r="E465" i="14"/>
  <c r="C465" i="14"/>
  <c r="I464" i="14"/>
  <c r="G464" i="14"/>
  <c r="E464" i="14"/>
  <c r="C464" i="14"/>
  <c r="I463" i="14"/>
  <c r="G463" i="14"/>
  <c r="E463" i="14"/>
  <c r="C463" i="14"/>
  <c r="I462" i="14"/>
  <c r="G462" i="14"/>
  <c r="E462" i="14"/>
  <c r="C462" i="14"/>
  <c r="I461" i="14"/>
  <c r="G461" i="14"/>
  <c r="E461" i="14"/>
  <c r="C461" i="14"/>
  <c r="I460" i="14"/>
  <c r="G460" i="14"/>
  <c r="E460" i="14"/>
  <c r="C460" i="14"/>
  <c r="I459" i="14"/>
  <c r="G459" i="14"/>
  <c r="E459" i="14"/>
  <c r="C459" i="14"/>
  <c r="I458" i="14"/>
  <c r="G458" i="14"/>
  <c r="E458" i="14"/>
  <c r="C458" i="14"/>
  <c r="I457" i="14"/>
  <c r="G457" i="14"/>
  <c r="E457" i="14"/>
  <c r="C457" i="14"/>
  <c r="I456" i="14"/>
  <c r="G456" i="14"/>
  <c r="E456" i="14"/>
  <c r="C456" i="14"/>
  <c r="I455" i="14"/>
  <c r="G455" i="14"/>
  <c r="E455" i="14"/>
  <c r="C455" i="14"/>
  <c r="I454" i="14"/>
  <c r="G454" i="14"/>
  <c r="E454" i="14"/>
  <c r="C454" i="14"/>
  <c r="I453" i="14"/>
  <c r="G453" i="14"/>
  <c r="E453" i="14"/>
  <c r="C453" i="14"/>
  <c r="I452" i="14"/>
  <c r="G452" i="14"/>
  <c r="E452" i="14"/>
  <c r="C452" i="14"/>
  <c r="I451" i="14"/>
  <c r="G451" i="14"/>
  <c r="E451" i="14"/>
  <c r="C451" i="14"/>
  <c r="I450" i="14"/>
  <c r="G450" i="14"/>
  <c r="E450" i="14"/>
  <c r="C450" i="14"/>
  <c r="I449" i="14"/>
  <c r="G449" i="14"/>
  <c r="E449" i="14"/>
  <c r="C449" i="14"/>
  <c r="I448" i="14"/>
  <c r="G448" i="14"/>
  <c r="E448" i="14"/>
  <c r="C448" i="14"/>
  <c r="I447" i="14"/>
  <c r="G447" i="14"/>
  <c r="E447" i="14"/>
  <c r="C447" i="14"/>
  <c r="I446" i="14"/>
  <c r="G446" i="14"/>
  <c r="E446" i="14"/>
  <c r="C446" i="14"/>
  <c r="I445" i="14"/>
  <c r="G445" i="14"/>
  <c r="E445" i="14"/>
  <c r="C445" i="14"/>
  <c r="I444" i="14"/>
  <c r="G444" i="14"/>
  <c r="E444" i="14"/>
  <c r="C444" i="14"/>
  <c r="I443" i="14"/>
  <c r="G443" i="14"/>
  <c r="E443" i="14"/>
  <c r="C443" i="14"/>
  <c r="I442" i="14"/>
  <c r="G442" i="14"/>
  <c r="E442" i="14"/>
  <c r="C442" i="14"/>
  <c r="I441" i="14"/>
  <c r="G441" i="14"/>
  <c r="E441" i="14"/>
  <c r="C441" i="14"/>
  <c r="I440" i="14"/>
  <c r="G440" i="14"/>
  <c r="E440" i="14"/>
  <c r="C440" i="14"/>
  <c r="I439" i="14"/>
  <c r="G439" i="14"/>
  <c r="E439" i="14"/>
  <c r="C439" i="14"/>
  <c r="I438" i="14"/>
  <c r="G438" i="14"/>
  <c r="E438" i="14"/>
  <c r="C438" i="14"/>
  <c r="I437" i="14"/>
  <c r="G437" i="14"/>
  <c r="E437" i="14"/>
  <c r="C437" i="14"/>
  <c r="I436" i="14"/>
  <c r="G436" i="14"/>
  <c r="E436" i="14"/>
  <c r="C436" i="14"/>
  <c r="I435" i="14"/>
  <c r="G435" i="14"/>
  <c r="E435" i="14"/>
  <c r="C435" i="14"/>
  <c r="I434" i="14"/>
  <c r="G434" i="14"/>
  <c r="E434" i="14"/>
  <c r="C434" i="14"/>
  <c r="I433" i="14"/>
  <c r="G433" i="14"/>
  <c r="E433" i="14"/>
  <c r="C433" i="14"/>
  <c r="I432" i="14"/>
  <c r="G432" i="14"/>
  <c r="E432" i="14"/>
  <c r="C432" i="14"/>
  <c r="I431" i="14"/>
  <c r="G431" i="14"/>
  <c r="E431" i="14"/>
  <c r="C431" i="14"/>
  <c r="I430" i="14"/>
  <c r="G430" i="14"/>
  <c r="E430" i="14"/>
  <c r="C430" i="14"/>
  <c r="I429" i="14"/>
  <c r="G429" i="14"/>
  <c r="E429" i="14"/>
  <c r="C429" i="14"/>
  <c r="I428" i="14"/>
  <c r="G428" i="14"/>
  <c r="E428" i="14"/>
  <c r="C428" i="14"/>
  <c r="I427" i="14"/>
  <c r="G427" i="14"/>
  <c r="E427" i="14"/>
  <c r="C427" i="14"/>
  <c r="I426" i="14"/>
  <c r="G426" i="14"/>
  <c r="E426" i="14"/>
  <c r="C426" i="14"/>
  <c r="I425" i="14"/>
  <c r="G425" i="14"/>
  <c r="E425" i="14"/>
  <c r="C425" i="14"/>
  <c r="I424" i="14"/>
  <c r="G424" i="14"/>
  <c r="E424" i="14"/>
  <c r="C424" i="14"/>
  <c r="I423" i="14"/>
  <c r="G423" i="14"/>
  <c r="E423" i="14"/>
  <c r="C423" i="14"/>
  <c r="I422" i="14"/>
  <c r="G422" i="14"/>
  <c r="E422" i="14"/>
  <c r="C422" i="14"/>
  <c r="I421" i="14"/>
  <c r="G421" i="14"/>
  <c r="E421" i="14"/>
  <c r="C421" i="14"/>
  <c r="I420" i="14"/>
  <c r="G420" i="14"/>
  <c r="E420" i="14"/>
  <c r="C420" i="14"/>
  <c r="I419" i="14"/>
  <c r="G419" i="14"/>
  <c r="E419" i="14"/>
  <c r="C419" i="14"/>
  <c r="I418" i="14"/>
  <c r="G418" i="14"/>
  <c r="E418" i="14"/>
  <c r="C418" i="14"/>
  <c r="I417" i="14"/>
  <c r="G417" i="14"/>
  <c r="E417" i="14"/>
  <c r="C417" i="14"/>
  <c r="I416" i="14"/>
  <c r="G416" i="14"/>
  <c r="E416" i="14"/>
  <c r="C416" i="14"/>
  <c r="I415" i="14"/>
  <c r="G415" i="14"/>
  <c r="E415" i="14"/>
  <c r="C415" i="14"/>
  <c r="I414" i="14"/>
  <c r="G414" i="14"/>
  <c r="E414" i="14"/>
  <c r="C414" i="14"/>
  <c r="I413" i="14"/>
  <c r="G413" i="14"/>
  <c r="E413" i="14"/>
  <c r="C413" i="14"/>
  <c r="I412" i="14"/>
  <c r="G412" i="14"/>
  <c r="E412" i="14"/>
  <c r="C412" i="14"/>
  <c r="I411" i="14"/>
  <c r="G411" i="14"/>
  <c r="E411" i="14"/>
  <c r="C411" i="14"/>
  <c r="I410" i="14"/>
  <c r="G410" i="14"/>
  <c r="E410" i="14"/>
  <c r="C410" i="14"/>
  <c r="I409" i="14"/>
  <c r="G409" i="14"/>
  <c r="E409" i="14"/>
  <c r="C409" i="14"/>
  <c r="I408" i="14"/>
  <c r="G408" i="14"/>
  <c r="E408" i="14"/>
  <c r="C408" i="14"/>
  <c r="I407" i="14"/>
  <c r="G407" i="14"/>
  <c r="E407" i="14"/>
  <c r="C407" i="14"/>
  <c r="I406" i="14"/>
  <c r="G406" i="14"/>
  <c r="E406" i="14"/>
  <c r="C406" i="14"/>
  <c r="I405" i="14"/>
  <c r="G405" i="14"/>
  <c r="E405" i="14"/>
  <c r="C405" i="14"/>
  <c r="I404" i="14"/>
  <c r="G404" i="14"/>
  <c r="E404" i="14"/>
  <c r="C404" i="14"/>
  <c r="I403" i="14"/>
  <c r="G403" i="14"/>
  <c r="E403" i="14"/>
  <c r="C403" i="14"/>
  <c r="I402" i="14"/>
  <c r="G402" i="14"/>
  <c r="E402" i="14"/>
  <c r="C402" i="14"/>
  <c r="I401" i="14"/>
  <c r="G401" i="14"/>
  <c r="E401" i="14"/>
  <c r="C401" i="14"/>
  <c r="I400" i="14"/>
  <c r="G400" i="14"/>
  <c r="E400" i="14"/>
  <c r="C400" i="14"/>
  <c r="I399" i="14"/>
  <c r="G399" i="14"/>
  <c r="E399" i="14"/>
  <c r="C399" i="14"/>
  <c r="I398" i="14"/>
  <c r="G398" i="14"/>
  <c r="E398" i="14"/>
  <c r="C398" i="14"/>
  <c r="I397" i="14"/>
  <c r="G397" i="14"/>
  <c r="E397" i="14"/>
  <c r="C397" i="14"/>
  <c r="I396" i="14"/>
  <c r="G396" i="14"/>
  <c r="E396" i="14"/>
  <c r="C396" i="14"/>
  <c r="I395" i="14"/>
  <c r="G395" i="14"/>
  <c r="E395" i="14"/>
  <c r="C395" i="14"/>
  <c r="I394" i="14"/>
  <c r="G394" i="14"/>
  <c r="E394" i="14"/>
  <c r="C394" i="14"/>
  <c r="I393" i="14"/>
  <c r="G393" i="14"/>
  <c r="E393" i="14"/>
  <c r="C393" i="14"/>
  <c r="I392" i="14"/>
  <c r="G392" i="14"/>
  <c r="E392" i="14"/>
  <c r="C392" i="14"/>
  <c r="I391" i="14"/>
  <c r="G391" i="14"/>
  <c r="E391" i="14"/>
  <c r="C391" i="14"/>
  <c r="I390" i="14"/>
  <c r="G390" i="14"/>
  <c r="E390" i="14"/>
  <c r="C390" i="14"/>
  <c r="I389" i="14"/>
  <c r="G389" i="14"/>
  <c r="E389" i="14"/>
  <c r="C389" i="14"/>
  <c r="I388" i="14"/>
  <c r="G388" i="14"/>
  <c r="E388" i="14"/>
  <c r="C388" i="14"/>
  <c r="I387" i="14"/>
  <c r="G387" i="14"/>
  <c r="E387" i="14"/>
  <c r="C387" i="14"/>
  <c r="I386" i="14"/>
  <c r="G386" i="14"/>
  <c r="E386" i="14"/>
  <c r="C386" i="14"/>
  <c r="I385" i="14"/>
  <c r="G385" i="14"/>
  <c r="E385" i="14"/>
  <c r="C385" i="14"/>
  <c r="I384" i="14"/>
  <c r="G384" i="14"/>
  <c r="E384" i="14"/>
  <c r="C384" i="14"/>
  <c r="I383" i="14"/>
  <c r="G383" i="14"/>
  <c r="E383" i="14"/>
  <c r="C383" i="14"/>
  <c r="I382" i="14"/>
  <c r="G382" i="14"/>
  <c r="E382" i="14"/>
  <c r="C382" i="14"/>
  <c r="I381" i="14"/>
  <c r="G381" i="14"/>
  <c r="E381" i="14"/>
  <c r="C381" i="14"/>
  <c r="I380" i="14"/>
  <c r="G380" i="14"/>
  <c r="E380" i="14"/>
  <c r="C380" i="14"/>
  <c r="I379" i="14"/>
  <c r="G379" i="14"/>
  <c r="E379" i="14"/>
  <c r="C379" i="14"/>
  <c r="I378" i="14"/>
  <c r="G378" i="14"/>
  <c r="E378" i="14"/>
  <c r="C378" i="14"/>
  <c r="I377" i="14"/>
  <c r="G377" i="14"/>
  <c r="E377" i="14"/>
  <c r="C377" i="14"/>
  <c r="I376" i="14"/>
  <c r="G376" i="14"/>
  <c r="E376" i="14"/>
  <c r="C376" i="14"/>
  <c r="I375" i="14"/>
  <c r="G375" i="14"/>
  <c r="E375" i="14"/>
  <c r="C375" i="14"/>
  <c r="I374" i="14"/>
  <c r="G374" i="14"/>
  <c r="E374" i="14"/>
  <c r="C374" i="14"/>
  <c r="I373" i="14"/>
  <c r="G373" i="14"/>
  <c r="E373" i="14"/>
  <c r="C373" i="14"/>
  <c r="I372" i="14"/>
  <c r="G372" i="14"/>
  <c r="E372" i="14"/>
  <c r="C372" i="14"/>
  <c r="I371" i="14"/>
  <c r="G371" i="14"/>
  <c r="E371" i="14"/>
  <c r="C371" i="14"/>
  <c r="I370" i="14"/>
  <c r="G370" i="14"/>
  <c r="E370" i="14"/>
  <c r="C370" i="14"/>
  <c r="I369" i="14"/>
  <c r="G369" i="14"/>
  <c r="E369" i="14"/>
  <c r="C369" i="14"/>
  <c r="I368" i="14"/>
  <c r="G368" i="14"/>
  <c r="E368" i="14"/>
  <c r="C368" i="14"/>
  <c r="I367" i="14"/>
  <c r="G367" i="14"/>
  <c r="E367" i="14"/>
  <c r="C367" i="14"/>
  <c r="I366" i="14"/>
  <c r="G366" i="14"/>
  <c r="E366" i="14"/>
  <c r="C366" i="14"/>
  <c r="I365" i="14"/>
  <c r="G365" i="14"/>
  <c r="E365" i="14"/>
  <c r="C365" i="14"/>
  <c r="I364" i="14"/>
  <c r="G364" i="14"/>
  <c r="E364" i="14"/>
  <c r="C364" i="14"/>
  <c r="I363" i="14"/>
  <c r="G363" i="14"/>
  <c r="E363" i="14"/>
  <c r="C363" i="14"/>
  <c r="I362" i="14"/>
  <c r="G362" i="14"/>
  <c r="E362" i="14"/>
  <c r="C362" i="14"/>
  <c r="I361" i="14"/>
  <c r="G361" i="14"/>
  <c r="E361" i="14"/>
  <c r="C361" i="14"/>
  <c r="I360" i="14"/>
  <c r="G360" i="14"/>
  <c r="E360" i="14"/>
  <c r="C360" i="14"/>
  <c r="I359" i="14"/>
  <c r="G359" i="14"/>
  <c r="E359" i="14"/>
  <c r="C359" i="14"/>
  <c r="I358" i="14"/>
  <c r="G358" i="14"/>
  <c r="E358" i="14"/>
  <c r="C358" i="14"/>
  <c r="I357" i="14"/>
  <c r="G357" i="14"/>
  <c r="E357" i="14"/>
  <c r="C357" i="14"/>
  <c r="I356" i="14"/>
  <c r="G356" i="14"/>
  <c r="E356" i="14"/>
  <c r="C356" i="14"/>
  <c r="I355" i="14"/>
  <c r="G355" i="14"/>
  <c r="E355" i="14"/>
  <c r="C355" i="14"/>
  <c r="I354" i="14"/>
  <c r="G354" i="14"/>
  <c r="E354" i="14"/>
  <c r="C354" i="14"/>
  <c r="I353" i="14"/>
  <c r="G353" i="14"/>
  <c r="E353" i="14"/>
  <c r="C353" i="14"/>
  <c r="I352" i="14"/>
  <c r="G352" i="14"/>
  <c r="E352" i="14"/>
  <c r="C352" i="14"/>
  <c r="I351" i="14"/>
  <c r="G351" i="14"/>
  <c r="E351" i="14"/>
  <c r="C351" i="14"/>
  <c r="I350" i="14"/>
  <c r="G350" i="14"/>
  <c r="E350" i="14"/>
  <c r="C350" i="14"/>
  <c r="I349" i="14"/>
  <c r="G349" i="14"/>
  <c r="E349" i="14"/>
  <c r="C349" i="14"/>
  <c r="I348" i="14"/>
  <c r="G348" i="14"/>
  <c r="E348" i="14"/>
  <c r="C348" i="14"/>
  <c r="I347" i="14"/>
  <c r="G347" i="14"/>
  <c r="E347" i="14"/>
  <c r="C347" i="14"/>
  <c r="I346" i="14"/>
  <c r="G346" i="14"/>
  <c r="E346" i="14"/>
  <c r="C346" i="14"/>
  <c r="I345" i="14"/>
  <c r="G345" i="14"/>
  <c r="E345" i="14"/>
  <c r="C345" i="14"/>
  <c r="I344" i="14"/>
  <c r="G344" i="14"/>
  <c r="E344" i="14"/>
  <c r="C344" i="14"/>
  <c r="I343" i="14"/>
  <c r="G343" i="14"/>
  <c r="E343" i="14"/>
  <c r="C343" i="14"/>
  <c r="I342" i="14"/>
  <c r="G342" i="14"/>
  <c r="E342" i="14"/>
  <c r="C342" i="14"/>
  <c r="I341" i="14"/>
  <c r="G341" i="14"/>
  <c r="E341" i="14"/>
  <c r="C341" i="14"/>
  <c r="I340" i="14"/>
  <c r="G340" i="14"/>
  <c r="E340" i="14"/>
  <c r="C340" i="14"/>
  <c r="I339" i="14"/>
  <c r="G339" i="14"/>
  <c r="E339" i="14"/>
  <c r="C339" i="14"/>
  <c r="I338" i="14"/>
  <c r="G338" i="14"/>
  <c r="E338" i="14"/>
  <c r="C338" i="14"/>
  <c r="I337" i="14"/>
  <c r="G337" i="14"/>
  <c r="E337" i="14"/>
  <c r="C337" i="14"/>
  <c r="I336" i="14"/>
  <c r="G336" i="14"/>
  <c r="E336" i="14"/>
  <c r="C336" i="14"/>
  <c r="I335" i="14"/>
  <c r="G335" i="14"/>
  <c r="E335" i="14"/>
  <c r="C335" i="14"/>
  <c r="I334" i="14"/>
  <c r="G334" i="14"/>
  <c r="E334" i="14"/>
  <c r="C334" i="14"/>
  <c r="I333" i="14"/>
  <c r="G333" i="14"/>
  <c r="E333" i="14"/>
  <c r="C333" i="14"/>
  <c r="I332" i="14"/>
  <c r="G332" i="14"/>
  <c r="E332" i="14"/>
  <c r="C332" i="14"/>
  <c r="I331" i="14"/>
  <c r="G331" i="14"/>
  <c r="E331" i="14"/>
  <c r="C331" i="14"/>
  <c r="I330" i="14"/>
  <c r="G330" i="14"/>
  <c r="E330" i="14"/>
  <c r="C330" i="14"/>
  <c r="I329" i="14"/>
  <c r="G329" i="14"/>
  <c r="E329" i="14"/>
  <c r="C329" i="14"/>
  <c r="I328" i="14"/>
  <c r="G328" i="14"/>
  <c r="E328" i="14"/>
  <c r="C328" i="14"/>
  <c r="I327" i="14"/>
  <c r="G327" i="14"/>
  <c r="E327" i="14"/>
  <c r="C327" i="14"/>
  <c r="I326" i="14"/>
  <c r="G326" i="14"/>
  <c r="E326" i="14"/>
  <c r="C326" i="14"/>
  <c r="I325" i="14"/>
  <c r="G325" i="14"/>
  <c r="E325" i="14"/>
  <c r="C325" i="14"/>
  <c r="I324" i="14"/>
  <c r="G324" i="14"/>
  <c r="E324" i="14"/>
  <c r="C324" i="14"/>
  <c r="I323" i="14"/>
  <c r="G323" i="14"/>
  <c r="E323" i="14"/>
  <c r="C323" i="14"/>
  <c r="I322" i="14"/>
  <c r="G322" i="14"/>
  <c r="E322" i="14"/>
  <c r="C322" i="14"/>
  <c r="I321" i="14"/>
  <c r="G321" i="14"/>
  <c r="E321" i="14"/>
  <c r="C321" i="14"/>
  <c r="I320" i="14"/>
  <c r="G320" i="14"/>
  <c r="E320" i="14"/>
  <c r="C320" i="14"/>
  <c r="I319" i="14"/>
  <c r="G319" i="14"/>
  <c r="E319" i="14"/>
  <c r="C319" i="14"/>
  <c r="I318" i="14"/>
  <c r="G318" i="14"/>
  <c r="E318" i="14"/>
  <c r="C318" i="14"/>
  <c r="I317" i="14"/>
  <c r="G317" i="14"/>
  <c r="E317" i="14"/>
  <c r="C317" i="14"/>
  <c r="I316" i="14"/>
  <c r="G316" i="14"/>
  <c r="E316" i="14"/>
  <c r="C316" i="14"/>
  <c r="I315" i="14"/>
  <c r="G315" i="14"/>
  <c r="E315" i="14"/>
  <c r="C315" i="14"/>
  <c r="I314" i="14"/>
  <c r="G314" i="14"/>
  <c r="E314" i="14"/>
  <c r="C314" i="14"/>
  <c r="I313" i="14"/>
  <c r="G313" i="14"/>
  <c r="E313" i="14"/>
  <c r="C313" i="14"/>
  <c r="I312" i="14"/>
  <c r="G312" i="14"/>
  <c r="E312" i="14"/>
  <c r="C312" i="14"/>
  <c r="I311" i="14"/>
  <c r="G311" i="14"/>
  <c r="E311" i="14"/>
  <c r="C311" i="14"/>
  <c r="I310" i="14"/>
  <c r="G310" i="14"/>
  <c r="E310" i="14"/>
  <c r="C310" i="14"/>
  <c r="I309" i="14"/>
  <c r="G309" i="14"/>
  <c r="E309" i="14"/>
  <c r="C309" i="14"/>
  <c r="I308" i="14"/>
  <c r="G308" i="14"/>
  <c r="E308" i="14"/>
  <c r="C308" i="14"/>
  <c r="I307" i="14"/>
  <c r="G307" i="14"/>
  <c r="E307" i="14"/>
  <c r="C307" i="14"/>
  <c r="I306" i="14"/>
  <c r="G306" i="14"/>
  <c r="E306" i="14"/>
  <c r="C306" i="14"/>
  <c r="I305" i="14"/>
  <c r="G305" i="14"/>
  <c r="E305" i="14"/>
  <c r="C305" i="14"/>
  <c r="I304" i="14"/>
  <c r="G304" i="14"/>
  <c r="E304" i="14"/>
  <c r="C304" i="14"/>
  <c r="I303" i="14"/>
  <c r="G303" i="14"/>
  <c r="E303" i="14"/>
  <c r="C303" i="14"/>
  <c r="I302" i="14"/>
  <c r="G302" i="14"/>
  <c r="E302" i="14"/>
  <c r="C302" i="14"/>
  <c r="I301" i="14"/>
  <c r="G301" i="14"/>
  <c r="E301" i="14"/>
  <c r="C301" i="14"/>
  <c r="I300" i="14"/>
  <c r="G300" i="14"/>
  <c r="E300" i="14"/>
  <c r="C300" i="14"/>
  <c r="I299" i="14"/>
  <c r="G299" i="14"/>
  <c r="E299" i="14"/>
  <c r="C299" i="14"/>
  <c r="I298" i="14"/>
  <c r="G298" i="14"/>
  <c r="E298" i="14"/>
  <c r="C298" i="14"/>
  <c r="I297" i="14"/>
  <c r="G297" i="14"/>
  <c r="E297" i="14"/>
  <c r="C297" i="14"/>
  <c r="I296" i="14"/>
  <c r="G296" i="14"/>
  <c r="E296" i="14"/>
  <c r="C296" i="14"/>
  <c r="I295" i="14"/>
  <c r="G295" i="14"/>
  <c r="E295" i="14"/>
  <c r="C295" i="14"/>
  <c r="I294" i="14"/>
  <c r="G294" i="14"/>
  <c r="E294" i="14"/>
  <c r="C294" i="14"/>
  <c r="I293" i="14"/>
  <c r="G293" i="14"/>
  <c r="E293" i="14"/>
  <c r="C293" i="14"/>
  <c r="I292" i="14"/>
  <c r="G292" i="14"/>
  <c r="E292" i="14"/>
  <c r="C292" i="14"/>
  <c r="I291" i="14"/>
  <c r="G291" i="14"/>
  <c r="E291" i="14"/>
  <c r="C291" i="14"/>
  <c r="I290" i="14"/>
  <c r="G290" i="14"/>
  <c r="E290" i="14"/>
  <c r="C290" i="14"/>
  <c r="I289" i="14"/>
  <c r="G289" i="14"/>
  <c r="E289" i="14"/>
  <c r="C289" i="14"/>
  <c r="I288" i="14"/>
  <c r="G288" i="14"/>
  <c r="E288" i="14"/>
  <c r="C288" i="14"/>
  <c r="I287" i="14"/>
  <c r="G287" i="14"/>
  <c r="E287" i="14"/>
  <c r="C287" i="14"/>
  <c r="I286" i="14"/>
  <c r="G286" i="14"/>
  <c r="E286" i="14"/>
  <c r="C286" i="14"/>
  <c r="I285" i="14"/>
  <c r="G285" i="14"/>
  <c r="E285" i="14"/>
  <c r="C285" i="14"/>
  <c r="I284" i="14"/>
  <c r="G284" i="14"/>
  <c r="E284" i="14"/>
  <c r="C284" i="14"/>
  <c r="I283" i="14"/>
  <c r="G283" i="14"/>
  <c r="E283" i="14"/>
  <c r="C283" i="14"/>
  <c r="I282" i="14"/>
  <c r="G282" i="14"/>
  <c r="E282" i="14"/>
  <c r="C282" i="14"/>
  <c r="I281" i="14"/>
  <c r="G281" i="14"/>
  <c r="E281" i="14"/>
  <c r="C281" i="14"/>
  <c r="I280" i="14"/>
  <c r="G280" i="14"/>
  <c r="E280" i="14"/>
  <c r="C280" i="14"/>
  <c r="I279" i="14"/>
  <c r="G279" i="14"/>
  <c r="E279" i="14"/>
  <c r="C279" i="14"/>
  <c r="I278" i="14"/>
  <c r="G278" i="14"/>
  <c r="E278" i="14"/>
  <c r="C278" i="14"/>
  <c r="I277" i="14"/>
  <c r="G277" i="14"/>
  <c r="E277" i="14"/>
  <c r="C277" i="14"/>
  <c r="I276" i="14"/>
  <c r="G276" i="14"/>
  <c r="E276" i="14"/>
  <c r="C276" i="14"/>
  <c r="I275" i="14"/>
  <c r="G275" i="14"/>
  <c r="E275" i="14"/>
  <c r="C275" i="14"/>
  <c r="I274" i="14"/>
  <c r="G274" i="14"/>
  <c r="E274" i="14"/>
  <c r="C274" i="14"/>
  <c r="I273" i="14"/>
  <c r="G273" i="14"/>
  <c r="E273" i="14"/>
  <c r="C273" i="14"/>
  <c r="I272" i="14"/>
  <c r="G272" i="14"/>
  <c r="E272" i="14"/>
  <c r="C272" i="14"/>
  <c r="I271" i="14"/>
  <c r="G271" i="14"/>
  <c r="E271" i="14"/>
  <c r="C271" i="14"/>
  <c r="I270" i="14"/>
  <c r="G270" i="14"/>
  <c r="E270" i="14"/>
  <c r="C270" i="14"/>
  <c r="I269" i="14"/>
  <c r="G269" i="14"/>
  <c r="E269" i="14"/>
  <c r="C269" i="14"/>
  <c r="I268" i="14"/>
  <c r="G268" i="14"/>
  <c r="E268" i="14"/>
  <c r="C268" i="14"/>
  <c r="I267" i="14"/>
  <c r="G267" i="14"/>
  <c r="E267" i="14"/>
  <c r="C267" i="14"/>
  <c r="I266" i="14"/>
  <c r="G266" i="14"/>
  <c r="E266" i="14"/>
  <c r="C266" i="14"/>
  <c r="I265" i="14"/>
  <c r="G265" i="14"/>
  <c r="E265" i="14"/>
  <c r="C265" i="14"/>
  <c r="I264" i="14"/>
  <c r="G264" i="14"/>
  <c r="E264" i="14"/>
  <c r="C264" i="14"/>
  <c r="I263" i="14"/>
  <c r="G263" i="14"/>
  <c r="E263" i="14"/>
  <c r="C263" i="14"/>
  <c r="I262" i="14"/>
  <c r="G262" i="14"/>
  <c r="E262" i="14"/>
  <c r="C262" i="14"/>
  <c r="I261" i="14"/>
  <c r="G261" i="14"/>
  <c r="E261" i="14"/>
  <c r="C261" i="14"/>
  <c r="I260" i="14"/>
  <c r="G260" i="14"/>
  <c r="E260" i="14"/>
  <c r="C260" i="14"/>
  <c r="I259" i="14"/>
  <c r="G259" i="14"/>
  <c r="E259" i="14"/>
  <c r="C259" i="14"/>
  <c r="I258" i="14"/>
  <c r="G258" i="14"/>
  <c r="E258" i="14"/>
  <c r="C258" i="14"/>
  <c r="I257" i="14"/>
  <c r="G257" i="14"/>
  <c r="E257" i="14"/>
  <c r="C257" i="14"/>
  <c r="I256" i="14"/>
  <c r="G256" i="14"/>
  <c r="E256" i="14"/>
  <c r="C256" i="14"/>
  <c r="I255" i="14"/>
  <c r="G255" i="14"/>
  <c r="E255" i="14"/>
  <c r="C255" i="14"/>
  <c r="I254" i="14"/>
  <c r="G254" i="14"/>
  <c r="E254" i="14"/>
  <c r="C254" i="14"/>
  <c r="I253" i="14"/>
  <c r="G253" i="14"/>
  <c r="E253" i="14"/>
  <c r="C253" i="14"/>
  <c r="I252" i="14"/>
  <c r="G252" i="14"/>
  <c r="E252" i="14"/>
  <c r="C252" i="14"/>
  <c r="I251" i="14"/>
  <c r="G251" i="14"/>
  <c r="E251" i="14"/>
  <c r="C251" i="14"/>
  <c r="I250" i="14"/>
  <c r="G250" i="14"/>
  <c r="E250" i="14"/>
  <c r="C250" i="14"/>
  <c r="I249" i="14"/>
  <c r="G249" i="14"/>
  <c r="E249" i="14"/>
  <c r="C249" i="14"/>
  <c r="I248" i="14"/>
  <c r="G248" i="14"/>
  <c r="E248" i="14"/>
  <c r="C248" i="14"/>
  <c r="I247" i="14"/>
  <c r="G247" i="14"/>
  <c r="E247" i="14"/>
  <c r="C247" i="14"/>
  <c r="I246" i="14"/>
  <c r="G246" i="14"/>
  <c r="E246" i="14"/>
  <c r="C246" i="14"/>
  <c r="I245" i="14"/>
  <c r="G245" i="14"/>
  <c r="E245" i="14"/>
  <c r="C245" i="14"/>
  <c r="I244" i="14"/>
  <c r="G244" i="14"/>
  <c r="E244" i="14"/>
  <c r="C244" i="14"/>
  <c r="I243" i="14"/>
  <c r="G243" i="14"/>
  <c r="E243" i="14"/>
  <c r="C243" i="14"/>
  <c r="I242" i="14"/>
  <c r="G242" i="14"/>
  <c r="E242" i="14"/>
  <c r="C242" i="14"/>
  <c r="I241" i="14"/>
  <c r="G241" i="14"/>
  <c r="E241" i="14"/>
  <c r="C241" i="14"/>
  <c r="I240" i="14"/>
  <c r="G240" i="14"/>
  <c r="E240" i="14"/>
  <c r="C240" i="14"/>
  <c r="I239" i="14"/>
  <c r="G239" i="14"/>
  <c r="E239" i="14"/>
  <c r="C239" i="14"/>
  <c r="I238" i="14"/>
  <c r="G238" i="14"/>
  <c r="E238" i="14"/>
  <c r="C238" i="14"/>
  <c r="I237" i="14"/>
  <c r="G237" i="14"/>
  <c r="E237" i="14"/>
  <c r="C237" i="14"/>
  <c r="I236" i="14"/>
  <c r="G236" i="14"/>
  <c r="E236" i="14"/>
  <c r="C236" i="14"/>
  <c r="I235" i="14"/>
  <c r="G235" i="14"/>
  <c r="E235" i="14"/>
  <c r="C235" i="14"/>
  <c r="I234" i="14"/>
  <c r="G234" i="14"/>
  <c r="E234" i="14"/>
  <c r="C234" i="14"/>
  <c r="I233" i="14"/>
  <c r="G233" i="14"/>
  <c r="E233" i="14"/>
  <c r="C233" i="14"/>
  <c r="I232" i="14"/>
  <c r="G232" i="14"/>
  <c r="E232" i="14"/>
  <c r="C232" i="14"/>
  <c r="I231" i="14"/>
  <c r="G231" i="14"/>
  <c r="E231" i="14"/>
  <c r="C231" i="14"/>
  <c r="I230" i="14"/>
  <c r="G230" i="14"/>
  <c r="E230" i="14"/>
  <c r="C230" i="14"/>
  <c r="I229" i="14"/>
  <c r="G229" i="14"/>
  <c r="E229" i="14"/>
  <c r="C229" i="14"/>
  <c r="I228" i="14"/>
  <c r="G228" i="14"/>
  <c r="E228" i="14"/>
  <c r="C228" i="14"/>
  <c r="I227" i="14"/>
  <c r="G227" i="14"/>
  <c r="E227" i="14"/>
  <c r="C227" i="14"/>
  <c r="I226" i="14"/>
  <c r="G226" i="14"/>
  <c r="E226" i="14"/>
  <c r="C226" i="14"/>
  <c r="I225" i="14"/>
  <c r="G225" i="14"/>
  <c r="E225" i="14"/>
  <c r="C225" i="14"/>
  <c r="I224" i="14"/>
  <c r="G224" i="14"/>
  <c r="E224" i="14"/>
  <c r="C224" i="14"/>
  <c r="I223" i="14"/>
  <c r="G223" i="14"/>
  <c r="E223" i="14"/>
  <c r="C223" i="14"/>
  <c r="I222" i="14"/>
  <c r="G222" i="14"/>
  <c r="E222" i="14"/>
  <c r="C222" i="14"/>
  <c r="I221" i="14"/>
  <c r="G221" i="14"/>
  <c r="E221" i="14"/>
  <c r="C221" i="14"/>
  <c r="I220" i="14"/>
  <c r="G220" i="14"/>
  <c r="E220" i="14"/>
  <c r="C220" i="14"/>
  <c r="I219" i="14"/>
  <c r="G219" i="14"/>
  <c r="E219" i="14"/>
  <c r="C219" i="14"/>
  <c r="I218" i="14"/>
  <c r="G218" i="14"/>
  <c r="E218" i="14"/>
  <c r="C218" i="14"/>
  <c r="I217" i="14"/>
  <c r="G217" i="14"/>
  <c r="E217" i="14"/>
  <c r="C217" i="14"/>
  <c r="I216" i="14"/>
  <c r="G216" i="14"/>
  <c r="E216" i="14"/>
  <c r="C216" i="14"/>
  <c r="I215" i="14"/>
  <c r="G215" i="14"/>
  <c r="E215" i="14"/>
  <c r="C215" i="14"/>
  <c r="I214" i="14"/>
  <c r="G214" i="14"/>
  <c r="E214" i="14"/>
  <c r="C214" i="14"/>
  <c r="I213" i="14"/>
  <c r="G213" i="14"/>
  <c r="E213" i="14"/>
  <c r="C213" i="14"/>
  <c r="I212" i="14"/>
  <c r="G212" i="14"/>
  <c r="E212" i="14"/>
  <c r="C212" i="14"/>
  <c r="I211" i="14"/>
  <c r="G211" i="14"/>
  <c r="E211" i="14"/>
  <c r="C211" i="14"/>
  <c r="I210" i="14"/>
  <c r="G210" i="14"/>
  <c r="E210" i="14"/>
  <c r="C210" i="14"/>
  <c r="I209" i="14"/>
  <c r="G209" i="14"/>
  <c r="E209" i="14"/>
  <c r="C209" i="14"/>
  <c r="I208" i="14"/>
  <c r="G208" i="14"/>
  <c r="E208" i="14"/>
  <c r="C208" i="14"/>
  <c r="I207" i="14"/>
  <c r="G207" i="14"/>
  <c r="E207" i="14"/>
  <c r="C207" i="14"/>
  <c r="I206" i="14"/>
  <c r="G206" i="14"/>
  <c r="E206" i="14"/>
  <c r="C206" i="14"/>
  <c r="I205" i="14"/>
  <c r="G205" i="14"/>
  <c r="E205" i="14"/>
  <c r="C205" i="14"/>
  <c r="I204" i="14"/>
  <c r="G204" i="14"/>
  <c r="E204" i="14"/>
  <c r="C204" i="14"/>
  <c r="I203" i="14"/>
  <c r="G203" i="14"/>
  <c r="E203" i="14"/>
  <c r="C203" i="14"/>
  <c r="I202" i="14"/>
  <c r="G202" i="14"/>
  <c r="E202" i="14"/>
  <c r="C202" i="14"/>
  <c r="I201" i="14"/>
  <c r="G201" i="14"/>
  <c r="E201" i="14"/>
  <c r="C201" i="14"/>
  <c r="I200" i="14"/>
  <c r="G200" i="14"/>
  <c r="E200" i="14"/>
  <c r="C200" i="14"/>
  <c r="I199" i="14"/>
  <c r="G199" i="14"/>
  <c r="E199" i="14"/>
  <c r="C199" i="14"/>
  <c r="I198" i="14"/>
  <c r="G198" i="14"/>
  <c r="E198" i="14"/>
  <c r="C198" i="14"/>
  <c r="I197" i="14"/>
  <c r="G197" i="14"/>
  <c r="E197" i="14"/>
  <c r="C197" i="14"/>
  <c r="I196" i="14"/>
  <c r="G196" i="14"/>
  <c r="E196" i="14"/>
  <c r="C196" i="14"/>
  <c r="I195" i="14"/>
  <c r="G195" i="14"/>
  <c r="E195" i="14"/>
  <c r="C195" i="14"/>
  <c r="I194" i="14"/>
  <c r="G194" i="14"/>
  <c r="E194" i="14"/>
  <c r="C194" i="14"/>
  <c r="I193" i="14"/>
  <c r="G193" i="14"/>
  <c r="E193" i="14"/>
  <c r="C193" i="14"/>
  <c r="I192" i="14"/>
  <c r="G192" i="14"/>
  <c r="E192" i="14"/>
  <c r="C192" i="14"/>
  <c r="I191" i="14"/>
  <c r="G191" i="14"/>
  <c r="E191" i="14"/>
  <c r="C191" i="14"/>
  <c r="I190" i="14"/>
  <c r="G190" i="14"/>
  <c r="E190" i="14"/>
  <c r="C190" i="14"/>
  <c r="I189" i="14"/>
  <c r="G189" i="14"/>
  <c r="E189" i="14"/>
  <c r="C189" i="14"/>
  <c r="I188" i="14"/>
  <c r="G188" i="14"/>
  <c r="E188" i="14"/>
  <c r="C188" i="14"/>
  <c r="I187" i="14"/>
  <c r="G187" i="14"/>
  <c r="E187" i="14"/>
  <c r="C187" i="14"/>
  <c r="I186" i="14"/>
  <c r="G186" i="14"/>
  <c r="E186" i="14"/>
  <c r="C186" i="14"/>
  <c r="I185" i="14"/>
  <c r="G185" i="14"/>
  <c r="E185" i="14"/>
  <c r="C185" i="14"/>
  <c r="I184" i="14"/>
  <c r="G184" i="14"/>
  <c r="E184" i="14"/>
  <c r="C184" i="14"/>
  <c r="I183" i="14"/>
  <c r="G183" i="14"/>
  <c r="E183" i="14"/>
  <c r="C183" i="14"/>
  <c r="I182" i="14"/>
  <c r="G182" i="14"/>
  <c r="E182" i="14"/>
  <c r="C182" i="14"/>
  <c r="I181" i="14"/>
  <c r="G181" i="14"/>
  <c r="E181" i="14"/>
  <c r="C181" i="14"/>
  <c r="I180" i="14"/>
  <c r="G180" i="14"/>
  <c r="E180" i="14"/>
  <c r="C180" i="14"/>
  <c r="I179" i="14"/>
  <c r="G179" i="14"/>
  <c r="E179" i="14"/>
  <c r="C179" i="14"/>
  <c r="I178" i="14"/>
  <c r="G178" i="14"/>
  <c r="E178" i="14"/>
  <c r="C178" i="14"/>
  <c r="I177" i="14"/>
  <c r="G177" i="14"/>
  <c r="E177" i="14"/>
  <c r="C177" i="14"/>
  <c r="I176" i="14"/>
  <c r="G176" i="14"/>
  <c r="E176" i="14"/>
  <c r="C176" i="14"/>
  <c r="I175" i="14"/>
  <c r="G175" i="14"/>
  <c r="E175" i="14"/>
  <c r="C175" i="14"/>
  <c r="I174" i="14"/>
  <c r="G174" i="14"/>
  <c r="E174" i="14"/>
  <c r="C174" i="14"/>
  <c r="I173" i="14"/>
  <c r="G173" i="14"/>
  <c r="E173" i="14"/>
  <c r="C173" i="14"/>
  <c r="I172" i="14"/>
  <c r="G172" i="14"/>
  <c r="E172" i="14"/>
  <c r="C172" i="14"/>
  <c r="I171" i="14"/>
  <c r="G171" i="14"/>
  <c r="E171" i="14"/>
  <c r="C171" i="14"/>
  <c r="I170" i="14"/>
  <c r="G170" i="14"/>
  <c r="E170" i="14"/>
  <c r="C170" i="14"/>
  <c r="I169" i="14"/>
  <c r="G169" i="14"/>
  <c r="E169" i="14"/>
  <c r="C169" i="14"/>
  <c r="I168" i="14"/>
  <c r="G168" i="14"/>
  <c r="E168" i="14"/>
  <c r="C168" i="14"/>
  <c r="I167" i="14"/>
  <c r="G167" i="14"/>
  <c r="E167" i="14"/>
  <c r="C167" i="14"/>
  <c r="I166" i="14"/>
  <c r="G166" i="14"/>
  <c r="E166" i="14"/>
  <c r="C166" i="14"/>
  <c r="I165" i="14"/>
  <c r="G165" i="14"/>
  <c r="E165" i="14"/>
  <c r="C165" i="14"/>
  <c r="I164" i="14"/>
  <c r="G164" i="14"/>
  <c r="E164" i="14"/>
  <c r="C164" i="14"/>
  <c r="I163" i="14"/>
  <c r="G163" i="14"/>
  <c r="E163" i="14"/>
  <c r="C163" i="14"/>
  <c r="I162" i="14"/>
  <c r="G162" i="14"/>
  <c r="E162" i="14"/>
  <c r="C162" i="14"/>
  <c r="I161" i="14"/>
  <c r="G161" i="14"/>
  <c r="E161" i="14"/>
  <c r="C161" i="14"/>
  <c r="I160" i="14"/>
  <c r="G160" i="14"/>
  <c r="E160" i="14"/>
  <c r="C160" i="14"/>
  <c r="I159" i="14"/>
  <c r="G159" i="14"/>
  <c r="E159" i="14"/>
  <c r="C159" i="14"/>
  <c r="I158" i="14"/>
  <c r="G158" i="14"/>
  <c r="E158" i="14"/>
  <c r="C158" i="14"/>
  <c r="I157" i="14"/>
  <c r="G157" i="14"/>
  <c r="E157" i="14"/>
  <c r="C157" i="14"/>
  <c r="I156" i="14"/>
  <c r="G156" i="14"/>
  <c r="E156" i="14"/>
  <c r="C156" i="14"/>
  <c r="I155" i="14"/>
  <c r="G155" i="14"/>
  <c r="E155" i="14"/>
  <c r="C155" i="14"/>
  <c r="I154" i="14"/>
  <c r="G154" i="14"/>
  <c r="E154" i="14"/>
  <c r="C154" i="14"/>
  <c r="I153" i="14"/>
  <c r="G153" i="14"/>
  <c r="E153" i="14"/>
  <c r="C153" i="14"/>
  <c r="I152" i="14"/>
  <c r="G152" i="14"/>
  <c r="E152" i="14"/>
  <c r="C152" i="14"/>
  <c r="I151" i="14"/>
  <c r="G151" i="14"/>
  <c r="E151" i="14"/>
  <c r="C151" i="14"/>
  <c r="I150" i="14"/>
  <c r="G150" i="14"/>
  <c r="E150" i="14"/>
  <c r="C150" i="14"/>
  <c r="I149" i="14"/>
  <c r="G149" i="14"/>
  <c r="E149" i="14"/>
  <c r="C149" i="14"/>
  <c r="I148" i="14"/>
  <c r="G148" i="14"/>
  <c r="E148" i="14"/>
  <c r="C148" i="14"/>
  <c r="I147" i="14"/>
  <c r="G147" i="14"/>
  <c r="E147" i="14"/>
  <c r="C147" i="14"/>
  <c r="I146" i="14"/>
  <c r="G146" i="14"/>
  <c r="E146" i="14"/>
  <c r="C146" i="14"/>
  <c r="I145" i="14"/>
  <c r="G145" i="14"/>
  <c r="E145" i="14"/>
  <c r="C145" i="14"/>
  <c r="I144" i="14"/>
  <c r="G144" i="14"/>
  <c r="E144" i="14"/>
  <c r="C144" i="14"/>
  <c r="I143" i="14"/>
  <c r="G143" i="14"/>
  <c r="E143" i="14"/>
  <c r="C143" i="14"/>
  <c r="I142" i="14"/>
  <c r="G142" i="14"/>
  <c r="E142" i="14"/>
  <c r="C142" i="14"/>
  <c r="I141" i="14"/>
  <c r="G141" i="14"/>
  <c r="E141" i="14"/>
  <c r="C141" i="14"/>
  <c r="I140" i="14"/>
  <c r="G140" i="14"/>
  <c r="E140" i="14"/>
  <c r="C140" i="14"/>
  <c r="I139" i="14"/>
  <c r="G139" i="14"/>
  <c r="E139" i="14"/>
  <c r="C139" i="14"/>
  <c r="I138" i="14"/>
  <c r="G138" i="14"/>
  <c r="E138" i="14"/>
  <c r="C138" i="14"/>
  <c r="I137" i="14"/>
  <c r="G137" i="14"/>
  <c r="E137" i="14"/>
  <c r="C137" i="14"/>
  <c r="I136" i="14"/>
  <c r="G136" i="14"/>
  <c r="E136" i="14"/>
  <c r="C136" i="14"/>
  <c r="I135" i="14"/>
  <c r="G135" i="14"/>
  <c r="E135" i="14"/>
  <c r="C135" i="14"/>
  <c r="I134" i="14"/>
  <c r="G134" i="14"/>
  <c r="E134" i="14"/>
  <c r="C134" i="14"/>
  <c r="I133" i="14"/>
  <c r="G133" i="14"/>
  <c r="E133" i="14"/>
  <c r="C133" i="14"/>
  <c r="I132" i="14"/>
  <c r="G132" i="14"/>
  <c r="E132" i="14"/>
  <c r="C132" i="14"/>
  <c r="I131" i="14"/>
  <c r="G131" i="14"/>
  <c r="E131" i="14"/>
  <c r="C131" i="14"/>
  <c r="I130" i="14"/>
  <c r="G130" i="14"/>
  <c r="E130" i="14"/>
  <c r="C130" i="14"/>
  <c r="I129" i="14"/>
  <c r="G129" i="14"/>
  <c r="E129" i="14"/>
  <c r="C129" i="14"/>
  <c r="I128" i="14"/>
  <c r="G128" i="14"/>
  <c r="E128" i="14"/>
  <c r="C128" i="14"/>
  <c r="I127" i="14"/>
  <c r="G127" i="14"/>
  <c r="E127" i="14"/>
  <c r="C127" i="14"/>
  <c r="I126" i="14"/>
  <c r="G126" i="14"/>
  <c r="E126" i="14"/>
  <c r="C126" i="14"/>
  <c r="I125" i="14"/>
  <c r="G125" i="14"/>
  <c r="E125" i="14"/>
  <c r="C125" i="14"/>
  <c r="I124" i="14"/>
  <c r="G124" i="14"/>
  <c r="E124" i="14"/>
  <c r="C124" i="14"/>
  <c r="I123" i="14"/>
  <c r="G123" i="14"/>
  <c r="E123" i="14"/>
  <c r="C123" i="14"/>
  <c r="I122" i="14"/>
  <c r="G122" i="14"/>
  <c r="E122" i="14"/>
  <c r="C122" i="14"/>
  <c r="I121" i="14"/>
  <c r="G121" i="14"/>
  <c r="E121" i="14"/>
  <c r="C121" i="14"/>
  <c r="I120" i="14"/>
  <c r="G120" i="14"/>
  <c r="E120" i="14"/>
  <c r="C120" i="14"/>
  <c r="I119" i="14"/>
  <c r="G119" i="14"/>
  <c r="E119" i="14"/>
  <c r="C119" i="14"/>
  <c r="I118" i="14"/>
  <c r="G118" i="14"/>
  <c r="E118" i="14"/>
  <c r="C118" i="14"/>
  <c r="I117" i="14"/>
  <c r="G117" i="14"/>
  <c r="E117" i="14"/>
  <c r="C117" i="14"/>
  <c r="I116" i="14"/>
  <c r="G116" i="14"/>
  <c r="E116" i="14"/>
  <c r="C116" i="14"/>
  <c r="I115" i="14"/>
  <c r="G115" i="14"/>
  <c r="E115" i="14"/>
  <c r="C115" i="14"/>
  <c r="I114" i="14"/>
  <c r="G114" i="14"/>
  <c r="E114" i="14"/>
  <c r="C114" i="14"/>
  <c r="I113" i="14"/>
  <c r="G113" i="14"/>
  <c r="E113" i="14"/>
  <c r="C113" i="14"/>
  <c r="I112" i="14"/>
  <c r="G112" i="14"/>
  <c r="E112" i="14"/>
  <c r="C112" i="14"/>
  <c r="I111" i="14"/>
  <c r="G111" i="14"/>
  <c r="E111" i="14"/>
  <c r="C111" i="14"/>
  <c r="I110" i="14"/>
  <c r="G110" i="14"/>
  <c r="E110" i="14"/>
  <c r="C110" i="14"/>
  <c r="I109" i="14"/>
  <c r="G109" i="14"/>
  <c r="E109" i="14"/>
  <c r="C109" i="14"/>
  <c r="I108" i="14"/>
  <c r="G108" i="14"/>
  <c r="E108" i="14"/>
  <c r="C108" i="14"/>
  <c r="I107" i="14"/>
  <c r="G107" i="14"/>
  <c r="E107" i="14"/>
  <c r="C107" i="14"/>
  <c r="I106" i="14"/>
  <c r="G106" i="14"/>
  <c r="E106" i="14"/>
  <c r="C106" i="14"/>
  <c r="I105" i="14"/>
  <c r="G105" i="14"/>
  <c r="E105" i="14"/>
  <c r="C105" i="14"/>
  <c r="I104" i="14"/>
  <c r="G104" i="14"/>
  <c r="E104" i="14"/>
  <c r="C104" i="14"/>
  <c r="I103" i="14"/>
  <c r="G103" i="14"/>
  <c r="E103" i="14"/>
  <c r="C103" i="14"/>
  <c r="I102" i="14"/>
  <c r="G102" i="14"/>
  <c r="E102" i="14"/>
  <c r="C102" i="14"/>
  <c r="I101" i="14"/>
  <c r="G101" i="14"/>
  <c r="E101" i="14"/>
  <c r="C101" i="14"/>
  <c r="I100" i="14"/>
  <c r="G100" i="14"/>
  <c r="E100" i="14"/>
  <c r="C100" i="14"/>
  <c r="I99" i="14"/>
  <c r="G99" i="14"/>
  <c r="E99" i="14"/>
  <c r="C99" i="14"/>
  <c r="I98" i="14"/>
  <c r="G98" i="14"/>
  <c r="E98" i="14"/>
  <c r="C98" i="14"/>
  <c r="I97" i="14"/>
  <c r="G97" i="14"/>
  <c r="E97" i="14"/>
  <c r="C97" i="14"/>
  <c r="I96" i="14"/>
  <c r="G96" i="14"/>
  <c r="E96" i="14"/>
  <c r="C96" i="14"/>
  <c r="I95" i="14"/>
  <c r="G95" i="14"/>
  <c r="E95" i="14"/>
  <c r="C95" i="14"/>
  <c r="I94" i="14"/>
  <c r="G94" i="14"/>
  <c r="E94" i="14"/>
  <c r="C94" i="14"/>
  <c r="I93" i="14"/>
  <c r="G93" i="14"/>
  <c r="E93" i="14"/>
  <c r="C93" i="14"/>
  <c r="I92" i="14"/>
  <c r="G92" i="14"/>
  <c r="E92" i="14"/>
  <c r="C92" i="14"/>
  <c r="I91" i="14"/>
  <c r="G91" i="14"/>
  <c r="E91" i="14"/>
  <c r="C91" i="14"/>
  <c r="I90" i="14"/>
  <c r="G90" i="14"/>
  <c r="E90" i="14"/>
  <c r="C90" i="14"/>
  <c r="I89" i="14"/>
  <c r="G89" i="14"/>
  <c r="E89" i="14"/>
  <c r="C89" i="14"/>
  <c r="I88" i="14"/>
  <c r="G88" i="14"/>
  <c r="E88" i="14"/>
  <c r="C88" i="14"/>
  <c r="I87" i="14"/>
  <c r="G87" i="14"/>
  <c r="E87" i="14"/>
  <c r="C87" i="14"/>
  <c r="I86" i="14"/>
  <c r="G86" i="14"/>
  <c r="E86" i="14"/>
  <c r="C86" i="14"/>
  <c r="I85" i="14"/>
  <c r="G85" i="14"/>
  <c r="E85" i="14"/>
  <c r="C85" i="14"/>
  <c r="I84" i="14"/>
  <c r="G84" i="14"/>
  <c r="E84" i="14"/>
  <c r="C84" i="14"/>
  <c r="I83" i="14"/>
  <c r="G83" i="14"/>
  <c r="E83" i="14"/>
  <c r="C83" i="14"/>
  <c r="I82" i="14"/>
  <c r="G82" i="14"/>
  <c r="E82" i="14"/>
  <c r="C82" i="14"/>
  <c r="I81" i="14"/>
  <c r="G81" i="14"/>
  <c r="E81" i="14"/>
  <c r="C81" i="14"/>
  <c r="I80" i="14"/>
  <c r="G80" i="14"/>
  <c r="E80" i="14"/>
  <c r="C80" i="14"/>
  <c r="I79" i="14"/>
  <c r="G79" i="14"/>
  <c r="E79" i="14"/>
  <c r="C79" i="14"/>
  <c r="I78" i="14"/>
  <c r="G78" i="14"/>
  <c r="E78" i="14"/>
  <c r="C78" i="14"/>
  <c r="I77" i="14"/>
  <c r="G77" i="14"/>
  <c r="E77" i="14"/>
  <c r="C77" i="14"/>
  <c r="I76" i="14"/>
  <c r="G76" i="14"/>
  <c r="E76" i="14"/>
  <c r="C76" i="14"/>
  <c r="I75" i="14"/>
  <c r="G75" i="14"/>
  <c r="E75" i="14"/>
  <c r="C75" i="14"/>
  <c r="I74" i="14"/>
  <c r="G74" i="14"/>
  <c r="E74" i="14"/>
  <c r="C74" i="14"/>
  <c r="I73" i="14"/>
  <c r="G73" i="14"/>
  <c r="E73" i="14"/>
  <c r="C73" i="14"/>
  <c r="I72" i="14"/>
  <c r="G72" i="14"/>
  <c r="E72" i="14"/>
  <c r="C72" i="14"/>
  <c r="I71" i="14"/>
  <c r="G71" i="14"/>
  <c r="E71" i="14"/>
  <c r="C71" i="14"/>
  <c r="I70" i="14"/>
  <c r="G70" i="14"/>
  <c r="E70" i="14"/>
  <c r="C70" i="14"/>
  <c r="I69" i="14"/>
  <c r="G69" i="14"/>
  <c r="E69" i="14"/>
  <c r="C69" i="14"/>
  <c r="I68" i="14"/>
  <c r="G68" i="14"/>
  <c r="E68" i="14"/>
  <c r="C68" i="14"/>
  <c r="I67" i="14"/>
  <c r="G67" i="14"/>
  <c r="E67" i="14"/>
  <c r="C67" i="14"/>
  <c r="I66" i="14"/>
  <c r="G66" i="14"/>
  <c r="E66" i="14"/>
  <c r="C66" i="14"/>
  <c r="I65" i="14"/>
  <c r="G65" i="14"/>
  <c r="E65" i="14"/>
  <c r="C65" i="14"/>
  <c r="I64" i="14"/>
  <c r="G64" i="14"/>
  <c r="E64" i="14"/>
  <c r="C64" i="14"/>
  <c r="I63" i="14"/>
  <c r="G63" i="14"/>
  <c r="E63" i="14"/>
  <c r="C63" i="14"/>
  <c r="I62" i="14"/>
  <c r="G62" i="14"/>
  <c r="E62" i="14"/>
  <c r="C62" i="14"/>
  <c r="I61" i="14"/>
  <c r="G61" i="14"/>
  <c r="E61" i="14"/>
  <c r="C61" i="14"/>
  <c r="I60" i="14"/>
  <c r="G60" i="14"/>
  <c r="E60" i="14"/>
  <c r="C60" i="14"/>
  <c r="I59" i="14"/>
  <c r="G59" i="14"/>
  <c r="E59" i="14"/>
  <c r="C59" i="14"/>
  <c r="I58" i="14"/>
  <c r="G58" i="14"/>
  <c r="E58" i="14"/>
  <c r="C58" i="14"/>
  <c r="I57" i="14"/>
  <c r="G57" i="14"/>
  <c r="E57" i="14"/>
  <c r="C57" i="14"/>
  <c r="I56" i="14"/>
  <c r="G56" i="14"/>
  <c r="E56" i="14"/>
  <c r="C56" i="14"/>
  <c r="I55" i="14"/>
  <c r="G55" i="14"/>
  <c r="E55" i="14"/>
  <c r="C55" i="14"/>
  <c r="I54" i="14"/>
  <c r="G54" i="14"/>
  <c r="E54" i="14"/>
  <c r="C54" i="14"/>
  <c r="I53" i="14"/>
  <c r="G53" i="14"/>
  <c r="E53" i="14"/>
  <c r="C53" i="14"/>
  <c r="I52" i="14"/>
  <c r="G52" i="14"/>
  <c r="E52" i="14"/>
  <c r="C52" i="14"/>
  <c r="I51" i="14"/>
  <c r="G51" i="14"/>
  <c r="E51" i="14"/>
  <c r="C51" i="14"/>
  <c r="I50" i="14"/>
  <c r="G50" i="14"/>
  <c r="E50" i="14"/>
  <c r="C50" i="14"/>
  <c r="I49" i="14"/>
  <c r="G49" i="14"/>
  <c r="E49" i="14"/>
  <c r="C49" i="14"/>
  <c r="I48" i="14"/>
  <c r="G48" i="14"/>
  <c r="E48" i="14"/>
  <c r="C48" i="14"/>
  <c r="I47" i="14"/>
  <c r="G47" i="14"/>
  <c r="E47" i="14"/>
  <c r="C47" i="14"/>
  <c r="I46" i="14"/>
  <c r="G46" i="14"/>
  <c r="E46" i="14"/>
  <c r="C46" i="14"/>
  <c r="I45" i="14"/>
  <c r="G45" i="14"/>
  <c r="E45" i="14"/>
  <c r="C45" i="14"/>
  <c r="I44" i="14"/>
  <c r="G44" i="14"/>
  <c r="E44" i="14"/>
  <c r="C44" i="14"/>
  <c r="I43" i="14"/>
  <c r="G43" i="14"/>
  <c r="E43" i="14"/>
  <c r="C43" i="14"/>
  <c r="I42" i="14"/>
  <c r="G42" i="14"/>
  <c r="E42" i="14"/>
  <c r="C42" i="14"/>
  <c r="I41" i="14"/>
  <c r="G41" i="14"/>
  <c r="E41" i="14"/>
  <c r="C41" i="14"/>
  <c r="I40" i="14"/>
  <c r="G40" i="14"/>
  <c r="E40" i="14"/>
  <c r="C40" i="14"/>
  <c r="I39" i="14"/>
  <c r="G39" i="14"/>
  <c r="E39" i="14"/>
  <c r="C39" i="14"/>
  <c r="I38" i="14"/>
  <c r="G38" i="14"/>
  <c r="E38" i="14"/>
  <c r="C38" i="14"/>
  <c r="I37" i="14"/>
  <c r="G37" i="14"/>
  <c r="E37" i="14"/>
  <c r="C37" i="14"/>
  <c r="I36" i="14"/>
  <c r="G36" i="14"/>
  <c r="E36" i="14"/>
  <c r="C36" i="14"/>
  <c r="I35" i="14"/>
  <c r="G35" i="14"/>
  <c r="E35" i="14"/>
  <c r="C35" i="14"/>
  <c r="I34" i="14"/>
  <c r="G34" i="14"/>
  <c r="E34" i="14"/>
  <c r="C34" i="14"/>
  <c r="I33" i="14"/>
  <c r="G33" i="14"/>
  <c r="E33" i="14"/>
  <c r="C33" i="14"/>
  <c r="I32" i="14"/>
  <c r="G32" i="14"/>
  <c r="E32" i="14"/>
  <c r="C32" i="14"/>
  <c r="L29" i="15" l="1"/>
  <c r="J29" i="15" s="1"/>
  <c r="S29" i="15" s="1"/>
  <c r="T29" i="15" s="1"/>
  <c r="Y29" i="15" s="1"/>
  <c r="L23" i="15"/>
  <c r="J23" i="15" s="1"/>
  <c r="S23" i="15" s="1"/>
  <c r="T23" i="15" s="1"/>
  <c r="Y23" i="15" s="1"/>
  <c r="L32" i="15"/>
  <c r="J32" i="15" s="1"/>
  <c r="S32" i="15" s="1"/>
  <c r="T32" i="15" s="1"/>
  <c r="Y32" i="15" s="1"/>
  <c r="L24" i="15"/>
  <c r="J24" i="15" s="1"/>
  <c r="S24" i="15" s="1"/>
  <c r="T24" i="15" s="1"/>
  <c r="Y24" i="15" s="1"/>
  <c r="L33" i="15"/>
  <c r="J33" i="15" s="1"/>
  <c r="S33" i="15" s="1"/>
  <c r="T33" i="15" s="1"/>
  <c r="L25" i="15"/>
  <c r="J25" i="15" s="1"/>
  <c r="S25" i="15" s="1"/>
  <c r="T25" i="15" s="1"/>
  <c r="Y25" i="15" s="1"/>
  <c r="L27" i="15"/>
  <c r="J27" i="15" s="1"/>
  <c r="S27" i="15" s="1"/>
  <c r="T27" i="15" s="1"/>
  <c r="Y27" i="15" s="1"/>
  <c r="S30" i="15"/>
  <c r="T30" i="15" s="1"/>
  <c r="Y30" i="15" s="1"/>
  <c r="S31" i="15"/>
  <c r="T31" i="15" s="1"/>
  <c r="Y31" i="15" s="1"/>
  <c r="S26" i="15"/>
  <c r="T26" i="15" s="1"/>
  <c r="Y26" i="15" s="1"/>
  <c r="L28" i="15"/>
  <c r="J28" i="15" s="1"/>
  <c r="S28" i="15" s="1"/>
  <c r="T28" i="15" s="1"/>
  <c r="Y28" i="15" s="1"/>
  <c r="L34" i="15"/>
  <c r="J34" i="15" s="1"/>
  <c r="S34" i="15" s="1"/>
  <c r="T34" i="15" s="1"/>
  <c r="Y34" i="15" s="1"/>
  <c r="Y33" i="15" l="1"/>
  <c r="T289" i="13" l="1"/>
  <c r="P289" i="13"/>
  <c r="N289" i="13"/>
  <c r="M289" i="13"/>
  <c r="L289" i="13"/>
  <c r="K289" i="13"/>
  <c r="J289" i="13"/>
  <c r="I289" i="13"/>
  <c r="AF288" i="13"/>
  <c r="V288" i="13"/>
  <c r="R288" i="13"/>
  <c r="N288" i="13"/>
  <c r="M288" i="13"/>
  <c r="L288" i="13"/>
  <c r="K288" i="13"/>
  <c r="J288" i="13"/>
  <c r="I288" i="13"/>
  <c r="AF287" i="13"/>
  <c r="AA287" i="13"/>
  <c r="V287" i="13"/>
  <c r="U287" i="13"/>
  <c r="R287" i="13"/>
  <c r="Q287" i="13"/>
  <c r="N287" i="13"/>
  <c r="M287" i="13"/>
  <c r="L287" i="13"/>
  <c r="K287" i="13"/>
  <c r="J287" i="13"/>
  <c r="I287" i="13"/>
  <c r="AF286" i="13"/>
  <c r="AA286" i="13"/>
  <c r="V286" i="13"/>
  <c r="U286" i="13"/>
  <c r="T286" i="13"/>
  <c r="R286" i="13"/>
  <c r="Q286" i="13"/>
  <c r="P286" i="13"/>
  <c r="N286" i="13"/>
  <c r="M286" i="13"/>
  <c r="L286" i="13"/>
  <c r="K286" i="13"/>
  <c r="J286" i="13"/>
  <c r="I286" i="13"/>
  <c r="AE284" i="13"/>
  <c r="AC284" i="13"/>
  <c r="AB284" i="13"/>
  <c r="AE283" i="13"/>
  <c r="AC283" i="13"/>
  <c r="AB283" i="13"/>
  <c r="AE282" i="13"/>
  <c r="AC282" i="13"/>
  <c r="AB282" i="13"/>
  <c r="AE281" i="13"/>
  <c r="AC281" i="13"/>
  <c r="AB281" i="13"/>
  <c r="AE280" i="13"/>
  <c r="AC280" i="13"/>
  <c r="AB280" i="13"/>
  <c r="AE279" i="13"/>
  <c r="AC279" i="13"/>
  <c r="AB279" i="13"/>
  <c r="AE278" i="13"/>
  <c r="AC278" i="13"/>
  <c r="AB278" i="13"/>
  <c r="AE277" i="13"/>
  <c r="AC277" i="13"/>
  <c r="AB277" i="13"/>
  <c r="AE276" i="13"/>
  <c r="AC276" i="13"/>
  <c r="AB276" i="13"/>
  <c r="AE275" i="13"/>
  <c r="AC275" i="13"/>
  <c r="AB275" i="13"/>
  <c r="AE274" i="13"/>
  <c r="AC274" i="13"/>
  <c r="AB274" i="13"/>
  <c r="AE273" i="13"/>
  <c r="AC273" i="13"/>
  <c r="AB273" i="13"/>
  <c r="AE272" i="13"/>
  <c r="AC272" i="13"/>
  <c r="AB272" i="13"/>
  <c r="AF271" i="13"/>
  <c r="AF272" i="13" s="1"/>
  <c r="AF273" i="13" s="1"/>
  <c r="AF274" i="13" s="1"/>
  <c r="AF275" i="13" s="1"/>
  <c r="AF276" i="13" s="1"/>
  <c r="AF277" i="13" s="1"/>
  <c r="AF278" i="13" s="1"/>
  <c r="AF279" i="13" s="1"/>
  <c r="AF280" i="13" s="1"/>
  <c r="AF281" i="13" s="1"/>
  <c r="AF282" i="13" s="1"/>
  <c r="AF283" i="13" s="1"/>
  <c r="AF284" i="13" s="1"/>
  <c r="AE271" i="13"/>
  <c r="AC271" i="13"/>
  <c r="AB271" i="13"/>
  <c r="AE270" i="13"/>
  <c r="AC270" i="13"/>
  <c r="AB270" i="13"/>
  <c r="AE269" i="13"/>
  <c r="AC269" i="13"/>
  <c r="AB269" i="13"/>
  <c r="AE268" i="13"/>
  <c r="AC268" i="13"/>
  <c r="AB268" i="13"/>
  <c r="S268" i="13"/>
  <c r="S269" i="13" s="1"/>
  <c r="S270" i="13" s="1"/>
  <c r="S271" i="13" s="1"/>
  <c r="S272" i="13" s="1"/>
  <c r="S273" i="13" s="1"/>
  <c r="S274" i="13" s="1"/>
  <c r="S275" i="13" s="1"/>
  <c r="S276" i="13" s="1"/>
  <c r="S277" i="13" s="1"/>
  <c r="S278" i="13" s="1"/>
  <c r="S279" i="13" s="1"/>
  <c r="S280" i="13" s="1"/>
  <c r="S281" i="13" s="1"/>
  <c r="S282" i="13" s="1"/>
  <c r="S283" i="13" s="1"/>
  <c r="S284" i="13" s="1"/>
  <c r="AE267" i="13"/>
  <c r="AC267" i="13"/>
  <c r="AB267" i="13"/>
  <c r="AE266" i="13"/>
  <c r="AC266" i="13"/>
  <c r="AB266" i="13"/>
  <c r="AE265" i="13"/>
  <c r="AC265" i="13"/>
  <c r="AB265" i="13"/>
  <c r="S265" i="13"/>
  <c r="S266" i="13" s="1"/>
  <c r="S267" i="13" s="1"/>
  <c r="AF264" i="13"/>
  <c r="AF265" i="13" s="1"/>
  <c r="AF266" i="13" s="1"/>
  <c r="AF267" i="13" s="1"/>
  <c r="AF268" i="13" s="1"/>
  <c r="AF269" i="13" s="1"/>
  <c r="AF270" i="13" s="1"/>
  <c r="AE264" i="13"/>
  <c r="AC264" i="13"/>
  <c r="AB264" i="13"/>
  <c r="V264" i="13"/>
  <c r="V265" i="13" s="1"/>
  <c r="V266" i="13" s="1"/>
  <c r="V267" i="13" s="1"/>
  <c r="V268" i="13" s="1"/>
  <c r="V269" i="13" s="1"/>
  <c r="V270" i="13" s="1"/>
  <c r="V271" i="13" s="1"/>
  <c r="V272" i="13" s="1"/>
  <c r="V273" i="13" s="1"/>
  <c r="V274" i="13" s="1"/>
  <c r="V275" i="13" s="1"/>
  <c r="V276" i="13" s="1"/>
  <c r="V277" i="13" s="1"/>
  <c r="V278" i="13" s="1"/>
  <c r="V279" i="13" s="1"/>
  <c r="V280" i="13" s="1"/>
  <c r="V281" i="13" s="1"/>
  <c r="V282" i="13" s="1"/>
  <c r="V283" i="13" s="1"/>
  <c r="AF263" i="13"/>
  <c r="AE263" i="13"/>
  <c r="AC263" i="13"/>
  <c r="AB263" i="13"/>
  <c r="V263" i="13"/>
  <c r="AE262" i="13"/>
  <c r="AD262" i="13"/>
  <c r="AD263" i="13" s="1"/>
  <c r="AD264" i="13" s="1"/>
  <c r="AD265" i="13" s="1"/>
  <c r="AD266" i="13" s="1"/>
  <c r="AD267" i="13" s="1"/>
  <c r="AD268" i="13" s="1"/>
  <c r="AD269" i="13" s="1"/>
  <c r="AD270" i="13" s="1"/>
  <c r="AD271" i="13" s="1"/>
  <c r="AD272" i="13" s="1"/>
  <c r="AD273" i="13" s="1"/>
  <c r="AD274" i="13" s="1"/>
  <c r="AD275" i="13" s="1"/>
  <c r="AD276" i="13" s="1"/>
  <c r="AD277" i="13" s="1"/>
  <c r="AD278" i="13" s="1"/>
  <c r="AD279" i="13" s="1"/>
  <c r="AD280" i="13" s="1"/>
  <c r="AD281" i="13" s="1"/>
  <c r="AD282" i="13" s="1"/>
  <c r="AD283" i="13" s="1"/>
  <c r="AD284" i="13" s="1"/>
  <c r="AC262" i="13"/>
  <c r="AB262" i="13"/>
  <c r="AE261" i="13"/>
  <c r="AD261" i="13"/>
  <c r="AC261" i="13"/>
  <c r="AB261" i="13"/>
  <c r="V261" i="13"/>
  <c r="V262" i="13" s="1"/>
  <c r="AF260" i="13"/>
  <c r="AF261" i="13" s="1"/>
  <c r="AF262" i="13" s="1"/>
  <c r="AE260" i="13"/>
  <c r="AD260" i="13"/>
  <c r="AC260" i="13"/>
  <c r="AB260" i="13"/>
  <c r="V260" i="13"/>
  <c r="S260" i="13"/>
  <c r="S261" i="13" s="1"/>
  <c r="S262" i="13" s="1"/>
  <c r="S263" i="13" s="1"/>
  <c r="S264" i="13" s="1"/>
  <c r="AF259" i="13"/>
  <c r="AE259" i="13"/>
  <c r="AD259" i="13"/>
  <c r="AC259" i="13"/>
  <c r="AB259" i="13"/>
  <c r="V259" i="13"/>
  <c r="S259" i="13"/>
  <c r="AC258" i="13"/>
  <c r="AB258" i="13"/>
  <c r="AE257" i="13"/>
  <c r="AC257" i="13"/>
  <c r="AB257" i="13"/>
  <c r="AE256" i="13"/>
  <c r="AC256" i="13"/>
  <c r="AB256" i="13"/>
  <c r="AE255" i="13"/>
  <c r="AC255" i="13"/>
  <c r="AB255" i="13"/>
  <c r="AE254" i="13"/>
  <c r="AC254" i="13"/>
  <c r="AB254" i="13"/>
  <c r="AE253" i="13"/>
  <c r="AC253" i="13"/>
  <c r="AB253" i="13"/>
  <c r="AE252" i="13"/>
  <c r="AC252" i="13"/>
  <c r="AB252" i="13"/>
  <c r="AE251" i="13"/>
  <c r="AC251" i="13"/>
  <c r="AB251" i="13"/>
  <c r="AE250" i="13"/>
  <c r="AC250" i="13"/>
  <c r="AB250" i="13"/>
  <c r="AE249" i="13"/>
  <c r="AC249" i="13"/>
  <c r="AB249" i="13"/>
  <c r="AE248" i="13"/>
  <c r="AC248" i="13"/>
  <c r="AB248" i="13"/>
  <c r="AE247" i="13"/>
  <c r="AC247" i="13"/>
  <c r="AB247" i="13"/>
  <c r="AE246" i="13"/>
  <c r="AC246" i="13"/>
  <c r="AB246" i="13"/>
  <c r="AE245" i="13"/>
  <c r="AC245" i="13"/>
  <c r="AB245" i="13"/>
  <c r="AE244" i="13"/>
  <c r="AC244" i="13"/>
  <c r="AB244" i="13"/>
  <c r="AE243" i="13"/>
  <c r="AC243" i="13"/>
  <c r="AB243" i="13"/>
  <c r="AE242" i="13"/>
  <c r="AC242" i="13"/>
  <c r="AB242" i="13"/>
  <c r="AE241" i="13"/>
  <c r="AC241" i="13"/>
  <c r="AB241" i="13"/>
  <c r="AE240" i="13"/>
  <c r="AC240" i="13"/>
  <c r="AB240" i="13"/>
  <c r="AE239" i="13"/>
  <c r="AC239" i="13"/>
  <c r="AB239" i="13"/>
  <c r="AE238" i="13"/>
  <c r="AC238" i="13"/>
  <c r="AB238" i="13"/>
  <c r="AE237" i="13"/>
  <c r="AC237" i="13"/>
  <c r="AB237" i="13"/>
  <c r="AE236" i="13"/>
  <c r="AC236" i="13"/>
  <c r="AB236" i="13"/>
  <c r="AE235" i="13"/>
  <c r="AC235" i="13"/>
  <c r="AB235" i="13"/>
  <c r="AE234" i="13"/>
  <c r="AC234" i="13"/>
  <c r="AB234" i="13"/>
  <c r="AE233" i="13"/>
  <c r="AC233" i="13"/>
  <c r="AB233" i="13"/>
  <c r="AE232" i="13"/>
  <c r="AC232" i="13"/>
  <c r="AB232" i="13"/>
  <c r="AE231" i="13"/>
  <c r="AC231" i="13"/>
  <c r="AB231" i="13"/>
  <c r="AE230" i="13"/>
  <c r="AC230" i="13"/>
  <c r="AB230" i="13"/>
  <c r="AE229" i="13"/>
  <c r="AC229" i="13"/>
  <c r="AB229" i="13"/>
  <c r="AE228" i="13"/>
  <c r="AC228" i="13"/>
  <c r="AB228" i="13"/>
  <c r="AE227" i="13"/>
  <c r="AC227" i="13"/>
  <c r="AB227" i="13"/>
  <c r="AE226" i="13"/>
  <c r="AC226" i="13"/>
  <c r="AB226" i="13"/>
  <c r="AE225" i="13"/>
  <c r="AC225" i="13"/>
  <c r="AB225" i="13"/>
  <c r="AE224" i="13"/>
  <c r="AC224" i="13"/>
  <c r="AB224" i="13"/>
  <c r="AE223" i="13"/>
  <c r="AC223" i="13"/>
  <c r="AB223" i="13"/>
  <c r="AE222" i="13"/>
  <c r="AC222" i="13"/>
  <c r="AB222" i="13"/>
  <c r="AE221" i="13"/>
  <c r="AC221" i="13"/>
  <c r="AB221" i="13"/>
  <c r="AE220" i="13"/>
  <c r="AC220" i="13"/>
  <c r="AB220" i="13"/>
  <c r="AE219" i="13"/>
  <c r="AC219" i="13"/>
  <c r="AB219" i="13"/>
  <c r="AE218" i="13"/>
  <c r="AC218" i="13"/>
  <c r="AB218" i="13"/>
  <c r="AE217" i="13"/>
  <c r="AC217" i="13"/>
  <c r="AB217" i="13"/>
  <c r="AE216" i="13"/>
  <c r="AC216" i="13"/>
  <c r="AB216" i="13"/>
  <c r="AE215" i="13"/>
  <c r="AC215" i="13"/>
  <c r="AB215" i="13"/>
  <c r="AE214" i="13"/>
  <c r="AC214" i="13"/>
  <c r="AB214" i="13"/>
  <c r="H214" i="13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AE213" i="13"/>
  <c r="AC213" i="13"/>
  <c r="AB213" i="13"/>
  <c r="AE212" i="13"/>
  <c r="AC212" i="13"/>
  <c r="AB212" i="13"/>
  <c r="AE211" i="13"/>
  <c r="AC211" i="13"/>
  <c r="AB211" i="13"/>
  <c r="AE210" i="13"/>
  <c r="AC210" i="13"/>
  <c r="AB210" i="13"/>
  <c r="AE209" i="13"/>
  <c r="AC209" i="13"/>
  <c r="AB209" i="13"/>
  <c r="AE208" i="13"/>
  <c r="AC208" i="13"/>
  <c r="AB208" i="13"/>
  <c r="H208" i="13"/>
  <c r="H209" i="13" s="1"/>
  <c r="H210" i="13" s="1"/>
  <c r="H211" i="13" s="1"/>
  <c r="H212" i="13" s="1"/>
  <c r="H213" i="13" s="1"/>
  <c r="AE207" i="13"/>
  <c r="AC207" i="13"/>
  <c r="AB207" i="13"/>
  <c r="AE206" i="13"/>
  <c r="AC206" i="13"/>
  <c r="AB206" i="13"/>
  <c r="AE205" i="13"/>
  <c r="AC205" i="13"/>
  <c r="AB205" i="13"/>
  <c r="Z205" i="13"/>
  <c r="Z206" i="13" s="1"/>
  <c r="Z207" i="13" s="1"/>
  <c r="Z208" i="13" s="1"/>
  <c r="Z209" i="13" s="1"/>
  <c r="Z210" i="13" s="1"/>
  <c r="Z211" i="13" s="1"/>
  <c r="Z212" i="13" s="1"/>
  <c r="Z213" i="13" s="1"/>
  <c r="Z214" i="13" s="1"/>
  <c r="Z215" i="13" s="1"/>
  <c r="Z216" i="13" s="1"/>
  <c r="Z217" i="13" s="1"/>
  <c r="Z218" i="13" s="1"/>
  <c r="Z219" i="13" s="1"/>
  <c r="Z220" i="13" s="1"/>
  <c r="Z221" i="13" s="1"/>
  <c r="Z222" i="13" s="1"/>
  <c r="Z223" i="13" s="1"/>
  <c r="Z224" i="13" s="1"/>
  <c r="Z225" i="13" s="1"/>
  <c r="Z226" i="13" s="1"/>
  <c r="Z227" i="13" s="1"/>
  <c r="Z228" i="13" s="1"/>
  <c r="Z229" i="13" s="1"/>
  <c r="Z230" i="13" s="1"/>
  <c r="Z231" i="13" s="1"/>
  <c r="Z232" i="13" s="1"/>
  <c r="Z233" i="13" s="1"/>
  <c r="Z234" i="13" s="1"/>
  <c r="Z235" i="13" s="1"/>
  <c r="Z236" i="13" s="1"/>
  <c r="Z237" i="13" s="1"/>
  <c r="Z238" i="13" s="1"/>
  <c r="Z239" i="13" s="1"/>
  <c r="Z240" i="13" s="1"/>
  <c r="Z241" i="13" s="1"/>
  <c r="Z242" i="13" s="1"/>
  <c r="Z243" i="13" s="1"/>
  <c r="Z244" i="13" s="1"/>
  <c r="Z245" i="13" s="1"/>
  <c r="Z246" i="13" s="1"/>
  <c r="Z247" i="13" s="1"/>
  <c r="Z248" i="13" s="1"/>
  <c r="Z249" i="13" s="1"/>
  <c r="Z250" i="13" s="1"/>
  <c r="Z251" i="13" s="1"/>
  <c r="Z252" i="13" s="1"/>
  <c r="Z253" i="13" s="1"/>
  <c r="Z254" i="13" s="1"/>
  <c r="Z255" i="13" s="1"/>
  <c r="Z256" i="13" s="1"/>
  <c r="Z257" i="13" s="1"/>
  <c r="Z258" i="13" s="1"/>
  <c r="Z259" i="13" s="1"/>
  <c r="Z260" i="13" s="1"/>
  <c r="Z261" i="13" s="1"/>
  <c r="Z262" i="13" s="1"/>
  <c r="Z263" i="13" s="1"/>
  <c r="Z264" i="13" s="1"/>
  <c r="Z265" i="13" s="1"/>
  <c r="Z266" i="13" s="1"/>
  <c r="Z267" i="13" s="1"/>
  <c r="Z268" i="13" s="1"/>
  <c r="Z269" i="13" s="1"/>
  <c r="Z270" i="13" s="1"/>
  <c r="Z271" i="13" s="1"/>
  <c r="Z272" i="13" s="1"/>
  <c r="Z273" i="13" s="1"/>
  <c r="Z274" i="13" s="1"/>
  <c r="Z275" i="13" s="1"/>
  <c r="Z276" i="13" s="1"/>
  <c r="Z277" i="13" s="1"/>
  <c r="Z278" i="13" s="1"/>
  <c r="Z279" i="13" s="1"/>
  <c r="Z280" i="13" s="1"/>
  <c r="Z281" i="13" s="1"/>
  <c r="Z282" i="13" s="1"/>
  <c r="Z283" i="13" s="1"/>
  <c r="H205" i="13"/>
  <c r="H206" i="13" s="1"/>
  <c r="H207" i="13" s="1"/>
  <c r="AE204" i="13"/>
  <c r="AC204" i="13"/>
  <c r="AB204" i="13"/>
  <c r="V204" i="13"/>
  <c r="R204" i="13"/>
  <c r="AE203" i="13"/>
  <c r="AF203" i="13" s="1"/>
  <c r="AC203" i="13"/>
  <c r="AB203" i="13"/>
  <c r="Z203" i="13"/>
  <c r="Z204" i="13" s="1"/>
  <c r="H203" i="13"/>
  <c r="H204" i="13" s="1"/>
  <c r="AE202" i="13"/>
  <c r="AC202" i="13"/>
  <c r="AB202" i="13"/>
  <c r="AE201" i="13"/>
  <c r="AC201" i="13"/>
  <c r="AB201" i="13"/>
  <c r="AE200" i="13"/>
  <c r="AC200" i="13"/>
  <c r="AB200" i="13"/>
  <c r="AE199" i="13"/>
  <c r="AC199" i="13"/>
  <c r="AB199" i="13"/>
  <c r="AE198" i="13"/>
  <c r="AC198" i="13"/>
  <c r="AB198" i="13"/>
  <c r="AE197" i="13"/>
  <c r="AC197" i="13"/>
  <c r="AB197" i="13"/>
  <c r="AE196" i="13"/>
  <c r="AC196" i="13"/>
  <c r="AB196" i="13"/>
  <c r="AE195" i="13"/>
  <c r="AC195" i="13"/>
  <c r="AB195" i="13"/>
  <c r="AE194" i="13"/>
  <c r="AC194" i="13"/>
  <c r="AB194" i="13"/>
  <c r="AE193" i="13"/>
  <c r="AC193" i="13"/>
  <c r="AB193" i="13"/>
  <c r="AA193" i="13"/>
  <c r="AA194" i="13" s="1"/>
  <c r="AA195" i="13" s="1"/>
  <c r="AA196" i="13" s="1"/>
  <c r="AA197" i="13" s="1"/>
  <c r="AA198" i="13" s="1"/>
  <c r="AA199" i="13" s="1"/>
  <c r="AA200" i="13" s="1"/>
  <c r="AA201" i="13" s="1"/>
  <c r="AA202" i="13" s="1"/>
  <c r="AE192" i="13"/>
  <c r="AC192" i="13"/>
  <c r="AB192" i="13"/>
  <c r="AA192" i="13"/>
  <c r="AE191" i="13"/>
  <c r="AC191" i="13"/>
  <c r="AB191" i="13"/>
  <c r="AE190" i="13"/>
  <c r="AC190" i="13"/>
  <c r="AB190" i="13"/>
  <c r="AE189" i="13"/>
  <c r="AC189" i="13"/>
  <c r="AB189" i="13"/>
  <c r="AE188" i="13"/>
  <c r="AC188" i="13"/>
  <c r="AB188" i="13"/>
  <c r="AE187" i="13"/>
  <c r="AC187" i="13"/>
  <c r="AB187" i="13"/>
  <c r="AE186" i="13"/>
  <c r="AC186" i="13"/>
  <c r="AB186" i="13"/>
  <c r="AE185" i="13"/>
  <c r="AC185" i="13"/>
  <c r="AB185" i="13"/>
  <c r="AE184" i="13"/>
  <c r="AC184" i="13"/>
  <c r="AB184" i="13"/>
  <c r="AE183" i="13"/>
  <c r="AC183" i="13"/>
  <c r="AB183" i="13"/>
  <c r="AE182" i="13"/>
  <c r="AC182" i="13"/>
  <c r="AB182" i="13"/>
  <c r="AE181" i="13"/>
  <c r="AC181" i="13"/>
  <c r="AB181" i="13"/>
  <c r="AE180" i="13"/>
  <c r="AC180" i="13"/>
  <c r="AB180" i="13"/>
  <c r="AE179" i="13"/>
  <c r="AC179" i="13"/>
  <c r="AB179" i="13"/>
  <c r="AE178" i="13"/>
  <c r="AC178" i="13"/>
  <c r="AB178" i="13"/>
  <c r="AE177" i="13"/>
  <c r="AC177" i="13"/>
  <c r="AB177" i="13"/>
  <c r="AE176" i="13"/>
  <c r="AC176" i="13"/>
  <c r="AB176" i="13"/>
  <c r="AE175" i="13"/>
  <c r="AC175" i="13"/>
  <c r="AB175" i="13"/>
  <c r="AE174" i="13"/>
  <c r="AC174" i="13"/>
  <c r="AB174" i="13"/>
  <c r="AE173" i="13"/>
  <c r="AC173" i="13"/>
  <c r="AB173" i="13"/>
  <c r="AE172" i="13"/>
  <c r="AC172" i="13"/>
  <c r="AB172" i="13"/>
  <c r="AE171" i="13"/>
  <c r="AC171" i="13"/>
  <c r="AB171" i="13"/>
  <c r="AE170" i="13"/>
  <c r="AC170" i="13"/>
  <c r="AB170" i="13"/>
  <c r="AE169" i="13"/>
  <c r="AC169" i="13"/>
  <c r="AB169" i="13"/>
  <c r="AE168" i="13"/>
  <c r="AC168" i="13"/>
  <c r="AB168" i="13"/>
  <c r="AE167" i="13"/>
  <c r="AC167" i="13"/>
  <c r="AB167" i="13"/>
  <c r="AE166" i="13"/>
  <c r="AC166" i="13"/>
  <c r="AB166" i="13"/>
  <c r="AE165" i="13"/>
  <c r="AC165" i="13"/>
  <c r="AB165" i="13"/>
  <c r="AE164" i="13"/>
  <c r="AC164" i="13"/>
  <c r="AB164" i="13"/>
  <c r="AE163" i="13"/>
  <c r="AC163" i="13"/>
  <c r="AB163" i="13"/>
  <c r="AE162" i="13"/>
  <c r="AC162" i="13"/>
  <c r="AB162" i="13"/>
  <c r="AE161" i="13"/>
  <c r="AC161" i="13"/>
  <c r="AB161" i="13"/>
  <c r="AE160" i="13"/>
  <c r="AC160" i="13"/>
  <c r="AB160" i="13"/>
  <c r="AE159" i="13"/>
  <c r="AC159" i="13"/>
  <c r="AB159" i="13"/>
  <c r="AE158" i="13"/>
  <c r="AC158" i="13"/>
  <c r="AB158" i="13"/>
  <c r="AE157" i="13"/>
  <c r="AC157" i="13"/>
  <c r="AB157" i="13"/>
  <c r="AE156" i="13"/>
  <c r="AC156" i="13"/>
  <c r="AB156" i="13"/>
  <c r="AE155" i="13"/>
  <c r="AC155" i="13"/>
  <c r="AB155" i="13"/>
  <c r="AE154" i="13"/>
  <c r="AC154" i="13"/>
  <c r="AB154" i="13"/>
  <c r="AE153" i="13"/>
  <c r="AC153" i="13"/>
  <c r="AB153" i="13"/>
  <c r="AE152" i="13"/>
  <c r="AC152" i="13"/>
  <c r="AB152" i="13"/>
  <c r="AE151" i="13"/>
  <c r="AC151" i="13"/>
  <c r="AB151" i="13"/>
  <c r="AE150" i="13"/>
  <c r="AC150" i="13"/>
  <c r="AB150" i="13"/>
  <c r="AE149" i="13"/>
  <c r="AC149" i="13"/>
  <c r="AB149" i="13"/>
  <c r="AE148" i="13"/>
  <c r="AC148" i="13"/>
  <c r="AB148" i="13"/>
  <c r="AE147" i="13"/>
  <c r="AC147" i="13"/>
  <c r="AB147" i="13"/>
  <c r="AE146" i="13"/>
  <c r="AC146" i="13"/>
  <c r="AB146" i="13"/>
  <c r="AE145" i="13"/>
  <c r="AC145" i="13"/>
  <c r="AB145" i="13"/>
  <c r="AE144" i="13"/>
  <c r="AC144" i="13"/>
  <c r="AB144" i="13"/>
  <c r="AE143" i="13"/>
  <c r="AC143" i="13"/>
  <c r="AB143" i="13"/>
  <c r="AE142" i="13"/>
  <c r="AC142" i="13"/>
  <c r="AB142" i="13"/>
  <c r="AE141" i="13"/>
  <c r="AC141" i="13"/>
  <c r="AB141" i="13"/>
  <c r="AE140" i="13"/>
  <c r="AC140" i="13"/>
  <c r="AB140" i="13"/>
  <c r="AE139" i="13"/>
  <c r="AC139" i="13"/>
  <c r="AB139" i="13"/>
  <c r="AE138" i="13"/>
  <c r="AC138" i="13"/>
  <c r="AB138" i="13"/>
  <c r="AE137" i="13"/>
  <c r="AC137" i="13"/>
  <c r="AB137" i="13"/>
  <c r="AE136" i="13"/>
  <c r="AC136" i="13"/>
  <c r="AB136" i="13"/>
  <c r="AE135" i="13"/>
  <c r="AC135" i="13"/>
  <c r="AB135" i="13"/>
  <c r="AE134" i="13"/>
  <c r="AC134" i="13"/>
  <c r="AB134" i="13"/>
  <c r="AE133" i="13"/>
  <c r="AC133" i="13"/>
  <c r="AB133" i="13"/>
  <c r="AE132" i="13"/>
  <c r="AC132" i="13"/>
  <c r="AB132" i="13"/>
  <c r="AE131" i="13"/>
  <c r="AC131" i="13"/>
  <c r="AB131" i="13"/>
  <c r="Q131" i="13"/>
  <c r="Q132" i="13" s="1"/>
  <c r="Q133" i="13" s="1"/>
  <c r="Q134" i="13" s="1"/>
  <c r="Q135" i="13" s="1"/>
  <c r="Q136" i="13" s="1"/>
  <c r="Q137" i="13" s="1"/>
  <c r="Q138" i="13" s="1"/>
  <c r="Q139" i="13" s="1"/>
  <c r="Q140" i="13" s="1"/>
  <c r="Q141" i="13" s="1"/>
  <c r="Q142" i="13" s="1"/>
  <c r="Q143" i="13" s="1"/>
  <c r="Q144" i="13" s="1"/>
  <c r="Q145" i="13" s="1"/>
  <c r="Q146" i="13" s="1"/>
  <c r="Q147" i="13" s="1"/>
  <c r="Q148" i="13" s="1"/>
  <c r="Q149" i="13" s="1"/>
  <c r="Q150" i="13" s="1"/>
  <c r="Q151" i="13" s="1"/>
  <c r="Q152" i="13" s="1"/>
  <c r="Q153" i="13" s="1"/>
  <c r="Q154" i="13" s="1"/>
  <c r="Q155" i="13" s="1"/>
  <c r="Q156" i="13" s="1"/>
  <c r="Q157" i="13" s="1"/>
  <c r="Q158" i="13" s="1"/>
  <c r="Q159" i="13" s="1"/>
  <c r="Q160" i="13" s="1"/>
  <c r="Q161" i="13" s="1"/>
  <c r="Q162" i="13" s="1"/>
  <c r="Q163" i="13" s="1"/>
  <c r="Q164" i="13" s="1"/>
  <c r="Q165" i="13" s="1"/>
  <c r="Q166" i="13" s="1"/>
  <c r="Q167" i="13" s="1"/>
  <c r="Q168" i="13" s="1"/>
  <c r="Q169" i="13" s="1"/>
  <c r="Q170" i="13" s="1"/>
  <c r="Q171" i="13" s="1"/>
  <c r="Q172" i="13" s="1"/>
  <c r="Q173" i="13" s="1"/>
  <c r="Q174" i="13" s="1"/>
  <c r="Q175" i="13" s="1"/>
  <c r="Q176" i="13" s="1"/>
  <c r="Q177" i="13" s="1"/>
  <c r="Q178" i="13" s="1"/>
  <c r="Q179" i="13" s="1"/>
  <c r="Q180" i="13" s="1"/>
  <c r="Q181" i="13" s="1"/>
  <c r="Q182" i="13" s="1"/>
  <c r="Q183" i="13" s="1"/>
  <c r="Q184" i="13" s="1"/>
  <c r="Q185" i="13" s="1"/>
  <c r="Q186" i="13" s="1"/>
  <c r="Q187" i="13" s="1"/>
  <c r="Q188" i="13" s="1"/>
  <c r="Q189" i="13" s="1"/>
  <c r="Q190" i="13" s="1"/>
  <c r="Q191" i="13" s="1"/>
  <c r="Q192" i="13" s="1"/>
  <c r="Q193" i="13" s="1"/>
  <c r="Q194" i="13" s="1"/>
  <c r="Q195" i="13" s="1"/>
  <c r="Q196" i="13" s="1"/>
  <c r="Q197" i="13" s="1"/>
  <c r="Q198" i="13" s="1"/>
  <c r="Q199" i="13" s="1"/>
  <c r="Q200" i="13" s="1"/>
  <c r="Q201" i="13" s="1"/>
  <c r="Q202" i="13" s="1"/>
  <c r="Q289" i="13" s="1"/>
  <c r="AE130" i="13"/>
  <c r="AC130" i="13"/>
  <c r="AB130" i="13"/>
  <c r="AE129" i="13"/>
  <c r="AC129" i="13"/>
  <c r="AB129" i="13"/>
  <c r="AE128" i="13"/>
  <c r="AC128" i="13"/>
  <c r="AB128" i="13"/>
  <c r="U128" i="13"/>
  <c r="U129" i="13" s="1"/>
  <c r="U130" i="13" s="1"/>
  <c r="U131" i="13" s="1"/>
  <c r="U132" i="13" s="1"/>
  <c r="U133" i="13" s="1"/>
  <c r="U134" i="13" s="1"/>
  <c r="U135" i="13" s="1"/>
  <c r="U136" i="13" s="1"/>
  <c r="U137" i="13" s="1"/>
  <c r="U138" i="13" s="1"/>
  <c r="U139" i="13" s="1"/>
  <c r="U140" i="13" s="1"/>
  <c r="U141" i="13" s="1"/>
  <c r="U142" i="13" s="1"/>
  <c r="U143" i="13" s="1"/>
  <c r="U144" i="13" s="1"/>
  <c r="U145" i="13" s="1"/>
  <c r="U146" i="13" s="1"/>
  <c r="U147" i="13" s="1"/>
  <c r="U148" i="13" s="1"/>
  <c r="U149" i="13" s="1"/>
  <c r="U150" i="13" s="1"/>
  <c r="U151" i="13" s="1"/>
  <c r="U152" i="13" s="1"/>
  <c r="U153" i="13" s="1"/>
  <c r="U154" i="13" s="1"/>
  <c r="U155" i="13" s="1"/>
  <c r="U156" i="13" s="1"/>
  <c r="U157" i="13" s="1"/>
  <c r="U158" i="13" s="1"/>
  <c r="U159" i="13" s="1"/>
  <c r="U160" i="13" s="1"/>
  <c r="U161" i="13" s="1"/>
  <c r="U162" i="13" s="1"/>
  <c r="U163" i="13" s="1"/>
  <c r="U164" i="13" s="1"/>
  <c r="U165" i="13" s="1"/>
  <c r="U166" i="13" s="1"/>
  <c r="U167" i="13" s="1"/>
  <c r="U168" i="13" s="1"/>
  <c r="U169" i="13" s="1"/>
  <c r="U170" i="13" s="1"/>
  <c r="U171" i="13" s="1"/>
  <c r="U172" i="13" s="1"/>
  <c r="U173" i="13" s="1"/>
  <c r="U174" i="13" s="1"/>
  <c r="U175" i="13" s="1"/>
  <c r="U176" i="13" s="1"/>
  <c r="U177" i="13" s="1"/>
  <c r="U178" i="13" s="1"/>
  <c r="U179" i="13" s="1"/>
  <c r="U180" i="13" s="1"/>
  <c r="U181" i="13" s="1"/>
  <c r="U182" i="13" s="1"/>
  <c r="U183" i="13" s="1"/>
  <c r="U184" i="13" s="1"/>
  <c r="U185" i="13" s="1"/>
  <c r="U186" i="13" s="1"/>
  <c r="U187" i="13" s="1"/>
  <c r="U188" i="13" s="1"/>
  <c r="U189" i="13" s="1"/>
  <c r="U190" i="13" s="1"/>
  <c r="U191" i="13" s="1"/>
  <c r="U192" i="13" s="1"/>
  <c r="U193" i="13" s="1"/>
  <c r="U194" i="13" s="1"/>
  <c r="U195" i="13" s="1"/>
  <c r="U196" i="13" s="1"/>
  <c r="U197" i="13" s="1"/>
  <c r="U198" i="13" s="1"/>
  <c r="U199" i="13" s="1"/>
  <c r="U200" i="13" s="1"/>
  <c r="U201" i="13" s="1"/>
  <c r="U202" i="13" s="1"/>
  <c r="U289" i="13" s="1"/>
  <c r="AE127" i="13"/>
  <c r="AC127" i="13"/>
  <c r="AB127" i="13"/>
  <c r="AE126" i="13"/>
  <c r="AC126" i="13"/>
  <c r="AB126" i="13"/>
  <c r="AE125" i="13"/>
  <c r="AC125" i="13"/>
  <c r="AB125" i="13"/>
  <c r="AE124" i="13"/>
  <c r="AC124" i="13"/>
  <c r="AB124" i="13"/>
  <c r="Q124" i="13"/>
  <c r="Q125" i="13" s="1"/>
  <c r="Q126" i="13" s="1"/>
  <c r="Q127" i="13" s="1"/>
  <c r="Q128" i="13" s="1"/>
  <c r="Q129" i="13" s="1"/>
  <c r="Q130" i="13" s="1"/>
  <c r="AE123" i="13"/>
  <c r="AC123" i="13"/>
  <c r="AB123" i="13"/>
  <c r="Q123" i="13"/>
  <c r="AE122" i="13"/>
  <c r="AC122" i="13"/>
  <c r="AB122" i="13"/>
  <c r="U122" i="13"/>
  <c r="U123" i="13" s="1"/>
  <c r="U124" i="13" s="1"/>
  <c r="U125" i="13" s="1"/>
  <c r="U126" i="13" s="1"/>
  <c r="U127" i="13" s="1"/>
  <c r="AE121" i="13"/>
  <c r="AC121" i="13"/>
  <c r="AB121" i="13"/>
  <c r="U121" i="13"/>
  <c r="Q121" i="13"/>
  <c r="Q122" i="13" s="1"/>
  <c r="AE120" i="13"/>
  <c r="AC120" i="13"/>
  <c r="AB120" i="13"/>
  <c r="G120" i="13"/>
  <c r="G121" i="13" s="1"/>
  <c r="G122" i="13" s="1"/>
  <c r="G123" i="13" s="1"/>
  <c r="G124" i="13" s="1"/>
  <c r="G125" i="13" s="1"/>
  <c r="G126" i="13" s="1"/>
  <c r="G127" i="13" s="1"/>
  <c r="G128" i="13" s="1"/>
  <c r="G129" i="13" s="1"/>
  <c r="G130" i="13" s="1"/>
  <c r="G131" i="13" s="1"/>
  <c r="G132" i="13" s="1"/>
  <c r="G133" i="13" s="1"/>
  <c r="G134" i="13" s="1"/>
  <c r="G135" i="13" s="1"/>
  <c r="G136" i="13" s="1"/>
  <c r="G137" i="13" s="1"/>
  <c r="G138" i="13" s="1"/>
  <c r="G139" i="13" s="1"/>
  <c r="G140" i="13" s="1"/>
  <c r="G141" i="13" s="1"/>
  <c r="G142" i="13" s="1"/>
  <c r="G143" i="13" s="1"/>
  <c r="G144" i="13" s="1"/>
  <c r="G145" i="13" s="1"/>
  <c r="G146" i="13" s="1"/>
  <c r="G147" i="13" s="1"/>
  <c r="G148" i="13" s="1"/>
  <c r="G149" i="13" s="1"/>
  <c r="G150" i="13" s="1"/>
  <c r="G151" i="13" s="1"/>
  <c r="G152" i="13" s="1"/>
  <c r="G153" i="13" s="1"/>
  <c r="G154" i="13" s="1"/>
  <c r="G155" i="13" s="1"/>
  <c r="G156" i="13" s="1"/>
  <c r="G157" i="13" s="1"/>
  <c r="G158" i="13" s="1"/>
  <c r="G159" i="13" s="1"/>
  <c r="G160" i="13" s="1"/>
  <c r="G161" i="13" s="1"/>
  <c r="G162" i="13" s="1"/>
  <c r="G163" i="13" s="1"/>
  <c r="G164" i="13" s="1"/>
  <c r="G165" i="13" s="1"/>
  <c r="G166" i="13" s="1"/>
  <c r="G167" i="13" s="1"/>
  <c r="G168" i="13" s="1"/>
  <c r="G169" i="13" s="1"/>
  <c r="G170" i="13" s="1"/>
  <c r="G171" i="13" s="1"/>
  <c r="G172" i="13" s="1"/>
  <c r="G173" i="13" s="1"/>
  <c r="G174" i="13" s="1"/>
  <c r="G175" i="13" s="1"/>
  <c r="G176" i="13" s="1"/>
  <c r="G177" i="13" s="1"/>
  <c r="G178" i="13" s="1"/>
  <c r="G179" i="13" s="1"/>
  <c r="G180" i="13" s="1"/>
  <c r="G181" i="13" s="1"/>
  <c r="G182" i="13" s="1"/>
  <c r="G183" i="13" s="1"/>
  <c r="G184" i="13" s="1"/>
  <c r="G185" i="13" s="1"/>
  <c r="G186" i="13" s="1"/>
  <c r="G187" i="13" s="1"/>
  <c r="G188" i="13" s="1"/>
  <c r="G189" i="13" s="1"/>
  <c r="G190" i="13" s="1"/>
  <c r="G191" i="13" s="1"/>
  <c r="G192" i="13" s="1"/>
  <c r="G193" i="13" s="1"/>
  <c r="G194" i="13" s="1"/>
  <c r="G195" i="13" s="1"/>
  <c r="G196" i="13" s="1"/>
  <c r="G197" i="13" s="1"/>
  <c r="G198" i="13" s="1"/>
  <c r="G199" i="13" s="1"/>
  <c r="G200" i="13" s="1"/>
  <c r="G201" i="13" s="1"/>
  <c r="G202" i="13" s="1"/>
  <c r="AE119" i="13"/>
  <c r="AC119" i="13"/>
  <c r="AB119" i="13"/>
  <c r="AE118" i="13"/>
  <c r="AC118" i="13"/>
  <c r="AB118" i="13"/>
  <c r="AE117" i="13"/>
  <c r="AC117" i="13"/>
  <c r="AB117" i="13"/>
  <c r="AE116" i="13"/>
  <c r="AC116" i="13"/>
  <c r="AB116" i="13"/>
  <c r="AE115" i="13"/>
  <c r="AC115" i="13"/>
  <c r="AB115" i="13"/>
  <c r="AE114" i="13"/>
  <c r="AC114" i="13"/>
  <c r="AB114" i="13"/>
  <c r="P114" i="13"/>
  <c r="P115" i="13" s="1"/>
  <c r="P116" i="13" s="1"/>
  <c r="P117" i="13" s="1"/>
  <c r="P118" i="13" s="1"/>
  <c r="P119" i="13" s="1"/>
  <c r="P288" i="13" s="1"/>
  <c r="AE113" i="13"/>
  <c r="AC113" i="13"/>
  <c r="AB113" i="13"/>
  <c r="AE112" i="13"/>
  <c r="AC112" i="13"/>
  <c r="AB112" i="13"/>
  <c r="AE111" i="13"/>
  <c r="AC111" i="13"/>
  <c r="AB111" i="13"/>
  <c r="P111" i="13"/>
  <c r="P112" i="13" s="1"/>
  <c r="P113" i="13" s="1"/>
  <c r="AE110" i="13"/>
  <c r="AC110" i="13"/>
  <c r="AB110" i="13"/>
  <c r="P110" i="13"/>
  <c r="AE109" i="13"/>
  <c r="AC109" i="13"/>
  <c r="AB109" i="13"/>
  <c r="T109" i="13"/>
  <c r="T110" i="13" s="1"/>
  <c r="T111" i="13" s="1"/>
  <c r="T112" i="13" s="1"/>
  <c r="T113" i="13" s="1"/>
  <c r="T114" i="13" s="1"/>
  <c r="T115" i="13" s="1"/>
  <c r="T116" i="13" s="1"/>
  <c r="T117" i="13" s="1"/>
  <c r="T118" i="13" s="1"/>
  <c r="T119" i="13" s="1"/>
  <c r="T288" i="13" s="1"/>
  <c r="AE108" i="13"/>
  <c r="AC108" i="13"/>
  <c r="AB108" i="13"/>
  <c r="T108" i="13"/>
  <c r="P108" i="13"/>
  <c r="P109" i="13" s="1"/>
  <c r="F108" i="13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AE107" i="13"/>
  <c r="AC107" i="13"/>
  <c r="AB107" i="13"/>
  <c r="P107" i="13"/>
  <c r="AE106" i="13"/>
  <c r="AC106" i="13"/>
  <c r="AB106" i="13"/>
  <c r="F106" i="13"/>
  <c r="F107" i="13" s="1"/>
  <c r="AE105" i="13"/>
  <c r="AC105" i="13"/>
  <c r="AB105" i="13"/>
  <c r="AE104" i="13"/>
  <c r="AC104" i="13"/>
  <c r="AB104" i="13"/>
  <c r="AE103" i="13"/>
  <c r="AC103" i="13"/>
  <c r="AB103" i="13"/>
  <c r="AE102" i="13"/>
  <c r="AC102" i="13"/>
  <c r="AB102" i="13"/>
  <c r="AE101" i="13"/>
  <c r="AC101" i="13"/>
  <c r="AB101" i="13"/>
  <c r="AE100" i="13"/>
  <c r="AC100" i="13"/>
  <c r="AB100" i="13"/>
  <c r="AE99" i="13"/>
  <c r="AC99" i="13"/>
  <c r="AB99" i="13"/>
  <c r="AE98" i="13"/>
  <c r="AC98" i="13"/>
  <c r="AB98" i="13"/>
  <c r="AE97" i="13"/>
  <c r="AC97" i="13"/>
  <c r="AB97" i="13"/>
  <c r="AE96" i="13"/>
  <c r="AC96" i="13"/>
  <c r="AB96" i="13"/>
  <c r="AE95" i="13"/>
  <c r="AC95" i="13"/>
  <c r="AB95" i="13"/>
  <c r="AE94" i="13"/>
  <c r="AC94" i="13"/>
  <c r="AB94" i="13"/>
  <c r="AE93" i="13"/>
  <c r="AC93" i="13"/>
  <c r="AB93" i="13"/>
  <c r="AE92" i="13"/>
  <c r="AC92" i="13"/>
  <c r="AB92" i="13"/>
  <c r="AE91" i="13"/>
  <c r="AC91" i="13"/>
  <c r="AB91" i="13"/>
  <c r="AE90" i="13"/>
  <c r="AC90" i="13"/>
  <c r="AB90" i="13"/>
  <c r="AE89" i="13"/>
  <c r="AC89" i="13"/>
  <c r="AB89" i="13"/>
  <c r="AE88" i="13"/>
  <c r="AC88" i="13"/>
  <c r="AB88" i="13"/>
  <c r="AE87" i="13"/>
  <c r="AC87" i="13"/>
  <c r="AB87" i="13"/>
  <c r="AE86" i="13"/>
  <c r="AC86" i="13"/>
  <c r="AB86" i="13"/>
  <c r="AE85" i="13"/>
  <c r="AC85" i="13"/>
  <c r="AB85" i="13"/>
  <c r="AE84" i="13"/>
  <c r="AC84" i="13"/>
  <c r="AB84" i="13"/>
  <c r="AE83" i="13"/>
  <c r="AC83" i="13"/>
  <c r="AB83" i="13"/>
  <c r="AE82" i="13"/>
  <c r="AC82" i="13"/>
  <c r="AB82" i="13"/>
  <c r="AE81" i="13"/>
  <c r="AC81" i="13"/>
  <c r="AB81" i="13"/>
  <c r="AE80" i="13"/>
  <c r="AC80" i="13"/>
  <c r="AB80" i="13"/>
  <c r="AE79" i="13"/>
  <c r="AC79" i="13"/>
  <c r="AB79" i="13"/>
  <c r="AE78" i="13"/>
  <c r="AC78" i="13"/>
  <c r="AB78" i="13"/>
  <c r="AE77" i="13"/>
  <c r="AC77" i="13"/>
  <c r="AB77" i="13"/>
  <c r="AE76" i="13"/>
  <c r="AC76" i="13"/>
  <c r="AB76" i="13"/>
  <c r="AE75" i="13"/>
  <c r="AC75" i="13"/>
  <c r="AB75" i="13"/>
  <c r="AE74" i="13"/>
  <c r="AC74" i="13"/>
  <c r="AB74" i="13"/>
  <c r="AE73" i="13"/>
  <c r="AC73" i="13"/>
  <c r="AB73" i="13"/>
  <c r="AE72" i="13"/>
  <c r="AC72" i="13"/>
  <c r="AB72" i="13"/>
  <c r="AE71" i="13"/>
  <c r="AC71" i="13"/>
  <c r="AB71" i="13"/>
  <c r="AE70" i="13"/>
  <c r="AC70" i="13"/>
  <c r="AB70" i="13"/>
  <c r="AE69" i="13"/>
  <c r="AC69" i="13"/>
  <c r="AB69" i="13"/>
  <c r="AE68" i="13"/>
  <c r="AC68" i="13"/>
  <c r="AB68" i="13"/>
  <c r="AE67" i="13"/>
  <c r="AC67" i="13"/>
  <c r="AB67" i="13"/>
  <c r="AE66" i="13"/>
  <c r="AC66" i="13"/>
  <c r="AB66" i="13"/>
  <c r="AE65" i="13"/>
  <c r="AC65" i="13"/>
  <c r="AB65" i="13"/>
  <c r="AE64" i="13"/>
  <c r="AC64" i="13"/>
  <c r="AB64" i="13"/>
  <c r="AE63" i="13"/>
  <c r="AC63" i="13"/>
  <c r="AB63" i="13"/>
  <c r="AE62" i="13"/>
  <c r="AC62" i="13"/>
  <c r="AB62" i="13"/>
  <c r="AE61" i="13"/>
  <c r="AC61" i="13"/>
  <c r="AB61" i="13"/>
  <c r="AE60" i="13"/>
  <c r="AC60" i="13"/>
  <c r="AB60" i="13"/>
  <c r="AE59" i="13"/>
  <c r="AC59" i="13"/>
  <c r="AB59" i="13"/>
  <c r="AE58" i="13"/>
  <c r="AC58" i="13"/>
  <c r="AB58" i="13"/>
  <c r="AE57" i="13"/>
  <c r="AC57" i="13"/>
  <c r="AB57" i="13"/>
  <c r="AE56" i="13"/>
  <c r="AC56" i="13"/>
  <c r="AB56" i="13"/>
  <c r="AE55" i="13"/>
  <c r="AC55" i="13"/>
  <c r="AB55" i="13"/>
  <c r="AE54" i="13"/>
  <c r="AC54" i="13"/>
  <c r="AB54" i="13"/>
  <c r="AE53" i="13"/>
  <c r="AC53" i="13"/>
  <c r="AB53" i="13"/>
  <c r="AE52" i="13"/>
  <c r="AC52" i="13"/>
  <c r="AB52" i="13"/>
  <c r="AE51" i="13"/>
  <c r="AC51" i="13"/>
  <c r="AB51" i="13"/>
  <c r="AE50" i="13"/>
  <c r="AC50" i="13"/>
  <c r="AB50" i="13"/>
  <c r="AE49" i="13"/>
  <c r="AC49" i="13"/>
  <c r="AB49" i="13"/>
  <c r="AE48" i="13"/>
  <c r="AC48" i="13"/>
  <c r="AB48" i="13"/>
  <c r="AE47" i="13"/>
  <c r="AC47" i="13"/>
  <c r="AB47" i="13"/>
  <c r="AE46" i="13"/>
  <c r="AC46" i="13"/>
  <c r="AB46" i="13"/>
  <c r="AE45" i="13"/>
  <c r="AC45" i="13"/>
  <c r="AB45" i="13"/>
  <c r="AE44" i="13"/>
  <c r="AC44" i="13"/>
  <c r="AB44" i="13"/>
  <c r="AE43" i="13"/>
  <c r="AC43" i="13"/>
  <c r="AB43" i="13"/>
  <c r="AE42" i="13"/>
  <c r="AC42" i="13"/>
  <c r="AB42" i="13"/>
  <c r="AE41" i="13"/>
  <c r="AC41" i="13"/>
  <c r="AB41" i="13"/>
  <c r="AE40" i="13"/>
  <c r="AC40" i="13"/>
  <c r="AB40" i="13"/>
  <c r="AE39" i="13"/>
  <c r="AC39" i="13"/>
  <c r="AB39" i="13"/>
  <c r="AE38" i="13"/>
  <c r="AC38" i="13"/>
  <c r="AB38" i="13"/>
  <c r="AE37" i="13"/>
  <c r="AC37" i="13"/>
  <c r="AB37" i="13"/>
  <c r="AE36" i="13"/>
  <c r="AC36" i="13"/>
  <c r="AB36" i="13"/>
  <c r="AE35" i="13"/>
  <c r="AC35" i="13"/>
  <c r="AB35" i="13"/>
  <c r="AE34" i="13"/>
  <c r="AC34" i="13"/>
  <c r="AB34" i="13"/>
  <c r="AE33" i="13"/>
  <c r="AC33" i="13"/>
  <c r="AB33" i="13"/>
  <c r="AE32" i="13"/>
  <c r="AC32" i="13"/>
  <c r="AB32" i="13"/>
  <c r="AE31" i="13"/>
  <c r="AC31" i="13"/>
  <c r="AB31" i="13"/>
  <c r="AE30" i="13"/>
  <c r="AC30" i="13"/>
  <c r="AB30" i="13"/>
  <c r="AE29" i="13"/>
  <c r="AC29" i="13"/>
  <c r="AB29" i="13"/>
  <c r="AE28" i="13"/>
  <c r="AC28" i="13"/>
  <c r="AB28" i="13"/>
  <c r="AE27" i="13"/>
  <c r="AC27" i="13"/>
  <c r="AB27" i="13"/>
  <c r="AE26" i="13"/>
  <c r="AC26" i="13"/>
  <c r="AB26" i="13"/>
  <c r="AE25" i="13"/>
  <c r="AC25" i="13"/>
  <c r="AB25" i="13"/>
  <c r="AE24" i="13"/>
  <c r="AC24" i="13"/>
  <c r="AB24" i="13"/>
  <c r="AE23" i="13"/>
  <c r="AC23" i="13"/>
  <c r="AB23" i="13"/>
  <c r="AE22" i="13"/>
  <c r="AC22" i="13"/>
  <c r="AB22" i="13"/>
  <c r="AE21" i="13"/>
  <c r="AC21" i="13"/>
  <c r="AB21" i="13"/>
  <c r="AE20" i="13"/>
  <c r="AC20" i="13"/>
  <c r="AB20" i="13"/>
  <c r="AE19" i="13"/>
  <c r="AC19" i="13"/>
  <c r="AB19" i="13"/>
  <c r="AE18" i="13"/>
  <c r="AC18" i="13"/>
  <c r="AB18" i="13"/>
  <c r="AE17" i="13"/>
  <c r="AC17" i="13"/>
  <c r="AB17" i="13"/>
  <c r="AE16" i="13"/>
  <c r="AC16" i="13"/>
  <c r="AB16" i="13"/>
  <c r="AE15" i="13"/>
  <c r="AC15" i="13"/>
  <c r="AB15" i="13"/>
  <c r="W15" i="13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W40" i="13" s="1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W67" i="13" s="1"/>
  <c r="W68" i="13" s="1"/>
  <c r="W69" i="13" s="1"/>
  <c r="W70" i="13" s="1"/>
  <c r="W71" i="13" s="1"/>
  <c r="W72" i="13" s="1"/>
  <c r="W73" i="13" s="1"/>
  <c r="W74" i="13" s="1"/>
  <c r="W75" i="13" s="1"/>
  <c r="W76" i="13" s="1"/>
  <c r="W77" i="13" s="1"/>
  <c r="W78" i="13" s="1"/>
  <c r="W79" i="13" s="1"/>
  <c r="W80" i="13" s="1"/>
  <c r="W81" i="13" s="1"/>
  <c r="W82" i="13" s="1"/>
  <c r="W83" i="13" s="1"/>
  <c r="W84" i="13" s="1"/>
  <c r="W85" i="13" s="1"/>
  <c r="W86" i="13" s="1"/>
  <c r="W87" i="13" s="1"/>
  <c r="W88" i="13" s="1"/>
  <c r="W89" i="13" s="1"/>
  <c r="W90" i="13" s="1"/>
  <c r="W91" i="13" s="1"/>
  <c r="W92" i="13" s="1"/>
  <c r="W93" i="13" s="1"/>
  <c r="W94" i="13" s="1"/>
  <c r="W95" i="13" s="1"/>
  <c r="W96" i="13" s="1"/>
  <c r="W97" i="13" s="1"/>
  <c r="W98" i="13" s="1"/>
  <c r="W99" i="13" s="1"/>
  <c r="W100" i="13" s="1"/>
  <c r="W101" i="13" s="1"/>
  <c r="W102" i="13" s="1"/>
  <c r="W103" i="13" s="1"/>
  <c r="W104" i="13" s="1"/>
  <c r="W105" i="13" s="1"/>
  <c r="W106" i="13" s="1"/>
  <c r="AE14" i="13"/>
  <c r="AC14" i="13"/>
  <c r="AB14" i="13"/>
  <c r="W14" i="13"/>
  <c r="S14" i="13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S84" i="13" s="1"/>
  <c r="S85" i="13" s="1"/>
  <c r="S86" i="13" s="1"/>
  <c r="S87" i="13" s="1"/>
  <c r="S88" i="13" s="1"/>
  <c r="S89" i="13" s="1"/>
  <c r="S90" i="13" s="1"/>
  <c r="S91" i="13" s="1"/>
  <c r="S92" i="13" s="1"/>
  <c r="S93" i="13" s="1"/>
  <c r="S94" i="13" s="1"/>
  <c r="S95" i="13" s="1"/>
  <c r="S96" i="13" s="1"/>
  <c r="S97" i="13" s="1"/>
  <c r="S98" i="13" s="1"/>
  <c r="S99" i="13" s="1"/>
  <c r="S100" i="13" s="1"/>
  <c r="S101" i="13" s="1"/>
  <c r="S102" i="13" s="1"/>
  <c r="S103" i="13" s="1"/>
  <c r="S104" i="13" s="1"/>
  <c r="S105" i="13" s="1"/>
  <c r="S106" i="13" s="1"/>
  <c r="AE13" i="13"/>
  <c r="AC13" i="13"/>
  <c r="AB13" i="13"/>
  <c r="W13" i="13"/>
  <c r="S13" i="13"/>
  <c r="E13" i="13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AE12" i="13"/>
  <c r="AC12" i="13"/>
  <c r="AB12" i="13"/>
  <c r="W12" i="13"/>
  <c r="S12" i="13"/>
  <c r="E12" i="13"/>
  <c r="AE11" i="13"/>
  <c r="AD11" i="13"/>
  <c r="AD12" i="13" s="1"/>
  <c r="AD13" i="13" s="1"/>
  <c r="AD14" i="13" s="1"/>
  <c r="AD15" i="13" s="1"/>
  <c r="AD16" i="13" s="1"/>
  <c r="AD17" i="13" s="1"/>
  <c r="AD18" i="13" s="1"/>
  <c r="AD19" i="13" s="1"/>
  <c r="AD20" i="13" s="1"/>
  <c r="AD21" i="13" s="1"/>
  <c r="AD22" i="13" s="1"/>
  <c r="AD23" i="13" s="1"/>
  <c r="AD24" i="13" s="1"/>
  <c r="AD25" i="13" s="1"/>
  <c r="AD26" i="13" s="1"/>
  <c r="AD27" i="13" s="1"/>
  <c r="AD28" i="13" s="1"/>
  <c r="AD29" i="13" s="1"/>
  <c r="AD30" i="13" s="1"/>
  <c r="AD31" i="13" s="1"/>
  <c r="AD32" i="13" s="1"/>
  <c r="AD33" i="13" s="1"/>
  <c r="AD34" i="13" s="1"/>
  <c r="AD35" i="13" s="1"/>
  <c r="AD36" i="13" s="1"/>
  <c r="AD37" i="13" s="1"/>
  <c r="AD38" i="13" s="1"/>
  <c r="AD39" i="13" s="1"/>
  <c r="AD40" i="13" s="1"/>
  <c r="AD41" i="13" s="1"/>
  <c r="AD42" i="13" s="1"/>
  <c r="AD43" i="13" s="1"/>
  <c r="AD44" i="13" s="1"/>
  <c r="AD45" i="13" s="1"/>
  <c r="AD46" i="13" s="1"/>
  <c r="AD47" i="13" s="1"/>
  <c r="AD48" i="13" s="1"/>
  <c r="AD49" i="13" s="1"/>
  <c r="AD50" i="13" s="1"/>
  <c r="AD51" i="13" s="1"/>
  <c r="AD52" i="13" s="1"/>
  <c r="AD53" i="13" s="1"/>
  <c r="AD54" i="13" s="1"/>
  <c r="AD55" i="13" s="1"/>
  <c r="AD56" i="13" s="1"/>
  <c r="AD57" i="13" s="1"/>
  <c r="AD58" i="13" s="1"/>
  <c r="AD59" i="13" s="1"/>
  <c r="AD60" i="13" s="1"/>
  <c r="AD61" i="13" s="1"/>
  <c r="AD62" i="13" s="1"/>
  <c r="AD63" i="13" s="1"/>
  <c r="AD64" i="13" s="1"/>
  <c r="AD65" i="13" s="1"/>
  <c r="AD66" i="13" s="1"/>
  <c r="AD67" i="13" s="1"/>
  <c r="AD68" i="13" s="1"/>
  <c r="AD69" i="13" s="1"/>
  <c r="AD70" i="13" s="1"/>
  <c r="AD71" i="13" s="1"/>
  <c r="AD72" i="13" s="1"/>
  <c r="AD73" i="13" s="1"/>
  <c r="AD74" i="13" s="1"/>
  <c r="AD75" i="13" s="1"/>
  <c r="AD76" i="13" s="1"/>
  <c r="AD77" i="13" s="1"/>
  <c r="AD78" i="13" s="1"/>
  <c r="AD79" i="13" s="1"/>
  <c r="AD80" i="13" s="1"/>
  <c r="AD81" i="13" s="1"/>
  <c r="AD82" i="13" s="1"/>
  <c r="AD83" i="13" s="1"/>
  <c r="AD84" i="13" s="1"/>
  <c r="AD85" i="13" s="1"/>
  <c r="AD86" i="13" s="1"/>
  <c r="AD87" i="13" s="1"/>
  <c r="AD88" i="13" s="1"/>
  <c r="AD89" i="13" s="1"/>
  <c r="AD90" i="13" s="1"/>
  <c r="AD91" i="13" s="1"/>
  <c r="AD92" i="13" s="1"/>
  <c r="AD93" i="13" s="1"/>
  <c r="AD94" i="13" s="1"/>
  <c r="AD95" i="13" s="1"/>
  <c r="AD96" i="13" s="1"/>
  <c r="AD97" i="13" s="1"/>
  <c r="AD98" i="13" s="1"/>
  <c r="AD99" i="13" s="1"/>
  <c r="AD100" i="13" s="1"/>
  <c r="AD101" i="13" s="1"/>
  <c r="AD102" i="13" s="1"/>
  <c r="AD103" i="13" s="1"/>
  <c r="AD104" i="13" s="1"/>
  <c r="AD105" i="13" s="1"/>
  <c r="AD106" i="13" s="1"/>
  <c r="AC11" i="13"/>
  <c r="AB11" i="13"/>
  <c r="W11" i="13"/>
  <c r="S11" i="13"/>
  <c r="E11" i="13"/>
  <c r="AE10" i="13"/>
  <c r="AD10" i="13"/>
  <c r="AC10" i="13"/>
  <c r="AB10" i="13"/>
  <c r="W10" i="13"/>
  <c r="S10" i="13"/>
  <c r="E10" i="13"/>
  <c r="AE9" i="13"/>
  <c r="AC9" i="13"/>
  <c r="AB9" i="13"/>
  <c r="O9" i="13"/>
  <c r="E9" i="13"/>
  <c r="S107" i="13" l="1"/>
  <c r="S108" i="13" s="1"/>
  <c r="S109" i="13" s="1"/>
  <c r="S110" i="13" s="1"/>
  <c r="S111" i="13" s="1"/>
  <c r="S112" i="13" s="1"/>
  <c r="S113" i="13" s="1"/>
  <c r="S114" i="13" s="1"/>
  <c r="S115" i="13" s="1"/>
  <c r="S116" i="13" s="1"/>
  <c r="S117" i="13" s="1"/>
  <c r="S118" i="13" s="1"/>
  <c r="S119" i="13" s="1"/>
  <c r="AD107" i="13"/>
  <c r="AD108" i="13" s="1"/>
  <c r="AD109" i="13" s="1"/>
  <c r="AD110" i="13" s="1"/>
  <c r="AD111" i="13" s="1"/>
  <c r="AD112" i="13" s="1"/>
  <c r="AD113" i="13" s="1"/>
  <c r="AD114" i="13" s="1"/>
  <c r="AD115" i="13" s="1"/>
  <c r="AD116" i="13" s="1"/>
  <c r="AD117" i="13" s="1"/>
  <c r="AD118" i="13" s="1"/>
  <c r="AD119" i="13" s="1"/>
  <c r="AD287" i="13"/>
  <c r="W107" i="13"/>
  <c r="W108" i="13" s="1"/>
  <c r="W109" i="13" s="1"/>
  <c r="W110" i="13" s="1"/>
  <c r="W111" i="13" s="1"/>
  <c r="W112" i="13" s="1"/>
  <c r="W113" i="13" s="1"/>
  <c r="W114" i="13" s="1"/>
  <c r="W115" i="13" s="1"/>
  <c r="W116" i="13" s="1"/>
  <c r="W117" i="13" s="1"/>
  <c r="W118" i="13" s="1"/>
  <c r="W119" i="13" s="1"/>
  <c r="AB287" i="13"/>
  <c r="Q288" i="13"/>
  <c r="AE288" i="13"/>
  <c r="AC286" i="13"/>
  <c r="AE286" i="13"/>
  <c r="AD286" i="13"/>
  <c r="S286" i="13"/>
  <c r="O286" i="13"/>
  <c r="O10" i="13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O86" i="13" s="1"/>
  <c r="O87" i="13" s="1"/>
  <c r="O88" i="13" s="1"/>
  <c r="O89" i="13" s="1"/>
  <c r="O90" i="13" s="1"/>
  <c r="O91" i="13" s="1"/>
  <c r="O92" i="13" s="1"/>
  <c r="O93" i="13" s="1"/>
  <c r="O94" i="13" s="1"/>
  <c r="O95" i="13" s="1"/>
  <c r="O96" i="13" s="1"/>
  <c r="O97" i="13" s="1"/>
  <c r="O98" i="13" s="1"/>
  <c r="O99" i="13" s="1"/>
  <c r="O100" i="13" s="1"/>
  <c r="O101" i="13" s="1"/>
  <c r="O102" i="13" s="1"/>
  <c r="O103" i="13" s="1"/>
  <c r="O104" i="13" s="1"/>
  <c r="O105" i="13" s="1"/>
  <c r="O106" i="13" s="1"/>
  <c r="AB286" i="13"/>
  <c r="AC288" i="13"/>
  <c r="AA203" i="13"/>
  <c r="AA204" i="13" s="1"/>
  <c r="AA205" i="13" s="1"/>
  <c r="AA206" i="13" s="1"/>
  <c r="AA207" i="13" s="1"/>
  <c r="AA208" i="13" s="1"/>
  <c r="AA209" i="13" s="1"/>
  <c r="AA210" i="13" s="1"/>
  <c r="AA211" i="13" s="1"/>
  <c r="AA212" i="13" s="1"/>
  <c r="AA213" i="13" s="1"/>
  <c r="AA214" i="13" s="1"/>
  <c r="AA215" i="13" s="1"/>
  <c r="AA216" i="13" s="1"/>
  <c r="AA217" i="13" s="1"/>
  <c r="AA218" i="13" s="1"/>
  <c r="AA219" i="13" s="1"/>
  <c r="AA220" i="13" s="1"/>
  <c r="AA221" i="13" s="1"/>
  <c r="AA222" i="13" s="1"/>
  <c r="AA223" i="13" s="1"/>
  <c r="AA224" i="13" s="1"/>
  <c r="AA225" i="13" s="1"/>
  <c r="AA226" i="13" s="1"/>
  <c r="AA227" i="13" s="1"/>
  <c r="AA228" i="13" s="1"/>
  <c r="AA229" i="13" s="1"/>
  <c r="AA230" i="13" s="1"/>
  <c r="AA231" i="13" s="1"/>
  <c r="AA232" i="13" s="1"/>
  <c r="AA233" i="13" s="1"/>
  <c r="AA234" i="13" s="1"/>
  <c r="AA235" i="13" s="1"/>
  <c r="AA236" i="13" s="1"/>
  <c r="AA237" i="13" s="1"/>
  <c r="AA238" i="13" s="1"/>
  <c r="AA239" i="13" s="1"/>
  <c r="AA240" i="13" s="1"/>
  <c r="AA241" i="13" s="1"/>
  <c r="AA242" i="13" s="1"/>
  <c r="AA243" i="13" s="1"/>
  <c r="AA244" i="13" s="1"/>
  <c r="AA245" i="13" s="1"/>
  <c r="AA246" i="13" s="1"/>
  <c r="AA247" i="13" s="1"/>
  <c r="AA248" i="13" s="1"/>
  <c r="AA249" i="13" s="1"/>
  <c r="AA250" i="13" s="1"/>
  <c r="AA251" i="13" s="1"/>
  <c r="AA252" i="13" s="1"/>
  <c r="AA253" i="13" s="1"/>
  <c r="AA254" i="13" s="1"/>
  <c r="AA255" i="13" s="1"/>
  <c r="AA256" i="13" s="1"/>
  <c r="AA257" i="13" s="1"/>
  <c r="AA258" i="13" s="1"/>
  <c r="AA259" i="13" s="1"/>
  <c r="AA260" i="13" s="1"/>
  <c r="AA261" i="13" s="1"/>
  <c r="AA262" i="13" s="1"/>
  <c r="AA263" i="13" s="1"/>
  <c r="AA264" i="13" s="1"/>
  <c r="AA265" i="13" s="1"/>
  <c r="AA266" i="13" s="1"/>
  <c r="AA267" i="13" s="1"/>
  <c r="AA268" i="13" s="1"/>
  <c r="AA269" i="13" s="1"/>
  <c r="AA270" i="13" s="1"/>
  <c r="AA271" i="13" s="1"/>
  <c r="AA272" i="13" s="1"/>
  <c r="AA273" i="13" s="1"/>
  <c r="AA274" i="13" s="1"/>
  <c r="AA275" i="13" s="1"/>
  <c r="AA276" i="13" s="1"/>
  <c r="AA277" i="13" s="1"/>
  <c r="AA278" i="13" s="1"/>
  <c r="AA279" i="13" s="1"/>
  <c r="AA280" i="13" s="1"/>
  <c r="AA281" i="13" s="1"/>
  <c r="AA282" i="13" s="1"/>
  <c r="AA283" i="13" s="1"/>
  <c r="AA284" i="13" s="1"/>
  <c r="W286" i="13"/>
  <c r="P287" i="13"/>
  <c r="AE287" i="13"/>
  <c r="V205" i="13"/>
  <c r="V206" i="13" s="1"/>
  <c r="V207" i="13" s="1"/>
  <c r="V208" i="13" s="1"/>
  <c r="V209" i="13" s="1"/>
  <c r="V210" i="13" s="1"/>
  <c r="V211" i="13" s="1"/>
  <c r="V212" i="13" s="1"/>
  <c r="V213" i="13" s="1"/>
  <c r="V214" i="13" s="1"/>
  <c r="V215" i="13" s="1"/>
  <c r="V216" i="13" s="1"/>
  <c r="V217" i="13" s="1"/>
  <c r="V218" i="13" s="1"/>
  <c r="V219" i="13" s="1"/>
  <c r="V220" i="13" s="1"/>
  <c r="V221" i="13" s="1"/>
  <c r="V222" i="13" s="1"/>
  <c r="V223" i="13" s="1"/>
  <c r="V224" i="13" s="1"/>
  <c r="V225" i="13" s="1"/>
  <c r="V226" i="13" s="1"/>
  <c r="V227" i="13" s="1"/>
  <c r="V228" i="13" s="1"/>
  <c r="V229" i="13" s="1"/>
  <c r="V230" i="13" s="1"/>
  <c r="V231" i="13" s="1"/>
  <c r="V232" i="13" s="1"/>
  <c r="V233" i="13" s="1"/>
  <c r="V234" i="13" s="1"/>
  <c r="V235" i="13" s="1"/>
  <c r="V236" i="13" s="1"/>
  <c r="V237" i="13" s="1"/>
  <c r="V238" i="13" s="1"/>
  <c r="V239" i="13" s="1"/>
  <c r="V240" i="13" s="1"/>
  <c r="V241" i="13" s="1"/>
  <c r="V242" i="13" s="1"/>
  <c r="V243" i="13" s="1"/>
  <c r="V244" i="13" s="1"/>
  <c r="V245" i="13" s="1"/>
  <c r="V246" i="13" s="1"/>
  <c r="V247" i="13" s="1"/>
  <c r="V248" i="13" s="1"/>
  <c r="V249" i="13" s="1"/>
  <c r="V250" i="13" s="1"/>
  <c r="V251" i="13" s="1"/>
  <c r="V252" i="13" s="1"/>
  <c r="V253" i="13" s="1"/>
  <c r="V254" i="13" s="1"/>
  <c r="V255" i="13" s="1"/>
  <c r="V256" i="13" s="1"/>
  <c r="V257" i="13" s="1"/>
  <c r="AB289" i="13"/>
  <c r="AF204" i="13"/>
  <c r="AF205" i="13" s="1"/>
  <c r="AF206" i="13" s="1"/>
  <c r="AF207" i="13" s="1"/>
  <c r="AF208" i="13" s="1"/>
  <c r="AF209" i="13" s="1"/>
  <c r="AF210" i="13" s="1"/>
  <c r="AF211" i="13" s="1"/>
  <c r="AF212" i="13" s="1"/>
  <c r="AF213" i="13" s="1"/>
  <c r="AF214" i="13" s="1"/>
  <c r="AF215" i="13" s="1"/>
  <c r="AF216" i="13" s="1"/>
  <c r="AF217" i="13" s="1"/>
  <c r="AF218" i="13" s="1"/>
  <c r="AF219" i="13" s="1"/>
  <c r="AF220" i="13" s="1"/>
  <c r="AF221" i="13" s="1"/>
  <c r="AF222" i="13" s="1"/>
  <c r="AF223" i="13" s="1"/>
  <c r="AF224" i="13" s="1"/>
  <c r="AF225" i="13" s="1"/>
  <c r="AF226" i="13" s="1"/>
  <c r="AF227" i="13" s="1"/>
  <c r="AF228" i="13" s="1"/>
  <c r="AF229" i="13" s="1"/>
  <c r="AF230" i="13" s="1"/>
  <c r="AF231" i="13" s="1"/>
  <c r="AF232" i="13" s="1"/>
  <c r="AF233" i="13" s="1"/>
  <c r="AF234" i="13" s="1"/>
  <c r="AF235" i="13" s="1"/>
  <c r="AF236" i="13" s="1"/>
  <c r="AF237" i="13" s="1"/>
  <c r="AF238" i="13" s="1"/>
  <c r="AF239" i="13" s="1"/>
  <c r="AF240" i="13" s="1"/>
  <c r="AF241" i="13" s="1"/>
  <c r="AF242" i="13" s="1"/>
  <c r="AF243" i="13" s="1"/>
  <c r="AF244" i="13" s="1"/>
  <c r="AF245" i="13" s="1"/>
  <c r="AF246" i="13" s="1"/>
  <c r="AF247" i="13" s="1"/>
  <c r="AF248" i="13" s="1"/>
  <c r="AF249" i="13" s="1"/>
  <c r="AF250" i="13" s="1"/>
  <c r="AF251" i="13" s="1"/>
  <c r="AF252" i="13" s="1"/>
  <c r="AF253" i="13" s="1"/>
  <c r="AF254" i="13" s="1"/>
  <c r="AF255" i="13" s="1"/>
  <c r="AF256" i="13" s="1"/>
  <c r="AF257" i="13" s="1"/>
  <c r="AC289" i="13"/>
  <c r="AC287" i="13"/>
  <c r="T287" i="13"/>
  <c r="AB288" i="13"/>
  <c r="U288" i="13"/>
  <c r="AA288" i="13"/>
  <c r="R205" i="13"/>
  <c r="R206" i="13" s="1"/>
  <c r="R207" i="13" s="1"/>
  <c r="R208" i="13" s="1"/>
  <c r="R209" i="13" s="1"/>
  <c r="R210" i="13" s="1"/>
  <c r="R211" i="13" s="1"/>
  <c r="R212" i="13" s="1"/>
  <c r="R213" i="13" s="1"/>
  <c r="R214" i="13" s="1"/>
  <c r="R215" i="13" s="1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R249" i="13" s="1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AE289" i="13"/>
  <c r="V289" i="13" l="1"/>
  <c r="O107" i="13"/>
  <c r="O108" i="13" s="1"/>
  <c r="O109" i="13" s="1"/>
  <c r="O110" i="13" s="1"/>
  <c r="O111" i="13" s="1"/>
  <c r="O112" i="13" s="1"/>
  <c r="O113" i="13" s="1"/>
  <c r="O114" i="13" s="1"/>
  <c r="O115" i="13" s="1"/>
  <c r="O116" i="13" s="1"/>
  <c r="O117" i="13" s="1"/>
  <c r="O118" i="13" s="1"/>
  <c r="O119" i="13" s="1"/>
  <c r="W287" i="13"/>
  <c r="AD120" i="13"/>
  <c r="AD121" i="13" s="1"/>
  <c r="AD122" i="13" s="1"/>
  <c r="AD123" i="13" s="1"/>
  <c r="AD124" i="13" s="1"/>
  <c r="AD125" i="13" s="1"/>
  <c r="AD126" i="13" s="1"/>
  <c r="AD127" i="13" s="1"/>
  <c r="AD128" i="13" s="1"/>
  <c r="AD129" i="13" s="1"/>
  <c r="AD130" i="13" s="1"/>
  <c r="AD131" i="13" s="1"/>
  <c r="AD132" i="13" s="1"/>
  <c r="AD133" i="13" s="1"/>
  <c r="AD134" i="13" s="1"/>
  <c r="AD135" i="13" s="1"/>
  <c r="AD136" i="13" s="1"/>
  <c r="AD137" i="13" s="1"/>
  <c r="AD138" i="13" s="1"/>
  <c r="AD139" i="13" s="1"/>
  <c r="AD140" i="13" s="1"/>
  <c r="AD141" i="13" s="1"/>
  <c r="AD142" i="13" s="1"/>
  <c r="AD143" i="13" s="1"/>
  <c r="AD144" i="13" s="1"/>
  <c r="AD145" i="13" s="1"/>
  <c r="AD146" i="13" s="1"/>
  <c r="AD147" i="13" s="1"/>
  <c r="AD148" i="13" s="1"/>
  <c r="AD149" i="13" s="1"/>
  <c r="AD150" i="13" s="1"/>
  <c r="AD151" i="13" s="1"/>
  <c r="AD152" i="13" s="1"/>
  <c r="AD153" i="13" s="1"/>
  <c r="AD154" i="13" s="1"/>
  <c r="AD155" i="13" s="1"/>
  <c r="AD156" i="13" s="1"/>
  <c r="AD157" i="13" s="1"/>
  <c r="AD158" i="13" s="1"/>
  <c r="AD159" i="13" s="1"/>
  <c r="AD160" i="13" s="1"/>
  <c r="AD161" i="13" s="1"/>
  <c r="AD162" i="13" s="1"/>
  <c r="AD163" i="13" s="1"/>
  <c r="AD164" i="13" s="1"/>
  <c r="AD165" i="13" s="1"/>
  <c r="AD166" i="13" s="1"/>
  <c r="AD167" i="13" s="1"/>
  <c r="AD168" i="13" s="1"/>
  <c r="AD169" i="13" s="1"/>
  <c r="AD170" i="13" s="1"/>
  <c r="AD171" i="13" s="1"/>
  <c r="AD172" i="13" s="1"/>
  <c r="AD173" i="13" s="1"/>
  <c r="AD174" i="13" s="1"/>
  <c r="AD175" i="13" s="1"/>
  <c r="AD176" i="13" s="1"/>
  <c r="AD177" i="13" s="1"/>
  <c r="AD178" i="13" s="1"/>
  <c r="AD179" i="13" s="1"/>
  <c r="AD180" i="13" s="1"/>
  <c r="AD181" i="13" s="1"/>
  <c r="AD182" i="13" s="1"/>
  <c r="AD183" i="13" s="1"/>
  <c r="AD184" i="13" s="1"/>
  <c r="AD185" i="13" s="1"/>
  <c r="AD186" i="13" s="1"/>
  <c r="AD187" i="13" s="1"/>
  <c r="AD188" i="13" s="1"/>
  <c r="AD189" i="13" s="1"/>
  <c r="AD190" i="13" s="1"/>
  <c r="AD191" i="13" s="1"/>
  <c r="AD192" i="13" s="1"/>
  <c r="AD193" i="13" s="1"/>
  <c r="AD194" i="13" s="1"/>
  <c r="AD195" i="13" s="1"/>
  <c r="AD196" i="13" s="1"/>
  <c r="AD197" i="13" s="1"/>
  <c r="AD198" i="13" s="1"/>
  <c r="AD199" i="13" s="1"/>
  <c r="AD200" i="13" s="1"/>
  <c r="AD201" i="13" s="1"/>
  <c r="AD202" i="13" s="1"/>
  <c r="W120" i="13"/>
  <c r="W121" i="13" s="1"/>
  <c r="W122" i="13" s="1"/>
  <c r="W123" i="13" s="1"/>
  <c r="W124" i="13" s="1"/>
  <c r="W125" i="13" s="1"/>
  <c r="W126" i="13" s="1"/>
  <c r="W127" i="13" s="1"/>
  <c r="W128" i="13" s="1"/>
  <c r="W129" i="13" s="1"/>
  <c r="W130" i="13" s="1"/>
  <c r="W131" i="13" s="1"/>
  <c r="W132" i="13" s="1"/>
  <c r="W133" i="13" s="1"/>
  <c r="W134" i="13" s="1"/>
  <c r="W135" i="13" s="1"/>
  <c r="W136" i="13" s="1"/>
  <c r="W137" i="13" s="1"/>
  <c r="W138" i="13" s="1"/>
  <c r="W139" i="13" s="1"/>
  <c r="W140" i="13" s="1"/>
  <c r="W141" i="13" s="1"/>
  <c r="W142" i="13" s="1"/>
  <c r="W143" i="13" s="1"/>
  <c r="W144" i="13" s="1"/>
  <c r="W145" i="13" s="1"/>
  <c r="W146" i="13" s="1"/>
  <c r="W147" i="13" s="1"/>
  <c r="W148" i="13" s="1"/>
  <c r="W149" i="13" s="1"/>
  <c r="W150" i="13" s="1"/>
  <c r="W151" i="13" s="1"/>
  <c r="W152" i="13" s="1"/>
  <c r="W153" i="13" s="1"/>
  <c r="W154" i="13" s="1"/>
  <c r="W155" i="13" s="1"/>
  <c r="W156" i="13" s="1"/>
  <c r="W157" i="13" s="1"/>
  <c r="W158" i="13" s="1"/>
  <c r="W159" i="13" s="1"/>
  <c r="W160" i="13" s="1"/>
  <c r="W161" i="13" s="1"/>
  <c r="W162" i="13" s="1"/>
  <c r="W163" i="13" s="1"/>
  <c r="W164" i="13" s="1"/>
  <c r="W165" i="13" s="1"/>
  <c r="W166" i="13" s="1"/>
  <c r="W167" i="13" s="1"/>
  <c r="W168" i="13" s="1"/>
  <c r="W169" i="13" s="1"/>
  <c r="W170" i="13" s="1"/>
  <c r="W171" i="13" s="1"/>
  <c r="W172" i="13" s="1"/>
  <c r="W173" i="13" s="1"/>
  <c r="W174" i="13" s="1"/>
  <c r="W175" i="13" s="1"/>
  <c r="W176" i="13" s="1"/>
  <c r="W177" i="13" s="1"/>
  <c r="W178" i="13" s="1"/>
  <c r="W179" i="13" s="1"/>
  <c r="W180" i="13" s="1"/>
  <c r="W181" i="13" s="1"/>
  <c r="W182" i="13" s="1"/>
  <c r="W183" i="13" s="1"/>
  <c r="W184" i="13" s="1"/>
  <c r="W185" i="13" s="1"/>
  <c r="W186" i="13" s="1"/>
  <c r="W187" i="13" s="1"/>
  <c r="W188" i="13" s="1"/>
  <c r="W189" i="13" s="1"/>
  <c r="W190" i="13" s="1"/>
  <c r="W191" i="13" s="1"/>
  <c r="W192" i="13" s="1"/>
  <c r="W193" i="13" s="1"/>
  <c r="W194" i="13" s="1"/>
  <c r="W195" i="13" s="1"/>
  <c r="W196" i="13" s="1"/>
  <c r="W197" i="13" s="1"/>
  <c r="W198" i="13" s="1"/>
  <c r="W199" i="13" s="1"/>
  <c r="W200" i="13" s="1"/>
  <c r="W201" i="13" s="1"/>
  <c r="W202" i="13" s="1"/>
  <c r="AA289" i="13"/>
  <c r="S120" i="13"/>
  <c r="S121" i="13" s="1"/>
  <c r="S122" i="13" s="1"/>
  <c r="S123" i="13" s="1"/>
  <c r="S124" i="13" s="1"/>
  <c r="S125" i="13" s="1"/>
  <c r="S126" i="13" s="1"/>
  <c r="S127" i="13" s="1"/>
  <c r="S128" i="13" s="1"/>
  <c r="S129" i="13" s="1"/>
  <c r="S130" i="13" s="1"/>
  <c r="S131" i="13" s="1"/>
  <c r="S132" i="13" s="1"/>
  <c r="S133" i="13" s="1"/>
  <c r="S134" i="13" s="1"/>
  <c r="S135" i="13" s="1"/>
  <c r="S136" i="13" s="1"/>
  <c r="S137" i="13" s="1"/>
  <c r="S138" i="13" s="1"/>
  <c r="S139" i="13" s="1"/>
  <c r="S140" i="13" s="1"/>
  <c r="S141" i="13" s="1"/>
  <c r="S142" i="13" s="1"/>
  <c r="S143" i="13" s="1"/>
  <c r="S144" i="13" s="1"/>
  <c r="S145" i="13" s="1"/>
  <c r="S146" i="13" s="1"/>
  <c r="S147" i="13" s="1"/>
  <c r="S148" i="13" s="1"/>
  <c r="S149" i="13" s="1"/>
  <c r="S150" i="13" s="1"/>
  <c r="S151" i="13" s="1"/>
  <c r="S152" i="13" s="1"/>
  <c r="S153" i="13" s="1"/>
  <c r="S154" i="13" s="1"/>
  <c r="S155" i="13" s="1"/>
  <c r="S156" i="13" s="1"/>
  <c r="S157" i="13" s="1"/>
  <c r="S158" i="13" s="1"/>
  <c r="S159" i="13" s="1"/>
  <c r="S160" i="13" s="1"/>
  <c r="S161" i="13" s="1"/>
  <c r="S162" i="13" s="1"/>
  <c r="S163" i="13" s="1"/>
  <c r="S164" i="13" s="1"/>
  <c r="S165" i="13" s="1"/>
  <c r="S166" i="13" s="1"/>
  <c r="S167" i="13" s="1"/>
  <c r="S168" i="13" s="1"/>
  <c r="S169" i="13" s="1"/>
  <c r="S170" i="13" s="1"/>
  <c r="S171" i="13" s="1"/>
  <c r="S172" i="13" s="1"/>
  <c r="S173" i="13" s="1"/>
  <c r="S174" i="13" s="1"/>
  <c r="S175" i="13" s="1"/>
  <c r="S176" i="13" s="1"/>
  <c r="S177" i="13" s="1"/>
  <c r="S178" i="13" s="1"/>
  <c r="S179" i="13" s="1"/>
  <c r="S180" i="13" s="1"/>
  <c r="S181" i="13" s="1"/>
  <c r="S182" i="13" s="1"/>
  <c r="S183" i="13" s="1"/>
  <c r="S184" i="13" s="1"/>
  <c r="S185" i="13" s="1"/>
  <c r="S186" i="13" s="1"/>
  <c r="S187" i="13" s="1"/>
  <c r="S188" i="13" s="1"/>
  <c r="S189" i="13" s="1"/>
  <c r="S190" i="13" s="1"/>
  <c r="S191" i="13" s="1"/>
  <c r="S192" i="13" s="1"/>
  <c r="S193" i="13" s="1"/>
  <c r="S194" i="13" s="1"/>
  <c r="S195" i="13" s="1"/>
  <c r="S196" i="13" s="1"/>
  <c r="S197" i="13" s="1"/>
  <c r="S198" i="13" s="1"/>
  <c r="S199" i="13" s="1"/>
  <c r="S200" i="13" s="1"/>
  <c r="S201" i="13" s="1"/>
  <c r="S202" i="13" s="1"/>
  <c r="R289" i="13"/>
  <c r="AF289" i="13"/>
  <c r="S287" i="13"/>
  <c r="W203" i="13" l="1"/>
  <c r="W204" i="13" s="1"/>
  <c r="W205" i="13" s="1"/>
  <c r="W206" i="13" s="1"/>
  <c r="W207" i="13" s="1"/>
  <c r="W208" i="13" s="1"/>
  <c r="W209" i="13" s="1"/>
  <c r="W210" i="13" s="1"/>
  <c r="W211" i="13" s="1"/>
  <c r="W212" i="13" s="1"/>
  <c r="W213" i="13" s="1"/>
  <c r="W214" i="13" s="1"/>
  <c r="W215" i="13" s="1"/>
  <c r="W216" i="13" s="1"/>
  <c r="W217" i="13" s="1"/>
  <c r="W218" i="13" s="1"/>
  <c r="W219" i="13" s="1"/>
  <c r="W220" i="13" s="1"/>
  <c r="W221" i="13" s="1"/>
  <c r="W222" i="13" s="1"/>
  <c r="W223" i="13" s="1"/>
  <c r="W224" i="13" s="1"/>
  <c r="W225" i="13" s="1"/>
  <c r="W226" i="13" s="1"/>
  <c r="W227" i="13" s="1"/>
  <c r="W228" i="13" s="1"/>
  <c r="W229" i="13" s="1"/>
  <c r="W230" i="13" s="1"/>
  <c r="W231" i="13" s="1"/>
  <c r="W232" i="13" s="1"/>
  <c r="W233" i="13" s="1"/>
  <c r="W234" i="13" s="1"/>
  <c r="W235" i="13" s="1"/>
  <c r="W236" i="13" s="1"/>
  <c r="W237" i="13" s="1"/>
  <c r="W238" i="13" s="1"/>
  <c r="W239" i="13" s="1"/>
  <c r="W240" i="13" s="1"/>
  <c r="W241" i="13" s="1"/>
  <c r="W242" i="13" s="1"/>
  <c r="W243" i="13" s="1"/>
  <c r="W244" i="13" s="1"/>
  <c r="W245" i="13" s="1"/>
  <c r="W246" i="13" s="1"/>
  <c r="W247" i="13" s="1"/>
  <c r="W248" i="13" s="1"/>
  <c r="W249" i="13" s="1"/>
  <c r="W250" i="13" s="1"/>
  <c r="W251" i="13" s="1"/>
  <c r="W252" i="13" s="1"/>
  <c r="W253" i="13" s="1"/>
  <c r="W254" i="13" s="1"/>
  <c r="W255" i="13" s="1"/>
  <c r="W256" i="13" s="1"/>
  <c r="W257" i="13" s="1"/>
  <c r="W258" i="13" s="1"/>
  <c r="W259" i="13" s="1"/>
  <c r="W260" i="13" s="1"/>
  <c r="W261" i="13" s="1"/>
  <c r="W262" i="13" s="1"/>
  <c r="W263" i="13" s="1"/>
  <c r="W264" i="13" s="1"/>
  <c r="W265" i="13" s="1"/>
  <c r="W266" i="13" s="1"/>
  <c r="W267" i="13" s="1"/>
  <c r="W268" i="13" s="1"/>
  <c r="W269" i="13" s="1"/>
  <c r="W270" i="13" s="1"/>
  <c r="W271" i="13" s="1"/>
  <c r="W272" i="13" s="1"/>
  <c r="W273" i="13" s="1"/>
  <c r="W274" i="13" s="1"/>
  <c r="W275" i="13" s="1"/>
  <c r="W276" i="13" s="1"/>
  <c r="W277" i="13" s="1"/>
  <c r="W278" i="13" s="1"/>
  <c r="W279" i="13" s="1"/>
  <c r="W280" i="13" s="1"/>
  <c r="W281" i="13" s="1"/>
  <c r="W282" i="13" s="1"/>
  <c r="W283" i="13" s="1"/>
  <c r="W284" i="13" s="1"/>
  <c r="W288" i="13"/>
  <c r="S203" i="13"/>
  <c r="S204" i="13" s="1"/>
  <c r="S205" i="13" s="1"/>
  <c r="S206" i="13" s="1"/>
  <c r="S207" i="13" s="1"/>
  <c r="S208" i="13" s="1"/>
  <c r="S209" i="13" s="1"/>
  <c r="S210" i="13" s="1"/>
  <c r="S211" i="13" s="1"/>
  <c r="S212" i="13" s="1"/>
  <c r="S213" i="13" s="1"/>
  <c r="S214" i="13" s="1"/>
  <c r="S215" i="13" s="1"/>
  <c r="S216" i="13" s="1"/>
  <c r="S217" i="13" s="1"/>
  <c r="S218" i="13" s="1"/>
  <c r="S219" i="13" s="1"/>
  <c r="S220" i="13" s="1"/>
  <c r="S221" i="13" s="1"/>
  <c r="S222" i="13" s="1"/>
  <c r="S223" i="13" s="1"/>
  <c r="S224" i="13" s="1"/>
  <c r="S225" i="13" s="1"/>
  <c r="S226" i="13" s="1"/>
  <c r="S227" i="13" s="1"/>
  <c r="S228" i="13" s="1"/>
  <c r="S229" i="13" s="1"/>
  <c r="S230" i="13" s="1"/>
  <c r="S231" i="13" s="1"/>
  <c r="S232" i="13" s="1"/>
  <c r="S233" i="13" s="1"/>
  <c r="S234" i="13" s="1"/>
  <c r="S235" i="13" s="1"/>
  <c r="S236" i="13" s="1"/>
  <c r="S237" i="13" s="1"/>
  <c r="S238" i="13" s="1"/>
  <c r="S239" i="13" s="1"/>
  <c r="S240" i="13" s="1"/>
  <c r="S241" i="13" s="1"/>
  <c r="S242" i="13" s="1"/>
  <c r="S243" i="13" s="1"/>
  <c r="S244" i="13" s="1"/>
  <c r="S245" i="13" s="1"/>
  <c r="S246" i="13" s="1"/>
  <c r="S247" i="13" s="1"/>
  <c r="S248" i="13" s="1"/>
  <c r="S249" i="13" s="1"/>
  <c r="S250" i="13" s="1"/>
  <c r="S251" i="13" s="1"/>
  <c r="S252" i="13" s="1"/>
  <c r="S253" i="13" s="1"/>
  <c r="S254" i="13" s="1"/>
  <c r="S255" i="13" s="1"/>
  <c r="S256" i="13" s="1"/>
  <c r="S257" i="13" s="1"/>
  <c r="O288" i="13"/>
  <c r="O120" i="13"/>
  <c r="O121" i="13" s="1"/>
  <c r="O122" i="13" s="1"/>
  <c r="O123" i="13" s="1"/>
  <c r="O124" i="13" s="1"/>
  <c r="O125" i="13" s="1"/>
  <c r="O126" i="13" s="1"/>
  <c r="O127" i="13" s="1"/>
  <c r="O128" i="13" s="1"/>
  <c r="O129" i="13" s="1"/>
  <c r="O130" i="13" s="1"/>
  <c r="O131" i="13" s="1"/>
  <c r="O132" i="13" s="1"/>
  <c r="O133" i="13" s="1"/>
  <c r="O134" i="13" s="1"/>
  <c r="O135" i="13" s="1"/>
  <c r="O136" i="13" s="1"/>
  <c r="O137" i="13" s="1"/>
  <c r="O138" i="13" s="1"/>
  <c r="O139" i="13" s="1"/>
  <c r="O140" i="13" s="1"/>
  <c r="O141" i="13" s="1"/>
  <c r="O142" i="13" s="1"/>
  <c r="O143" i="13" s="1"/>
  <c r="O144" i="13" s="1"/>
  <c r="O145" i="13" s="1"/>
  <c r="O146" i="13" s="1"/>
  <c r="O147" i="13" s="1"/>
  <c r="O148" i="13" s="1"/>
  <c r="O149" i="13" s="1"/>
  <c r="O150" i="13" s="1"/>
  <c r="O151" i="13" s="1"/>
  <c r="O152" i="13" s="1"/>
  <c r="O153" i="13" s="1"/>
  <c r="O154" i="13" s="1"/>
  <c r="O155" i="13" s="1"/>
  <c r="O156" i="13" s="1"/>
  <c r="O157" i="13" s="1"/>
  <c r="O158" i="13" s="1"/>
  <c r="O159" i="13" s="1"/>
  <c r="O160" i="13" s="1"/>
  <c r="O161" i="13" s="1"/>
  <c r="O162" i="13" s="1"/>
  <c r="O163" i="13" s="1"/>
  <c r="O164" i="13" s="1"/>
  <c r="O165" i="13" s="1"/>
  <c r="O166" i="13" s="1"/>
  <c r="O167" i="13" s="1"/>
  <c r="O168" i="13" s="1"/>
  <c r="O169" i="13" s="1"/>
  <c r="O170" i="13" s="1"/>
  <c r="O171" i="13" s="1"/>
  <c r="O172" i="13" s="1"/>
  <c r="O173" i="13" s="1"/>
  <c r="O174" i="13" s="1"/>
  <c r="O175" i="13" s="1"/>
  <c r="O176" i="13" s="1"/>
  <c r="O177" i="13" s="1"/>
  <c r="O178" i="13" s="1"/>
  <c r="O179" i="13" s="1"/>
  <c r="O180" i="13" s="1"/>
  <c r="O181" i="13" s="1"/>
  <c r="O182" i="13" s="1"/>
  <c r="O183" i="13" s="1"/>
  <c r="O184" i="13" s="1"/>
  <c r="O185" i="13" s="1"/>
  <c r="O186" i="13" s="1"/>
  <c r="O187" i="13" s="1"/>
  <c r="O188" i="13" s="1"/>
  <c r="O189" i="13" s="1"/>
  <c r="O190" i="13" s="1"/>
  <c r="O191" i="13" s="1"/>
  <c r="O192" i="13" s="1"/>
  <c r="O193" i="13" s="1"/>
  <c r="O194" i="13" s="1"/>
  <c r="O195" i="13" s="1"/>
  <c r="O196" i="13" s="1"/>
  <c r="O197" i="13" s="1"/>
  <c r="O198" i="13" s="1"/>
  <c r="O199" i="13" s="1"/>
  <c r="O200" i="13" s="1"/>
  <c r="O201" i="13" s="1"/>
  <c r="O202" i="13" s="1"/>
  <c r="AD288" i="13"/>
  <c r="S288" i="13"/>
  <c r="O287" i="13"/>
  <c r="AD203" i="13"/>
  <c r="AD204" i="13" s="1"/>
  <c r="AD205" i="13" s="1"/>
  <c r="AD206" i="13" s="1"/>
  <c r="AD207" i="13" s="1"/>
  <c r="AD208" i="13" s="1"/>
  <c r="AD209" i="13" s="1"/>
  <c r="AD210" i="13" s="1"/>
  <c r="AD211" i="13" s="1"/>
  <c r="AD212" i="13" s="1"/>
  <c r="AD213" i="13" s="1"/>
  <c r="AD214" i="13" s="1"/>
  <c r="AD215" i="13" s="1"/>
  <c r="AD216" i="13" s="1"/>
  <c r="AD217" i="13" s="1"/>
  <c r="AD218" i="13" s="1"/>
  <c r="AD219" i="13" s="1"/>
  <c r="AD220" i="13" s="1"/>
  <c r="AD221" i="13" s="1"/>
  <c r="AD222" i="13" s="1"/>
  <c r="AD223" i="13" s="1"/>
  <c r="AD224" i="13" s="1"/>
  <c r="AD225" i="13" s="1"/>
  <c r="AD226" i="13" s="1"/>
  <c r="AD227" i="13" s="1"/>
  <c r="AD228" i="13" s="1"/>
  <c r="AD229" i="13" s="1"/>
  <c r="AD230" i="13" s="1"/>
  <c r="AD231" i="13" s="1"/>
  <c r="AD232" i="13" s="1"/>
  <c r="AD233" i="13" s="1"/>
  <c r="AD234" i="13" s="1"/>
  <c r="AD235" i="13" s="1"/>
  <c r="AD236" i="13" s="1"/>
  <c r="AD237" i="13" s="1"/>
  <c r="AD238" i="13" s="1"/>
  <c r="AD239" i="13" s="1"/>
  <c r="AD240" i="13" s="1"/>
  <c r="AD241" i="13" s="1"/>
  <c r="AD242" i="13" s="1"/>
  <c r="AD243" i="13" s="1"/>
  <c r="AD244" i="13" s="1"/>
  <c r="AD245" i="13" s="1"/>
  <c r="AD246" i="13" s="1"/>
  <c r="AD247" i="13" s="1"/>
  <c r="AD248" i="13" s="1"/>
  <c r="AD249" i="13" s="1"/>
  <c r="AD250" i="13" s="1"/>
  <c r="AD251" i="13" s="1"/>
  <c r="AD252" i="13" s="1"/>
  <c r="AD253" i="13" s="1"/>
  <c r="AD254" i="13" s="1"/>
  <c r="AD255" i="13" s="1"/>
  <c r="AD256" i="13" s="1"/>
  <c r="AD257" i="13" s="1"/>
  <c r="O203" i="13" l="1"/>
  <c r="O204" i="13" s="1"/>
  <c r="O205" i="13" s="1"/>
  <c r="O206" i="13" s="1"/>
  <c r="O207" i="13" s="1"/>
  <c r="O208" i="13" s="1"/>
  <c r="O209" i="13" s="1"/>
  <c r="O210" i="13" s="1"/>
  <c r="O211" i="13" s="1"/>
  <c r="O212" i="13" s="1"/>
  <c r="O213" i="13" s="1"/>
  <c r="O214" i="13" s="1"/>
  <c r="O215" i="13" s="1"/>
  <c r="O216" i="13" s="1"/>
  <c r="O217" i="13" s="1"/>
  <c r="O218" i="13" s="1"/>
  <c r="O219" i="13" s="1"/>
  <c r="O220" i="13" s="1"/>
  <c r="O221" i="13" s="1"/>
  <c r="O222" i="13" s="1"/>
  <c r="O223" i="13" s="1"/>
  <c r="O224" i="13" s="1"/>
  <c r="O225" i="13" s="1"/>
  <c r="O226" i="13" s="1"/>
  <c r="O227" i="13" s="1"/>
  <c r="O228" i="13" s="1"/>
  <c r="O229" i="13" s="1"/>
  <c r="O230" i="13" s="1"/>
  <c r="O231" i="13" s="1"/>
  <c r="O232" i="13" s="1"/>
  <c r="O233" i="13" s="1"/>
  <c r="O234" i="13" s="1"/>
  <c r="O235" i="13" s="1"/>
  <c r="O236" i="13" s="1"/>
  <c r="O237" i="13" s="1"/>
  <c r="O238" i="13" s="1"/>
  <c r="O239" i="13" s="1"/>
  <c r="O240" i="13" s="1"/>
  <c r="O241" i="13" s="1"/>
  <c r="O242" i="13" s="1"/>
  <c r="O243" i="13" s="1"/>
  <c r="O244" i="13" s="1"/>
  <c r="O245" i="13" s="1"/>
  <c r="O246" i="13" s="1"/>
  <c r="O247" i="13" s="1"/>
  <c r="O248" i="13" s="1"/>
  <c r="O249" i="13" s="1"/>
  <c r="O250" i="13" s="1"/>
  <c r="O251" i="13" s="1"/>
  <c r="O252" i="13" s="1"/>
  <c r="O253" i="13" s="1"/>
  <c r="O254" i="13" s="1"/>
  <c r="O255" i="13" s="1"/>
  <c r="O256" i="13" s="1"/>
  <c r="O257" i="13" s="1"/>
  <c r="O258" i="13" s="1"/>
  <c r="O259" i="13" s="1"/>
  <c r="O260" i="13" s="1"/>
  <c r="O261" i="13" s="1"/>
  <c r="O262" i="13" s="1"/>
  <c r="O263" i="13" s="1"/>
  <c r="O264" i="13" s="1"/>
  <c r="O265" i="13" s="1"/>
  <c r="O266" i="13" s="1"/>
  <c r="O267" i="13" s="1"/>
  <c r="O268" i="13" s="1"/>
  <c r="O269" i="13" s="1"/>
  <c r="O270" i="13" s="1"/>
  <c r="O271" i="13" s="1"/>
  <c r="O272" i="13" s="1"/>
  <c r="O273" i="13" s="1"/>
  <c r="O274" i="13" s="1"/>
  <c r="O275" i="13" s="1"/>
  <c r="O276" i="13" s="1"/>
  <c r="O277" i="13" s="1"/>
  <c r="O278" i="13" s="1"/>
  <c r="O279" i="13" s="1"/>
  <c r="O280" i="13" s="1"/>
  <c r="O281" i="13" s="1"/>
  <c r="O282" i="13" s="1"/>
  <c r="O283" i="13" s="1"/>
  <c r="O284" i="13" s="1"/>
  <c r="S289" i="13"/>
  <c r="AD289" i="13"/>
  <c r="W289" i="13"/>
  <c r="O289" i="13" l="1"/>
  <c r="R3" i="15" l="1"/>
  <c r="R4" i="15"/>
  <c r="R5" i="15"/>
  <c r="R6" i="15"/>
  <c r="R7" i="15"/>
  <c r="R8" i="15"/>
  <c r="R9" i="15"/>
  <c r="R10" i="15"/>
  <c r="R12" i="15"/>
  <c r="R13" i="15"/>
  <c r="R14" i="15"/>
  <c r="R15" i="15"/>
  <c r="R16" i="15"/>
  <c r="R17" i="15"/>
  <c r="R18" i="15"/>
  <c r="R19" i="15"/>
  <c r="R20" i="15"/>
  <c r="R21" i="15"/>
  <c r="R22" i="15"/>
  <c r="R11" i="15"/>
  <c r="L19" i="15" l="1"/>
  <c r="J19" i="15" s="1"/>
  <c r="S19" i="15" s="1"/>
  <c r="T19" i="15" s="1"/>
  <c r="L17" i="15"/>
  <c r="J17" i="15" s="1"/>
  <c r="S17" i="15" s="1"/>
  <c r="T17" i="15" s="1"/>
  <c r="L11" i="15"/>
  <c r="J11" i="15" s="1"/>
  <c r="S11" i="15" s="1"/>
  <c r="L14" i="15"/>
  <c r="J14" i="15" s="1"/>
  <c r="S14" i="15" s="1"/>
  <c r="L9" i="15"/>
  <c r="J9" i="15" s="1"/>
  <c r="L8" i="15"/>
  <c r="J8" i="15" s="1"/>
  <c r="S8" i="15" s="1"/>
  <c r="L3" i="15"/>
  <c r="J3" i="15" s="1"/>
  <c r="S3" i="15" s="1"/>
  <c r="L10" i="15"/>
  <c r="J10" i="15" s="1"/>
  <c r="S10" i="15" s="1"/>
  <c r="L15" i="15"/>
  <c r="J15" i="15" s="1"/>
  <c r="S15" i="15" s="1"/>
  <c r="T15" i="15" s="1"/>
  <c r="L22" i="15"/>
  <c r="J22" i="15" s="1"/>
  <c r="S22" i="15" s="1"/>
  <c r="T22" i="15" s="1"/>
  <c r="L18" i="15"/>
  <c r="J18" i="15" s="1"/>
  <c r="S18" i="15" s="1"/>
  <c r="T18" i="15" s="1"/>
  <c r="L16" i="15"/>
  <c r="J16" i="15" s="1"/>
  <c r="S16" i="15" s="1"/>
  <c r="T16" i="15" s="1"/>
  <c r="L6" i="15"/>
  <c r="J6" i="15" s="1"/>
  <c r="S6" i="15" s="1"/>
  <c r="L21" i="15"/>
  <c r="J21" i="15" s="1"/>
  <c r="S21" i="15" s="1"/>
  <c r="T21" i="15" s="1"/>
  <c r="L13" i="15"/>
  <c r="J13" i="15" s="1"/>
  <c r="S13" i="15" s="1"/>
  <c r="L5" i="15"/>
  <c r="J5" i="15" s="1"/>
  <c r="S5" i="15" s="1"/>
  <c r="L12" i="15"/>
  <c r="J12" i="15" s="1"/>
  <c r="S12" i="15" s="1"/>
  <c r="L4" i="15"/>
  <c r="J4" i="15" s="1"/>
  <c r="S4" i="15" s="1"/>
  <c r="L7" i="15"/>
  <c r="J7" i="15" s="1"/>
  <c r="S7" i="15" s="1"/>
  <c r="L20" i="15"/>
  <c r="J20" i="15" s="1"/>
  <c r="S20" i="15" s="1"/>
  <c r="T20" i="15" s="1"/>
  <c r="Y18" i="15" l="1"/>
  <c r="S9" i="15"/>
  <c r="T9" i="15" s="1"/>
  <c r="Y9" i="15" s="1"/>
  <c r="Y19" i="15"/>
  <c r="Y17" i="15"/>
  <c r="Y20" i="15"/>
  <c r="Y15" i="15"/>
  <c r="Y16" i="15"/>
  <c r="Y22" i="15"/>
  <c r="Y21" i="15"/>
  <c r="T11" i="15"/>
  <c r="Y11" i="15" s="1"/>
  <c r="T12" i="15"/>
  <c r="Y12" i="15" s="1"/>
  <c r="T14" i="15"/>
  <c r="Y14" i="15" s="1"/>
  <c r="T13" i="15"/>
  <c r="Y13" i="15" s="1"/>
  <c r="T10" i="15"/>
  <c r="Y10" i="15" s="1"/>
  <c r="T5" i="15"/>
  <c r="Y5" i="15" s="1"/>
  <c r="T7" i="15"/>
  <c r="T4" i="15"/>
  <c r="Y4" i="15" s="1"/>
  <c r="T3" i="15"/>
  <c r="Y3" i="15" s="1"/>
  <c r="T8" i="15"/>
  <c r="Y8" i="15" s="1"/>
  <c r="T6" i="15"/>
  <c r="Y6" i="15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<sst xmlns="http://schemas.openxmlformats.org/spreadsheetml/2006/main" count="10673" uniqueCount="8045">
  <si>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</si>
  <si>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</si>
  <si>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</si>
  <si>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</si>
  <si>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</si>
  <si>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</si>
  <si>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</si>
  <si>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</si>
  <si>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</si>
  <si>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</si>
  <si>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</si>
  <si>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</si>
  <si>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</si>
  <si>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</si>
  <si>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</si>
  <si>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</si>
  <si>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</si>
  <si>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</si>
  <si>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</si>
  <si>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</si>
  <si>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</si>
  <si>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</si>
  <si>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</si>
  <si>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</si>
  <si>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</si>
  <si>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</si>
  <si>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</si>
  <si>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</si>
  <si>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</si>
  <si>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</si>
  <si>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</si>
  <si>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</si>
  <si>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</si>
  <si>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</si>
  <si>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</si>
  <si>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</si>
  <si>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</si>
  <si>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</si>
  <si>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</si>
  <si>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</si>
  <si>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</si>
  <si>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</si>
  <si>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</si>
  <si>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</si>
  <si>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</si>
  <si>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</si>
  <si>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</si>
  <si>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</si>
  <si>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</si>
  <si>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</si>
  <si>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</si>
  <si>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</si>
  <si>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</si>
  <si>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</si>
  <si>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</si>
  <si>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</si>
  <si>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</si>
  <si>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</si>
  <si>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</si>
  <si>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</si>
  <si>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</si>
  <si>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</si>
  <si>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</si>
  <si>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</si>
  <si>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</si>
  <si>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</si>
  <si>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</si>
  <si>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</si>
  <si>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</si>
  <si>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</si>
  <si>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</si>
  <si>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</si>
  <si>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</si>
  <si>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</si>
  <si>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</si>
  <si>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</si>
  <si>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</si>
  <si>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</si>
  <si>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</si>
  <si>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</si>
  <si>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</si>
  <si>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</si>
  <si>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</si>
  <si>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</si>
  <si>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</si>
  <si>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</si>
  <si>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</si>
  <si>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</si>
  <si>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</si>
  <si>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</si>
  <si>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</si>
  <si>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</si>
  <si>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</si>
  <si>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</si>
  <si>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</si>
  <si>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</si>
  <si>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</si>
  <si>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</si>
  <si>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</si>
  <si>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</si>
  <si>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</si>
  <si>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</si>
  <si>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</si>
  <si>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</si>
  <si>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</si>
  <si>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</si>
  <si>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</si>
  <si>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</si>
  <si>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</si>
  <si>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</si>
  <si>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</si>
  <si>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</si>
  <si>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</si>
  <si>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</si>
  <si>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</si>
  <si>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</si>
  <si>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</si>
  <si>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</si>
  <si>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</si>
  <si>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</si>
  <si>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</si>
  <si>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</si>
  <si>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</si>
  <si>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</si>
  <si>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</si>
  <si>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</si>
  <si>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</si>
  <si>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</si>
  <si>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</si>
  <si>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</si>
  <si>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</si>
  <si>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</si>
  <si>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</si>
  <si>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</si>
  <si>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</si>
  <si>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</si>
  <si>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</si>
  <si>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</si>
  <si>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</si>
  <si>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</si>
  <si>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</si>
  <si>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</si>
  <si>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</si>
  <si>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</si>
  <si>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</si>
  <si>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</si>
  <si>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</si>
  <si>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</si>
  <si>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</si>
  <si>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</si>
  <si>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</si>
  <si>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</si>
  <si>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</si>
  <si>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</si>
  <si>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</si>
  <si>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</si>
  <si>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</si>
  <si>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</si>
  <si>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</si>
  <si>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</si>
  <si>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</si>
  <si>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</si>
  <si>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</si>
  <si>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</si>
  <si>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</si>
  <si>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</si>
  <si>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</si>
  <si>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</si>
  <si>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</si>
  <si>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</si>
  <si>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</si>
  <si>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</si>
  <si>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</si>
  <si>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</si>
  <si>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</si>
  <si>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</si>
  <si>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</si>
  <si>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</si>
  <si>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</si>
  <si>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</si>
  <si>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</si>
  <si>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</si>
  <si>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</si>
  <si>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</si>
  <si>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</si>
  <si>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</si>
  <si>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</si>
  <si>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</si>
  <si>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</si>
  <si>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</si>
  <si>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</si>
  <si>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</si>
  <si>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</si>
  <si>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</si>
  <si>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</si>
  <si>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</si>
  <si>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</si>
  <si>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</si>
  <si>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</si>
  <si>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</si>
  <si>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</si>
  <si>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</si>
  <si>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</si>
  <si>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</si>
  <si>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</si>
  <si>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</si>
  <si>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</si>
  <si>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</si>
  <si>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</si>
  <si>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</si>
  <si>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</si>
  <si>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</si>
  <si>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</si>
  <si>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</si>
  <si>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</si>
  <si>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</si>
  <si>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</si>
  <si>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</si>
  <si>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</si>
  <si>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</si>
  <si>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</si>
  <si>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</si>
  <si>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</si>
  <si>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</si>
  <si>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</si>
  <si>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</si>
  <si>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</si>
  <si>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</si>
  <si>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</si>
  <si>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</si>
  <si>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</si>
  <si>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</si>
  <si>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</si>
  <si>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</si>
  <si>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</si>
  <si>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</si>
  <si>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</si>
  <si>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</si>
  <si>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</si>
  <si>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</si>
  <si>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</si>
  <si>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</si>
  <si>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</si>
  <si>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</si>
  <si>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</si>
  <si>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</si>
  <si>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</si>
  <si>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</si>
  <si>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</si>
  <si>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</si>
  <si>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</si>
  <si>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</si>
  <si>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</si>
  <si>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</si>
  <si>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</si>
  <si>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</si>
  <si>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</si>
  <si>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</si>
  <si>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</si>
  <si>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</si>
  <si>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</si>
  <si>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</si>
  <si>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</si>
  <si>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</si>
  <si>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</si>
  <si>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</si>
  <si>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</si>
  <si>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</si>
  <si>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</si>
  <si>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</si>
  <si>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</si>
  <si>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</si>
  <si>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</si>
  <si>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</si>
  <si>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</si>
  <si>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</si>
  <si>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</si>
  <si>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</si>
  <si>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</si>
  <si>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</si>
  <si>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</si>
  <si>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</si>
  <si>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</si>
  <si>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</si>
  <si>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</si>
  <si>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</si>
  <si>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</si>
  <si>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</si>
  <si>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</si>
  <si>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</si>
  <si>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</si>
  <si>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</si>
  <si>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</si>
  <si>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</si>
  <si>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</si>
  <si>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</si>
  <si>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</si>
  <si>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</si>
  <si>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</si>
  <si>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</si>
  <si>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</si>
  <si>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</si>
  <si>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</si>
  <si>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</si>
  <si>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</si>
  <si>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</si>
  <si>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</si>
  <si>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</si>
  <si>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</si>
  <si>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</si>
  <si>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</si>
  <si>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</si>
  <si>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</si>
  <si>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</si>
  <si>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</si>
  <si>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</si>
  <si>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</si>
  <si>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</si>
  <si>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</si>
  <si>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</si>
  <si>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</si>
  <si>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</si>
  <si>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</si>
  <si>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</si>
  <si>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</si>
  <si>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</si>
  <si>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</si>
  <si>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</si>
  <si>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</si>
  <si>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</si>
  <si>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</si>
  <si>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</si>
  <si>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</si>
  <si>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</si>
  <si>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</si>
  <si>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</si>
  <si>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</si>
  <si>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</si>
  <si>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</si>
  <si>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</si>
  <si>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</si>
  <si>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</si>
  <si>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</si>
  <si>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</si>
  <si>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</si>
  <si>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</si>
  <si>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</si>
  <si>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</si>
  <si>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</si>
  <si>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</si>
  <si>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</si>
  <si>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</si>
  <si>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</si>
  <si>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</si>
  <si>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</si>
  <si>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</si>
  <si>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</si>
  <si>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</si>
  <si>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</si>
  <si>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</si>
  <si>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</si>
  <si>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</si>
  <si>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</si>
  <si>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</si>
  <si>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</si>
  <si>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</si>
  <si>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</si>
  <si>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</si>
  <si>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</si>
  <si>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</si>
  <si>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</si>
  <si>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</si>
  <si>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</si>
  <si>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</si>
  <si>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</si>
  <si>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</si>
  <si>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</si>
  <si>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</si>
  <si>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</si>
  <si>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</si>
  <si>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</si>
  <si>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</si>
  <si>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</si>
  <si>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</si>
  <si>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</si>
  <si>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</si>
  <si>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</si>
  <si>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</si>
  <si>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</si>
  <si>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</si>
  <si>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</si>
  <si>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</si>
  <si>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</si>
  <si>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</si>
  <si>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</si>
  <si>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</si>
  <si>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</si>
  <si>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</si>
  <si>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</si>
  <si>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</si>
  <si>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</si>
  <si>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</si>
  <si>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</si>
  <si>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</si>
  <si>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</si>
  <si>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</si>
  <si>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</si>
  <si>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</si>
  <si>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</si>
  <si>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</si>
  <si>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</si>
  <si>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</si>
  <si>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</si>
  <si>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</si>
  <si>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</si>
  <si>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</si>
  <si>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</si>
  <si>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</si>
  <si>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</si>
  <si>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</si>
  <si>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</si>
  <si>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</si>
  <si>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</si>
  <si>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</si>
  <si>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</si>
  <si>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</si>
  <si>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</si>
  <si>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</si>
  <si>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</si>
  <si>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</si>
  <si>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</si>
  <si>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</si>
  <si>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</si>
  <si>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</si>
  <si>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</si>
  <si>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</si>
  <si>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</si>
  <si>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</si>
  <si>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</si>
  <si>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</si>
  <si>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</si>
  <si>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</si>
  <si>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</si>
  <si>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</si>
  <si>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</si>
  <si>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</si>
  <si>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</si>
  <si>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</si>
  <si>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</si>
  <si>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</si>
  <si>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</si>
  <si>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</si>
  <si>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</si>
  <si>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</si>
  <si>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</si>
  <si>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</si>
  <si>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</si>
  <si>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</si>
  <si>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</si>
  <si>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</si>
  <si>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</si>
  <si>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</si>
  <si>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</si>
  <si>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</si>
  <si>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</si>
  <si>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</si>
  <si>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</si>
  <si>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</si>
  <si>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</si>
  <si>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</si>
  <si>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</si>
  <si>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</si>
  <si>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</si>
  <si>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</si>
  <si>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</si>
  <si>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</si>
  <si>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</si>
  <si>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</si>
  <si>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</si>
  <si>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</si>
  <si>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</si>
  <si>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</si>
  <si>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</si>
  <si>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</si>
  <si>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</si>
  <si>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</si>
  <si>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</si>
  <si>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</si>
  <si>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</si>
  <si>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</si>
  <si>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</si>
  <si>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</si>
  <si>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</si>
  <si>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</si>
  <si>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</si>
  <si>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</si>
  <si>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</si>
  <si>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</si>
  <si>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</si>
  <si>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</si>
  <si>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</si>
  <si>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</si>
  <si>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</si>
  <si>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</si>
  <si>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</si>
  <si>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</si>
  <si>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</si>
  <si>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</si>
  <si>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</si>
  <si>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</si>
  <si>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</si>
  <si>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</si>
  <si>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</si>
  <si>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</si>
  <si>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</si>
  <si>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</si>
  <si>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</si>
  <si>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</si>
  <si>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</si>
  <si>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</si>
  <si>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</si>
  <si>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</si>
  <si>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</si>
  <si>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</si>
  <si>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</si>
  <si>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</si>
  <si>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</si>
  <si>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</si>
  <si>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</si>
  <si>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</si>
  <si>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</si>
  <si>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</si>
  <si>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</si>
  <si>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</si>
  <si>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</si>
  <si>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</si>
  <si>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</si>
  <si>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</si>
  <si>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</si>
  <si>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</si>
  <si>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</si>
  <si>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</si>
  <si>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</si>
  <si>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</si>
  <si>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</si>
  <si>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</si>
  <si>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</si>
  <si>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</si>
  <si>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</si>
  <si>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</si>
  <si>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</si>
  <si>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</si>
  <si>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</si>
  <si>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</si>
  <si>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</si>
  <si>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</si>
  <si>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</si>
  <si>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</si>
  <si>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</si>
  <si>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</si>
  <si>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</si>
  <si>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</si>
  <si>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</si>
  <si>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</si>
  <si>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</si>
  <si>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</si>
  <si>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</si>
  <si>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</si>
  <si>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</si>
  <si>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</si>
  <si>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</si>
  <si>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</si>
  <si>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</si>
  <si>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</si>
  <si>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</si>
  <si>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</si>
  <si>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</si>
  <si>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</si>
  <si>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</si>
  <si>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</si>
  <si>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</si>
  <si>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</si>
  <si>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</si>
  <si>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</si>
  <si>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</si>
  <si>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</si>
  <si>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</si>
  <si>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</si>
  <si>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</si>
  <si>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</si>
  <si>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</si>
  <si>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</si>
  <si>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</si>
  <si>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</si>
  <si>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</si>
  <si>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</si>
  <si>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</si>
  <si>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</si>
  <si>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</si>
  <si>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</si>
  <si>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</si>
  <si>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</si>
  <si>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</si>
  <si>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</si>
  <si>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</si>
  <si>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</si>
  <si>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</si>
  <si>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</si>
  <si>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</si>
  <si>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</si>
  <si>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</si>
  <si>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</si>
  <si>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</si>
  <si>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</si>
  <si>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</si>
  <si>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</si>
  <si>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</si>
  <si>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</si>
  <si>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</si>
  <si>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</si>
  <si>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</si>
  <si>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</si>
  <si>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</si>
  <si>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</si>
  <si>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</si>
  <si>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</si>
  <si>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</si>
  <si>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</si>
  <si>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</si>
  <si>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</si>
  <si>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</si>
  <si>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</si>
  <si>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</si>
  <si>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</si>
  <si>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</si>
  <si>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</si>
  <si>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</si>
  <si>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</si>
  <si>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</si>
  <si>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</si>
  <si>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</si>
  <si>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</si>
  <si>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</si>
  <si>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</si>
  <si>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</si>
  <si>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</si>
  <si>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</si>
  <si>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</si>
  <si>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</si>
  <si>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</si>
  <si>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</si>
  <si>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</si>
  <si>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</si>
  <si>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</si>
  <si>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</si>
  <si>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</si>
  <si>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</si>
  <si>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</si>
  <si>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</si>
  <si>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</si>
  <si>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</si>
  <si>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</si>
  <si>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</si>
  <si>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</si>
  <si>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</si>
  <si>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</si>
  <si>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</si>
  <si>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</si>
  <si>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</si>
  <si>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</si>
  <si>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</si>
  <si>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</si>
  <si>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</si>
  <si>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</si>
  <si>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</si>
  <si>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</si>
  <si>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</si>
  <si>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</si>
  <si>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</si>
  <si>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</si>
  <si>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</si>
  <si>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</si>
  <si>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</si>
  <si>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</si>
  <si>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</si>
  <si>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</si>
  <si>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</si>
  <si>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</si>
  <si>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</si>
  <si>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</si>
  <si>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</si>
  <si>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</si>
  <si>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</si>
  <si>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</si>
  <si>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</si>
  <si>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</si>
  <si>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</si>
  <si>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</si>
  <si>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</si>
  <si>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</si>
  <si>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</si>
  <si>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</si>
  <si>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</si>
  <si>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</si>
  <si>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</si>
  <si>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</si>
  <si>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</si>
  <si>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</si>
  <si>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</si>
  <si>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</si>
  <si>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</si>
  <si>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</si>
  <si>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</si>
  <si>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</si>
  <si>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</si>
  <si>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</si>
  <si>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</si>
  <si>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</si>
  <si>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</si>
  <si>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</si>
  <si>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</si>
  <si>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</si>
  <si>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</si>
  <si>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</si>
  <si>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</si>
  <si>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</si>
  <si>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</si>
  <si>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</si>
  <si>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</si>
  <si>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</si>
  <si>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</si>
  <si>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</si>
  <si>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</si>
  <si>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</si>
  <si>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</si>
  <si>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</si>
  <si>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</si>
  <si>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</si>
  <si>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</si>
  <si>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</si>
  <si>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</si>
  <si>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</si>
  <si>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</si>
  <si>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</si>
  <si>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</si>
  <si>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</si>
  <si>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</si>
  <si>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</si>
  <si>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</si>
  <si>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</si>
  <si>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</si>
  <si>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</si>
  <si>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</si>
  <si>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</si>
  <si>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</si>
  <si>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</si>
  <si>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</si>
  <si>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</si>
  <si>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</si>
  <si>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</si>
  <si>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</si>
  <si>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</si>
  <si>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</si>
  <si>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</si>
  <si>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</si>
  <si>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</si>
  <si>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</si>
  <si>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</si>
  <si>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</si>
  <si>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</si>
  <si>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</si>
  <si>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</si>
  <si>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</si>
  <si>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</si>
  <si>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</si>
  <si>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</si>
  <si>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</si>
  <si>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</si>
  <si>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</si>
  <si>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</si>
  <si>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</si>
  <si>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</si>
  <si>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</si>
  <si>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</si>
  <si>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</si>
  <si>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</si>
  <si>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</si>
  <si>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</si>
  <si>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</si>
  <si>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</si>
  <si>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</si>
  <si>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</si>
  <si>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</si>
  <si>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</si>
  <si>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</si>
  <si>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</si>
  <si>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</si>
  <si>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</si>
  <si>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</si>
  <si>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</si>
  <si>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</si>
  <si>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</si>
  <si>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</si>
  <si>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</si>
  <si>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</si>
  <si>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</si>
  <si>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</si>
  <si>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</si>
  <si>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</si>
  <si>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</si>
  <si>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</si>
  <si>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</si>
  <si>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</si>
  <si>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</si>
  <si>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</si>
  <si>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</si>
  <si>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</si>
  <si>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</si>
  <si>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</si>
  <si>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</si>
  <si>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</si>
  <si>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</si>
  <si>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</si>
  <si>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</si>
  <si>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</si>
  <si>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</si>
  <si>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</si>
  <si>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</si>
  <si>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</si>
  <si>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</si>
  <si>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</si>
  <si>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</si>
  <si>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</si>
  <si>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</si>
  <si>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</si>
  <si>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</si>
  <si>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</si>
  <si>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</si>
  <si>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</si>
  <si>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</si>
  <si>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</si>
  <si>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</si>
  <si>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</si>
  <si>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</si>
  <si>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</si>
  <si>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</si>
  <si>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</si>
  <si>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</si>
  <si>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</si>
  <si>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</si>
  <si>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</si>
  <si>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</si>
  <si>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</si>
  <si>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</si>
  <si>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</si>
  <si>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</si>
  <si>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</si>
  <si>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</si>
  <si>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</si>
  <si>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</si>
  <si>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</si>
  <si>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</si>
  <si>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</si>
  <si>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</si>
  <si>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</si>
  <si>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</si>
  <si>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</si>
  <si>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</si>
  <si>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</si>
  <si>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</si>
  <si>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</si>
  <si>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</si>
  <si>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</si>
  <si>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</si>
  <si>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</si>
  <si>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</si>
  <si>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</si>
  <si>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</si>
  <si>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</si>
  <si>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</si>
  <si>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</si>
  <si>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</si>
  <si>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</si>
  <si>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</si>
  <si>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</si>
  <si>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</si>
  <si>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</si>
  <si>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</si>
  <si>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</si>
  <si>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</si>
  <si>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</si>
  <si>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</si>
  <si>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</si>
  <si>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</si>
  <si>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</si>
  <si>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</si>
  <si>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</si>
  <si>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</si>
  <si>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</si>
  <si>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</si>
  <si>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</si>
  <si>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</si>
  <si>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</si>
  <si>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</si>
  <si>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</si>
  <si>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</si>
  <si>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</si>
  <si>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</si>
  <si>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</si>
  <si>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</si>
  <si>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</si>
  <si>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</si>
  <si>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</si>
  <si>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</si>
  <si>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</si>
  <si>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</si>
  <si>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</si>
  <si>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</si>
  <si>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</si>
  <si>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</si>
  <si>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</si>
  <si>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</si>
  <si>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</si>
  <si>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</si>
  <si>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</si>
  <si>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</si>
  <si>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</si>
  <si>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</si>
  <si>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</si>
  <si>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</si>
  <si>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</si>
  <si>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</si>
  <si>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</si>
  <si>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</si>
  <si>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</si>
  <si>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</si>
  <si>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</si>
  <si>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</si>
  <si>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</si>
  <si>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</si>
  <si>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</si>
  <si>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</si>
  <si>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</si>
  <si>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</si>
  <si>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</si>
  <si>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</si>
  <si>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</si>
  <si>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</si>
  <si>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</si>
  <si>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</si>
  <si>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</si>
  <si>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</si>
  <si>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</si>
  <si>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</si>
  <si>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</si>
  <si>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</si>
  <si>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</si>
  <si>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</si>
  <si>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</si>
  <si>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</si>
  <si>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</si>
  <si>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</si>
  <si>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</si>
  <si>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</si>
  <si>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</si>
  <si>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</si>
  <si>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</si>
  <si>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</si>
  <si>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</si>
  <si>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</si>
  <si>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</si>
  <si>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</si>
  <si>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</si>
  <si>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</si>
  <si>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</si>
  <si>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</si>
  <si>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</si>
  <si>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</si>
  <si>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</si>
  <si>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</si>
  <si>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</si>
  <si>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</si>
  <si>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</si>
  <si>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</si>
  <si>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</si>
  <si>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</si>
  <si>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</si>
  <si>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</si>
  <si>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</si>
  <si>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</si>
  <si>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</si>
  <si>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</si>
  <si>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</si>
  <si>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</si>
  <si>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</si>
  <si>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</si>
  <si>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</si>
  <si>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</si>
  <si>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</si>
  <si>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</si>
  <si>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</si>
  <si>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</si>
  <si>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</si>
  <si>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</si>
  <si>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</si>
  <si>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</si>
  <si>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</si>
  <si>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</si>
  <si>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</si>
  <si>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</si>
  <si>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</si>
  <si>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</si>
  <si>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</si>
  <si>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</si>
  <si>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</si>
  <si>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</si>
  <si>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</si>
  <si>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</si>
  <si>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</si>
  <si>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</si>
  <si>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</si>
  <si>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</si>
  <si>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</si>
  <si>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</si>
  <si>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</si>
  <si>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</si>
  <si>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</si>
  <si>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</si>
  <si>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</si>
  <si>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</si>
  <si>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</si>
  <si>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</si>
  <si>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</si>
  <si>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</si>
  <si>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</si>
  <si>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</si>
  <si>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</si>
  <si>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</si>
  <si>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</si>
  <si>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</si>
  <si>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</si>
  <si>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</si>
  <si>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</si>
  <si>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</si>
  <si>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</si>
  <si>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</si>
  <si>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</si>
  <si>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</si>
  <si>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</si>
  <si>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</si>
  <si>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</si>
  <si>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</si>
  <si>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</si>
  <si>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</si>
  <si>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</si>
  <si>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</si>
  <si>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</si>
  <si>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</si>
  <si>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</si>
  <si>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</si>
  <si>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</si>
  <si>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</si>
  <si>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</si>
  <si>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</si>
  <si>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</si>
  <si>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</si>
  <si>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</si>
  <si>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</si>
  <si>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</si>
  <si>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</si>
  <si>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</si>
  <si>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</si>
  <si>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</si>
  <si>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</si>
  <si>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</si>
  <si>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</si>
  <si>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</si>
  <si>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</si>
  <si>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</si>
  <si>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</si>
  <si>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</si>
  <si>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</si>
  <si>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</si>
  <si>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</si>
  <si>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</si>
  <si>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</si>
  <si>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</si>
  <si>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</si>
  <si>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</si>
  <si>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</si>
  <si>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</si>
  <si>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</si>
  <si>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</si>
  <si>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</si>
  <si>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</si>
  <si>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</si>
  <si>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</si>
  <si>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</si>
  <si>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</si>
  <si>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</si>
  <si>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</si>
  <si>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</si>
  <si>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</si>
  <si>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</si>
  <si>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</si>
  <si>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</si>
  <si>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</si>
  <si>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</si>
  <si>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</si>
  <si>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</si>
  <si>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</si>
  <si>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</si>
  <si>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</si>
  <si>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</si>
  <si>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</si>
  <si>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</si>
  <si>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</si>
  <si>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</si>
  <si>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</si>
  <si>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</si>
  <si>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</si>
  <si>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</si>
  <si>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</si>
  <si>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</si>
  <si>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</si>
  <si>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</si>
  <si>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</si>
  <si>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</si>
  <si>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</si>
  <si>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</si>
  <si>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</si>
  <si>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</si>
  <si>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</si>
  <si>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</si>
  <si>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</si>
  <si>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</si>
  <si>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</si>
  <si>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</si>
  <si>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</si>
  <si>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</si>
  <si>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</si>
  <si>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</si>
  <si>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</si>
  <si>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</si>
  <si>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</si>
  <si>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</si>
  <si>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</si>
  <si>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</si>
  <si>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</si>
  <si>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</si>
  <si>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</si>
  <si>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</si>
  <si>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</si>
  <si>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</si>
  <si>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</si>
  <si>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</si>
  <si>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</si>
  <si>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</si>
  <si>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</si>
  <si>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</si>
  <si>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</si>
  <si>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</si>
  <si>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</si>
  <si>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</si>
  <si>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</si>
  <si>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</si>
  <si>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</si>
  <si>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</si>
  <si>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</si>
  <si>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</si>
  <si>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</si>
  <si>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</si>
  <si>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</si>
  <si>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</si>
  <si>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</si>
  <si>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</si>
  <si>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</si>
  <si>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</si>
  <si>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</si>
  <si>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</si>
  <si>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</si>
  <si>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</si>
  <si>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</si>
  <si>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</si>
  <si>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</si>
  <si>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</si>
  <si>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</si>
  <si>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</si>
  <si>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</si>
  <si>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</si>
  <si>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</si>
  <si>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</si>
  <si>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</si>
  <si>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</si>
  <si>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</si>
  <si>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</si>
  <si>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</si>
  <si>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</si>
  <si>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</si>
  <si>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</si>
  <si>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</si>
  <si>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</si>
  <si>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</si>
  <si>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</si>
  <si>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</si>
  <si>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</si>
  <si>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</si>
  <si>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</si>
  <si>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</si>
  <si>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</si>
  <si>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</si>
  <si>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</si>
  <si>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</si>
  <si>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</si>
  <si>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</si>
  <si>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</si>
  <si>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</si>
  <si>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</si>
  <si>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</si>
  <si>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</si>
  <si>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</si>
  <si>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</si>
  <si>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</si>
  <si>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</si>
  <si>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</si>
  <si>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</si>
  <si>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</si>
  <si>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</si>
  <si>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</si>
  <si>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</si>
  <si>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</si>
  <si>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</si>
  <si>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</si>
  <si>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</si>
  <si>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</si>
  <si>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</si>
  <si>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</si>
  <si>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</si>
  <si>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</si>
  <si>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</si>
  <si>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</si>
  <si>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</si>
  <si>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</si>
  <si>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</si>
  <si>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</si>
  <si>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</si>
  <si>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</si>
  <si>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</si>
  <si>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</si>
  <si>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</si>
  <si>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</si>
  <si>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</si>
  <si>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</si>
  <si>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</si>
  <si>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</si>
  <si>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</si>
  <si>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</si>
  <si>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</si>
  <si>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</si>
  <si>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</si>
  <si>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</si>
  <si>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</si>
  <si>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</si>
  <si>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</si>
  <si>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</si>
  <si>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</si>
  <si>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</si>
  <si>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</si>
  <si>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</si>
  <si>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</si>
  <si>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</si>
  <si>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</si>
  <si>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</si>
  <si>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</si>
  <si>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</si>
  <si>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</si>
  <si>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</si>
  <si>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</si>
  <si>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</si>
  <si>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</si>
  <si>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</si>
  <si>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</si>
  <si>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</si>
  <si>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</si>
  <si>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</si>
  <si>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</si>
  <si>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</si>
  <si>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</si>
  <si>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</si>
  <si>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</si>
  <si>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</si>
  <si>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</si>
  <si>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</si>
  <si>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</si>
  <si>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</si>
  <si>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</si>
  <si>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</si>
  <si>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</si>
  <si>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</si>
  <si>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</si>
  <si>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</si>
  <si>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</si>
  <si>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</si>
  <si>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</si>
  <si>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</si>
  <si>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</si>
  <si>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</si>
  <si>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</si>
  <si>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</si>
  <si>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</si>
  <si>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</si>
  <si>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</si>
  <si>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</si>
  <si>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</si>
  <si>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</si>
  <si>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</si>
  <si>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</si>
  <si>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</si>
  <si>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</si>
  <si>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</si>
  <si>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</si>
  <si>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</si>
  <si>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</si>
  <si>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</si>
  <si>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</si>
  <si>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</si>
  <si>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</si>
  <si>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</si>
  <si>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</si>
  <si>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</si>
  <si>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</si>
  <si>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</si>
  <si>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</si>
  <si>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</si>
  <si>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</si>
  <si>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</si>
  <si>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</si>
  <si>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</si>
  <si>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</si>
  <si>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</si>
  <si>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</si>
  <si>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</si>
  <si>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</si>
  <si>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</si>
  <si>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</si>
  <si>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</si>
  <si>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</si>
  <si>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</si>
  <si>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</si>
  <si>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</si>
  <si>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</si>
  <si>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</si>
  <si>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</si>
  <si>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</si>
  <si>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</si>
  <si>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</si>
  <si>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</si>
  <si>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</si>
  <si>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</si>
  <si>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</si>
  <si>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</si>
  <si>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</si>
  <si>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</si>
  <si>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</si>
  <si>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</si>
  <si>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</si>
  <si>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</si>
  <si>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</si>
  <si>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</si>
  <si>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</si>
  <si>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</si>
  <si>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</si>
  <si>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</si>
  <si>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</si>
  <si>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</si>
  <si>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</si>
  <si>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</si>
  <si>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</si>
  <si>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</si>
  <si>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</si>
  <si>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</si>
  <si>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</si>
  <si>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</si>
  <si>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</si>
  <si>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</si>
  <si>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</si>
  <si>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</si>
  <si>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</si>
  <si>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</si>
  <si>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</si>
  <si>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</si>
  <si>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</si>
  <si>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</si>
  <si>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</si>
  <si>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</si>
  <si>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</si>
  <si>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</si>
  <si>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</si>
  <si>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</si>
  <si>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</si>
  <si>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</si>
  <si>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</si>
  <si>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</si>
  <si>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</si>
  <si>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</si>
  <si>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</si>
  <si>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</si>
  <si>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</si>
  <si>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</si>
  <si>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</si>
  <si>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</si>
  <si>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</si>
  <si>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</si>
  <si>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</si>
  <si>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</si>
  <si>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</si>
  <si>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</si>
  <si>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</si>
  <si>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</si>
  <si>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</si>
  <si>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</si>
  <si>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</si>
  <si>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</si>
  <si>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</si>
  <si>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</si>
  <si>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</si>
  <si>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</si>
  <si>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</si>
  <si>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</si>
  <si>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</si>
  <si>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</si>
  <si>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</si>
  <si>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</si>
  <si>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</si>
  <si>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</si>
  <si>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</si>
  <si>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</si>
  <si>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</si>
  <si>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</si>
  <si>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</si>
  <si>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</si>
  <si>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</si>
  <si>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</si>
  <si>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</si>
  <si>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</si>
  <si>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</si>
  <si>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</si>
  <si>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</si>
  <si>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</si>
  <si>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</si>
  <si>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</si>
  <si>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</si>
  <si>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</si>
  <si>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</si>
  <si>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</si>
  <si>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</si>
  <si>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</si>
  <si>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</si>
  <si>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</si>
  <si>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</si>
  <si>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</si>
  <si>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</si>
  <si>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</si>
  <si>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</si>
  <si>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</si>
  <si>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</si>
  <si>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</si>
  <si>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</si>
  <si>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</si>
  <si>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</si>
  <si>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</si>
  <si>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</si>
  <si>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</si>
  <si>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</si>
  <si>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</si>
  <si>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</si>
  <si>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</si>
  <si>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</si>
  <si>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</si>
  <si>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</si>
  <si>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</si>
  <si>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</si>
  <si>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</si>
  <si>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</si>
  <si>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</si>
  <si>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</si>
  <si>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</si>
  <si>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</si>
  <si>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</si>
  <si>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</si>
  <si>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</si>
  <si>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</si>
  <si>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</si>
  <si>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</si>
  <si>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</si>
  <si>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</si>
  <si>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</si>
  <si>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</si>
  <si>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</si>
  <si>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</si>
  <si>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</si>
  <si>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</si>
  <si>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</si>
  <si>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</si>
  <si>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</si>
  <si>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</si>
  <si>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</si>
  <si>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</si>
  <si>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</si>
  <si>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</si>
  <si>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</si>
  <si>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</si>
  <si>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</si>
  <si>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</si>
  <si>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</si>
  <si>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</si>
  <si>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</si>
  <si>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</si>
  <si>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</si>
  <si>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</si>
  <si>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</si>
  <si>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</si>
  <si>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</si>
  <si>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</si>
  <si>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</si>
  <si>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</si>
  <si>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</si>
  <si>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</si>
  <si>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</si>
  <si>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</si>
  <si>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</si>
  <si>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</si>
  <si>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</si>
  <si>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</si>
  <si>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</si>
  <si>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</si>
  <si>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</si>
  <si>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</si>
  <si>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</si>
  <si>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</si>
  <si>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</si>
  <si>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</si>
  <si>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</si>
  <si>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</si>
  <si>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</si>
  <si>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</si>
  <si>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</si>
  <si>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</si>
  <si>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</si>
  <si>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</si>
  <si>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</si>
  <si>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</si>
  <si>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</si>
  <si>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</si>
  <si>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</si>
  <si>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</si>
  <si>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</si>
  <si>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</si>
  <si>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</si>
  <si>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</si>
  <si>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</si>
  <si>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</si>
  <si>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</si>
  <si>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</si>
  <si>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</si>
  <si>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</si>
  <si>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</si>
  <si>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</si>
  <si>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</si>
  <si>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</si>
  <si>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</si>
  <si>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</si>
  <si>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</si>
  <si>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</si>
  <si>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</si>
  <si>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</si>
  <si>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</si>
  <si>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</si>
  <si>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</si>
  <si>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</si>
  <si>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</si>
  <si>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</si>
  <si>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</si>
  <si>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</si>
  <si>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</si>
  <si>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</si>
  <si>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</si>
  <si>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</si>
  <si>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</si>
  <si>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</si>
  <si>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</si>
  <si>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</si>
  <si>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</si>
  <si>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</si>
  <si>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</si>
  <si>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</si>
  <si>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</si>
  <si>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</si>
  <si>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</si>
  <si>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</si>
  <si>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</si>
  <si>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</si>
  <si>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</si>
  <si>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</si>
  <si>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</si>
  <si>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</si>
  <si>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</si>
  <si>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</si>
  <si>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</si>
  <si>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</si>
  <si>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</si>
  <si>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</si>
  <si>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</si>
  <si>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</si>
  <si>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</si>
  <si>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</si>
  <si>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</si>
  <si>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</si>
  <si>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</si>
  <si>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</si>
  <si>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</si>
  <si>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</si>
  <si>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</si>
  <si>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</si>
  <si>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</si>
  <si>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</si>
  <si>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</si>
  <si>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</si>
  <si>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</si>
  <si>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</si>
  <si>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</si>
  <si>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</si>
  <si>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</si>
  <si>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</si>
  <si>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</si>
  <si>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</si>
  <si>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</si>
  <si>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</si>
  <si>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</si>
  <si>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</si>
  <si>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</si>
  <si>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</si>
  <si>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</si>
  <si>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</si>
  <si>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</si>
  <si>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</si>
  <si>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</si>
  <si>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</si>
  <si>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</si>
  <si>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</si>
  <si>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</si>
  <si>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</si>
  <si>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</si>
  <si>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</si>
  <si>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</si>
  <si>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</si>
  <si>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</si>
  <si>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</si>
  <si>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</si>
  <si>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</si>
  <si>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</si>
  <si>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</si>
  <si>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</si>
  <si>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</si>
  <si>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</si>
  <si>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</si>
  <si>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</si>
  <si>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</si>
  <si>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</si>
  <si>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</si>
  <si>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</si>
  <si>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</si>
  <si>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</si>
  <si>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</si>
  <si>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</si>
  <si>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</si>
  <si>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</si>
  <si>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</si>
  <si>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</si>
  <si>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</si>
  <si>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</si>
  <si>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</si>
  <si>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</si>
  <si>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</si>
  <si>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</si>
  <si>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</si>
  <si>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</si>
  <si>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</si>
  <si>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</si>
  <si>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</si>
  <si>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</si>
  <si>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</si>
  <si>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</si>
  <si>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</si>
  <si>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</si>
  <si>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</si>
  <si>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</si>
  <si>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</si>
  <si>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</si>
  <si>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</si>
  <si>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</si>
  <si>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</si>
  <si>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</si>
  <si>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</si>
  <si>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</si>
  <si>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</si>
  <si>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</si>
  <si>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</si>
  <si>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</si>
  <si>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</si>
  <si>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</si>
  <si>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</si>
  <si>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</si>
  <si>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</si>
  <si>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</si>
  <si>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</si>
  <si>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</si>
  <si>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</si>
  <si>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</si>
  <si>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</si>
  <si>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</si>
  <si>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</si>
  <si>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</si>
  <si>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</si>
  <si>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</si>
  <si>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</si>
  <si>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</si>
  <si>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</si>
  <si>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</si>
  <si>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</si>
  <si>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</si>
  <si>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</si>
  <si>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</si>
  <si>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</si>
  <si>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</si>
  <si>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</si>
  <si>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</si>
  <si>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</si>
  <si>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</si>
  <si>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</si>
  <si>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</si>
  <si>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</si>
  <si>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</si>
  <si>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</si>
  <si>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</si>
  <si>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</si>
  <si>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</si>
  <si>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</si>
  <si>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</si>
  <si>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</si>
  <si>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</si>
  <si>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</si>
  <si>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</si>
  <si>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</si>
  <si>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</si>
  <si>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</si>
  <si>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</si>
  <si>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</si>
  <si>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</si>
  <si>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</si>
  <si>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</si>
  <si>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</si>
  <si>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</si>
  <si>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</si>
  <si>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</si>
  <si>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</si>
  <si>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</si>
  <si>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</si>
  <si>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</si>
  <si>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</si>
  <si>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</si>
  <si>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</si>
  <si>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</si>
  <si>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</si>
  <si>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</si>
  <si>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</si>
  <si>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</si>
  <si>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</si>
  <si>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</si>
  <si>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</si>
  <si>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</si>
  <si>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</si>
  <si>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</si>
  <si>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</si>
  <si>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</si>
  <si>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</si>
  <si>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</si>
  <si>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</si>
  <si>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</si>
  <si>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</si>
  <si>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</si>
  <si>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</si>
  <si>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</si>
  <si>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</si>
  <si>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</si>
  <si>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</si>
  <si>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</si>
  <si>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</si>
  <si>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</si>
  <si>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</si>
  <si>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</si>
  <si>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</si>
  <si>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</si>
  <si>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</si>
  <si>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</si>
  <si>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</si>
  <si>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</si>
  <si>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</si>
  <si>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</si>
  <si>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</si>
  <si>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</si>
  <si>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</si>
  <si>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</si>
  <si>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</si>
  <si>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</si>
  <si>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</si>
  <si>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</si>
  <si>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</si>
  <si>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</si>
  <si>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</si>
  <si>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</si>
  <si>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</si>
  <si>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</si>
  <si>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</si>
  <si>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</si>
  <si>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</si>
  <si>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</si>
  <si>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</si>
  <si>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</si>
  <si>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</si>
  <si>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</si>
  <si>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</si>
  <si>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</si>
  <si>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</si>
  <si>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</si>
  <si>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</si>
  <si>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</si>
  <si>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</si>
  <si>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</si>
  <si>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</si>
  <si>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</si>
  <si>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</si>
  <si>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</si>
  <si>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</si>
  <si>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</si>
  <si>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</si>
  <si>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</si>
  <si>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</si>
  <si>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</si>
  <si>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</si>
  <si>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</si>
  <si>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</si>
  <si>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</si>
  <si>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</si>
  <si>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</si>
  <si>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</si>
  <si>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</si>
  <si>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</si>
  <si>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</si>
  <si>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</si>
  <si>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</si>
  <si>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</si>
  <si>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</si>
  <si>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</si>
  <si>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</si>
  <si>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</si>
  <si>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</si>
  <si>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</si>
  <si>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</si>
  <si>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</si>
  <si>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</si>
  <si>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</si>
  <si>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</si>
  <si>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</si>
  <si>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</si>
  <si>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</si>
  <si>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</si>
  <si>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</si>
  <si>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</si>
  <si>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</si>
  <si>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</si>
  <si>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</si>
  <si>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</si>
  <si>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</si>
  <si>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</si>
  <si>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</si>
  <si>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</si>
  <si>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</si>
  <si>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</si>
  <si>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</si>
  <si>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</si>
  <si>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</si>
  <si>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</si>
  <si>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</si>
  <si>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</si>
  <si>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</si>
  <si>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</si>
  <si>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</si>
  <si>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</si>
  <si>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</si>
  <si>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</si>
  <si>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</si>
  <si>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</si>
  <si>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</si>
  <si>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</si>
  <si>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</si>
  <si>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</si>
  <si>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</si>
  <si>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</si>
  <si>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</si>
  <si>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</si>
  <si>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</si>
  <si>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</si>
  <si>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</si>
  <si>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</si>
  <si>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</si>
  <si>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</si>
  <si>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</si>
  <si>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</si>
  <si>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</si>
  <si>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</si>
  <si>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</si>
  <si>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</si>
  <si>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</si>
  <si>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</si>
  <si>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</si>
  <si>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</si>
  <si>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</si>
  <si>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</si>
  <si>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</si>
  <si>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</si>
  <si>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</si>
  <si>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</si>
  <si>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</si>
  <si>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</si>
  <si>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</si>
  <si>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</si>
  <si>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</si>
  <si>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</si>
  <si>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</si>
  <si>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</si>
  <si>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</si>
  <si>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</si>
  <si>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</si>
  <si>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</si>
  <si>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</si>
  <si>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</si>
  <si>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</si>
  <si>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</si>
  <si>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</si>
  <si>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</si>
  <si>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</si>
  <si>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</si>
  <si>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</si>
  <si>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</si>
  <si>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</si>
  <si>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</si>
  <si>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</si>
  <si>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</si>
  <si>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</si>
  <si>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</si>
  <si>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</si>
  <si>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</si>
  <si>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</si>
  <si>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</si>
  <si>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</si>
  <si>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</si>
  <si>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</si>
  <si>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</si>
  <si>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</si>
  <si>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</si>
  <si>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</si>
  <si>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</si>
  <si>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</si>
  <si>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</si>
  <si>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</si>
  <si>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</si>
  <si>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</si>
  <si>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</si>
  <si>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</si>
  <si>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</si>
  <si>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</si>
  <si>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</si>
  <si>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</si>
  <si>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</si>
  <si>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</si>
  <si>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</si>
  <si>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</si>
  <si>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</si>
  <si>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</si>
  <si>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</si>
  <si>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</si>
  <si>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</si>
  <si>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</si>
  <si>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</si>
  <si>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</si>
  <si>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</si>
  <si>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</si>
  <si>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</si>
  <si>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</si>
  <si>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</si>
  <si>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</si>
  <si>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</si>
  <si>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</si>
  <si>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</si>
  <si>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</si>
  <si>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</si>
  <si>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</si>
  <si>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</si>
  <si>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</si>
  <si>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</si>
  <si>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</si>
  <si>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</si>
  <si>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</si>
  <si>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</si>
  <si>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</si>
  <si>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</si>
  <si>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</si>
  <si>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</si>
  <si>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</si>
  <si>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</si>
  <si>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</si>
  <si>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</si>
  <si>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</si>
  <si>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</si>
  <si>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</si>
  <si>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</si>
  <si>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</si>
  <si>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</si>
  <si>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</si>
  <si>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</si>
  <si>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</si>
  <si>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</si>
  <si>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</si>
  <si>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</si>
  <si>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</si>
  <si>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</si>
  <si>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</si>
  <si>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</si>
  <si>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</si>
  <si>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</si>
  <si>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</si>
  <si>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</si>
  <si>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</si>
  <si>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</si>
  <si>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</si>
  <si>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</si>
  <si>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</si>
  <si>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</si>
  <si>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</si>
  <si>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</si>
  <si>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</si>
  <si>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</si>
  <si>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</si>
  <si>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</si>
  <si>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</si>
  <si>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</si>
  <si>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</si>
  <si>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</si>
  <si>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</si>
  <si>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</si>
  <si>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</si>
  <si>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</si>
  <si>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</si>
  <si>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</si>
  <si>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</si>
  <si>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</si>
  <si>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</si>
  <si>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</si>
  <si>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</si>
  <si>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</si>
  <si>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</si>
  <si>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</si>
  <si>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</si>
  <si>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</si>
  <si>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</si>
  <si>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</si>
  <si>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</si>
  <si>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</si>
  <si>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</si>
  <si>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</si>
  <si>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</si>
  <si>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</si>
  <si>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</si>
  <si>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</si>
  <si>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</si>
  <si>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</si>
  <si>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</si>
  <si>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</si>
  <si>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</si>
  <si>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</si>
  <si>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</si>
  <si>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</si>
  <si>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</si>
  <si>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</si>
  <si>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</si>
  <si>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</si>
  <si>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</si>
  <si>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</si>
  <si>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</si>
  <si>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</si>
  <si>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</si>
  <si>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</si>
  <si>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</si>
  <si>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</si>
  <si>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</si>
  <si>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</si>
  <si>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</si>
  <si>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</si>
  <si>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</si>
  <si>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</si>
  <si>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</si>
  <si>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</si>
  <si>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</si>
  <si>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</si>
  <si>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</si>
  <si>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</si>
  <si>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</si>
  <si>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</si>
  <si>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</si>
  <si>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</si>
  <si>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</si>
  <si>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</si>
  <si>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</si>
  <si>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</si>
  <si>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</si>
  <si>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</si>
  <si>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</si>
  <si>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</si>
  <si>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</si>
  <si>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</si>
  <si>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</si>
  <si>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</si>
  <si>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</si>
  <si>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</si>
  <si>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</si>
  <si>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</si>
  <si>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</si>
  <si>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</si>
  <si>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</si>
  <si>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</si>
  <si>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</si>
  <si>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</si>
  <si>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</si>
  <si>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</si>
  <si>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</si>
  <si>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</si>
  <si>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</si>
  <si>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</si>
  <si>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</si>
  <si>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</si>
  <si>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</si>
  <si>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</si>
  <si>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</si>
  <si>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</si>
  <si>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</si>
  <si>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</si>
  <si>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</si>
  <si>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</si>
  <si>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</si>
  <si>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</si>
  <si>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</si>
  <si>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</si>
  <si>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</si>
  <si>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</si>
  <si>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</si>
  <si>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</si>
  <si>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</si>
  <si>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</si>
  <si>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</si>
  <si>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</si>
  <si>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</si>
  <si>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</si>
  <si>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</si>
  <si>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</si>
  <si>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</si>
  <si>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</si>
  <si>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</si>
  <si>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</si>
  <si>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</si>
  <si>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</si>
  <si>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</si>
  <si>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</si>
  <si>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</si>
  <si>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</si>
  <si>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</si>
  <si>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</si>
  <si>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</si>
  <si>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</si>
  <si>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</si>
  <si>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</si>
  <si>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</si>
  <si>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</si>
  <si>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</si>
  <si>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</si>
  <si>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</si>
  <si>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</si>
  <si>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</si>
  <si>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</si>
  <si>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</si>
  <si>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</si>
  <si>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</si>
  <si>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</si>
  <si>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</si>
  <si>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</si>
  <si>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</si>
  <si>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</si>
  <si>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</si>
  <si>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</si>
  <si>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</si>
  <si>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</si>
  <si>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</si>
  <si>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</si>
  <si>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</si>
  <si>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</si>
  <si>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</si>
  <si>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</si>
  <si>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</si>
  <si>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</si>
  <si>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</si>
  <si>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</si>
  <si>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</si>
  <si>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</si>
  <si>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</si>
  <si>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</si>
  <si>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</si>
  <si>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</si>
  <si>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</si>
  <si>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</si>
  <si>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</si>
  <si>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</si>
  <si>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</si>
  <si>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</si>
  <si>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</si>
  <si>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</si>
  <si>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</si>
  <si>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</si>
  <si>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</si>
  <si>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</si>
  <si>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</si>
  <si>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</si>
  <si>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</si>
  <si>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</si>
  <si>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</si>
  <si>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</si>
  <si>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</si>
  <si>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</si>
  <si>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</si>
  <si>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</si>
  <si>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</si>
  <si>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</si>
  <si>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</si>
  <si>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</si>
  <si>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</si>
  <si>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</si>
  <si>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</si>
  <si>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</si>
  <si>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</si>
  <si>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</si>
  <si>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</si>
  <si>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</si>
  <si>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</si>
  <si>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</si>
  <si>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</si>
  <si>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</si>
  <si>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</si>
  <si>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</si>
  <si>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</si>
  <si>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</si>
  <si>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</si>
  <si>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</si>
  <si>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</si>
  <si>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</si>
  <si>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</si>
  <si>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</si>
  <si>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</si>
  <si>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</si>
  <si>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</si>
  <si>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</si>
  <si>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</si>
  <si>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</si>
  <si>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</si>
  <si>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</si>
  <si>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</si>
  <si>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</si>
  <si>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</si>
  <si>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</si>
  <si>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</si>
  <si>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</si>
  <si>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</si>
  <si>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</si>
  <si>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</si>
  <si>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</si>
  <si>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</si>
  <si>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</si>
  <si>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</si>
  <si>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</si>
  <si>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</si>
  <si>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</si>
  <si>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</si>
  <si>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</si>
  <si>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</si>
  <si>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</si>
  <si>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</si>
  <si>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</si>
  <si>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</si>
  <si>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</si>
  <si>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</si>
  <si>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</si>
  <si>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</si>
  <si>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</si>
  <si>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</si>
  <si>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</si>
  <si>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</si>
  <si>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</si>
  <si>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</si>
  <si>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</si>
  <si>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</si>
  <si>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</si>
  <si>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</si>
  <si>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</si>
  <si>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</si>
  <si>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</si>
  <si>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</si>
  <si>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</si>
  <si>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</si>
  <si>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</si>
  <si>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</si>
  <si>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</si>
  <si>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</si>
  <si>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</si>
  <si>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</si>
  <si>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</si>
  <si>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</si>
  <si>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</si>
  <si>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</si>
  <si>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</si>
  <si>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</si>
  <si>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</si>
  <si>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</si>
  <si>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</si>
  <si>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</si>
  <si>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</si>
  <si>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</si>
  <si>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</si>
  <si>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</si>
  <si>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</si>
  <si>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</si>
  <si>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</si>
  <si>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</si>
  <si>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</si>
  <si>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</si>
  <si>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</si>
  <si>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</si>
  <si>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</si>
  <si>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</si>
  <si>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</si>
  <si>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</si>
  <si>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</si>
  <si>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</si>
  <si>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</si>
  <si>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</si>
  <si>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</si>
  <si>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</si>
  <si>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</si>
  <si>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</si>
  <si>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</si>
  <si>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</si>
  <si>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</si>
  <si>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</si>
  <si>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</si>
  <si>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</si>
  <si>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</si>
  <si>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</si>
  <si>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</si>
  <si>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</si>
  <si>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</si>
  <si>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</si>
  <si>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</si>
  <si>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</si>
  <si>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</si>
  <si>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</si>
  <si>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</si>
  <si>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</si>
  <si>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</si>
  <si>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</si>
  <si>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</si>
  <si>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</si>
  <si>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</si>
  <si>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</si>
  <si>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</si>
  <si>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</si>
  <si>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</si>
  <si>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</si>
  <si>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</si>
  <si>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</si>
  <si>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</si>
  <si>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</si>
  <si>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</si>
  <si>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</si>
  <si>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</si>
  <si>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</si>
  <si>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</si>
  <si>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</si>
  <si>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</si>
  <si>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</si>
  <si>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</si>
  <si>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</si>
  <si>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</si>
  <si>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</si>
  <si>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</si>
  <si>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</si>
  <si>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</si>
  <si>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</si>
  <si>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</si>
  <si>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</si>
  <si>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</si>
  <si>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</si>
  <si>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</si>
  <si>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</si>
  <si>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</si>
  <si>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</si>
  <si>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</si>
  <si>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</si>
  <si>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</si>
  <si>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</si>
  <si>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</si>
  <si>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</si>
  <si>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</si>
  <si>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</si>
  <si>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</si>
  <si>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</si>
  <si>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</si>
  <si>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</si>
  <si>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</si>
  <si>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</si>
  <si>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</si>
  <si>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</si>
  <si>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</si>
  <si>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</si>
  <si>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</si>
  <si>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</si>
  <si>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</si>
  <si>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</si>
  <si>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</si>
  <si>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</si>
  <si>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</si>
  <si>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</si>
  <si>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</si>
  <si>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</si>
  <si>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</si>
  <si>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</si>
  <si>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</si>
  <si>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</si>
  <si>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</si>
  <si>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</si>
  <si>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</si>
  <si>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</si>
  <si>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</si>
  <si>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</si>
  <si>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</si>
  <si>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</si>
  <si>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</si>
  <si>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</si>
  <si>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</si>
  <si>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</si>
  <si>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</si>
  <si>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</si>
  <si>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</si>
  <si>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</si>
  <si>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</si>
  <si>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</si>
  <si>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</si>
  <si>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</si>
  <si>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</si>
  <si>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</si>
  <si>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</si>
  <si>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</si>
  <si>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</si>
  <si>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</si>
  <si>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</si>
  <si>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</si>
  <si>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</si>
  <si>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</si>
  <si>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</si>
  <si>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</si>
  <si>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</si>
  <si>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</si>
  <si>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</si>
  <si>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</si>
  <si>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</si>
  <si>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</si>
  <si>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</si>
  <si>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</si>
  <si>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</si>
  <si>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</si>
  <si>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</si>
  <si>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</si>
  <si>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</si>
  <si>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</si>
  <si>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</si>
  <si>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</si>
  <si>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</si>
  <si>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</si>
  <si>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</si>
  <si>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</si>
  <si>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</si>
  <si>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</si>
  <si>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</si>
  <si>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</si>
  <si>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</si>
  <si>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</si>
  <si>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</si>
  <si>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</si>
  <si>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</si>
  <si>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</si>
  <si>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</si>
  <si>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</si>
  <si>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</si>
  <si>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</si>
  <si>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</si>
  <si>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</si>
  <si>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</si>
  <si>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</si>
  <si>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</si>
  <si>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</si>
  <si>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</si>
  <si>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</si>
  <si>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</si>
  <si>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</si>
  <si>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</si>
  <si>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</si>
  <si>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</si>
  <si>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</si>
  <si>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</si>
  <si>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</si>
  <si>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</si>
  <si>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</si>
  <si>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</si>
  <si>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</si>
  <si>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</si>
  <si>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</si>
  <si>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</si>
  <si>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</si>
  <si>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</si>
  <si>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</si>
  <si>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</si>
  <si>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</si>
  <si>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</si>
  <si>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</si>
  <si>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</si>
  <si>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</si>
  <si>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</si>
  <si>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</si>
  <si>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</si>
  <si>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</si>
  <si>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</si>
  <si>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</si>
  <si>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</si>
  <si>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</si>
  <si>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</si>
  <si>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</si>
  <si>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</si>
  <si>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</si>
  <si>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</si>
  <si>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</si>
  <si>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</si>
  <si>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</si>
  <si>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</si>
  <si>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</si>
  <si>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</si>
  <si>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</si>
  <si>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</si>
  <si>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</si>
  <si>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</si>
  <si>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</si>
  <si>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</si>
  <si>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</si>
  <si>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</si>
  <si>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</si>
  <si>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</si>
  <si>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</si>
  <si>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</si>
  <si>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</si>
  <si>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</si>
  <si>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</si>
  <si>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</si>
  <si>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</si>
  <si>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</si>
  <si>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</si>
  <si>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</si>
  <si>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</si>
  <si>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</si>
  <si>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</si>
  <si>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</si>
  <si>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</si>
  <si>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</si>
  <si>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</si>
  <si>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</si>
  <si>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</si>
  <si>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</si>
  <si>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</si>
  <si>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</si>
  <si>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</si>
  <si>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</si>
  <si>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</si>
  <si>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</si>
  <si>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</si>
  <si>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</si>
  <si>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</si>
  <si>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</si>
  <si>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</si>
  <si>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</si>
  <si>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</si>
  <si>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</si>
  <si>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</si>
  <si>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</si>
  <si>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</si>
  <si>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</si>
  <si>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</si>
  <si>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</si>
  <si>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</si>
  <si>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</si>
  <si>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</si>
  <si>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</si>
  <si>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</si>
  <si>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</si>
  <si>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</si>
  <si>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</si>
  <si>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</si>
  <si>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</si>
  <si>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</si>
  <si>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</si>
  <si>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</si>
  <si>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</si>
  <si>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</si>
  <si>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</si>
  <si>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</si>
  <si>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</si>
  <si>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</si>
  <si>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</si>
  <si>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</si>
  <si>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</si>
  <si>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</si>
  <si>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</si>
  <si>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</si>
  <si>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</si>
  <si>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</si>
  <si>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</si>
  <si>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</si>
  <si>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</si>
  <si>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</si>
  <si>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</si>
  <si>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</si>
  <si>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</si>
  <si>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</si>
  <si>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</si>
  <si>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</si>
  <si>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</si>
  <si>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</si>
  <si>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</si>
  <si>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</si>
  <si>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</si>
  <si>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</si>
  <si>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</si>
  <si>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</si>
  <si>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</si>
  <si>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</si>
  <si>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</si>
  <si>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</si>
  <si>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</si>
  <si>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</si>
  <si>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</si>
  <si>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</si>
  <si>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</si>
  <si>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</si>
  <si>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</si>
  <si>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</si>
  <si>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</si>
  <si>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</si>
  <si>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</si>
  <si>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</si>
  <si>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</si>
  <si>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</si>
  <si>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</si>
  <si>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</si>
  <si>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</si>
  <si>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</si>
  <si>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</si>
  <si>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</si>
  <si>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</si>
  <si>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</si>
  <si>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</si>
  <si>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</si>
  <si>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</si>
  <si>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</si>
  <si>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</si>
  <si>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</si>
  <si>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</si>
  <si>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</si>
  <si>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</si>
  <si>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</si>
  <si>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</si>
  <si>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</si>
  <si>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</si>
  <si>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</si>
  <si>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</si>
  <si>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</si>
  <si>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</si>
  <si>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</si>
  <si>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</si>
  <si>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</si>
  <si>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</si>
  <si>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</si>
  <si>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</si>
  <si>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</si>
  <si>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</si>
  <si>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</si>
  <si>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</si>
  <si>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</si>
  <si>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</si>
  <si>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</si>
  <si>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</si>
  <si>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</si>
  <si>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</si>
  <si>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</si>
  <si>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</si>
  <si>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</si>
  <si>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</si>
  <si>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</si>
  <si>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</si>
  <si>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</si>
  <si>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</si>
  <si>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</si>
  <si>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</si>
  <si>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</si>
  <si>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</si>
  <si>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</si>
  <si>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</si>
  <si>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</si>
  <si>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</si>
  <si>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</si>
  <si>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</si>
  <si>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</si>
  <si>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</si>
  <si>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</si>
  <si>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</si>
  <si>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</si>
  <si>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</si>
  <si>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</si>
  <si>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</si>
  <si>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</si>
  <si>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</si>
  <si>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</si>
  <si>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</si>
  <si>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</si>
  <si>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</si>
  <si>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</si>
  <si>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</si>
  <si>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</si>
  <si>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</si>
  <si>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</si>
  <si>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</si>
  <si>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</si>
  <si>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</si>
  <si>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</si>
  <si>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</si>
  <si>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</si>
  <si>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</si>
  <si>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</si>
  <si>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</si>
  <si>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</si>
  <si>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</si>
  <si>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</si>
  <si>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</si>
  <si>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</si>
  <si>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</si>
  <si>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</si>
  <si>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</si>
  <si>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</si>
  <si>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</si>
  <si>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</si>
  <si>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</si>
  <si>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</si>
  <si>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</si>
  <si>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</si>
  <si>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</si>
  <si>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</si>
  <si>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</si>
  <si>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</si>
  <si>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</si>
  <si>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</si>
  <si>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</si>
  <si>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</si>
  <si>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</si>
  <si>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</si>
  <si>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</si>
  <si>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</si>
  <si>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</si>
  <si>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</si>
  <si>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</si>
  <si>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</si>
  <si>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</si>
  <si>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</si>
  <si>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</si>
  <si>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</si>
  <si>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</si>
  <si>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</si>
  <si>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</si>
  <si>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</si>
  <si>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</si>
  <si>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</si>
  <si>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</si>
  <si>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</si>
  <si>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</si>
  <si>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</si>
  <si>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</si>
  <si>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</si>
  <si>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</si>
  <si>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</si>
  <si>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</si>
  <si>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</si>
  <si>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</si>
  <si>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</si>
  <si>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</si>
  <si>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</si>
  <si>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</si>
  <si>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</si>
  <si>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</si>
  <si>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</si>
  <si>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</si>
  <si>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</si>
  <si>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</si>
  <si>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</si>
  <si>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</si>
  <si>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</si>
  <si>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</si>
  <si>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</si>
  <si>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</si>
  <si>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</si>
  <si>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</si>
  <si>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</si>
  <si>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</si>
  <si>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</si>
  <si>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</si>
  <si>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</si>
  <si>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</si>
  <si>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</si>
  <si>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</si>
  <si>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</si>
  <si>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</si>
  <si>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</si>
  <si>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</si>
  <si>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</si>
  <si>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</si>
  <si>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</si>
  <si>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</si>
  <si>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</si>
  <si>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</si>
  <si>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</si>
  <si>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</si>
  <si>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</si>
  <si>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</si>
  <si>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</si>
  <si>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</si>
  <si>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</si>
  <si>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</si>
  <si>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</si>
  <si>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</si>
  <si>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</si>
  <si>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</si>
  <si>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</si>
  <si>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</si>
  <si>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</si>
  <si>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</si>
  <si>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</si>
  <si>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</si>
  <si>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</si>
  <si>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</si>
  <si>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</si>
  <si>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</si>
  <si>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</si>
  <si>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</si>
  <si>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</si>
  <si>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</si>
  <si>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</si>
  <si>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</si>
  <si>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</si>
  <si>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</si>
  <si>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</si>
  <si>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</si>
  <si>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</si>
  <si>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</si>
  <si>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</si>
  <si>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</si>
  <si>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</si>
  <si>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</si>
  <si>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</si>
  <si>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</si>
  <si>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</si>
  <si>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</si>
  <si>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</si>
  <si>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</si>
  <si>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</si>
  <si>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</si>
  <si>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</si>
  <si>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</si>
  <si>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</si>
  <si>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</si>
  <si>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</si>
  <si>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</si>
  <si>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</si>
  <si>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</si>
  <si>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</si>
  <si>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</si>
  <si>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</si>
  <si>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</si>
  <si>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</si>
  <si>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</si>
  <si>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</si>
  <si>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</si>
  <si>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</si>
  <si>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</si>
  <si>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</si>
  <si>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</si>
  <si>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</si>
  <si>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</si>
  <si>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</si>
  <si>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</si>
  <si>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</si>
  <si>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</si>
  <si>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</si>
  <si>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</si>
  <si>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</si>
  <si>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</si>
  <si>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</si>
  <si>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</si>
  <si>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</si>
  <si>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</si>
  <si>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</si>
  <si>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</si>
  <si>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</si>
  <si>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</si>
  <si>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</si>
  <si>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</si>
  <si>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</si>
  <si>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</si>
  <si>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</si>
  <si>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</si>
  <si>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</si>
  <si>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</si>
  <si>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</si>
  <si>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</si>
  <si>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</si>
  <si>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</si>
  <si>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</si>
  <si>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</si>
  <si>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</si>
  <si>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</si>
  <si>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</si>
  <si>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</si>
  <si>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</si>
  <si>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</si>
  <si>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</si>
  <si>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</si>
  <si>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</si>
  <si>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</si>
  <si>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</si>
  <si>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</si>
  <si>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</si>
  <si>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</si>
  <si>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</si>
  <si>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</si>
  <si>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</si>
  <si>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</si>
  <si>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</si>
  <si>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</si>
  <si>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</si>
  <si>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</si>
  <si>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</si>
  <si>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</si>
  <si>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</si>
  <si>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</si>
  <si>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</si>
  <si>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</si>
  <si>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</si>
  <si>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</si>
  <si>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</si>
  <si>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</si>
  <si>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</si>
  <si>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</si>
  <si>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</si>
  <si>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</si>
  <si>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</si>
  <si>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</si>
  <si>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</si>
  <si>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</si>
  <si>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</si>
  <si>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</si>
  <si>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</si>
  <si>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</si>
  <si>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</si>
  <si>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</si>
  <si>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</si>
  <si>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</si>
  <si>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</si>
  <si>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</si>
  <si>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</si>
  <si>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</si>
  <si>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</si>
  <si>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</si>
  <si>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</si>
  <si>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</si>
  <si>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</si>
  <si>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</si>
  <si>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</si>
  <si>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</si>
  <si>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</si>
  <si>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</si>
  <si>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</si>
  <si>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</si>
  <si>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</si>
  <si>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</si>
  <si>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</si>
  <si>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</si>
  <si>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</si>
  <si>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</si>
  <si>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</si>
  <si>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</si>
  <si>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</si>
  <si>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</si>
  <si>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</si>
  <si>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</si>
  <si>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</si>
  <si>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</si>
  <si>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</si>
  <si>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</si>
  <si>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</si>
  <si>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</si>
  <si>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</si>
  <si>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</si>
  <si>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</si>
  <si>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</si>
  <si>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</si>
  <si>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</si>
  <si>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</si>
  <si>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</si>
  <si>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</si>
  <si>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</si>
  <si>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</si>
  <si>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</si>
  <si>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</si>
  <si>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</si>
  <si>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</si>
  <si>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</si>
  <si>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</si>
  <si>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</si>
  <si>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</si>
  <si>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</si>
  <si>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</si>
  <si>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</si>
  <si>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</si>
  <si>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</si>
  <si>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</si>
  <si>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</si>
  <si>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</si>
  <si>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</si>
  <si>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</si>
  <si>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</si>
  <si>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</si>
  <si>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</si>
  <si>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</si>
  <si>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</si>
  <si>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</si>
  <si>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</si>
  <si>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</si>
  <si>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</si>
  <si>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</si>
  <si>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</si>
  <si>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</si>
  <si>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</si>
  <si>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</si>
  <si>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</si>
  <si>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</si>
  <si>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</si>
  <si>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</si>
  <si>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</si>
  <si>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</si>
  <si>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</si>
  <si>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</si>
  <si>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</si>
  <si>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</si>
  <si>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</si>
  <si>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</si>
  <si>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</si>
  <si>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</si>
  <si>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</si>
  <si>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</si>
  <si>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</si>
  <si>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</si>
  <si>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</si>
  <si>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</si>
  <si>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</si>
  <si>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</si>
  <si>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</si>
  <si>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</si>
  <si>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</si>
  <si>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</si>
  <si>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</si>
  <si>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</si>
  <si>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</si>
  <si>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</si>
  <si>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</si>
  <si>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</si>
  <si>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</si>
  <si>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</si>
  <si>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</si>
  <si>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</si>
  <si>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</si>
  <si>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</si>
  <si>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</si>
  <si>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</si>
  <si>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</si>
  <si>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</si>
  <si>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</si>
  <si>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</si>
  <si>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</si>
  <si>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</si>
  <si>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</si>
  <si>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</si>
  <si>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</si>
  <si>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</si>
  <si>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</si>
  <si>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</si>
  <si>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</si>
  <si>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</si>
  <si>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</si>
  <si>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</si>
  <si>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</si>
  <si>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</si>
  <si>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</si>
  <si>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</si>
  <si>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</si>
  <si>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</si>
  <si>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</si>
  <si>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</si>
  <si>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</si>
  <si>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</si>
  <si>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</si>
  <si>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</si>
  <si>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</si>
  <si>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</si>
  <si>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</si>
  <si>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</si>
  <si>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</si>
  <si>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</si>
  <si>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</si>
  <si>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</si>
  <si>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</si>
  <si>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</si>
  <si>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</si>
  <si>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</si>
  <si>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</si>
  <si>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</si>
  <si>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</si>
  <si>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</si>
  <si>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</si>
  <si>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</si>
  <si>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</si>
  <si>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</si>
  <si>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</si>
  <si>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</si>
  <si>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</si>
  <si>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</si>
  <si>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</si>
  <si>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</si>
  <si>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</si>
  <si>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</si>
  <si>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</si>
  <si>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</si>
  <si>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</si>
  <si>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</si>
  <si>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</si>
  <si>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</si>
  <si>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</si>
  <si>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</si>
  <si>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</si>
  <si>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</si>
  <si>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</si>
  <si>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</si>
  <si>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</si>
  <si>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</si>
  <si>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</si>
  <si>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</si>
  <si>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</si>
  <si>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</si>
  <si>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</si>
  <si>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</si>
  <si>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</si>
  <si>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</si>
  <si>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</si>
  <si>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</si>
  <si>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</si>
  <si>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</si>
  <si>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</si>
  <si>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</si>
  <si>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</si>
  <si>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</si>
  <si>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</si>
  <si>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</si>
  <si>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</si>
  <si>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</si>
  <si>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</si>
  <si>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</si>
  <si>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</si>
  <si>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</si>
  <si>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</si>
  <si>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</si>
  <si>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</si>
  <si>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</si>
  <si>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</si>
  <si>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</si>
  <si>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</si>
  <si>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</si>
  <si>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</si>
  <si>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</si>
  <si>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</si>
  <si>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</si>
  <si>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</si>
  <si>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</si>
  <si>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</si>
  <si>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</si>
  <si>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</si>
  <si>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</si>
  <si>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</si>
  <si>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</si>
  <si>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</si>
  <si>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</si>
  <si>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</si>
  <si>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</si>
  <si>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</si>
  <si>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</si>
  <si>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</si>
  <si>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</si>
  <si>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</si>
  <si>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</si>
  <si>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</si>
  <si>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</si>
  <si>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</si>
  <si>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</si>
  <si>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</si>
  <si>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</si>
  <si>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</si>
  <si>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</si>
  <si>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</si>
  <si>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</si>
  <si>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</si>
  <si>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</si>
  <si>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</si>
  <si>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</si>
  <si>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</si>
  <si>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</si>
  <si>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</si>
  <si>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</si>
  <si>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</si>
  <si>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</si>
  <si>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</si>
  <si>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</si>
  <si>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</si>
  <si>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</si>
  <si>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</si>
  <si>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</si>
  <si>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</si>
  <si>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</si>
  <si>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</si>
  <si>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</si>
  <si>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</si>
  <si>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</si>
  <si>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</si>
  <si>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</si>
  <si>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</si>
  <si>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</si>
  <si>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</si>
  <si>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</si>
  <si>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</si>
  <si>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</si>
  <si>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</si>
  <si>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</si>
  <si>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</si>
  <si>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</si>
  <si>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</si>
  <si>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</si>
  <si>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</si>
  <si>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</si>
  <si>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</si>
  <si>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</si>
  <si>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</si>
  <si>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</si>
  <si>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</si>
  <si>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</si>
  <si>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</si>
  <si>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</si>
  <si>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</si>
  <si>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</si>
  <si>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</si>
  <si>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</si>
  <si>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</si>
  <si>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</si>
  <si>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</si>
  <si>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</si>
  <si>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</si>
  <si>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</si>
  <si>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</si>
  <si>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</si>
  <si>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</si>
  <si>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</si>
  <si>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</si>
  <si>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</si>
  <si>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</si>
  <si>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</si>
  <si>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</si>
  <si>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</si>
  <si>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</si>
  <si>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</si>
  <si>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</si>
  <si>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</si>
  <si>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</si>
  <si>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</si>
  <si>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</si>
  <si>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</si>
  <si>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</si>
  <si>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</si>
  <si>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</si>
  <si>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</si>
  <si>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</si>
  <si>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</si>
  <si>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</si>
  <si>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</si>
  <si>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</si>
  <si>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</si>
  <si>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</si>
  <si>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</si>
  <si>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</si>
  <si>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</si>
  <si>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</si>
  <si>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</si>
  <si>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</si>
  <si>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</si>
  <si>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</si>
  <si>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</si>
  <si>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</si>
  <si>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</si>
  <si>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</si>
  <si>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</si>
  <si>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</si>
  <si>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</si>
  <si>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</si>
  <si>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</si>
  <si>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</si>
  <si>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</si>
  <si>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</si>
  <si>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</si>
  <si>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</si>
  <si>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</si>
  <si>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</si>
  <si>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</si>
  <si>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</si>
  <si>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</si>
  <si>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</si>
  <si>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</si>
  <si>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</si>
  <si>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</si>
  <si>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</si>
  <si>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</si>
  <si>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</si>
  <si>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</si>
  <si>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</si>
  <si>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</si>
  <si>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</si>
  <si>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</si>
  <si>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</si>
  <si>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</si>
  <si>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</si>
  <si>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</si>
  <si>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</si>
  <si>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</si>
  <si>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</si>
  <si>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</si>
  <si>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</si>
  <si>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</si>
  <si>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</si>
  <si>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</si>
  <si>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</si>
  <si>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</si>
  <si>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</si>
  <si>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</si>
  <si>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</si>
  <si>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</si>
  <si>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</si>
  <si>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</si>
  <si>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</si>
  <si>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</si>
  <si>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</si>
  <si>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</si>
  <si>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</si>
  <si>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</si>
  <si>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</si>
  <si>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</si>
  <si>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</si>
  <si>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</si>
  <si>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</si>
  <si>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</si>
  <si>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</si>
  <si>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</si>
  <si>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</si>
  <si>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</si>
  <si>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</si>
  <si>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</si>
  <si>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</si>
  <si>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</si>
  <si>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</si>
  <si>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</si>
  <si>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</si>
  <si>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</si>
  <si>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</si>
  <si>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</si>
  <si>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</si>
  <si>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</si>
  <si>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</si>
  <si>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</si>
  <si>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</si>
  <si>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</si>
  <si>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</si>
  <si>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</si>
  <si>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</si>
  <si>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</si>
  <si>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</si>
  <si>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</si>
  <si>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</si>
  <si>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</si>
  <si>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</si>
  <si>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</si>
  <si>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</si>
  <si>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</si>
  <si>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</si>
  <si>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</si>
  <si>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</si>
  <si>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</si>
  <si>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</si>
  <si>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</si>
  <si>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</si>
  <si>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</si>
  <si>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</si>
  <si>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</si>
  <si>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</si>
  <si>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</si>
  <si>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</si>
  <si>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</si>
  <si>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</si>
  <si>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</si>
  <si>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</si>
  <si>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</si>
  <si>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</si>
  <si>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</si>
  <si>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</si>
  <si>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</si>
  <si>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</si>
  <si>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</si>
  <si>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</si>
  <si>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</si>
  <si>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</si>
  <si>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</si>
  <si>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</si>
  <si>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</si>
  <si>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</si>
  <si>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</si>
  <si>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</si>
  <si>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</si>
  <si>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</si>
  <si>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</si>
  <si>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</si>
  <si>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</si>
  <si>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</si>
  <si>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</si>
  <si>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</si>
  <si>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</si>
  <si>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</si>
  <si>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</si>
  <si>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</si>
  <si>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</si>
  <si>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</si>
  <si>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</si>
  <si>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</si>
  <si>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</si>
  <si>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</si>
  <si>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</si>
  <si>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</si>
  <si>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</si>
  <si>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</si>
  <si>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</si>
  <si>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</si>
  <si>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</si>
  <si>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</si>
  <si>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</si>
  <si>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</si>
  <si>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</si>
  <si>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</si>
  <si>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</si>
  <si>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</si>
  <si>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</si>
  <si>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</si>
  <si>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</si>
  <si>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</si>
  <si>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</si>
  <si>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</si>
  <si>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</si>
  <si>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</si>
  <si>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</si>
  <si>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</si>
  <si>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</si>
  <si>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</si>
  <si>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</si>
  <si>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</si>
  <si>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</si>
  <si>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</si>
  <si>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</si>
  <si>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</si>
  <si>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</si>
  <si>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</si>
  <si>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</si>
  <si>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</si>
  <si>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</si>
  <si>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</si>
  <si>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</si>
  <si>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</si>
  <si>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</si>
  <si>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</si>
  <si>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</si>
  <si>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</si>
  <si>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</si>
  <si>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</si>
  <si>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</si>
  <si>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</si>
  <si>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</si>
  <si>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</si>
  <si>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</si>
  <si>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</si>
  <si>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</si>
  <si>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</si>
  <si>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</si>
  <si>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</si>
  <si>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</si>
  <si>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</si>
  <si>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</si>
  <si>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</si>
  <si>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</si>
  <si>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</si>
  <si>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</si>
  <si>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</si>
  <si>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</si>
  <si>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</si>
  <si>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</si>
  <si>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</si>
  <si>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</si>
  <si>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</si>
  <si>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</si>
  <si>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</si>
  <si>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</si>
  <si>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</si>
  <si>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</si>
  <si>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</si>
  <si>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</si>
  <si>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</si>
  <si>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</si>
  <si>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</si>
  <si>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</si>
  <si>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</si>
  <si>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</si>
  <si>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</si>
  <si>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</si>
  <si>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</si>
  <si>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</si>
  <si>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</si>
  <si>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</si>
  <si>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</si>
  <si>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</si>
  <si>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</si>
  <si>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</si>
  <si>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</si>
  <si>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</si>
  <si>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</si>
  <si>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</si>
  <si>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</si>
  <si>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</si>
  <si>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</si>
  <si>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</si>
  <si>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</si>
  <si>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</si>
  <si>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</si>
  <si>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</si>
  <si>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</si>
  <si>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</si>
  <si>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</si>
  <si>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</si>
  <si>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</si>
  <si>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</si>
  <si>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</si>
  <si>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</si>
  <si>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</si>
  <si>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</si>
  <si>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</si>
  <si>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</si>
  <si>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</si>
  <si>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</si>
  <si>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</si>
  <si>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</si>
  <si>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</si>
  <si>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</si>
  <si>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</si>
  <si>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</si>
  <si>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</si>
  <si>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</si>
  <si>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</si>
  <si>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</si>
  <si>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</si>
  <si>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</si>
  <si>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</si>
  <si>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</si>
  <si>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</si>
  <si>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</si>
  <si>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</si>
  <si>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</si>
  <si>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</si>
  <si>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</si>
  <si>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</si>
  <si>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</si>
  <si>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</si>
  <si>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</si>
  <si>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</si>
  <si>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</si>
  <si>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</si>
  <si>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</si>
  <si>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</si>
  <si>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</si>
  <si>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</si>
  <si>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</si>
  <si>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</si>
  <si>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</si>
  <si>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</si>
  <si>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</si>
  <si>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</si>
  <si>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</si>
  <si>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</si>
  <si>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</si>
  <si>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</si>
  <si>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</si>
  <si>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</si>
  <si>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</si>
  <si>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</si>
  <si>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</si>
  <si>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</si>
  <si>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</si>
  <si>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</si>
  <si>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</si>
  <si>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</si>
  <si>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</si>
  <si>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</si>
  <si>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</si>
  <si>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</si>
  <si>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</si>
  <si>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</si>
  <si>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</si>
  <si>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</si>
  <si>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</si>
  <si>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</si>
  <si>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</si>
  <si>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</si>
  <si>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</si>
  <si>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</si>
  <si>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</si>
  <si>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</si>
  <si>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</si>
  <si>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</si>
  <si>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</si>
  <si>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</si>
  <si>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</si>
  <si>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</si>
  <si>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</si>
  <si>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</si>
  <si>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</si>
  <si>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</si>
  <si>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</si>
  <si>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</si>
  <si>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</si>
  <si>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</si>
  <si>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</si>
  <si>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</si>
  <si>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</si>
  <si>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</si>
  <si>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</si>
  <si>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</si>
  <si>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</si>
  <si>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</si>
  <si>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</si>
  <si>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</si>
  <si>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</si>
  <si>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</si>
  <si>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</si>
  <si>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</si>
  <si>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</si>
  <si>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</si>
  <si>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</si>
  <si>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</si>
  <si>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</si>
  <si>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</si>
  <si>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</si>
  <si>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</si>
  <si>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</si>
  <si>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</si>
  <si>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</si>
  <si>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</si>
  <si>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</si>
  <si>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</si>
  <si>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</si>
  <si>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</si>
  <si>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</si>
  <si>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</si>
  <si>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</si>
  <si>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</si>
  <si>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</si>
  <si>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</si>
  <si>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</si>
  <si>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</si>
  <si>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</si>
  <si>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</si>
  <si>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</si>
  <si>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</si>
  <si>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</si>
  <si>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</si>
  <si>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</si>
  <si>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</si>
  <si>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</si>
  <si>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</si>
  <si>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</si>
  <si>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</si>
  <si>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</si>
  <si>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</si>
  <si>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</si>
  <si>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</si>
  <si>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</si>
  <si>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</si>
  <si>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</si>
  <si>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</si>
  <si>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</si>
  <si>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</si>
  <si>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</si>
  <si>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</si>
  <si>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</si>
  <si>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</si>
  <si>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</si>
  <si>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</si>
  <si>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</si>
  <si>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</si>
  <si>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</si>
  <si>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</si>
  <si>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</si>
  <si>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</si>
  <si>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</si>
  <si>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</si>
  <si>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</si>
  <si>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</si>
  <si>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</si>
  <si>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</si>
  <si>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</si>
  <si>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</si>
  <si>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</si>
  <si>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</si>
  <si>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</si>
  <si>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</si>
  <si>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</si>
  <si>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</si>
  <si>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</si>
  <si>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</si>
  <si>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</si>
  <si>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</si>
  <si>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</si>
  <si>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</si>
  <si>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</si>
  <si>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</si>
  <si>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</si>
  <si>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</si>
  <si>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</si>
  <si>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</si>
  <si>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</si>
  <si>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</si>
  <si>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</si>
  <si>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</si>
  <si>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</si>
  <si>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</si>
  <si>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</si>
  <si>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</si>
  <si>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</si>
  <si>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</si>
  <si>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</si>
  <si>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</si>
  <si>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</si>
  <si>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</si>
  <si>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</si>
  <si>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</si>
  <si>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</si>
  <si>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</si>
  <si>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</si>
  <si>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</si>
  <si>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</si>
  <si>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</si>
  <si>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</si>
  <si>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</si>
  <si>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</si>
  <si>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</si>
  <si>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</si>
  <si>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</si>
  <si>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</si>
  <si>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</si>
  <si>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</si>
  <si>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</si>
  <si>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</si>
  <si>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</si>
  <si>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</si>
  <si>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</si>
  <si>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</si>
  <si>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</si>
  <si>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</si>
  <si>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</si>
  <si>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</si>
  <si>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</si>
  <si>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</si>
  <si>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</si>
  <si>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</si>
  <si>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</si>
  <si>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</si>
  <si>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</si>
  <si>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</si>
  <si>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</si>
  <si>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</si>
  <si>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</si>
  <si>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</si>
  <si>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</si>
  <si>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</si>
  <si>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</si>
  <si>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</si>
  <si>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</si>
  <si>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</si>
  <si>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</si>
  <si>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</si>
  <si>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</si>
  <si>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</si>
  <si>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</si>
  <si>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</si>
  <si>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</si>
  <si>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</si>
  <si>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</si>
  <si>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</si>
  <si>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</si>
  <si>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</si>
  <si>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</si>
  <si>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</si>
  <si>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</si>
  <si>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</si>
  <si>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</si>
  <si>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</si>
  <si>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</si>
  <si>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</si>
  <si>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</si>
  <si>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</si>
  <si>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</si>
  <si>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</si>
  <si>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</si>
  <si>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</si>
  <si>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</si>
  <si>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</si>
  <si>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</si>
  <si>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</si>
  <si>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</si>
  <si>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</si>
  <si>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</si>
  <si>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</si>
  <si>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</si>
  <si>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</si>
  <si>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</si>
  <si>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</si>
  <si>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</si>
  <si>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</si>
  <si>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</si>
  <si>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</si>
  <si>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</si>
  <si>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</si>
  <si>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</si>
  <si>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</si>
  <si>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</si>
  <si>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</si>
  <si>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</si>
  <si>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</si>
  <si>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</si>
  <si>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</si>
  <si>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</si>
  <si>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</si>
  <si>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</si>
  <si>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</si>
  <si>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</si>
  <si>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</si>
  <si>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</si>
  <si>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</si>
  <si>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</si>
  <si>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</si>
  <si>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</si>
  <si>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</si>
  <si>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</si>
  <si>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</si>
  <si>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</si>
  <si>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</si>
  <si>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</si>
  <si>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</si>
  <si>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</si>
  <si>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</si>
  <si>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</si>
  <si>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</si>
  <si>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</si>
  <si>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</si>
  <si>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</si>
  <si>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</si>
  <si>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</si>
  <si>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</si>
  <si>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</si>
  <si>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</si>
  <si>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</si>
  <si>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</si>
  <si>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</si>
  <si>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</si>
  <si>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</si>
  <si>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</si>
  <si>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</si>
  <si>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</si>
  <si>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</si>
  <si>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</si>
  <si>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</si>
  <si>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</si>
  <si>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</si>
  <si>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</si>
  <si>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</si>
  <si>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</si>
  <si>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</si>
  <si>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</si>
  <si>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</si>
  <si>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</si>
  <si>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</si>
  <si>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</si>
  <si>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</si>
  <si>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</si>
  <si>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</si>
  <si>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</si>
  <si>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</si>
  <si>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</si>
  <si>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</si>
  <si>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</si>
  <si>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</si>
  <si>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</si>
  <si>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</si>
  <si>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</si>
  <si>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</si>
  <si>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</si>
  <si>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</si>
  <si>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</si>
  <si>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</si>
  <si>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</si>
  <si>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</si>
  <si>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</si>
  <si>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</si>
  <si>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</si>
  <si>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</si>
  <si>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</si>
  <si>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</si>
  <si>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</si>
  <si>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</si>
  <si>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</si>
  <si>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</si>
  <si>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</si>
  <si>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</si>
  <si>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</si>
  <si>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</si>
  <si>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</si>
  <si>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</si>
  <si>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</si>
  <si>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</si>
  <si>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</si>
  <si>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</si>
  <si>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</si>
  <si>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</si>
  <si>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</si>
  <si>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</si>
  <si>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</si>
  <si>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</si>
  <si>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</si>
  <si>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</si>
  <si>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</si>
  <si>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</si>
  <si>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</si>
  <si>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</si>
  <si>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</si>
  <si>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</si>
  <si>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</si>
  <si>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</si>
  <si>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</si>
  <si>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</si>
  <si>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</si>
  <si>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</si>
  <si>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</si>
  <si>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</si>
  <si>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</si>
  <si>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</si>
  <si>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</si>
  <si>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</si>
  <si>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</si>
  <si>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</si>
  <si>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</si>
  <si>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</si>
  <si>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</si>
  <si>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</si>
  <si>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</si>
  <si>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</si>
  <si>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</si>
  <si>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</si>
  <si>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</si>
  <si>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</si>
  <si>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</si>
  <si>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</si>
  <si>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</si>
  <si>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</si>
  <si>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</si>
  <si>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</si>
  <si>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</si>
  <si>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</si>
  <si>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</si>
  <si>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</si>
  <si>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</si>
  <si>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</si>
  <si>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</si>
  <si>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</si>
  <si>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</si>
  <si>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</si>
  <si>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</si>
  <si>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</si>
  <si>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</si>
  <si>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</si>
  <si>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</si>
  <si>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</si>
  <si>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</si>
  <si>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</si>
  <si>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</si>
  <si>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</si>
  <si>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</si>
  <si>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</si>
  <si>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</si>
  <si>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</si>
  <si>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</si>
  <si>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</si>
  <si>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</si>
  <si>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</si>
  <si>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</si>
  <si>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</si>
  <si>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</si>
  <si>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</si>
  <si>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</si>
  <si>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</si>
  <si>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</si>
  <si>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</si>
  <si>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</si>
  <si>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</si>
  <si>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</si>
  <si>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</si>
  <si>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</si>
  <si>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</si>
  <si>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</si>
  <si>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</si>
  <si>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</si>
  <si>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</si>
  <si>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</si>
  <si>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</si>
  <si>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</si>
  <si>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</si>
  <si>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</si>
  <si>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</si>
  <si>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</si>
  <si>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</si>
  <si>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</si>
  <si>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</si>
  <si>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</si>
  <si>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</si>
  <si>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</si>
  <si>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</si>
  <si>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</si>
  <si>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</si>
  <si>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</si>
  <si>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</si>
  <si>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</si>
  <si>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</si>
  <si>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</si>
  <si>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</si>
  <si>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</si>
  <si>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</si>
  <si>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</si>
  <si>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</si>
  <si>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</si>
  <si>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</si>
  <si>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</si>
  <si>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</si>
  <si>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</si>
  <si>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</si>
  <si>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</si>
  <si>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</si>
  <si>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</si>
  <si>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</si>
  <si>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</si>
  <si>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</si>
  <si>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</si>
  <si>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</si>
  <si>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</si>
  <si>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</si>
  <si>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</si>
  <si>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</si>
  <si>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</si>
  <si>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</si>
  <si>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</si>
  <si>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</si>
  <si>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</si>
  <si>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</si>
  <si>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</si>
  <si>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</si>
  <si>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</si>
  <si>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</si>
  <si>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</si>
  <si>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</si>
  <si>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</si>
  <si>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</si>
  <si>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</si>
  <si>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</si>
  <si>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</si>
  <si>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</si>
  <si>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</si>
  <si>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</si>
  <si>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</si>
  <si>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</si>
  <si>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</si>
  <si>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</si>
  <si>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</si>
  <si>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</si>
  <si>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</si>
  <si>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</si>
  <si>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</si>
  <si>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</si>
  <si>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</si>
  <si>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</si>
  <si>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</si>
  <si>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</si>
  <si>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</si>
  <si>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</si>
  <si>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</si>
  <si>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</si>
  <si>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</si>
  <si>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</si>
  <si>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</si>
  <si>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</si>
  <si>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</si>
  <si>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</si>
  <si>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</si>
  <si>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</si>
  <si>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</si>
  <si>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</si>
  <si>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</si>
  <si>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</si>
  <si>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</si>
  <si>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</si>
  <si>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</si>
  <si>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</si>
  <si>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</si>
  <si>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</si>
  <si>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</si>
  <si>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</si>
  <si>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</si>
  <si>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</si>
  <si>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</si>
  <si>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</si>
  <si>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</si>
  <si>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</si>
  <si>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</si>
  <si>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</si>
  <si>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</si>
  <si>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</si>
  <si>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</si>
  <si>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</si>
  <si>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</si>
  <si>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</si>
  <si>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</si>
  <si>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</si>
  <si>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</si>
  <si>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</si>
  <si>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</si>
  <si>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</si>
  <si>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</si>
  <si>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</si>
  <si>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</si>
  <si>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</si>
  <si>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</si>
  <si>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</si>
  <si>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</si>
  <si>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</si>
  <si>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</si>
  <si>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</si>
  <si>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</si>
  <si>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</si>
  <si>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</si>
  <si>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</si>
  <si>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</si>
  <si>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</si>
  <si>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</si>
  <si>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</si>
  <si>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</si>
  <si>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</si>
  <si>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</si>
  <si>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</si>
  <si>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</si>
  <si>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</si>
  <si>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</si>
  <si>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</si>
  <si>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</si>
  <si>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</si>
  <si>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</si>
  <si>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</si>
  <si>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</si>
  <si>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</si>
  <si>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</si>
  <si>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</si>
  <si>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</si>
  <si>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</si>
  <si>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</si>
  <si>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</si>
  <si>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</si>
  <si>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</si>
  <si>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</si>
  <si>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</si>
  <si>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</si>
  <si>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</si>
  <si>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</si>
  <si>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</si>
  <si>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</si>
  <si>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</si>
  <si>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</si>
  <si>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</si>
  <si>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</si>
  <si>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</si>
  <si>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</si>
  <si>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</si>
  <si>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</si>
  <si>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</si>
  <si>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</si>
  <si>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</si>
  <si>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</si>
  <si>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</si>
  <si>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</si>
  <si>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</si>
  <si>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</si>
  <si>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</si>
  <si>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</si>
  <si>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</si>
  <si>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</si>
  <si>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</si>
  <si>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</si>
  <si>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</si>
  <si>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</si>
  <si>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</si>
  <si>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</si>
  <si>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</si>
  <si>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</si>
  <si>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</si>
  <si>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</si>
  <si>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</si>
  <si>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</si>
  <si>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</si>
  <si>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</si>
  <si>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</si>
  <si>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</si>
  <si>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</si>
  <si>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</si>
  <si>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</si>
  <si>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</si>
  <si>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</si>
  <si>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</si>
  <si>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</si>
  <si>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</si>
  <si>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</si>
  <si>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</si>
  <si>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</si>
  <si>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</si>
  <si>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</si>
  <si>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</si>
  <si>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</si>
  <si>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</si>
  <si>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</si>
  <si>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</si>
  <si>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</si>
  <si>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</si>
  <si>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</si>
  <si>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</si>
  <si>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</si>
  <si>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</si>
  <si>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</si>
  <si>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</si>
  <si>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</si>
  <si>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</si>
  <si>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</si>
  <si>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</si>
  <si>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</si>
  <si>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</si>
  <si>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</si>
  <si>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</si>
  <si>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</si>
  <si>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</si>
  <si>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</si>
  <si>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</si>
  <si>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</si>
  <si>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</si>
  <si>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</si>
  <si>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</si>
  <si>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</si>
  <si>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</si>
  <si>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</si>
  <si>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</si>
  <si>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</si>
  <si>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</si>
  <si>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</si>
  <si>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</si>
  <si>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</si>
  <si>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</si>
  <si>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</si>
  <si>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</si>
  <si>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</si>
  <si>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</si>
  <si>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</si>
  <si>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</si>
  <si>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</si>
  <si>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</si>
  <si>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</si>
  <si>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</si>
  <si>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</si>
  <si>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</si>
  <si>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</si>
  <si>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</si>
  <si>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</si>
  <si>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</si>
  <si>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</si>
  <si>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</si>
  <si>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</si>
  <si>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</si>
  <si>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</si>
  <si>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</si>
  <si>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</si>
  <si>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</si>
  <si>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</si>
  <si>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</si>
  <si>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</si>
  <si>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</si>
  <si>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</si>
  <si>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</si>
  <si>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</si>
  <si>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</si>
  <si>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</si>
  <si>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</si>
  <si>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</si>
  <si>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</si>
  <si>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</si>
  <si>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</si>
  <si>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</si>
  <si>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</si>
  <si>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</si>
  <si>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</si>
  <si>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</si>
  <si>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</si>
  <si>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</si>
  <si>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</si>
  <si>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</si>
  <si>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</si>
  <si>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</si>
  <si>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</si>
  <si>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</si>
  <si>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</si>
  <si>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</si>
  <si>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</si>
  <si>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</si>
  <si>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</si>
  <si>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</si>
  <si>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</si>
  <si>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</si>
  <si>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</si>
  <si>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</si>
  <si>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</si>
  <si>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</si>
  <si>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</si>
  <si>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</si>
  <si>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</si>
  <si>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</si>
  <si>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</si>
  <si>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</si>
  <si>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</si>
  <si>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</si>
  <si>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</si>
  <si>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</si>
  <si>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</si>
  <si>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</si>
  <si>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</si>
  <si>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</si>
  <si>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</si>
  <si>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</si>
  <si>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</si>
  <si>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</si>
  <si>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</si>
  <si>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</si>
  <si>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</si>
  <si>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</si>
  <si>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</si>
  <si>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</si>
  <si>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</si>
  <si>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</si>
  <si>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</si>
  <si>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</si>
  <si>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</si>
  <si>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</si>
  <si>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</si>
  <si>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</si>
  <si>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</si>
  <si>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</si>
  <si>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</si>
  <si>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</si>
  <si>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</si>
  <si>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</si>
  <si>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</si>
  <si>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</si>
  <si>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</si>
  <si>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</si>
  <si>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</si>
  <si>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</si>
  <si>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</si>
  <si>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</si>
  <si>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</si>
  <si>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</si>
  <si>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</si>
  <si>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</si>
  <si>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</si>
  <si>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</si>
  <si>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</si>
  <si>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</si>
  <si>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</si>
  <si>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</si>
  <si>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</si>
  <si>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</si>
  <si>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</si>
  <si>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</si>
  <si>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</si>
  <si>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</si>
  <si>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</si>
  <si>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</si>
  <si>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</si>
  <si>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</si>
  <si>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</si>
  <si>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</si>
  <si>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</si>
  <si>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</si>
  <si>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</si>
  <si>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</si>
  <si>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</si>
  <si>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</si>
  <si>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</si>
  <si>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</si>
  <si>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</si>
  <si>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</si>
  <si>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</si>
  <si>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</si>
  <si>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</si>
  <si>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</si>
  <si>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</si>
  <si>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</si>
  <si>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</si>
  <si>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</si>
  <si>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</si>
  <si>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</si>
  <si>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</si>
  <si>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</si>
  <si>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</si>
  <si>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</si>
  <si>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</si>
  <si>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</si>
  <si>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</si>
  <si>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</si>
  <si>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</si>
  <si>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</si>
  <si>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</si>
  <si>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</si>
  <si>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</si>
  <si>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</si>
  <si>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</si>
  <si>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</si>
  <si>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</si>
  <si>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</si>
  <si>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</si>
  <si>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</si>
  <si>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</si>
  <si>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</si>
  <si>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</si>
  <si>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</si>
  <si>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</si>
  <si>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</si>
  <si>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</si>
  <si>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</si>
  <si>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</si>
  <si>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</si>
  <si>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</si>
  <si>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</si>
  <si>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</si>
  <si>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</si>
  <si>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</si>
  <si>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</si>
  <si>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</si>
  <si>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</si>
  <si>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</si>
  <si>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</si>
  <si>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</si>
  <si>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</si>
  <si>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</si>
  <si>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</si>
  <si>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</si>
  <si>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</si>
  <si>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</si>
  <si>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</si>
  <si>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</si>
  <si>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</si>
  <si>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</si>
  <si>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</si>
  <si>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</si>
  <si>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</si>
  <si>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</si>
  <si>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</si>
  <si>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</si>
  <si>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</si>
  <si>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</si>
  <si>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</si>
  <si>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</si>
  <si>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</si>
  <si>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</si>
  <si>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</si>
  <si>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</si>
  <si>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</si>
  <si>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</si>
  <si>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</si>
  <si>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</si>
  <si>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</si>
  <si>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</si>
  <si>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</si>
  <si>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</si>
  <si>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</si>
  <si>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</si>
  <si>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</si>
  <si>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</si>
  <si>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</si>
  <si>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</si>
  <si>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</si>
  <si>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</si>
  <si>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</si>
  <si>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</si>
  <si>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</si>
  <si>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</si>
  <si>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</si>
  <si>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</si>
  <si>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</si>
  <si>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</si>
  <si>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</si>
  <si>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</si>
  <si>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</si>
  <si>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</si>
  <si>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</si>
  <si>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</si>
  <si>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</si>
  <si>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</si>
  <si>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</si>
  <si>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</si>
  <si>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</si>
  <si>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</si>
  <si>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</si>
  <si>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</si>
  <si>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</si>
  <si>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</si>
  <si>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</si>
  <si>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</si>
  <si>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</si>
  <si>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</si>
  <si>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</si>
  <si>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</si>
  <si>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</si>
  <si>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</si>
  <si>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</si>
  <si>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</si>
  <si>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</si>
  <si>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</si>
  <si>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</si>
  <si>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</si>
  <si>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</si>
  <si>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</si>
  <si>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</si>
  <si>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</si>
  <si>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</si>
  <si>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</si>
  <si>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</si>
  <si>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</si>
  <si>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</si>
  <si>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</si>
  <si>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</si>
  <si>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</si>
  <si>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</si>
  <si>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</si>
  <si>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</si>
  <si>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</si>
  <si>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</si>
  <si>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</si>
  <si>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</si>
  <si>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</si>
  <si>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</si>
  <si>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</si>
  <si>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</si>
  <si>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</si>
  <si>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</si>
  <si>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</si>
  <si>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</si>
  <si>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</si>
  <si>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</si>
  <si>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</si>
  <si>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</si>
  <si>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</si>
  <si>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</si>
  <si>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</si>
  <si>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</si>
  <si>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</si>
  <si>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</si>
  <si>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</si>
  <si>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</si>
  <si>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</si>
  <si>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</si>
  <si>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</si>
  <si>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</si>
  <si>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</si>
  <si>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</si>
  <si>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</si>
  <si>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</si>
  <si>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</si>
  <si>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</si>
  <si>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</si>
  <si>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</si>
  <si>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</si>
  <si>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</si>
  <si>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</si>
  <si>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</si>
  <si>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</si>
  <si>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</si>
  <si>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</si>
  <si>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</si>
  <si>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</si>
  <si>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</si>
  <si>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</si>
  <si>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</si>
  <si>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</si>
  <si>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</si>
  <si>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</si>
  <si>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</si>
  <si>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</si>
  <si>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</si>
  <si>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</si>
  <si>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</si>
  <si>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</si>
  <si>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</si>
  <si>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</si>
  <si>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</si>
  <si>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</si>
  <si>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</si>
  <si>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</si>
  <si>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</si>
  <si>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</si>
  <si>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</si>
  <si>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</si>
  <si>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</si>
  <si>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</si>
  <si>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</si>
  <si>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</si>
  <si>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</si>
  <si>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</si>
  <si>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</si>
  <si>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</si>
  <si>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</si>
  <si>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</si>
  <si>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</si>
  <si>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</si>
  <si>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</si>
  <si>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</si>
  <si>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</si>
  <si>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</si>
  <si>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</si>
  <si>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</si>
  <si>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</si>
  <si>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</si>
  <si>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</si>
  <si>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</si>
  <si>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</si>
  <si>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</si>
  <si>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</si>
  <si>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</si>
  <si>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</si>
  <si>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</si>
  <si>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</si>
  <si>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</si>
  <si>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</si>
  <si>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</si>
  <si>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</si>
  <si>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</si>
  <si>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</si>
  <si>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</si>
  <si>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</si>
  <si>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</si>
  <si>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</si>
  <si>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</si>
  <si>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</si>
  <si>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</si>
  <si>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</si>
  <si>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</si>
  <si>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</si>
  <si>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</si>
  <si>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</si>
  <si>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</si>
  <si>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</si>
  <si>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</si>
  <si>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</si>
  <si>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</si>
  <si>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</si>
  <si>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</si>
  <si>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</si>
  <si>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</si>
  <si>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</si>
  <si>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</si>
  <si>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</si>
  <si>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</si>
  <si>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</si>
  <si>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</si>
  <si>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</si>
  <si>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</si>
  <si>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</si>
  <si>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</si>
  <si>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</si>
  <si>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</si>
  <si>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</si>
  <si>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</si>
  <si>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</si>
  <si>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</si>
  <si>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</si>
  <si>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</si>
  <si>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</si>
  <si>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</si>
  <si>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</si>
  <si>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</si>
  <si>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</si>
  <si>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</si>
  <si>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</si>
  <si>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</si>
  <si>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</si>
  <si>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</si>
  <si>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</si>
  <si>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</si>
  <si>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</si>
  <si>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</si>
  <si>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</si>
  <si>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</si>
  <si>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</si>
  <si>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</si>
  <si>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</si>
  <si>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</si>
  <si>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</si>
  <si>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</si>
  <si>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</si>
  <si>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</si>
  <si>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</si>
  <si>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</si>
  <si>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</si>
  <si>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</si>
  <si>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</si>
  <si>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</si>
  <si>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</si>
  <si>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</si>
  <si>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</si>
  <si>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</si>
  <si>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</si>
  <si>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</si>
  <si>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</si>
  <si>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</si>
  <si>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</si>
  <si>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</si>
  <si>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</si>
  <si>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</si>
  <si>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</si>
  <si>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</si>
  <si>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</si>
  <si>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</si>
  <si>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</si>
  <si>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</si>
  <si>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</si>
  <si>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</si>
  <si>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</si>
  <si>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</si>
  <si>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</si>
  <si>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</si>
  <si>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</si>
  <si>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</si>
  <si>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</si>
  <si>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</si>
  <si>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</si>
  <si>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</si>
  <si>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</si>
  <si>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</si>
  <si>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</si>
  <si>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</si>
  <si>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</si>
  <si>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</si>
  <si>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</si>
  <si>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</si>
  <si>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</si>
  <si>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</si>
  <si>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</si>
  <si>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</si>
  <si>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</si>
  <si>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</si>
  <si>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</si>
  <si>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</si>
  <si>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</si>
  <si>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</si>
  <si>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</si>
  <si>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</si>
  <si>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</si>
  <si>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</si>
  <si>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</si>
  <si>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</si>
  <si>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</si>
  <si>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</si>
  <si>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</si>
  <si>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</si>
  <si>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</si>
  <si>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</si>
  <si>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</si>
  <si>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</si>
  <si>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</si>
  <si>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</si>
  <si>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</si>
  <si>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</si>
  <si>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</si>
  <si>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</si>
  <si>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</si>
  <si>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</si>
  <si>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</si>
  <si>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</si>
  <si>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</si>
  <si>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</si>
  <si>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</si>
  <si>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</si>
  <si>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</si>
  <si>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</si>
  <si>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</si>
  <si>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</si>
  <si>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</si>
  <si>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</si>
  <si>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</si>
  <si>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</si>
  <si>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</si>
  <si>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</si>
  <si>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</si>
  <si>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</si>
  <si>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</si>
  <si>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</si>
  <si>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</si>
  <si>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</si>
  <si>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</si>
  <si>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</si>
  <si>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</si>
  <si>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</si>
  <si>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</si>
  <si>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</si>
  <si>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</si>
  <si>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</si>
  <si>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</si>
  <si>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</si>
  <si>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</si>
  <si>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</si>
  <si>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</si>
  <si>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</si>
  <si>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</si>
  <si>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</si>
  <si>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</si>
  <si>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</si>
  <si>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</si>
  <si>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</si>
  <si>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</si>
  <si>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</si>
  <si>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</si>
  <si>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</si>
  <si>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</si>
  <si>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</si>
  <si>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</si>
  <si>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</si>
  <si>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</si>
  <si>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</si>
  <si>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</si>
  <si>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</si>
  <si>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</si>
  <si>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</si>
  <si>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</si>
  <si>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</si>
  <si>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</si>
  <si>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</si>
  <si>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</si>
  <si>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</si>
  <si>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</si>
  <si>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</si>
  <si>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</si>
  <si>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</si>
  <si>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</si>
  <si>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</si>
  <si>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</si>
  <si>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</si>
  <si>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</si>
  <si>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</si>
  <si>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</si>
  <si>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</si>
  <si>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</si>
  <si>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</si>
  <si>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</si>
  <si>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</si>
  <si>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</si>
  <si>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</si>
  <si>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</si>
  <si>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</si>
  <si>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</si>
  <si>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</si>
  <si>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</si>
  <si>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</si>
  <si>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</si>
  <si>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</si>
  <si>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</si>
  <si>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</si>
  <si>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</si>
  <si>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</si>
  <si>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</si>
  <si>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</si>
  <si>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</si>
  <si>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</si>
  <si>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</si>
  <si>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</si>
  <si>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</si>
  <si>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</si>
  <si>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</si>
  <si>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</si>
  <si>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</si>
  <si>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</si>
  <si>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</si>
  <si>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</si>
  <si>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</si>
  <si>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</si>
  <si>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</si>
  <si>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</si>
  <si>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</si>
  <si>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</si>
  <si>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</si>
  <si>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</si>
  <si>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</si>
  <si>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</si>
  <si>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</si>
  <si>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</si>
  <si>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</si>
  <si>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</si>
  <si>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</si>
  <si>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</si>
  <si>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</si>
  <si>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</si>
  <si>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</si>
  <si>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</si>
  <si>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</si>
  <si>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</si>
  <si>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</si>
  <si>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</si>
  <si>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</si>
  <si>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</si>
  <si>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</si>
  <si>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</si>
  <si>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</si>
  <si>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</si>
  <si>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</si>
  <si>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</si>
  <si>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</si>
  <si>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</si>
  <si>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</si>
  <si>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</si>
  <si>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</si>
  <si>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</si>
  <si>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</si>
  <si>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</si>
  <si>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</si>
  <si>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</si>
  <si>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</si>
  <si>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</si>
  <si>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</si>
  <si>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</si>
  <si>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</si>
  <si>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</si>
  <si>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</si>
  <si>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</si>
  <si>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</si>
  <si>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</si>
  <si>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</si>
  <si>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</si>
  <si>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</si>
  <si>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</si>
  <si>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</si>
  <si>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</si>
  <si>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</si>
  <si>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</si>
  <si>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</si>
  <si>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</si>
  <si>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</si>
  <si>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</si>
  <si>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</si>
  <si>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</si>
  <si>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</si>
  <si>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</si>
  <si>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</si>
  <si>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</si>
  <si>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</si>
  <si>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</si>
  <si>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</si>
  <si>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</si>
  <si>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</si>
  <si>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</si>
  <si>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</si>
  <si>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</si>
  <si>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</si>
  <si>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</si>
  <si>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</si>
  <si>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</si>
  <si>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</si>
  <si>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</si>
  <si>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</si>
  <si>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</si>
  <si>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</si>
  <si>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</si>
  <si>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</si>
  <si>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</si>
  <si>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</si>
  <si>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</si>
  <si>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</si>
  <si>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</si>
  <si>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</si>
  <si>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</si>
  <si>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</si>
  <si>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</si>
  <si>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</si>
  <si>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</si>
  <si>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</si>
  <si>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</si>
  <si>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</si>
  <si>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</si>
  <si>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</si>
  <si>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</si>
  <si>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</si>
  <si>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</si>
  <si>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</si>
  <si>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</si>
  <si>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</si>
  <si>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</si>
  <si>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</si>
  <si>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</si>
  <si>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</si>
  <si>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</si>
  <si>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</si>
  <si>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</si>
  <si>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</si>
  <si>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</si>
  <si>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</si>
  <si>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</si>
  <si>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</si>
  <si>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</si>
  <si>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</si>
  <si>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</si>
  <si>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</si>
  <si>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</si>
  <si>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</si>
  <si>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</si>
  <si>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</si>
  <si>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</si>
  <si>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</si>
  <si>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</si>
  <si>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</si>
  <si>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</si>
  <si>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</si>
  <si>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</si>
  <si>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</si>
  <si>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</si>
  <si>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</si>
  <si>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</si>
  <si>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</si>
  <si>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</si>
  <si>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</si>
  <si>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</si>
  <si>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</si>
  <si>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</si>
  <si>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</si>
  <si>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</si>
  <si>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</si>
  <si>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</si>
  <si>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</si>
  <si>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</si>
  <si>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</si>
  <si>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</si>
  <si>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</si>
  <si>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</si>
  <si>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</si>
  <si>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</si>
  <si>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</si>
  <si>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</si>
  <si>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</si>
  <si>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</si>
  <si>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</si>
  <si>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</si>
  <si>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</si>
  <si>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</si>
  <si>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</si>
  <si>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</si>
  <si>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</si>
  <si>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</si>
  <si>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</si>
  <si>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</si>
  <si>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</si>
  <si>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</si>
  <si>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</si>
  <si>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</si>
  <si>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</si>
  <si>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</si>
  <si>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</si>
  <si>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</si>
  <si>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</si>
  <si>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</si>
  <si>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</si>
  <si>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</si>
  <si>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</si>
  <si>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</si>
  <si>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</si>
  <si>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</si>
  <si>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</si>
  <si>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</si>
  <si>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</si>
  <si>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</si>
  <si>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</si>
  <si>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</si>
  <si>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</si>
  <si>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</si>
  <si>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</si>
  <si>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</si>
  <si>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</si>
  <si>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</si>
  <si>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</si>
  <si>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</si>
  <si>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</si>
  <si>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</si>
  <si>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</si>
  <si>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</si>
  <si>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</si>
  <si>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</si>
  <si>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</si>
  <si>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</si>
  <si>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</si>
  <si>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</si>
  <si>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</si>
  <si>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</si>
  <si>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</si>
  <si>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</si>
  <si>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</si>
  <si>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</si>
  <si>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</si>
  <si>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</si>
  <si>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</si>
  <si>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</si>
  <si>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</si>
  <si>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</si>
  <si>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</si>
  <si>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</si>
  <si>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</si>
  <si>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</si>
  <si>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</si>
  <si>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</si>
  <si>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</si>
  <si>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</si>
  <si>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</si>
  <si>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</si>
  <si>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</si>
  <si>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</si>
  <si>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</si>
  <si>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</si>
  <si>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</si>
  <si>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</si>
  <si>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</si>
  <si>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</si>
  <si>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</si>
  <si>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</si>
  <si>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</si>
  <si>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</si>
  <si>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</si>
  <si>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</si>
  <si>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</si>
  <si>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</si>
  <si>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</si>
  <si>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</si>
  <si>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</si>
  <si>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</si>
  <si>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</si>
  <si>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</si>
  <si>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</si>
  <si>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</si>
  <si>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</si>
  <si>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</si>
  <si>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</si>
  <si>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</si>
  <si>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</si>
  <si>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</si>
  <si>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</si>
  <si>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</si>
  <si>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</si>
  <si>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</si>
  <si>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</si>
  <si>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</si>
  <si>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</si>
  <si>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</si>
  <si>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</si>
  <si>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</si>
  <si>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</si>
  <si>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</si>
  <si>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</si>
  <si>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</si>
  <si>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</si>
  <si>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</si>
  <si>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</si>
  <si>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</si>
  <si>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</si>
  <si>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</si>
  <si>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</si>
  <si>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</si>
  <si>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</si>
  <si>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</si>
  <si>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</si>
  <si>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</si>
  <si>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</si>
  <si>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</si>
  <si>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</si>
  <si>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</si>
  <si>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</si>
  <si>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</si>
  <si>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</si>
  <si>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</si>
  <si>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</si>
  <si>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</si>
  <si>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</si>
  <si>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</si>
  <si>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</si>
  <si>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</si>
  <si>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</si>
  <si>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</si>
  <si>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</si>
  <si>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</si>
  <si>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</si>
  <si>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</si>
  <si>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</si>
  <si>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</si>
  <si>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</si>
  <si>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</si>
  <si>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</si>
  <si>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</si>
  <si>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</si>
  <si>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</si>
  <si>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</si>
  <si>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</si>
  <si>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</si>
  <si>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</si>
  <si>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</si>
  <si>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</si>
  <si>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</si>
  <si>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</si>
  <si>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</si>
  <si>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</si>
  <si>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</si>
  <si>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</si>
  <si>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</si>
  <si>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</si>
  <si>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</si>
  <si>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</si>
  <si>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</si>
  <si>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</si>
  <si>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</si>
  <si>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</si>
  <si>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</si>
  <si>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</si>
  <si>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</si>
  <si>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</si>
  <si>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</si>
  <si>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</si>
  <si>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</si>
  <si>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</si>
  <si>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</si>
  <si>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</si>
  <si>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</si>
  <si>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</si>
  <si>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</si>
  <si>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</si>
  <si>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</si>
  <si>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</si>
  <si>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</si>
  <si>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</si>
  <si>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</si>
  <si>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</si>
  <si>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</si>
  <si>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</si>
  <si>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</si>
  <si>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</si>
  <si>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</si>
  <si>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</si>
  <si>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</si>
  <si>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</si>
  <si>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</si>
  <si>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</si>
  <si>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</si>
  <si>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</si>
  <si>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</si>
  <si>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</si>
  <si>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</si>
  <si>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</si>
  <si>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</si>
  <si>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</si>
  <si>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</si>
  <si>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</si>
  <si>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</si>
  <si>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</si>
  <si>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</si>
  <si>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</si>
  <si>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</si>
  <si>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</si>
  <si>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</si>
  <si>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</si>
  <si>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</si>
  <si>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</si>
  <si>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</si>
  <si>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</si>
  <si>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</si>
  <si>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</si>
  <si>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</si>
  <si>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</si>
  <si>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</si>
  <si>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</si>
  <si>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</si>
  <si>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</si>
  <si>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</si>
  <si>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</si>
  <si>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</si>
  <si>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</si>
  <si>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</si>
  <si>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</si>
  <si>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</si>
  <si>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</si>
  <si>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</si>
  <si>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</si>
  <si>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</si>
  <si>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</si>
  <si>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</si>
  <si>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</si>
  <si>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</si>
  <si>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</si>
  <si>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</si>
  <si>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</si>
  <si>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</si>
  <si>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</si>
  <si>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</si>
  <si>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</si>
  <si>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</si>
  <si>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</si>
  <si>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</si>
  <si>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</si>
  <si>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</si>
  <si>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</si>
  <si>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</si>
  <si>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</si>
  <si>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</si>
  <si>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</si>
  <si>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</si>
  <si>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</si>
  <si>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</si>
  <si>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</si>
  <si>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</si>
  <si>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</si>
  <si>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</si>
  <si>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</si>
  <si>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</si>
  <si>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</si>
  <si>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</si>
  <si>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</si>
  <si>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</si>
  <si>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</si>
  <si>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</si>
  <si>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</si>
  <si>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</si>
  <si>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</si>
  <si>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</si>
  <si>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</si>
  <si>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</si>
  <si>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</si>
  <si>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</si>
  <si>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</si>
  <si>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</si>
  <si>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</si>
  <si>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</si>
  <si>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</si>
  <si>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</si>
  <si>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</si>
  <si>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</si>
  <si>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</si>
  <si>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</si>
  <si>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</si>
  <si>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</si>
  <si>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</si>
  <si>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</si>
  <si>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</si>
  <si>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</si>
  <si>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</si>
  <si>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</si>
  <si>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</si>
  <si>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</si>
  <si>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</si>
  <si>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</si>
  <si>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</si>
  <si>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</si>
  <si>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</si>
  <si>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</si>
  <si>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</si>
  <si>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</si>
  <si>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</si>
  <si>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</si>
  <si>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</si>
  <si>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</si>
  <si>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</si>
  <si>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</si>
  <si>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</si>
  <si>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</si>
  <si>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</si>
  <si>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</si>
  <si>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</si>
  <si>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</si>
  <si>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</si>
  <si>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</si>
  <si>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</si>
  <si>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</si>
  <si>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</si>
  <si>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</si>
  <si>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</si>
  <si>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</si>
  <si>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</si>
  <si>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</si>
  <si>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</si>
  <si>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</si>
  <si>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</si>
  <si>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</si>
  <si>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</si>
  <si>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</si>
  <si>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</si>
  <si>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</si>
  <si>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</si>
  <si>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</si>
  <si>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</si>
  <si>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</si>
  <si>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</si>
  <si>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</si>
  <si>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</si>
  <si>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</si>
  <si>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</si>
  <si>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</si>
  <si>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</si>
  <si>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</si>
  <si>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</si>
  <si>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</si>
  <si>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</si>
  <si>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</si>
  <si>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</si>
  <si>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</si>
  <si>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</si>
  <si>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</si>
  <si>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</si>
  <si>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</si>
  <si>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</si>
  <si>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</si>
  <si>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</si>
  <si>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</si>
  <si>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</si>
  <si>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</si>
  <si>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</si>
  <si>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</si>
  <si>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</si>
  <si>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</si>
  <si>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</si>
  <si>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</si>
  <si>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</si>
  <si>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</si>
  <si>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</si>
  <si>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</si>
  <si>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</si>
  <si>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</si>
  <si>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</si>
  <si>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</si>
  <si>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</si>
  <si>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</si>
  <si>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</si>
  <si>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</si>
  <si>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</si>
  <si>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</si>
  <si>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</si>
  <si>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</si>
  <si>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</si>
  <si>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</si>
  <si>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</si>
  <si>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</si>
  <si>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</si>
  <si>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</si>
  <si>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</si>
  <si>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</si>
  <si>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</si>
  <si>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</si>
  <si>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</si>
  <si>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</si>
  <si>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</si>
  <si>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</si>
  <si>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</si>
  <si>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</si>
  <si>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</si>
  <si>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</si>
  <si>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</si>
  <si>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</si>
  <si>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</si>
  <si>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</si>
  <si>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</si>
  <si>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</si>
  <si>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</si>
  <si>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</si>
  <si>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</si>
  <si>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</si>
  <si>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</si>
  <si>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</si>
  <si>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</si>
  <si>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</si>
  <si>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</si>
  <si>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</si>
  <si>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</si>
  <si>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</si>
  <si>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</si>
  <si>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</si>
  <si>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</si>
  <si>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</si>
  <si>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</si>
  <si>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</si>
  <si>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</si>
  <si>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</si>
  <si>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</si>
  <si>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</si>
  <si>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</si>
  <si>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</si>
  <si>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</si>
  <si>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</si>
  <si>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</si>
  <si>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</si>
  <si>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</si>
  <si>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</si>
  <si>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</si>
  <si>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</si>
  <si>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</si>
  <si>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</si>
  <si>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</si>
  <si>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</si>
  <si>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</si>
  <si>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</si>
  <si>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</si>
  <si>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</si>
  <si>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</si>
  <si>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</si>
  <si>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</si>
  <si>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</si>
  <si>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</si>
  <si>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</si>
  <si>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</si>
  <si>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</si>
  <si>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</si>
  <si>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</si>
  <si>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</si>
  <si>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</si>
  <si>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</si>
  <si>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</si>
  <si>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</si>
  <si>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</si>
  <si>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</si>
  <si>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</si>
  <si>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</si>
  <si>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</si>
  <si>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</si>
  <si>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</si>
  <si>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</si>
  <si>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</si>
  <si>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</si>
  <si>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</si>
  <si>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</si>
  <si>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</si>
  <si>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</si>
  <si>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</si>
  <si>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</si>
  <si>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</si>
  <si>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</si>
  <si>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</si>
  <si>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</si>
  <si>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</si>
  <si>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</si>
  <si>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</si>
  <si>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</si>
  <si>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</si>
  <si>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</si>
  <si>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</si>
  <si>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</si>
  <si>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</si>
  <si>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</si>
  <si>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</si>
  <si>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</si>
  <si>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</si>
  <si>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</si>
  <si>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</si>
  <si>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</si>
  <si>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</si>
  <si>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</si>
  <si>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</si>
  <si>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</si>
  <si>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</si>
  <si>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</si>
  <si>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</si>
  <si>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</si>
  <si>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</si>
  <si>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</si>
  <si>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</si>
  <si>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</si>
  <si>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</si>
  <si>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</si>
  <si>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</si>
  <si>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</si>
  <si>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</si>
  <si>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</si>
  <si>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</si>
  <si>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</si>
  <si>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</si>
  <si>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</si>
  <si>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</si>
  <si>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</si>
  <si>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</si>
  <si>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</si>
  <si>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</si>
  <si>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</si>
  <si>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</si>
  <si>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</si>
  <si>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</si>
  <si>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</si>
  <si>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</si>
  <si>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</si>
  <si>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</si>
  <si>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</si>
  <si>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</si>
  <si>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</si>
  <si>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</si>
  <si>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</si>
  <si>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</si>
  <si>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</si>
  <si>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</si>
  <si>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</si>
  <si>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</si>
  <si>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</si>
  <si>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</si>
  <si>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</si>
  <si>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</si>
  <si>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</si>
  <si>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</si>
  <si>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</si>
  <si>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</si>
  <si>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</si>
  <si>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</si>
  <si>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</si>
  <si>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</si>
  <si>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</si>
  <si>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</si>
  <si>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</si>
  <si>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</si>
  <si>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</si>
  <si>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</si>
  <si>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</si>
  <si>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</si>
  <si>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</si>
  <si>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</si>
  <si>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</si>
  <si>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</si>
  <si>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</si>
  <si>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</si>
  <si>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</si>
  <si>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</si>
  <si>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</si>
  <si>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</si>
  <si>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</si>
  <si>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</si>
  <si>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</si>
  <si>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</si>
  <si>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</si>
  <si>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</si>
  <si>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</si>
  <si>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</si>
  <si>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</si>
  <si>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</si>
  <si>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</si>
  <si>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</si>
  <si>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</si>
  <si>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</si>
  <si>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</si>
  <si>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</si>
  <si>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</si>
  <si>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</si>
  <si>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</si>
  <si>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</si>
  <si>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</si>
  <si>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</si>
  <si>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</si>
  <si>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</si>
  <si>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</si>
  <si>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</si>
  <si>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</si>
  <si>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</si>
  <si>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</si>
  <si>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</si>
  <si>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</si>
  <si>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</si>
  <si>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</si>
  <si>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</si>
  <si>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</si>
  <si>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</si>
  <si>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</si>
  <si>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</si>
  <si>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</si>
  <si>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</si>
  <si>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</si>
  <si>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</si>
  <si>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</si>
  <si>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</si>
  <si>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</si>
  <si>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</si>
  <si>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</si>
  <si>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</si>
  <si>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</si>
  <si>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</si>
  <si>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</si>
  <si>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</si>
  <si>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</si>
  <si>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</si>
  <si>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</si>
  <si>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</si>
  <si>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</si>
  <si>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</si>
  <si>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</si>
  <si>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</si>
  <si>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</si>
  <si>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</si>
  <si>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</si>
  <si>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</si>
  <si>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</si>
  <si>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</si>
  <si>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</si>
  <si>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</si>
  <si>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</si>
  <si>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</si>
  <si>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</si>
  <si>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</si>
  <si>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</si>
  <si>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</si>
  <si>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</si>
  <si>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</si>
  <si>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</si>
  <si>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</si>
  <si>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</si>
  <si>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</si>
  <si>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</si>
  <si>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</si>
  <si>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</si>
  <si>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</si>
  <si>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</si>
  <si>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</si>
  <si>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</si>
  <si>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</si>
  <si>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</si>
  <si>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</si>
  <si>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</si>
  <si>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</si>
  <si>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</si>
  <si>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</si>
  <si>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</si>
  <si>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</si>
  <si>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</si>
  <si>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</si>
  <si>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</si>
  <si>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</si>
  <si>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</si>
  <si>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</si>
  <si>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</si>
  <si>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</si>
  <si>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</si>
  <si>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</si>
  <si>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</si>
  <si>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</si>
  <si>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</si>
  <si>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</si>
  <si>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</si>
  <si>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</si>
  <si>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</si>
  <si>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</si>
  <si>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</si>
  <si>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</si>
  <si>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</si>
  <si>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</si>
  <si>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</si>
  <si>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</si>
  <si>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</si>
  <si>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</si>
  <si>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</si>
  <si>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</si>
  <si>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</si>
  <si>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</si>
  <si>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</si>
  <si>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</si>
  <si>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</si>
  <si>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</si>
  <si>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</si>
  <si>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</si>
  <si>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</si>
  <si>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</si>
  <si>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</si>
  <si>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</si>
  <si>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</si>
  <si>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</si>
  <si>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</si>
  <si>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</si>
  <si>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</si>
  <si>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</si>
  <si>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</si>
  <si>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</si>
  <si>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</si>
  <si>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</si>
  <si>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</si>
  <si>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</si>
  <si>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</si>
  <si>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</si>
  <si>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</si>
  <si>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</si>
  <si>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</si>
  <si>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</si>
  <si>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</si>
  <si>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</si>
  <si>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</si>
  <si>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</si>
  <si>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</si>
  <si>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</si>
  <si>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</si>
  <si>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</si>
  <si>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</si>
  <si>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</si>
  <si>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</si>
  <si>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</si>
  <si>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</si>
  <si>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</si>
  <si>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</si>
  <si>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</si>
  <si>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</si>
  <si>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</si>
  <si>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</si>
  <si>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</si>
  <si>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</si>
  <si>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</si>
  <si>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</si>
  <si>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</si>
  <si>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</si>
  <si>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</si>
  <si>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</si>
  <si>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</si>
  <si>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</si>
  <si>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</si>
  <si>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</si>
  <si>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</si>
  <si>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</si>
  <si>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</si>
  <si>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</si>
  <si>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</si>
  <si>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</si>
  <si>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</si>
  <si>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</si>
  <si>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</si>
  <si>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</si>
  <si>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</si>
  <si>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</si>
  <si>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</si>
  <si>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</si>
  <si>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</si>
  <si>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</si>
  <si>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</si>
  <si>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</si>
  <si>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</si>
  <si>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</si>
  <si>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</si>
  <si>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</si>
  <si>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</si>
  <si>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</si>
  <si>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</si>
  <si>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</si>
  <si>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</si>
  <si>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</si>
  <si>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</si>
  <si>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</si>
  <si>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</si>
  <si>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</si>
  <si>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</si>
  <si>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</si>
  <si>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</si>
  <si>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</si>
  <si>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</si>
  <si>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</si>
  <si>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</si>
  <si>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</si>
  <si>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</si>
  <si>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</si>
  <si>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</si>
  <si>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</si>
  <si>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</si>
  <si>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</si>
  <si>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</si>
  <si>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</si>
  <si>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</si>
  <si>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</si>
  <si>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</si>
  <si>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</si>
  <si>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</si>
  <si>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</si>
  <si>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</si>
  <si>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</si>
  <si>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</si>
  <si>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</si>
  <si>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</si>
  <si>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</si>
  <si>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</si>
  <si>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</si>
  <si>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</si>
  <si>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</si>
  <si>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</si>
  <si>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</si>
  <si>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</si>
  <si>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</si>
  <si>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</si>
  <si>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</si>
  <si>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</si>
  <si>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</si>
  <si>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</si>
  <si>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</si>
  <si>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</si>
  <si>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</si>
  <si>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</si>
  <si>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</si>
  <si>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</si>
  <si>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</si>
  <si>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</si>
  <si>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</si>
  <si>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</si>
  <si>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</si>
  <si>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</si>
  <si>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</si>
  <si>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</si>
  <si>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</si>
  <si>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</si>
  <si>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</si>
  <si>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</si>
  <si>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</si>
  <si>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</si>
  <si>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</si>
  <si>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</si>
  <si>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</si>
  <si>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</si>
  <si>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</si>
  <si>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</si>
  <si>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</si>
  <si>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</si>
  <si>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</si>
  <si>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</si>
  <si>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</si>
  <si>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</si>
  <si>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</si>
  <si>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</si>
  <si>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</si>
  <si>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</si>
  <si>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</si>
  <si>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</si>
  <si>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</si>
  <si>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</si>
  <si>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</si>
  <si>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</si>
  <si>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</si>
  <si>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</si>
  <si>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</si>
  <si>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</si>
  <si>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</si>
  <si>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</si>
  <si>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</si>
  <si>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</si>
  <si>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</si>
  <si>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</si>
  <si>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</si>
  <si>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</si>
  <si>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</si>
  <si>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</si>
  <si>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</si>
  <si>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</si>
  <si>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</si>
  <si>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</si>
  <si>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</si>
  <si>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</si>
  <si>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</si>
  <si>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</si>
  <si>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</si>
  <si>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</si>
  <si>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</si>
  <si>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</si>
  <si>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</si>
  <si>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</si>
  <si>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</si>
  <si>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</si>
  <si>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</si>
  <si>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</si>
  <si>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</si>
  <si>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</si>
  <si>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</si>
  <si>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</si>
  <si>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</si>
  <si>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</si>
  <si>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</si>
  <si>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</si>
  <si>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</si>
  <si>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</si>
  <si>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</si>
  <si>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</si>
  <si>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</si>
  <si>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</si>
  <si>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</si>
  <si>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</si>
  <si>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</si>
  <si>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</si>
  <si>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</si>
  <si>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</si>
  <si>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</si>
  <si>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</si>
  <si>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</si>
  <si>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</si>
  <si>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</si>
  <si>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</si>
  <si>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</si>
  <si>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</si>
  <si>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</si>
  <si>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</si>
  <si>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</si>
  <si>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</si>
  <si>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</si>
  <si>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</si>
  <si>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</si>
  <si>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</si>
  <si>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</si>
  <si>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</si>
  <si>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</si>
  <si>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</si>
  <si>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</si>
  <si>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</si>
  <si>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</si>
  <si>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</si>
  <si>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</si>
  <si>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</si>
  <si>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</si>
  <si>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</si>
  <si>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</si>
  <si>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</si>
  <si>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</si>
  <si>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</si>
  <si>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</si>
  <si>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</si>
  <si>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</si>
  <si>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</si>
  <si>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</si>
  <si>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</si>
  <si>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</si>
  <si>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</si>
  <si>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</si>
  <si>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</si>
  <si>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</si>
  <si>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</si>
  <si>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</si>
  <si>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</si>
  <si>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</si>
  <si>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</si>
  <si>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</si>
  <si>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</si>
  <si>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</si>
  <si>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</si>
  <si>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</si>
  <si>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</si>
  <si>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</si>
  <si>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</si>
  <si>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</si>
  <si>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</si>
  <si>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</si>
  <si>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</si>
  <si>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</si>
  <si>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</si>
  <si>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</si>
  <si>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</si>
  <si>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</si>
  <si>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</si>
  <si>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</si>
  <si>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</si>
  <si>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</si>
  <si>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</si>
  <si>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</si>
  <si>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</si>
  <si>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</si>
  <si>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</si>
  <si>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</si>
  <si>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</si>
  <si>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</si>
  <si>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</si>
  <si>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</si>
  <si>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</si>
  <si>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</si>
  <si>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</si>
  <si>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</si>
  <si>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</si>
  <si>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</si>
  <si>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</si>
  <si>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</si>
  <si>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</si>
  <si>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</si>
  <si>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</si>
  <si>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</si>
  <si>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</si>
  <si>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</si>
  <si>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</si>
  <si>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</si>
  <si>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</si>
  <si>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</si>
  <si>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</si>
  <si>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</si>
  <si>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</si>
  <si>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</si>
  <si>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</si>
  <si>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</si>
  <si>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</si>
  <si>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</si>
  <si>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</si>
  <si>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</si>
  <si>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</si>
  <si>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</si>
  <si>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</si>
  <si>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</si>
  <si>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</si>
  <si>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</si>
  <si>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</si>
  <si>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</si>
  <si>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</si>
  <si>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</si>
  <si>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</si>
  <si>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</si>
  <si>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</si>
  <si>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</si>
  <si>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</si>
  <si>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</si>
  <si>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</si>
  <si>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</si>
  <si>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</si>
  <si>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</si>
  <si>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</si>
  <si>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</si>
  <si>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</si>
  <si>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</si>
  <si>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</si>
  <si>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</si>
  <si>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</si>
  <si>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</si>
  <si>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</si>
  <si>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</si>
  <si>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</si>
  <si>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</si>
  <si>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</si>
  <si>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</si>
  <si>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</si>
  <si>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</si>
  <si>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</si>
  <si>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</si>
  <si>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</si>
  <si>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</si>
  <si>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</si>
  <si>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</si>
  <si>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</si>
  <si>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</si>
  <si>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</si>
  <si>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</si>
  <si>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</si>
  <si>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</si>
  <si>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</si>
  <si>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</si>
  <si>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</si>
  <si>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</si>
  <si>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</si>
  <si>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</si>
  <si>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</si>
  <si>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</si>
  <si>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</si>
  <si>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</si>
  <si>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</si>
  <si>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</si>
  <si>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</si>
  <si>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</si>
  <si>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</si>
  <si>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</si>
  <si>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</si>
  <si>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</si>
  <si>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</si>
  <si>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</si>
  <si>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</si>
  <si>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</si>
  <si>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</si>
  <si>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</si>
  <si>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</si>
  <si>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</si>
  <si>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</si>
  <si>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</si>
  <si>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</si>
  <si>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</si>
  <si>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</si>
  <si>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</si>
  <si>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</si>
  <si>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</si>
  <si>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</si>
  <si>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</si>
  <si>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</si>
  <si>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</si>
  <si>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</si>
  <si>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</si>
  <si>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</si>
  <si>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</si>
  <si>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</si>
  <si>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</si>
  <si>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</si>
  <si>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</si>
  <si>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</si>
  <si>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</si>
  <si>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</si>
  <si>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</si>
  <si>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</si>
  <si>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</si>
  <si>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</si>
  <si>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</si>
  <si>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</si>
  <si>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</si>
  <si>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</si>
  <si>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</si>
  <si>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</si>
  <si>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</si>
  <si>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</si>
  <si>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</si>
  <si>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</si>
  <si>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</si>
  <si>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</si>
  <si>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</si>
  <si>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</si>
  <si>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</si>
  <si>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</si>
  <si>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</si>
  <si>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</si>
  <si>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</si>
  <si>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</si>
  <si>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</si>
  <si>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</si>
  <si>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</si>
  <si>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</si>
  <si>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</si>
  <si>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</si>
  <si>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</si>
  <si>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</si>
  <si>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</si>
  <si>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</si>
  <si>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</si>
  <si>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</si>
  <si>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</si>
  <si>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</si>
  <si>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</si>
  <si>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</si>
  <si>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</si>
  <si>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</si>
  <si>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</si>
  <si>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</si>
  <si>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</si>
  <si>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</si>
  <si>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</si>
  <si>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</si>
  <si>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</si>
  <si>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</si>
  <si>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</si>
  <si>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</si>
  <si>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</si>
  <si>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</si>
  <si>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</si>
  <si>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</si>
  <si>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</si>
  <si>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</si>
  <si>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</si>
  <si>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</si>
  <si>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</si>
  <si>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</si>
  <si>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</si>
  <si>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</si>
  <si>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</si>
  <si>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</si>
  <si>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</si>
  <si>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</si>
  <si>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</si>
  <si>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</si>
  <si>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</si>
  <si>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</si>
  <si>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</si>
  <si>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</si>
  <si>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</si>
  <si>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</si>
  <si>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</si>
  <si>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</si>
  <si>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</si>
  <si>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</si>
  <si>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</si>
  <si>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</si>
  <si>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</si>
  <si>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</si>
  <si>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</si>
  <si>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</si>
  <si>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</si>
  <si>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</si>
  <si>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</si>
  <si>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</si>
  <si>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</si>
  <si>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</si>
  <si>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</si>
  <si>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</si>
  <si>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</si>
  <si>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</si>
  <si>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</si>
  <si>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</si>
  <si>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</si>
  <si>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</si>
  <si>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</si>
  <si>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</si>
  <si>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</si>
  <si>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</si>
  <si>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</si>
  <si>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</si>
  <si>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</si>
  <si>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</si>
  <si>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</si>
  <si>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</si>
  <si>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</si>
  <si>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</si>
  <si>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</si>
  <si>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</si>
  <si>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</si>
  <si>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</si>
  <si>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</si>
  <si>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</si>
  <si>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</si>
  <si>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</si>
  <si>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</si>
  <si>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</si>
  <si>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</si>
  <si>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</si>
  <si>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</si>
  <si>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</si>
  <si>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</si>
  <si>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</si>
  <si>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</si>
  <si>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</si>
  <si>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</si>
  <si>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</si>
  <si>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</si>
  <si>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</si>
  <si>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</si>
  <si>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</si>
  <si>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</si>
  <si>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</si>
  <si>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</si>
  <si>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</si>
  <si>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</si>
  <si>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</si>
  <si>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</si>
  <si>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</si>
  <si>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</si>
  <si>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</si>
  <si>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</si>
  <si>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</si>
  <si>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</si>
  <si>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</si>
  <si>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</si>
  <si>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</si>
  <si>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</si>
  <si>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</si>
  <si>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</si>
  <si>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</si>
  <si>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</si>
  <si>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</si>
  <si>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</si>
  <si>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</si>
  <si>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</si>
  <si>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</si>
  <si>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</si>
  <si>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</si>
  <si>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</si>
  <si>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</si>
  <si>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</si>
  <si>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</si>
  <si>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</si>
  <si>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</si>
  <si>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</si>
  <si>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</si>
  <si>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</si>
  <si>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</si>
  <si>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</si>
  <si>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</si>
  <si>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</si>
  <si>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</si>
  <si>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</si>
  <si>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</si>
  <si>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</si>
  <si>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</si>
  <si>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</si>
  <si>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</si>
  <si>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</si>
  <si>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</si>
  <si>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</si>
  <si>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</si>
  <si>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</si>
  <si>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</si>
  <si>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</si>
  <si>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</si>
  <si>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</si>
  <si>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</si>
  <si>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</si>
  <si>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</si>
  <si>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</si>
  <si>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</si>
  <si>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</si>
  <si>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</si>
  <si>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</si>
  <si>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</si>
  <si>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</si>
  <si>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</si>
  <si>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</si>
  <si>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</si>
  <si>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</si>
  <si>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</si>
  <si>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</si>
  <si>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</si>
  <si>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</si>
  <si>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</si>
  <si>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</si>
  <si>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</si>
  <si>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</si>
  <si>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</si>
  <si>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</si>
  <si>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</si>
  <si>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</si>
  <si>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</si>
  <si>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</si>
  <si>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</si>
  <si>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</si>
  <si>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</si>
  <si>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</si>
  <si>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</si>
  <si>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</si>
  <si>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</si>
  <si>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</si>
  <si>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</si>
  <si>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</si>
  <si>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</si>
  <si>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</si>
  <si>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</si>
  <si>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</si>
  <si>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</si>
  <si>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</si>
  <si>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</si>
  <si>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</si>
  <si>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</si>
  <si>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</si>
  <si>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</si>
  <si>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</si>
  <si>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</si>
  <si>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</si>
  <si>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</si>
  <si>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</si>
  <si>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</si>
  <si>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</si>
  <si>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</si>
  <si>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</si>
  <si>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</si>
  <si>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</si>
  <si>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</si>
  <si>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</si>
  <si>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</si>
  <si>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</si>
  <si>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</si>
  <si>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</si>
  <si>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</si>
  <si>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</si>
  <si>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</si>
  <si>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</si>
  <si>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</si>
  <si>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</si>
  <si>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</si>
  <si>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</si>
  <si>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</si>
  <si>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</si>
  <si>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</si>
  <si>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</si>
  <si>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</si>
  <si>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</si>
  <si>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</si>
  <si>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</si>
  <si>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</si>
  <si>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</si>
  <si>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</si>
  <si>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</si>
  <si>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</si>
  <si>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</si>
  <si>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</si>
  <si>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</si>
  <si>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</si>
  <si>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</si>
  <si>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</si>
  <si>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</si>
  <si>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</si>
  <si>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</si>
  <si>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</si>
  <si>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</si>
  <si>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</si>
  <si>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</si>
  <si>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</si>
  <si>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</si>
  <si>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</si>
  <si>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</si>
  <si>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</si>
  <si>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</si>
  <si>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</si>
  <si>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</si>
  <si>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</si>
  <si>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</si>
  <si>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</si>
  <si>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</si>
  <si>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</si>
  <si>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</si>
  <si>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</si>
  <si>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</si>
  <si>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</si>
  <si>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</si>
  <si>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</si>
  <si>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</si>
  <si>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</si>
  <si>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</si>
  <si>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</si>
  <si>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</si>
  <si>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</si>
  <si>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</si>
  <si>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</si>
  <si>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</si>
  <si>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</si>
  <si>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</si>
  <si>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</si>
  <si>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</si>
  <si>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</si>
  <si>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</si>
  <si>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</si>
  <si>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</si>
  <si>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</si>
  <si>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</si>
  <si>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</si>
  <si>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</si>
  <si>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</si>
  <si>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</si>
  <si>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</si>
  <si>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</si>
  <si>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</si>
  <si>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</si>
  <si>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</si>
  <si>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</si>
  <si>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</si>
  <si>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</si>
  <si>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</si>
  <si>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</si>
  <si>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</si>
  <si>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</si>
  <si>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</si>
  <si>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</si>
  <si>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</si>
  <si>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</si>
  <si>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</si>
  <si>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</si>
  <si>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</si>
  <si>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</si>
  <si>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</si>
  <si>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</si>
  <si>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</si>
  <si>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</si>
  <si>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</si>
  <si>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</si>
  <si>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</si>
  <si>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</si>
  <si>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</si>
  <si>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</si>
  <si>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</si>
  <si>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</si>
  <si>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</si>
  <si>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</si>
  <si>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</si>
  <si>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</si>
  <si>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</si>
  <si>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</si>
  <si>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</si>
  <si>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</si>
  <si>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</si>
  <si>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</si>
  <si>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</si>
  <si>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</si>
  <si>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</si>
  <si>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</si>
  <si>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</si>
  <si>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</si>
  <si>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</si>
  <si>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</si>
  <si>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</si>
  <si>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</si>
  <si>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</si>
  <si>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</si>
  <si>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</si>
  <si>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</si>
  <si>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</si>
  <si>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</si>
  <si>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</si>
  <si>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</si>
  <si>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</si>
  <si>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</si>
  <si>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</si>
  <si>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</si>
  <si>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</si>
  <si>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</si>
  <si>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</si>
  <si>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</si>
  <si>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</si>
  <si>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</si>
  <si>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</si>
  <si>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</si>
  <si>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</si>
  <si>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</si>
  <si>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</si>
  <si>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</si>
  <si>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</si>
  <si>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</si>
  <si>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</si>
  <si>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</si>
  <si>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</si>
  <si>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</si>
  <si>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</si>
  <si>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</si>
  <si>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</si>
  <si>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</si>
  <si>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</si>
  <si>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</si>
  <si>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</si>
  <si>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</si>
  <si>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</si>
  <si>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</si>
  <si>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</si>
  <si>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</si>
  <si>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</si>
  <si>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</si>
  <si>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</si>
  <si>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</si>
  <si>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</si>
  <si>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</si>
  <si>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</si>
  <si>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</si>
  <si>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</si>
  <si>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</si>
  <si>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</si>
  <si>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</si>
  <si>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</si>
  <si>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</si>
  <si>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</si>
  <si>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</si>
  <si>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</si>
  <si>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</si>
  <si>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</si>
  <si>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</si>
  <si>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</si>
  <si>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</si>
  <si>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</si>
  <si>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</si>
  <si>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</si>
  <si>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</si>
  <si>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</si>
  <si>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</si>
  <si>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</si>
  <si>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</si>
  <si>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</si>
  <si>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</si>
  <si>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</si>
  <si>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</si>
  <si>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</si>
  <si>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</si>
  <si>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</si>
  <si>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</si>
  <si>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</si>
  <si>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</si>
  <si>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</si>
  <si>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</si>
  <si>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</si>
  <si>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</si>
  <si>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</si>
  <si>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</si>
  <si>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</si>
  <si>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</si>
  <si>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</si>
  <si>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</si>
  <si>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</si>
  <si>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</si>
  <si>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</si>
  <si>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</si>
  <si>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</si>
  <si>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</si>
  <si>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</si>
  <si>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</si>
  <si>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</si>
  <si>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</si>
  <si>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</si>
  <si>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</si>
  <si>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</si>
  <si>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</si>
  <si>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</si>
  <si>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</si>
  <si>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</si>
  <si>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</si>
  <si>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</si>
  <si>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</si>
  <si>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</si>
  <si>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</si>
  <si>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</si>
  <si>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</si>
  <si>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</si>
  <si>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</si>
  <si>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</si>
  <si>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</si>
  <si>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</si>
  <si>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</si>
  <si>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</si>
  <si>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</si>
  <si>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</si>
  <si>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</si>
  <si>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</si>
  <si>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</si>
  <si>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</si>
  <si>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</si>
  <si>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</si>
  <si>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</si>
  <si>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</si>
  <si>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</si>
  <si>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</si>
  <si>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</si>
  <si>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</si>
  <si>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</si>
  <si>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</si>
  <si>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</si>
  <si>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</si>
  <si>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</si>
  <si>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</si>
  <si>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</si>
  <si>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</si>
  <si>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</si>
  <si>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</si>
  <si>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</si>
  <si>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</si>
  <si>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</si>
  <si>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</si>
  <si>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</si>
  <si>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</si>
  <si>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</si>
  <si>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</si>
  <si>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</si>
  <si>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</si>
  <si>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</si>
  <si>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</si>
  <si>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</si>
  <si>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</si>
  <si>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</si>
  <si>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</si>
  <si>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</si>
  <si>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</si>
  <si>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</si>
  <si>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</si>
  <si>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</si>
  <si>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</si>
  <si>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</si>
  <si>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</si>
  <si>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</si>
  <si>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</si>
  <si>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</si>
  <si>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</si>
  <si>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</si>
  <si>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</si>
  <si>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</si>
  <si>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</si>
  <si>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</si>
  <si>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</si>
  <si>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</si>
  <si>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</si>
  <si>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</si>
  <si>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</si>
  <si>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</si>
  <si>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</si>
  <si>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</si>
  <si>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</si>
  <si>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</si>
  <si>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</si>
  <si>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</si>
  <si>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</si>
  <si>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</si>
  <si>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</si>
  <si>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</si>
  <si>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</si>
  <si>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</si>
  <si>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</si>
  <si>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</si>
  <si>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</si>
  <si>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</si>
  <si>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</si>
  <si>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</si>
  <si>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</si>
  <si>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</si>
  <si>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</si>
  <si>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</si>
  <si>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</si>
  <si>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</si>
  <si>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</si>
  <si>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</si>
  <si>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</si>
  <si>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</si>
  <si>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</si>
  <si>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</si>
  <si>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</si>
  <si>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</si>
  <si>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</si>
  <si>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</si>
  <si>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</si>
  <si>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</si>
  <si>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</si>
  <si>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</si>
  <si>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</si>
  <si>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</si>
  <si>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</si>
  <si>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</si>
  <si>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</si>
  <si>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</si>
  <si>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</si>
  <si>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</si>
  <si>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</si>
  <si>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</si>
  <si>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</si>
  <si>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</si>
  <si>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</si>
  <si>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</si>
  <si>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</si>
  <si>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</si>
  <si>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</si>
  <si>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</si>
  <si>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</si>
  <si>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</si>
  <si>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</si>
  <si>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</si>
  <si>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</si>
  <si>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</si>
  <si>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</si>
  <si>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</si>
  <si>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</si>
  <si>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</si>
  <si>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</si>
  <si>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</si>
  <si>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</si>
  <si>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</si>
  <si>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</si>
  <si>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</si>
  <si>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</si>
  <si>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</si>
  <si>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</si>
  <si>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</si>
  <si>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</si>
  <si>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</si>
  <si>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</si>
  <si>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</si>
  <si>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</si>
  <si>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</si>
  <si>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</si>
  <si>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</si>
  <si>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</si>
  <si>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</si>
  <si>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</si>
  <si>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</si>
  <si>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</si>
  <si>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</si>
  <si>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</si>
  <si>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</si>
  <si>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</si>
  <si>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</si>
  <si>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</si>
  <si>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</si>
  <si>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</si>
  <si>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</si>
  <si>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</si>
  <si>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</si>
  <si>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</si>
  <si>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</si>
  <si>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</si>
  <si>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</si>
  <si>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</si>
  <si>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</si>
  <si>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</si>
  <si>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</si>
  <si>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</si>
  <si>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</si>
  <si>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</si>
  <si>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</si>
  <si>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</si>
  <si>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</si>
  <si>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</si>
  <si>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</si>
  <si>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</si>
  <si>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</si>
  <si>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</si>
  <si>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</si>
  <si>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</si>
  <si>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</si>
  <si>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</si>
  <si>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</si>
  <si>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</si>
  <si>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</si>
  <si>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</si>
  <si>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</si>
  <si>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</si>
  <si>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</si>
  <si>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</si>
  <si>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</si>
  <si>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</si>
  <si>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</si>
  <si>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</si>
  <si>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</si>
  <si>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</si>
  <si>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</si>
  <si>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</si>
  <si>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</si>
  <si>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</si>
  <si>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</si>
  <si>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</si>
  <si>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</si>
  <si>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</si>
  <si>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</si>
  <si>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</si>
  <si>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</si>
  <si>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</si>
  <si>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</si>
  <si>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</si>
  <si>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</si>
  <si>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</si>
  <si>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</si>
  <si>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</si>
  <si>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</si>
  <si>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</si>
  <si>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</si>
  <si>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</si>
  <si>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</si>
  <si>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</si>
  <si>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</si>
  <si>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</si>
  <si>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</si>
  <si>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</si>
  <si>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</si>
  <si>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</si>
  <si>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</si>
  <si>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</si>
  <si>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</si>
  <si>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</si>
  <si>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</si>
  <si>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</si>
  <si>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</si>
  <si>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</si>
  <si>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</si>
  <si>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</si>
  <si>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</si>
  <si>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</si>
  <si>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</si>
  <si>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</si>
  <si>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</si>
  <si>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</si>
  <si>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</si>
  <si>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</si>
  <si>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</si>
  <si>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</si>
  <si>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</si>
  <si>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</si>
  <si>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</si>
  <si>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</si>
  <si>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</si>
  <si>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</si>
  <si>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</si>
  <si>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</si>
  <si>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</si>
  <si>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</si>
  <si>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</si>
  <si>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</si>
  <si>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</si>
  <si>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</si>
  <si>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</si>
  <si>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</si>
  <si>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</si>
  <si>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</si>
  <si>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</si>
  <si>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</si>
  <si>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</si>
  <si>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</si>
  <si>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</si>
  <si>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</si>
  <si>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</si>
  <si>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</si>
  <si>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</si>
  <si>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</si>
  <si>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</si>
  <si>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</si>
  <si>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</si>
  <si>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</si>
  <si>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</si>
  <si>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</si>
  <si>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</si>
  <si>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</si>
  <si>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</si>
  <si>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</si>
  <si>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</si>
  <si>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</si>
  <si>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</si>
  <si>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</si>
  <si>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</si>
  <si>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</si>
  <si>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</si>
  <si>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</si>
  <si>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</si>
  <si>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</si>
  <si>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</si>
  <si>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</si>
  <si>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</si>
  <si>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</si>
  <si>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</si>
  <si>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</si>
  <si>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</si>
  <si>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</si>
  <si>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</si>
  <si>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</si>
  <si>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</si>
  <si>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</si>
  <si>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</si>
  <si>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</si>
  <si>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</si>
  <si>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</si>
  <si>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</si>
  <si>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</si>
  <si>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</si>
  <si>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</si>
  <si>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</si>
  <si>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</si>
  <si>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</si>
  <si>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</si>
  <si>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</si>
  <si>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</si>
  <si>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</si>
  <si>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</si>
  <si>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</si>
  <si>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</si>
  <si>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</si>
  <si>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</si>
  <si>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</si>
  <si>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</si>
  <si>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</si>
  <si>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</si>
  <si>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</si>
  <si>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</si>
  <si>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</si>
  <si>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</si>
  <si>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</si>
  <si>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</si>
  <si>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</si>
  <si>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</si>
  <si>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</si>
  <si>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</si>
  <si>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</si>
  <si>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</si>
  <si>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</si>
  <si>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</si>
  <si>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</si>
  <si>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</si>
  <si>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</si>
  <si>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</si>
  <si>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</si>
  <si>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</si>
  <si>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</si>
  <si>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</si>
  <si>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</si>
  <si>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</si>
  <si>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</si>
  <si>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</si>
  <si>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</si>
  <si>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</si>
  <si>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</si>
  <si>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</si>
  <si>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</si>
  <si>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</si>
  <si>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</si>
  <si>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</si>
  <si>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</si>
  <si>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</si>
  <si>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</si>
  <si>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</si>
  <si>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</si>
  <si>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</si>
  <si>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</si>
  <si>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</si>
  <si>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</si>
  <si>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</si>
  <si>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</si>
  <si>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</si>
  <si>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</si>
  <si>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</si>
  <si>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</si>
  <si>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</si>
  <si>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</si>
  <si>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</si>
  <si>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</si>
  <si>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</si>
  <si>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</si>
  <si>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</si>
  <si>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</si>
  <si>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</si>
  <si>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</si>
  <si>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</si>
  <si>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</si>
  <si>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</si>
  <si>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</si>
  <si>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</si>
  <si>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</si>
  <si>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</si>
  <si>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</si>
  <si>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</si>
  <si>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</si>
  <si>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</si>
  <si>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</si>
  <si>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</si>
  <si>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</si>
  <si>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</si>
  <si>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</si>
  <si>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</si>
  <si>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</si>
  <si>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</si>
  <si>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</si>
  <si>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</si>
  <si>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</si>
  <si>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</si>
  <si>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</si>
  <si>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</si>
  <si>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</si>
  <si>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</si>
  <si>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</si>
  <si>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</si>
  <si>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</si>
  <si>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</si>
  <si>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</si>
  <si>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</si>
  <si>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</si>
  <si>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</si>
  <si>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</si>
  <si>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</si>
  <si>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</si>
  <si>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</si>
  <si>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</si>
  <si>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</si>
  <si>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</si>
  <si>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</si>
  <si>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</si>
  <si>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</si>
  <si>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</si>
  <si>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</si>
  <si>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</si>
  <si>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</si>
  <si>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</si>
  <si>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</si>
  <si>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</si>
  <si>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</si>
  <si>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</si>
  <si>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</si>
  <si>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</si>
  <si>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</si>
  <si>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</si>
  <si>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</si>
  <si>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</si>
  <si>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</si>
  <si>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</si>
  <si>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</si>
  <si>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</si>
  <si>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</si>
  <si>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</si>
  <si>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</si>
  <si>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</si>
  <si>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</si>
  <si>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</si>
  <si>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</si>
  <si>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</si>
  <si>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</si>
  <si>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</si>
  <si>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</si>
  <si>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</si>
  <si>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</si>
  <si>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</si>
  <si>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</si>
  <si>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</si>
  <si>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</si>
  <si>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</si>
  <si>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</si>
  <si>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</si>
  <si>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</si>
  <si>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</si>
  <si>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</si>
  <si>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</si>
  <si>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</si>
  <si>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</si>
  <si>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</si>
  <si>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</si>
  <si>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</si>
  <si>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</si>
  <si>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</si>
  <si>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</si>
  <si>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</si>
  <si>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</si>
  <si>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</si>
  <si>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</si>
  <si>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</si>
  <si>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</si>
  <si>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</si>
  <si>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</si>
  <si>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</si>
  <si>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</si>
  <si>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</si>
  <si>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</si>
  <si>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</si>
  <si>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</si>
  <si>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</si>
  <si>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</si>
  <si>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</si>
  <si>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</si>
  <si>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</si>
  <si>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</si>
  <si>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</si>
  <si>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</si>
  <si>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</si>
  <si>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</si>
  <si>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</si>
  <si>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</si>
  <si>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</si>
  <si>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</si>
  <si>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</si>
  <si>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</si>
  <si>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</si>
  <si>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</si>
  <si>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</si>
  <si>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</si>
  <si>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</si>
  <si>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</si>
  <si>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</si>
  <si>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</si>
  <si>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</si>
  <si>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</si>
  <si>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</si>
  <si>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</si>
  <si>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</si>
  <si>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</si>
  <si>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</si>
  <si>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</si>
  <si>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</si>
  <si>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</si>
  <si>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</si>
  <si>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</si>
  <si>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</si>
  <si>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</si>
  <si>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</si>
  <si>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</si>
  <si>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</si>
  <si>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</si>
  <si>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</si>
  <si>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</si>
  <si>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</si>
  <si>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</si>
  <si>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</si>
  <si>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</si>
  <si>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</si>
  <si>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</si>
  <si>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</si>
  <si>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</si>
  <si>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</si>
  <si>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</si>
  <si>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</si>
  <si>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</si>
  <si>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</si>
  <si>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</si>
  <si>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</si>
  <si>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</si>
  <si>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</si>
  <si>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</si>
  <si>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</si>
  <si>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</si>
  <si>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</si>
  <si>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</si>
  <si>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</si>
  <si>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</si>
  <si>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</si>
  <si>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</si>
  <si>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</si>
  <si>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</si>
  <si>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</si>
  <si>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</si>
  <si>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</si>
  <si>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</si>
  <si>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</si>
  <si>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</si>
  <si>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</si>
  <si>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</si>
  <si>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</si>
  <si>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</si>
  <si>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</si>
  <si>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</si>
  <si>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</si>
  <si>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</si>
  <si>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</si>
  <si>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</si>
  <si>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</si>
  <si>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</si>
  <si>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</si>
  <si>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</si>
  <si>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</si>
  <si>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</si>
  <si>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</si>
  <si>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</si>
  <si>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</si>
  <si>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</si>
  <si>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</si>
  <si>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</si>
  <si>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</si>
  <si>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</si>
  <si>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</si>
  <si>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</si>
  <si>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</si>
  <si>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</si>
  <si>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</si>
  <si>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</si>
  <si>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</si>
  <si>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</si>
  <si>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</si>
  <si>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</si>
  <si>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</si>
  <si>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</si>
  <si>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</si>
  <si>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</si>
  <si>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</si>
  <si>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</si>
  <si>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</si>
  <si>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</si>
  <si>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</si>
  <si>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</si>
  <si>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</si>
  <si>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</si>
  <si>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</si>
  <si>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</si>
  <si>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</si>
  <si>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</si>
  <si>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</si>
  <si>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</si>
  <si>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</si>
  <si>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</si>
  <si>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</si>
  <si>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</si>
  <si>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</si>
  <si>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</si>
  <si>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</si>
  <si>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</si>
  <si>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</si>
  <si>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</si>
  <si>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</si>
  <si>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</si>
  <si>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</si>
  <si>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</si>
  <si>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</si>
  <si>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</si>
  <si>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</si>
  <si>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</si>
  <si>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</si>
  <si>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</si>
  <si>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</si>
  <si>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</si>
  <si>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</si>
  <si>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</si>
  <si>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</si>
  <si>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</si>
  <si>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</si>
  <si>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</si>
  <si>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</si>
  <si>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</si>
  <si>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</si>
  <si>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</si>
  <si>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</si>
  <si>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</si>
  <si>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</si>
  <si>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</si>
  <si>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</si>
  <si>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</si>
  <si>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</si>
  <si>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</si>
  <si>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</si>
  <si>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</si>
  <si>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</si>
  <si>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</si>
  <si>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</si>
  <si>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</si>
  <si>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</si>
  <si>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</si>
  <si>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</si>
  <si>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</si>
  <si>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</si>
  <si>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</si>
  <si>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</si>
  <si>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</si>
  <si>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</si>
  <si>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</si>
  <si>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</si>
  <si>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</si>
  <si>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</si>
  <si>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</si>
  <si>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</si>
  <si>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</si>
  <si>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</si>
  <si>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</si>
  <si>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</si>
  <si>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</si>
  <si>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</si>
  <si>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</si>
  <si>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</si>
  <si>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</si>
  <si>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</si>
  <si>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</si>
  <si>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</si>
  <si>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</si>
  <si>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</si>
  <si>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</si>
  <si>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</si>
  <si>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</si>
  <si>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</si>
  <si>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</si>
  <si>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</si>
  <si>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</si>
  <si>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</si>
  <si>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</si>
  <si>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</si>
  <si>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</si>
  <si>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</si>
  <si>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</si>
  <si>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</si>
  <si>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</si>
  <si>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</si>
  <si>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</si>
  <si>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</si>
  <si>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</si>
  <si>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</si>
  <si>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</si>
  <si>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</si>
  <si>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</si>
  <si>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</si>
  <si>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</si>
  <si>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</si>
  <si>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</si>
  <si>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</si>
  <si>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</si>
  <si>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</si>
  <si>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</si>
  <si>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</si>
  <si>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</si>
  <si>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</si>
  <si>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</si>
  <si>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</si>
  <si>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</si>
  <si>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</si>
  <si>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</si>
  <si>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</si>
  <si>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</si>
  <si>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</si>
  <si>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</si>
  <si>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</si>
  <si>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</si>
  <si>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</si>
  <si>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</si>
  <si>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</si>
  <si>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</si>
  <si>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</si>
  <si>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</si>
  <si>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</si>
  <si>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</si>
  <si>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</si>
  <si>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</si>
  <si>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</si>
  <si>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</si>
  <si>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</si>
  <si>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</si>
  <si>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</si>
  <si>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</si>
  <si>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</si>
  <si>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</si>
  <si>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</si>
  <si>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</si>
  <si>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</si>
  <si>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</si>
  <si>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</si>
  <si>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</si>
  <si>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</si>
  <si>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</si>
  <si>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</si>
  <si>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</si>
  <si>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</si>
  <si>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</si>
  <si>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</si>
  <si>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</si>
  <si>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</si>
  <si>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</si>
  <si>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</si>
  <si>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</si>
  <si>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</si>
  <si>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</si>
  <si>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</si>
  <si>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</si>
  <si>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</si>
  <si>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</si>
  <si>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</si>
  <si>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</si>
  <si>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</si>
  <si>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</si>
  <si>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</si>
  <si>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</si>
  <si>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</si>
  <si>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</si>
  <si>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</si>
  <si>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</si>
  <si>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</si>
  <si>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</si>
  <si>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</si>
  <si>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</si>
  <si>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</si>
  <si>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</si>
  <si>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</si>
  <si>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</si>
  <si>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</si>
  <si>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</si>
  <si>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</si>
  <si>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</si>
  <si>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</si>
  <si>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</si>
  <si>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</si>
  <si>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</si>
  <si>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</si>
  <si>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</si>
  <si>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</si>
  <si>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</si>
  <si>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</si>
  <si>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</si>
  <si>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</si>
  <si>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</si>
  <si>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</si>
  <si>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</si>
  <si>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</si>
  <si>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</si>
  <si>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</si>
  <si>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</si>
  <si>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</si>
  <si>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</si>
  <si>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</si>
  <si>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</si>
  <si>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</si>
  <si>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</si>
  <si>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</si>
  <si>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</si>
  <si>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</si>
  <si>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</si>
  <si>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</si>
  <si>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</si>
  <si>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</si>
  <si>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</si>
  <si>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</si>
  <si>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</si>
  <si>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</si>
  <si>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</si>
  <si>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</si>
  <si>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</si>
  <si>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</si>
  <si>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</si>
  <si>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</si>
  <si>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</si>
  <si>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</si>
  <si>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</si>
  <si>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</si>
  <si>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</si>
  <si>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</si>
  <si>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</si>
  <si>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</si>
  <si>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</si>
  <si>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</si>
  <si>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</si>
  <si>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</si>
  <si>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</si>
  <si>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</si>
  <si>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</si>
  <si>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</si>
  <si>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</si>
  <si>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rep</t>
  </si>
  <si>
    <t>répétition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</si>
  <si>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</si>
  <si>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</si>
  <si>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</si>
  <si>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</si>
  <si>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</si>
  <si>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</si>
  <si>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</si>
  <si>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</si>
  <si>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</si>
  <si>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</si>
  <si>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INN3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</si>
  <si>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</si>
  <si>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</si>
  <si>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</si>
  <si>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</si>
  <si>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</si>
  <si>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</si>
  <si>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</si>
  <si>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</si>
  <si>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</si>
  <si>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</si>
  <si>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</si>
  <si>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</si>
  <si>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</si>
  <si>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</si>
  <si>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</si>
  <si>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</si>
  <si>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</si>
  <si>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</si>
  <si>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</si>
  <si>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</si>
  <si>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</si>
  <si>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Meteo_data</t>
  </si>
  <si>
    <t>Soil_data</t>
  </si>
  <si>
    <t>INN_data</t>
  </si>
  <si>
    <t>Parcellaire_data</t>
  </si>
  <si>
    <t>ITK_data</t>
  </si>
  <si>
    <t>Excel</t>
  </si>
  <si>
    <t>See tab</t>
  </si>
  <si>
    <t>NA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</si>
  <si>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</si>
  <si>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</si>
  <si>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</si>
  <si>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</si>
  <si>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</si>
  <si>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</si>
  <si>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</si>
  <si>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</si>
  <si>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</si>
  <si>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</si>
  <si>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</si>
  <si>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Nesi</t>
  </si>
  <si>
    <t>Nathalie</t>
  </si>
  <si>
    <t>nathalie.nesi@rennes.inra.fr</t>
  </si>
  <si>
    <t>IGEPP</t>
  </si>
  <si>
    <t>RAPSODYN</t>
  </si>
  <si>
    <t>B2</t>
  </si>
  <si>
    <r>
      <t xml:space="preserve">Deux échantillons différents sont identifiés : 1/5 des plantes et 4/5 des plantes </t>
    </r>
    <r>
      <rPr>
        <b/>
        <sz val="10"/>
        <color rgb="FFFF0000"/>
        <rFont val="Arial"/>
        <family val="2"/>
      </rPr>
      <t>==&gt; Ici ce n'est pas le cas</t>
    </r>
  </si>
  <si>
    <t>RG</t>
  </si>
  <si>
    <t>RR</t>
  </si>
  <si>
    <t>TM</t>
  </si>
  <si>
    <t>TN</t>
  </si>
  <si>
    <t>TX</t>
  </si>
  <si>
    <t>AN</t>
  </si>
  <si>
    <t>MOIS</t>
  </si>
  <si>
    <t>JOUR</t>
  </si>
  <si>
    <t>2010-2011</t>
  </si>
  <si>
    <t>BGA</t>
  </si>
  <si>
    <t>01'14'10'E</t>
  </si>
  <si>
    <t>43'40'04'N</t>
  </si>
  <si>
    <t>Mondonville</t>
  </si>
  <si>
    <t>FRA_31_MOND</t>
  </si>
  <si>
    <t>08/09/2010</t>
  </si>
  <si>
    <t>ETPP:EVAPOTRANSPIRATION PENMAN (MILLIMETRES)</t>
  </si>
  <si>
    <t>RG:RAYONNEMENT GLOBAL (JOULES/CM2)</t>
  </si>
  <si>
    <t>RR:HAUTEUR DES PRECIPITATIONS (MILLIMETRES)</t>
  </si>
  <si>
    <t>TM:TEMPERATURE MOYENNE (DEGRES CELSIUS)</t>
  </si>
  <si>
    <t>TN:TEMPERATURE MINIMALE (DEGRES CELSIUS)</t>
  </si>
  <si>
    <t>TX:TEMPERATURE MAXIMALE (DEGRES CELSIUS)</t>
  </si>
  <si>
    <t>ETPP</t>
  </si>
  <si>
    <t>ETPP automne</t>
  </si>
  <si>
    <t>ETPP hiver</t>
  </si>
  <si>
    <t>ETPP printemp</t>
  </si>
  <si>
    <t>ETPP GFP</t>
  </si>
  <si>
    <t>date</t>
  </si>
  <si>
    <t xml:space="preserve">cumul T°C </t>
  </si>
  <si>
    <t>cumul T° hiver</t>
  </si>
  <si>
    <t>cumul T printemps</t>
  </si>
  <si>
    <t>cumul T remplissage</t>
  </si>
  <si>
    <t>RG cumulé</t>
  </si>
  <si>
    <t>RG cumulé hiver</t>
  </si>
  <si>
    <t>RG cumulé printemps</t>
  </si>
  <si>
    <t>RG cumulé remplissage</t>
  </si>
  <si>
    <t>cumul RR</t>
  </si>
  <si>
    <t>cumul RR hiver</t>
  </si>
  <si>
    <t>cumul RR prontemps</t>
  </si>
  <si>
    <t>cumul RR GFP</t>
  </si>
  <si>
    <t>cumul RR flo</t>
  </si>
  <si>
    <t>jours T°C&gt;0°C</t>
  </si>
  <si>
    <t>jours T°C&lt;4,5</t>
  </si>
  <si>
    <t>ETPP cumulé</t>
  </si>
  <si>
    <t>coefficient photothermique journalier</t>
  </si>
  <si>
    <t>coefficient photothermique cumulé</t>
  </si>
  <si>
    <t>Route</t>
  </si>
  <si>
    <t>R2</t>
  </si>
  <si>
    <t>Ova</t>
  </si>
  <si>
    <t>R1</t>
  </si>
  <si>
    <t>Témoin parent 1</t>
  </si>
  <si>
    <t>09_10</t>
  </si>
  <si>
    <t>reliquat azote 1</t>
  </si>
  <si>
    <t>INN 1 &amp; 2</t>
  </si>
  <si>
    <t>INN 3 &amp; 4</t>
  </si>
  <si>
    <t xml:space="preserve"> + </t>
  </si>
  <si>
    <t>en mélange</t>
  </si>
  <si>
    <t>2 horizons</t>
  </si>
  <si>
    <t>01_11</t>
  </si>
  <si>
    <t>reliquat azote 2</t>
  </si>
  <si>
    <t>Témoin parent 2</t>
  </si>
  <si>
    <t>06_11</t>
  </si>
  <si>
    <t>reliquat azote 3</t>
  </si>
  <si>
    <t>Position des sondes humidité</t>
  </si>
  <si>
    <t>10 t/ha de Boues</t>
  </si>
  <si>
    <t>250 kg/ha 0.25.25</t>
  </si>
  <si>
    <t>40 U Dose N2</t>
  </si>
  <si>
    <t>30 U Dose N1 / 80 U Dose N2</t>
  </si>
  <si>
    <t>Fertilisation</t>
  </si>
  <si>
    <t>N (2) ; P (3) ; K (1,5)</t>
  </si>
  <si>
    <t>P(62) ; K(62)</t>
  </si>
  <si>
    <t>Novall</t>
  </si>
  <si>
    <t>2 l</t>
  </si>
  <si>
    <t>Ogive</t>
  </si>
  <si>
    <t>0.25 l</t>
  </si>
  <si>
    <t>0,5 l</t>
  </si>
  <si>
    <t>Herbicides</t>
  </si>
  <si>
    <t>Cyperfor</t>
  </si>
  <si>
    <t>0,3 l</t>
  </si>
  <si>
    <t>Insecticides</t>
  </si>
  <si>
    <t>Semis</t>
  </si>
  <si>
    <t>Densité : 45 grains/m²</t>
  </si>
  <si>
    <t>Picor</t>
  </si>
  <si>
    <t>0,4 l</t>
  </si>
  <si>
    <t>Héliosol (adjuvent)</t>
  </si>
  <si>
    <t>0,2 l</t>
  </si>
  <si>
    <t>Fongicides</t>
  </si>
  <si>
    <t>Fertilisation limitante (30U)</t>
  </si>
  <si>
    <t>Fertilisation optimale (120U)</t>
  </si>
  <si>
    <t>G-125</t>
  </si>
  <si>
    <t>Tenor</t>
  </si>
  <si>
    <t>G-126</t>
  </si>
  <si>
    <t>Express</t>
  </si>
  <si>
    <t>G-127</t>
  </si>
  <si>
    <t>DK001</t>
  </si>
  <si>
    <t>G-128</t>
  </si>
  <si>
    <t>DK007</t>
  </si>
  <si>
    <t>G-129</t>
  </si>
  <si>
    <t>DK008</t>
  </si>
  <si>
    <t>G-130</t>
  </si>
  <si>
    <t>DK011</t>
  </si>
  <si>
    <t>G-131</t>
  </si>
  <si>
    <t>DK012</t>
  </si>
  <si>
    <t>G-132</t>
  </si>
  <si>
    <t>DK013</t>
  </si>
  <si>
    <t>G-133</t>
  </si>
  <si>
    <t>DK016</t>
  </si>
  <si>
    <t>G-134</t>
  </si>
  <si>
    <t>DK017</t>
  </si>
  <si>
    <t>G-135</t>
  </si>
  <si>
    <t>DK018</t>
  </si>
  <si>
    <t>G-136</t>
  </si>
  <si>
    <t>DK020</t>
  </si>
  <si>
    <t>G-137</t>
  </si>
  <si>
    <t>DK021</t>
  </si>
  <si>
    <t>G-138</t>
  </si>
  <si>
    <t>DK023</t>
  </si>
  <si>
    <t>G-139</t>
  </si>
  <si>
    <t>DK024</t>
  </si>
  <si>
    <t>G-140</t>
  </si>
  <si>
    <t>DK029</t>
  </si>
  <si>
    <t>G-141</t>
  </si>
  <si>
    <t>DK030</t>
  </si>
  <si>
    <t>G-142</t>
  </si>
  <si>
    <t>DK031</t>
  </si>
  <si>
    <t>G-143</t>
  </si>
  <si>
    <t>DK035</t>
  </si>
  <si>
    <t>G-144</t>
  </si>
  <si>
    <t>DK036</t>
  </si>
  <si>
    <t>G-145</t>
  </si>
  <si>
    <t>DK037</t>
  </si>
  <si>
    <t>G-146</t>
  </si>
  <si>
    <t>DK038</t>
  </si>
  <si>
    <t>G-147</t>
  </si>
  <si>
    <t>DK039</t>
  </si>
  <si>
    <t>G-148</t>
  </si>
  <si>
    <t>DK041</t>
  </si>
  <si>
    <t>G-149</t>
  </si>
  <si>
    <t>DK042</t>
  </si>
  <si>
    <t>G-150</t>
  </si>
  <si>
    <t>DK044</t>
  </si>
  <si>
    <t>G-151</t>
  </si>
  <si>
    <t>DK045</t>
  </si>
  <si>
    <t>G-152</t>
  </si>
  <si>
    <t>DK046</t>
  </si>
  <si>
    <t>G-153</t>
  </si>
  <si>
    <t>DK049</t>
  </si>
  <si>
    <t>G-154</t>
  </si>
  <si>
    <t>DK052</t>
  </si>
  <si>
    <t>G-155</t>
  </si>
  <si>
    <t>DK053</t>
  </si>
  <si>
    <t>G-156</t>
  </si>
  <si>
    <t>DK055</t>
  </si>
  <si>
    <t>G-157</t>
  </si>
  <si>
    <t>DK057</t>
  </si>
  <si>
    <t>G-159</t>
  </si>
  <si>
    <t>DK061</t>
  </si>
  <si>
    <t>G-160</t>
  </si>
  <si>
    <t>DK063</t>
  </si>
  <si>
    <t>G-161</t>
  </si>
  <si>
    <t>DK064</t>
  </si>
  <si>
    <t>G-162</t>
  </si>
  <si>
    <t>DK066</t>
  </si>
  <si>
    <t>G-163</t>
  </si>
  <si>
    <t>DK068</t>
  </si>
  <si>
    <t>G-164</t>
  </si>
  <si>
    <t>DK069</t>
  </si>
  <si>
    <t>G-165</t>
  </si>
  <si>
    <t>DK071</t>
  </si>
  <si>
    <t>G-166</t>
  </si>
  <si>
    <t>DK074</t>
  </si>
  <si>
    <t>G-167</t>
  </si>
  <si>
    <t>DK075</t>
  </si>
  <si>
    <t>G-168</t>
  </si>
  <si>
    <t>DK079</t>
  </si>
  <si>
    <t>G-169</t>
  </si>
  <si>
    <t>DK080</t>
  </si>
  <si>
    <t>G-171</t>
  </si>
  <si>
    <t>DK082</t>
  </si>
  <si>
    <t>G-172</t>
  </si>
  <si>
    <t>DK084</t>
  </si>
  <si>
    <t>G-173</t>
  </si>
  <si>
    <t>DK085</t>
  </si>
  <si>
    <t>G-174</t>
  </si>
  <si>
    <t>DK086</t>
  </si>
  <si>
    <t>G-175</t>
  </si>
  <si>
    <t>DK091</t>
  </si>
  <si>
    <t>G-176</t>
  </si>
  <si>
    <t>DK093</t>
  </si>
  <si>
    <t>G-177</t>
  </si>
  <si>
    <t>DK094</t>
  </si>
  <si>
    <t>G-178</t>
  </si>
  <si>
    <t>DK095</t>
  </si>
  <si>
    <t>G-179</t>
  </si>
  <si>
    <t>DK096</t>
  </si>
  <si>
    <t>G-180</t>
  </si>
  <si>
    <t>DK098</t>
  </si>
  <si>
    <t>G-181</t>
  </si>
  <si>
    <t>DK101</t>
  </si>
  <si>
    <t>G-182</t>
  </si>
  <si>
    <t>DK103</t>
  </si>
  <si>
    <t>G-183</t>
  </si>
  <si>
    <t>DK107</t>
  </si>
  <si>
    <t>G-184</t>
  </si>
  <si>
    <t>DK108</t>
  </si>
  <si>
    <t>G-185</t>
  </si>
  <si>
    <t>DK109</t>
  </si>
  <si>
    <t>G-186</t>
  </si>
  <si>
    <t>DK110</t>
  </si>
  <si>
    <t>G-187</t>
  </si>
  <si>
    <t>DK112</t>
  </si>
  <si>
    <t>G-188</t>
  </si>
  <si>
    <t>DK113</t>
  </si>
  <si>
    <t>G-189</t>
  </si>
  <si>
    <t>DK116</t>
  </si>
  <si>
    <t>G-190</t>
  </si>
  <si>
    <t>DK117</t>
  </si>
  <si>
    <t>G-191</t>
  </si>
  <si>
    <t>DK119</t>
  </si>
  <si>
    <t>G-192</t>
  </si>
  <si>
    <t>DK121</t>
  </si>
  <si>
    <t>G-193</t>
  </si>
  <si>
    <t>DK124</t>
  </si>
  <si>
    <t>G-194</t>
  </si>
  <si>
    <t>DK128</t>
  </si>
  <si>
    <t>G-195</t>
  </si>
  <si>
    <t>DK133</t>
  </si>
  <si>
    <t>G-196</t>
  </si>
  <si>
    <t>DK135</t>
  </si>
  <si>
    <t>G-197</t>
  </si>
  <si>
    <t>DK137</t>
  </si>
  <si>
    <t>G-198</t>
  </si>
  <si>
    <t>DK138</t>
  </si>
  <si>
    <t>G-199</t>
  </si>
  <si>
    <t>DK140</t>
  </si>
  <si>
    <t>G-200</t>
  </si>
  <si>
    <t>DK142</t>
  </si>
  <si>
    <t>G-201</t>
  </si>
  <si>
    <t>DK143</t>
  </si>
  <si>
    <t>G-203</t>
  </si>
  <si>
    <t>DK145</t>
  </si>
  <si>
    <t>G-204</t>
  </si>
  <si>
    <t>DK146</t>
  </si>
  <si>
    <t>G-205</t>
  </si>
  <si>
    <t>DK147</t>
  </si>
  <si>
    <t>G-206</t>
  </si>
  <si>
    <t>DK148</t>
  </si>
  <si>
    <t>G-207</t>
  </si>
  <si>
    <t>DK149</t>
  </si>
  <si>
    <t>G-208</t>
  </si>
  <si>
    <t>DK152</t>
  </si>
  <si>
    <t>G-209</t>
  </si>
  <si>
    <t>DK153</t>
  </si>
  <si>
    <t>G-210</t>
  </si>
  <si>
    <t>DK154</t>
  </si>
  <si>
    <t>densité en sortie d'hiver (1=faible densité)</t>
  </si>
  <si>
    <t>homogénéité en sortir d'hiver</t>
  </si>
  <si>
    <t>H% 0-20 mean</t>
  </si>
  <si>
    <t>H%20-40 mean</t>
  </si>
  <si>
    <t>T°C 0-20 mean</t>
  </si>
  <si>
    <t>T°C 20-40 mean</t>
  </si>
  <si>
    <t>H%Soil 0-20</t>
  </si>
  <si>
    <t>H%Soil 20-40</t>
  </si>
  <si>
    <t>T°CSoil 0-20</t>
  </si>
  <si>
    <t>T°CSoil 20-40</t>
  </si>
  <si>
    <t>H%Soil 0-20 mean</t>
  </si>
  <si>
    <t>H%Soil20-40 mean</t>
  </si>
  <si>
    <t>INN4</t>
  </si>
  <si>
    <t>N1 b1</t>
  </si>
  <si>
    <t>N1 b2</t>
  </si>
  <si>
    <t>N2 b1</t>
  </si>
  <si>
    <t>N2 b2</t>
  </si>
  <si>
    <t>DK_Md11</t>
  </si>
  <si>
    <t>DK11MD</t>
  </si>
  <si>
    <t>b1-DK1</t>
  </si>
  <si>
    <t>b1-DK2</t>
  </si>
  <si>
    <t>b2-DK1</t>
  </si>
  <si>
    <t>b2-DK2</t>
  </si>
  <si>
    <t>C2.INN1.DK1.14.008</t>
  </si>
  <si>
    <t>C2.INN1.DK1.18.033</t>
  </si>
  <si>
    <t>C2.INN1.DK2.14.035</t>
  </si>
  <si>
    <t>C2.INN1.DK2.18.006</t>
  </si>
  <si>
    <t>C2.INN1.DK1.13.018</t>
  </si>
  <si>
    <t>C2.INN1.DK1.18.031</t>
  </si>
  <si>
    <t>C2.INN1.DK2.13.045</t>
  </si>
  <si>
    <t>C2.INN1.DK2.18.004</t>
  </si>
  <si>
    <t>C2.INN2.DK1.14.008</t>
  </si>
  <si>
    <t>C2.INN2.DK1.18.033</t>
  </si>
  <si>
    <t>C2.INN2.DK2.14.035</t>
  </si>
  <si>
    <t>C2.INN2.DK2.18.006</t>
  </si>
  <si>
    <t>C2.INN2.DK1.13.018</t>
  </si>
  <si>
    <t>C2.INN2.DK1.18.031</t>
  </si>
  <si>
    <t>C2.INN2.DK2.13.045</t>
  </si>
  <si>
    <t>C2.INN2.DK2.18.004</t>
  </si>
  <si>
    <t>C2.INN3.DK1.13.010</t>
  </si>
  <si>
    <t>C2.INN3.DK1.16.027</t>
  </si>
  <si>
    <t>C2.INN3.DK1.17.048</t>
  </si>
  <si>
    <t>C2.INN3.DK1.20.036</t>
  </si>
  <si>
    <t>C2.INN3.DK2.13.037</t>
  </si>
  <si>
    <t>C2.INN3.DK2.16.054</t>
  </si>
  <si>
    <t>C2.INN3.DK2.17.021</t>
  </si>
  <si>
    <t>C2.INN3.DK2.20.009</t>
  </si>
  <si>
    <t>C2.INN3.DK1.13.023</t>
  </si>
  <si>
    <t>C2.INN3.DK1.16.002</t>
  </si>
  <si>
    <t>C2.INN3.DK1.18.051</t>
  </si>
  <si>
    <t>C2.INN3.DK1.20.051</t>
  </si>
  <si>
    <t>C2.INN3.DK2.13.050</t>
  </si>
  <si>
    <t>C2.INN3.DK2.16.029</t>
  </si>
  <si>
    <t>C2.INN3.DK2.18.024</t>
  </si>
  <si>
    <t>C2.INN3.DK2.20.024</t>
  </si>
  <si>
    <t>C2.INN4.DK2.13.037</t>
  </si>
  <si>
    <t>C2.INN4.DK2.16.054</t>
  </si>
  <si>
    <t>C2.INN4.DK2.17.021</t>
  </si>
  <si>
    <t>C2.INN4.DK2.20.009</t>
  </si>
  <si>
    <t>C2.INN4.DK2.13.050</t>
  </si>
  <si>
    <t>C2.INN4.DK2.16.029</t>
  </si>
  <si>
    <t>C2.INN4.DK2.18.024</t>
  </si>
  <si>
    <t>C2.INN4.DK2.20.024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</si>
</sst>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dd/mm/yy"/>
    <numFmt numFmtId="165" formatCode="d/mm/yyyy;@"/>
    <numFmt numFmtId="166" formatCode="dd/mm/yy;@"/>
  </numFmts>
  <fonts count="83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Geneva"/>
    </font>
    <font>
      <u/>
      <sz val="10"/>
      <color indexed="12"/>
      <name val="Arial"/>
      <family val="2"/>
    </font>
    <font>
      <sz val="8"/>
      <color indexed="8"/>
      <name val="Calibri"/>
      <family val="2"/>
      <charset val="1"/>
    </font>
    <font>
      <sz val="12"/>
      <name val="Times New Roman"/>
      <family val="1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8"/>
      <color indexed="8"/>
      <name val="Times New Roman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2"/>
    </font>
    <font>
      <sz val="18"/>
      <color indexed="8"/>
      <name val="Times New Roman"/>
      <family val="1"/>
    </font>
    <font>
      <sz val="12"/>
      <color indexed="9"/>
      <name val="Times New Roman"/>
      <family val="1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9"/>
      <name val="Times New Roman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b/>
      <sz val="1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lightUp"/>
    </fill>
    <fill>
      <patternFill patternType="lightUp">
        <fgColor indexed="23"/>
      </patternFill>
    </fill>
    <fill>
      <patternFill patternType="lightUp">
        <fgColor indexed="23"/>
        <bgColor indexed="30"/>
      </patternFill>
    </fill>
    <fill>
      <patternFill patternType="lightUp">
        <fgColor indexed="23"/>
        <bgColor indexed="10"/>
      </patternFill>
    </fill>
    <fill>
      <patternFill patternType="lightUp">
        <fgColor indexed="23"/>
        <bgColor indexed="13"/>
      </patternFill>
    </fill>
    <fill>
      <patternFill patternType="lightUp">
        <fgColor indexed="23"/>
        <bgColor indexed="62"/>
      </patternFill>
    </fill>
    <fill>
      <patternFill patternType="lightUp">
        <fgColor indexed="23"/>
        <b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slant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8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 applyNumberFormat="0" applyFill="0" applyBorder="0" applyProtection="0"/>
    <xf numFmtId="0" fontId="5" fillId="0" borderId="0"/>
    <xf numFmtId="0" fontId="30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27" fillId="0" borderId="0" applyNumberFormat="0" applyFont="0" applyFill="0" applyBorder="0" applyAlignment="0" applyProtection="0"/>
    <xf numFmtId="0" fontId="24" fillId="0" borderId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26" borderId="22" applyNumberFormat="0" applyAlignment="0" applyProtection="0"/>
    <xf numFmtId="0" fontId="45" fillId="26" borderId="22" applyNumberFormat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2" fillId="27" borderId="24" applyNumberFormat="0" applyFont="0" applyAlignment="0" applyProtection="0"/>
    <xf numFmtId="0" fontId="27" fillId="27" borderId="24" applyNumberFormat="0" applyFont="0" applyAlignment="0" applyProtection="0"/>
    <xf numFmtId="0" fontId="47" fillId="13" borderId="22" applyNumberFormat="0" applyAlignment="0" applyProtection="0"/>
    <xf numFmtId="0" fontId="47" fillId="13" borderId="22" applyNumberFormat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43" fontId="27" fillId="0" borderId="0" applyFont="0" applyFill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5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2" fillId="26" borderId="5" applyNumberFormat="0" applyAlignment="0" applyProtection="0"/>
    <xf numFmtId="0" fontId="52" fillId="26" borderId="5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56" fillId="0" borderId="26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9" fillId="29" borderId="29" applyNumberFormat="0" applyAlignment="0" applyProtection="0"/>
    <xf numFmtId="0" fontId="59" fillId="29" borderId="29" applyNumberFormat="0" applyAlignment="0" applyProtection="0"/>
  </cellStyleXfs>
  <cellXfs count="406">
    <xf numFmtId="0" fontId="0" fillId="0" borderId="0" xfId="0"/>
    <xf numFmtId="0" fontId="5" fillId="0" borderId="0" xfId="0" applyFont="1" applyAlignment="1">
      <alignment horizontal="left"/>
    </xf>
    <xf numFmtId="0" fontId="8" fillId="0" borderId="0" xfId="6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9" fillId="0" borderId="0" xfId="6" applyFont="1" applyAlignment="1">
      <alignment horizontal="left"/>
    </xf>
    <xf numFmtId="0" fontId="5" fillId="0" borderId="0" xfId="9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5" fillId="0" borderId="0" xfId="6" applyFont="1" applyAlignment="1">
      <alignment horizontal="left"/>
    </xf>
    <xf numFmtId="0" fontId="5" fillId="0" borderId="0" xfId="9" applyFont="1" applyBorder="1" applyAlignment="1">
      <alignment horizontal="left"/>
    </xf>
    <xf numFmtId="0" fontId="13" fillId="0" borderId="0" xfId="9" applyFont="1" applyBorder="1" applyAlignment="1">
      <alignment horizontal="left"/>
    </xf>
    <xf numFmtId="0" fontId="9" fillId="0" borderId="0" xfId="9" applyFont="1" applyAlignment="1">
      <alignment horizontal="left"/>
    </xf>
    <xf numFmtId="0" fontId="11" fillId="0" borderId="0" xfId="9" applyFont="1" applyAlignment="1">
      <alignment horizontal="left"/>
    </xf>
    <xf numFmtId="0" fontId="10" fillId="0" borderId="0" xfId="9" applyFont="1" applyFill="1" applyAlignment="1">
      <alignment horizontal="left"/>
    </xf>
    <xf numFmtId="0" fontId="9" fillId="2" borderId="1" xfId="9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9" fillId="0" borderId="1" xfId="9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9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9" applyFont="1" applyBorder="1" applyAlignment="1">
      <alignment horizontal="left" vertical="center" wrapText="1"/>
    </xf>
    <xf numFmtId="0" fontId="5" fillId="0" borderId="7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2" borderId="1" xfId="9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9" fillId="0" borderId="2" xfId="9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2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9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/>
    </xf>
    <xf numFmtId="0" fontId="5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0" fontId="14" fillId="2" borderId="1" xfId="9" applyFont="1" applyFill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5" fillId="0" borderId="1" xfId="9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9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</xf>
    <xf numFmtId="0" fontId="14" fillId="2" borderId="7" xfId="0" applyFont="1" applyFill="1" applyBorder="1" applyAlignment="1" applyProtection="1">
      <alignment horizontal="left"/>
    </xf>
    <xf numFmtId="0" fontId="5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3" fillId="0" borderId="7" xfId="1" applyNumberFormat="1" applyFont="1" applyFill="1" applyBorder="1" applyAlignment="1" applyProtection="1">
      <alignment horizontal="left" vertical="center" wrapText="1"/>
    </xf>
    <xf numFmtId="0" fontId="10" fillId="2" borderId="1" xfId="10" applyFont="1" applyFill="1" applyBorder="1" applyAlignment="1">
      <alignment horizontal="left"/>
    </xf>
    <xf numFmtId="0" fontId="9" fillId="2" borderId="1" xfId="10" applyFont="1" applyFill="1" applyBorder="1" applyAlignment="1">
      <alignment horizontal="left"/>
    </xf>
    <xf numFmtId="0" fontId="5" fillId="0" borderId="1" xfId="1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 applyProtection="1">
      <alignment horizontal="left"/>
    </xf>
    <xf numFmtId="49" fontId="14" fillId="2" borderId="1" xfId="0" applyNumberFormat="1" applyFont="1" applyFill="1" applyBorder="1" applyAlignment="1" applyProtection="1">
      <alignment horizontal="left"/>
    </xf>
    <xf numFmtId="0" fontId="11" fillId="2" borderId="1" xfId="0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left"/>
    </xf>
    <xf numFmtId="49" fontId="21" fillId="0" borderId="1" xfId="0" applyNumberFormat="1" applyFont="1" applyFill="1" applyBorder="1" applyAlignment="1" applyProtection="1">
      <alignment horizontal="left" vertical="center" wrapText="1"/>
    </xf>
    <xf numFmtId="49" fontId="21" fillId="0" borderId="1" xfId="0" applyNumberFormat="1" applyFont="1" applyFill="1" applyBorder="1" applyAlignment="1" applyProtection="1">
      <alignment horizontal="left" wrapText="1"/>
    </xf>
    <xf numFmtId="0" fontId="5" fillId="0" borderId="0" xfId="0" applyFont="1" applyFill="1" applyBorder="1" applyAlignment="1">
      <alignment horizontal="left"/>
    </xf>
    <xf numFmtId="0" fontId="21" fillId="0" borderId="1" xfId="9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9" fillId="0" borderId="0" xfId="0" applyFont="1"/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6" fillId="2" borderId="1" xfId="0" applyFont="1" applyFill="1" applyBorder="1"/>
    <xf numFmtId="0" fontId="5" fillId="0" borderId="1" xfId="0" applyFont="1" applyFill="1" applyBorder="1" applyAlignment="1" applyProtection="1">
      <alignment horizontal="center"/>
      <protection locked="0"/>
    </xf>
    <xf numFmtId="0" fontId="23" fillId="3" borderId="11" xfId="0" applyFont="1" applyFill="1" applyBorder="1" applyAlignment="1">
      <alignment vertical="center"/>
    </xf>
    <xf numFmtId="0" fontId="0" fillId="0" borderId="12" xfId="0" applyFill="1" applyBorder="1"/>
    <xf numFmtId="0" fontId="18" fillId="4" borderId="12" xfId="0" applyFont="1" applyFill="1" applyBorder="1"/>
    <xf numFmtId="0" fontId="10" fillId="3" borderId="13" xfId="0" applyFont="1" applyFill="1" applyBorder="1" applyAlignment="1">
      <alignment horizontal="center" vertical="center"/>
    </xf>
    <xf numFmtId="0" fontId="14" fillId="0" borderId="14" xfId="9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8" fillId="3" borderId="15" xfId="0" applyFont="1" applyFill="1" applyBorder="1" applyAlignment="1">
      <alignment vertical="center"/>
    </xf>
    <xf numFmtId="0" fontId="0" fillId="0" borderId="12" xfId="0" applyBorder="1"/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Fill="1" applyBorder="1"/>
    <xf numFmtId="0" fontId="14" fillId="0" borderId="1" xfId="9" applyFont="1" applyFill="1" applyBorder="1" applyAlignment="1">
      <alignment horizontal="center"/>
    </xf>
    <xf numFmtId="0" fontId="18" fillId="3" borderId="11" xfId="0" applyFont="1" applyFill="1" applyBorder="1" applyAlignment="1">
      <alignment vertical="center"/>
    </xf>
    <xf numFmtId="0" fontId="14" fillId="0" borderId="14" xfId="9" applyFont="1" applyBorder="1" applyAlignment="1">
      <alignment horizontal="center" vertical="center"/>
    </xf>
    <xf numFmtId="0" fontId="18" fillId="3" borderId="16" xfId="0" applyFont="1" applyFill="1" applyBorder="1" applyAlignment="1">
      <alignment vertical="center"/>
    </xf>
    <xf numFmtId="0" fontId="5" fillId="0" borderId="0" xfId="0" applyFont="1" applyAlignment="1" applyProtection="1">
      <protection locked="0"/>
    </xf>
    <xf numFmtId="0" fontId="9" fillId="0" borderId="0" xfId="0" applyFont="1" applyAlignment="1" applyProtection="1"/>
    <xf numFmtId="0" fontId="5" fillId="5" borderId="11" xfId="0" applyFont="1" applyFill="1" applyBorder="1" applyAlignment="1">
      <alignment vertical="center"/>
    </xf>
    <xf numFmtId="0" fontId="5" fillId="0" borderId="0" xfId="0" applyFont="1" applyProtection="1">
      <protection locked="0"/>
    </xf>
    <xf numFmtId="0" fontId="9" fillId="5" borderId="13" xfId="0" applyFont="1" applyFill="1" applyBorder="1" applyAlignment="1">
      <alignment horizontal="center" vertical="center"/>
    </xf>
    <xf numFmtId="0" fontId="9" fillId="0" borderId="0" xfId="0" applyFont="1" applyProtection="1"/>
    <xf numFmtId="0" fontId="24" fillId="3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0" borderId="12" xfId="0" applyFont="1" applyFill="1" applyBorder="1"/>
    <xf numFmtId="0" fontId="26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 applyProtection="1">
      <protection locked="0"/>
    </xf>
    <xf numFmtId="0" fontId="26" fillId="0" borderId="0" xfId="0" applyFont="1" applyFill="1"/>
    <xf numFmtId="0" fontId="28" fillId="0" borderId="0" xfId="0" applyFont="1"/>
    <xf numFmtId="0" fontId="23" fillId="6" borderId="12" xfId="5" applyFont="1" applyFill="1" applyBorder="1"/>
    <xf numFmtId="0" fontId="29" fillId="0" borderId="12" xfId="5" applyFont="1" applyFill="1" applyBorder="1"/>
    <xf numFmtId="0" fontId="5" fillId="0" borderId="12" xfId="5" applyBorder="1"/>
    <xf numFmtId="0" fontId="5" fillId="0" borderId="0" xfId="5"/>
    <xf numFmtId="0" fontId="10" fillId="6" borderId="1" xfId="5" applyFont="1" applyFill="1" applyBorder="1"/>
    <xf numFmtId="0" fontId="9" fillId="0" borderId="1" xfId="5" applyFont="1" applyFill="1" applyBorder="1"/>
    <xf numFmtId="0" fontId="9" fillId="0" borderId="1" xfId="5" applyFont="1" applyBorder="1"/>
    <xf numFmtId="0" fontId="0" fillId="7" borderId="12" xfId="0" applyFill="1" applyBorder="1"/>
    <xf numFmtId="0" fontId="16" fillId="7" borderId="1" xfId="0" applyFont="1" applyFill="1" applyBorder="1"/>
    <xf numFmtId="0" fontId="15" fillId="0" borderId="0" xfId="0" applyFont="1"/>
    <xf numFmtId="0" fontId="0" fillId="0" borderId="0" xfId="0" applyFont="1"/>
    <xf numFmtId="0" fontId="24" fillId="0" borderId="0" xfId="0" applyFont="1"/>
    <xf numFmtId="165" fontId="26" fillId="0" borderId="0" xfId="0" applyNumberFormat="1" applyFont="1" applyAlignment="1">
      <alignment horizontal="right"/>
    </xf>
    <xf numFmtId="0" fontId="1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 wrapText="1"/>
    </xf>
    <xf numFmtId="0" fontId="14" fillId="0" borderId="14" xfId="9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/>
    </xf>
    <xf numFmtId="0" fontId="27" fillId="0" borderId="2" xfId="9" applyFont="1" applyFill="1" applyBorder="1" applyAlignment="1">
      <alignment horizontal="center" vertical="center"/>
    </xf>
    <xf numFmtId="0" fontId="27" fillId="0" borderId="2" xfId="9" applyFont="1" applyFill="1" applyBorder="1" applyAlignment="1">
      <alignment horizontal="center" vertical="center" wrapText="1"/>
    </xf>
    <xf numFmtId="0" fontId="27" fillId="0" borderId="14" xfId="9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8" fillId="3" borderId="20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49" fontId="0" fillId="0" borderId="0" xfId="0" applyNumberFormat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10" fillId="0" borderId="0" xfId="0" applyFont="1"/>
    <xf numFmtId="0" fontId="39" fillId="0" borderId="0" xfId="0" applyFont="1"/>
    <xf numFmtId="0" fontId="40" fillId="0" borderId="0" xfId="0" applyFont="1" applyAlignment="1"/>
    <xf numFmtId="0" fontId="37" fillId="0" borderId="0" xfId="0" applyFont="1" applyAlignment="1"/>
    <xf numFmtId="0" fontId="39" fillId="0" borderId="0" xfId="0" applyFont="1" applyAlignment="1"/>
    <xf numFmtId="0" fontId="0" fillId="0" borderId="0" xfId="0" applyFont="1" applyProtection="1">
      <protection locked="0"/>
    </xf>
    <xf numFmtId="0" fontId="3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1" fillId="0" borderId="0" xfId="0" applyFont="1"/>
    <xf numFmtId="14" fontId="0" fillId="0" borderId="0" xfId="0" applyNumberFormat="1"/>
    <xf numFmtId="0" fontId="24" fillId="0" borderId="0" xfId="13"/>
    <xf numFmtId="0" fontId="27" fillId="0" borderId="0" xfId="77"/>
    <xf numFmtId="0" fontId="27" fillId="0" borderId="0" xfId="77" applyFont="1"/>
    <xf numFmtId="0" fontId="60" fillId="0" borderId="0" xfId="77" applyFont="1"/>
    <xf numFmtId="1" fontId="27" fillId="0" borderId="0" xfId="77" applyNumberFormat="1"/>
    <xf numFmtId="0" fontId="60" fillId="32" borderId="37" xfId="77" applyFont="1" applyFill="1" applyBorder="1" applyAlignment="1">
      <alignment horizontal="center"/>
    </xf>
    <xf numFmtId="0" fontId="60" fillId="32" borderId="35" xfId="77" applyFont="1" applyFill="1" applyBorder="1" applyAlignment="1">
      <alignment horizontal="center"/>
    </xf>
    <xf numFmtId="0" fontId="27" fillId="0" borderId="0" xfId="77" applyAlignment="1">
      <alignment horizontal="center"/>
    </xf>
    <xf numFmtId="0" fontId="14" fillId="33" borderId="14" xfId="9" applyFont="1" applyFill="1" applyBorder="1" applyAlignment="1">
      <alignment horizontal="center"/>
    </xf>
    <xf numFmtId="0" fontId="60" fillId="32" borderId="45" xfId="77" applyFont="1" applyFill="1" applyBorder="1" applyAlignment="1">
      <alignment horizontal="center"/>
    </xf>
    <xf numFmtId="0" fontId="60" fillId="32" borderId="46" xfId="77" applyFont="1" applyFill="1" applyBorder="1" applyAlignment="1">
      <alignment horizontal="center"/>
    </xf>
    <xf numFmtId="0" fontId="60" fillId="32" borderId="50" xfId="77" applyFont="1" applyFill="1" applyBorder="1" applyAlignment="1">
      <alignment horizontal="center"/>
    </xf>
    <xf numFmtId="0" fontId="60" fillId="32" borderId="51" xfId="77" applyFont="1" applyFill="1" applyBorder="1" applyAlignment="1">
      <alignment horizontal="center"/>
    </xf>
    <xf numFmtId="0" fontId="60" fillId="32" borderId="52" xfId="77" applyFont="1" applyFill="1" applyBorder="1" applyAlignment="1">
      <alignment horizontal="center"/>
    </xf>
    <xf numFmtId="0" fontId="60" fillId="32" borderId="43" xfId="77" applyFont="1" applyFill="1" applyBorder="1" applyAlignment="1">
      <alignment horizontal="center"/>
    </xf>
    <xf numFmtId="0" fontId="24" fillId="0" borderId="17" xfId="13" applyBorder="1"/>
    <xf numFmtId="0" fontId="60" fillId="32" borderId="17" xfId="77" applyFont="1" applyFill="1" applyBorder="1" applyAlignment="1">
      <alignment horizontal="center"/>
    </xf>
    <xf numFmtId="0" fontId="60" fillId="31" borderId="17" xfId="77" applyFont="1" applyFill="1" applyBorder="1" applyAlignment="1">
      <alignment horizontal="center"/>
    </xf>
    <xf numFmtId="0" fontId="65" fillId="0" borderId="0" xfId="1" applyNumberFormat="1" applyFont="1" applyFill="1" applyBorder="1" applyAlignment="1" applyProtection="1">
      <protection locked="0"/>
    </xf>
    <xf numFmtId="0" fontId="24" fillId="0" borderId="0" xfId="0" applyFont="1" applyAlignment="1">
      <alignment wrapText="1"/>
    </xf>
    <xf numFmtId="0" fontId="66" fillId="0" borderId="1" xfId="0" applyFont="1" applyBorder="1"/>
    <xf numFmtId="0" fontId="24" fillId="0" borderId="54" xfId="13" applyBorder="1"/>
    <xf numFmtId="0" fontId="24" fillId="0" borderId="55" xfId="13" applyBorder="1"/>
    <xf numFmtId="0" fontId="68" fillId="0" borderId="0" xfId="0" applyFont="1"/>
    <xf numFmtId="0" fontId="62" fillId="32" borderId="17" xfId="13" applyFont="1" applyFill="1" applyBorder="1" applyAlignment="1">
      <alignment horizontal="center" vertical="center"/>
    </xf>
    <xf numFmtId="0" fontId="24" fillId="0" borderId="0" xfId="13" applyAlignment="1">
      <alignment vertical="center"/>
    </xf>
    <xf numFmtId="14" fontId="63" fillId="30" borderId="17" xfId="13" applyNumberFormat="1" applyFont="1" applyFill="1" applyBorder="1" applyAlignment="1">
      <alignment horizontal="center" vertical="center"/>
    </xf>
    <xf numFmtId="14" fontId="63" fillId="0" borderId="17" xfId="13" applyNumberFormat="1" applyFont="1" applyBorder="1" applyAlignment="1">
      <alignment horizontal="center" vertical="center"/>
    </xf>
    <xf numFmtId="0" fontId="63" fillId="0" borderId="17" xfId="13" applyFont="1" applyBorder="1" applyAlignment="1">
      <alignment horizontal="center" vertical="center"/>
    </xf>
    <xf numFmtId="0" fontId="24" fillId="0" borderId="0" xfId="13" applyAlignment="1">
      <alignment horizontal="center" vertical="center"/>
    </xf>
    <xf numFmtId="14" fontId="63" fillId="0" borderId="17" xfId="13" applyNumberFormat="1" applyFont="1" applyBorder="1" applyAlignment="1">
      <alignment horizontal="center" vertical="center" wrapText="1"/>
    </xf>
    <xf numFmtId="0" fontId="63" fillId="0" borderId="17" xfId="13" applyFont="1" applyFill="1" applyBorder="1" applyAlignment="1">
      <alignment horizontal="center" vertical="center" wrapText="1"/>
    </xf>
    <xf numFmtId="0" fontId="26" fillId="0" borderId="0" xfId="0" applyNumberFormat="1" applyFont="1" applyAlignment="1">
      <alignment horizontal="right"/>
    </xf>
    <xf numFmtId="0" fontId="27" fillId="0" borderId="0" xfId="0" applyNumberFormat="1" applyFont="1" applyAlignment="1" applyProtection="1">
      <protection locked="0"/>
    </xf>
    <xf numFmtId="0" fontId="67" fillId="0" borderId="0" xfId="0" applyFont="1" applyFill="1"/>
    <xf numFmtId="0" fontId="1" fillId="0" borderId="0" xfId="13" applyFont="1"/>
    <xf numFmtId="166" fontId="24" fillId="0" borderId="0" xfId="13" applyNumberFormat="1"/>
    <xf numFmtId="0" fontId="24" fillId="35" borderId="0" xfId="13" applyFill="1"/>
    <xf numFmtId="166" fontId="24" fillId="35" borderId="0" xfId="13" applyNumberFormat="1" applyFill="1"/>
    <xf numFmtId="0" fontId="24" fillId="0" borderId="0" xfId="13" applyFill="1"/>
    <xf numFmtId="166" fontId="24" fillId="0" borderId="0" xfId="13" applyNumberFormat="1" applyFill="1"/>
    <xf numFmtId="0" fontId="24" fillId="36" borderId="0" xfId="13" applyFill="1"/>
    <xf numFmtId="166" fontId="24" fillId="36" borderId="0" xfId="13" applyNumberFormat="1" applyFill="1"/>
    <xf numFmtId="0" fontId="70" fillId="0" borderId="0" xfId="6" applyFont="1" applyAlignment="1">
      <alignment horizontal="center" vertical="center" wrapText="1"/>
    </xf>
    <xf numFmtId="0" fontId="70" fillId="0" borderId="59" xfId="6" applyFont="1" applyBorder="1" applyAlignment="1">
      <alignment horizontal="center" vertical="center" wrapText="1"/>
    </xf>
    <xf numFmtId="0" fontId="70" fillId="0" borderId="0" xfId="6" applyFont="1" applyBorder="1" applyAlignment="1">
      <alignment horizontal="center" vertical="center" wrapText="1"/>
    </xf>
    <xf numFmtId="0" fontId="71" fillId="0" borderId="0" xfId="6" applyFont="1" applyAlignment="1">
      <alignment horizontal="center" vertical="center" wrapText="1"/>
    </xf>
    <xf numFmtId="0" fontId="72" fillId="0" borderId="0" xfId="6" applyFont="1"/>
    <xf numFmtId="0" fontId="71" fillId="0" borderId="31" xfId="6" applyFont="1" applyBorder="1" applyAlignment="1">
      <alignment horizontal="center" vertical="center" wrapText="1"/>
    </xf>
    <xf numFmtId="0" fontId="71" fillId="0" borderId="39" xfId="6" applyFont="1" applyBorder="1" applyAlignment="1">
      <alignment vertical="center" textRotation="90" wrapText="1"/>
    </xf>
    <xf numFmtId="0" fontId="67" fillId="39" borderId="60" xfId="6" applyFont="1" applyFill="1" applyBorder="1" applyAlignment="1">
      <alignment horizontal="center" vertical="center" wrapText="1"/>
    </xf>
    <xf numFmtId="0" fontId="67" fillId="39" borderId="61" xfId="6" applyFont="1" applyFill="1" applyBorder="1" applyAlignment="1">
      <alignment horizontal="center" vertical="center" wrapText="1"/>
    </xf>
    <xf numFmtId="0" fontId="67" fillId="40" borderId="61" xfId="6" applyFont="1" applyFill="1" applyBorder="1" applyAlignment="1">
      <alignment horizontal="center" vertical="center" wrapText="1"/>
    </xf>
    <xf numFmtId="0" fontId="67" fillId="41" borderId="61" xfId="6" applyFont="1" applyFill="1" applyBorder="1" applyAlignment="1">
      <alignment horizontal="center" vertical="center" wrapText="1"/>
    </xf>
    <xf numFmtId="0" fontId="67" fillId="42" borderId="61" xfId="6" applyFont="1" applyFill="1" applyBorder="1" applyAlignment="1">
      <alignment horizontal="center" vertical="center" wrapText="1"/>
    </xf>
    <xf numFmtId="0" fontId="67" fillId="39" borderId="62" xfId="6" applyFont="1" applyFill="1" applyBorder="1" applyAlignment="1">
      <alignment horizontal="center" vertical="center" wrapText="1"/>
    </xf>
    <xf numFmtId="0" fontId="67" fillId="39" borderId="63" xfId="6" applyFont="1" applyFill="1" applyBorder="1" applyAlignment="1">
      <alignment horizontal="center" vertical="center" wrapText="1"/>
    </xf>
    <xf numFmtId="0" fontId="67" fillId="39" borderId="64" xfId="6" applyFont="1" applyFill="1" applyBorder="1" applyAlignment="1">
      <alignment horizontal="center" vertical="center" wrapText="1"/>
    </xf>
    <xf numFmtId="0" fontId="71" fillId="0" borderId="65" xfId="6" applyFont="1" applyBorder="1" applyAlignment="1">
      <alignment vertical="center" textRotation="90" wrapText="1"/>
    </xf>
    <xf numFmtId="0" fontId="71" fillId="0" borderId="59" xfId="6" applyFont="1" applyBorder="1" applyAlignment="1">
      <alignment horizontal="center" vertical="center" wrapText="1"/>
    </xf>
    <xf numFmtId="0" fontId="67" fillId="39" borderId="66" xfId="6" applyFont="1" applyFill="1" applyBorder="1" applyAlignment="1">
      <alignment horizontal="center" vertical="center" wrapText="1"/>
    </xf>
    <xf numFmtId="0" fontId="67" fillId="39" borderId="67" xfId="6" applyFont="1" applyFill="1" applyBorder="1" applyAlignment="1">
      <alignment horizontal="center" vertical="center" wrapText="1"/>
    </xf>
    <xf numFmtId="0" fontId="74" fillId="43" borderId="67" xfId="6" applyFont="1" applyFill="1" applyBorder="1" applyAlignment="1">
      <alignment horizontal="center" vertical="center" wrapText="1"/>
    </xf>
    <xf numFmtId="0" fontId="67" fillId="43" borderId="41" xfId="6" applyFont="1" applyFill="1" applyBorder="1" applyAlignment="1">
      <alignment horizontal="center" vertical="center" wrapText="1"/>
    </xf>
    <xf numFmtId="0" fontId="67" fillId="44" borderId="67" xfId="6" applyFont="1" applyFill="1" applyBorder="1" applyAlignment="1">
      <alignment horizontal="center" vertical="center" wrapText="1"/>
    </xf>
    <xf numFmtId="0" fontId="67" fillId="39" borderId="68" xfId="6" applyFont="1" applyFill="1" applyBorder="1" applyAlignment="1">
      <alignment horizontal="center" vertical="center" wrapText="1"/>
    </xf>
    <xf numFmtId="0" fontId="67" fillId="39" borderId="69" xfId="6" applyFont="1" applyFill="1" applyBorder="1" applyAlignment="1">
      <alignment horizontal="center" vertical="center" wrapText="1"/>
    </xf>
    <xf numFmtId="0" fontId="67" fillId="43" borderId="67" xfId="6" applyFont="1" applyFill="1" applyBorder="1" applyAlignment="1">
      <alignment horizontal="center" vertical="center" wrapText="1"/>
    </xf>
    <xf numFmtId="0" fontId="67" fillId="39" borderId="70" xfId="6" applyFont="1" applyFill="1" applyBorder="1" applyAlignment="1">
      <alignment horizontal="center" vertical="center" wrapText="1"/>
    </xf>
    <xf numFmtId="0" fontId="67" fillId="0" borderId="56" xfId="6" applyFont="1" applyBorder="1" applyAlignment="1">
      <alignment horizontal="center" vertical="center" wrapText="1"/>
    </xf>
    <xf numFmtId="0" fontId="67" fillId="0" borderId="33" xfId="6" applyFont="1" applyBorder="1" applyAlignment="1">
      <alignment horizontal="center" vertical="center" wrapText="1"/>
    </xf>
    <xf numFmtId="0" fontId="67" fillId="45" borderId="53" xfId="6" applyFont="1" applyFill="1" applyBorder="1" applyAlignment="1">
      <alignment horizontal="center" vertical="center" wrapText="1"/>
    </xf>
    <xf numFmtId="0" fontId="67" fillId="0" borderId="59" xfId="6" applyFont="1" applyBorder="1" applyAlignment="1">
      <alignment horizontal="center" vertical="center" wrapText="1"/>
    </xf>
    <xf numFmtId="0" fontId="67" fillId="46" borderId="53" xfId="6" applyFont="1" applyFill="1" applyBorder="1" applyAlignment="1">
      <alignment horizontal="center" vertical="center" wrapText="1"/>
    </xf>
    <xf numFmtId="0" fontId="67" fillId="0" borderId="34" xfId="6" applyFont="1" applyBorder="1" applyAlignment="1">
      <alignment horizontal="center" vertical="center" wrapText="1"/>
    </xf>
    <xf numFmtId="0" fontId="67" fillId="0" borderId="40" xfId="6" applyFont="1" applyBorder="1" applyAlignment="1">
      <alignment horizontal="center" vertical="center" wrapText="1"/>
    </xf>
    <xf numFmtId="0" fontId="67" fillId="0" borderId="0" xfId="6" applyFont="1" applyBorder="1" applyAlignment="1">
      <alignment horizontal="center" vertical="center" wrapText="1"/>
    </xf>
    <xf numFmtId="0" fontId="67" fillId="34" borderId="40" xfId="6" applyFont="1" applyFill="1" applyBorder="1" applyAlignment="1">
      <alignment horizontal="center" vertical="center" wrapText="1"/>
    </xf>
    <xf numFmtId="0" fontId="74" fillId="46" borderId="57" xfId="6" applyFont="1" applyFill="1" applyBorder="1" applyAlignment="1">
      <alignment horizontal="center" vertical="center" wrapText="1"/>
    </xf>
    <xf numFmtId="0" fontId="67" fillId="0" borderId="71" xfId="6" applyFont="1" applyBorder="1" applyAlignment="1">
      <alignment horizontal="center" vertical="center" wrapText="1"/>
    </xf>
    <xf numFmtId="0" fontId="67" fillId="0" borderId="72" xfId="6" applyFont="1" applyBorder="1" applyAlignment="1">
      <alignment horizontal="center" vertical="center" wrapText="1"/>
    </xf>
    <xf numFmtId="0" fontId="67" fillId="0" borderId="73" xfId="6" applyFont="1" applyBorder="1" applyAlignment="1">
      <alignment horizontal="center" vertical="center" wrapText="1"/>
    </xf>
    <xf numFmtId="0" fontId="67" fillId="0" borderId="74" xfId="6" applyFont="1" applyBorder="1" applyAlignment="1">
      <alignment horizontal="center" vertical="center" wrapText="1"/>
    </xf>
    <xf numFmtId="0" fontId="67" fillId="0" borderId="75" xfId="6" applyFont="1" applyBorder="1" applyAlignment="1">
      <alignment horizontal="center" vertical="center" wrapText="1"/>
    </xf>
    <xf numFmtId="0" fontId="67" fillId="34" borderId="75" xfId="6" applyFont="1" applyFill="1" applyBorder="1" applyAlignment="1">
      <alignment horizontal="center" vertical="center" wrapText="1"/>
    </xf>
    <xf numFmtId="0" fontId="74" fillId="46" borderId="76" xfId="6" applyFont="1" applyFill="1" applyBorder="1" applyAlignment="1">
      <alignment horizontal="center" vertical="center" wrapText="1"/>
    </xf>
    <xf numFmtId="0" fontId="67" fillId="0" borderId="66" xfId="6" applyFont="1" applyBorder="1" applyAlignment="1">
      <alignment horizontal="center" vertical="center" wrapText="1"/>
    </xf>
    <xf numFmtId="0" fontId="67" fillId="0" borderId="67" xfId="6" applyFont="1" applyBorder="1" applyAlignment="1">
      <alignment horizontal="center" vertical="center" wrapText="1"/>
    </xf>
    <xf numFmtId="0" fontId="67" fillId="0" borderId="77" xfId="6" applyFont="1" applyBorder="1" applyAlignment="1">
      <alignment horizontal="center" vertical="center" wrapText="1"/>
    </xf>
    <xf numFmtId="0" fontId="67" fillId="47" borderId="77" xfId="6" applyFont="1" applyFill="1" applyBorder="1" applyAlignment="1">
      <alignment horizontal="center" vertical="center" wrapText="1"/>
    </xf>
    <xf numFmtId="0" fontId="67" fillId="48" borderId="67" xfId="6" applyFont="1" applyFill="1" applyBorder="1" applyAlignment="1">
      <alignment horizontal="center" vertical="center" wrapText="1"/>
    </xf>
    <xf numFmtId="0" fontId="67" fillId="0" borderId="70" xfId="6" applyFont="1" applyBorder="1" applyAlignment="1">
      <alignment horizontal="center" vertical="center" wrapText="1"/>
    </xf>
    <xf numFmtId="0" fontId="67" fillId="47" borderId="67" xfId="6" applyFont="1" applyFill="1" applyBorder="1" applyAlignment="1">
      <alignment horizontal="center" vertical="center" wrapText="1"/>
    </xf>
    <xf numFmtId="0" fontId="75" fillId="42" borderId="71" xfId="6" applyFont="1" applyFill="1" applyBorder="1" applyAlignment="1">
      <alignment horizontal="center" vertical="center" wrapText="1"/>
    </xf>
    <xf numFmtId="0" fontId="75" fillId="39" borderId="75" xfId="6" applyFont="1" applyFill="1" applyBorder="1" applyAlignment="1">
      <alignment horizontal="center" vertical="center" wrapText="1"/>
    </xf>
    <xf numFmtId="0" fontId="75" fillId="44" borderId="75" xfId="6" applyFont="1" applyFill="1" applyBorder="1" applyAlignment="1">
      <alignment horizontal="center" vertical="center" wrapText="1"/>
    </xf>
    <xf numFmtId="0" fontId="75" fillId="40" borderId="75" xfId="6" applyFont="1" applyFill="1" applyBorder="1" applyAlignment="1">
      <alignment horizontal="center" vertical="center" wrapText="1"/>
    </xf>
    <xf numFmtId="0" fontId="75" fillId="39" borderId="76" xfId="6" applyFont="1" applyFill="1" applyBorder="1" applyAlignment="1">
      <alignment horizontal="center" vertical="center" wrapText="1"/>
    </xf>
    <xf numFmtId="0" fontId="71" fillId="0" borderId="30" xfId="6" applyFont="1" applyBorder="1" applyAlignment="1">
      <alignment vertical="center" textRotation="90" wrapText="1"/>
    </xf>
    <xf numFmtId="0" fontId="75" fillId="39" borderId="66" xfId="6" applyFont="1" applyFill="1" applyBorder="1" applyAlignment="1">
      <alignment horizontal="center" vertical="center" wrapText="1"/>
    </xf>
    <xf numFmtId="0" fontId="75" fillId="39" borderId="67" xfId="6" applyFont="1" applyFill="1" applyBorder="1" applyAlignment="1">
      <alignment horizontal="center" vertical="center" wrapText="1"/>
    </xf>
    <xf numFmtId="0" fontId="75" fillId="41" borderId="67" xfId="6" applyFont="1" applyFill="1" applyBorder="1" applyAlignment="1">
      <alignment horizontal="center" vertical="center" wrapText="1"/>
    </xf>
    <xf numFmtId="0" fontId="75" fillId="43" borderId="67" xfId="6" applyFont="1" applyFill="1" applyBorder="1" applyAlignment="1">
      <alignment horizontal="center" vertical="center" wrapText="1"/>
    </xf>
    <xf numFmtId="0" fontId="75" fillId="39" borderId="70" xfId="6" applyFont="1" applyFill="1" applyBorder="1" applyAlignment="1">
      <alignment horizontal="center" vertical="center" wrapText="1"/>
    </xf>
    <xf numFmtId="0" fontId="71" fillId="0" borderId="78" xfId="6" applyFont="1" applyBorder="1" applyAlignment="1">
      <alignment vertical="center" textRotation="90" wrapText="1"/>
    </xf>
    <xf numFmtId="0" fontId="75" fillId="0" borderId="71" xfId="6" applyFont="1" applyBorder="1" applyAlignment="1">
      <alignment horizontal="center" vertical="center" wrapText="1"/>
    </xf>
    <xf numFmtId="0" fontId="75" fillId="0" borderId="75" xfId="6" applyFont="1" applyBorder="1" applyAlignment="1">
      <alignment horizontal="center" vertical="center" wrapText="1"/>
    </xf>
    <xf numFmtId="0" fontId="75" fillId="0" borderId="72" xfId="6" applyFont="1" applyBorder="1" applyAlignment="1">
      <alignment horizontal="center" vertical="center" wrapText="1"/>
    </xf>
    <xf numFmtId="0" fontId="75" fillId="46" borderId="53" xfId="6" applyFont="1" applyFill="1" applyBorder="1" applyAlignment="1">
      <alignment horizontal="center" vertical="center" wrapText="1"/>
    </xf>
    <xf numFmtId="0" fontId="75" fillId="0" borderId="74" xfId="6" applyFont="1" applyBorder="1" applyAlignment="1">
      <alignment horizontal="center" vertical="center" wrapText="1"/>
    </xf>
    <xf numFmtId="0" fontId="75" fillId="47" borderId="75" xfId="6" applyFont="1" applyFill="1" applyBorder="1" applyAlignment="1">
      <alignment horizontal="center" vertical="center" wrapText="1"/>
    </xf>
    <xf numFmtId="0" fontId="75" fillId="0" borderId="76" xfId="6" applyFont="1" applyBorder="1" applyAlignment="1">
      <alignment horizontal="center" vertical="center" wrapText="1"/>
    </xf>
    <xf numFmtId="0" fontId="75" fillId="0" borderId="79" xfId="6" applyFont="1" applyBorder="1" applyAlignment="1">
      <alignment horizontal="center" vertical="center" wrapText="1"/>
    </xf>
    <xf numFmtId="0" fontId="71" fillId="0" borderId="80" xfId="6" applyFont="1" applyBorder="1" applyAlignment="1">
      <alignment vertical="center" textRotation="90" wrapText="1"/>
    </xf>
    <xf numFmtId="0" fontId="75" fillId="0" borderId="81" xfId="6" applyFont="1" applyBorder="1" applyAlignment="1">
      <alignment horizontal="center" vertical="center" wrapText="1"/>
    </xf>
    <xf numFmtId="0" fontId="75" fillId="0" borderId="82" xfId="6" applyFont="1" applyBorder="1" applyAlignment="1">
      <alignment horizontal="center" vertical="center" wrapText="1"/>
    </xf>
    <xf numFmtId="0" fontId="74" fillId="46" borderId="82" xfId="6" applyFont="1" applyFill="1" applyBorder="1" applyAlignment="1">
      <alignment horizontal="center" vertical="center" wrapText="1"/>
    </xf>
    <xf numFmtId="0" fontId="75" fillId="0" borderId="83" xfId="6" applyFont="1" applyBorder="1" applyAlignment="1">
      <alignment horizontal="center" vertical="center" wrapText="1"/>
    </xf>
    <xf numFmtId="0" fontId="75" fillId="48" borderId="82" xfId="6" applyFont="1" applyFill="1" applyBorder="1" applyAlignment="1">
      <alignment horizontal="center" vertical="center" wrapText="1"/>
    </xf>
    <xf numFmtId="0" fontId="75" fillId="0" borderId="84" xfId="6" applyFont="1" applyBorder="1" applyAlignment="1">
      <alignment horizontal="center" vertical="center" wrapText="1"/>
    </xf>
    <xf numFmtId="0" fontId="75" fillId="45" borderId="53" xfId="6" applyFont="1" applyFill="1" applyBorder="1" applyAlignment="1">
      <alignment horizontal="center" vertical="center" wrapText="1"/>
    </xf>
    <xf numFmtId="0" fontId="75" fillId="0" borderId="85" xfId="6" applyFont="1" applyBorder="1" applyAlignment="1">
      <alignment horizontal="center" vertical="center" wrapText="1"/>
    </xf>
    <xf numFmtId="0" fontId="75" fillId="34" borderId="82" xfId="6" applyFont="1" applyFill="1" applyBorder="1" applyAlignment="1">
      <alignment horizontal="center" vertical="center" wrapText="1"/>
    </xf>
    <xf numFmtId="0" fontId="75" fillId="0" borderId="86" xfId="6" applyFont="1" applyBorder="1" applyAlignment="1">
      <alignment horizontal="center" vertical="center" wrapText="1"/>
    </xf>
    <xf numFmtId="0" fontId="70" fillId="0" borderId="0" xfId="6" applyFont="1" applyBorder="1" applyAlignment="1">
      <alignment vertical="center" textRotation="90" wrapText="1"/>
    </xf>
    <xf numFmtId="0" fontId="72" fillId="0" borderId="0" xfId="6" applyFont="1" applyBorder="1" applyAlignment="1">
      <alignment vertical="center" wrapText="1"/>
    </xf>
    <xf numFmtId="16" fontId="72" fillId="0" borderId="0" xfId="6" applyNumberFormat="1" applyFont="1"/>
    <xf numFmtId="0" fontId="72" fillId="0" borderId="0" xfId="6" applyFont="1" applyFill="1" applyBorder="1"/>
    <xf numFmtId="0" fontId="76" fillId="0" borderId="0" xfId="6" applyFont="1" applyAlignment="1">
      <alignment horizontal="center"/>
    </xf>
    <xf numFmtId="0" fontId="72" fillId="0" borderId="0" xfId="6" applyFont="1" applyAlignment="1"/>
    <xf numFmtId="2" fontId="26" fillId="0" borderId="0" xfId="0" applyNumberFormat="1" applyFont="1" applyAlignment="1">
      <alignment horizontal="right"/>
    </xf>
    <xf numFmtId="1" fontId="26" fillId="0" borderId="0" xfId="0" applyNumberFormat="1" applyFont="1" applyAlignment="1">
      <alignment horizontal="right"/>
    </xf>
    <xf numFmtId="0" fontId="27" fillId="0" borderId="0" xfId="12"/>
    <xf numFmtId="0" fontId="1" fillId="0" borderId="0" xfId="12" applyFont="1"/>
    <xf numFmtId="14" fontId="27" fillId="0" borderId="0" xfId="12" applyNumberFormat="1"/>
    <xf numFmtId="0" fontId="24" fillId="0" borderId="0" xfId="13" applyBorder="1"/>
    <xf numFmtId="0" fontId="78" fillId="50" borderId="39" xfId="0" applyFont="1" applyFill="1" applyBorder="1" applyAlignment="1">
      <alignment horizontal="center"/>
    </xf>
    <xf numFmtId="0" fontId="78" fillId="51" borderId="39" xfId="0" applyFont="1" applyFill="1" applyBorder="1" applyAlignment="1">
      <alignment horizontal="center"/>
    </xf>
    <xf numFmtId="0" fontId="78" fillId="50" borderId="39" xfId="0" applyNumberFormat="1" applyFont="1" applyFill="1" applyBorder="1" applyAlignment="1">
      <alignment horizontal="center"/>
    </xf>
    <xf numFmtId="2" fontId="0" fillId="0" borderId="0" xfId="0" applyNumberFormat="1"/>
    <xf numFmtId="0" fontId="79" fillId="3" borderId="0" xfId="0" applyFont="1" applyFill="1" applyBorder="1" applyAlignment="1">
      <alignment vertical="center"/>
    </xf>
    <xf numFmtId="0" fontId="80" fillId="0" borderId="0" xfId="0" applyFont="1"/>
    <xf numFmtId="0" fontId="79" fillId="4" borderId="12" xfId="0" applyFont="1" applyFill="1" applyBorder="1"/>
    <xf numFmtId="0" fontId="80" fillId="0" borderId="12" xfId="0" applyFont="1" applyFill="1" applyBorder="1"/>
    <xf numFmtId="0" fontId="80" fillId="0" borderId="0" xfId="0" applyFont="1" applyFill="1" applyBorder="1"/>
    <xf numFmtId="0" fontId="81" fillId="0" borderId="0" xfId="0" applyFont="1" applyAlignment="1">
      <alignment horizontal="right"/>
    </xf>
    <xf numFmtId="165" fontId="81" fillId="0" borderId="0" xfId="0" applyNumberFormat="1" applyFont="1" applyAlignment="1">
      <alignment horizontal="right"/>
    </xf>
    <xf numFmtId="1" fontId="81" fillId="0" borderId="0" xfId="0" applyNumberFormat="1" applyFont="1" applyAlignment="1">
      <alignment horizontal="right"/>
    </xf>
    <xf numFmtId="0" fontId="81" fillId="0" borderId="0" xfId="0" applyNumberFormat="1" applyFont="1" applyAlignment="1">
      <alignment horizontal="right"/>
    </xf>
    <xf numFmtId="2" fontId="80" fillId="0" borderId="0" xfId="0" applyNumberFormat="1" applyFont="1"/>
    <xf numFmtId="0" fontId="81" fillId="0" borderId="0" xfId="0" applyFont="1"/>
    <xf numFmtId="0" fontId="78" fillId="51" borderId="87" xfId="0" applyFont="1" applyFill="1" applyBorder="1" applyAlignment="1">
      <alignment horizontal="center"/>
    </xf>
    <xf numFmtId="0" fontId="82" fillId="50" borderId="88" xfId="0" applyFont="1" applyFill="1" applyBorder="1" applyAlignment="1">
      <alignment horizontal="left"/>
    </xf>
    <xf numFmtId="0" fontId="82" fillId="51" borderId="88" xfId="0" applyFont="1" applyFill="1" applyBorder="1" applyAlignment="1">
      <alignment horizontal="left"/>
    </xf>
    <xf numFmtId="0" fontId="82" fillId="51" borderId="89" xfId="0" applyFont="1" applyFill="1" applyBorder="1" applyAlignment="1">
      <alignment horizontal="left"/>
    </xf>
    <xf numFmtId="2" fontId="78" fillId="50" borderId="39" xfId="0" applyNumberFormat="1" applyFont="1" applyFill="1" applyBorder="1" applyAlignment="1">
      <alignment horizontal="center"/>
    </xf>
    <xf numFmtId="2" fontId="78" fillId="51" borderId="39" xfId="0" applyNumberFormat="1" applyFont="1" applyFill="1" applyBorder="1" applyAlignment="1">
      <alignment horizontal="center"/>
    </xf>
    <xf numFmtId="2" fontId="78" fillId="51" borderId="87" xfId="0" applyNumberFormat="1" applyFont="1" applyFill="1" applyBorder="1" applyAlignment="1">
      <alignment horizontal="center"/>
    </xf>
    <xf numFmtId="0" fontId="0" fillId="0" borderId="0" xfId="0" applyNumberFormat="1" applyFont="1"/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0" xfId="9" applyFont="1" applyBorder="1" applyAlignment="1">
      <alignment horizontal="left"/>
    </xf>
    <xf numFmtId="0" fontId="9" fillId="0" borderId="1" xfId="9" applyFont="1" applyBorder="1" applyAlignment="1">
      <alignment horizontal="left" vertical="center"/>
    </xf>
    <xf numFmtId="0" fontId="10" fillId="0" borderId="2" xfId="9" applyFont="1" applyBorder="1" applyAlignment="1">
      <alignment horizontal="left"/>
    </xf>
    <xf numFmtId="0" fontId="9" fillId="0" borderId="3" xfId="9" applyFont="1" applyBorder="1" applyAlignment="1">
      <alignment horizontal="left"/>
    </xf>
    <xf numFmtId="0" fontId="11" fillId="0" borderId="4" xfId="9" applyFont="1" applyBorder="1" applyAlignment="1">
      <alignment horizontal="left"/>
    </xf>
    <xf numFmtId="0" fontId="14" fillId="0" borderId="1" xfId="9" applyFont="1" applyBorder="1" applyAlignment="1">
      <alignment horizontal="left" vertical="center" wrapText="1"/>
    </xf>
    <xf numFmtId="0" fontId="9" fillId="0" borderId="1" xfId="9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49" fontId="61" fillId="30" borderId="49" xfId="77" applyNumberFormat="1" applyFont="1" applyFill="1" applyBorder="1" applyAlignment="1">
      <alignment horizontal="center"/>
    </xf>
    <xf numFmtId="49" fontId="61" fillId="30" borderId="38" xfId="77" applyNumberFormat="1" applyFont="1" applyFill="1" applyBorder="1" applyAlignment="1">
      <alignment horizontal="center"/>
    </xf>
    <xf numFmtId="49" fontId="61" fillId="30" borderId="47" xfId="77" applyNumberFormat="1" applyFont="1" applyFill="1" applyBorder="1" applyAlignment="1">
      <alignment horizontal="center"/>
    </xf>
    <xf numFmtId="49" fontId="61" fillId="30" borderId="36" xfId="77" applyNumberFormat="1" applyFont="1" applyFill="1" applyBorder="1" applyAlignment="1">
      <alignment horizontal="center"/>
    </xf>
    <xf numFmtId="0" fontId="64" fillId="30" borderId="44" xfId="13" applyFont="1" applyFill="1" applyBorder="1" applyAlignment="1">
      <alignment horizontal="center"/>
    </xf>
    <xf numFmtId="0" fontId="64" fillId="30" borderId="48" xfId="13" applyFont="1" applyFill="1" applyBorder="1" applyAlignment="1">
      <alignment horizontal="center"/>
    </xf>
    <xf numFmtId="0" fontId="35" fillId="30" borderId="17" xfId="13" applyFont="1" applyFill="1" applyBorder="1" applyAlignment="1">
      <alignment horizontal="center"/>
    </xf>
    <xf numFmtId="0" fontId="35" fillId="30" borderId="39" xfId="13" applyFont="1" applyFill="1" applyBorder="1" applyAlignment="1">
      <alignment horizontal="center"/>
    </xf>
    <xf numFmtId="0" fontId="72" fillId="47" borderId="39" xfId="6" applyFont="1" applyFill="1" applyBorder="1" applyAlignment="1">
      <alignment horizontal="center" vertical="center" wrapText="1"/>
    </xf>
    <xf numFmtId="0" fontId="72" fillId="47" borderId="42" xfId="6" applyFont="1" applyFill="1" applyBorder="1" applyAlignment="1">
      <alignment horizontal="center" vertical="center" wrapText="1"/>
    </xf>
    <xf numFmtId="0" fontId="72" fillId="47" borderId="65" xfId="6" applyFont="1" applyFill="1" applyBorder="1" applyAlignment="1">
      <alignment horizontal="center" vertical="center" wrapText="1"/>
    </xf>
    <xf numFmtId="0" fontId="72" fillId="0" borderId="32" xfId="6" applyFont="1" applyBorder="1" applyAlignment="1">
      <alignment horizontal="center" vertical="center" wrapText="1"/>
    </xf>
    <xf numFmtId="0" fontId="72" fillId="0" borderId="0" xfId="6" applyFont="1" applyBorder="1" applyAlignment="1">
      <alignment horizontal="center" vertical="center" wrapText="1"/>
    </xf>
    <xf numFmtId="0" fontId="70" fillId="0" borderId="58" xfId="6" applyFont="1" applyBorder="1" applyAlignment="1">
      <alignment horizontal="center" vertical="center" textRotation="90" wrapText="1"/>
    </xf>
    <xf numFmtId="0" fontId="70" fillId="0" borderId="0" xfId="6" applyFont="1" applyBorder="1" applyAlignment="1">
      <alignment horizontal="center" vertical="center" textRotation="90" wrapText="1"/>
    </xf>
    <xf numFmtId="0" fontId="73" fillId="37" borderId="17" xfId="6" applyFont="1" applyFill="1" applyBorder="1" applyAlignment="1">
      <alignment horizontal="center" vertical="center" wrapText="1"/>
    </xf>
    <xf numFmtId="0" fontId="73" fillId="38" borderId="0" xfId="6" applyFont="1" applyFill="1" applyBorder="1" applyAlignment="1">
      <alignment horizontal="center" vertical="center" wrapText="1"/>
    </xf>
    <xf numFmtId="0" fontId="73" fillId="38" borderId="59" xfId="6" applyFont="1" applyFill="1" applyBorder="1" applyAlignment="1">
      <alignment horizontal="center" vertical="center" wrapText="1"/>
    </xf>
    <xf numFmtId="0" fontId="73" fillId="0" borderId="0" xfId="6" applyFont="1" applyBorder="1" applyAlignment="1">
      <alignment horizontal="center" vertical="center" wrapText="1"/>
    </xf>
    <xf numFmtId="0" fontId="73" fillId="0" borderId="59" xfId="6" applyFont="1" applyBorder="1" applyAlignment="1">
      <alignment horizontal="center" vertical="center" wrapText="1"/>
    </xf>
    <xf numFmtId="0" fontId="73" fillId="49" borderId="17" xfId="6" applyFont="1" applyFill="1" applyBorder="1" applyAlignment="1">
      <alignment horizontal="center" vertical="center" wrapText="1"/>
    </xf>
    <xf numFmtId="0" fontId="72" fillId="47" borderId="41" xfId="6" applyFont="1" applyFill="1" applyBorder="1" applyAlignment="1">
      <alignment horizontal="center" vertical="center" wrapText="1"/>
    </xf>
    <xf numFmtId="0" fontId="72" fillId="47" borderId="40" xfId="6" applyFont="1" applyFill="1" applyBorder="1" applyAlignment="1">
      <alignment horizontal="center" vertical="center" wrapText="1"/>
    </xf>
    <xf numFmtId="0" fontId="77" fillId="46" borderId="41" xfId="6" applyFont="1" applyFill="1" applyBorder="1" applyAlignment="1">
      <alignment horizontal="center" vertical="center" wrapText="1"/>
    </xf>
    <xf numFmtId="0" fontId="77" fillId="46" borderId="40" xfId="6" applyFont="1" applyFill="1" applyBorder="1" applyAlignment="1">
      <alignment horizontal="center" vertical="center" wrapText="1"/>
    </xf>
    <xf numFmtId="0" fontId="72" fillId="0" borderId="0" xfId="6" applyFont="1" applyAlignment="1">
      <alignment horizontal="left"/>
    </xf>
    <xf numFmtId="0" fontId="77" fillId="46" borderId="39" xfId="6" applyFont="1" applyFill="1" applyBorder="1" applyAlignment="1">
      <alignment horizontal="center" vertical="center" wrapText="1"/>
    </xf>
    <xf numFmtId="0" fontId="77" fillId="46" borderId="42" xfId="6" applyFont="1" applyFill="1" applyBorder="1" applyAlignment="1">
      <alignment horizontal="center" vertical="center" wrapText="1"/>
    </xf>
    <xf numFmtId="0" fontId="77" fillId="46" borderId="65" xfId="6" applyFont="1" applyFill="1" applyBorder="1" applyAlignment="1">
      <alignment horizontal="center" vertical="center" wrapText="1"/>
    </xf>
    <xf numFmtId="0" fontId="72" fillId="46" borderId="39" xfId="6" applyFont="1" applyFill="1" applyBorder="1" applyAlignment="1">
      <alignment horizontal="center" vertical="center" wrapText="1"/>
    </xf>
    <xf numFmtId="0" fontId="72" fillId="46" borderId="42" xfId="6" applyFont="1" applyFill="1" applyBorder="1" applyAlignment="1">
      <alignment horizontal="center" vertical="center" wrapText="1"/>
    </xf>
    <xf numFmtId="0" fontId="72" fillId="46" borderId="65" xfId="6" applyFont="1" applyFill="1" applyBorder="1" applyAlignment="1">
      <alignment horizontal="center" vertical="center" wrapText="1"/>
    </xf>
    <xf numFmtId="0" fontId="72" fillId="48" borderId="39" xfId="6" applyFont="1" applyFill="1" applyBorder="1" applyAlignment="1">
      <alignment horizontal="center" vertical="center" wrapText="1"/>
    </xf>
    <xf numFmtId="0" fontId="72" fillId="48" borderId="42" xfId="6" applyFont="1" applyFill="1" applyBorder="1" applyAlignment="1">
      <alignment horizontal="center" vertical="center" wrapText="1"/>
    </xf>
    <xf numFmtId="0" fontId="72" fillId="48" borderId="65" xfId="6" applyFont="1" applyFill="1" applyBorder="1" applyAlignment="1">
      <alignment horizontal="center" vertical="center" wrapText="1"/>
    </xf>
    <xf numFmtId="0" fontId="72" fillId="45" borderId="39" xfId="6" applyFont="1" applyFill="1" applyBorder="1" applyAlignment="1">
      <alignment horizontal="center" vertical="center" wrapText="1"/>
    </xf>
    <xf numFmtId="0" fontId="72" fillId="45" borderId="42" xfId="6" applyFont="1" applyFill="1" applyBorder="1" applyAlignment="1">
      <alignment horizontal="center" vertical="center" wrapText="1"/>
    </xf>
    <xf numFmtId="0" fontId="72" fillId="45" borderId="65" xfId="6" applyFont="1" applyFill="1" applyBorder="1" applyAlignment="1">
      <alignment horizontal="center" vertical="center" wrapText="1"/>
    </xf>
    <xf numFmtId="0" fontId="72" fillId="34" borderId="39" xfId="6" applyFont="1" applyFill="1" applyBorder="1" applyAlignment="1">
      <alignment horizontal="center" vertical="center" wrapText="1"/>
    </xf>
    <xf numFmtId="0" fontId="72" fillId="34" borderId="42" xfId="6" applyFont="1" applyFill="1" applyBorder="1" applyAlignment="1">
      <alignment horizontal="center" vertical="center" wrapText="1"/>
    </xf>
    <xf numFmtId="0" fontId="72" fillId="34" borderId="65" xfId="6" applyFont="1" applyFill="1" applyBorder="1" applyAlignment="1">
      <alignment horizontal="center" vertical="center" wrapText="1"/>
    </xf>
  </cellXfs>
  <cellStyles count="108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[1]METEO_STATION!$K$8</c:f>
              <c:strCache>
                <c:ptCount val="1"/>
                <c:pt idx="0">
                  <c:v>TM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[1]METEO_STATION!$K$9:$K$284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19.399999999999999</c:v>
                </c:pt>
                <c:pt idx="3">
                  <c:v>20.9</c:v>
                </c:pt>
                <c:pt idx="4">
                  <c:v>21.1</c:v>
                </c:pt>
                <c:pt idx="5">
                  <c:v>19.100000000000001</c:v>
                </c:pt>
                <c:pt idx="6">
                  <c:v>18.899999999999999</c:v>
                </c:pt>
                <c:pt idx="7">
                  <c:v>20.7</c:v>
                </c:pt>
                <c:pt idx="8">
                  <c:v>16.100000000000001</c:v>
                </c:pt>
                <c:pt idx="9">
                  <c:v>17.399999999999999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19.399999999999999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16.100000000000001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20.399999999999999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9.6999999999999993</c:v>
                </c:pt>
                <c:pt idx="39">
                  <c:v>9.1999999999999993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8.3000000000000007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8.1999999999999993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8.1999999999999993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-1.1000000000000001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5.0999999999999996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9.3000000000000007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8.3000000000000007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9.1999999999999993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9.3000000000000007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10.199999999999999</c:v>
                </c:pt>
                <c:pt idx="182">
                  <c:v>10.4</c:v>
                </c:pt>
                <c:pt idx="183">
                  <c:v>7.7</c:v>
                </c:pt>
                <c:pt idx="184">
                  <c:v>8.3000000000000007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10.199999999999999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18.899999999999999</c:v>
                </c:pt>
                <c:pt idx="212">
                  <c:v>19.100000000000001</c:v>
                </c:pt>
                <c:pt idx="213">
                  <c:v>19.100000000000001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16.100000000000001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17.399999999999999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19.600000000000001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16.100000000000001</c:v>
                </c:pt>
                <c:pt idx="251">
                  <c:v>19.2</c:v>
                </c:pt>
                <c:pt idx="252">
                  <c:v>20.100000000000001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19.600000000000001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20.100000000000001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17.600000000000001</c:v>
                </c:pt>
                <c:pt idx="270">
                  <c:v>19</c:v>
                </c:pt>
                <c:pt idx="271">
                  <c:v>19.600000000000001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ser>
          <c:idx val="7"/>
          <c:order val="1"/>
          <c:tx>
            <c:strRef>
              <c:f>[1]METEO_STATION!$L$8</c:f>
              <c:strCache>
                <c:ptCount val="1"/>
                <c:pt idx="0">
                  <c:v>TN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[1]METEO_STATION!$L$9:$L$284</c:f>
              <c:numCache>
                <c:formatCode>General</c:formatCode>
                <c:ptCount val="276"/>
                <c:pt idx="0">
                  <c:v>14.1</c:v>
                </c:pt>
                <c:pt idx="1">
                  <c:v>15</c:v>
                </c:pt>
                <c:pt idx="2">
                  <c:v>15.2</c:v>
                </c:pt>
                <c:pt idx="3">
                  <c:v>11.5</c:v>
                </c:pt>
                <c:pt idx="4">
                  <c:v>15.7</c:v>
                </c:pt>
                <c:pt idx="5">
                  <c:v>14.7</c:v>
                </c:pt>
                <c:pt idx="6">
                  <c:v>10.1</c:v>
                </c:pt>
                <c:pt idx="7">
                  <c:v>12.1</c:v>
                </c:pt>
                <c:pt idx="8">
                  <c:v>14.8</c:v>
                </c:pt>
                <c:pt idx="9">
                  <c:v>15</c:v>
                </c:pt>
                <c:pt idx="10">
                  <c:v>13.4</c:v>
                </c:pt>
                <c:pt idx="11">
                  <c:v>8.6</c:v>
                </c:pt>
                <c:pt idx="12">
                  <c:v>7.9</c:v>
                </c:pt>
                <c:pt idx="13">
                  <c:v>17.7</c:v>
                </c:pt>
                <c:pt idx="14">
                  <c:v>13.7</c:v>
                </c:pt>
                <c:pt idx="15">
                  <c:v>14.6</c:v>
                </c:pt>
                <c:pt idx="16">
                  <c:v>14.4</c:v>
                </c:pt>
                <c:pt idx="17">
                  <c:v>13.5</c:v>
                </c:pt>
                <c:pt idx="18">
                  <c:v>9</c:v>
                </c:pt>
                <c:pt idx="19">
                  <c:v>6.5</c:v>
                </c:pt>
                <c:pt idx="20">
                  <c:v>10.7</c:v>
                </c:pt>
                <c:pt idx="21">
                  <c:v>6.8</c:v>
                </c:pt>
                <c:pt idx="22">
                  <c:v>10</c:v>
                </c:pt>
                <c:pt idx="23">
                  <c:v>9.4</c:v>
                </c:pt>
                <c:pt idx="24">
                  <c:v>14.7</c:v>
                </c:pt>
                <c:pt idx="25">
                  <c:v>17.899999999999999</c:v>
                </c:pt>
                <c:pt idx="26">
                  <c:v>13.9</c:v>
                </c:pt>
                <c:pt idx="27">
                  <c:v>10.9</c:v>
                </c:pt>
                <c:pt idx="28">
                  <c:v>15.4</c:v>
                </c:pt>
                <c:pt idx="29">
                  <c:v>15</c:v>
                </c:pt>
                <c:pt idx="30">
                  <c:v>17.7</c:v>
                </c:pt>
                <c:pt idx="31">
                  <c:v>17.5</c:v>
                </c:pt>
                <c:pt idx="32">
                  <c:v>14.5</c:v>
                </c:pt>
                <c:pt idx="33">
                  <c:v>13.9</c:v>
                </c:pt>
                <c:pt idx="34">
                  <c:v>13.2</c:v>
                </c:pt>
                <c:pt idx="35">
                  <c:v>12.7</c:v>
                </c:pt>
                <c:pt idx="36">
                  <c:v>11.6</c:v>
                </c:pt>
                <c:pt idx="37">
                  <c:v>7</c:v>
                </c:pt>
                <c:pt idx="38">
                  <c:v>6.9</c:v>
                </c:pt>
                <c:pt idx="39">
                  <c:v>7.9</c:v>
                </c:pt>
                <c:pt idx="40">
                  <c:v>5.5</c:v>
                </c:pt>
                <c:pt idx="41">
                  <c:v>4.0999999999999996</c:v>
                </c:pt>
                <c:pt idx="42">
                  <c:v>10</c:v>
                </c:pt>
                <c:pt idx="43">
                  <c:v>2.6</c:v>
                </c:pt>
                <c:pt idx="44">
                  <c:v>3.8</c:v>
                </c:pt>
                <c:pt idx="45">
                  <c:v>8.4</c:v>
                </c:pt>
                <c:pt idx="46">
                  <c:v>10.1</c:v>
                </c:pt>
                <c:pt idx="47">
                  <c:v>7.1</c:v>
                </c:pt>
                <c:pt idx="48">
                  <c:v>3.5</c:v>
                </c:pt>
                <c:pt idx="49">
                  <c:v>0.6</c:v>
                </c:pt>
                <c:pt idx="50">
                  <c:v>4.2</c:v>
                </c:pt>
                <c:pt idx="51">
                  <c:v>6.3</c:v>
                </c:pt>
                <c:pt idx="52">
                  <c:v>10.6</c:v>
                </c:pt>
                <c:pt idx="53">
                  <c:v>8.4</c:v>
                </c:pt>
                <c:pt idx="54">
                  <c:v>9.6</c:v>
                </c:pt>
                <c:pt idx="55">
                  <c:v>9.6</c:v>
                </c:pt>
                <c:pt idx="56">
                  <c:v>12.4</c:v>
                </c:pt>
                <c:pt idx="57">
                  <c:v>11</c:v>
                </c:pt>
                <c:pt idx="58">
                  <c:v>14.1</c:v>
                </c:pt>
                <c:pt idx="59">
                  <c:v>12.9</c:v>
                </c:pt>
                <c:pt idx="60">
                  <c:v>7.5</c:v>
                </c:pt>
                <c:pt idx="61">
                  <c:v>3.5</c:v>
                </c:pt>
                <c:pt idx="62">
                  <c:v>7.5</c:v>
                </c:pt>
                <c:pt idx="63">
                  <c:v>8</c:v>
                </c:pt>
                <c:pt idx="64">
                  <c:v>2.2000000000000002</c:v>
                </c:pt>
                <c:pt idx="65">
                  <c:v>11.3</c:v>
                </c:pt>
                <c:pt idx="66">
                  <c:v>5</c:v>
                </c:pt>
                <c:pt idx="67">
                  <c:v>10.8</c:v>
                </c:pt>
                <c:pt idx="68">
                  <c:v>8.6</c:v>
                </c:pt>
                <c:pt idx="69">
                  <c:v>6.9</c:v>
                </c:pt>
                <c:pt idx="70">
                  <c:v>-0.5</c:v>
                </c:pt>
                <c:pt idx="71">
                  <c:v>7</c:v>
                </c:pt>
                <c:pt idx="72">
                  <c:v>3.7</c:v>
                </c:pt>
                <c:pt idx="73">
                  <c:v>7.1</c:v>
                </c:pt>
                <c:pt idx="74">
                  <c:v>4.7</c:v>
                </c:pt>
                <c:pt idx="75">
                  <c:v>7.1</c:v>
                </c:pt>
                <c:pt idx="76">
                  <c:v>5</c:v>
                </c:pt>
                <c:pt idx="77">
                  <c:v>-0.8</c:v>
                </c:pt>
                <c:pt idx="78">
                  <c:v>1.2</c:v>
                </c:pt>
                <c:pt idx="79">
                  <c:v>1.1000000000000001</c:v>
                </c:pt>
                <c:pt idx="80">
                  <c:v>-2.9</c:v>
                </c:pt>
                <c:pt idx="81">
                  <c:v>-3</c:v>
                </c:pt>
                <c:pt idx="82">
                  <c:v>-2.6</c:v>
                </c:pt>
                <c:pt idx="83">
                  <c:v>2.7</c:v>
                </c:pt>
                <c:pt idx="84">
                  <c:v>0.2</c:v>
                </c:pt>
                <c:pt idx="85">
                  <c:v>-3.5</c:v>
                </c:pt>
                <c:pt idx="86">
                  <c:v>-1.1000000000000001</c:v>
                </c:pt>
                <c:pt idx="87">
                  <c:v>-1</c:v>
                </c:pt>
                <c:pt idx="88">
                  <c:v>1.5</c:v>
                </c:pt>
                <c:pt idx="89">
                  <c:v>9.8000000000000007</c:v>
                </c:pt>
                <c:pt idx="90">
                  <c:v>6.8</c:v>
                </c:pt>
                <c:pt idx="91">
                  <c:v>11.4</c:v>
                </c:pt>
                <c:pt idx="92">
                  <c:v>4.2</c:v>
                </c:pt>
                <c:pt idx="93">
                  <c:v>-3.9</c:v>
                </c:pt>
                <c:pt idx="94">
                  <c:v>-3.9</c:v>
                </c:pt>
                <c:pt idx="95">
                  <c:v>-1.9</c:v>
                </c:pt>
                <c:pt idx="96">
                  <c:v>-3.5</c:v>
                </c:pt>
                <c:pt idx="97">
                  <c:v>-5.0999999999999996</c:v>
                </c:pt>
                <c:pt idx="98">
                  <c:v>-3.4</c:v>
                </c:pt>
                <c:pt idx="99">
                  <c:v>-3.5</c:v>
                </c:pt>
                <c:pt idx="100">
                  <c:v>1.6</c:v>
                </c:pt>
                <c:pt idx="101">
                  <c:v>-4.5999999999999996</c:v>
                </c:pt>
                <c:pt idx="102">
                  <c:v>-2.2999999999999998</c:v>
                </c:pt>
                <c:pt idx="103">
                  <c:v>0.5</c:v>
                </c:pt>
                <c:pt idx="104">
                  <c:v>5.9</c:v>
                </c:pt>
                <c:pt idx="105">
                  <c:v>3.9</c:v>
                </c:pt>
                <c:pt idx="106">
                  <c:v>5.4</c:v>
                </c:pt>
                <c:pt idx="107">
                  <c:v>0.6</c:v>
                </c:pt>
                <c:pt idx="108">
                  <c:v>-0.8</c:v>
                </c:pt>
                <c:pt idx="109">
                  <c:v>-5.9</c:v>
                </c:pt>
                <c:pt idx="110">
                  <c:v>-6.7</c:v>
                </c:pt>
                <c:pt idx="111">
                  <c:v>2</c:v>
                </c:pt>
                <c:pt idx="112">
                  <c:v>4.8</c:v>
                </c:pt>
                <c:pt idx="113">
                  <c:v>6.4</c:v>
                </c:pt>
                <c:pt idx="114">
                  <c:v>9.5</c:v>
                </c:pt>
                <c:pt idx="115">
                  <c:v>3.1</c:v>
                </c:pt>
                <c:pt idx="116">
                  <c:v>1.3</c:v>
                </c:pt>
                <c:pt idx="117">
                  <c:v>1.2</c:v>
                </c:pt>
                <c:pt idx="118">
                  <c:v>0.1</c:v>
                </c:pt>
                <c:pt idx="119">
                  <c:v>2</c:v>
                </c:pt>
                <c:pt idx="120">
                  <c:v>6.7</c:v>
                </c:pt>
                <c:pt idx="121">
                  <c:v>9.8000000000000007</c:v>
                </c:pt>
                <c:pt idx="122">
                  <c:v>7.9</c:v>
                </c:pt>
                <c:pt idx="123">
                  <c:v>6.1</c:v>
                </c:pt>
                <c:pt idx="124">
                  <c:v>-1.6</c:v>
                </c:pt>
                <c:pt idx="125">
                  <c:v>2.2999999999999998</c:v>
                </c:pt>
                <c:pt idx="126">
                  <c:v>6.8</c:v>
                </c:pt>
                <c:pt idx="127">
                  <c:v>10</c:v>
                </c:pt>
                <c:pt idx="128">
                  <c:v>4.5</c:v>
                </c:pt>
                <c:pt idx="129">
                  <c:v>3</c:v>
                </c:pt>
                <c:pt idx="130">
                  <c:v>0.3</c:v>
                </c:pt>
                <c:pt idx="131">
                  <c:v>2.7</c:v>
                </c:pt>
                <c:pt idx="132">
                  <c:v>4.9000000000000004</c:v>
                </c:pt>
                <c:pt idx="133">
                  <c:v>5.2</c:v>
                </c:pt>
                <c:pt idx="134">
                  <c:v>-2.1</c:v>
                </c:pt>
                <c:pt idx="135">
                  <c:v>-1.8</c:v>
                </c:pt>
                <c:pt idx="136">
                  <c:v>-4.0999999999999996</c:v>
                </c:pt>
                <c:pt idx="137">
                  <c:v>-3.9</c:v>
                </c:pt>
                <c:pt idx="138">
                  <c:v>-6.5</c:v>
                </c:pt>
                <c:pt idx="139">
                  <c:v>-5.2</c:v>
                </c:pt>
                <c:pt idx="140">
                  <c:v>-3.9</c:v>
                </c:pt>
                <c:pt idx="141">
                  <c:v>-3.7</c:v>
                </c:pt>
                <c:pt idx="142">
                  <c:v>2.9</c:v>
                </c:pt>
                <c:pt idx="143">
                  <c:v>3.3</c:v>
                </c:pt>
                <c:pt idx="144">
                  <c:v>3</c:v>
                </c:pt>
                <c:pt idx="145">
                  <c:v>0.2</c:v>
                </c:pt>
                <c:pt idx="146">
                  <c:v>-2.1</c:v>
                </c:pt>
                <c:pt idx="147">
                  <c:v>-1.9</c:v>
                </c:pt>
                <c:pt idx="148">
                  <c:v>4.2</c:v>
                </c:pt>
                <c:pt idx="149">
                  <c:v>7.1</c:v>
                </c:pt>
                <c:pt idx="150">
                  <c:v>1.8</c:v>
                </c:pt>
                <c:pt idx="151">
                  <c:v>-1.9</c:v>
                </c:pt>
                <c:pt idx="152">
                  <c:v>-2.1</c:v>
                </c:pt>
                <c:pt idx="153">
                  <c:v>0.8</c:v>
                </c:pt>
                <c:pt idx="154">
                  <c:v>0.1</c:v>
                </c:pt>
                <c:pt idx="155">
                  <c:v>0.2</c:v>
                </c:pt>
                <c:pt idx="156">
                  <c:v>4.7</c:v>
                </c:pt>
                <c:pt idx="157">
                  <c:v>0.8</c:v>
                </c:pt>
                <c:pt idx="158">
                  <c:v>3.2</c:v>
                </c:pt>
                <c:pt idx="159">
                  <c:v>5.9</c:v>
                </c:pt>
                <c:pt idx="160">
                  <c:v>4</c:v>
                </c:pt>
                <c:pt idx="161">
                  <c:v>4.8</c:v>
                </c:pt>
                <c:pt idx="162">
                  <c:v>3.6</c:v>
                </c:pt>
                <c:pt idx="163">
                  <c:v>7.1</c:v>
                </c:pt>
                <c:pt idx="164">
                  <c:v>1.5</c:v>
                </c:pt>
                <c:pt idx="165">
                  <c:v>7.7</c:v>
                </c:pt>
                <c:pt idx="166">
                  <c:v>4.4000000000000004</c:v>
                </c:pt>
                <c:pt idx="167">
                  <c:v>7.3</c:v>
                </c:pt>
                <c:pt idx="168">
                  <c:v>6.4</c:v>
                </c:pt>
                <c:pt idx="169">
                  <c:v>9.5</c:v>
                </c:pt>
                <c:pt idx="170">
                  <c:v>9.9</c:v>
                </c:pt>
                <c:pt idx="171">
                  <c:v>4.0999999999999996</c:v>
                </c:pt>
                <c:pt idx="172">
                  <c:v>6.2</c:v>
                </c:pt>
                <c:pt idx="173">
                  <c:v>3.1</c:v>
                </c:pt>
                <c:pt idx="174">
                  <c:v>3.2</c:v>
                </c:pt>
                <c:pt idx="175">
                  <c:v>4.5</c:v>
                </c:pt>
                <c:pt idx="176">
                  <c:v>1.9</c:v>
                </c:pt>
                <c:pt idx="177">
                  <c:v>-0.5</c:v>
                </c:pt>
                <c:pt idx="178">
                  <c:v>0.4</c:v>
                </c:pt>
                <c:pt idx="179">
                  <c:v>-0.1</c:v>
                </c:pt>
                <c:pt idx="180">
                  <c:v>0.3</c:v>
                </c:pt>
                <c:pt idx="181">
                  <c:v>8.8000000000000007</c:v>
                </c:pt>
                <c:pt idx="182">
                  <c:v>7</c:v>
                </c:pt>
                <c:pt idx="183">
                  <c:v>2.2999999999999998</c:v>
                </c:pt>
                <c:pt idx="184">
                  <c:v>1.4</c:v>
                </c:pt>
                <c:pt idx="185">
                  <c:v>10</c:v>
                </c:pt>
                <c:pt idx="186">
                  <c:v>8.6999999999999993</c:v>
                </c:pt>
                <c:pt idx="187">
                  <c:v>8.9</c:v>
                </c:pt>
                <c:pt idx="188">
                  <c:v>12.3</c:v>
                </c:pt>
                <c:pt idx="189">
                  <c:v>10.3</c:v>
                </c:pt>
                <c:pt idx="190">
                  <c:v>9.9</c:v>
                </c:pt>
                <c:pt idx="191">
                  <c:v>5.8</c:v>
                </c:pt>
                <c:pt idx="192">
                  <c:v>8.8000000000000007</c:v>
                </c:pt>
                <c:pt idx="193">
                  <c:v>5.9</c:v>
                </c:pt>
                <c:pt idx="194">
                  <c:v>4.0999999999999996</c:v>
                </c:pt>
                <c:pt idx="195">
                  <c:v>7.3</c:v>
                </c:pt>
                <c:pt idx="196">
                  <c:v>3.3</c:v>
                </c:pt>
                <c:pt idx="197">
                  <c:v>4.4000000000000004</c:v>
                </c:pt>
                <c:pt idx="198">
                  <c:v>8.4</c:v>
                </c:pt>
                <c:pt idx="199">
                  <c:v>6.9</c:v>
                </c:pt>
                <c:pt idx="200">
                  <c:v>10.9</c:v>
                </c:pt>
                <c:pt idx="201">
                  <c:v>9.5</c:v>
                </c:pt>
                <c:pt idx="202">
                  <c:v>7.7</c:v>
                </c:pt>
                <c:pt idx="203">
                  <c:v>9</c:v>
                </c:pt>
                <c:pt idx="204">
                  <c:v>10.6</c:v>
                </c:pt>
                <c:pt idx="205">
                  <c:v>5.7</c:v>
                </c:pt>
                <c:pt idx="206">
                  <c:v>11.3</c:v>
                </c:pt>
                <c:pt idx="207">
                  <c:v>12.7</c:v>
                </c:pt>
                <c:pt idx="208">
                  <c:v>10</c:v>
                </c:pt>
                <c:pt idx="209">
                  <c:v>5.0999999999999996</c:v>
                </c:pt>
                <c:pt idx="210">
                  <c:v>7.1</c:v>
                </c:pt>
                <c:pt idx="211">
                  <c:v>9.5</c:v>
                </c:pt>
                <c:pt idx="212">
                  <c:v>10.3</c:v>
                </c:pt>
                <c:pt idx="213">
                  <c:v>10.199999999999999</c:v>
                </c:pt>
                <c:pt idx="214">
                  <c:v>14</c:v>
                </c:pt>
                <c:pt idx="215">
                  <c:v>12.7</c:v>
                </c:pt>
                <c:pt idx="216">
                  <c:v>11.6</c:v>
                </c:pt>
                <c:pt idx="217">
                  <c:v>4.5999999999999996</c:v>
                </c:pt>
                <c:pt idx="218">
                  <c:v>6.3</c:v>
                </c:pt>
                <c:pt idx="219">
                  <c:v>6.9</c:v>
                </c:pt>
                <c:pt idx="220">
                  <c:v>4.9000000000000004</c:v>
                </c:pt>
                <c:pt idx="221">
                  <c:v>6</c:v>
                </c:pt>
                <c:pt idx="222">
                  <c:v>11.1</c:v>
                </c:pt>
                <c:pt idx="223">
                  <c:v>9.9</c:v>
                </c:pt>
                <c:pt idx="224">
                  <c:v>11.6</c:v>
                </c:pt>
                <c:pt idx="225">
                  <c:v>12.7</c:v>
                </c:pt>
                <c:pt idx="226">
                  <c:v>12.9</c:v>
                </c:pt>
                <c:pt idx="227">
                  <c:v>11.4</c:v>
                </c:pt>
                <c:pt idx="228">
                  <c:v>12.5</c:v>
                </c:pt>
                <c:pt idx="229">
                  <c:v>11.3</c:v>
                </c:pt>
                <c:pt idx="230">
                  <c:v>13.2</c:v>
                </c:pt>
                <c:pt idx="231">
                  <c:v>12.2</c:v>
                </c:pt>
                <c:pt idx="232">
                  <c:v>9.8000000000000007</c:v>
                </c:pt>
                <c:pt idx="233">
                  <c:v>8.3000000000000007</c:v>
                </c:pt>
                <c:pt idx="234">
                  <c:v>11.7</c:v>
                </c:pt>
                <c:pt idx="235">
                  <c:v>11.7</c:v>
                </c:pt>
                <c:pt idx="236">
                  <c:v>13</c:v>
                </c:pt>
                <c:pt idx="237">
                  <c:v>13.2</c:v>
                </c:pt>
                <c:pt idx="238">
                  <c:v>11.6</c:v>
                </c:pt>
                <c:pt idx="239">
                  <c:v>10.3</c:v>
                </c:pt>
                <c:pt idx="240">
                  <c:v>14.7</c:v>
                </c:pt>
                <c:pt idx="241">
                  <c:v>15.9</c:v>
                </c:pt>
                <c:pt idx="242">
                  <c:v>14.1</c:v>
                </c:pt>
                <c:pt idx="243">
                  <c:v>12.9</c:v>
                </c:pt>
                <c:pt idx="244">
                  <c:v>13.8</c:v>
                </c:pt>
                <c:pt idx="245">
                  <c:v>12.3</c:v>
                </c:pt>
                <c:pt idx="246">
                  <c:v>15.8</c:v>
                </c:pt>
                <c:pt idx="247">
                  <c:v>15.9</c:v>
                </c:pt>
                <c:pt idx="248">
                  <c:v>14.3</c:v>
                </c:pt>
                <c:pt idx="249">
                  <c:v>0</c:v>
                </c:pt>
                <c:pt idx="250">
                  <c:v>7.5</c:v>
                </c:pt>
                <c:pt idx="251">
                  <c:v>9.6</c:v>
                </c:pt>
                <c:pt idx="252">
                  <c:v>11.2</c:v>
                </c:pt>
                <c:pt idx="253">
                  <c:v>13.2</c:v>
                </c:pt>
                <c:pt idx="254">
                  <c:v>11.8</c:v>
                </c:pt>
                <c:pt idx="255">
                  <c:v>14.4</c:v>
                </c:pt>
                <c:pt idx="256">
                  <c:v>15.1</c:v>
                </c:pt>
                <c:pt idx="257">
                  <c:v>12.1</c:v>
                </c:pt>
                <c:pt idx="258">
                  <c:v>13.7</c:v>
                </c:pt>
                <c:pt idx="259">
                  <c:v>13.7</c:v>
                </c:pt>
                <c:pt idx="260">
                  <c:v>17.399999999999999</c:v>
                </c:pt>
                <c:pt idx="261">
                  <c:v>12.9</c:v>
                </c:pt>
                <c:pt idx="262">
                  <c:v>10.1</c:v>
                </c:pt>
                <c:pt idx="263">
                  <c:v>9.6</c:v>
                </c:pt>
                <c:pt idx="264">
                  <c:v>16.899999999999999</c:v>
                </c:pt>
                <c:pt idx="265">
                  <c:v>13.5</c:v>
                </c:pt>
                <c:pt idx="266">
                  <c:v>9.3000000000000007</c:v>
                </c:pt>
                <c:pt idx="267">
                  <c:v>10.7</c:v>
                </c:pt>
                <c:pt idx="268">
                  <c:v>10.1</c:v>
                </c:pt>
                <c:pt idx="269">
                  <c:v>13.3</c:v>
                </c:pt>
                <c:pt idx="270">
                  <c:v>13.7</c:v>
                </c:pt>
                <c:pt idx="271">
                  <c:v>15.4</c:v>
                </c:pt>
                <c:pt idx="272">
                  <c:v>13.6</c:v>
                </c:pt>
                <c:pt idx="273">
                  <c:v>12.7</c:v>
                </c:pt>
                <c:pt idx="274">
                  <c:v>12</c:v>
                </c:pt>
                <c:pt idx="275">
                  <c:v>13.1</c:v>
                </c:pt>
              </c:numCache>
            </c:numRef>
          </c:val>
          <c:smooth val="0"/>
        </c:ser>
        <c:ser>
          <c:idx val="8"/>
          <c:order val="2"/>
          <c:tx>
            <c:strRef>
              <c:f>[1]METEO_STATION!$M$8</c:f>
              <c:strCache>
                <c:ptCount val="1"/>
                <c:pt idx="0">
                  <c:v>TX</c:v>
                </c:pt>
              </c:strCache>
            </c:strRef>
          </c:tx>
          <c:spPr>
            <a:ln w="19050">
              <a:solidFill>
                <a:srgbClr val="F5596F"/>
              </a:solidFill>
            </a:ln>
          </c:spPr>
          <c:marker>
            <c:symbol val="none"/>
          </c:marker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[1]METEO_STATION!$M$9:$M$284</c:f>
              <c:numCache>
                <c:formatCode>General</c:formatCode>
                <c:ptCount val="276"/>
                <c:pt idx="0">
                  <c:v>23.9</c:v>
                </c:pt>
                <c:pt idx="1">
                  <c:v>24</c:v>
                </c:pt>
                <c:pt idx="2">
                  <c:v>24.7</c:v>
                </c:pt>
                <c:pt idx="3">
                  <c:v>29.6</c:v>
                </c:pt>
                <c:pt idx="4">
                  <c:v>26.3</c:v>
                </c:pt>
                <c:pt idx="5">
                  <c:v>24.7</c:v>
                </c:pt>
                <c:pt idx="6">
                  <c:v>26.6</c:v>
                </c:pt>
                <c:pt idx="7">
                  <c:v>28.8</c:v>
                </c:pt>
                <c:pt idx="8">
                  <c:v>17.600000000000001</c:v>
                </c:pt>
                <c:pt idx="9">
                  <c:v>20.8</c:v>
                </c:pt>
                <c:pt idx="10">
                  <c:v>21.5</c:v>
                </c:pt>
                <c:pt idx="11">
                  <c:v>25.3</c:v>
                </c:pt>
                <c:pt idx="12">
                  <c:v>27.8</c:v>
                </c:pt>
                <c:pt idx="13">
                  <c:v>23.1</c:v>
                </c:pt>
                <c:pt idx="14">
                  <c:v>29.7</c:v>
                </c:pt>
                <c:pt idx="15">
                  <c:v>24</c:v>
                </c:pt>
                <c:pt idx="16">
                  <c:v>21.1</c:v>
                </c:pt>
                <c:pt idx="17">
                  <c:v>19.3</c:v>
                </c:pt>
                <c:pt idx="18">
                  <c:v>16.600000000000001</c:v>
                </c:pt>
                <c:pt idx="19">
                  <c:v>17.7</c:v>
                </c:pt>
                <c:pt idx="20">
                  <c:v>19.100000000000001</c:v>
                </c:pt>
                <c:pt idx="21">
                  <c:v>21.7</c:v>
                </c:pt>
                <c:pt idx="22">
                  <c:v>17.7</c:v>
                </c:pt>
                <c:pt idx="23">
                  <c:v>23.3</c:v>
                </c:pt>
                <c:pt idx="24">
                  <c:v>22.6</c:v>
                </c:pt>
                <c:pt idx="25">
                  <c:v>26.7</c:v>
                </c:pt>
                <c:pt idx="26">
                  <c:v>21</c:v>
                </c:pt>
                <c:pt idx="27">
                  <c:v>22.9</c:v>
                </c:pt>
                <c:pt idx="28">
                  <c:v>24.9</c:v>
                </c:pt>
                <c:pt idx="29">
                  <c:v>25</c:v>
                </c:pt>
                <c:pt idx="30">
                  <c:v>25.1</c:v>
                </c:pt>
                <c:pt idx="31">
                  <c:v>23.8</c:v>
                </c:pt>
                <c:pt idx="32">
                  <c:v>16.399999999999999</c:v>
                </c:pt>
                <c:pt idx="33">
                  <c:v>17.899999999999999</c:v>
                </c:pt>
                <c:pt idx="34">
                  <c:v>21.3</c:v>
                </c:pt>
                <c:pt idx="35">
                  <c:v>20.7</c:v>
                </c:pt>
                <c:pt idx="36">
                  <c:v>17.600000000000001</c:v>
                </c:pt>
                <c:pt idx="37">
                  <c:v>14.3</c:v>
                </c:pt>
                <c:pt idx="38">
                  <c:v>12.9</c:v>
                </c:pt>
                <c:pt idx="39">
                  <c:v>12.5</c:v>
                </c:pt>
                <c:pt idx="40">
                  <c:v>9.9</c:v>
                </c:pt>
                <c:pt idx="41">
                  <c:v>16.2</c:v>
                </c:pt>
                <c:pt idx="42">
                  <c:v>15.6</c:v>
                </c:pt>
                <c:pt idx="43">
                  <c:v>14.4</c:v>
                </c:pt>
                <c:pt idx="44">
                  <c:v>18.3</c:v>
                </c:pt>
                <c:pt idx="45">
                  <c:v>18.399999999999999</c:v>
                </c:pt>
                <c:pt idx="46">
                  <c:v>14.4</c:v>
                </c:pt>
                <c:pt idx="47">
                  <c:v>11.6</c:v>
                </c:pt>
                <c:pt idx="48">
                  <c:v>12.6</c:v>
                </c:pt>
                <c:pt idx="49">
                  <c:v>16.8</c:v>
                </c:pt>
                <c:pt idx="50">
                  <c:v>17.899999999999999</c:v>
                </c:pt>
                <c:pt idx="51">
                  <c:v>19</c:v>
                </c:pt>
                <c:pt idx="52">
                  <c:v>16.399999999999999</c:v>
                </c:pt>
                <c:pt idx="53">
                  <c:v>14.1</c:v>
                </c:pt>
                <c:pt idx="54">
                  <c:v>13.9</c:v>
                </c:pt>
                <c:pt idx="55">
                  <c:v>16.5</c:v>
                </c:pt>
                <c:pt idx="56">
                  <c:v>17.100000000000001</c:v>
                </c:pt>
                <c:pt idx="57">
                  <c:v>17.399999999999999</c:v>
                </c:pt>
                <c:pt idx="58">
                  <c:v>15.7</c:v>
                </c:pt>
                <c:pt idx="59">
                  <c:v>16.600000000000001</c:v>
                </c:pt>
                <c:pt idx="60">
                  <c:v>12.8</c:v>
                </c:pt>
                <c:pt idx="61">
                  <c:v>11.5</c:v>
                </c:pt>
                <c:pt idx="62">
                  <c:v>13.8</c:v>
                </c:pt>
                <c:pt idx="63">
                  <c:v>12</c:v>
                </c:pt>
                <c:pt idx="64">
                  <c:v>15.6</c:v>
                </c:pt>
                <c:pt idx="65">
                  <c:v>18.7</c:v>
                </c:pt>
                <c:pt idx="66">
                  <c:v>19.7</c:v>
                </c:pt>
                <c:pt idx="67">
                  <c:v>20.100000000000001</c:v>
                </c:pt>
                <c:pt idx="68">
                  <c:v>13</c:v>
                </c:pt>
                <c:pt idx="69">
                  <c:v>12.2</c:v>
                </c:pt>
                <c:pt idx="70">
                  <c:v>9.3000000000000007</c:v>
                </c:pt>
                <c:pt idx="71">
                  <c:v>12</c:v>
                </c:pt>
                <c:pt idx="72">
                  <c:v>12.4</c:v>
                </c:pt>
                <c:pt idx="73">
                  <c:v>12.3</c:v>
                </c:pt>
                <c:pt idx="74">
                  <c:v>11.5</c:v>
                </c:pt>
                <c:pt idx="75">
                  <c:v>9.1</c:v>
                </c:pt>
                <c:pt idx="76">
                  <c:v>10</c:v>
                </c:pt>
                <c:pt idx="77">
                  <c:v>8.6</c:v>
                </c:pt>
                <c:pt idx="78">
                  <c:v>8.1</c:v>
                </c:pt>
                <c:pt idx="79">
                  <c:v>7.1</c:v>
                </c:pt>
                <c:pt idx="80">
                  <c:v>6.5</c:v>
                </c:pt>
                <c:pt idx="81">
                  <c:v>7.5</c:v>
                </c:pt>
                <c:pt idx="82">
                  <c:v>8.5</c:v>
                </c:pt>
                <c:pt idx="83">
                  <c:v>9.6</c:v>
                </c:pt>
                <c:pt idx="84">
                  <c:v>4.9000000000000004</c:v>
                </c:pt>
                <c:pt idx="85">
                  <c:v>5.8</c:v>
                </c:pt>
                <c:pt idx="86">
                  <c:v>3.9</c:v>
                </c:pt>
                <c:pt idx="87">
                  <c:v>7.2</c:v>
                </c:pt>
                <c:pt idx="88">
                  <c:v>11.3</c:v>
                </c:pt>
                <c:pt idx="89">
                  <c:v>14.6</c:v>
                </c:pt>
                <c:pt idx="90">
                  <c:v>15.9</c:v>
                </c:pt>
                <c:pt idx="91">
                  <c:v>18.5</c:v>
                </c:pt>
                <c:pt idx="92">
                  <c:v>6.5</c:v>
                </c:pt>
                <c:pt idx="93">
                  <c:v>6.1</c:v>
                </c:pt>
                <c:pt idx="94">
                  <c:v>9.9</c:v>
                </c:pt>
                <c:pt idx="95">
                  <c:v>11</c:v>
                </c:pt>
                <c:pt idx="96">
                  <c:v>6.1</c:v>
                </c:pt>
                <c:pt idx="97">
                  <c:v>5.3</c:v>
                </c:pt>
                <c:pt idx="98">
                  <c:v>0.7</c:v>
                </c:pt>
                <c:pt idx="99">
                  <c:v>6.8</c:v>
                </c:pt>
                <c:pt idx="100">
                  <c:v>7.2</c:v>
                </c:pt>
                <c:pt idx="101">
                  <c:v>6.8</c:v>
                </c:pt>
                <c:pt idx="102">
                  <c:v>9.1999999999999993</c:v>
                </c:pt>
                <c:pt idx="103">
                  <c:v>12</c:v>
                </c:pt>
                <c:pt idx="104">
                  <c:v>11.3</c:v>
                </c:pt>
                <c:pt idx="105">
                  <c:v>15.1</c:v>
                </c:pt>
                <c:pt idx="106">
                  <c:v>9.3000000000000007</c:v>
                </c:pt>
                <c:pt idx="107">
                  <c:v>4</c:v>
                </c:pt>
                <c:pt idx="108">
                  <c:v>0.7</c:v>
                </c:pt>
                <c:pt idx="109">
                  <c:v>0.9</c:v>
                </c:pt>
                <c:pt idx="110">
                  <c:v>7.2</c:v>
                </c:pt>
                <c:pt idx="111">
                  <c:v>10.5</c:v>
                </c:pt>
                <c:pt idx="112">
                  <c:v>11</c:v>
                </c:pt>
                <c:pt idx="113">
                  <c:v>12.7</c:v>
                </c:pt>
                <c:pt idx="114">
                  <c:v>14.7</c:v>
                </c:pt>
                <c:pt idx="115">
                  <c:v>9.3000000000000007</c:v>
                </c:pt>
                <c:pt idx="116">
                  <c:v>3.1</c:v>
                </c:pt>
                <c:pt idx="117">
                  <c:v>2.7</c:v>
                </c:pt>
                <c:pt idx="118">
                  <c:v>5.8</c:v>
                </c:pt>
                <c:pt idx="119">
                  <c:v>9.3000000000000007</c:v>
                </c:pt>
                <c:pt idx="120">
                  <c:v>12.1</c:v>
                </c:pt>
                <c:pt idx="121">
                  <c:v>13.7</c:v>
                </c:pt>
                <c:pt idx="122">
                  <c:v>14</c:v>
                </c:pt>
                <c:pt idx="123">
                  <c:v>9.6</c:v>
                </c:pt>
                <c:pt idx="124">
                  <c:v>8.6999999999999993</c:v>
                </c:pt>
                <c:pt idx="125">
                  <c:v>12.9</c:v>
                </c:pt>
                <c:pt idx="126">
                  <c:v>12.2</c:v>
                </c:pt>
                <c:pt idx="127">
                  <c:v>16</c:v>
                </c:pt>
                <c:pt idx="128">
                  <c:v>9.6999999999999993</c:v>
                </c:pt>
                <c:pt idx="129">
                  <c:v>13.9</c:v>
                </c:pt>
                <c:pt idx="130">
                  <c:v>13</c:v>
                </c:pt>
                <c:pt idx="131">
                  <c:v>15.3</c:v>
                </c:pt>
                <c:pt idx="132">
                  <c:v>13.7</c:v>
                </c:pt>
                <c:pt idx="133">
                  <c:v>10.199999999999999</c:v>
                </c:pt>
                <c:pt idx="134">
                  <c:v>6.8</c:v>
                </c:pt>
                <c:pt idx="135">
                  <c:v>4</c:v>
                </c:pt>
                <c:pt idx="136">
                  <c:v>0.1</c:v>
                </c:pt>
                <c:pt idx="137">
                  <c:v>2.9</c:v>
                </c:pt>
                <c:pt idx="138">
                  <c:v>4.3</c:v>
                </c:pt>
                <c:pt idx="139">
                  <c:v>4.3</c:v>
                </c:pt>
                <c:pt idx="140">
                  <c:v>6.8</c:v>
                </c:pt>
                <c:pt idx="141">
                  <c:v>10.3</c:v>
                </c:pt>
                <c:pt idx="142">
                  <c:v>11.1</c:v>
                </c:pt>
                <c:pt idx="143">
                  <c:v>7.3</c:v>
                </c:pt>
                <c:pt idx="144">
                  <c:v>5.3</c:v>
                </c:pt>
                <c:pt idx="145">
                  <c:v>2.6</c:v>
                </c:pt>
                <c:pt idx="146">
                  <c:v>0.7</c:v>
                </c:pt>
                <c:pt idx="147">
                  <c:v>5.6</c:v>
                </c:pt>
                <c:pt idx="148">
                  <c:v>10.5</c:v>
                </c:pt>
                <c:pt idx="149">
                  <c:v>13.2</c:v>
                </c:pt>
                <c:pt idx="150">
                  <c:v>12.9</c:v>
                </c:pt>
                <c:pt idx="151">
                  <c:v>11.8</c:v>
                </c:pt>
                <c:pt idx="152">
                  <c:v>15.5</c:v>
                </c:pt>
                <c:pt idx="153">
                  <c:v>15.4</c:v>
                </c:pt>
                <c:pt idx="154">
                  <c:v>15.4</c:v>
                </c:pt>
                <c:pt idx="155">
                  <c:v>14.2</c:v>
                </c:pt>
                <c:pt idx="156">
                  <c:v>13.4</c:v>
                </c:pt>
                <c:pt idx="157">
                  <c:v>14.8</c:v>
                </c:pt>
                <c:pt idx="158">
                  <c:v>12.3</c:v>
                </c:pt>
                <c:pt idx="159">
                  <c:v>10.1</c:v>
                </c:pt>
                <c:pt idx="160">
                  <c:v>15.1</c:v>
                </c:pt>
                <c:pt idx="161">
                  <c:v>14</c:v>
                </c:pt>
                <c:pt idx="162">
                  <c:v>10.7</c:v>
                </c:pt>
                <c:pt idx="163">
                  <c:v>14</c:v>
                </c:pt>
                <c:pt idx="164">
                  <c:v>14</c:v>
                </c:pt>
                <c:pt idx="165">
                  <c:v>13.2</c:v>
                </c:pt>
                <c:pt idx="166">
                  <c:v>11.8</c:v>
                </c:pt>
                <c:pt idx="167">
                  <c:v>9.9</c:v>
                </c:pt>
                <c:pt idx="168">
                  <c:v>11.9</c:v>
                </c:pt>
                <c:pt idx="169">
                  <c:v>14.2</c:v>
                </c:pt>
                <c:pt idx="170">
                  <c:v>13.8</c:v>
                </c:pt>
                <c:pt idx="171">
                  <c:v>11.9</c:v>
                </c:pt>
                <c:pt idx="172">
                  <c:v>10.8</c:v>
                </c:pt>
                <c:pt idx="173">
                  <c:v>9.6</c:v>
                </c:pt>
                <c:pt idx="174">
                  <c:v>6.3</c:v>
                </c:pt>
                <c:pt idx="175">
                  <c:v>6</c:v>
                </c:pt>
                <c:pt idx="176">
                  <c:v>7</c:v>
                </c:pt>
                <c:pt idx="177">
                  <c:v>13.8</c:v>
                </c:pt>
                <c:pt idx="178">
                  <c:v>15.3</c:v>
                </c:pt>
                <c:pt idx="179">
                  <c:v>15.2</c:v>
                </c:pt>
                <c:pt idx="180">
                  <c:v>17.399999999999999</c:v>
                </c:pt>
                <c:pt idx="181">
                  <c:v>13.3</c:v>
                </c:pt>
                <c:pt idx="182">
                  <c:v>15.6</c:v>
                </c:pt>
                <c:pt idx="183">
                  <c:v>13.6</c:v>
                </c:pt>
                <c:pt idx="184">
                  <c:v>15.8</c:v>
                </c:pt>
                <c:pt idx="185">
                  <c:v>11.7</c:v>
                </c:pt>
                <c:pt idx="186">
                  <c:v>17</c:v>
                </c:pt>
                <c:pt idx="187">
                  <c:v>16.7</c:v>
                </c:pt>
                <c:pt idx="188">
                  <c:v>15.1</c:v>
                </c:pt>
                <c:pt idx="189">
                  <c:v>15.3</c:v>
                </c:pt>
                <c:pt idx="190">
                  <c:v>13.2</c:v>
                </c:pt>
                <c:pt idx="191">
                  <c:v>15.7</c:v>
                </c:pt>
                <c:pt idx="192">
                  <c:v>15.5</c:v>
                </c:pt>
                <c:pt idx="193">
                  <c:v>14.8</c:v>
                </c:pt>
                <c:pt idx="194">
                  <c:v>16.8</c:v>
                </c:pt>
                <c:pt idx="195">
                  <c:v>16</c:v>
                </c:pt>
                <c:pt idx="196">
                  <c:v>18.600000000000001</c:v>
                </c:pt>
                <c:pt idx="197">
                  <c:v>18.899999999999999</c:v>
                </c:pt>
                <c:pt idx="198">
                  <c:v>17.7</c:v>
                </c:pt>
                <c:pt idx="199">
                  <c:v>20.5</c:v>
                </c:pt>
                <c:pt idx="200">
                  <c:v>16.5</c:v>
                </c:pt>
                <c:pt idx="201">
                  <c:v>13.7</c:v>
                </c:pt>
                <c:pt idx="202">
                  <c:v>16.100000000000001</c:v>
                </c:pt>
                <c:pt idx="203">
                  <c:v>15.5</c:v>
                </c:pt>
                <c:pt idx="204">
                  <c:v>17.7</c:v>
                </c:pt>
                <c:pt idx="205">
                  <c:v>24.3</c:v>
                </c:pt>
                <c:pt idx="206">
                  <c:v>19.399999999999999</c:v>
                </c:pt>
                <c:pt idx="207">
                  <c:v>15.8</c:v>
                </c:pt>
                <c:pt idx="208">
                  <c:v>17.600000000000001</c:v>
                </c:pt>
                <c:pt idx="209">
                  <c:v>21.6</c:v>
                </c:pt>
                <c:pt idx="210">
                  <c:v>25.7</c:v>
                </c:pt>
                <c:pt idx="211">
                  <c:v>28.1</c:v>
                </c:pt>
                <c:pt idx="212">
                  <c:v>27.7</c:v>
                </c:pt>
                <c:pt idx="213">
                  <c:v>28.6</c:v>
                </c:pt>
                <c:pt idx="214">
                  <c:v>18.2</c:v>
                </c:pt>
                <c:pt idx="215">
                  <c:v>19.899999999999999</c:v>
                </c:pt>
                <c:pt idx="216">
                  <c:v>18.600000000000001</c:v>
                </c:pt>
                <c:pt idx="217">
                  <c:v>18.100000000000001</c:v>
                </c:pt>
                <c:pt idx="218">
                  <c:v>20.3</c:v>
                </c:pt>
                <c:pt idx="219">
                  <c:v>18.600000000000001</c:v>
                </c:pt>
                <c:pt idx="220">
                  <c:v>20.9</c:v>
                </c:pt>
                <c:pt idx="221">
                  <c:v>22.6</c:v>
                </c:pt>
                <c:pt idx="222">
                  <c:v>22.8</c:v>
                </c:pt>
                <c:pt idx="223">
                  <c:v>20.2</c:v>
                </c:pt>
                <c:pt idx="224">
                  <c:v>21.1</c:v>
                </c:pt>
                <c:pt idx="225">
                  <c:v>22</c:v>
                </c:pt>
                <c:pt idx="226">
                  <c:v>20</c:v>
                </c:pt>
                <c:pt idx="227">
                  <c:v>17.399999999999999</c:v>
                </c:pt>
                <c:pt idx="228">
                  <c:v>21.7</c:v>
                </c:pt>
                <c:pt idx="229">
                  <c:v>23</c:v>
                </c:pt>
                <c:pt idx="230">
                  <c:v>23</c:v>
                </c:pt>
                <c:pt idx="231">
                  <c:v>22.5</c:v>
                </c:pt>
                <c:pt idx="232">
                  <c:v>21.6</c:v>
                </c:pt>
                <c:pt idx="233">
                  <c:v>21.5</c:v>
                </c:pt>
                <c:pt idx="234">
                  <c:v>21.9</c:v>
                </c:pt>
                <c:pt idx="235">
                  <c:v>23.5</c:v>
                </c:pt>
                <c:pt idx="236">
                  <c:v>22.1</c:v>
                </c:pt>
                <c:pt idx="237">
                  <c:v>20.100000000000001</c:v>
                </c:pt>
                <c:pt idx="238">
                  <c:v>21.6</c:v>
                </c:pt>
                <c:pt idx="239">
                  <c:v>24.8</c:v>
                </c:pt>
                <c:pt idx="240">
                  <c:v>22.5</c:v>
                </c:pt>
                <c:pt idx="241">
                  <c:v>18.899999999999999</c:v>
                </c:pt>
                <c:pt idx="242">
                  <c:v>24.7</c:v>
                </c:pt>
                <c:pt idx="243">
                  <c:v>27.2</c:v>
                </c:pt>
                <c:pt idx="244">
                  <c:v>25.9</c:v>
                </c:pt>
                <c:pt idx="245">
                  <c:v>28.9</c:v>
                </c:pt>
                <c:pt idx="246">
                  <c:v>21.8</c:v>
                </c:pt>
                <c:pt idx="247">
                  <c:v>27.3</c:v>
                </c:pt>
                <c:pt idx="248">
                  <c:v>17</c:v>
                </c:pt>
                <c:pt idx="249">
                  <c:v>0</c:v>
                </c:pt>
                <c:pt idx="250">
                  <c:v>22.4</c:v>
                </c:pt>
                <c:pt idx="251">
                  <c:v>26.6</c:v>
                </c:pt>
                <c:pt idx="252">
                  <c:v>28.1</c:v>
                </c:pt>
                <c:pt idx="253">
                  <c:v>27.2</c:v>
                </c:pt>
                <c:pt idx="254">
                  <c:v>28.1</c:v>
                </c:pt>
                <c:pt idx="255">
                  <c:v>28.4</c:v>
                </c:pt>
                <c:pt idx="256">
                  <c:v>21.2</c:v>
                </c:pt>
                <c:pt idx="257">
                  <c:v>28.9</c:v>
                </c:pt>
                <c:pt idx="258">
                  <c:v>27.3</c:v>
                </c:pt>
                <c:pt idx="259">
                  <c:v>30.9</c:v>
                </c:pt>
                <c:pt idx="260">
                  <c:v>22.4</c:v>
                </c:pt>
                <c:pt idx="261">
                  <c:v>20.5</c:v>
                </c:pt>
                <c:pt idx="262">
                  <c:v>24.6</c:v>
                </c:pt>
                <c:pt idx="263">
                  <c:v>30</c:v>
                </c:pt>
                <c:pt idx="264">
                  <c:v>26</c:v>
                </c:pt>
                <c:pt idx="265">
                  <c:v>19.3</c:v>
                </c:pt>
                <c:pt idx="266">
                  <c:v>17.5</c:v>
                </c:pt>
                <c:pt idx="267">
                  <c:v>16.899999999999999</c:v>
                </c:pt>
                <c:pt idx="268">
                  <c:v>24.2</c:v>
                </c:pt>
                <c:pt idx="269">
                  <c:v>22.2</c:v>
                </c:pt>
                <c:pt idx="270">
                  <c:v>25.2</c:v>
                </c:pt>
                <c:pt idx="271">
                  <c:v>25.8</c:v>
                </c:pt>
                <c:pt idx="272">
                  <c:v>18.8</c:v>
                </c:pt>
                <c:pt idx="273">
                  <c:v>19.100000000000001</c:v>
                </c:pt>
                <c:pt idx="274">
                  <c:v>21.4</c:v>
                </c:pt>
                <c:pt idx="275">
                  <c:v>19.100000000000001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04416"/>
        <c:axId val="123548160"/>
      </c:lineChart>
      <c:dateAx>
        <c:axId val="1214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/>
        </c:spPr>
        <c:crossAx val="123548160"/>
        <c:crosses val="autoZero"/>
        <c:auto val="0"/>
        <c:lblOffset val="100"/>
        <c:baseTimeUnit val="days"/>
      </c:dateAx>
      <c:valAx>
        <c:axId val="123548160"/>
        <c:scaling>
          <c:orientation val="minMax"/>
          <c:max val="30"/>
          <c:min val="-7"/>
        </c:scaling>
        <c:delete val="0"/>
        <c:axPos val="l"/>
        <c:majorGridlines>
          <c:spPr>
            <a:ln w="6350"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214044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664087509292551E-2"/>
          <c:y val="2.3058211345950846E-2"/>
          <c:w val="0.80695765630452276"/>
          <c:h val="0.955960422204579"/>
        </c:manualLayout>
      </c:layout>
      <c:barChart>
        <c:barDir val="col"/>
        <c:grouping val="clustered"/>
        <c:varyColors val="0"/>
        <c:ser>
          <c:idx val="1"/>
          <c:order val="1"/>
          <c:tx>
            <c:v>pluviométrie (mm)</c:v>
          </c:tx>
          <c:spPr>
            <a:solidFill>
              <a:schemeClr val="accent1"/>
            </a:solidFill>
          </c:spPr>
          <c:invertIfNegative val="0"/>
          <c:val>
            <c:numRef>
              <c:f>[1]METEO_STATION!$J$21:$J$284</c:f>
              <c:numCache>
                <c:formatCode>General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10.3</c:v>
                </c:pt>
                <c:pt idx="4">
                  <c:v>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2.6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6.7</c:v>
                </c:pt>
                <c:pt idx="20">
                  <c:v>57.3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1.8</c:v>
                </c:pt>
                <c:pt idx="34">
                  <c:v>11.1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4.5999999999999996</c:v>
                </c:pt>
                <c:pt idx="42">
                  <c:v>4.5</c:v>
                </c:pt>
                <c:pt idx="43">
                  <c:v>0</c:v>
                </c:pt>
                <c:pt idx="44">
                  <c:v>0.8</c:v>
                </c:pt>
                <c:pt idx="45">
                  <c:v>0.8</c:v>
                </c:pt>
                <c:pt idx="46">
                  <c:v>0.2</c:v>
                </c:pt>
                <c:pt idx="47">
                  <c:v>0.4</c:v>
                </c:pt>
                <c:pt idx="48">
                  <c:v>3.4</c:v>
                </c:pt>
                <c:pt idx="49">
                  <c:v>8.4</c:v>
                </c:pt>
                <c:pt idx="50">
                  <c:v>1.4</c:v>
                </c:pt>
                <c:pt idx="51">
                  <c:v>5.2</c:v>
                </c:pt>
                <c:pt idx="52">
                  <c:v>0.6</c:v>
                </c:pt>
                <c:pt idx="53">
                  <c:v>0.6</c:v>
                </c:pt>
                <c:pt idx="54">
                  <c:v>0.2</c:v>
                </c:pt>
                <c:pt idx="55">
                  <c:v>2.6</c:v>
                </c:pt>
                <c:pt idx="56">
                  <c:v>3</c:v>
                </c:pt>
                <c:pt idx="57">
                  <c:v>0</c:v>
                </c:pt>
                <c:pt idx="58">
                  <c:v>8.5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12.1</c:v>
                </c:pt>
                <c:pt idx="63">
                  <c:v>0.8</c:v>
                </c:pt>
                <c:pt idx="64">
                  <c:v>0</c:v>
                </c:pt>
                <c:pt idx="65">
                  <c:v>0</c:v>
                </c:pt>
                <c:pt idx="66">
                  <c:v>2.4</c:v>
                </c:pt>
                <c:pt idx="67">
                  <c:v>0</c:v>
                </c:pt>
                <c:pt idx="68">
                  <c:v>1.6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0.6</c:v>
                </c:pt>
                <c:pt idx="75">
                  <c:v>0.2</c:v>
                </c:pt>
                <c:pt idx="76">
                  <c:v>0.4</c:v>
                </c:pt>
                <c:pt idx="77">
                  <c:v>0.8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</c:v>
                </c:pt>
                <c:pt idx="93">
                  <c:v>0.4</c:v>
                </c:pt>
                <c:pt idx="94">
                  <c:v>16.899999999999999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0.8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6.3</c:v>
                </c:pt>
                <c:pt idx="112">
                  <c:v>3.2</c:v>
                </c:pt>
                <c:pt idx="113">
                  <c:v>8</c:v>
                </c:pt>
                <c:pt idx="114">
                  <c:v>1.8</c:v>
                </c:pt>
                <c:pt idx="115">
                  <c:v>0.4</c:v>
                </c:pt>
                <c:pt idx="116">
                  <c:v>0.2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10.9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0.4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</c:v>
                </c:pt>
                <c:pt idx="144">
                  <c:v>0</c:v>
                </c:pt>
                <c:pt idx="145">
                  <c:v>1.2</c:v>
                </c:pt>
                <c:pt idx="146">
                  <c:v>0.2</c:v>
                </c:pt>
                <c:pt idx="147">
                  <c:v>0.6</c:v>
                </c:pt>
                <c:pt idx="148">
                  <c:v>0.2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3.8</c:v>
                </c:pt>
                <c:pt idx="153">
                  <c:v>0</c:v>
                </c:pt>
                <c:pt idx="154">
                  <c:v>10.7</c:v>
                </c:pt>
                <c:pt idx="155">
                  <c:v>3.2</c:v>
                </c:pt>
                <c:pt idx="156">
                  <c:v>2.6</c:v>
                </c:pt>
                <c:pt idx="157">
                  <c:v>0.6</c:v>
                </c:pt>
                <c:pt idx="158">
                  <c:v>0</c:v>
                </c:pt>
                <c:pt idx="159">
                  <c:v>4</c:v>
                </c:pt>
                <c:pt idx="160">
                  <c:v>2</c:v>
                </c:pt>
                <c:pt idx="161">
                  <c:v>0.6</c:v>
                </c:pt>
                <c:pt idx="162">
                  <c:v>0.2</c:v>
                </c:pt>
                <c:pt idx="163">
                  <c:v>0</c:v>
                </c:pt>
                <c:pt idx="164">
                  <c:v>1.8</c:v>
                </c:pt>
                <c:pt idx="165">
                  <c:v>0.2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6.8</c:v>
                </c:pt>
                <c:pt idx="174">
                  <c:v>0</c:v>
                </c:pt>
                <c:pt idx="175">
                  <c:v>0</c:v>
                </c:pt>
                <c:pt idx="176">
                  <c:v>8.8000000000000007</c:v>
                </c:pt>
                <c:pt idx="177">
                  <c:v>1.6</c:v>
                </c:pt>
                <c:pt idx="178">
                  <c:v>0</c:v>
                </c:pt>
                <c:pt idx="179">
                  <c:v>0.2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4.2</c:v>
                </c:pt>
                <c:pt idx="189">
                  <c:v>2.6</c:v>
                </c:pt>
                <c:pt idx="190">
                  <c:v>7.2</c:v>
                </c:pt>
                <c:pt idx="191">
                  <c:v>2</c:v>
                </c:pt>
                <c:pt idx="192">
                  <c:v>0.2</c:v>
                </c:pt>
                <c:pt idx="193">
                  <c:v>0.2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1.8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</c:v>
                </c:pt>
                <c:pt idx="213">
                  <c:v>0</c:v>
                </c:pt>
                <c:pt idx="214">
                  <c:v>0</c:v>
                </c:pt>
                <c:pt idx="215">
                  <c:v>4.2</c:v>
                </c:pt>
                <c:pt idx="216">
                  <c:v>0</c:v>
                </c:pt>
                <c:pt idx="217">
                  <c:v>29.7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2.2000000000000002</c:v>
                </c:pt>
                <c:pt idx="225">
                  <c:v>2.4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9.6999999999999993</c:v>
                </c:pt>
                <c:pt idx="253">
                  <c:v>2.4</c:v>
                </c:pt>
                <c:pt idx="254">
                  <c:v>5</c:v>
                </c:pt>
                <c:pt idx="255">
                  <c:v>1.8</c:v>
                </c:pt>
                <c:pt idx="256">
                  <c:v>0</c:v>
                </c:pt>
                <c:pt idx="257">
                  <c:v>2.2000000000000002</c:v>
                </c:pt>
                <c:pt idx="258">
                  <c:v>0</c:v>
                </c:pt>
                <c:pt idx="259">
                  <c:v>0</c:v>
                </c:pt>
                <c:pt idx="260">
                  <c:v>18</c:v>
                </c:pt>
                <c:pt idx="261">
                  <c:v>3.2</c:v>
                </c:pt>
                <c:pt idx="262">
                  <c:v>0.4</c:v>
                </c:pt>
                <c:pt idx="263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65440"/>
        <c:axId val="133247488"/>
      </c:barChart>
      <c:lineChart>
        <c:grouping val="standard"/>
        <c:varyColors val="0"/>
        <c:ser>
          <c:idx val="0"/>
          <c:order val="0"/>
          <c:tx>
            <c:v>TM  (°C)</c:v>
          </c:tx>
          <c:spPr>
            <a:ln w="2222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[1]METEO_STATION!$K$9:$K$284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19.399999999999999</c:v>
                </c:pt>
                <c:pt idx="3">
                  <c:v>20.9</c:v>
                </c:pt>
                <c:pt idx="4">
                  <c:v>21.1</c:v>
                </c:pt>
                <c:pt idx="5">
                  <c:v>19.100000000000001</c:v>
                </c:pt>
                <c:pt idx="6">
                  <c:v>18.899999999999999</c:v>
                </c:pt>
                <c:pt idx="7">
                  <c:v>20.7</c:v>
                </c:pt>
                <c:pt idx="8">
                  <c:v>16.100000000000001</c:v>
                </c:pt>
                <c:pt idx="9">
                  <c:v>17.399999999999999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19.399999999999999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16.100000000000001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20.399999999999999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9.6999999999999993</c:v>
                </c:pt>
                <c:pt idx="39">
                  <c:v>9.1999999999999993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8.3000000000000007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8.1999999999999993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8.1999999999999993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-1.1000000000000001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5.0999999999999996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9.3000000000000007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8.3000000000000007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9.1999999999999993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9.3000000000000007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10.199999999999999</c:v>
                </c:pt>
                <c:pt idx="182">
                  <c:v>10.4</c:v>
                </c:pt>
                <c:pt idx="183">
                  <c:v>7.7</c:v>
                </c:pt>
                <c:pt idx="184">
                  <c:v>8.3000000000000007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10.199999999999999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18.899999999999999</c:v>
                </c:pt>
                <c:pt idx="212">
                  <c:v>19.100000000000001</c:v>
                </c:pt>
                <c:pt idx="213">
                  <c:v>19.100000000000001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16.100000000000001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17.399999999999999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19.600000000000001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16.100000000000001</c:v>
                </c:pt>
                <c:pt idx="251">
                  <c:v>19.2</c:v>
                </c:pt>
                <c:pt idx="252">
                  <c:v>20.100000000000001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19.600000000000001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20.100000000000001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17.600000000000001</c:v>
                </c:pt>
                <c:pt idx="270">
                  <c:v>19</c:v>
                </c:pt>
                <c:pt idx="271">
                  <c:v>19.600000000000001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65440"/>
        <c:axId val="133247488"/>
      </c:lineChart>
      <c:dateAx>
        <c:axId val="12396544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crossAx val="13324748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324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965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275315495119231E-2"/>
          <c:y val="2.3415787361637855E-2"/>
          <c:w val="0.80695765630452276"/>
          <c:h val="0.955960422204579"/>
        </c:manualLayout>
      </c:layout>
      <c:barChart>
        <c:barDir val="col"/>
        <c:grouping val="clustered"/>
        <c:varyColors val="0"/>
        <c:ser>
          <c:idx val="1"/>
          <c:order val="1"/>
          <c:tx>
            <c:v>pluviométrie (mm)</c:v>
          </c:tx>
          <c:spPr>
            <a:solidFill>
              <a:schemeClr val="accent1"/>
            </a:solidFill>
          </c:spPr>
          <c:invertIfNegative val="0"/>
          <c:val>
            <c:numRef>
              <c:f>[1]METEO_STATION!$J$21:$J$284</c:f>
              <c:numCache>
                <c:formatCode>General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10.3</c:v>
                </c:pt>
                <c:pt idx="4">
                  <c:v>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2.6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6.7</c:v>
                </c:pt>
                <c:pt idx="20">
                  <c:v>57.3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1.8</c:v>
                </c:pt>
                <c:pt idx="34">
                  <c:v>11.1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4.5999999999999996</c:v>
                </c:pt>
                <c:pt idx="42">
                  <c:v>4.5</c:v>
                </c:pt>
                <c:pt idx="43">
                  <c:v>0</c:v>
                </c:pt>
                <c:pt idx="44">
                  <c:v>0.8</c:v>
                </c:pt>
                <c:pt idx="45">
                  <c:v>0.8</c:v>
                </c:pt>
                <c:pt idx="46">
                  <c:v>0.2</c:v>
                </c:pt>
                <c:pt idx="47">
                  <c:v>0.4</c:v>
                </c:pt>
                <c:pt idx="48">
                  <c:v>3.4</c:v>
                </c:pt>
                <c:pt idx="49">
                  <c:v>8.4</c:v>
                </c:pt>
                <c:pt idx="50">
                  <c:v>1.4</c:v>
                </c:pt>
                <c:pt idx="51">
                  <c:v>5.2</c:v>
                </c:pt>
                <c:pt idx="52">
                  <c:v>0.6</c:v>
                </c:pt>
                <c:pt idx="53">
                  <c:v>0.6</c:v>
                </c:pt>
                <c:pt idx="54">
                  <c:v>0.2</c:v>
                </c:pt>
                <c:pt idx="55">
                  <c:v>2.6</c:v>
                </c:pt>
                <c:pt idx="56">
                  <c:v>3</c:v>
                </c:pt>
                <c:pt idx="57">
                  <c:v>0</c:v>
                </c:pt>
                <c:pt idx="58">
                  <c:v>8.5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12.1</c:v>
                </c:pt>
                <c:pt idx="63">
                  <c:v>0.8</c:v>
                </c:pt>
                <c:pt idx="64">
                  <c:v>0</c:v>
                </c:pt>
                <c:pt idx="65">
                  <c:v>0</c:v>
                </c:pt>
                <c:pt idx="66">
                  <c:v>2.4</c:v>
                </c:pt>
                <c:pt idx="67">
                  <c:v>0</c:v>
                </c:pt>
                <c:pt idx="68">
                  <c:v>1.6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0.6</c:v>
                </c:pt>
                <c:pt idx="75">
                  <c:v>0.2</c:v>
                </c:pt>
                <c:pt idx="76">
                  <c:v>0.4</c:v>
                </c:pt>
                <c:pt idx="77">
                  <c:v>0.8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</c:v>
                </c:pt>
                <c:pt idx="93">
                  <c:v>0.4</c:v>
                </c:pt>
                <c:pt idx="94">
                  <c:v>16.899999999999999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0.8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6.3</c:v>
                </c:pt>
                <c:pt idx="112">
                  <c:v>3.2</c:v>
                </c:pt>
                <c:pt idx="113">
                  <c:v>8</c:v>
                </c:pt>
                <c:pt idx="114">
                  <c:v>1.8</c:v>
                </c:pt>
                <c:pt idx="115">
                  <c:v>0.4</c:v>
                </c:pt>
                <c:pt idx="116">
                  <c:v>0.2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10.9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0.4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</c:v>
                </c:pt>
                <c:pt idx="144">
                  <c:v>0</c:v>
                </c:pt>
                <c:pt idx="145">
                  <c:v>1.2</c:v>
                </c:pt>
                <c:pt idx="146">
                  <c:v>0.2</c:v>
                </c:pt>
                <c:pt idx="147">
                  <c:v>0.6</c:v>
                </c:pt>
                <c:pt idx="148">
                  <c:v>0.2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3.8</c:v>
                </c:pt>
                <c:pt idx="153">
                  <c:v>0</c:v>
                </c:pt>
                <c:pt idx="154">
                  <c:v>10.7</c:v>
                </c:pt>
                <c:pt idx="155">
                  <c:v>3.2</c:v>
                </c:pt>
                <c:pt idx="156">
                  <c:v>2.6</c:v>
                </c:pt>
                <c:pt idx="157">
                  <c:v>0.6</c:v>
                </c:pt>
                <c:pt idx="158">
                  <c:v>0</c:v>
                </c:pt>
                <c:pt idx="159">
                  <c:v>4</c:v>
                </c:pt>
                <c:pt idx="160">
                  <c:v>2</c:v>
                </c:pt>
                <c:pt idx="161">
                  <c:v>0.6</c:v>
                </c:pt>
                <c:pt idx="162">
                  <c:v>0.2</c:v>
                </c:pt>
                <c:pt idx="163">
                  <c:v>0</c:v>
                </c:pt>
                <c:pt idx="164">
                  <c:v>1.8</c:v>
                </c:pt>
                <c:pt idx="165">
                  <c:v>0.2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6.8</c:v>
                </c:pt>
                <c:pt idx="174">
                  <c:v>0</c:v>
                </c:pt>
                <c:pt idx="175">
                  <c:v>0</c:v>
                </c:pt>
                <c:pt idx="176">
                  <c:v>8.8000000000000007</c:v>
                </c:pt>
                <c:pt idx="177">
                  <c:v>1.6</c:v>
                </c:pt>
                <c:pt idx="178">
                  <c:v>0</c:v>
                </c:pt>
                <c:pt idx="179">
                  <c:v>0.2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4.2</c:v>
                </c:pt>
                <c:pt idx="189">
                  <c:v>2.6</c:v>
                </c:pt>
                <c:pt idx="190">
                  <c:v>7.2</c:v>
                </c:pt>
                <c:pt idx="191">
                  <c:v>2</c:v>
                </c:pt>
                <c:pt idx="192">
                  <c:v>0.2</c:v>
                </c:pt>
                <c:pt idx="193">
                  <c:v>0.2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1.8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</c:v>
                </c:pt>
                <c:pt idx="213">
                  <c:v>0</c:v>
                </c:pt>
                <c:pt idx="214">
                  <c:v>0</c:v>
                </c:pt>
                <c:pt idx="215">
                  <c:v>4.2</c:v>
                </c:pt>
                <c:pt idx="216">
                  <c:v>0</c:v>
                </c:pt>
                <c:pt idx="217">
                  <c:v>29.7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2.2000000000000002</c:v>
                </c:pt>
                <c:pt idx="225">
                  <c:v>2.4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9.6999999999999993</c:v>
                </c:pt>
                <c:pt idx="253">
                  <c:v>2.4</c:v>
                </c:pt>
                <c:pt idx="254">
                  <c:v>5</c:v>
                </c:pt>
                <c:pt idx="255">
                  <c:v>1.8</c:v>
                </c:pt>
                <c:pt idx="256">
                  <c:v>0</c:v>
                </c:pt>
                <c:pt idx="257">
                  <c:v>2.2000000000000002</c:v>
                </c:pt>
                <c:pt idx="258">
                  <c:v>0</c:v>
                </c:pt>
                <c:pt idx="259">
                  <c:v>0</c:v>
                </c:pt>
                <c:pt idx="260">
                  <c:v>18</c:v>
                </c:pt>
                <c:pt idx="261">
                  <c:v>3.2</c:v>
                </c:pt>
                <c:pt idx="262">
                  <c:v>0.4</c:v>
                </c:pt>
                <c:pt idx="263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02368"/>
        <c:axId val="60540032"/>
      </c:barChart>
      <c:lineChart>
        <c:grouping val="standard"/>
        <c:varyColors val="0"/>
        <c:ser>
          <c:idx val="0"/>
          <c:order val="0"/>
          <c:tx>
            <c:v>TM  (°C)</c:v>
          </c:tx>
          <c:spPr>
            <a:ln w="2222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[1]METEO_STATION!$K$9:$K$284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19.399999999999999</c:v>
                </c:pt>
                <c:pt idx="3">
                  <c:v>20.9</c:v>
                </c:pt>
                <c:pt idx="4">
                  <c:v>21.1</c:v>
                </c:pt>
                <c:pt idx="5">
                  <c:v>19.100000000000001</c:v>
                </c:pt>
                <c:pt idx="6">
                  <c:v>18.899999999999999</c:v>
                </c:pt>
                <c:pt idx="7">
                  <c:v>20.7</c:v>
                </c:pt>
                <c:pt idx="8">
                  <c:v>16.100000000000001</c:v>
                </c:pt>
                <c:pt idx="9">
                  <c:v>17.399999999999999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19.399999999999999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16.100000000000001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20.399999999999999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9.6999999999999993</c:v>
                </c:pt>
                <c:pt idx="39">
                  <c:v>9.1999999999999993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8.3000000000000007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8.1999999999999993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8.1999999999999993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-1.1000000000000001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5.0999999999999996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9.3000000000000007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8.3000000000000007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9.1999999999999993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9.3000000000000007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10.199999999999999</c:v>
                </c:pt>
                <c:pt idx="182">
                  <c:v>10.4</c:v>
                </c:pt>
                <c:pt idx="183">
                  <c:v>7.7</c:v>
                </c:pt>
                <c:pt idx="184">
                  <c:v>8.3000000000000007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10.199999999999999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18.899999999999999</c:v>
                </c:pt>
                <c:pt idx="212">
                  <c:v>19.100000000000001</c:v>
                </c:pt>
                <c:pt idx="213">
                  <c:v>19.100000000000001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16.100000000000001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17.399999999999999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19.600000000000001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16.100000000000001</c:v>
                </c:pt>
                <c:pt idx="251">
                  <c:v>19.2</c:v>
                </c:pt>
                <c:pt idx="252">
                  <c:v>20.100000000000001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19.600000000000001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20.100000000000001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17.600000000000001</c:v>
                </c:pt>
                <c:pt idx="270">
                  <c:v>19</c:v>
                </c:pt>
                <c:pt idx="271">
                  <c:v>19.600000000000001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02368"/>
        <c:axId val="60540032"/>
      </c:lineChart>
      <c:dateAx>
        <c:axId val="121402368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crossAx val="6054003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60540032"/>
        <c:scaling>
          <c:orientation val="minMax"/>
          <c:max val="60"/>
          <c:min val="-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4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5735173868088925"/>
          <c:y val="0.25639188140585201"/>
          <c:w val="0.2930132286264297"/>
          <c:h val="0.122224374729236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008420058044508E-2"/>
          <c:y val="1.7284145233302618E-2"/>
          <c:w val="0.86023377068980711"/>
          <c:h val="0.95764782545859628"/>
        </c:manualLayout>
      </c:layout>
      <c:barChart>
        <c:barDir val="col"/>
        <c:grouping val="clustered"/>
        <c:varyColors val="0"/>
        <c:ser>
          <c:idx val="5"/>
          <c:order val="5"/>
          <c:tx>
            <c:v>précipitations  (mm)</c:v>
          </c:tx>
          <c:invertIfNegative val="0"/>
          <c:val>
            <c:numRef>
              <c:f>'[1]Humidité et Température Sol'!$X$2:$X$277</c:f>
              <c:numCache>
                <c:formatCode>General</c:formatCode>
                <c:ptCount val="276"/>
                <c:pt idx="0">
                  <c:v>1.8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3.6</c:v>
                </c:pt>
                <c:pt idx="9">
                  <c:v>3.8</c:v>
                </c:pt>
                <c:pt idx="10">
                  <c:v>0.4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10.3</c:v>
                </c:pt>
                <c:pt idx="16">
                  <c:v>6.4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2.6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6.7</c:v>
                </c:pt>
                <c:pt idx="32">
                  <c:v>57.3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0.2</c:v>
                </c:pt>
                <c:pt idx="37">
                  <c:v>0</c:v>
                </c:pt>
                <c:pt idx="38">
                  <c:v>0.2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</c:v>
                </c:pt>
                <c:pt idx="43">
                  <c:v>0</c:v>
                </c:pt>
                <c:pt idx="44">
                  <c:v>0</c:v>
                </c:pt>
                <c:pt idx="45">
                  <c:v>1.8</c:v>
                </c:pt>
                <c:pt idx="46">
                  <c:v>11.1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4.5999999999999996</c:v>
                </c:pt>
                <c:pt idx="54">
                  <c:v>4.5</c:v>
                </c:pt>
                <c:pt idx="55">
                  <c:v>0</c:v>
                </c:pt>
                <c:pt idx="56">
                  <c:v>0.8</c:v>
                </c:pt>
                <c:pt idx="57">
                  <c:v>0.8</c:v>
                </c:pt>
                <c:pt idx="58">
                  <c:v>0.2</c:v>
                </c:pt>
                <c:pt idx="59">
                  <c:v>0.4</c:v>
                </c:pt>
                <c:pt idx="60">
                  <c:v>3.4</c:v>
                </c:pt>
                <c:pt idx="61">
                  <c:v>8.4</c:v>
                </c:pt>
                <c:pt idx="62">
                  <c:v>1.4</c:v>
                </c:pt>
                <c:pt idx="63">
                  <c:v>5.2</c:v>
                </c:pt>
                <c:pt idx="64">
                  <c:v>0.6</c:v>
                </c:pt>
                <c:pt idx="65">
                  <c:v>0.6</c:v>
                </c:pt>
                <c:pt idx="66">
                  <c:v>0.2</c:v>
                </c:pt>
                <c:pt idx="67">
                  <c:v>2.6</c:v>
                </c:pt>
                <c:pt idx="68">
                  <c:v>3</c:v>
                </c:pt>
                <c:pt idx="69">
                  <c:v>0</c:v>
                </c:pt>
                <c:pt idx="70">
                  <c:v>8.5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12.1</c:v>
                </c:pt>
                <c:pt idx="75">
                  <c:v>0.8</c:v>
                </c:pt>
                <c:pt idx="76">
                  <c:v>0</c:v>
                </c:pt>
                <c:pt idx="77">
                  <c:v>0</c:v>
                </c:pt>
                <c:pt idx="78">
                  <c:v>2.4</c:v>
                </c:pt>
                <c:pt idx="79">
                  <c:v>0</c:v>
                </c:pt>
                <c:pt idx="80">
                  <c:v>1.6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0.4</c:v>
                </c:pt>
                <c:pt idx="86">
                  <c:v>0.6</c:v>
                </c:pt>
                <c:pt idx="87">
                  <c:v>0.2</c:v>
                </c:pt>
                <c:pt idx="88">
                  <c:v>0.4</c:v>
                </c:pt>
                <c:pt idx="89">
                  <c:v>0.8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5.2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0.2</c:v>
                </c:pt>
                <c:pt idx="105">
                  <c:v>0.4</c:v>
                </c:pt>
                <c:pt idx="106">
                  <c:v>16.899999999999999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0.8</c:v>
                </c:pt>
                <c:pt idx="119">
                  <c:v>0.2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6.3</c:v>
                </c:pt>
                <c:pt idx="124">
                  <c:v>3.2</c:v>
                </c:pt>
                <c:pt idx="125">
                  <c:v>8</c:v>
                </c:pt>
                <c:pt idx="126">
                  <c:v>1.8</c:v>
                </c:pt>
                <c:pt idx="127">
                  <c:v>0.4</c:v>
                </c:pt>
                <c:pt idx="128">
                  <c:v>0.2</c:v>
                </c:pt>
                <c:pt idx="129">
                  <c:v>0</c:v>
                </c:pt>
                <c:pt idx="130">
                  <c:v>0.2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10.9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0.4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</c:v>
                </c:pt>
                <c:pt idx="156">
                  <c:v>0</c:v>
                </c:pt>
                <c:pt idx="157">
                  <c:v>1.2</c:v>
                </c:pt>
                <c:pt idx="158">
                  <c:v>0.2</c:v>
                </c:pt>
                <c:pt idx="159">
                  <c:v>0.6</c:v>
                </c:pt>
                <c:pt idx="160">
                  <c:v>0.2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3.8</c:v>
                </c:pt>
                <c:pt idx="165">
                  <c:v>0</c:v>
                </c:pt>
                <c:pt idx="166">
                  <c:v>10.7</c:v>
                </c:pt>
                <c:pt idx="167">
                  <c:v>3.2</c:v>
                </c:pt>
                <c:pt idx="168">
                  <c:v>2.6</c:v>
                </c:pt>
                <c:pt idx="169">
                  <c:v>0.6</c:v>
                </c:pt>
                <c:pt idx="170">
                  <c:v>0</c:v>
                </c:pt>
                <c:pt idx="171">
                  <c:v>4</c:v>
                </c:pt>
                <c:pt idx="172">
                  <c:v>2</c:v>
                </c:pt>
                <c:pt idx="173">
                  <c:v>0.6</c:v>
                </c:pt>
                <c:pt idx="174">
                  <c:v>0.2</c:v>
                </c:pt>
                <c:pt idx="175">
                  <c:v>0</c:v>
                </c:pt>
                <c:pt idx="176">
                  <c:v>1.8</c:v>
                </c:pt>
                <c:pt idx="177">
                  <c:v>0.2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6.8</c:v>
                </c:pt>
                <c:pt idx="186">
                  <c:v>0</c:v>
                </c:pt>
                <c:pt idx="187">
                  <c:v>0</c:v>
                </c:pt>
                <c:pt idx="188">
                  <c:v>8.8000000000000007</c:v>
                </c:pt>
                <c:pt idx="189">
                  <c:v>1.6</c:v>
                </c:pt>
                <c:pt idx="190">
                  <c:v>0</c:v>
                </c:pt>
                <c:pt idx="191">
                  <c:v>0.2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4.2</c:v>
                </c:pt>
                <c:pt idx="201">
                  <c:v>2.6</c:v>
                </c:pt>
                <c:pt idx="202">
                  <c:v>7.2</c:v>
                </c:pt>
                <c:pt idx="203">
                  <c:v>2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0.2</c:v>
                </c:pt>
                <c:pt idx="216">
                  <c:v>1.8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0.4</c:v>
                </c:pt>
                <c:pt idx="225">
                  <c:v>0</c:v>
                </c:pt>
                <c:pt idx="226">
                  <c:v>0</c:v>
                </c:pt>
                <c:pt idx="227">
                  <c:v>4.2</c:v>
                </c:pt>
                <c:pt idx="228">
                  <c:v>0</c:v>
                </c:pt>
                <c:pt idx="229">
                  <c:v>29.7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2.2000000000000002</c:v>
                </c:pt>
                <c:pt idx="237">
                  <c:v>2.4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4.8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9.6999999999999993</c:v>
                </c:pt>
                <c:pt idx="265">
                  <c:v>2.4</c:v>
                </c:pt>
                <c:pt idx="266">
                  <c:v>5</c:v>
                </c:pt>
                <c:pt idx="267">
                  <c:v>1.8</c:v>
                </c:pt>
                <c:pt idx="268">
                  <c:v>0</c:v>
                </c:pt>
                <c:pt idx="269">
                  <c:v>2.2000000000000002</c:v>
                </c:pt>
                <c:pt idx="270">
                  <c:v>0</c:v>
                </c:pt>
                <c:pt idx="271">
                  <c:v>0</c:v>
                </c:pt>
                <c:pt idx="272">
                  <c:v>18</c:v>
                </c:pt>
                <c:pt idx="273">
                  <c:v>3.2</c:v>
                </c:pt>
                <c:pt idx="274">
                  <c:v>0.4</c:v>
                </c:pt>
                <c:pt idx="275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387264"/>
        <c:axId val="60541760"/>
      </c:barChart>
      <c:lineChart>
        <c:grouping val="standard"/>
        <c:varyColors val="0"/>
        <c:ser>
          <c:idx val="0"/>
          <c:order val="0"/>
          <c:tx>
            <c:v>H(%) 0-20</c:v>
          </c:tx>
          <c:marker>
            <c:symbol val="none"/>
          </c:marker>
          <c:cat>
            <c:numRef>
              <c:f>'[1]Humidité et Température Sol'!$S$2:$S$277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'[1]Humidité et Température Sol'!$T$2:$T$277</c:f>
              <c:numCache>
                <c:formatCode>General</c:formatCode>
                <c:ptCount val="2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34.75</c:v>
                </c:pt>
                <c:pt idx="30">
                  <c:v>34.85</c:v>
                </c:pt>
                <c:pt idx="31">
                  <c:v>34.833333333333336</c:v>
                </c:pt>
                <c:pt idx="32">
                  <c:v>48.916666666666664</c:v>
                </c:pt>
                <c:pt idx="33">
                  <c:v>68.116666666666674</c:v>
                </c:pt>
                <c:pt idx="34">
                  <c:v>48.216666666666669</c:v>
                </c:pt>
                <c:pt idx="35">
                  <c:v>44.816666666666663</c:v>
                </c:pt>
                <c:pt idx="36">
                  <c:v>43.849999999999994</c:v>
                </c:pt>
                <c:pt idx="37">
                  <c:v>43.166666666666657</c:v>
                </c:pt>
                <c:pt idx="38">
                  <c:v>42.699999999999989</c:v>
                </c:pt>
                <c:pt idx="39">
                  <c:v>42.333333333333336</c:v>
                </c:pt>
                <c:pt idx="40">
                  <c:v>42.18333333333333</c:v>
                </c:pt>
                <c:pt idx="41">
                  <c:v>41.566666666666663</c:v>
                </c:pt>
                <c:pt idx="42">
                  <c:v>41.2</c:v>
                </c:pt>
                <c:pt idx="43">
                  <c:v>40.81666666666667</c:v>
                </c:pt>
                <c:pt idx="44">
                  <c:v>40.416666666666664</c:v>
                </c:pt>
                <c:pt idx="45">
                  <c:v>39.916666666666664</c:v>
                </c:pt>
                <c:pt idx="46">
                  <c:v>41.483333333333334</c:v>
                </c:pt>
                <c:pt idx="47">
                  <c:v>44.783333333333339</c:v>
                </c:pt>
                <c:pt idx="48">
                  <c:v>43.65</c:v>
                </c:pt>
                <c:pt idx="49">
                  <c:v>42.65</c:v>
                </c:pt>
                <c:pt idx="50">
                  <c:v>42.199999999999996</c:v>
                </c:pt>
                <c:pt idx="51">
                  <c:v>41.866666666666667</c:v>
                </c:pt>
                <c:pt idx="52">
                  <c:v>41.516666666666673</c:v>
                </c:pt>
                <c:pt idx="53">
                  <c:v>41.383333333333333</c:v>
                </c:pt>
                <c:pt idx="54">
                  <c:v>42.416666666666664</c:v>
                </c:pt>
                <c:pt idx="55">
                  <c:v>43.116666666666667</c:v>
                </c:pt>
                <c:pt idx="56">
                  <c:v>42.85</c:v>
                </c:pt>
                <c:pt idx="57">
                  <c:v>42.716666666666661</c:v>
                </c:pt>
                <c:pt idx="58">
                  <c:v>42.533333333333331</c:v>
                </c:pt>
                <c:pt idx="59">
                  <c:v>42.466666666666669</c:v>
                </c:pt>
                <c:pt idx="60">
                  <c:v>42.35</c:v>
                </c:pt>
                <c:pt idx="61">
                  <c:v>42.43333333333333</c:v>
                </c:pt>
                <c:pt idx="62">
                  <c:v>45.233333333333341</c:v>
                </c:pt>
                <c:pt idx="63">
                  <c:v>44.683333333333337</c:v>
                </c:pt>
                <c:pt idx="64">
                  <c:v>44.79999999999999</c:v>
                </c:pt>
                <c:pt idx="65">
                  <c:v>44.066666666666663</c:v>
                </c:pt>
                <c:pt idx="66">
                  <c:v>43.866666666666667</c:v>
                </c:pt>
                <c:pt idx="67">
                  <c:v>43.633333333333333</c:v>
                </c:pt>
                <c:pt idx="68">
                  <c:v>46.416666666666664</c:v>
                </c:pt>
                <c:pt idx="69">
                  <c:v>45.066666666666663</c:v>
                </c:pt>
                <c:pt idx="70">
                  <c:v>46.916666666666664</c:v>
                </c:pt>
                <c:pt idx="71">
                  <c:v>48.75</c:v>
                </c:pt>
                <c:pt idx="72">
                  <c:v>45.18333333333333</c:v>
                </c:pt>
                <c:pt idx="73">
                  <c:v>44.816666666666663</c:v>
                </c:pt>
                <c:pt idx="74">
                  <c:v>44.716666666666669</c:v>
                </c:pt>
                <c:pt idx="75">
                  <c:v>62.45000000000001</c:v>
                </c:pt>
                <c:pt idx="76">
                  <c:v>46.75</c:v>
                </c:pt>
                <c:pt idx="77">
                  <c:v>45.883333333333333</c:v>
                </c:pt>
                <c:pt idx="78">
                  <c:v>45.383333333333333</c:v>
                </c:pt>
                <c:pt idx="79">
                  <c:v>45.550000000000004</c:v>
                </c:pt>
                <c:pt idx="80">
                  <c:v>45.366666666666667</c:v>
                </c:pt>
                <c:pt idx="81">
                  <c:v>45.266666666666659</c:v>
                </c:pt>
                <c:pt idx="82">
                  <c:v>45.183333333333337</c:v>
                </c:pt>
                <c:pt idx="83">
                  <c:v>45.016666666666673</c:v>
                </c:pt>
                <c:pt idx="84">
                  <c:v>44.866666666666667</c:v>
                </c:pt>
                <c:pt idx="85">
                  <c:v>45.25</c:v>
                </c:pt>
                <c:pt idx="86">
                  <c:v>44.833333333333343</c:v>
                </c:pt>
                <c:pt idx="87">
                  <c:v>44.916666666666679</c:v>
                </c:pt>
                <c:pt idx="88">
                  <c:v>44.550000000000004</c:v>
                </c:pt>
                <c:pt idx="89">
                  <c:v>44.449999999999996</c:v>
                </c:pt>
                <c:pt idx="90">
                  <c:v>44.416666666666664</c:v>
                </c:pt>
                <c:pt idx="91">
                  <c:v>44.300000000000004</c:v>
                </c:pt>
                <c:pt idx="92">
                  <c:v>44.266666666666659</c:v>
                </c:pt>
                <c:pt idx="93">
                  <c:v>44.716666666666669</c:v>
                </c:pt>
                <c:pt idx="94">
                  <c:v>44.85</c:v>
                </c:pt>
                <c:pt idx="95">
                  <c:v>45</c:v>
                </c:pt>
                <c:pt idx="96">
                  <c:v>44.699999999999996</c:v>
                </c:pt>
                <c:pt idx="97">
                  <c:v>44.466666666666669</c:v>
                </c:pt>
                <c:pt idx="98">
                  <c:v>44.633333333333333</c:v>
                </c:pt>
                <c:pt idx="99">
                  <c:v>44.550000000000004</c:v>
                </c:pt>
                <c:pt idx="100">
                  <c:v>44.716666666666669</c:v>
                </c:pt>
                <c:pt idx="101">
                  <c:v>45.283333333333331</c:v>
                </c:pt>
                <c:pt idx="102">
                  <c:v>45.25</c:v>
                </c:pt>
                <c:pt idx="103">
                  <c:v>44.133333333333333</c:v>
                </c:pt>
                <c:pt idx="104">
                  <c:v>44.1</c:v>
                </c:pt>
                <c:pt idx="105">
                  <c:v>44.066666666666663</c:v>
                </c:pt>
                <c:pt idx="106">
                  <c:v>58.300000000000004</c:v>
                </c:pt>
                <c:pt idx="107">
                  <c:v>55.150000000000006</c:v>
                </c:pt>
                <c:pt idx="108">
                  <c:v>47.31666666666667</c:v>
                </c:pt>
                <c:pt idx="109">
                  <c:v>46.65</c:v>
                </c:pt>
                <c:pt idx="110">
                  <c:v>46.4</c:v>
                </c:pt>
                <c:pt idx="111">
                  <c:v>45.900000000000006</c:v>
                </c:pt>
                <c:pt idx="112">
                  <c:v>45.68333333333333</c:v>
                </c:pt>
                <c:pt idx="113">
                  <c:v>45.483333333333327</c:v>
                </c:pt>
                <c:pt idx="114">
                  <c:v>45.416666666666664</c:v>
                </c:pt>
                <c:pt idx="115">
                  <c:v>45.433333333333337</c:v>
                </c:pt>
                <c:pt idx="116">
                  <c:v>45.616666666666667</c:v>
                </c:pt>
                <c:pt idx="117">
                  <c:v>46.449999999999996</c:v>
                </c:pt>
                <c:pt idx="118">
                  <c:v>46.866666666666667</c:v>
                </c:pt>
                <c:pt idx="119">
                  <c:v>46.966666666666669</c:v>
                </c:pt>
                <c:pt idx="120">
                  <c:v>47.050000000000004</c:v>
                </c:pt>
                <c:pt idx="121">
                  <c:v>47.466666666666661</c:v>
                </c:pt>
                <c:pt idx="122">
                  <c:v>47.583333333333336</c:v>
                </c:pt>
                <c:pt idx="123">
                  <c:v>48.1</c:v>
                </c:pt>
                <c:pt idx="124">
                  <c:v>47.966666666666669</c:v>
                </c:pt>
                <c:pt idx="125">
                  <c:v>58.016666666666673</c:v>
                </c:pt>
                <c:pt idx="126">
                  <c:v>53.583333333333336</c:v>
                </c:pt>
                <c:pt idx="127">
                  <c:v>50.9</c:v>
                </c:pt>
                <c:pt idx="128">
                  <c:v>50.066666666666663</c:v>
                </c:pt>
                <c:pt idx="129">
                  <c:v>49.633333333333326</c:v>
                </c:pt>
                <c:pt idx="130">
                  <c:v>49.349999999999994</c:v>
                </c:pt>
                <c:pt idx="131">
                  <c:v>49.116666666666667</c:v>
                </c:pt>
                <c:pt idx="132">
                  <c:v>48.966666666666669</c:v>
                </c:pt>
                <c:pt idx="133">
                  <c:v>48.833333333333336</c:v>
                </c:pt>
                <c:pt idx="134">
                  <c:v>48.766666666666659</c:v>
                </c:pt>
                <c:pt idx="135">
                  <c:v>48.683333333333337</c:v>
                </c:pt>
                <c:pt idx="136">
                  <c:v>48.6</c:v>
                </c:pt>
                <c:pt idx="137">
                  <c:v>48.566666666666663</c:v>
                </c:pt>
                <c:pt idx="138">
                  <c:v>48.449999999999996</c:v>
                </c:pt>
                <c:pt idx="139">
                  <c:v>48.333333333333336</c:v>
                </c:pt>
                <c:pt idx="140">
                  <c:v>48.266666666666673</c:v>
                </c:pt>
                <c:pt idx="141">
                  <c:v>48.183333333333337</c:v>
                </c:pt>
                <c:pt idx="142">
                  <c:v>48.050000000000004</c:v>
                </c:pt>
                <c:pt idx="143">
                  <c:v>51.033333333333339</c:v>
                </c:pt>
                <c:pt idx="144">
                  <c:v>55.983333333333341</c:v>
                </c:pt>
                <c:pt idx="145">
                  <c:v>50.766666666666659</c:v>
                </c:pt>
                <c:pt idx="146">
                  <c:v>49.766666666666659</c:v>
                </c:pt>
                <c:pt idx="147">
                  <c:v>49.400000000000006</c:v>
                </c:pt>
                <c:pt idx="148">
                  <c:v>49.1</c:v>
                </c:pt>
                <c:pt idx="149">
                  <c:v>48.849999999999994</c:v>
                </c:pt>
                <c:pt idx="150">
                  <c:v>48.666666666666664</c:v>
                </c:pt>
                <c:pt idx="151">
                  <c:v>48.566666666666663</c:v>
                </c:pt>
                <c:pt idx="152">
                  <c:v>48.433333333333337</c:v>
                </c:pt>
                <c:pt idx="153">
                  <c:v>48.25</c:v>
                </c:pt>
                <c:pt idx="154">
                  <c:v>48.050000000000004</c:v>
                </c:pt>
                <c:pt idx="155">
                  <c:v>47.866666666666667</c:v>
                </c:pt>
                <c:pt idx="156">
                  <c:v>47.733333333333327</c:v>
                </c:pt>
                <c:pt idx="157">
                  <c:v>47.516666666666673</c:v>
                </c:pt>
                <c:pt idx="158">
                  <c:v>47.266666666666659</c:v>
                </c:pt>
                <c:pt idx="159">
                  <c:v>47.233333333333327</c:v>
                </c:pt>
                <c:pt idx="160">
                  <c:v>47.033333333333331</c:v>
                </c:pt>
                <c:pt idx="161">
                  <c:v>46.866666666666667</c:v>
                </c:pt>
                <c:pt idx="162">
                  <c:v>46.766666666666659</c:v>
                </c:pt>
                <c:pt idx="163">
                  <c:v>46.616666666666674</c:v>
                </c:pt>
                <c:pt idx="164">
                  <c:v>46.533333333333339</c:v>
                </c:pt>
                <c:pt idx="165">
                  <c:v>46.433333333333337</c:v>
                </c:pt>
                <c:pt idx="166">
                  <c:v>48.583333333333336</c:v>
                </c:pt>
                <c:pt idx="167">
                  <c:v>61.083333333333336</c:v>
                </c:pt>
                <c:pt idx="168">
                  <c:v>54.300000000000004</c:v>
                </c:pt>
                <c:pt idx="169">
                  <c:v>59.783333333333331</c:v>
                </c:pt>
                <c:pt idx="170">
                  <c:v>51.716666666666661</c:v>
                </c:pt>
                <c:pt idx="171">
                  <c:v>50.083333333333336</c:v>
                </c:pt>
                <c:pt idx="172">
                  <c:v>53.75</c:v>
                </c:pt>
                <c:pt idx="173">
                  <c:v>61.666666666666664</c:v>
                </c:pt>
                <c:pt idx="174">
                  <c:v>52.433333333333337</c:v>
                </c:pt>
                <c:pt idx="175">
                  <c:v>50.833333333333336</c:v>
                </c:pt>
                <c:pt idx="176">
                  <c:v>50.216666666666661</c:v>
                </c:pt>
                <c:pt idx="177">
                  <c:v>49.733333333333327</c:v>
                </c:pt>
                <c:pt idx="178">
                  <c:v>49.383333333333333</c:v>
                </c:pt>
                <c:pt idx="179">
                  <c:v>49.066666666666663</c:v>
                </c:pt>
                <c:pt idx="180">
                  <c:v>49.116666666666667</c:v>
                </c:pt>
                <c:pt idx="181">
                  <c:v>48.68333333333333</c:v>
                </c:pt>
                <c:pt idx="182">
                  <c:v>48.116666666666667</c:v>
                </c:pt>
                <c:pt idx="183">
                  <c:v>47.566666666666663</c:v>
                </c:pt>
                <c:pt idx="184">
                  <c:v>47.033333333333331</c:v>
                </c:pt>
                <c:pt idx="185">
                  <c:v>46.966666666666669</c:v>
                </c:pt>
                <c:pt idx="186">
                  <c:v>48.93333333333333</c:v>
                </c:pt>
                <c:pt idx="187">
                  <c:v>46.816666666666663</c:v>
                </c:pt>
                <c:pt idx="188">
                  <c:v>46.016666666666659</c:v>
                </c:pt>
                <c:pt idx="189">
                  <c:v>48.933333333333337</c:v>
                </c:pt>
                <c:pt idx="190">
                  <c:v>47.616666666666674</c:v>
                </c:pt>
                <c:pt idx="191">
                  <c:v>46.766666666666673</c:v>
                </c:pt>
                <c:pt idx="192">
                  <c:v>46.066666666666663</c:v>
                </c:pt>
                <c:pt idx="193">
                  <c:v>45.4</c:v>
                </c:pt>
                <c:pt idx="194">
                  <c:v>42.983333333333327</c:v>
                </c:pt>
                <c:pt idx="195">
                  <c:v>34.283333333333331</c:v>
                </c:pt>
                <c:pt idx="196">
                  <c:v>33.483333333333327</c:v>
                </c:pt>
                <c:pt idx="197">
                  <c:v>33.38333333333334</c:v>
                </c:pt>
                <c:pt idx="198">
                  <c:v>32.883333333333333</c:v>
                </c:pt>
                <c:pt idx="199">
                  <c:v>32.199999999999996</c:v>
                </c:pt>
                <c:pt idx="200">
                  <c:v>32.416666666666664</c:v>
                </c:pt>
                <c:pt idx="201">
                  <c:v>32.316666666666663</c:v>
                </c:pt>
                <c:pt idx="202">
                  <c:v>32.133333333333333</c:v>
                </c:pt>
                <c:pt idx="203">
                  <c:v>32</c:v>
                </c:pt>
                <c:pt idx="204">
                  <c:v>32.033333333333331</c:v>
                </c:pt>
                <c:pt idx="205">
                  <c:v>31.950000000000003</c:v>
                </c:pt>
                <c:pt idx="206">
                  <c:v>31.733333333333334</c:v>
                </c:pt>
                <c:pt idx="207">
                  <c:v>31.5</c:v>
                </c:pt>
                <c:pt idx="208">
                  <c:v>31.349999999999998</c:v>
                </c:pt>
                <c:pt idx="209">
                  <c:v>31.000000000000004</c:v>
                </c:pt>
                <c:pt idx="210">
                  <c:v>30.600000000000005</c:v>
                </c:pt>
                <c:pt idx="211">
                  <c:v>30.100000000000005</c:v>
                </c:pt>
                <c:pt idx="212">
                  <c:v>29.600000000000005</c:v>
                </c:pt>
                <c:pt idx="213">
                  <c:v>29.033333333333335</c:v>
                </c:pt>
                <c:pt idx="214">
                  <c:v>28.816666666666663</c:v>
                </c:pt>
                <c:pt idx="215">
                  <c:v>28.45</c:v>
                </c:pt>
                <c:pt idx="216">
                  <c:v>28.066666666666666</c:v>
                </c:pt>
                <c:pt idx="217">
                  <c:v>27.583333333333332</c:v>
                </c:pt>
                <c:pt idx="218">
                  <c:v>27.05</c:v>
                </c:pt>
                <c:pt idx="219">
                  <c:v>26.433333333333334</c:v>
                </c:pt>
                <c:pt idx="220">
                  <c:v>25.95</c:v>
                </c:pt>
                <c:pt idx="221">
                  <c:v>25.533333333333335</c:v>
                </c:pt>
                <c:pt idx="222">
                  <c:v>25.099999999999998</c:v>
                </c:pt>
                <c:pt idx="223">
                  <c:v>24.566666666666666</c:v>
                </c:pt>
                <c:pt idx="224">
                  <c:v>24.05</c:v>
                </c:pt>
                <c:pt idx="225">
                  <c:v>23.633333333333336</c:v>
                </c:pt>
                <c:pt idx="226">
                  <c:v>23.233333333333334</c:v>
                </c:pt>
                <c:pt idx="227">
                  <c:v>22.933333333333337</c:v>
                </c:pt>
                <c:pt idx="228">
                  <c:v>22.866666666666664</c:v>
                </c:pt>
                <c:pt idx="229">
                  <c:v>22.7</c:v>
                </c:pt>
                <c:pt idx="230">
                  <c:v>22.666666666666668</c:v>
                </c:pt>
                <c:pt idx="231">
                  <c:v>22.566666666666666</c:v>
                </c:pt>
                <c:pt idx="232">
                  <c:v>22.349999999999998</c:v>
                </c:pt>
                <c:pt idx="233">
                  <c:v>22.099999999999998</c:v>
                </c:pt>
                <c:pt idx="234">
                  <c:v>21.916666666666671</c:v>
                </c:pt>
                <c:pt idx="235">
                  <c:v>21.75</c:v>
                </c:pt>
                <c:pt idx="236">
                  <c:v>21.616666666666664</c:v>
                </c:pt>
                <c:pt idx="237">
                  <c:v>21.516666666666666</c:v>
                </c:pt>
                <c:pt idx="238">
                  <c:v>21.433333333333337</c:v>
                </c:pt>
                <c:pt idx="239">
                  <c:v>21.283333333333335</c:v>
                </c:pt>
                <c:pt idx="240">
                  <c:v>21.216666666666669</c:v>
                </c:pt>
                <c:pt idx="241">
                  <c:v>21.133333333333329</c:v>
                </c:pt>
                <c:pt idx="242">
                  <c:v>21.05</c:v>
                </c:pt>
                <c:pt idx="243">
                  <c:v>21.016666666666666</c:v>
                </c:pt>
                <c:pt idx="244">
                  <c:v>20.95</c:v>
                </c:pt>
                <c:pt idx="245">
                  <c:v>20.866666666666664</c:v>
                </c:pt>
                <c:pt idx="246">
                  <c:v>20.816666666666666</c:v>
                </c:pt>
                <c:pt idx="247">
                  <c:v>20.8</c:v>
                </c:pt>
                <c:pt idx="248">
                  <c:v>20.766666666666666</c:v>
                </c:pt>
                <c:pt idx="249">
                  <c:v>20.700000000000003</c:v>
                </c:pt>
                <c:pt idx="250">
                  <c:v>20.633333333333333</c:v>
                </c:pt>
                <c:pt idx="251">
                  <c:v>20.65</c:v>
                </c:pt>
                <c:pt idx="252">
                  <c:v>20.683333333333334</c:v>
                </c:pt>
                <c:pt idx="253">
                  <c:v>20.75</c:v>
                </c:pt>
                <c:pt idx="254">
                  <c:v>20.75</c:v>
                </c:pt>
                <c:pt idx="255">
                  <c:v>20.766666666666666</c:v>
                </c:pt>
                <c:pt idx="256">
                  <c:v>20.766666666666669</c:v>
                </c:pt>
                <c:pt idx="257">
                  <c:v>20.7</c:v>
                </c:pt>
                <c:pt idx="258">
                  <c:v>20.75</c:v>
                </c:pt>
                <c:pt idx="259">
                  <c:v>20.783333333333331</c:v>
                </c:pt>
                <c:pt idx="260">
                  <c:v>20.816666666666666</c:v>
                </c:pt>
                <c:pt idx="261">
                  <c:v>20.716666666666669</c:v>
                </c:pt>
                <c:pt idx="262">
                  <c:v>20.666666666666668</c:v>
                </c:pt>
                <c:pt idx="263">
                  <c:v>20.7</c:v>
                </c:pt>
                <c:pt idx="264">
                  <c:v>20.783333333333335</c:v>
                </c:pt>
                <c:pt idx="265">
                  <c:v>26.216666666666669</c:v>
                </c:pt>
                <c:pt idx="266">
                  <c:v>24.783333333333335</c:v>
                </c:pt>
                <c:pt idx="267">
                  <c:v>23.849999999999998</c:v>
                </c:pt>
                <c:pt idx="268">
                  <c:v>23.55</c:v>
                </c:pt>
                <c:pt idx="269">
                  <c:v>23.533333333333331</c:v>
                </c:pt>
                <c:pt idx="270">
                  <c:v>23.533333333333331</c:v>
                </c:pt>
                <c:pt idx="271">
                  <c:v>23.583333333333332</c:v>
                </c:pt>
                <c:pt idx="272">
                  <c:v>23.616666666666664</c:v>
                </c:pt>
                <c:pt idx="273">
                  <c:v>23.524999999999999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H(%) 20-40</c:v>
          </c:tx>
          <c:marker>
            <c:symbol val="none"/>
          </c:marker>
          <c:val>
            <c:numRef>
              <c:f>'[1]Humidité et Température Sol'!$U$2:$U$277</c:f>
              <c:numCache>
                <c:formatCode>General</c:formatCode>
                <c:ptCount val="2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32.549999999999997</c:v>
                </c:pt>
                <c:pt idx="30">
                  <c:v>33.166666666666664</c:v>
                </c:pt>
                <c:pt idx="31">
                  <c:v>33.4</c:v>
                </c:pt>
                <c:pt idx="32">
                  <c:v>45.566666666666663</c:v>
                </c:pt>
                <c:pt idx="33">
                  <c:v>69.699999999999989</c:v>
                </c:pt>
                <c:pt idx="34">
                  <c:v>62.816666666666663</c:v>
                </c:pt>
                <c:pt idx="35">
                  <c:v>47.583333333333336</c:v>
                </c:pt>
                <c:pt idx="36">
                  <c:v>45.93333333333333</c:v>
                </c:pt>
                <c:pt idx="37">
                  <c:v>45.15</c:v>
                </c:pt>
                <c:pt idx="38">
                  <c:v>44.666666666666664</c:v>
                </c:pt>
                <c:pt idx="39">
                  <c:v>44.316666666666663</c:v>
                </c:pt>
                <c:pt idx="40">
                  <c:v>43.966666666666669</c:v>
                </c:pt>
                <c:pt idx="41">
                  <c:v>43.716666666666669</c:v>
                </c:pt>
                <c:pt idx="42">
                  <c:v>43.483333333333327</c:v>
                </c:pt>
                <c:pt idx="43">
                  <c:v>43.233333333333327</c:v>
                </c:pt>
                <c:pt idx="44">
                  <c:v>43.016666666666673</c:v>
                </c:pt>
                <c:pt idx="45">
                  <c:v>42.800000000000004</c:v>
                </c:pt>
                <c:pt idx="46">
                  <c:v>43.116666666666667</c:v>
                </c:pt>
                <c:pt idx="47">
                  <c:v>44.449999999999996</c:v>
                </c:pt>
                <c:pt idx="48">
                  <c:v>43.85</c:v>
                </c:pt>
                <c:pt idx="49">
                  <c:v>43.400000000000006</c:v>
                </c:pt>
                <c:pt idx="50">
                  <c:v>43.433333333333337</c:v>
                </c:pt>
                <c:pt idx="51">
                  <c:v>43.316666666666663</c:v>
                </c:pt>
                <c:pt idx="52">
                  <c:v>43.233333333333341</c:v>
                </c:pt>
                <c:pt idx="53">
                  <c:v>43.033333333333331</c:v>
                </c:pt>
                <c:pt idx="54">
                  <c:v>43.04999999999999</c:v>
                </c:pt>
                <c:pt idx="55">
                  <c:v>43.599999999999994</c:v>
                </c:pt>
                <c:pt idx="56">
                  <c:v>43.6</c:v>
                </c:pt>
                <c:pt idx="57">
                  <c:v>43.733333333333341</c:v>
                </c:pt>
                <c:pt idx="58">
                  <c:v>43.9</c:v>
                </c:pt>
                <c:pt idx="59">
                  <c:v>44</c:v>
                </c:pt>
                <c:pt idx="60">
                  <c:v>44.033333333333331</c:v>
                </c:pt>
                <c:pt idx="61">
                  <c:v>44.1</c:v>
                </c:pt>
                <c:pt idx="62">
                  <c:v>46.65</c:v>
                </c:pt>
                <c:pt idx="63">
                  <c:v>46.68333333333333</c:v>
                </c:pt>
                <c:pt idx="64">
                  <c:v>47.016666666666673</c:v>
                </c:pt>
                <c:pt idx="65">
                  <c:v>46.166666666666664</c:v>
                </c:pt>
                <c:pt idx="66">
                  <c:v>45.68333333333333</c:v>
                </c:pt>
                <c:pt idx="67">
                  <c:v>45.433333333333337</c:v>
                </c:pt>
                <c:pt idx="68">
                  <c:v>48.283333333333324</c:v>
                </c:pt>
                <c:pt idx="69">
                  <c:v>47.54999999999999</c:v>
                </c:pt>
                <c:pt idx="70">
                  <c:v>50.716666666666661</c:v>
                </c:pt>
                <c:pt idx="71">
                  <c:v>62.833333333333336</c:v>
                </c:pt>
                <c:pt idx="72">
                  <c:v>48.199999999999996</c:v>
                </c:pt>
                <c:pt idx="73">
                  <c:v>47.066666666666663</c:v>
                </c:pt>
                <c:pt idx="74">
                  <c:v>46.816666666666663</c:v>
                </c:pt>
                <c:pt idx="75">
                  <c:v>69.099999999999994</c:v>
                </c:pt>
                <c:pt idx="76">
                  <c:v>51.083333333333336</c:v>
                </c:pt>
                <c:pt idx="77">
                  <c:v>48.566666666666663</c:v>
                </c:pt>
                <c:pt idx="78">
                  <c:v>47.949999999999996</c:v>
                </c:pt>
                <c:pt idx="79">
                  <c:v>47.75</c:v>
                </c:pt>
                <c:pt idx="80">
                  <c:v>47.800000000000004</c:v>
                </c:pt>
                <c:pt idx="81">
                  <c:v>47.366666666666667</c:v>
                </c:pt>
                <c:pt idx="82">
                  <c:v>47.249999999999993</c:v>
                </c:pt>
                <c:pt idx="83">
                  <c:v>47.083333333333336</c:v>
                </c:pt>
                <c:pt idx="84">
                  <c:v>46.883333333333333</c:v>
                </c:pt>
                <c:pt idx="85">
                  <c:v>46.966666666666669</c:v>
                </c:pt>
                <c:pt idx="86">
                  <c:v>46.766666666666659</c:v>
                </c:pt>
                <c:pt idx="87">
                  <c:v>46.683333333333337</c:v>
                </c:pt>
                <c:pt idx="88">
                  <c:v>46.65</c:v>
                </c:pt>
                <c:pt idx="89">
                  <c:v>46.116666666666667</c:v>
                </c:pt>
                <c:pt idx="90">
                  <c:v>46.033333333333331</c:v>
                </c:pt>
                <c:pt idx="91">
                  <c:v>46</c:v>
                </c:pt>
                <c:pt idx="92">
                  <c:v>45.81666666666667</c:v>
                </c:pt>
                <c:pt idx="93">
                  <c:v>45.800000000000004</c:v>
                </c:pt>
                <c:pt idx="94">
                  <c:v>45.85</c:v>
                </c:pt>
                <c:pt idx="95">
                  <c:v>45.65</c:v>
                </c:pt>
                <c:pt idx="96">
                  <c:v>45.583333333333336</c:v>
                </c:pt>
                <c:pt idx="97">
                  <c:v>45.583333333333336</c:v>
                </c:pt>
                <c:pt idx="98">
                  <c:v>45.5</c:v>
                </c:pt>
                <c:pt idx="99">
                  <c:v>45.516666666666673</c:v>
                </c:pt>
                <c:pt idx="100">
                  <c:v>45.433333333333337</c:v>
                </c:pt>
                <c:pt idx="101">
                  <c:v>45.4</c:v>
                </c:pt>
                <c:pt idx="102">
                  <c:v>45.416666666666664</c:v>
                </c:pt>
                <c:pt idx="103">
                  <c:v>45.5</c:v>
                </c:pt>
                <c:pt idx="104">
                  <c:v>45.5</c:v>
                </c:pt>
                <c:pt idx="105">
                  <c:v>45.5</c:v>
                </c:pt>
                <c:pt idx="106">
                  <c:v>58.85</c:v>
                </c:pt>
                <c:pt idx="107">
                  <c:v>53.5</c:v>
                </c:pt>
                <c:pt idx="108">
                  <c:v>49.516666666666673</c:v>
                </c:pt>
                <c:pt idx="109">
                  <c:v>48.016666666666659</c:v>
                </c:pt>
                <c:pt idx="110">
                  <c:v>47.616666666666674</c:v>
                </c:pt>
                <c:pt idx="111">
                  <c:v>47.466666666666669</c:v>
                </c:pt>
                <c:pt idx="112">
                  <c:v>46.29999999999999</c:v>
                </c:pt>
                <c:pt idx="113">
                  <c:v>46.5</c:v>
                </c:pt>
                <c:pt idx="114">
                  <c:v>46.449999999999996</c:v>
                </c:pt>
                <c:pt idx="115">
                  <c:v>46.333333333333336</c:v>
                </c:pt>
                <c:pt idx="116">
                  <c:v>46.266666666666659</c:v>
                </c:pt>
                <c:pt idx="117">
                  <c:v>46.199999999999996</c:v>
                </c:pt>
                <c:pt idx="118">
                  <c:v>46.150000000000006</c:v>
                </c:pt>
                <c:pt idx="119">
                  <c:v>46.1</c:v>
                </c:pt>
                <c:pt idx="120">
                  <c:v>46</c:v>
                </c:pt>
                <c:pt idx="121">
                  <c:v>45.966666666666669</c:v>
                </c:pt>
                <c:pt idx="122">
                  <c:v>45.9</c:v>
                </c:pt>
                <c:pt idx="123">
                  <c:v>45.9</c:v>
                </c:pt>
                <c:pt idx="124">
                  <c:v>45.81666666666667</c:v>
                </c:pt>
                <c:pt idx="125">
                  <c:v>59.75</c:v>
                </c:pt>
                <c:pt idx="126">
                  <c:v>55.883333333333333</c:v>
                </c:pt>
                <c:pt idx="127">
                  <c:v>48.6</c:v>
                </c:pt>
                <c:pt idx="128">
                  <c:v>47.68333333333333</c:v>
                </c:pt>
                <c:pt idx="129">
                  <c:v>47.283333333333331</c:v>
                </c:pt>
                <c:pt idx="130">
                  <c:v>47.050000000000004</c:v>
                </c:pt>
                <c:pt idx="131">
                  <c:v>46.883333333333333</c:v>
                </c:pt>
                <c:pt idx="132">
                  <c:v>46.749999999999993</c:v>
                </c:pt>
                <c:pt idx="133">
                  <c:v>46.666666666666664</c:v>
                </c:pt>
                <c:pt idx="134">
                  <c:v>46.566666666666663</c:v>
                </c:pt>
                <c:pt idx="135">
                  <c:v>46.483333333333327</c:v>
                </c:pt>
                <c:pt idx="136">
                  <c:v>46.4</c:v>
                </c:pt>
                <c:pt idx="137">
                  <c:v>46.366666666666667</c:v>
                </c:pt>
                <c:pt idx="138">
                  <c:v>46.300000000000004</c:v>
                </c:pt>
                <c:pt idx="139">
                  <c:v>46.283333333333331</c:v>
                </c:pt>
                <c:pt idx="140">
                  <c:v>46.199999999999996</c:v>
                </c:pt>
                <c:pt idx="141">
                  <c:v>46.183333333333337</c:v>
                </c:pt>
                <c:pt idx="142">
                  <c:v>46.1</c:v>
                </c:pt>
                <c:pt idx="143">
                  <c:v>46.1</c:v>
                </c:pt>
                <c:pt idx="144">
                  <c:v>46.1</c:v>
                </c:pt>
                <c:pt idx="145">
                  <c:v>46.199999999999996</c:v>
                </c:pt>
                <c:pt idx="146">
                  <c:v>46.266666666666673</c:v>
                </c:pt>
                <c:pt idx="147">
                  <c:v>46.300000000000004</c:v>
                </c:pt>
                <c:pt idx="148">
                  <c:v>46.283333333333331</c:v>
                </c:pt>
                <c:pt idx="149">
                  <c:v>46.25</c:v>
                </c:pt>
                <c:pt idx="150">
                  <c:v>46.199999999999996</c:v>
                </c:pt>
                <c:pt idx="151">
                  <c:v>46.183333333333337</c:v>
                </c:pt>
                <c:pt idx="152">
                  <c:v>46.116666666666667</c:v>
                </c:pt>
                <c:pt idx="153">
                  <c:v>46.116666666666667</c:v>
                </c:pt>
                <c:pt idx="154">
                  <c:v>45.966666666666669</c:v>
                </c:pt>
                <c:pt idx="155">
                  <c:v>45.866666666666667</c:v>
                </c:pt>
                <c:pt idx="156">
                  <c:v>45.783333333333331</c:v>
                </c:pt>
                <c:pt idx="157">
                  <c:v>45.699999999999996</c:v>
                </c:pt>
                <c:pt idx="158">
                  <c:v>45.666666666666664</c:v>
                </c:pt>
                <c:pt idx="159">
                  <c:v>45.6</c:v>
                </c:pt>
                <c:pt idx="160">
                  <c:v>45.566666666666663</c:v>
                </c:pt>
                <c:pt idx="161">
                  <c:v>45.466666666666669</c:v>
                </c:pt>
                <c:pt idx="162">
                  <c:v>45.4</c:v>
                </c:pt>
                <c:pt idx="163">
                  <c:v>45.416666666666664</c:v>
                </c:pt>
                <c:pt idx="164">
                  <c:v>45.199999999999996</c:v>
                </c:pt>
                <c:pt idx="165">
                  <c:v>45.133333333333333</c:v>
                </c:pt>
                <c:pt idx="166">
                  <c:v>45.1</c:v>
                </c:pt>
                <c:pt idx="167">
                  <c:v>45.566666666666663</c:v>
                </c:pt>
                <c:pt idx="168">
                  <c:v>45.949999999999996</c:v>
                </c:pt>
                <c:pt idx="169">
                  <c:v>46.166666666666664</c:v>
                </c:pt>
                <c:pt idx="170">
                  <c:v>46.283333333333331</c:v>
                </c:pt>
                <c:pt idx="171">
                  <c:v>46.199999999999996</c:v>
                </c:pt>
                <c:pt idx="172">
                  <c:v>46.083333333333336</c:v>
                </c:pt>
                <c:pt idx="173">
                  <c:v>46.15</c:v>
                </c:pt>
                <c:pt idx="174">
                  <c:v>46.416666666666664</c:v>
                </c:pt>
                <c:pt idx="175">
                  <c:v>46.300000000000004</c:v>
                </c:pt>
                <c:pt idx="176">
                  <c:v>46.216666666666661</c:v>
                </c:pt>
                <c:pt idx="177">
                  <c:v>46.116666666666667</c:v>
                </c:pt>
                <c:pt idx="178">
                  <c:v>45.866666666666667</c:v>
                </c:pt>
                <c:pt idx="179">
                  <c:v>45.766666666666659</c:v>
                </c:pt>
                <c:pt idx="180">
                  <c:v>45.666666666666664</c:v>
                </c:pt>
                <c:pt idx="181">
                  <c:v>45.533333333333331</c:v>
                </c:pt>
                <c:pt idx="182">
                  <c:v>45.366666666666667</c:v>
                </c:pt>
                <c:pt idx="183">
                  <c:v>45.416666666666664</c:v>
                </c:pt>
                <c:pt idx="184">
                  <c:v>45.233333333333327</c:v>
                </c:pt>
                <c:pt idx="185">
                  <c:v>45.1</c:v>
                </c:pt>
                <c:pt idx="186">
                  <c:v>45.066666666666663</c:v>
                </c:pt>
                <c:pt idx="187">
                  <c:v>44.933333333333337</c:v>
                </c:pt>
                <c:pt idx="188">
                  <c:v>44.800000000000004</c:v>
                </c:pt>
                <c:pt idx="189">
                  <c:v>44.716666666666661</c:v>
                </c:pt>
                <c:pt idx="190">
                  <c:v>44.666666666666664</c:v>
                </c:pt>
                <c:pt idx="191">
                  <c:v>44.516666666666673</c:v>
                </c:pt>
                <c:pt idx="192">
                  <c:v>44.35</c:v>
                </c:pt>
                <c:pt idx="193">
                  <c:v>44.133333333333333</c:v>
                </c:pt>
                <c:pt idx="194">
                  <c:v>43.916666666666664</c:v>
                </c:pt>
                <c:pt idx="195">
                  <c:v>43.583333333333336</c:v>
                </c:pt>
                <c:pt idx="196">
                  <c:v>43.166666666666664</c:v>
                </c:pt>
                <c:pt idx="197">
                  <c:v>42.6</c:v>
                </c:pt>
                <c:pt idx="198">
                  <c:v>42.016666666666659</c:v>
                </c:pt>
                <c:pt idx="199">
                  <c:v>41.516666666666659</c:v>
                </c:pt>
                <c:pt idx="200">
                  <c:v>41.116666666666667</c:v>
                </c:pt>
                <c:pt idx="201">
                  <c:v>40.966666666666669</c:v>
                </c:pt>
                <c:pt idx="202">
                  <c:v>40.866666666666667</c:v>
                </c:pt>
                <c:pt idx="203">
                  <c:v>40.916666666666664</c:v>
                </c:pt>
                <c:pt idx="204">
                  <c:v>40.5</c:v>
                </c:pt>
                <c:pt idx="205">
                  <c:v>40.133333333333333</c:v>
                </c:pt>
                <c:pt idx="206">
                  <c:v>39.799999999999997</c:v>
                </c:pt>
                <c:pt idx="207">
                  <c:v>39.550000000000004</c:v>
                </c:pt>
                <c:pt idx="208">
                  <c:v>39.383333333333333</c:v>
                </c:pt>
                <c:pt idx="209">
                  <c:v>38.983333333333334</c:v>
                </c:pt>
                <c:pt idx="210">
                  <c:v>38.433333333333337</c:v>
                </c:pt>
                <c:pt idx="211">
                  <c:v>37.699999999999996</c:v>
                </c:pt>
                <c:pt idx="212">
                  <c:v>37.000000000000007</c:v>
                </c:pt>
                <c:pt idx="213">
                  <c:v>36.15</c:v>
                </c:pt>
                <c:pt idx="214">
                  <c:v>35.4</c:v>
                </c:pt>
                <c:pt idx="215">
                  <c:v>35.150000000000006</c:v>
                </c:pt>
                <c:pt idx="216">
                  <c:v>34.616666666666667</c:v>
                </c:pt>
                <c:pt idx="217">
                  <c:v>33.866666666666667</c:v>
                </c:pt>
                <c:pt idx="218">
                  <c:v>33.016666666666666</c:v>
                </c:pt>
                <c:pt idx="219">
                  <c:v>32.1</c:v>
                </c:pt>
                <c:pt idx="220">
                  <c:v>31.25</c:v>
                </c:pt>
                <c:pt idx="221">
                  <c:v>30.3</c:v>
                </c:pt>
                <c:pt idx="222">
                  <c:v>29.400000000000002</c:v>
                </c:pt>
                <c:pt idx="223">
                  <c:v>28.616666666666664</c:v>
                </c:pt>
                <c:pt idx="224">
                  <c:v>27.916666666666668</c:v>
                </c:pt>
                <c:pt idx="225">
                  <c:v>27.283333333333335</c:v>
                </c:pt>
                <c:pt idx="226">
                  <c:v>26.666666666666671</c:v>
                </c:pt>
                <c:pt idx="227">
                  <c:v>26.3</c:v>
                </c:pt>
                <c:pt idx="228">
                  <c:v>26.200000000000003</c:v>
                </c:pt>
                <c:pt idx="229">
                  <c:v>25.950000000000003</c:v>
                </c:pt>
                <c:pt idx="230">
                  <c:v>25.866666666666671</c:v>
                </c:pt>
                <c:pt idx="231">
                  <c:v>25.75</c:v>
                </c:pt>
                <c:pt idx="232">
                  <c:v>25.500000000000004</c:v>
                </c:pt>
                <c:pt idx="233">
                  <c:v>25.133333333333336</c:v>
                </c:pt>
                <c:pt idx="234">
                  <c:v>24.799999999999997</c:v>
                </c:pt>
                <c:pt idx="235">
                  <c:v>24.500000000000004</c:v>
                </c:pt>
                <c:pt idx="236">
                  <c:v>24.233333333333334</c:v>
                </c:pt>
                <c:pt idx="237">
                  <c:v>24.066666666666666</c:v>
                </c:pt>
                <c:pt idx="238">
                  <c:v>23.950000000000003</c:v>
                </c:pt>
                <c:pt idx="239">
                  <c:v>23.75</c:v>
                </c:pt>
                <c:pt idx="240">
                  <c:v>23.599999999999998</c:v>
                </c:pt>
                <c:pt idx="241">
                  <c:v>23.483333333333334</c:v>
                </c:pt>
                <c:pt idx="242">
                  <c:v>23.366666666666664</c:v>
                </c:pt>
                <c:pt idx="243">
                  <c:v>23.233333333333334</c:v>
                </c:pt>
                <c:pt idx="244">
                  <c:v>23.133333333333329</c:v>
                </c:pt>
                <c:pt idx="245">
                  <c:v>22.983333333333334</c:v>
                </c:pt>
                <c:pt idx="246">
                  <c:v>22.916666666666668</c:v>
                </c:pt>
                <c:pt idx="247">
                  <c:v>22.849999999999998</c:v>
                </c:pt>
                <c:pt idx="248">
                  <c:v>22.8</c:v>
                </c:pt>
                <c:pt idx="249">
                  <c:v>22.75</c:v>
                </c:pt>
                <c:pt idx="250">
                  <c:v>22.683333333333334</c:v>
                </c:pt>
                <c:pt idx="251">
                  <c:v>22.7</c:v>
                </c:pt>
                <c:pt idx="252">
                  <c:v>22.75</c:v>
                </c:pt>
                <c:pt idx="253">
                  <c:v>22.8</c:v>
                </c:pt>
                <c:pt idx="254">
                  <c:v>22.900000000000002</c:v>
                </c:pt>
                <c:pt idx="255">
                  <c:v>22.900000000000002</c:v>
                </c:pt>
                <c:pt idx="256">
                  <c:v>22.950000000000003</c:v>
                </c:pt>
                <c:pt idx="257">
                  <c:v>22.900000000000002</c:v>
                </c:pt>
                <c:pt idx="258">
                  <c:v>22.900000000000002</c:v>
                </c:pt>
                <c:pt idx="259">
                  <c:v>23</c:v>
                </c:pt>
                <c:pt idx="260">
                  <c:v>23</c:v>
                </c:pt>
                <c:pt idx="261">
                  <c:v>22.933333333333337</c:v>
                </c:pt>
                <c:pt idx="262">
                  <c:v>22.900000000000002</c:v>
                </c:pt>
                <c:pt idx="263">
                  <c:v>22.900000000000002</c:v>
                </c:pt>
                <c:pt idx="264">
                  <c:v>23</c:v>
                </c:pt>
                <c:pt idx="265">
                  <c:v>23</c:v>
                </c:pt>
                <c:pt idx="266">
                  <c:v>22.933333333333337</c:v>
                </c:pt>
                <c:pt idx="267">
                  <c:v>22.833333333333332</c:v>
                </c:pt>
                <c:pt idx="268">
                  <c:v>22.816666666666666</c:v>
                </c:pt>
                <c:pt idx="269">
                  <c:v>22.900000000000002</c:v>
                </c:pt>
                <c:pt idx="270">
                  <c:v>22.933333333333334</c:v>
                </c:pt>
                <c:pt idx="271">
                  <c:v>23</c:v>
                </c:pt>
                <c:pt idx="272">
                  <c:v>23.083333333333332</c:v>
                </c:pt>
                <c:pt idx="273">
                  <c:v>23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T °C 0-20</c:v>
          </c:tx>
          <c:spPr>
            <a:ln w="22225"/>
          </c:spPr>
          <c:marker>
            <c:symbol val="none"/>
          </c:marker>
          <c:val>
            <c:numRef>
              <c:f>'[1]Humidité et Température Sol'!$V$2:$V$277</c:f>
              <c:numCache>
                <c:formatCode>General</c:formatCode>
                <c:ptCount val="2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20.100000000000001</c:v>
                </c:pt>
                <c:pt idx="30">
                  <c:v>19.150000000000002</c:v>
                </c:pt>
                <c:pt idx="31">
                  <c:v>19.150000000000002</c:v>
                </c:pt>
                <c:pt idx="32">
                  <c:v>18.033333333333331</c:v>
                </c:pt>
                <c:pt idx="33">
                  <c:v>16.450000000000003</c:v>
                </c:pt>
                <c:pt idx="34">
                  <c:v>15.916666666666666</c:v>
                </c:pt>
                <c:pt idx="35">
                  <c:v>16.433333333333334</c:v>
                </c:pt>
                <c:pt idx="36">
                  <c:v>15.65</c:v>
                </c:pt>
                <c:pt idx="37">
                  <c:v>13.466666666666669</c:v>
                </c:pt>
                <c:pt idx="38">
                  <c:v>11.899999999999999</c:v>
                </c:pt>
                <c:pt idx="39">
                  <c:v>11.916666666666666</c:v>
                </c:pt>
                <c:pt idx="40">
                  <c:v>10.716666666666667</c:v>
                </c:pt>
                <c:pt idx="41">
                  <c:v>10.116666666666665</c:v>
                </c:pt>
                <c:pt idx="42">
                  <c:v>11.716666666666667</c:v>
                </c:pt>
                <c:pt idx="43">
                  <c:v>10.850000000000001</c:v>
                </c:pt>
                <c:pt idx="44">
                  <c:v>10.683333333333332</c:v>
                </c:pt>
                <c:pt idx="45">
                  <c:v>12.399999999999999</c:v>
                </c:pt>
                <c:pt idx="46">
                  <c:v>12.6</c:v>
                </c:pt>
                <c:pt idx="47">
                  <c:v>11.08333333333333</c:v>
                </c:pt>
                <c:pt idx="48">
                  <c:v>9.25</c:v>
                </c:pt>
                <c:pt idx="49">
                  <c:v>8.8833333333333329</c:v>
                </c:pt>
                <c:pt idx="50">
                  <c:v>9.7999999999999989</c:v>
                </c:pt>
                <c:pt idx="51">
                  <c:v>11.050000000000002</c:v>
                </c:pt>
                <c:pt idx="52">
                  <c:v>12.35</c:v>
                </c:pt>
                <c:pt idx="53">
                  <c:v>11.466666666666667</c:v>
                </c:pt>
                <c:pt idx="54">
                  <c:v>11.716666666666667</c:v>
                </c:pt>
                <c:pt idx="55">
                  <c:v>12.15</c:v>
                </c:pt>
                <c:pt idx="56">
                  <c:v>12.833333333333334</c:v>
                </c:pt>
                <c:pt idx="57">
                  <c:v>13.600000000000001</c:v>
                </c:pt>
                <c:pt idx="58">
                  <c:v>13.899999999999999</c:v>
                </c:pt>
                <c:pt idx="59">
                  <c:v>13.983333333333334</c:v>
                </c:pt>
                <c:pt idx="60">
                  <c:v>13.216666666666667</c:v>
                </c:pt>
                <c:pt idx="61">
                  <c:v>10.683333333333332</c:v>
                </c:pt>
                <c:pt idx="62">
                  <c:v>10.466666666666667</c:v>
                </c:pt>
                <c:pt idx="63">
                  <c:v>10.333333333333334</c:v>
                </c:pt>
                <c:pt idx="64">
                  <c:v>9.6999999999999993</c:v>
                </c:pt>
                <c:pt idx="65">
                  <c:v>11.633333333333335</c:v>
                </c:pt>
                <c:pt idx="66">
                  <c:v>11.633333333333335</c:v>
                </c:pt>
                <c:pt idx="67">
                  <c:v>12.333333333333334</c:v>
                </c:pt>
                <c:pt idx="68">
                  <c:v>11.749999999999998</c:v>
                </c:pt>
                <c:pt idx="69">
                  <c:v>10.616666666666665</c:v>
                </c:pt>
                <c:pt idx="70">
                  <c:v>8.6</c:v>
                </c:pt>
                <c:pt idx="71">
                  <c:v>9.1166666666666671</c:v>
                </c:pt>
                <c:pt idx="72">
                  <c:v>9.1</c:v>
                </c:pt>
                <c:pt idx="73">
                  <c:v>9.3333333333333339</c:v>
                </c:pt>
                <c:pt idx="74">
                  <c:v>9.3500000000000014</c:v>
                </c:pt>
                <c:pt idx="75">
                  <c:v>9.3166666666666664</c:v>
                </c:pt>
                <c:pt idx="76">
                  <c:v>8.7666666666666657</c:v>
                </c:pt>
                <c:pt idx="77">
                  <c:v>7.3833333333333337</c:v>
                </c:pt>
                <c:pt idx="78">
                  <c:v>7</c:v>
                </c:pt>
                <c:pt idx="79">
                  <c:v>6.583333333333333</c:v>
                </c:pt>
                <c:pt idx="80">
                  <c:v>5.2833333333333341</c:v>
                </c:pt>
                <c:pt idx="81">
                  <c:v>5.166666666666667</c:v>
                </c:pt>
                <c:pt idx="82">
                  <c:v>4.8666666666666663</c:v>
                </c:pt>
                <c:pt idx="83">
                  <c:v>5.1166666666666663</c:v>
                </c:pt>
                <c:pt idx="84">
                  <c:v>5.2166666666666668</c:v>
                </c:pt>
                <c:pt idx="85">
                  <c:v>4.2833333333333332</c:v>
                </c:pt>
                <c:pt idx="86">
                  <c:v>4.2833333333333332</c:v>
                </c:pt>
                <c:pt idx="87">
                  <c:v>4.0666666666666664</c:v>
                </c:pt>
                <c:pt idx="88">
                  <c:v>4.9333333333333327</c:v>
                </c:pt>
                <c:pt idx="89">
                  <c:v>7.333333333333333</c:v>
                </c:pt>
                <c:pt idx="90">
                  <c:v>8.8666666666666671</c:v>
                </c:pt>
                <c:pt idx="91">
                  <c:v>9.85</c:v>
                </c:pt>
                <c:pt idx="92">
                  <c:v>8.9666666666666668</c:v>
                </c:pt>
                <c:pt idx="93">
                  <c:v>5.8500000000000005</c:v>
                </c:pt>
                <c:pt idx="94">
                  <c:v>4.3166666666666673</c:v>
                </c:pt>
                <c:pt idx="95">
                  <c:v>4.333333333333333</c:v>
                </c:pt>
                <c:pt idx="96">
                  <c:v>3.9833333333333329</c:v>
                </c:pt>
                <c:pt idx="97">
                  <c:v>3.1999999999999997</c:v>
                </c:pt>
                <c:pt idx="98">
                  <c:v>2.5166666666666671</c:v>
                </c:pt>
                <c:pt idx="99">
                  <c:v>1.9166666666666667</c:v>
                </c:pt>
                <c:pt idx="100">
                  <c:v>3.3666666666666667</c:v>
                </c:pt>
                <c:pt idx="101">
                  <c:v>2.7833333333333332</c:v>
                </c:pt>
                <c:pt idx="102">
                  <c:v>3.0666666666666664</c:v>
                </c:pt>
                <c:pt idx="103">
                  <c:v>4.583333333333333</c:v>
                </c:pt>
                <c:pt idx="104">
                  <c:v>5.7666666666666666</c:v>
                </c:pt>
                <c:pt idx="105">
                  <c:v>6.833333333333333</c:v>
                </c:pt>
                <c:pt idx="106">
                  <c:v>7.5666666666666664</c:v>
                </c:pt>
                <c:pt idx="107">
                  <c:v>5.3833333333333329</c:v>
                </c:pt>
                <c:pt idx="108">
                  <c:v>3.7333333333333338</c:v>
                </c:pt>
                <c:pt idx="109">
                  <c:v>2.2666666666666666</c:v>
                </c:pt>
                <c:pt idx="110">
                  <c:v>1.6666666666666663</c:v>
                </c:pt>
                <c:pt idx="111">
                  <c:v>2.4666666666666668</c:v>
                </c:pt>
                <c:pt idx="112">
                  <c:v>4.5666666666666664</c:v>
                </c:pt>
                <c:pt idx="113">
                  <c:v>6.4499999999999993</c:v>
                </c:pt>
                <c:pt idx="114">
                  <c:v>7.7666666666666657</c:v>
                </c:pt>
                <c:pt idx="115">
                  <c:v>6.8833333333333329</c:v>
                </c:pt>
                <c:pt idx="116">
                  <c:v>6.2166666666666677</c:v>
                </c:pt>
                <c:pt idx="117">
                  <c:v>4.7666666666666666</c:v>
                </c:pt>
                <c:pt idx="118">
                  <c:v>4.3</c:v>
                </c:pt>
                <c:pt idx="119">
                  <c:v>4.5333333333333323</c:v>
                </c:pt>
                <c:pt idx="120">
                  <c:v>6.6333333333333329</c:v>
                </c:pt>
                <c:pt idx="121">
                  <c:v>8.1999999999999993</c:v>
                </c:pt>
                <c:pt idx="122">
                  <c:v>8.65</c:v>
                </c:pt>
                <c:pt idx="123">
                  <c:v>8.6166666666666671</c:v>
                </c:pt>
                <c:pt idx="124">
                  <c:v>6.1499999999999995</c:v>
                </c:pt>
                <c:pt idx="125">
                  <c:v>6.3499999999999988</c:v>
                </c:pt>
                <c:pt idx="126">
                  <c:v>7.7</c:v>
                </c:pt>
                <c:pt idx="127">
                  <c:v>8.9500000000000011</c:v>
                </c:pt>
                <c:pt idx="128">
                  <c:v>7.8833333333333329</c:v>
                </c:pt>
                <c:pt idx="129">
                  <c:v>7.4499999999999993</c:v>
                </c:pt>
                <c:pt idx="130">
                  <c:v>6.9666666666666659</c:v>
                </c:pt>
                <c:pt idx="131">
                  <c:v>7.5999999999999988</c:v>
                </c:pt>
                <c:pt idx="132">
                  <c:v>7.6166666666666671</c:v>
                </c:pt>
                <c:pt idx="133">
                  <c:v>7.5666666666666664</c:v>
                </c:pt>
                <c:pt idx="134">
                  <c:v>5.2666666666666666</c:v>
                </c:pt>
                <c:pt idx="135">
                  <c:v>3.9333333333333336</c:v>
                </c:pt>
                <c:pt idx="136">
                  <c:v>2.6666666666666665</c:v>
                </c:pt>
                <c:pt idx="137">
                  <c:v>2.2833333333333332</c:v>
                </c:pt>
                <c:pt idx="138">
                  <c:v>1.9833333333333332</c:v>
                </c:pt>
                <c:pt idx="139">
                  <c:v>1.9166666666666667</c:v>
                </c:pt>
                <c:pt idx="140">
                  <c:v>2.4</c:v>
                </c:pt>
                <c:pt idx="141">
                  <c:v>2.5666666666666669</c:v>
                </c:pt>
                <c:pt idx="142">
                  <c:v>4.1000000000000005</c:v>
                </c:pt>
                <c:pt idx="143">
                  <c:v>5.166666666666667</c:v>
                </c:pt>
                <c:pt idx="144">
                  <c:v>4.9666666666666668</c:v>
                </c:pt>
                <c:pt idx="145">
                  <c:v>4.5</c:v>
                </c:pt>
                <c:pt idx="146">
                  <c:v>3.2833333333333328</c:v>
                </c:pt>
                <c:pt idx="147">
                  <c:v>2.7666666666666671</c:v>
                </c:pt>
                <c:pt idx="148">
                  <c:v>4.3666666666666671</c:v>
                </c:pt>
                <c:pt idx="149">
                  <c:v>6.1166666666666671</c:v>
                </c:pt>
                <c:pt idx="150">
                  <c:v>6.2333333333333334</c:v>
                </c:pt>
                <c:pt idx="151">
                  <c:v>5.2166666666666659</c:v>
                </c:pt>
                <c:pt idx="152">
                  <c:v>5.083333333333333</c:v>
                </c:pt>
                <c:pt idx="153">
                  <c:v>6.05</c:v>
                </c:pt>
                <c:pt idx="154">
                  <c:v>6.2</c:v>
                </c:pt>
                <c:pt idx="155">
                  <c:v>6.3</c:v>
                </c:pt>
                <c:pt idx="156">
                  <c:v>6.6333333333333329</c:v>
                </c:pt>
                <c:pt idx="157">
                  <c:v>6.8666666666666663</c:v>
                </c:pt>
                <c:pt idx="158">
                  <c:v>7.1166666666666671</c:v>
                </c:pt>
                <c:pt idx="159">
                  <c:v>7.3</c:v>
                </c:pt>
                <c:pt idx="160">
                  <c:v>7.0333333333333323</c:v>
                </c:pt>
                <c:pt idx="161">
                  <c:v>7.6000000000000005</c:v>
                </c:pt>
                <c:pt idx="162">
                  <c:v>7.416666666666667</c:v>
                </c:pt>
                <c:pt idx="163">
                  <c:v>7.8666666666666671</c:v>
                </c:pt>
                <c:pt idx="164">
                  <c:v>7.0666666666666664</c:v>
                </c:pt>
                <c:pt idx="165">
                  <c:v>8.2000000000000011</c:v>
                </c:pt>
                <c:pt idx="166">
                  <c:v>7.7666666666666657</c:v>
                </c:pt>
                <c:pt idx="167">
                  <c:v>8.5</c:v>
                </c:pt>
                <c:pt idx="168">
                  <c:v>8.1</c:v>
                </c:pt>
                <c:pt idx="169">
                  <c:v>9.15</c:v>
                </c:pt>
                <c:pt idx="170">
                  <c:v>9.75</c:v>
                </c:pt>
                <c:pt idx="171">
                  <c:v>8.7833333333333332</c:v>
                </c:pt>
                <c:pt idx="172">
                  <c:v>8.4833333333333325</c:v>
                </c:pt>
                <c:pt idx="173">
                  <c:v>7.2833333333333323</c:v>
                </c:pt>
                <c:pt idx="174">
                  <c:v>6.4666666666666659</c:v>
                </c:pt>
                <c:pt idx="175">
                  <c:v>6.1166666666666671</c:v>
                </c:pt>
                <c:pt idx="176">
                  <c:v>5.6833333333333336</c:v>
                </c:pt>
                <c:pt idx="177">
                  <c:v>5.45</c:v>
                </c:pt>
                <c:pt idx="178">
                  <c:v>6.0666666666666664</c:v>
                </c:pt>
                <c:pt idx="179">
                  <c:v>6.5333333333333341</c:v>
                </c:pt>
                <c:pt idx="180">
                  <c:v>6.2833333333333341</c:v>
                </c:pt>
                <c:pt idx="181">
                  <c:v>7.7666666666666657</c:v>
                </c:pt>
                <c:pt idx="182">
                  <c:v>8.0833333333333339</c:v>
                </c:pt>
                <c:pt idx="183">
                  <c:v>7.6333333333333329</c:v>
                </c:pt>
                <c:pt idx="184">
                  <c:v>7.2833333333333341</c:v>
                </c:pt>
                <c:pt idx="185">
                  <c:v>8.4</c:v>
                </c:pt>
                <c:pt idx="186">
                  <c:v>9.3166666666666682</c:v>
                </c:pt>
                <c:pt idx="187">
                  <c:v>9.9666666666666668</c:v>
                </c:pt>
                <c:pt idx="188">
                  <c:v>10.616666666666665</c:v>
                </c:pt>
                <c:pt idx="189">
                  <c:v>10.649999999999999</c:v>
                </c:pt>
                <c:pt idx="190">
                  <c:v>10.483333333333333</c:v>
                </c:pt>
                <c:pt idx="191">
                  <c:v>9.7333333333333343</c:v>
                </c:pt>
                <c:pt idx="192">
                  <c:v>10.233333333333334</c:v>
                </c:pt>
                <c:pt idx="193">
                  <c:v>9.9166666666666661</c:v>
                </c:pt>
                <c:pt idx="194">
                  <c:v>9.0666666666666647</c:v>
                </c:pt>
                <c:pt idx="195">
                  <c:v>9.2333333333333325</c:v>
                </c:pt>
                <c:pt idx="196">
                  <c:v>9.1666666666666661</c:v>
                </c:pt>
                <c:pt idx="197">
                  <c:v>9.3833333333333346</c:v>
                </c:pt>
                <c:pt idx="198">
                  <c:v>9.9833333333333343</c:v>
                </c:pt>
                <c:pt idx="199">
                  <c:v>10.6</c:v>
                </c:pt>
                <c:pt idx="200">
                  <c:v>11.116666666666667</c:v>
                </c:pt>
                <c:pt idx="201">
                  <c:v>10.966666666666667</c:v>
                </c:pt>
                <c:pt idx="202">
                  <c:v>10.666666666666666</c:v>
                </c:pt>
                <c:pt idx="203">
                  <c:v>10.533333333333333</c:v>
                </c:pt>
                <c:pt idx="204">
                  <c:v>11.233333333333334</c:v>
                </c:pt>
                <c:pt idx="205">
                  <c:v>11.433333333333332</c:v>
                </c:pt>
                <c:pt idx="206">
                  <c:v>12.316666666666665</c:v>
                </c:pt>
                <c:pt idx="207">
                  <c:v>12.566666666666665</c:v>
                </c:pt>
                <c:pt idx="208">
                  <c:v>12.050000000000002</c:v>
                </c:pt>
                <c:pt idx="209">
                  <c:v>11.016666666666666</c:v>
                </c:pt>
                <c:pt idx="210">
                  <c:v>11.166666666666666</c:v>
                </c:pt>
                <c:pt idx="211">
                  <c:v>12.41666666666667</c:v>
                </c:pt>
                <c:pt idx="212">
                  <c:v>13.333333333333334</c:v>
                </c:pt>
                <c:pt idx="213">
                  <c:v>13.566666666666665</c:v>
                </c:pt>
                <c:pt idx="214">
                  <c:v>13.883333333333333</c:v>
                </c:pt>
                <c:pt idx="215">
                  <c:v>13.516666666666666</c:v>
                </c:pt>
                <c:pt idx="216">
                  <c:v>13.233333333333334</c:v>
                </c:pt>
                <c:pt idx="217">
                  <c:v>11.583333333333334</c:v>
                </c:pt>
                <c:pt idx="218">
                  <c:v>11.233333333333334</c:v>
                </c:pt>
                <c:pt idx="219">
                  <c:v>11.549999999999999</c:v>
                </c:pt>
                <c:pt idx="220">
                  <c:v>11.366666666666667</c:v>
                </c:pt>
                <c:pt idx="221">
                  <c:v>11.6</c:v>
                </c:pt>
                <c:pt idx="222">
                  <c:v>12.950000000000001</c:v>
                </c:pt>
                <c:pt idx="223">
                  <c:v>13.066666666666665</c:v>
                </c:pt>
                <c:pt idx="224">
                  <c:v>13.333333333333334</c:v>
                </c:pt>
                <c:pt idx="225">
                  <c:v>13.866666666666665</c:v>
                </c:pt>
                <c:pt idx="226">
                  <c:v>14.166666666666666</c:v>
                </c:pt>
                <c:pt idx="227">
                  <c:v>13.616666666666667</c:v>
                </c:pt>
                <c:pt idx="228">
                  <c:v>13.816666666666665</c:v>
                </c:pt>
                <c:pt idx="229">
                  <c:v>14.216666666666667</c:v>
                </c:pt>
                <c:pt idx="230">
                  <c:v>14.65</c:v>
                </c:pt>
                <c:pt idx="231">
                  <c:v>15.033333333333333</c:v>
                </c:pt>
                <c:pt idx="232">
                  <c:v>14.516666666666666</c:v>
                </c:pt>
                <c:pt idx="233">
                  <c:v>13.983333333333334</c:v>
                </c:pt>
                <c:pt idx="234">
                  <c:v>14.783333333333333</c:v>
                </c:pt>
                <c:pt idx="235">
                  <c:v>15.299999999999999</c:v>
                </c:pt>
                <c:pt idx="236">
                  <c:v>15.833333333333334</c:v>
                </c:pt>
                <c:pt idx="237">
                  <c:v>15.583333333333334</c:v>
                </c:pt>
                <c:pt idx="238">
                  <c:v>15.066666666666668</c:v>
                </c:pt>
                <c:pt idx="239">
                  <c:v>15.133333333333335</c:v>
                </c:pt>
                <c:pt idx="240">
                  <c:v>16.399999999999999</c:v>
                </c:pt>
                <c:pt idx="241">
                  <c:v>16.166666666666668</c:v>
                </c:pt>
                <c:pt idx="242">
                  <c:v>16.5</c:v>
                </c:pt>
                <c:pt idx="243">
                  <c:v>17.333333333333332</c:v>
                </c:pt>
                <c:pt idx="244">
                  <c:v>17.866666666666664</c:v>
                </c:pt>
                <c:pt idx="245">
                  <c:v>18.033333333333335</c:v>
                </c:pt>
                <c:pt idx="246">
                  <c:v>18.316666666666666</c:v>
                </c:pt>
                <c:pt idx="247">
                  <c:v>18.666666666666668</c:v>
                </c:pt>
                <c:pt idx="248">
                  <c:v>17.916666666666664</c:v>
                </c:pt>
                <c:pt idx="249">
                  <c:v>15.616666666666667</c:v>
                </c:pt>
                <c:pt idx="250">
                  <c:v>14.866666666666665</c:v>
                </c:pt>
                <c:pt idx="251">
                  <c:v>15.916666666666666</c:v>
                </c:pt>
                <c:pt idx="252">
                  <c:v>17.216666666666665</c:v>
                </c:pt>
                <c:pt idx="253">
                  <c:v>18.216666666666669</c:v>
                </c:pt>
                <c:pt idx="254">
                  <c:v>18.266666666666666</c:v>
                </c:pt>
                <c:pt idx="255">
                  <c:v>19.316666666666666</c:v>
                </c:pt>
                <c:pt idx="256">
                  <c:v>18.95</c:v>
                </c:pt>
                <c:pt idx="257">
                  <c:v>18.383333333333336</c:v>
                </c:pt>
                <c:pt idx="258">
                  <c:v>19.316666666666666</c:v>
                </c:pt>
                <c:pt idx="259">
                  <c:v>20.233333333333331</c:v>
                </c:pt>
                <c:pt idx="260">
                  <c:v>19.866666666666664</c:v>
                </c:pt>
                <c:pt idx="261">
                  <c:v>18.55</c:v>
                </c:pt>
                <c:pt idx="262">
                  <c:v>18.166666666666668</c:v>
                </c:pt>
                <c:pt idx="263">
                  <c:v>18.916666666666668</c:v>
                </c:pt>
                <c:pt idx="264">
                  <c:v>19.966666666666665</c:v>
                </c:pt>
                <c:pt idx="265">
                  <c:v>18.166666666666668</c:v>
                </c:pt>
                <c:pt idx="266">
                  <c:v>15.600000000000001</c:v>
                </c:pt>
                <c:pt idx="267">
                  <c:v>14.850000000000001</c:v>
                </c:pt>
                <c:pt idx="268">
                  <c:v>16.166666666666668</c:v>
                </c:pt>
                <c:pt idx="269">
                  <c:v>16.966666666666665</c:v>
                </c:pt>
                <c:pt idx="270">
                  <c:v>17.416666666666668</c:v>
                </c:pt>
                <c:pt idx="271">
                  <c:v>18.133333333333333</c:v>
                </c:pt>
                <c:pt idx="272">
                  <c:v>17.7</c:v>
                </c:pt>
                <c:pt idx="273">
                  <c:v>15.925000000000001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T°C 20-40</c:v>
          </c:tx>
          <c:spPr>
            <a:ln w="22225"/>
          </c:spPr>
          <c:marker>
            <c:symbol val="none"/>
          </c:marker>
          <c:val>
            <c:numRef>
              <c:f>'[1]Humidité et Température Sol'!$W$2:$W$277</c:f>
              <c:numCache>
                <c:formatCode>General</c:formatCode>
                <c:ptCount val="2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8.9</c:v>
                </c:pt>
                <c:pt idx="30">
                  <c:v>18.25</c:v>
                </c:pt>
                <c:pt idx="31">
                  <c:v>18.466666666666665</c:v>
                </c:pt>
                <c:pt idx="32">
                  <c:v>18.25</c:v>
                </c:pt>
                <c:pt idx="33">
                  <c:v>17</c:v>
                </c:pt>
                <c:pt idx="34">
                  <c:v>16.333333333333332</c:v>
                </c:pt>
                <c:pt idx="35">
                  <c:v>16.399999999999999</c:v>
                </c:pt>
                <c:pt idx="36">
                  <c:v>16.200000000000003</c:v>
                </c:pt>
                <c:pt idx="37">
                  <c:v>15.116666666666667</c:v>
                </c:pt>
                <c:pt idx="38">
                  <c:v>13.866666666666667</c:v>
                </c:pt>
                <c:pt idx="39">
                  <c:v>13.216666666666663</c:v>
                </c:pt>
                <c:pt idx="40">
                  <c:v>12.549999999999999</c:v>
                </c:pt>
                <c:pt idx="41">
                  <c:v>11.683333333333335</c:v>
                </c:pt>
                <c:pt idx="42">
                  <c:v>12.183333333333332</c:v>
                </c:pt>
                <c:pt idx="43">
                  <c:v>12.083333333333334</c:v>
                </c:pt>
                <c:pt idx="44">
                  <c:v>11.733333333333333</c:v>
                </c:pt>
                <c:pt idx="45">
                  <c:v>12.266666666666666</c:v>
                </c:pt>
                <c:pt idx="46">
                  <c:v>12.833333333333334</c:v>
                </c:pt>
                <c:pt idx="47">
                  <c:v>12.300000000000002</c:v>
                </c:pt>
                <c:pt idx="48">
                  <c:v>11.050000000000002</c:v>
                </c:pt>
                <c:pt idx="49">
                  <c:v>10.316666666666666</c:v>
                </c:pt>
                <c:pt idx="50">
                  <c:v>10.499999999999998</c:v>
                </c:pt>
                <c:pt idx="51">
                  <c:v>11.083333333333334</c:v>
                </c:pt>
                <c:pt idx="52">
                  <c:v>11.916666666666666</c:v>
                </c:pt>
                <c:pt idx="53">
                  <c:v>11.933333333333332</c:v>
                </c:pt>
                <c:pt idx="54">
                  <c:v>11.816666666666668</c:v>
                </c:pt>
                <c:pt idx="55">
                  <c:v>11.983333333333333</c:v>
                </c:pt>
                <c:pt idx="56">
                  <c:v>12.366666666666667</c:v>
                </c:pt>
                <c:pt idx="57">
                  <c:v>12.9</c:v>
                </c:pt>
                <c:pt idx="58">
                  <c:v>13.333333333333336</c:v>
                </c:pt>
                <c:pt idx="59">
                  <c:v>13.5</c:v>
                </c:pt>
                <c:pt idx="60">
                  <c:v>13.433333333333335</c:v>
                </c:pt>
                <c:pt idx="61">
                  <c:v>12.216666666666667</c:v>
                </c:pt>
                <c:pt idx="62">
                  <c:v>11.300000000000002</c:v>
                </c:pt>
                <c:pt idx="63">
                  <c:v>11.1</c:v>
                </c:pt>
                <c:pt idx="64">
                  <c:v>10.65</c:v>
                </c:pt>
                <c:pt idx="65">
                  <c:v>11.066666666666665</c:v>
                </c:pt>
                <c:pt idx="66">
                  <c:v>11.633333333333333</c:v>
                </c:pt>
                <c:pt idx="67">
                  <c:v>11.916666666666666</c:v>
                </c:pt>
                <c:pt idx="68">
                  <c:v>12</c:v>
                </c:pt>
                <c:pt idx="69">
                  <c:v>11.433333333333335</c:v>
                </c:pt>
                <c:pt idx="70">
                  <c:v>10.416666666666666</c:v>
                </c:pt>
                <c:pt idx="71">
                  <c:v>9.8666666666666654</c:v>
                </c:pt>
                <c:pt idx="72">
                  <c:v>9.8333333333333339</c:v>
                </c:pt>
                <c:pt idx="73">
                  <c:v>9.8666666666666654</c:v>
                </c:pt>
                <c:pt idx="74">
                  <c:v>9.8666666666666654</c:v>
                </c:pt>
                <c:pt idx="75">
                  <c:v>9.8333333333333339</c:v>
                </c:pt>
                <c:pt idx="76">
                  <c:v>9.5333333333333332</c:v>
                </c:pt>
                <c:pt idx="77">
                  <c:v>8.9</c:v>
                </c:pt>
                <c:pt idx="78">
                  <c:v>8.2666666666666657</c:v>
                </c:pt>
                <c:pt idx="79">
                  <c:v>7.916666666666667</c:v>
                </c:pt>
                <c:pt idx="80">
                  <c:v>7.1833333333333327</c:v>
                </c:pt>
                <c:pt idx="81">
                  <c:v>6.6833333333333336</c:v>
                </c:pt>
                <c:pt idx="82">
                  <c:v>6.3833333333333337</c:v>
                </c:pt>
                <c:pt idx="83">
                  <c:v>6.2166666666666677</c:v>
                </c:pt>
                <c:pt idx="84">
                  <c:v>6.3833333333333329</c:v>
                </c:pt>
                <c:pt idx="85">
                  <c:v>5.833333333333333</c:v>
                </c:pt>
                <c:pt idx="86">
                  <c:v>5.6000000000000005</c:v>
                </c:pt>
                <c:pt idx="87">
                  <c:v>5.3166666666666664</c:v>
                </c:pt>
                <c:pt idx="88">
                  <c:v>5.5166666666666666</c:v>
                </c:pt>
                <c:pt idx="89">
                  <c:v>6.5500000000000007</c:v>
                </c:pt>
                <c:pt idx="90">
                  <c:v>7.7833333333333341</c:v>
                </c:pt>
                <c:pt idx="91">
                  <c:v>8.75</c:v>
                </c:pt>
                <c:pt idx="92">
                  <c:v>9.1</c:v>
                </c:pt>
                <c:pt idx="93">
                  <c:v>7.6833333333333336</c:v>
                </c:pt>
                <c:pt idx="94">
                  <c:v>6.3166666666666664</c:v>
                </c:pt>
                <c:pt idx="95">
                  <c:v>5.7</c:v>
                </c:pt>
                <c:pt idx="96">
                  <c:v>5.5</c:v>
                </c:pt>
                <c:pt idx="97">
                  <c:v>4.8500000000000005</c:v>
                </c:pt>
                <c:pt idx="98">
                  <c:v>4.3500000000000005</c:v>
                </c:pt>
                <c:pt idx="99">
                  <c:v>3.7833333333333332</c:v>
                </c:pt>
                <c:pt idx="100">
                  <c:v>3.9166666666666665</c:v>
                </c:pt>
                <c:pt idx="101">
                  <c:v>4.1166666666666663</c:v>
                </c:pt>
                <c:pt idx="102">
                  <c:v>3.9333333333333336</c:v>
                </c:pt>
                <c:pt idx="103">
                  <c:v>4.5500000000000007</c:v>
                </c:pt>
                <c:pt idx="104">
                  <c:v>5.3166666666666664</c:v>
                </c:pt>
                <c:pt idx="105">
                  <c:v>6.1333333333333329</c:v>
                </c:pt>
                <c:pt idx="106">
                  <c:v>6.916666666666667</c:v>
                </c:pt>
                <c:pt idx="107">
                  <c:v>6.4499999999999993</c:v>
                </c:pt>
                <c:pt idx="108">
                  <c:v>5.3</c:v>
                </c:pt>
                <c:pt idx="109">
                  <c:v>4.2166666666666668</c:v>
                </c:pt>
                <c:pt idx="110">
                  <c:v>3.4666666666666668</c:v>
                </c:pt>
                <c:pt idx="111">
                  <c:v>3.2833333333333337</c:v>
                </c:pt>
                <c:pt idx="112">
                  <c:v>4.2333333333333334</c:v>
                </c:pt>
                <c:pt idx="113">
                  <c:v>5.4666666666666659</c:v>
                </c:pt>
                <c:pt idx="114">
                  <c:v>6.5500000000000007</c:v>
                </c:pt>
                <c:pt idx="115">
                  <c:v>6.8833333333333337</c:v>
                </c:pt>
                <c:pt idx="116">
                  <c:v>6.583333333333333</c:v>
                </c:pt>
                <c:pt idx="117">
                  <c:v>5.75</c:v>
                </c:pt>
                <c:pt idx="118">
                  <c:v>5.1833333333333336</c:v>
                </c:pt>
                <c:pt idx="119">
                  <c:v>5.0666666666666664</c:v>
                </c:pt>
                <c:pt idx="120">
                  <c:v>5.7833333333333323</c:v>
                </c:pt>
                <c:pt idx="121">
                  <c:v>7</c:v>
                </c:pt>
                <c:pt idx="122">
                  <c:v>7.6833333333333327</c:v>
                </c:pt>
                <c:pt idx="123">
                  <c:v>8</c:v>
                </c:pt>
                <c:pt idx="124">
                  <c:v>7.2</c:v>
                </c:pt>
                <c:pt idx="125">
                  <c:v>6.5333333333333323</c:v>
                </c:pt>
                <c:pt idx="126">
                  <c:v>7.2166666666666659</c:v>
                </c:pt>
                <c:pt idx="127">
                  <c:v>7.8666666666666671</c:v>
                </c:pt>
                <c:pt idx="128">
                  <c:v>7.9833333333333334</c:v>
                </c:pt>
                <c:pt idx="129">
                  <c:v>7.5666666666666664</c:v>
                </c:pt>
                <c:pt idx="130">
                  <c:v>7.2833333333333341</c:v>
                </c:pt>
                <c:pt idx="131">
                  <c:v>7.3666666666666671</c:v>
                </c:pt>
                <c:pt idx="132">
                  <c:v>7.5166666666666666</c:v>
                </c:pt>
                <c:pt idx="133">
                  <c:v>7.55</c:v>
                </c:pt>
                <c:pt idx="134">
                  <c:v>6.8166666666666664</c:v>
                </c:pt>
                <c:pt idx="135">
                  <c:v>5.583333333333333</c:v>
                </c:pt>
                <c:pt idx="136">
                  <c:v>4.55</c:v>
                </c:pt>
                <c:pt idx="137">
                  <c:v>3.7666666666666671</c:v>
                </c:pt>
                <c:pt idx="138">
                  <c:v>3.4666666666666668</c:v>
                </c:pt>
                <c:pt idx="139">
                  <c:v>3.1833333333333336</c:v>
                </c:pt>
                <c:pt idx="140">
                  <c:v>3.1500000000000004</c:v>
                </c:pt>
                <c:pt idx="141">
                  <c:v>3.3333333333333335</c:v>
                </c:pt>
                <c:pt idx="142">
                  <c:v>3.9333333333333336</c:v>
                </c:pt>
                <c:pt idx="143">
                  <c:v>4.7833333333333341</c:v>
                </c:pt>
                <c:pt idx="144">
                  <c:v>5.0166666666666666</c:v>
                </c:pt>
                <c:pt idx="145">
                  <c:v>4.916666666666667</c:v>
                </c:pt>
                <c:pt idx="146">
                  <c:v>4.3</c:v>
                </c:pt>
                <c:pt idx="147">
                  <c:v>3.6833333333333336</c:v>
                </c:pt>
                <c:pt idx="148">
                  <c:v>4.0999999999999996</c:v>
                </c:pt>
                <c:pt idx="149">
                  <c:v>5.2</c:v>
                </c:pt>
                <c:pt idx="150">
                  <c:v>5.8833333333333329</c:v>
                </c:pt>
                <c:pt idx="151">
                  <c:v>5.6500000000000012</c:v>
                </c:pt>
                <c:pt idx="152">
                  <c:v>5.3</c:v>
                </c:pt>
                <c:pt idx="153">
                  <c:v>5.7166666666666659</c:v>
                </c:pt>
                <c:pt idx="154">
                  <c:v>5.95</c:v>
                </c:pt>
                <c:pt idx="155">
                  <c:v>6.166666666666667</c:v>
                </c:pt>
                <c:pt idx="156">
                  <c:v>6.3166666666666664</c:v>
                </c:pt>
                <c:pt idx="157">
                  <c:v>6.5166666666666666</c:v>
                </c:pt>
                <c:pt idx="158">
                  <c:v>6.7833333333333323</c:v>
                </c:pt>
                <c:pt idx="159">
                  <c:v>6.916666666666667</c:v>
                </c:pt>
                <c:pt idx="160">
                  <c:v>6.833333333333333</c:v>
                </c:pt>
                <c:pt idx="161">
                  <c:v>7.1500000000000012</c:v>
                </c:pt>
                <c:pt idx="162">
                  <c:v>7.2166666666666677</c:v>
                </c:pt>
                <c:pt idx="163">
                  <c:v>7.3166666666666664</c:v>
                </c:pt>
                <c:pt idx="164">
                  <c:v>7.2333333333333334</c:v>
                </c:pt>
                <c:pt idx="165">
                  <c:v>7.4833333333333343</c:v>
                </c:pt>
                <c:pt idx="166">
                  <c:v>7.6000000000000005</c:v>
                </c:pt>
                <c:pt idx="167">
                  <c:v>7.8499999999999988</c:v>
                </c:pt>
                <c:pt idx="168">
                  <c:v>7.7833333333333323</c:v>
                </c:pt>
                <c:pt idx="169">
                  <c:v>8.1666666666666661</c:v>
                </c:pt>
                <c:pt idx="170">
                  <c:v>8.7333333333333325</c:v>
                </c:pt>
                <c:pt idx="171">
                  <c:v>8.6666666666666661</c:v>
                </c:pt>
                <c:pt idx="172">
                  <c:v>8.4333333333333353</c:v>
                </c:pt>
                <c:pt idx="173">
                  <c:v>7.75</c:v>
                </c:pt>
                <c:pt idx="174">
                  <c:v>7.2166666666666659</c:v>
                </c:pt>
                <c:pt idx="175">
                  <c:v>6.75</c:v>
                </c:pt>
                <c:pt idx="176">
                  <c:v>6.3833333333333329</c:v>
                </c:pt>
                <c:pt idx="177">
                  <c:v>6.0333333333333341</c:v>
                </c:pt>
                <c:pt idx="178">
                  <c:v>6.2333333333333334</c:v>
                </c:pt>
                <c:pt idx="179">
                  <c:v>6.4833333333333334</c:v>
                </c:pt>
                <c:pt idx="180">
                  <c:v>6.5</c:v>
                </c:pt>
                <c:pt idx="181">
                  <c:v>7.0166666666666657</c:v>
                </c:pt>
                <c:pt idx="182">
                  <c:v>7.45</c:v>
                </c:pt>
                <c:pt idx="183">
                  <c:v>7.5166666666666666</c:v>
                </c:pt>
                <c:pt idx="184">
                  <c:v>7.2666666666666657</c:v>
                </c:pt>
                <c:pt idx="185">
                  <c:v>7.7333333333333334</c:v>
                </c:pt>
                <c:pt idx="186">
                  <c:v>8.2333333333333325</c:v>
                </c:pt>
                <c:pt idx="187">
                  <c:v>8.8666666666666671</c:v>
                </c:pt>
                <c:pt idx="188">
                  <c:v>9.4333333333333336</c:v>
                </c:pt>
                <c:pt idx="189">
                  <c:v>9.7166666666666668</c:v>
                </c:pt>
                <c:pt idx="190">
                  <c:v>9.8166666666666682</c:v>
                </c:pt>
                <c:pt idx="191">
                  <c:v>9.466666666666665</c:v>
                </c:pt>
                <c:pt idx="192">
                  <c:v>9.5166666666666675</c:v>
                </c:pt>
                <c:pt idx="193">
                  <c:v>9.5499999999999989</c:v>
                </c:pt>
                <c:pt idx="194">
                  <c:v>9.1833333333333336</c:v>
                </c:pt>
                <c:pt idx="195">
                  <c:v>9</c:v>
                </c:pt>
                <c:pt idx="196">
                  <c:v>8.9333333333333336</c:v>
                </c:pt>
                <c:pt idx="197">
                  <c:v>8.9499999999999993</c:v>
                </c:pt>
                <c:pt idx="198">
                  <c:v>9.2666666666666657</c:v>
                </c:pt>
                <c:pt idx="199">
                  <c:v>9.6666666666666661</c:v>
                </c:pt>
                <c:pt idx="200">
                  <c:v>10.183333333333332</c:v>
                </c:pt>
                <c:pt idx="201">
                  <c:v>10.283333333333333</c:v>
                </c:pt>
                <c:pt idx="202">
                  <c:v>10.200000000000001</c:v>
                </c:pt>
                <c:pt idx="203">
                  <c:v>10.1</c:v>
                </c:pt>
                <c:pt idx="204">
                  <c:v>10.333333333333334</c:v>
                </c:pt>
                <c:pt idx="205">
                  <c:v>10.6</c:v>
                </c:pt>
                <c:pt idx="206">
                  <c:v>11.100000000000001</c:v>
                </c:pt>
                <c:pt idx="207">
                  <c:v>11.533333333333333</c:v>
                </c:pt>
                <c:pt idx="208">
                  <c:v>11.399999999999999</c:v>
                </c:pt>
                <c:pt idx="209">
                  <c:v>10.9</c:v>
                </c:pt>
                <c:pt idx="210">
                  <c:v>10.666666666666666</c:v>
                </c:pt>
                <c:pt idx="211">
                  <c:v>11.233333333333333</c:v>
                </c:pt>
                <c:pt idx="212">
                  <c:v>11.966666666666667</c:v>
                </c:pt>
                <c:pt idx="213">
                  <c:v>12.366666666666667</c:v>
                </c:pt>
                <c:pt idx="214">
                  <c:v>12.816666666666668</c:v>
                </c:pt>
                <c:pt idx="215">
                  <c:v>12.633333333333333</c:v>
                </c:pt>
                <c:pt idx="216">
                  <c:v>12.6</c:v>
                </c:pt>
                <c:pt idx="217">
                  <c:v>11.85</c:v>
                </c:pt>
                <c:pt idx="218">
                  <c:v>11.266666666666666</c:v>
                </c:pt>
                <c:pt idx="219">
                  <c:v>11.233333333333334</c:v>
                </c:pt>
                <c:pt idx="220">
                  <c:v>11.166666666666666</c:v>
                </c:pt>
                <c:pt idx="221">
                  <c:v>11.15</c:v>
                </c:pt>
                <c:pt idx="222">
                  <c:v>11.833333333333334</c:v>
                </c:pt>
                <c:pt idx="223">
                  <c:v>12.266666666666667</c:v>
                </c:pt>
                <c:pt idx="224">
                  <c:v>12.4</c:v>
                </c:pt>
                <c:pt idx="225">
                  <c:v>12.733333333333334</c:v>
                </c:pt>
                <c:pt idx="226">
                  <c:v>13.1</c:v>
                </c:pt>
                <c:pt idx="227">
                  <c:v>13.066666666666668</c:v>
                </c:pt>
                <c:pt idx="228">
                  <c:v>12.916666666666666</c:v>
                </c:pt>
                <c:pt idx="229">
                  <c:v>13.183333333333335</c:v>
                </c:pt>
                <c:pt idx="230">
                  <c:v>13.466666666666669</c:v>
                </c:pt>
                <c:pt idx="231">
                  <c:v>13.799999999999999</c:v>
                </c:pt>
                <c:pt idx="232">
                  <c:v>13.733333333333333</c:v>
                </c:pt>
                <c:pt idx="233">
                  <c:v>13.466666666666667</c:v>
                </c:pt>
                <c:pt idx="234">
                  <c:v>13.649999999999999</c:v>
                </c:pt>
                <c:pt idx="235">
                  <c:v>14.033333333333333</c:v>
                </c:pt>
                <c:pt idx="236">
                  <c:v>14.516666666666667</c:v>
                </c:pt>
                <c:pt idx="237">
                  <c:v>14.583333333333334</c:v>
                </c:pt>
                <c:pt idx="238">
                  <c:v>14.283333333333331</c:v>
                </c:pt>
                <c:pt idx="239">
                  <c:v>14.200000000000001</c:v>
                </c:pt>
                <c:pt idx="240">
                  <c:v>14.833333333333334</c:v>
                </c:pt>
                <c:pt idx="241">
                  <c:v>15.200000000000001</c:v>
                </c:pt>
                <c:pt idx="242">
                  <c:v>15.049999999999999</c:v>
                </c:pt>
                <c:pt idx="243">
                  <c:v>15.633333333333335</c:v>
                </c:pt>
                <c:pt idx="244">
                  <c:v>16.183333333333334</c:v>
                </c:pt>
                <c:pt idx="245">
                  <c:v>16.416666666666668</c:v>
                </c:pt>
                <c:pt idx="246">
                  <c:v>16.850000000000001</c:v>
                </c:pt>
                <c:pt idx="247">
                  <c:v>16.783333333333331</c:v>
                </c:pt>
                <c:pt idx="248">
                  <c:v>17.150000000000002</c:v>
                </c:pt>
                <c:pt idx="249">
                  <c:v>15.65</c:v>
                </c:pt>
                <c:pt idx="250">
                  <c:v>14.816666666666668</c:v>
                </c:pt>
                <c:pt idx="251">
                  <c:v>15</c:v>
                </c:pt>
                <c:pt idx="252">
                  <c:v>15.733333333333333</c:v>
                </c:pt>
                <c:pt idx="253">
                  <c:v>16.483333333333334</c:v>
                </c:pt>
                <c:pt idx="254">
                  <c:v>16.833333333333332</c:v>
                </c:pt>
                <c:pt idx="255">
                  <c:v>17.349999999999998</c:v>
                </c:pt>
                <c:pt idx="256">
                  <c:v>17.733333333333334</c:v>
                </c:pt>
                <c:pt idx="257">
                  <c:v>17.133333333333329</c:v>
                </c:pt>
                <c:pt idx="258">
                  <c:v>17.666666666666668</c:v>
                </c:pt>
                <c:pt idx="259">
                  <c:v>18.216666666666665</c:v>
                </c:pt>
                <c:pt idx="260">
                  <c:v>18.683333333333334</c:v>
                </c:pt>
                <c:pt idx="261">
                  <c:v>17.883333333333333</c:v>
                </c:pt>
                <c:pt idx="262">
                  <c:v>17.399999999999999</c:v>
                </c:pt>
                <c:pt idx="263">
                  <c:v>17.75</c:v>
                </c:pt>
                <c:pt idx="264">
                  <c:v>18.633333333333333</c:v>
                </c:pt>
                <c:pt idx="265">
                  <c:v>18.083333333333332</c:v>
                </c:pt>
                <c:pt idx="266">
                  <c:v>16.533333333333331</c:v>
                </c:pt>
                <c:pt idx="267">
                  <c:v>15.399999999999999</c:v>
                </c:pt>
                <c:pt idx="268">
                  <c:v>15.466666666666667</c:v>
                </c:pt>
                <c:pt idx="269">
                  <c:v>16.233333333333331</c:v>
                </c:pt>
                <c:pt idx="270">
                  <c:v>16.416666666666668</c:v>
                </c:pt>
                <c:pt idx="271">
                  <c:v>16.916666666666668</c:v>
                </c:pt>
                <c:pt idx="272">
                  <c:v>17.216666666666669</c:v>
                </c:pt>
                <c:pt idx="273">
                  <c:v>16.399999999999999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TM</c:v>
          </c:tx>
          <c:spPr>
            <a:ln w="22225"/>
          </c:spPr>
          <c:marker>
            <c:symbol val="none"/>
          </c:marker>
          <c:val>
            <c:numRef>
              <c:f>'[1]Humidité et Température Sol'!$Y$2:$Y$277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19.399999999999999</c:v>
                </c:pt>
                <c:pt idx="3">
                  <c:v>20.9</c:v>
                </c:pt>
                <c:pt idx="4">
                  <c:v>21.1</c:v>
                </c:pt>
                <c:pt idx="5">
                  <c:v>19.100000000000001</c:v>
                </c:pt>
                <c:pt idx="6">
                  <c:v>18.899999999999999</c:v>
                </c:pt>
                <c:pt idx="7">
                  <c:v>20.7</c:v>
                </c:pt>
                <c:pt idx="8">
                  <c:v>16.100000000000001</c:v>
                </c:pt>
                <c:pt idx="9">
                  <c:v>17.399999999999999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19.399999999999999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16.100000000000001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20.399999999999999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9.6999999999999993</c:v>
                </c:pt>
                <c:pt idx="39">
                  <c:v>9.1999999999999993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8.3000000000000007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8.1999999999999993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8.1999999999999993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-1.1000000000000001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5.0999999999999996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9.3000000000000007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8.3000000000000007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9.1999999999999993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9.3000000000000007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10.199999999999999</c:v>
                </c:pt>
                <c:pt idx="182">
                  <c:v>10.4</c:v>
                </c:pt>
                <c:pt idx="183">
                  <c:v>7.7</c:v>
                </c:pt>
                <c:pt idx="184">
                  <c:v>8.3000000000000007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10.199999999999999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18.899999999999999</c:v>
                </c:pt>
                <c:pt idx="212">
                  <c:v>19.100000000000001</c:v>
                </c:pt>
                <c:pt idx="213">
                  <c:v>19.100000000000001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16.100000000000001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17.399999999999999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19.600000000000001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16.100000000000001</c:v>
                </c:pt>
                <c:pt idx="251">
                  <c:v>19.2</c:v>
                </c:pt>
                <c:pt idx="252">
                  <c:v>20.100000000000001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19.600000000000001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20.100000000000001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17.600000000000001</c:v>
                </c:pt>
                <c:pt idx="270">
                  <c:v>19</c:v>
                </c:pt>
                <c:pt idx="271">
                  <c:v>19.600000000000001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87264"/>
        <c:axId val="60541760"/>
      </c:lineChart>
      <c:catAx>
        <c:axId val="133387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0541760"/>
        <c:crosses val="autoZero"/>
        <c:auto val="1"/>
        <c:lblAlgn val="ctr"/>
        <c:lblOffset val="100"/>
        <c:noMultiLvlLbl val="0"/>
      </c:catAx>
      <c:valAx>
        <c:axId val="6054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38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37181927767961"/>
          <c:y val="0.4155467577916373"/>
          <c:w val="0.10962818072232039"/>
          <c:h val="0.2778807388830506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33337</xdr:colOff>
      <xdr:row>10</xdr:row>
      <xdr:rowOff>85730</xdr:rowOff>
    </xdr:from>
    <xdr:to>
      <xdr:col>43</xdr:col>
      <xdr:colOff>523875</xdr:colOff>
      <xdr:row>37</xdr:row>
      <xdr:rowOff>85725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180974</xdr:colOff>
      <xdr:row>48</xdr:row>
      <xdr:rowOff>38105</xdr:rowOff>
    </xdr:from>
    <xdr:to>
      <xdr:col>45</xdr:col>
      <xdr:colOff>285750</xdr:colOff>
      <xdr:row>84</xdr:row>
      <xdr:rowOff>85725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445434</xdr:colOff>
      <xdr:row>43</xdr:row>
      <xdr:rowOff>40340</xdr:rowOff>
    </xdr:from>
    <xdr:to>
      <xdr:col>11</xdr:col>
      <xdr:colOff>479052</xdr:colOff>
      <xdr:row>66</xdr:row>
      <xdr:rowOff>73957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691963</xdr:colOff>
      <xdr:row>2</xdr:row>
      <xdr:rowOff>54349</xdr:rowOff>
    </xdr:from>
    <xdr:to>
      <xdr:col>14</xdr:col>
      <xdr:colOff>410694</xdr:colOff>
      <xdr:row>40</xdr:row>
      <xdr:rowOff>115980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6</xdr:row>
      <xdr:rowOff>381000</xdr:rowOff>
    </xdr:from>
    <xdr:to>
      <xdr:col>19</xdr:col>
      <xdr:colOff>9525</xdr:colOff>
      <xdr:row>7</xdr:row>
      <xdr:rowOff>152400</xdr:rowOff>
    </xdr:to>
    <xdr:sp macro="" textlink="">
      <xdr:nvSpPr>
        <xdr:cNvPr id="90" name="ZoneTexte 89"/>
        <xdr:cNvSpPr txBox="1"/>
      </xdr:nvSpPr>
      <xdr:spPr>
        <a:xfrm>
          <a:off x="4248150" y="3409950"/>
          <a:ext cx="609600" cy="276225"/>
        </a:xfrm>
        <a:prstGeom prst="rect">
          <a:avLst/>
        </a:prstGeom>
        <a:solidFill>
          <a:srgbClr val="99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fr-FR" sz="1400" b="1" baseline="0"/>
            <a:t>DK 1</a:t>
          </a:r>
        </a:p>
      </xdr:txBody>
    </xdr:sp>
    <xdr:clientData/>
  </xdr:twoCellAnchor>
  <xdr:twoCellAnchor>
    <xdr:from>
      <xdr:col>16</xdr:col>
      <xdr:colOff>152400</xdr:colOff>
      <xdr:row>2</xdr:row>
      <xdr:rowOff>409575</xdr:rowOff>
    </xdr:from>
    <xdr:to>
      <xdr:col>19</xdr:col>
      <xdr:colOff>104775</xdr:colOff>
      <xdr:row>3</xdr:row>
      <xdr:rowOff>180975</xdr:rowOff>
    </xdr:to>
    <xdr:sp macro="" textlink="">
      <xdr:nvSpPr>
        <xdr:cNvPr id="91" name="ZoneTexte 90"/>
        <xdr:cNvSpPr txBox="1"/>
      </xdr:nvSpPr>
      <xdr:spPr>
        <a:xfrm>
          <a:off x="4343400" y="1419225"/>
          <a:ext cx="609600" cy="276225"/>
        </a:xfrm>
        <a:prstGeom prst="rect">
          <a:avLst/>
        </a:prstGeom>
        <a:solidFill>
          <a:srgbClr val="99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fr-FR" sz="1400" b="1" baseline="0"/>
            <a:t>DK 2</a:t>
          </a:r>
        </a:p>
      </xdr:txBody>
    </xdr:sp>
    <xdr:clientData/>
  </xdr:twoCellAnchor>
  <xdr:twoCellAnchor>
    <xdr:from>
      <xdr:col>45</xdr:col>
      <xdr:colOff>200025</xdr:colOff>
      <xdr:row>6</xdr:row>
      <xdr:rowOff>400050</xdr:rowOff>
    </xdr:from>
    <xdr:to>
      <xdr:col>48</xdr:col>
      <xdr:colOff>152400</xdr:colOff>
      <xdr:row>7</xdr:row>
      <xdr:rowOff>171450</xdr:rowOff>
    </xdr:to>
    <xdr:sp macro="" textlink="">
      <xdr:nvSpPr>
        <xdr:cNvPr id="92" name="ZoneTexte 91"/>
        <xdr:cNvSpPr txBox="1"/>
      </xdr:nvSpPr>
      <xdr:spPr>
        <a:xfrm>
          <a:off x="10744200" y="3429000"/>
          <a:ext cx="609600" cy="276225"/>
        </a:xfrm>
        <a:prstGeom prst="rect">
          <a:avLst/>
        </a:prstGeom>
        <a:solidFill>
          <a:srgbClr val="99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fr-FR" sz="1400" b="1" baseline="0"/>
            <a:t>DK2</a:t>
          </a:r>
        </a:p>
      </xdr:txBody>
    </xdr:sp>
    <xdr:clientData/>
  </xdr:twoCellAnchor>
  <xdr:twoCellAnchor>
    <xdr:from>
      <xdr:col>46</xdr:col>
      <xdr:colOff>19050</xdr:colOff>
      <xdr:row>2</xdr:row>
      <xdr:rowOff>390525</xdr:rowOff>
    </xdr:from>
    <xdr:to>
      <xdr:col>48</xdr:col>
      <xdr:colOff>190500</xdr:colOff>
      <xdr:row>3</xdr:row>
      <xdr:rowOff>161925</xdr:rowOff>
    </xdr:to>
    <xdr:sp macro="" textlink="">
      <xdr:nvSpPr>
        <xdr:cNvPr id="93" name="ZoneTexte 92"/>
        <xdr:cNvSpPr txBox="1"/>
      </xdr:nvSpPr>
      <xdr:spPr>
        <a:xfrm>
          <a:off x="10782300" y="1400175"/>
          <a:ext cx="609600" cy="276225"/>
        </a:xfrm>
        <a:prstGeom prst="rect">
          <a:avLst/>
        </a:prstGeom>
        <a:solidFill>
          <a:srgbClr val="99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fr-FR" sz="1400" b="1" baseline="0"/>
            <a:t>DK 1</a:t>
          </a:r>
        </a:p>
      </xdr:txBody>
    </xdr:sp>
    <xdr:clientData/>
  </xdr:twoCellAnchor>
  <xdr:twoCellAnchor>
    <xdr:from>
      <xdr:col>24</xdr:col>
      <xdr:colOff>137584</xdr:colOff>
      <xdr:row>6</xdr:row>
      <xdr:rowOff>105833</xdr:rowOff>
    </xdr:from>
    <xdr:to>
      <xdr:col>26</xdr:col>
      <xdr:colOff>52917</xdr:colOff>
      <xdr:row>6</xdr:row>
      <xdr:rowOff>423333</xdr:rowOff>
    </xdr:to>
    <xdr:sp macro="" textlink="">
      <xdr:nvSpPr>
        <xdr:cNvPr id="95" name="Ellipse 94"/>
        <xdr:cNvSpPr/>
      </xdr:nvSpPr>
      <xdr:spPr>
        <a:xfrm>
          <a:off x="6081184" y="3134783"/>
          <a:ext cx="353483" cy="317500"/>
        </a:xfrm>
        <a:prstGeom prst="ellipse">
          <a:avLst/>
        </a:prstGeom>
        <a:noFill/>
        <a:ln w="317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5</xdr:col>
      <xdr:colOff>105833</xdr:colOff>
      <xdr:row>24</xdr:row>
      <xdr:rowOff>105834</xdr:rowOff>
    </xdr:to>
    <xdr:sp macro="" textlink="">
      <xdr:nvSpPr>
        <xdr:cNvPr id="96" name="Ellipse 95"/>
        <xdr:cNvSpPr/>
      </xdr:nvSpPr>
      <xdr:spPr>
        <a:xfrm>
          <a:off x="1562100" y="13554075"/>
          <a:ext cx="324908" cy="305859"/>
        </a:xfrm>
        <a:prstGeom prst="ellipse">
          <a:avLst/>
        </a:prstGeom>
        <a:noFill/>
        <a:ln w="317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18</xdr:col>
      <xdr:colOff>40216</xdr:colOff>
      <xdr:row>16</xdr:row>
      <xdr:rowOff>21167</xdr:rowOff>
    </xdr:from>
    <xdr:to>
      <xdr:col>18</xdr:col>
      <xdr:colOff>184216</xdr:colOff>
      <xdr:row>16</xdr:row>
      <xdr:rowOff>165167</xdr:rowOff>
    </xdr:to>
    <xdr:sp macro="" textlink="">
      <xdr:nvSpPr>
        <xdr:cNvPr id="97" name="Ellipse 96"/>
        <xdr:cNvSpPr/>
      </xdr:nvSpPr>
      <xdr:spPr>
        <a:xfrm>
          <a:off x="4669366" y="12175067"/>
          <a:ext cx="144000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18</xdr:col>
      <xdr:colOff>50800</xdr:colOff>
      <xdr:row>13</xdr:row>
      <xdr:rowOff>42333</xdr:rowOff>
    </xdr:from>
    <xdr:to>
      <xdr:col>18</xdr:col>
      <xdr:colOff>194800</xdr:colOff>
      <xdr:row>13</xdr:row>
      <xdr:rowOff>186333</xdr:rowOff>
    </xdr:to>
    <xdr:sp macro="" textlink="">
      <xdr:nvSpPr>
        <xdr:cNvPr id="98" name="Ellipse 97"/>
        <xdr:cNvSpPr/>
      </xdr:nvSpPr>
      <xdr:spPr>
        <a:xfrm>
          <a:off x="4679950" y="11539008"/>
          <a:ext cx="144000" cy="144000"/>
        </a:xfrm>
        <a:prstGeom prst="ellipse">
          <a:avLst/>
        </a:prstGeom>
        <a:solidFill>
          <a:srgbClr val="FF66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18</xdr:col>
      <xdr:colOff>57150</xdr:colOff>
      <xdr:row>20</xdr:row>
      <xdr:rowOff>44450</xdr:rowOff>
    </xdr:from>
    <xdr:to>
      <xdr:col>18</xdr:col>
      <xdr:colOff>201150</xdr:colOff>
      <xdr:row>20</xdr:row>
      <xdr:rowOff>188450</xdr:rowOff>
    </xdr:to>
    <xdr:sp macro="" textlink="">
      <xdr:nvSpPr>
        <xdr:cNvPr id="101" name="Ellipse 100"/>
        <xdr:cNvSpPr/>
      </xdr:nvSpPr>
      <xdr:spPr>
        <a:xfrm>
          <a:off x="4686300" y="129984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38</xdr:col>
      <xdr:colOff>50800</xdr:colOff>
      <xdr:row>2</xdr:row>
      <xdr:rowOff>342900</xdr:rowOff>
    </xdr:from>
    <xdr:to>
      <xdr:col>38</xdr:col>
      <xdr:colOff>194800</xdr:colOff>
      <xdr:row>2</xdr:row>
      <xdr:rowOff>486900</xdr:rowOff>
    </xdr:to>
    <xdr:sp macro="" textlink="">
      <xdr:nvSpPr>
        <xdr:cNvPr id="114" name="Ellipse 113"/>
        <xdr:cNvSpPr/>
      </xdr:nvSpPr>
      <xdr:spPr>
        <a:xfrm>
          <a:off x="9061450" y="1352550"/>
          <a:ext cx="144000" cy="144000"/>
        </a:xfrm>
        <a:prstGeom prst="ellipse">
          <a:avLst/>
        </a:prstGeom>
        <a:solidFill>
          <a:srgbClr val="FF66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21</xdr:col>
      <xdr:colOff>50800</xdr:colOff>
      <xdr:row>7</xdr:row>
      <xdr:rowOff>330200</xdr:rowOff>
    </xdr:from>
    <xdr:to>
      <xdr:col>21</xdr:col>
      <xdr:colOff>194800</xdr:colOff>
      <xdr:row>7</xdr:row>
      <xdr:rowOff>474200</xdr:rowOff>
    </xdr:to>
    <xdr:sp macro="" textlink="">
      <xdr:nvSpPr>
        <xdr:cNvPr id="115" name="Ellipse 114"/>
        <xdr:cNvSpPr/>
      </xdr:nvSpPr>
      <xdr:spPr>
        <a:xfrm>
          <a:off x="5337175" y="3863975"/>
          <a:ext cx="144000" cy="144000"/>
        </a:xfrm>
        <a:prstGeom prst="ellipse">
          <a:avLst/>
        </a:prstGeom>
        <a:solidFill>
          <a:srgbClr val="FF66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7</xdr:col>
      <xdr:colOff>114300</xdr:colOff>
      <xdr:row>8</xdr:row>
      <xdr:rowOff>355600</xdr:rowOff>
    </xdr:from>
    <xdr:to>
      <xdr:col>8</xdr:col>
      <xdr:colOff>42400</xdr:colOff>
      <xdr:row>8</xdr:row>
      <xdr:rowOff>499600</xdr:rowOff>
    </xdr:to>
    <xdr:sp macro="" textlink="">
      <xdr:nvSpPr>
        <xdr:cNvPr id="116" name="Ellipse 115"/>
        <xdr:cNvSpPr/>
      </xdr:nvSpPr>
      <xdr:spPr>
        <a:xfrm>
          <a:off x="2333625" y="4394200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23</xdr:col>
      <xdr:colOff>114300</xdr:colOff>
      <xdr:row>7</xdr:row>
      <xdr:rowOff>330200</xdr:rowOff>
    </xdr:from>
    <xdr:to>
      <xdr:col>24</xdr:col>
      <xdr:colOff>42400</xdr:colOff>
      <xdr:row>7</xdr:row>
      <xdr:rowOff>474200</xdr:rowOff>
    </xdr:to>
    <xdr:sp macro="" textlink="">
      <xdr:nvSpPr>
        <xdr:cNvPr id="117" name="Ellipse 116"/>
        <xdr:cNvSpPr/>
      </xdr:nvSpPr>
      <xdr:spPr>
        <a:xfrm>
          <a:off x="5838825" y="3863975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34</xdr:col>
      <xdr:colOff>114300</xdr:colOff>
      <xdr:row>8</xdr:row>
      <xdr:rowOff>355600</xdr:rowOff>
    </xdr:from>
    <xdr:to>
      <xdr:col>35</xdr:col>
      <xdr:colOff>42400</xdr:colOff>
      <xdr:row>8</xdr:row>
      <xdr:rowOff>499600</xdr:rowOff>
    </xdr:to>
    <xdr:sp macro="" textlink="">
      <xdr:nvSpPr>
        <xdr:cNvPr id="118" name="Ellipse 117"/>
        <xdr:cNvSpPr/>
      </xdr:nvSpPr>
      <xdr:spPr>
        <a:xfrm>
          <a:off x="8248650" y="4394200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50</xdr:col>
      <xdr:colOff>114300</xdr:colOff>
      <xdr:row>7</xdr:row>
      <xdr:rowOff>342900</xdr:rowOff>
    </xdr:from>
    <xdr:to>
      <xdr:col>51</xdr:col>
      <xdr:colOff>42400</xdr:colOff>
      <xdr:row>7</xdr:row>
      <xdr:rowOff>486900</xdr:rowOff>
    </xdr:to>
    <xdr:sp macro="" textlink="">
      <xdr:nvSpPr>
        <xdr:cNvPr id="119" name="Ellipse 118"/>
        <xdr:cNvSpPr/>
      </xdr:nvSpPr>
      <xdr:spPr>
        <a:xfrm>
          <a:off x="11753850" y="3876675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44</xdr:col>
      <xdr:colOff>127000</xdr:colOff>
      <xdr:row>4</xdr:row>
      <xdr:rowOff>342900</xdr:rowOff>
    </xdr:from>
    <xdr:to>
      <xdr:col>45</xdr:col>
      <xdr:colOff>55100</xdr:colOff>
      <xdr:row>4</xdr:row>
      <xdr:rowOff>486900</xdr:rowOff>
    </xdr:to>
    <xdr:sp macro="" textlink="">
      <xdr:nvSpPr>
        <xdr:cNvPr id="120" name="Ellipse 119"/>
        <xdr:cNvSpPr/>
      </xdr:nvSpPr>
      <xdr:spPr>
        <a:xfrm>
          <a:off x="10452100" y="2362200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58</xdr:col>
      <xdr:colOff>114300</xdr:colOff>
      <xdr:row>3</xdr:row>
      <xdr:rowOff>342900</xdr:rowOff>
    </xdr:from>
    <xdr:to>
      <xdr:col>59</xdr:col>
      <xdr:colOff>42400</xdr:colOff>
      <xdr:row>3</xdr:row>
      <xdr:rowOff>486900</xdr:rowOff>
    </xdr:to>
    <xdr:sp macro="" textlink="">
      <xdr:nvSpPr>
        <xdr:cNvPr id="121" name="Ellipse 120"/>
        <xdr:cNvSpPr/>
      </xdr:nvSpPr>
      <xdr:spPr>
        <a:xfrm>
          <a:off x="13506450" y="1857375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17</xdr:col>
      <xdr:colOff>114300</xdr:colOff>
      <xdr:row>4</xdr:row>
      <xdr:rowOff>368300</xdr:rowOff>
    </xdr:from>
    <xdr:to>
      <xdr:col>18</xdr:col>
      <xdr:colOff>42400</xdr:colOff>
      <xdr:row>5</xdr:row>
      <xdr:rowOff>4300</xdr:rowOff>
    </xdr:to>
    <xdr:sp macro="" textlink="">
      <xdr:nvSpPr>
        <xdr:cNvPr id="122" name="Ellipse 121"/>
        <xdr:cNvSpPr/>
      </xdr:nvSpPr>
      <xdr:spPr>
        <a:xfrm>
          <a:off x="4524375" y="2387600"/>
          <a:ext cx="147175" cy="140825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31</xdr:col>
      <xdr:colOff>114300</xdr:colOff>
      <xdr:row>3</xdr:row>
      <xdr:rowOff>342900</xdr:rowOff>
    </xdr:from>
    <xdr:to>
      <xdr:col>32</xdr:col>
      <xdr:colOff>42400</xdr:colOff>
      <xdr:row>3</xdr:row>
      <xdr:rowOff>486900</xdr:rowOff>
    </xdr:to>
    <xdr:sp macro="" textlink="">
      <xdr:nvSpPr>
        <xdr:cNvPr id="123" name="Ellipse 122"/>
        <xdr:cNvSpPr/>
      </xdr:nvSpPr>
      <xdr:spPr>
        <a:xfrm>
          <a:off x="7591425" y="1857375"/>
          <a:ext cx="147175" cy="144000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6</xdr:col>
      <xdr:colOff>190500</xdr:colOff>
      <xdr:row>8</xdr:row>
      <xdr:rowOff>342900</xdr:rowOff>
    </xdr:from>
    <xdr:to>
      <xdr:col>7</xdr:col>
      <xdr:colOff>118600</xdr:colOff>
      <xdr:row>8</xdr:row>
      <xdr:rowOff>486900</xdr:rowOff>
    </xdr:to>
    <xdr:sp macro="" textlink="">
      <xdr:nvSpPr>
        <xdr:cNvPr id="136" name="Ellipse 135"/>
        <xdr:cNvSpPr/>
      </xdr:nvSpPr>
      <xdr:spPr>
        <a:xfrm>
          <a:off x="2190750" y="4381500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33</xdr:col>
      <xdr:colOff>203200</xdr:colOff>
      <xdr:row>8</xdr:row>
      <xdr:rowOff>355600</xdr:rowOff>
    </xdr:from>
    <xdr:to>
      <xdr:col>34</xdr:col>
      <xdr:colOff>131300</xdr:colOff>
      <xdr:row>8</xdr:row>
      <xdr:rowOff>499600</xdr:rowOff>
    </xdr:to>
    <xdr:sp macro="" textlink="">
      <xdr:nvSpPr>
        <xdr:cNvPr id="137" name="Ellipse 136"/>
        <xdr:cNvSpPr/>
      </xdr:nvSpPr>
      <xdr:spPr>
        <a:xfrm>
          <a:off x="8118475" y="4394200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49</xdr:col>
      <xdr:colOff>203200</xdr:colOff>
      <xdr:row>7</xdr:row>
      <xdr:rowOff>342900</xdr:rowOff>
    </xdr:from>
    <xdr:to>
      <xdr:col>50</xdr:col>
      <xdr:colOff>131300</xdr:colOff>
      <xdr:row>7</xdr:row>
      <xdr:rowOff>486900</xdr:rowOff>
    </xdr:to>
    <xdr:sp macro="" textlink="">
      <xdr:nvSpPr>
        <xdr:cNvPr id="138" name="Ellipse 137"/>
        <xdr:cNvSpPr/>
      </xdr:nvSpPr>
      <xdr:spPr>
        <a:xfrm>
          <a:off x="11623675" y="3876675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22</xdr:col>
      <xdr:colOff>203200</xdr:colOff>
      <xdr:row>7</xdr:row>
      <xdr:rowOff>330200</xdr:rowOff>
    </xdr:from>
    <xdr:to>
      <xdr:col>23</xdr:col>
      <xdr:colOff>131300</xdr:colOff>
      <xdr:row>7</xdr:row>
      <xdr:rowOff>474200</xdr:rowOff>
    </xdr:to>
    <xdr:sp macro="" textlink="">
      <xdr:nvSpPr>
        <xdr:cNvPr id="139" name="Ellipse 138"/>
        <xdr:cNvSpPr/>
      </xdr:nvSpPr>
      <xdr:spPr>
        <a:xfrm>
          <a:off x="5708650" y="3863975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16</xdr:col>
      <xdr:colOff>190500</xdr:colOff>
      <xdr:row>4</xdr:row>
      <xdr:rowOff>355600</xdr:rowOff>
    </xdr:from>
    <xdr:to>
      <xdr:col>17</xdr:col>
      <xdr:colOff>118600</xdr:colOff>
      <xdr:row>4</xdr:row>
      <xdr:rowOff>499600</xdr:rowOff>
    </xdr:to>
    <xdr:sp macro="" textlink="">
      <xdr:nvSpPr>
        <xdr:cNvPr id="140" name="Ellipse 139"/>
        <xdr:cNvSpPr/>
      </xdr:nvSpPr>
      <xdr:spPr>
        <a:xfrm>
          <a:off x="4381500" y="2374900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43</xdr:col>
      <xdr:colOff>190500</xdr:colOff>
      <xdr:row>4</xdr:row>
      <xdr:rowOff>342900</xdr:rowOff>
    </xdr:from>
    <xdr:to>
      <xdr:col>44</xdr:col>
      <xdr:colOff>118600</xdr:colOff>
      <xdr:row>4</xdr:row>
      <xdr:rowOff>486900</xdr:rowOff>
    </xdr:to>
    <xdr:sp macro="" textlink="">
      <xdr:nvSpPr>
        <xdr:cNvPr id="141" name="Ellipse 140"/>
        <xdr:cNvSpPr/>
      </xdr:nvSpPr>
      <xdr:spPr>
        <a:xfrm>
          <a:off x="10296525" y="2362200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57</xdr:col>
      <xdr:colOff>190500</xdr:colOff>
      <xdr:row>3</xdr:row>
      <xdr:rowOff>342900</xdr:rowOff>
    </xdr:from>
    <xdr:to>
      <xdr:col>58</xdr:col>
      <xdr:colOff>118600</xdr:colOff>
      <xdr:row>3</xdr:row>
      <xdr:rowOff>486900</xdr:rowOff>
    </xdr:to>
    <xdr:sp macro="" textlink="">
      <xdr:nvSpPr>
        <xdr:cNvPr id="142" name="Ellipse 141"/>
        <xdr:cNvSpPr/>
      </xdr:nvSpPr>
      <xdr:spPr>
        <a:xfrm>
          <a:off x="13363575" y="1857375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30</xdr:col>
      <xdr:colOff>190500</xdr:colOff>
      <xdr:row>3</xdr:row>
      <xdr:rowOff>342900</xdr:rowOff>
    </xdr:from>
    <xdr:to>
      <xdr:col>31</xdr:col>
      <xdr:colOff>118600</xdr:colOff>
      <xdr:row>3</xdr:row>
      <xdr:rowOff>486900</xdr:rowOff>
    </xdr:to>
    <xdr:sp macro="" textlink="">
      <xdr:nvSpPr>
        <xdr:cNvPr id="143" name="Ellipse 142"/>
        <xdr:cNvSpPr/>
      </xdr:nvSpPr>
      <xdr:spPr>
        <a:xfrm>
          <a:off x="7448550" y="1857375"/>
          <a:ext cx="147175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8</xdr:col>
      <xdr:colOff>38100</xdr:colOff>
      <xdr:row>6</xdr:row>
      <xdr:rowOff>342900</xdr:rowOff>
    </xdr:from>
    <xdr:to>
      <xdr:col>8</xdr:col>
      <xdr:colOff>182100</xdr:colOff>
      <xdr:row>6</xdr:row>
      <xdr:rowOff>486900</xdr:rowOff>
    </xdr:to>
    <xdr:sp macro="" textlink="">
      <xdr:nvSpPr>
        <xdr:cNvPr id="156" name="Ellipse 155"/>
        <xdr:cNvSpPr/>
      </xdr:nvSpPr>
      <xdr:spPr>
        <a:xfrm>
          <a:off x="2476500" y="33718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23</xdr:col>
      <xdr:colOff>38100</xdr:colOff>
      <xdr:row>6</xdr:row>
      <xdr:rowOff>342900</xdr:rowOff>
    </xdr:from>
    <xdr:to>
      <xdr:col>23</xdr:col>
      <xdr:colOff>182100</xdr:colOff>
      <xdr:row>6</xdr:row>
      <xdr:rowOff>486900</xdr:rowOff>
    </xdr:to>
    <xdr:sp macro="" textlink="">
      <xdr:nvSpPr>
        <xdr:cNvPr id="157" name="Ellipse 156"/>
        <xdr:cNvSpPr/>
      </xdr:nvSpPr>
      <xdr:spPr>
        <a:xfrm>
          <a:off x="5762625" y="33718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35</xdr:col>
      <xdr:colOff>50800</xdr:colOff>
      <xdr:row>6</xdr:row>
      <xdr:rowOff>342900</xdr:rowOff>
    </xdr:from>
    <xdr:to>
      <xdr:col>35</xdr:col>
      <xdr:colOff>194800</xdr:colOff>
      <xdr:row>6</xdr:row>
      <xdr:rowOff>486900</xdr:rowOff>
    </xdr:to>
    <xdr:sp macro="" textlink="">
      <xdr:nvSpPr>
        <xdr:cNvPr id="158" name="Ellipse 157"/>
        <xdr:cNvSpPr/>
      </xdr:nvSpPr>
      <xdr:spPr>
        <a:xfrm>
          <a:off x="8404225" y="33718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50</xdr:col>
      <xdr:colOff>50800</xdr:colOff>
      <xdr:row>6</xdr:row>
      <xdr:rowOff>342900</xdr:rowOff>
    </xdr:from>
    <xdr:to>
      <xdr:col>50</xdr:col>
      <xdr:colOff>194800</xdr:colOff>
      <xdr:row>6</xdr:row>
      <xdr:rowOff>486900</xdr:rowOff>
    </xdr:to>
    <xdr:sp macro="" textlink="">
      <xdr:nvSpPr>
        <xdr:cNvPr id="159" name="Ellipse 158"/>
        <xdr:cNvSpPr/>
      </xdr:nvSpPr>
      <xdr:spPr>
        <a:xfrm>
          <a:off x="11690350" y="33718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8</xdr:col>
      <xdr:colOff>38100</xdr:colOff>
      <xdr:row>2</xdr:row>
      <xdr:rowOff>342900</xdr:rowOff>
    </xdr:from>
    <xdr:to>
      <xdr:col>8</xdr:col>
      <xdr:colOff>182100</xdr:colOff>
      <xdr:row>2</xdr:row>
      <xdr:rowOff>486900</xdr:rowOff>
    </xdr:to>
    <xdr:sp macro="" textlink="">
      <xdr:nvSpPr>
        <xdr:cNvPr id="160" name="Ellipse 159"/>
        <xdr:cNvSpPr/>
      </xdr:nvSpPr>
      <xdr:spPr>
        <a:xfrm>
          <a:off x="2476500" y="13525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14</xdr:col>
      <xdr:colOff>38100</xdr:colOff>
      <xdr:row>1</xdr:row>
      <xdr:rowOff>368300</xdr:rowOff>
    </xdr:from>
    <xdr:to>
      <xdr:col>14</xdr:col>
      <xdr:colOff>182100</xdr:colOff>
      <xdr:row>2</xdr:row>
      <xdr:rowOff>4300</xdr:rowOff>
    </xdr:to>
    <xdr:sp macro="" textlink="">
      <xdr:nvSpPr>
        <xdr:cNvPr id="161" name="Ellipse 160"/>
        <xdr:cNvSpPr/>
      </xdr:nvSpPr>
      <xdr:spPr>
        <a:xfrm>
          <a:off x="3790950" y="873125"/>
          <a:ext cx="144000" cy="140825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41</xdr:col>
      <xdr:colOff>38100</xdr:colOff>
      <xdr:row>1</xdr:row>
      <xdr:rowOff>355600</xdr:rowOff>
    </xdr:from>
    <xdr:to>
      <xdr:col>41</xdr:col>
      <xdr:colOff>182100</xdr:colOff>
      <xdr:row>1</xdr:row>
      <xdr:rowOff>499600</xdr:rowOff>
    </xdr:to>
    <xdr:sp macro="" textlink="">
      <xdr:nvSpPr>
        <xdr:cNvPr id="162" name="Ellipse 161"/>
        <xdr:cNvSpPr/>
      </xdr:nvSpPr>
      <xdr:spPr>
        <a:xfrm>
          <a:off x="9705975" y="860425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35</xdr:col>
      <xdr:colOff>38100</xdr:colOff>
      <xdr:row>2</xdr:row>
      <xdr:rowOff>342900</xdr:rowOff>
    </xdr:from>
    <xdr:to>
      <xdr:col>35</xdr:col>
      <xdr:colOff>182100</xdr:colOff>
      <xdr:row>2</xdr:row>
      <xdr:rowOff>486900</xdr:rowOff>
    </xdr:to>
    <xdr:sp macro="" textlink="">
      <xdr:nvSpPr>
        <xdr:cNvPr id="163" name="Ellipse 162"/>
        <xdr:cNvSpPr/>
      </xdr:nvSpPr>
      <xdr:spPr>
        <a:xfrm>
          <a:off x="8391525" y="1352550"/>
          <a:ext cx="144000" cy="144000"/>
        </a:xfrm>
        <a:prstGeom prst="ellipse">
          <a:avLst/>
        </a:prstGeom>
        <a:solidFill>
          <a:srgbClr val="66FF6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nn&#233;es%20exp&#233;rimentales%202010_2011_Md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cole agronomique"/>
      <sheetName val="Plan d'accès"/>
      <sheetName val="Plan de masse"/>
      <sheetName val="Liste Génotypes"/>
      <sheetName val="Plan détail"/>
      <sheetName val="Suivi cultural"/>
      <sheetName val="Données corrigées V4"/>
      <sheetName val="Graphes"/>
      <sheetName val="Humidité et Température Sol"/>
      <sheetName val="METEO_STATION"/>
      <sheetName val="Reliquat azote semis"/>
      <sheetName val="Reliquat azote sortie hiver"/>
      <sheetName val="Reliquat azote récolte"/>
      <sheetName val="INN %N"/>
      <sheetName val="INN  re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S2">
            <v>40429</v>
          </cell>
          <cell r="T2" t="str">
            <v>NA</v>
          </cell>
          <cell r="U2" t="str">
            <v>NA</v>
          </cell>
          <cell r="V2" t="str">
            <v>NA</v>
          </cell>
          <cell r="W2" t="str">
            <v>NA</v>
          </cell>
          <cell r="X2">
            <v>1.8</v>
          </cell>
          <cell r="Y2">
            <v>18.2</v>
          </cell>
        </row>
        <row r="3">
          <cell r="S3">
            <v>40430</v>
          </cell>
          <cell r="T3" t="str">
            <v>NA</v>
          </cell>
          <cell r="U3" t="str">
            <v>NA</v>
          </cell>
          <cell r="V3" t="str">
            <v>NA</v>
          </cell>
          <cell r="W3" t="str">
            <v>NA</v>
          </cell>
          <cell r="X3">
            <v>0.2</v>
          </cell>
          <cell r="Y3">
            <v>18.5</v>
          </cell>
        </row>
        <row r="4">
          <cell r="S4">
            <v>40431</v>
          </cell>
          <cell r="T4" t="str">
            <v>NA</v>
          </cell>
          <cell r="U4" t="str">
            <v>NA</v>
          </cell>
          <cell r="V4" t="str">
            <v>NA</v>
          </cell>
          <cell r="W4" t="str">
            <v>NA</v>
          </cell>
          <cell r="X4">
            <v>0</v>
          </cell>
          <cell r="Y4">
            <v>19.399999999999999</v>
          </cell>
        </row>
        <row r="5">
          <cell r="S5">
            <v>40432</v>
          </cell>
          <cell r="T5" t="str">
            <v>NA</v>
          </cell>
          <cell r="U5" t="str">
            <v>NA</v>
          </cell>
          <cell r="V5" t="str">
            <v>NA</v>
          </cell>
          <cell r="W5" t="str">
            <v>NA</v>
          </cell>
          <cell r="X5">
            <v>0</v>
          </cell>
          <cell r="Y5">
            <v>20.9</v>
          </cell>
        </row>
        <row r="6">
          <cell r="S6">
            <v>40433</v>
          </cell>
          <cell r="T6" t="str">
            <v>NA</v>
          </cell>
          <cell r="U6" t="str">
            <v>NA</v>
          </cell>
          <cell r="V6" t="str">
            <v>NA</v>
          </cell>
          <cell r="W6" t="str">
            <v>NA</v>
          </cell>
          <cell r="X6">
            <v>0</v>
          </cell>
          <cell r="Y6">
            <v>21.1</v>
          </cell>
        </row>
        <row r="7">
          <cell r="S7">
            <v>40434</v>
          </cell>
          <cell r="T7" t="str">
            <v>NA</v>
          </cell>
          <cell r="U7" t="str">
            <v>NA</v>
          </cell>
          <cell r="V7" t="str">
            <v>NA</v>
          </cell>
          <cell r="W7" t="str">
            <v>NA</v>
          </cell>
          <cell r="X7">
            <v>0</v>
          </cell>
          <cell r="Y7">
            <v>19.100000000000001</v>
          </cell>
        </row>
        <row r="8">
          <cell r="S8">
            <v>40435</v>
          </cell>
          <cell r="T8" t="str">
            <v>NA</v>
          </cell>
          <cell r="U8" t="str">
            <v>NA</v>
          </cell>
          <cell r="V8" t="str">
            <v>NA</v>
          </cell>
          <cell r="W8" t="str">
            <v>NA</v>
          </cell>
          <cell r="X8">
            <v>0</v>
          </cell>
          <cell r="Y8">
            <v>18.899999999999999</v>
          </cell>
        </row>
        <row r="9">
          <cell r="S9">
            <v>40436</v>
          </cell>
          <cell r="T9" t="str">
            <v>NA</v>
          </cell>
          <cell r="U9" t="str">
            <v>NA</v>
          </cell>
          <cell r="V9" t="str">
            <v>NA</v>
          </cell>
          <cell r="W9" t="str">
            <v>NA</v>
          </cell>
          <cell r="X9">
            <v>0</v>
          </cell>
          <cell r="Y9">
            <v>20.7</v>
          </cell>
        </row>
        <row r="10">
          <cell r="S10">
            <v>40437</v>
          </cell>
          <cell r="T10" t="str">
            <v>NA</v>
          </cell>
          <cell r="U10" t="str">
            <v>NA</v>
          </cell>
          <cell r="V10" t="str">
            <v>NA</v>
          </cell>
          <cell r="W10" t="str">
            <v>NA</v>
          </cell>
          <cell r="X10">
            <v>3.6</v>
          </cell>
          <cell r="Y10">
            <v>16.100000000000001</v>
          </cell>
        </row>
        <row r="11">
          <cell r="S11">
            <v>40438</v>
          </cell>
          <cell r="T11" t="str">
            <v>NA</v>
          </cell>
          <cell r="U11" t="str">
            <v>NA</v>
          </cell>
          <cell r="V11" t="str">
            <v>NA</v>
          </cell>
          <cell r="W11" t="str">
            <v>NA</v>
          </cell>
          <cell r="X11">
            <v>3.8</v>
          </cell>
          <cell r="Y11">
            <v>17.399999999999999</v>
          </cell>
        </row>
        <row r="12">
          <cell r="S12">
            <v>40439</v>
          </cell>
          <cell r="T12" t="str">
            <v>NA</v>
          </cell>
          <cell r="U12" t="str">
            <v>NA</v>
          </cell>
          <cell r="V12" t="str">
            <v>NA</v>
          </cell>
          <cell r="W12" t="str">
            <v>NA</v>
          </cell>
          <cell r="X12">
            <v>0.4</v>
          </cell>
          <cell r="Y12">
            <v>16.3</v>
          </cell>
        </row>
        <row r="13">
          <cell r="S13">
            <v>40440</v>
          </cell>
          <cell r="T13" t="str">
            <v>NA</v>
          </cell>
          <cell r="U13" t="str">
            <v>NA</v>
          </cell>
          <cell r="V13" t="str">
            <v>NA</v>
          </cell>
          <cell r="W13" t="str">
            <v>NA</v>
          </cell>
          <cell r="X13">
            <v>0</v>
          </cell>
          <cell r="Y13">
            <v>15.4</v>
          </cell>
        </row>
        <row r="14">
          <cell r="S14">
            <v>40441</v>
          </cell>
          <cell r="T14" t="str">
            <v>NA</v>
          </cell>
          <cell r="U14" t="str">
            <v>NA</v>
          </cell>
          <cell r="V14" t="str">
            <v>NA</v>
          </cell>
          <cell r="W14" t="str">
            <v>NA</v>
          </cell>
          <cell r="X14">
            <v>0</v>
          </cell>
          <cell r="Y14">
            <v>18</v>
          </cell>
        </row>
        <row r="15">
          <cell r="S15">
            <v>40442</v>
          </cell>
          <cell r="T15" t="str">
            <v>NA</v>
          </cell>
          <cell r="U15" t="str">
            <v>NA</v>
          </cell>
          <cell r="V15" t="str">
            <v>NA</v>
          </cell>
          <cell r="W15" t="str">
            <v>NA</v>
          </cell>
          <cell r="X15">
            <v>0</v>
          </cell>
          <cell r="Y15">
            <v>19.399999999999999</v>
          </cell>
        </row>
        <row r="16">
          <cell r="S16">
            <v>40443</v>
          </cell>
          <cell r="T16" t="str">
            <v>NA</v>
          </cell>
          <cell r="U16" t="str">
            <v>NA</v>
          </cell>
          <cell r="V16" t="str">
            <v>NA</v>
          </cell>
          <cell r="W16" t="str">
            <v>NA</v>
          </cell>
          <cell r="X16">
            <v>0</v>
          </cell>
          <cell r="Y16">
            <v>21.2</v>
          </cell>
        </row>
        <row r="17">
          <cell r="S17">
            <v>40444</v>
          </cell>
          <cell r="T17" t="str">
            <v>NA</v>
          </cell>
          <cell r="U17" t="str">
            <v>NA</v>
          </cell>
          <cell r="V17" t="str">
            <v>NA</v>
          </cell>
          <cell r="W17" t="str">
            <v>NA</v>
          </cell>
          <cell r="X17">
            <v>10.3</v>
          </cell>
          <cell r="Y17">
            <v>19.7</v>
          </cell>
        </row>
        <row r="18">
          <cell r="S18">
            <v>40445</v>
          </cell>
          <cell r="T18" t="str">
            <v>NA</v>
          </cell>
          <cell r="U18" t="str">
            <v>NA</v>
          </cell>
          <cell r="V18" t="str">
            <v>NA</v>
          </cell>
          <cell r="W18" t="str">
            <v>NA</v>
          </cell>
          <cell r="X18">
            <v>6.4</v>
          </cell>
          <cell r="Y18">
            <v>16.3</v>
          </cell>
        </row>
        <row r="19">
          <cell r="S19">
            <v>40446</v>
          </cell>
          <cell r="T19" t="str">
            <v>NA</v>
          </cell>
          <cell r="U19" t="str">
            <v>NA</v>
          </cell>
          <cell r="V19" t="str">
            <v>NA</v>
          </cell>
          <cell r="W19" t="str">
            <v>NA</v>
          </cell>
          <cell r="X19">
            <v>0</v>
          </cell>
          <cell r="Y19">
            <v>14.9</v>
          </cell>
        </row>
        <row r="20">
          <cell r="S20">
            <v>40447</v>
          </cell>
          <cell r="T20" t="str">
            <v>NA</v>
          </cell>
          <cell r="U20" t="str">
            <v>NA</v>
          </cell>
          <cell r="V20" t="str">
            <v>NA</v>
          </cell>
          <cell r="W20" t="str">
            <v>NA</v>
          </cell>
          <cell r="X20">
            <v>0</v>
          </cell>
          <cell r="Y20">
            <v>12.7</v>
          </cell>
        </row>
        <row r="21">
          <cell r="S21">
            <v>40448</v>
          </cell>
          <cell r="T21" t="str">
            <v>NA</v>
          </cell>
          <cell r="U21" t="str">
            <v>NA</v>
          </cell>
          <cell r="V21" t="str">
            <v>NA</v>
          </cell>
          <cell r="W21" t="str">
            <v>NA</v>
          </cell>
          <cell r="X21">
            <v>0</v>
          </cell>
          <cell r="Y21">
            <v>12.5</v>
          </cell>
        </row>
        <row r="22">
          <cell r="S22">
            <v>40449</v>
          </cell>
          <cell r="T22" t="str">
            <v>NA</v>
          </cell>
          <cell r="U22" t="str">
            <v>NA</v>
          </cell>
          <cell r="V22" t="str">
            <v>NA</v>
          </cell>
          <cell r="W22" t="str">
            <v>NA</v>
          </cell>
          <cell r="X22">
            <v>0</v>
          </cell>
          <cell r="Y22">
            <v>13.9</v>
          </cell>
        </row>
        <row r="23">
          <cell r="S23">
            <v>40450</v>
          </cell>
          <cell r="T23" t="str">
            <v>NA</v>
          </cell>
          <cell r="U23" t="str">
            <v>NA</v>
          </cell>
          <cell r="V23" t="str">
            <v>NA</v>
          </cell>
          <cell r="W23" t="str">
            <v>NA</v>
          </cell>
          <cell r="X23">
            <v>0</v>
          </cell>
          <cell r="Y23">
            <v>14.3</v>
          </cell>
        </row>
        <row r="24">
          <cell r="S24">
            <v>40451</v>
          </cell>
          <cell r="T24" t="str">
            <v>NA</v>
          </cell>
          <cell r="U24" t="str">
            <v>NA</v>
          </cell>
          <cell r="V24" t="str">
            <v>NA</v>
          </cell>
          <cell r="W24" t="str">
            <v>NA</v>
          </cell>
          <cell r="X24">
            <v>0</v>
          </cell>
          <cell r="Y24">
            <v>14.2</v>
          </cell>
        </row>
        <row r="25">
          <cell r="S25">
            <v>40452</v>
          </cell>
          <cell r="T25" t="str">
            <v>NA</v>
          </cell>
          <cell r="U25" t="str">
            <v>NA</v>
          </cell>
          <cell r="V25" t="str">
            <v>NA</v>
          </cell>
          <cell r="W25" t="str">
            <v>NA</v>
          </cell>
          <cell r="X25">
            <v>0.2</v>
          </cell>
          <cell r="Y25">
            <v>16.100000000000001</v>
          </cell>
        </row>
        <row r="26">
          <cell r="S26">
            <v>40453</v>
          </cell>
          <cell r="T26" t="str">
            <v>NA</v>
          </cell>
          <cell r="U26" t="str">
            <v>NA</v>
          </cell>
          <cell r="V26" t="str">
            <v>NA</v>
          </cell>
          <cell r="W26" t="str">
            <v>NA</v>
          </cell>
          <cell r="X26">
            <v>0</v>
          </cell>
          <cell r="Y26">
            <v>18.3</v>
          </cell>
        </row>
        <row r="27">
          <cell r="S27">
            <v>40454</v>
          </cell>
          <cell r="T27" t="str">
            <v>NA</v>
          </cell>
          <cell r="U27" t="str">
            <v>NA</v>
          </cell>
          <cell r="V27" t="str">
            <v>NA</v>
          </cell>
          <cell r="W27" t="str">
            <v>NA</v>
          </cell>
          <cell r="X27">
            <v>0</v>
          </cell>
          <cell r="Y27">
            <v>21.5</v>
          </cell>
        </row>
        <row r="28">
          <cell r="S28">
            <v>40455</v>
          </cell>
          <cell r="T28" t="str">
            <v>NA</v>
          </cell>
          <cell r="U28" t="str">
            <v>NA</v>
          </cell>
          <cell r="V28" t="str">
            <v>NA</v>
          </cell>
          <cell r="W28" t="str">
            <v>NA</v>
          </cell>
          <cell r="X28">
            <v>2.6</v>
          </cell>
          <cell r="Y28">
            <v>16.7</v>
          </cell>
        </row>
        <row r="29">
          <cell r="S29">
            <v>40456</v>
          </cell>
          <cell r="T29" t="str">
            <v>NA</v>
          </cell>
          <cell r="U29" t="str">
            <v>NA</v>
          </cell>
          <cell r="V29" t="str">
            <v>NA</v>
          </cell>
          <cell r="W29" t="str">
            <v>NA</v>
          </cell>
          <cell r="X29">
            <v>0</v>
          </cell>
          <cell r="Y29">
            <v>17.3</v>
          </cell>
        </row>
        <row r="30">
          <cell r="S30">
            <v>40457</v>
          </cell>
          <cell r="T30" t="str">
            <v>NA</v>
          </cell>
          <cell r="U30" t="str">
            <v>NA</v>
          </cell>
          <cell r="V30" t="str">
            <v>NA</v>
          </cell>
          <cell r="W30" t="str">
            <v>NA</v>
          </cell>
          <cell r="X30">
            <v>0</v>
          </cell>
          <cell r="Y30">
            <v>19.2</v>
          </cell>
        </row>
        <row r="31">
          <cell r="S31">
            <v>40458</v>
          </cell>
          <cell r="T31">
            <v>34.75</v>
          </cell>
          <cell r="U31">
            <v>32.549999999999997</v>
          </cell>
          <cell r="V31">
            <v>20.100000000000001</v>
          </cell>
          <cell r="W31">
            <v>8.9</v>
          </cell>
          <cell r="X31">
            <v>0</v>
          </cell>
          <cell r="Y31">
            <v>20</v>
          </cell>
        </row>
        <row r="32">
          <cell r="S32">
            <v>40459</v>
          </cell>
          <cell r="T32">
            <v>34.85</v>
          </cell>
          <cell r="U32">
            <v>33.166666666666664</v>
          </cell>
          <cell r="V32">
            <v>19.150000000000002</v>
          </cell>
          <cell r="W32">
            <v>18.25</v>
          </cell>
          <cell r="X32">
            <v>0</v>
          </cell>
          <cell r="Y32">
            <v>20.399999999999999</v>
          </cell>
        </row>
        <row r="33">
          <cell r="S33">
            <v>40460</v>
          </cell>
          <cell r="T33">
            <v>34.833333333333336</v>
          </cell>
          <cell r="U33">
            <v>33.4</v>
          </cell>
          <cell r="V33">
            <v>19.150000000000002</v>
          </cell>
          <cell r="W33">
            <v>18.466666666666665</v>
          </cell>
          <cell r="X33">
            <v>6.7</v>
          </cell>
          <cell r="Y33">
            <v>19.3</v>
          </cell>
        </row>
        <row r="34">
          <cell r="S34">
            <v>40461</v>
          </cell>
          <cell r="T34">
            <v>48.916666666666664</v>
          </cell>
          <cell r="U34">
            <v>45.566666666666663</v>
          </cell>
          <cell r="V34">
            <v>18.033333333333331</v>
          </cell>
          <cell r="W34">
            <v>18.25</v>
          </cell>
          <cell r="X34">
            <v>57.3</v>
          </cell>
          <cell r="Y34">
            <v>15.5</v>
          </cell>
        </row>
        <row r="35">
          <cell r="S35">
            <v>40462</v>
          </cell>
          <cell r="T35">
            <v>68.116666666666674</v>
          </cell>
          <cell r="U35">
            <v>69.699999999999989</v>
          </cell>
          <cell r="V35">
            <v>16.450000000000003</v>
          </cell>
          <cell r="W35">
            <v>17</v>
          </cell>
          <cell r="X35">
            <v>1</v>
          </cell>
          <cell r="Y35">
            <v>15.3</v>
          </cell>
        </row>
        <row r="36">
          <cell r="S36">
            <v>40463</v>
          </cell>
          <cell r="T36">
            <v>48.216666666666669</v>
          </cell>
          <cell r="U36">
            <v>62.816666666666663</v>
          </cell>
          <cell r="V36">
            <v>15.916666666666666</v>
          </cell>
          <cell r="W36">
            <v>16.333333333333332</v>
          </cell>
          <cell r="X36">
            <v>0</v>
          </cell>
          <cell r="Y36">
            <v>16.3</v>
          </cell>
        </row>
        <row r="37">
          <cell r="S37">
            <v>40464</v>
          </cell>
          <cell r="T37">
            <v>44.816666666666663</v>
          </cell>
          <cell r="U37">
            <v>47.583333333333336</v>
          </cell>
          <cell r="V37">
            <v>16.433333333333334</v>
          </cell>
          <cell r="W37">
            <v>16.399999999999999</v>
          </cell>
          <cell r="X37">
            <v>0</v>
          </cell>
          <cell r="Y37">
            <v>16</v>
          </cell>
        </row>
        <row r="38">
          <cell r="S38">
            <v>40465</v>
          </cell>
          <cell r="T38">
            <v>43.849999999999994</v>
          </cell>
          <cell r="U38">
            <v>45.93333333333333</v>
          </cell>
          <cell r="V38">
            <v>15.65</v>
          </cell>
          <cell r="W38">
            <v>16.200000000000003</v>
          </cell>
          <cell r="X38">
            <v>0.2</v>
          </cell>
          <cell r="Y38">
            <v>13.5</v>
          </cell>
        </row>
        <row r="39">
          <cell r="S39">
            <v>40466</v>
          </cell>
          <cell r="T39">
            <v>43.166666666666657</v>
          </cell>
          <cell r="U39">
            <v>45.15</v>
          </cell>
          <cell r="V39">
            <v>13.466666666666669</v>
          </cell>
          <cell r="W39">
            <v>15.116666666666667</v>
          </cell>
          <cell r="X39">
            <v>0</v>
          </cell>
          <cell r="Y39">
            <v>9.5</v>
          </cell>
        </row>
        <row r="40">
          <cell r="S40">
            <v>40467</v>
          </cell>
          <cell r="T40">
            <v>42.699999999999989</v>
          </cell>
          <cell r="U40">
            <v>44.666666666666664</v>
          </cell>
          <cell r="V40">
            <v>11.899999999999999</v>
          </cell>
          <cell r="W40">
            <v>13.866666666666667</v>
          </cell>
          <cell r="X40">
            <v>0.2</v>
          </cell>
          <cell r="Y40">
            <v>9.6999999999999993</v>
          </cell>
        </row>
        <row r="41">
          <cell r="S41">
            <v>40468</v>
          </cell>
          <cell r="T41">
            <v>42.333333333333336</v>
          </cell>
          <cell r="U41">
            <v>44.316666666666663</v>
          </cell>
          <cell r="V41">
            <v>11.916666666666666</v>
          </cell>
          <cell r="W41">
            <v>13.216666666666663</v>
          </cell>
          <cell r="X41">
            <v>0</v>
          </cell>
          <cell r="Y41">
            <v>9.1999999999999993</v>
          </cell>
        </row>
        <row r="42">
          <cell r="S42">
            <v>40469</v>
          </cell>
          <cell r="T42">
            <v>42.18333333333333</v>
          </cell>
          <cell r="U42">
            <v>43.966666666666669</v>
          </cell>
          <cell r="V42">
            <v>10.716666666666667</v>
          </cell>
          <cell r="W42">
            <v>12.549999999999999</v>
          </cell>
          <cell r="X42">
            <v>0</v>
          </cell>
          <cell r="Y42">
            <v>6.7</v>
          </cell>
        </row>
        <row r="43">
          <cell r="S43">
            <v>40470</v>
          </cell>
          <cell r="T43">
            <v>41.566666666666663</v>
          </cell>
          <cell r="U43">
            <v>43.716666666666669</v>
          </cell>
          <cell r="V43">
            <v>10.116666666666665</v>
          </cell>
          <cell r="W43">
            <v>11.683333333333335</v>
          </cell>
          <cell r="X43">
            <v>0</v>
          </cell>
          <cell r="Y43">
            <v>10.6</v>
          </cell>
        </row>
        <row r="44">
          <cell r="S44">
            <v>40471</v>
          </cell>
          <cell r="T44">
            <v>41.2</v>
          </cell>
          <cell r="U44">
            <v>43.483333333333327</v>
          </cell>
          <cell r="V44">
            <v>11.716666666666667</v>
          </cell>
          <cell r="W44">
            <v>12.183333333333332</v>
          </cell>
          <cell r="X44">
            <v>0.2</v>
          </cell>
          <cell r="Y44">
            <v>11.2</v>
          </cell>
        </row>
        <row r="45">
          <cell r="S45">
            <v>40472</v>
          </cell>
          <cell r="T45">
            <v>40.81666666666667</v>
          </cell>
          <cell r="U45">
            <v>43.233333333333327</v>
          </cell>
          <cell r="V45">
            <v>10.850000000000001</v>
          </cell>
          <cell r="W45">
            <v>12.083333333333334</v>
          </cell>
          <cell r="X45">
            <v>0</v>
          </cell>
          <cell r="Y45">
            <v>8.4</v>
          </cell>
        </row>
        <row r="46">
          <cell r="S46">
            <v>40473</v>
          </cell>
          <cell r="T46">
            <v>40.416666666666664</v>
          </cell>
          <cell r="U46">
            <v>43.016666666666673</v>
          </cell>
          <cell r="V46">
            <v>10.683333333333332</v>
          </cell>
          <cell r="W46">
            <v>11.733333333333333</v>
          </cell>
          <cell r="X46">
            <v>0</v>
          </cell>
          <cell r="Y46">
            <v>11.5</v>
          </cell>
        </row>
        <row r="47">
          <cell r="S47">
            <v>40474</v>
          </cell>
          <cell r="T47">
            <v>39.916666666666664</v>
          </cell>
          <cell r="U47">
            <v>42.800000000000004</v>
          </cell>
          <cell r="V47">
            <v>12.399999999999999</v>
          </cell>
          <cell r="W47">
            <v>12.266666666666666</v>
          </cell>
          <cell r="X47">
            <v>1.8</v>
          </cell>
          <cell r="Y47">
            <v>12.9</v>
          </cell>
        </row>
        <row r="48">
          <cell r="S48">
            <v>40475</v>
          </cell>
          <cell r="T48">
            <v>41.483333333333334</v>
          </cell>
          <cell r="U48">
            <v>43.116666666666667</v>
          </cell>
          <cell r="V48">
            <v>12.6</v>
          </cell>
          <cell r="W48">
            <v>12.833333333333334</v>
          </cell>
          <cell r="X48">
            <v>11.1</v>
          </cell>
          <cell r="Y48">
            <v>11.1</v>
          </cell>
        </row>
        <row r="49">
          <cell r="S49">
            <v>40476</v>
          </cell>
          <cell r="T49">
            <v>44.783333333333339</v>
          </cell>
          <cell r="U49">
            <v>44.449999999999996</v>
          </cell>
          <cell r="V49">
            <v>11.08333333333333</v>
          </cell>
          <cell r="W49">
            <v>12.300000000000002</v>
          </cell>
          <cell r="X49">
            <v>0</v>
          </cell>
          <cell r="Y49">
            <v>8.4</v>
          </cell>
        </row>
        <row r="50">
          <cell r="S50">
            <v>40477</v>
          </cell>
          <cell r="T50">
            <v>43.65</v>
          </cell>
          <cell r="U50">
            <v>43.85</v>
          </cell>
          <cell r="V50">
            <v>9.25</v>
          </cell>
          <cell r="W50">
            <v>11.050000000000002</v>
          </cell>
          <cell r="X50">
            <v>0</v>
          </cell>
          <cell r="Y50">
            <v>7.1</v>
          </cell>
        </row>
        <row r="51">
          <cell r="S51">
            <v>40478</v>
          </cell>
          <cell r="T51">
            <v>42.65</v>
          </cell>
          <cell r="U51">
            <v>43.400000000000006</v>
          </cell>
          <cell r="V51">
            <v>8.8833333333333329</v>
          </cell>
          <cell r="W51">
            <v>10.316666666666666</v>
          </cell>
          <cell r="X51">
            <v>0</v>
          </cell>
          <cell r="Y51">
            <v>7.5</v>
          </cell>
        </row>
        <row r="52">
          <cell r="S52">
            <v>40479</v>
          </cell>
          <cell r="T52">
            <v>42.199999999999996</v>
          </cell>
          <cell r="U52">
            <v>43.433333333333337</v>
          </cell>
          <cell r="V52">
            <v>9.7999999999999989</v>
          </cell>
          <cell r="W52">
            <v>10.499999999999998</v>
          </cell>
          <cell r="X52">
            <v>0</v>
          </cell>
          <cell r="Y52">
            <v>9.6</v>
          </cell>
        </row>
        <row r="53">
          <cell r="S53">
            <v>40480</v>
          </cell>
          <cell r="T53">
            <v>41.866666666666667</v>
          </cell>
          <cell r="U53">
            <v>43.316666666666663</v>
          </cell>
          <cell r="V53">
            <v>11.050000000000002</v>
          </cell>
          <cell r="W53">
            <v>11.083333333333334</v>
          </cell>
          <cell r="X53">
            <v>0</v>
          </cell>
          <cell r="Y53">
            <v>15.2</v>
          </cell>
        </row>
        <row r="54">
          <cell r="S54">
            <v>40481</v>
          </cell>
          <cell r="T54">
            <v>41.516666666666673</v>
          </cell>
          <cell r="U54">
            <v>43.233333333333341</v>
          </cell>
          <cell r="V54">
            <v>12.35</v>
          </cell>
          <cell r="W54">
            <v>11.916666666666666</v>
          </cell>
          <cell r="X54">
            <v>0</v>
          </cell>
          <cell r="Y54">
            <v>13.1</v>
          </cell>
        </row>
        <row r="55">
          <cell r="S55">
            <v>40482</v>
          </cell>
          <cell r="T55">
            <v>41.383333333333333</v>
          </cell>
          <cell r="U55">
            <v>43.033333333333331</v>
          </cell>
          <cell r="V55">
            <v>11.466666666666667</v>
          </cell>
          <cell r="W55">
            <v>11.933333333333332</v>
          </cell>
          <cell r="X55">
            <v>4.5999999999999996</v>
          </cell>
          <cell r="Y55">
            <v>10.9</v>
          </cell>
        </row>
        <row r="56">
          <cell r="S56">
            <v>40483</v>
          </cell>
          <cell r="T56">
            <v>42.416666666666664</v>
          </cell>
          <cell r="U56">
            <v>43.04999999999999</v>
          </cell>
          <cell r="V56">
            <v>11.716666666666667</v>
          </cell>
          <cell r="W56">
            <v>11.816666666666668</v>
          </cell>
          <cell r="X56">
            <v>4.5</v>
          </cell>
          <cell r="Y56">
            <v>12</v>
          </cell>
        </row>
        <row r="57">
          <cell r="S57">
            <v>40484</v>
          </cell>
          <cell r="T57">
            <v>43.116666666666667</v>
          </cell>
          <cell r="U57">
            <v>43.599999999999994</v>
          </cell>
          <cell r="V57">
            <v>12.15</v>
          </cell>
          <cell r="W57">
            <v>11.983333333333333</v>
          </cell>
          <cell r="X57">
            <v>0</v>
          </cell>
          <cell r="Y57">
            <v>12.9</v>
          </cell>
        </row>
        <row r="58">
          <cell r="S58">
            <v>40485</v>
          </cell>
          <cell r="T58">
            <v>42.85</v>
          </cell>
          <cell r="U58">
            <v>43.6</v>
          </cell>
          <cell r="V58">
            <v>12.833333333333334</v>
          </cell>
          <cell r="W58">
            <v>12.366666666666667</v>
          </cell>
          <cell r="X58">
            <v>0.8</v>
          </cell>
          <cell r="Y58">
            <v>14.5</v>
          </cell>
        </row>
        <row r="59">
          <cell r="S59">
            <v>40486</v>
          </cell>
          <cell r="T59">
            <v>42.716666666666661</v>
          </cell>
          <cell r="U59">
            <v>43.733333333333341</v>
          </cell>
          <cell r="V59">
            <v>13.600000000000001</v>
          </cell>
          <cell r="W59">
            <v>12.9</v>
          </cell>
          <cell r="X59">
            <v>0.8</v>
          </cell>
          <cell r="Y59">
            <v>14.2</v>
          </cell>
        </row>
        <row r="60">
          <cell r="S60">
            <v>40487</v>
          </cell>
          <cell r="T60">
            <v>42.533333333333331</v>
          </cell>
          <cell r="U60">
            <v>43.9</v>
          </cell>
          <cell r="V60">
            <v>13.899999999999999</v>
          </cell>
          <cell r="W60">
            <v>13.333333333333336</v>
          </cell>
          <cell r="X60">
            <v>0.2</v>
          </cell>
          <cell r="Y60">
            <v>14.6</v>
          </cell>
        </row>
        <row r="61">
          <cell r="S61">
            <v>40488</v>
          </cell>
          <cell r="T61">
            <v>42.466666666666669</v>
          </cell>
          <cell r="U61">
            <v>44</v>
          </cell>
          <cell r="V61">
            <v>13.983333333333334</v>
          </cell>
          <cell r="W61">
            <v>13.5</v>
          </cell>
          <cell r="X61">
            <v>0.4</v>
          </cell>
          <cell r="Y61">
            <v>14.1</v>
          </cell>
        </row>
        <row r="62">
          <cell r="S62">
            <v>40489</v>
          </cell>
          <cell r="T62">
            <v>42.35</v>
          </cell>
          <cell r="U62">
            <v>44.033333333333331</v>
          </cell>
          <cell r="V62">
            <v>13.216666666666667</v>
          </cell>
          <cell r="W62">
            <v>13.433333333333335</v>
          </cell>
          <cell r="X62">
            <v>3.4</v>
          </cell>
          <cell r="Y62">
            <v>9.9</v>
          </cell>
        </row>
        <row r="63">
          <cell r="S63">
            <v>40490</v>
          </cell>
          <cell r="T63">
            <v>42.43333333333333</v>
          </cell>
          <cell r="U63">
            <v>44.1</v>
          </cell>
          <cell r="V63">
            <v>10.683333333333332</v>
          </cell>
          <cell r="W63">
            <v>12.216666666666667</v>
          </cell>
          <cell r="X63">
            <v>8.4</v>
          </cell>
          <cell r="Y63">
            <v>7.9</v>
          </cell>
        </row>
        <row r="64">
          <cell r="S64">
            <v>40491</v>
          </cell>
          <cell r="T64">
            <v>45.233333333333341</v>
          </cell>
          <cell r="U64">
            <v>46.65</v>
          </cell>
          <cell r="V64">
            <v>10.466666666666667</v>
          </cell>
          <cell r="W64">
            <v>11.300000000000002</v>
          </cell>
          <cell r="X64">
            <v>1.4</v>
          </cell>
          <cell r="Y64">
            <v>10.5</v>
          </cell>
        </row>
        <row r="65">
          <cell r="S65">
            <v>40492</v>
          </cell>
          <cell r="T65">
            <v>44.683333333333337</v>
          </cell>
          <cell r="U65">
            <v>46.68333333333333</v>
          </cell>
          <cell r="V65">
            <v>10.333333333333334</v>
          </cell>
          <cell r="W65">
            <v>11.1</v>
          </cell>
          <cell r="X65">
            <v>5.2</v>
          </cell>
          <cell r="Y65">
            <v>9</v>
          </cell>
        </row>
        <row r="66">
          <cell r="S66">
            <v>40493</v>
          </cell>
          <cell r="T66">
            <v>44.79999999999999</v>
          </cell>
          <cell r="U66">
            <v>47.016666666666673</v>
          </cell>
          <cell r="V66">
            <v>9.6999999999999993</v>
          </cell>
          <cell r="W66">
            <v>10.65</v>
          </cell>
          <cell r="X66">
            <v>0.6</v>
          </cell>
          <cell r="Y66">
            <v>9.4</v>
          </cell>
        </row>
        <row r="67">
          <cell r="S67">
            <v>40494</v>
          </cell>
          <cell r="T67">
            <v>44.066666666666663</v>
          </cell>
          <cell r="U67">
            <v>46.166666666666664</v>
          </cell>
          <cell r="V67">
            <v>11.633333333333335</v>
          </cell>
          <cell r="W67">
            <v>11.066666666666665</v>
          </cell>
          <cell r="X67">
            <v>0.6</v>
          </cell>
          <cell r="Y67">
            <v>14.2</v>
          </cell>
        </row>
        <row r="68">
          <cell r="S68">
            <v>40495</v>
          </cell>
          <cell r="T68">
            <v>43.866666666666667</v>
          </cell>
          <cell r="U68">
            <v>45.68333333333333</v>
          </cell>
          <cell r="V68">
            <v>11.633333333333335</v>
          </cell>
          <cell r="W68">
            <v>11.633333333333333</v>
          </cell>
          <cell r="X68">
            <v>0.2</v>
          </cell>
          <cell r="Y68">
            <v>12.5</v>
          </cell>
        </row>
        <row r="69">
          <cell r="S69">
            <v>40496</v>
          </cell>
          <cell r="T69">
            <v>43.633333333333333</v>
          </cell>
          <cell r="U69">
            <v>45.433333333333337</v>
          </cell>
          <cell r="V69">
            <v>12.333333333333334</v>
          </cell>
          <cell r="W69">
            <v>11.916666666666666</v>
          </cell>
          <cell r="X69">
            <v>2.6</v>
          </cell>
          <cell r="Y69">
            <v>13.7</v>
          </cell>
        </row>
        <row r="70">
          <cell r="S70">
            <v>40497</v>
          </cell>
          <cell r="T70">
            <v>46.416666666666664</v>
          </cell>
          <cell r="U70">
            <v>48.283333333333324</v>
          </cell>
          <cell r="V70">
            <v>11.749999999999998</v>
          </cell>
          <cell r="W70">
            <v>12</v>
          </cell>
          <cell r="X70">
            <v>3</v>
          </cell>
          <cell r="Y70">
            <v>9.6</v>
          </cell>
        </row>
        <row r="71">
          <cell r="S71">
            <v>40498</v>
          </cell>
          <cell r="T71">
            <v>45.066666666666663</v>
          </cell>
          <cell r="U71">
            <v>47.54999999999999</v>
          </cell>
          <cell r="V71">
            <v>10.616666666666665</v>
          </cell>
          <cell r="W71">
            <v>11.433333333333335</v>
          </cell>
          <cell r="X71">
            <v>0</v>
          </cell>
          <cell r="Y71">
            <v>7.7</v>
          </cell>
        </row>
        <row r="72">
          <cell r="S72">
            <v>40499</v>
          </cell>
          <cell r="T72">
            <v>46.916666666666664</v>
          </cell>
          <cell r="U72">
            <v>50.716666666666661</v>
          </cell>
          <cell r="V72">
            <v>8.6</v>
          </cell>
          <cell r="W72">
            <v>10.416666666666666</v>
          </cell>
          <cell r="X72">
            <v>8.5</v>
          </cell>
          <cell r="Y72">
            <v>5</v>
          </cell>
        </row>
        <row r="73">
          <cell r="S73">
            <v>40500</v>
          </cell>
          <cell r="T73">
            <v>48.75</v>
          </cell>
          <cell r="U73">
            <v>62.833333333333336</v>
          </cell>
          <cell r="V73">
            <v>9.1166666666666671</v>
          </cell>
          <cell r="W73">
            <v>9.8666666666666654</v>
          </cell>
          <cell r="X73">
            <v>0</v>
          </cell>
          <cell r="Y73">
            <v>9</v>
          </cell>
        </row>
        <row r="74">
          <cell r="S74">
            <v>40501</v>
          </cell>
          <cell r="T74">
            <v>45.18333333333333</v>
          </cell>
          <cell r="U74">
            <v>48.199999999999996</v>
          </cell>
          <cell r="V74">
            <v>9.1</v>
          </cell>
          <cell r="W74">
            <v>9.8333333333333339</v>
          </cell>
          <cell r="X74">
            <v>0</v>
          </cell>
          <cell r="Y74">
            <v>8.4</v>
          </cell>
        </row>
        <row r="75">
          <cell r="S75">
            <v>40502</v>
          </cell>
          <cell r="T75">
            <v>44.816666666666663</v>
          </cell>
          <cell r="U75">
            <v>47.066666666666663</v>
          </cell>
          <cell r="V75">
            <v>9.3333333333333339</v>
          </cell>
          <cell r="W75">
            <v>9.8666666666666654</v>
          </cell>
          <cell r="X75">
            <v>1</v>
          </cell>
          <cell r="Y75">
            <v>8.9</v>
          </cell>
        </row>
        <row r="76">
          <cell r="S76">
            <v>40503</v>
          </cell>
          <cell r="T76">
            <v>44.716666666666669</v>
          </cell>
          <cell r="U76">
            <v>46.816666666666663</v>
          </cell>
          <cell r="V76">
            <v>9.3500000000000014</v>
          </cell>
          <cell r="W76">
            <v>9.8666666666666654</v>
          </cell>
          <cell r="X76">
            <v>12.1</v>
          </cell>
          <cell r="Y76">
            <v>8</v>
          </cell>
        </row>
        <row r="77">
          <cell r="S77">
            <v>40504</v>
          </cell>
          <cell r="T77">
            <v>62.45000000000001</v>
          </cell>
          <cell r="U77">
            <v>69.099999999999994</v>
          </cell>
          <cell r="V77">
            <v>9.3166666666666664</v>
          </cell>
          <cell r="W77">
            <v>9.8333333333333339</v>
          </cell>
          <cell r="X77">
            <v>0.8</v>
          </cell>
          <cell r="Y77">
            <v>7.7</v>
          </cell>
        </row>
        <row r="78">
          <cell r="S78">
            <v>40505</v>
          </cell>
          <cell r="T78">
            <v>46.75</v>
          </cell>
          <cell r="U78">
            <v>51.083333333333336</v>
          </cell>
          <cell r="V78">
            <v>8.7666666666666657</v>
          </cell>
          <cell r="W78">
            <v>9.5333333333333332</v>
          </cell>
          <cell r="X78">
            <v>0</v>
          </cell>
          <cell r="Y78">
            <v>6.2</v>
          </cell>
        </row>
        <row r="79">
          <cell r="S79">
            <v>40506</v>
          </cell>
          <cell r="T79">
            <v>45.883333333333333</v>
          </cell>
          <cell r="U79">
            <v>48.566666666666663</v>
          </cell>
          <cell r="V79">
            <v>7.3833333333333337</v>
          </cell>
          <cell r="W79">
            <v>8.9</v>
          </cell>
          <cell r="X79">
            <v>0</v>
          </cell>
          <cell r="Y79">
            <v>2.9</v>
          </cell>
        </row>
        <row r="80">
          <cell r="S80">
            <v>40507</v>
          </cell>
          <cell r="T80">
            <v>45.383333333333333</v>
          </cell>
          <cell r="U80">
            <v>47.949999999999996</v>
          </cell>
          <cell r="V80">
            <v>7</v>
          </cell>
          <cell r="W80">
            <v>8.2666666666666657</v>
          </cell>
          <cell r="X80">
            <v>2.4</v>
          </cell>
          <cell r="Y80">
            <v>4.7</v>
          </cell>
        </row>
        <row r="81">
          <cell r="S81">
            <v>40508</v>
          </cell>
          <cell r="T81">
            <v>45.550000000000004</v>
          </cell>
          <cell r="U81">
            <v>47.75</v>
          </cell>
          <cell r="V81">
            <v>6.583333333333333</v>
          </cell>
          <cell r="W81">
            <v>7.916666666666667</v>
          </cell>
          <cell r="X81">
            <v>0</v>
          </cell>
          <cell r="Y81">
            <v>2.7</v>
          </cell>
        </row>
        <row r="82">
          <cell r="S82">
            <v>40509</v>
          </cell>
          <cell r="T82">
            <v>45.366666666666667</v>
          </cell>
          <cell r="U82">
            <v>47.800000000000004</v>
          </cell>
          <cell r="V82">
            <v>5.2833333333333341</v>
          </cell>
          <cell r="W82">
            <v>7.1833333333333327</v>
          </cell>
          <cell r="X82">
            <v>1.6</v>
          </cell>
          <cell r="Y82">
            <v>2</v>
          </cell>
        </row>
        <row r="83">
          <cell r="S83">
            <v>40510</v>
          </cell>
          <cell r="T83">
            <v>45.266666666666659</v>
          </cell>
          <cell r="U83">
            <v>47.366666666666667</v>
          </cell>
          <cell r="V83">
            <v>5.166666666666667</v>
          </cell>
          <cell r="W83">
            <v>6.6833333333333336</v>
          </cell>
          <cell r="X83">
            <v>0</v>
          </cell>
          <cell r="Y83">
            <v>2.5</v>
          </cell>
        </row>
        <row r="84">
          <cell r="S84">
            <v>40511</v>
          </cell>
          <cell r="T84">
            <v>45.183333333333337</v>
          </cell>
          <cell r="U84">
            <v>47.249999999999993</v>
          </cell>
          <cell r="V84">
            <v>4.8666666666666663</v>
          </cell>
          <cell r="W84">
            <v>6.3833333333333337</v>
          </cell>
          <cell r="X84">
            <v>0</v>
          </cell>
          <cell r="Y84">
            <v>3</v>
          </cell>
        </row>
        <row r="85">
          <cell r="S85">
            <v>40512</v>
          </cell>
          <cell r="T85">
            <v>45.016666666666673</v>
          </cell>
          <cell r="U85">
            <v>47.083333333333336</v>
          </cell>
          <cell r="V85">
            <v>5.1166666666666663</v>
          </cell>
          <cell r="W85">
            <v>6.2166666666666677</v>
          </cell>
          <cell r="X85">
            <v>0</v>
          </cell>
          <cell r="Y85">
            <v>5.2</v>
          </cell>
        </row>
        <row r="86">
          <cell r="S86">
            <v>40513</v>
          </cell>
          <cell r="T86">
            <v>44.866666666666667</v>
          </cell>
          <cell r="U86">
            <v>46.883333333333333</v>
          </cell>
          <cell r="V86">
            <v>5.2166666666666668</v>
          </cell>
          <cell r="W86">
            <v>6.3833333333333329</v>
          </cell>
          <cell r="X86">
            <v>0</v>
          </cell>
          <cell r="Y86">
            <v>1.7</v>
          </cell>
        </row>
        <row r="87">
          <cell r="S87">
            <v>40514</v>
          </cell>
          <cell r="T87">
            <v>45.25</v>
          </cell>
          <cell r="U87">
            <v>46.966666666666669</v>
          </cell>
          <cell r="V87">
            <v>4.2833333333333332</v>
          </cell>
          <cell r="W87">
            <v>5.833333333333333</v>
          </cell>
          <cell r="X87">
            <v>0.4</v>
          </cell>
          <cell r="Y87">
            <v>1.4</v>
          </cell>
        </row>
        <row r="88">
          <cell r="S88">
            <v>40515</v>
          </cell>
          <cell r="T88">
            <v>44.833333333333343</v>
          </cell>
          <cell r="U88">
            <v>46.766666666666659</v>
          </cell>
          <cell r="V88">
            <v>4.2833333333333332</v>
          </cell>
          <cell r="W88">
            <v>5.6000000000000005</v>
          </cell>
          <cell r="X88">
            <v>0.6</v>
          </cell>
          <cell r="Y88">
            <v>1.8</v>
          </cell>
        </row>
        <row r="89">
          <cell r="S89">
            <v>40516</v>
          </cell>
          <cell r="T89">
            <v>44.916666666666679</v>
          </cell>
          <cell r="U89">
            <v>46.683333333333337</v>
          </cell>
          <cell r="V89">
            <v>4.0666666666666664</v>
          </cell>
          <cell r="W89">
            <v>5.3166666666666664</v>
          </cell>
          <cell r="X89">
            <v>0.2</v>
          </cell>
          <cell r="Y89">
            <v>2.5</v>
          </cell>
        </row>
        <row r="90">
          <cell r="S90">
            <v>40517</v>
          </cell>
          <cell r="T90">
            <v>44.550000000000004</v>
          </cell>
          <cell r="U90">
            <v>46.65</v>
          </cell>
          <cell r="V90">
            <v>4.9333333333333327</v>
          </cell>
          <cell r="W90">
            <v>5.5166666666666666</v>
          </cell>
          <cell r="X90">
            <v>0.4</v>
          </cell>
          <cell r="Y90">
            <v>8.4</v>
          </cell>
        </row>
        <row r="91">
          <cell r="S91">
            <v>40518</v>
          </cell>
          <cell r="T91">
            <v>44.449999999999996</v>
          </cell>
          <cell r="U91">
            <v>46.116666666666667</v>
          </cell>
          <cell r="V91">
            <v>7.333333333333333</v>
          </cell>
          <cell r="W91">
            <v>6.5500000000000007</v>
          </cell>
          <cell r="X91">
            <v>0.8</v>
          </cell>
          <cell r="Y91">
            <v>11.2</v>
          </cell>
        </row>
        <row r="92">
          <cell r="S92">
            <v>40519</v>
          </cell>
          <cell r="T92">
            <v>44.416666666666664</v>
          </cell>
          <cell r="U92">
            <v>46.033333333333331</v>
          </cell>
          <cell r="V92">
            <v>8.8666666666666671</v>
          </cell>
          <cell r="W92">
            <v>7.7833333333333341</v>
          </cell>
          <cell r="X92">
            <v>0.2</v>
          </cell>
          <cell r="Y92">
            <v>12</v>
          </cell>
        </row>
        <row r="93">
          <cell r="S93">
            <v>40520</v>
          </cell>
          <cell r="T93">
            <v>44.300000000000004</v>
          </cell>
          <cell r="U93">
            <v>46</v>
          </cell>
          <cell r="V93">
            <v>9.85</v>
          </cell>
          <cell r="W93">
            <v>8.75</v>
          </cell>
          <cell r="X93">
            <v>0</v>
          </cell>
          <cell r="Y93">
            <v>13.8</v>
          </cell>
        </row>
        <row r="94">
          <cell r="S94">
            <v>40521</v>
          </cell>
          <cell r="T94">
            <v>44.266666666666659</v>
          </cell>
          <cell r="U94">
            <v>45.81666666666667</v>
          </cell>
          <cell r="V94">
            <v>8.9666666666666668</v>
          </cell>
          <cell r="W94">
            <v>9.1</v>
          </cell>
          <cell r="X94">
            <v>0</v>
          </cell>
          <cell r="Y94">
            <v>4.8</v>
          </cell>
        </row>
        <row r="95">
          <cell r="S95">
            <v>40522</v>
          </cell>
          <cell r="T95">
            <v>44.716666666666669</v>
          </cell>
          <cell r="U95">
            <v>45.800000000000004</v>
          </cell>
          <cell r="V95">
            <v>5.8500000000000005</v>
          </cell>
          <cell r="W95">
            <v>7.6833333333333336</v>
          </cell>
          <cell r="X95">
            <v>0</v>
          </cell>
          <cell r="Y95">
            <v>0.4</v>
          </cell>
        </row>
        <row r="96">
          <cell r="S96">
            <v>40523</v>
          </cell>
          <cell r="T96">
            <v>44.85</v>
          </cell>
          <cell r="U96">
            <v>45.85</v>
          </cell>
          <cell r="V96">
            <v>4.3166666666666673</v>
          </cell>
          <cell r="W96">
            <v>6.3166666666666664</v>
          </cell>
          <cell r="X96">
            <v>0</v>
          </cell>
          <cell r="Y96">
            <v>1.7</v>
          </cell>
        </row>
        <row r="97">
          <cell r="S97">
            <v>40524</v>
          </cell>
          <cell r="T97">
            <v>45</v>
          </cell>
          <cell r="U97">
            <v>45.65</v>
          </cell>
          <cell r="V97">
            <v>4.333333333333333</v>
          </cell>
          <cell r="W97">
            <v>5.7</v>
          </cell>
          <cell r="X97">
            <v>0</v>
          </cell>
          <cell r="Y97">
            <v>3.2</v>
          </cell>
        </row>
        <row r="98">
          <cell r="S98">
            <v>40525</v>
          </cell>
          <cell r="T98">
            <v>44.699999999999996</v>
          </cell>
          <cell r="U98">
            <v>45.583333333333336</v>
          </cell>
          <cell r="V98">
            <v>3.9833333333333329</v>
          </cell>
          <cell r="W98">
            <v>5.5</v>
          </cell>
          <cell r="X98">
            <v>0</v>
          </cell>
          <cell r="Y98">
            <v>0.4</v>
          </cell>
        </row>
        <row r="99">
          <cell r="S99">
            <v>40526</v>
          </cell>
          <cell r="T99">
            <v>44.466666666666669</v>
          </cell>
          <cell r="U99">
            <v>45.583333333333336</v>
          </cell>
          <cell r="V99">
            <v>3.1999999999999997</v>
          </cell>
          <cell r="W99">
            <v>4.8500000000000005</v>
          </cell>
          <cell r="X99">
            <v>0</v>
          </cell>
          <cell r="Y99">
            <v>-0.4</v>
          </cell>
        </row>
        <row r="100">
          <cell r="S100">
            <v>40527</v>
          </cell>
          <cell r="T100">
            <v>44.633333333333333</v>
          </cell>
          <cell r="U100">
            <v>45.5</v>
          </cell>
          <cell r="V100">
            <v>2.5166666666666671</v>
          </cell>
          <cell r="W100">
            <v>4.3500000000000005</v>
          </cell>
          <cell r="X100">
            <v>0</v>
          </cell>
          <cell r="Y100">
            <v>-2.1</v>
          </cell>
        </row>
        <row r="101">
          <cell r="S101">
            <v>40528</v>
          </cell>
          <cell r="T101">
            <v>44.550000000000004</v>
          </cell>
          <cell r="U101">
            <v>45.516666666666673</v>
          </cell>
          <cell r="V101">
            <v>1.9166666666666667</v>
          </cell>
          <cell r="W101">
            <v>3.7833333333333332</v>
          </cell>
          <cell r="X101">
            <v>0</v>
          </cell>
          <cell r="Y101">
            <v>1.4</v>
          </cell>
        </row>
        <row r="102">
          <cell r="S102">
            <v>40529</v>
          </cell>
          <cell r="T102">
            <v>44.716666666666669</v>
          </cell>
          <cell r="U102">
            <v>45.433333333333337</v>
          </cell>
          <cell r="V102">
            <v>3.3666666666666667</v>
          </cell>
          <cell r="W102">
            <v>3.9166666666666665</v>
          </cell>
          <cell r="X102">
            <v>5.2</v>
          </cell>
          <cell r="Y102">
            <v>3</v>
          </cell>
        </row>
        <row r="103">
          <cell r="S103">
            <v>40530</v>
          </cell>
          <cell r="T103">
            <v>45.283333333333331</v>
          </cell>
          <cell r="U103">
            <v>45.4</v>
          </cell>
          <cell r="V103">
            <v>2.7833333333333332</v>
          </cell>
          <cell r="W103">
            <v>4.1166666666666663</v>
          </cell>
          <cell r="X103">
            <v>0</v>
          </cell>
          <cell r="Y103">
            <v>0.5</v>
          </cell>
        </row>
        <row r="104">
          <cell r="S104">
            <v>40531</v>
          </cell>
          <cell r="T104">
            <v>45.25</v>
          </cell>
          <cell r="U104">
            <v>45.416666666666664</v>
          </cell>
          <cell r="V104">
            <v>3.0666666666666664</v>
          </cell>
          <cell r="W104">
            <v>3.9333333333333336</v>
          </cell>
          <cell r="X104">
            <v>0</v>
          </cell>
          <cell r="Y104">
            <v>2.8</v>
          </cell>
        </row>
        <row r="105">
          <cell r="S105">
            <v>40532</v>
          </cell>
          <cell r="T105">
            <v>44.133333333333333</v>
          </cell>
          <cell r="U105">
            <v>45.5</v>
          </cell>
          <cell r="V105">
            <v>4.583333333333333</v>
          </cell>
          <cell r="W105">
            <v>4.5500000000000007</v>
          </cell>
          <cell r="X105">
            <v>0</v>
          </cell>
          <cell r="Y105">
            <v>6.1</v>
          </cell>
        </row>
        <row r="106">
          <cell r="S106">
            <v>40533</v>
          </cell>
          <cell r="T106">
            <v>44.1</v>
          </cell>
          <cell r="U106">
            <v>45.5</v>
          </cell>
          <cell r="V106">
            <v>5.7666666666666666</v>
          </cell>
          <cell r="W106">
            <v>5.3166666666666664</v>
          </cell>
          <cell r="X106">
            <v>0.2</v>
          </cell>
          <cell r="Y106">
            <v>8.3000000000000007</v>
          </cell>
        </row>
        <row r="107">
          <cell r="S107">
            <v>40534</v>
          </cell>
          <cell r="T107">
            <v>44.066666666666663</v>
          </cell>
          <cell r="U107">
            <v>45.5</v>
          </cell>
          <cell r="V107">
            <v>6.833333333333333</v>
          </cell>
          <cell r="W107">
            <v>6.1333333333333329</v>
          </cell>
          <cell r="X107">
            <v>0.4</v>
          </cell>
          <cell r="Y107">
            <v>9.5</v>
          </cell>
        </row>
        <row r="108">
          <cell r="S108">
            <v>40535</v>
          </cell>
          <cell r="T108">
            <v>58.300000000000004</v>
          </cell>
          <cell r="U108">
            <v>58.85</v>
          </cell>
          <cell r="V108">
            <v>7.5666666666666664</v>
          </cell>
          <cell r="W108">
            <v>6.916666666666667</v>
          </cell>
          <cell r="X108">
            <v>16.899999999999999</v>
          </cell>
          <cell r="Y108">
            <v>7.1</v>
          </cell>
        </row>
        <row r="109">
          <cell r="S109">
            <v>40536</v>
          </cell>
          <cell r="T109">
            <v>55.150000000000006</v>
          </cell>
          <cell r="U109">
            <v>53.5</v>
          </cell>
          <cell r="V109">
            <v>5.3833333333333329</v>
          </cell>
          <cell r="W109">
            <v>6.4499999999999993</v>
          </cell>
          <cell r="X109">
            <v>0.2</v>
          </cell>
          <cell r="Y109">
            <v>2.1</v>
          </cell>
        </row>
        <row r="110">
          <cell r="S110">
            <v>40537</v>
          </cell>
          <cell r="T110">
            <v>47.31666666666667</v>
          </cell>
          <cell r="U110">
            <v>49.516666666666673</v>
          </cell>
          <cell r="V110">
            <v>3.7333333333333338</v>
          </cell>
          <cell r="W110">
            <v>5.3</v>
          </cell>
          <cell r="X110">
            <v>0</v>
          </cell>
          <cell r="Y110">
            <v>-0.3</v>
          </cell>
        </row>
        <row r="111">
          <cell r="S111">
            <v>40538</v>
          </cell>
          <cell r="T111">
            <v>46.65</v>
          </cell>
          <cell r="U111">
            <v>48.016666666666659</v>
          </cell>
          <cell r="V111">
            <v>2.2666666666666666</v>
          </cell>
          <cell r="W111">
            <v>4.2166666666666668</v>
          </cell>
          <cell r="X111">
            <v>0</v>
          </cell>
          <cell r="Y111">
            <v>-3</v>
          </cell>
        </row>
        <row r="112">
          <cell r="S112">
            <v>40539</v>
          </cell>
          <cell r="T112">
            <v>46.4</v>
          </cell>
          <cell r="U112">
            <v>47.616666666666674</v>
          </cell>
          <cell r="V112">
            <v>1.6666666666666663</v>
          </cell>
          <cell r="W112">
            <v>3.4666666666666668</v>
          </cell>
          <cell r="X112">
            <v>0</v>
          </cell>
          <cell r="Y112">
            <v>0.6</v>
          </cell>
        </row>
        <row r="113">
          <cell r="S113">
            <v>40540</v>
          </cell>
          <cell r="T113">
            <v>45.900000000000006</v>
          </cell>
          <cell r="U113">
            <v>47.466666666666669</v>
          </cell>
          <cell r="V113">
            <v>2.4666666666666668</v>
          </cell>
          <cell r="W113">
            <v>3.2833333333333337</v>
          </cell>
          <cell r="X113">
            <v>0</v>
          </cell>
          <cell r="Y113">
            <v>6</v>
          </cell>
        </row>
        <row r="114">
          <cell r="S114">
            <v>40541</v>
          </cell>
          <cell r="T114">
            <v>45.68333333333333</v>
          </cell>
          <cell r="U114">
            <v>46.29999999999999</v>
          </cell>
          <cell r="V114">
            <v>4.5666666666666664</v>
          </cell>
          <cell r="W114">
            <v>4.2333333333333334</v>
          </cell>
          <cell r="X114">
            <v>0</v>
          </cell>
          <cell r="Y114">
            <v>8.1999999999999993</v>
          </cell>
        </row>
        <row r="115">
          <cell r="S115">
            <v>40542</v>
          </cell>
          <cell r="T115">
            <v>45.483333333333327</v>
          </cell>
          <cell r="U115">
            <v>46.5</v>
          </cell>
          <cell r="V115">
            <v>6.4499999999999993</v>
          </cell>
          <cell r="W115">
            <v>5.4666666666666659</v>
          </cell>
          <cell r="X115">
            <v>0</v>
          </cell>
          <cell r="Y115">
            <v>10.4</v>
          </cell>
        </row>
        <row r="116">
          <cell r="S116">
            <v>40543</v>
          </cell>
          <cell r="T116">
            <v>45.416666666666664</v>
          </cell>
          <cell r="U116">
            <v>46.449999999999996</v>
          </cell>
          <cell r="V116">
            <v>7.7666666666666657</v>
          </cell>
          <cell r="W116">
            <v>6.5500000000000007</v>
          </cell>
          <cell r="X116">
            <v>0</v>
          </cell>
          <cell r="Y116">
            <v>10.4</v>
          </cell>
        </row>
        <row r="117">
          <cell r="S117">
            <v>40544</v>
          </cell>
          <cell r="T117">
            <v>45.433333333333337</v>
          </cell>
          <cell r="U117">
            <v>46.333333333333336</v>
          </cell>
          <cell r="V117">
            <v>6.8833333333333329</v>
          </cell>
          <cell r="W117">
            <v>6.8833333333333337</v>
          </cell>
          <cell r="X117">
            <v>0</v>
          </cell>
          <cell r="Y117">
            <v>6.3</v>
          </cell>
        </row>
        <row r="118">
          <cell r="S118">
            <v>40545</v>
          </cell>
          <cell r="T118">
            <v>45.616666666666667</v>
          </cell>
          <cell r="U118">
            <v>46.266666666666659</v>
          </cell>
          <cell r="V118">
            <v>6.2166666666666677</v>
          </cell>
          <cell r="W118">
            <v>6.583333333333333</v>
          </cell>
          <cell r="X118">
            <v>0</v>
          </cell>
          <cell r="Y118">
            <v>2.6</v>
          </cell>
        </row>
        <row r="119">
          <cell r="S119">
            <v>40546</v>
          </cell>
          <cell r="T119">
            <v>46.449999999999996</v>
          </cell>
          <cell r="U119">
            <v>46.199999999999996</v>
          </cell>
          <cell r="V119">
            <v>4.7666666666666666</v>
          </cell>
          <cell r="W119">
            <v>5.75</v>
          </cell>
          <cell r="X119">
            <v>0</v>
          </cell>
          <cell r="Y119">
            <v>1.8</v>
          </cell>
        </row>
        <row r="120">
          <cell r="S120">
            <v>40547</v>
          </cell>
          <cell r="T120">
            <v>46.866666666666667</v>
          </cell>
          <cell r="U120">
            <v>46.150000000000006</v>
          </cell>
          <cell r="V120">
            <v>4.3</v>
          </cell>
          <cell r="W120">
            <v>5.1833333333333336</v>
          </cell>
          <cell r="X120">
            <v>0.8</v>
          </cell>
          <cell r="Y120">
            <v>2.6</v>
          </cell>
        </row>
        <row r="121">
          <cell r="S121">
            <v>40548</v>
          </cell>
          <cell r="T121">
            <v>46.966666666666669</v>
          </cell>
          <cell r="U121">
            <v>46.1</v>
          </cell>
          <cell r="V121">
            <v>4.5333333333333323</v>
          </cell>
          <cell r="W121">
            <v>5.0666666666666664</v>
          </cell>
          <cell r="X121">
            <v>0.2</v>
          </cell>
          <cell r="Y121">
            <v>5.9</v>
          </cell>
        </row>
        <row r="122">
          <cell r="S122">
            <v>40549</v>
          </cell>
          <cell r="T122">
            <v>47.050000000000004</v>
          </cell>
          <cell r="U122">
            <v>46</v>
          </cell>
          <cell r="V122">
            <v>6.6333333333333329</v>
          </cell>
          <cell r="W122">
            <v>5.7833333333333323</v>
          </cell>
          <cell r="X122">
            <v>0</v>
          </cell>
          <cell r="Y122">
            <v>10.3</v>
          </cell>
        </row>
        <row r="123">
          <cell r="S123">
            <v>40550</v>
          </cell>
          <cell r="T123">
            <v>47.466666666666661</v>
          </cell>
          <cell r="U123">
            <v>45.966666666666669</v>
          </cell>
          <cell r="V123">
            <v>8.1999999999999993</v>
          </cell>
          <cell r="W123">
            <v>7</v>
          </cell>
          <cell r="X123">
            <v>0</v>
          </cell>
          <cell r="Y123">
            <v>11.3</v>
          </cell>
        </row>
        <row r="124">
          <cell r="S124">
            <v>40551</v>
          </cell>
          <cell r="T124">
            <v>47.583333333333336</v>
          </cell>
          <cell r="U124">
            <v>45.9</v>
          </cell>
          <cell r="V124">
            <v>8.65</v>
          </cell>
          <cell r="W124">
            <v>7.6833333333333327</v>
          </cell>
          <cell r="X124">
            <v>0</v>
          </cell>
          <cell r="Y124">
            <v>11.3</v>
          </cell>
        </row>
        <row r="125">
          <cell r="S125">
            <v>40552</v>
          </cell>
          <cell r="T125">
            <v>48.1</v>
          </cell>
          <cell r="U125">
            <v>45.9</v>
          </cell>
          <cell r="V125">
            <v>8.6166666666666671</v>
          </cell>
          <cell r="W125">
            <v>8</v>
          </cell>
          <cell r="X125">
            <v>6.3</v>
          </cell>
          <cell r="Y125">
            <v>7.1</v>
          </cell>
        </row>
        <row r="126">
          <cell r="S126">
            <v>40553</v>
          </cell>
          <cell r="T126">
            <v>47.966666666666669</v>
          </cell>
          <cell r="U126">
            <v>45.81666666666667</v>
          </cell>
          <cell r="V126">
            <v>6.1499999999999995</v>
          </cell>
          <cell r="W126">
            <v>7.2</v>
          </cell>
          <cell r="X126">
            <v>3.2</v>
          </cell>
          <cell r="Y126">
            <v>3.2</v>
          </cell>
        </row>
        <row r="127">
          <cell r="S127">
            <v>40554</v>
          </cell>
          <cell r="T127">
            <v>58.016666666666673</v>
          </cell>
          <cell r="U127">
            <v>59.75</v>
          </cell>
          <cell r="V127">
            <v>6.3499999999999988</v>
          </cell>
          <cell r="W127">
            <v>6.5333333333333323</v>
          </cell>
          <cell r="X127">
            <v>8</v>
          </cell>
          <cell r="Y127">
            <v>8.1999999999999993</v>
          </cell>
        </row>
        <row r="128">
          <cell r="S128">
            <v>40555</v>
          </cell>
          <cell r="T128">
            <v>53.583333333333336</v>
          </cell>
          <cell r="U128">
            <v>55.883333333333333</v>
          </cell>
          <cell r="V128">
            <v>7.7</v>
          </cell>
          <cell r="W128">
            <v>7.2166666666666659</v>
          </cell>
          <cell r="X128">
            <v>1.8</v>
          </cell>
          <cell r="Y128">
            <v>9.6</v>
          </cell>
        </row>
        <row r="129">
          <cell r="S129">
            <v>40556</v>
          </cell>
          <cell r="T129">
            <v>50.9</v>
          </cell>
          <cell r="U129">
            <v>48.6</v>
          </cell>
          <cell r="V129">
            <v>8.9500000000000011</v>
          </cell>
          <cell r="W129">
            <v>7.8666666666666671</v>
          </cell>
          <cell r="X129">
            <v>0.4</v>
          </cell>
          <cell r="Y129">
            <v>11.3</v>
          </cell>
        </row>
        <row r="130">
          <cell r="S130">
            <v>40557</v>
          </cell>
          <cell r="T130">
            <v>50.066666666666663</v>
          </cell>
          <cell r="U130">
            <v>47.68333333333333</v>
          </cell>
          <cell r="V130">
            <v>7.8833333333333329</v>
          </cell>
          <cell r="W130">
            <v>7.9833333333333334</v>
          </cell>
          <cell r="X130">
            <v>0.2</v>
          </cell>
          <cell r="Y130">
            <v>6.4</v>
          </cell>
        </row>
        <row r="131">
          <cell r="S131">
            <v>40558</v>
          </cell>
          <cell r="T131">
            <v>49.633333333333326</v>
          </cell>
          <cell r="U131">
            <v>47.283333333333331</v>
          </cell>
          <cell r="V131">
            <v>7.4499999999999993</v>
          </cell>
          <cell r="W131">
            <v>7.5666666666666664</v>
          </cell>
          <cell r="X131">
            <v>0</v>
          </cell>
          <cell r="Y131">
            <v>6.8</v>
          </cell>
        </row>
        <row r="132">
          <cell r="S132">
            <v>40559</v>
          </cell>
          <cell r="T132">
            <v>49.349999999999994</v>
          </cell>
          <cell r="U132">
            <v>47.050000000000004</v>
          </cell>
          <cell r="V132">
            <v>6.9666666666666659</v>
          </cell>
          <cell r="W132">
            <v>7.2833333333333341</v>
          </cell>
          <cell r="X132">
            <v>0.2</v>
          </cell>
          <cell r="Y132">
            <v>7.9</v>
          </cell>
        </row>
        <row r="133">
          <cell r="S133">
            <v>40560</v>
          </cell>
          <cell r="T133">
            <v>49.116666666666667</v>
          </cell>
          <cell r="U133">
            <v>46.883333333333333</v>
          </cell>
          <cell r="V133">
            <v>7.5999999999999988</v>
          </cell>
          <cell r="W133">
            <v>7.3666666666666671</v>
          </cell>
          <cell r="X133">
            <v>0</v>
          </cell>
          <cell r="Y133">
            <v>9.1</v>
          </cell>
        </row>
        <row r="134">
          <cell r="S134">
            <v>40561</v>
          </cell>
          <cell r="T134">
            <v>48.966666666666669</v>
          </cell>
          <cell r="U134">
            <v>46.749999999999993</v>
          </cell>
          <cell r="V134">
            <v>7.6166666666666671</v>
          </cell>
          <cell r="W134">
            <v>7.5166666666666666</v>
          </cell>
          <cell r="X134">
            <v>0</v>
          </cell>
          <cell r="Y134">
            <v>8.5</v>
          </cell>
        </row>
        <row r="135">
          <cell r="S135">
            <v>40562</v>
          </cell>
          <cell r="T135">
            <v>48.833333333333336</v>
          </cell>
          <cell r="U135">
            <v>46.666666666666664</v>
          </cell>
          <cell r="V135">
            <v>7.5666666666666664</v>
          </cell>
          <cell r="W135">
            <v>7.55</v>
          </cell>
          <cell r="X135">
            <v>0</v>
          </cell>
          <cell r="Y135">
            <v>6.4</v>
          </cell>
        </row>
        <row r="136">
          <cell r="S136">
            <v>40563</v>
          </cell>
          <cell r="T136">
            <v>48.766666666666659</v>
          </cell>
          <cell r="U136">
            <v>46.566666666666663</v>
          </cell>
          <cell r="V136">
            <v>5.2666666666666666</v>
          </cell>
          <cell r="W136">
            <v>6.8166666666666664</v>
          </cell>
          <cell r="X136">
            <v>0</v>
          </cell>
          <cell r="Y136">
            <v>1.9</v>
          </cell>
        </row>
        <row r="137">
          <cell r="S137">
            <v>40564</v>
          </cell>
          <cell r="T137">
            <v>48.683333333333337</v>
          </cell>
          <cell r="U137">
            <v>46.483333333333327</v>
          </cell>
          <cell r="V137">
            <v>3.9333333333333336</v>
          </cell>
          <cell r="W137">
            <v>5.583333333333333</v>
          </cell>
          <cell r="X137">
            <v>0</v>
          </cell>
          <cell r="Y137">
            <v>0.4</v>
          </cell>
        </row>
        <row r="138">
          <cell r="S138">
            <v>40565</v>
          </cell>
          <cell r="T138">
            <v>48.6</v>
          </cell>
          <cell r="U138">
            <v>46.4</v>
          </cell>
          <cell r="V138">
            <v>2.6666666666666665</v>
          </cell>
          <cell r="W138">
            <v>4.55</v>
          </cell>
          <cell r="X138">
            <v>0</v>
          </cell>
          <cell r="Y138">
            <v>-1.8</v>
          </cell>
        </row>
        <row r="139">
          <cell r="S139">
            <v>40566</v>
          </cell>
          <cell r="T139">
            <v>48.566666666666663</v>
          </cell>
          <cell r="U139">
            <v>46.366666666666667</v>
          </cell>
          <cell r="V139">
            <v>2.2833333333333332</v>
          </cell>
          <cell r="W139">
            <v>3.7666666666666671</v>
          </cell>
          <cell r="X139">
            <v>0</v>
          </cell>
          <cell r="Y139">
            <v>-1.1000000000000001</v>
          </cell>
        </row>
        <row r="140">
          <cell r="S140">
            <v>40567</v>
          </cell>
          <cell r="T140">
            <v>48.449999999999996</v>
          </cell>
          <cell r="U140">
            <v>46.300000000000004</v>
          </cell>
          <cell r="V140">
            <v>1.9833333333333332</v>
          </cell>
          <cell r="W140">
            <v>3.4666666666666668</v>
          </cell>
          <cell r="X140">
            <v>0</v>
          </cell>
          <cell r="Y140">
            <v>-1.6</v>
          </cell>
        </row>
        <row r="141">
          <cell r="S141">
            <v>40568</v>
          </cell>
          <cell r="T141">
            <v>48.333333333333336</v>
          </cell>
          <cell r="U141">
            <v>46.283333333333331</v>
          </cell>
          <cell r="V141">
            <v>1.9166666666666667</v>
          </cell>
          <cell r="W141">
            <v>3.1833333333333336</v>
          </cell>
          <cell r="X141">
            <v>0.2</v>
          </cell>
          <cell r="Y141">
            <v>-0.1</v>
          </cell>
        </row>
        <row r="142">
          <cell r="S142">
            <v>40569</v>
          </cell>
          <cell r="T142">
            <v>48.266666666666673</v>
          </cell>
          <cell r="U142">
            <v>46.199999999999996</v>
          </cell>
          <cell r="V142">
            <v>2.4</v>
          </cell>
          <cell r="W142">
            <v>3.1500000000000004</v>
          </cell>
          <cell r="X142">
            <v>0</v>
          </cell>
          <cell r="Y142">
            <v>1</v>
          </cell>
        </row>
        <row r="143">
          <cell r="S143">
            <v>40570</v>
          </cell>
          <cell r="T143">
            <v>48.183333333333337</v>
          </cell>
          <cell r="U143">
            <v>46.183333333333337</v>
          </cell>
          <cell r="V143">
            <v>2.5666666666666669</v>
          </cell>
          <cell r="W143">
            <v>3.3333333333333335</v>
          </cell>
          <cell r="X143">
            <v>0</v>
          </cell>
          <cell r="Y143">
            <v>3.9</v>
          </cell>
        </row>
        <row r="144">
          <cell r="S144">
            <v>40571</v>
          </cell>
          <cell r="T144">
            <v>48.050000000000004</v>
          </cell>
          <cell r="U144">
            <v>46.1</v>
          </cell>
          <cell r="V144">
            <v>4.1000000000000005</v>
          </cell>
          <cell r="W144">
            <v>3.9333333333333336</v>
          </cell>
          <cell r="X144">
            <v>0</v>
          </cell>
          <cell r="Y144">
            <v>7.5</v>
          </cell>
        </row>
        <row r="145">
          <cell r="S145">
            <v>40572</v>
          </cell>
          <cell r="T145">
            <v>51.033333333333339</v>
          </cell>
          <cell r="U145">
            <v>46.1</v>
          </cell>
          <cell r="V145">
            <v>5.166666666666667</v>
          </cell>
          <cell r="W145">
            <v>4.7833333333333341</v>
          </cell>
          <cell r="X145">
            <v>10.9</v>
          </cell>
          <cell r="Y145">
            <v>5.0999999999999996</v>
          </cell>
        </row>
        <row r="146">
          <cell r="S146">
            <v>40573</v>
          </cell>
          <cell r="T146">
            <v>55.983333333333341</v>
          </cell>
          <cell r="U146">
            <v>46.1</v>
          </cell>
          <cell r="V146">
            <v>4.9666666666666668</v>
          </cell>
          <cell r="W146">
            <v>5.0166666666666666</v>
          </cell>
          <cell r="X146">
            <v>0</v>
          </cell>
          <cell r="Y146">
            <v>4</v>
          </cell>
        </row>
        <row r="147">
          <cell r="S147">
            <v>40574</v>
          </cell>
          <cell r="T147">
            <v>50.766666666666659</v>
          </cell>
          <cell r="U147">
            <v>46.199999999999996</v>
          </cell>
          <cell r="V147">
            <v>4.5</v>
          </cell>
          <cell r="W147">
            <v>4.916666666666667</v>
          </cell>
          <cell r="X147">
            <v>0</v>
          </cell>
          <cell r="Y147">
            <v>1</v>
          </cell>
        </row>
        <row r="148">
          <cell r="S148">
            <v>40575</v>
          </cell>
          <cell r="T148">
            <v>49.766666666666659</v>
          </cell>
          <cell r="U148">
            <v>46.266666666666673</v>
          </cell>
          <cell r="V148">
            <v>3.2833333333333328</v>
          </cell>
          <cell r="W148">
            <v>4.3</v>
          </cell>
          <cell r="X148">
            <v>0</v>
          </cell>
          <cell r="Y148">
            <v>-0.5</v>
          </cell>
        </row>
        <row r="149">
          <cell r="S149">
            <v>40576</v>
          </cell>
          <cell r="T149">
            <v>49.400000000000006</v>
          </cell>
          <cell r="U149">
            <v>46.300000000000004</v>
          </cell>
          <cell r="V149">
            <v>2.7666666666666671</v>
          </cell>
          <cell r="W149">
            <v>3.6833333333333336</v>
          </cell>
          <cell r="X149">
            <v>0</v>
          </cell>
          <cell r="Y149">
            <v>2</v>
          </cell>
        </row>
        <row r="150">
          <cell r="S150">
            <v>40577</v>
          </cell>
          <cell r="T150">
            <v>49.1</v>
          </cell>
          <cell r="U150">
            <v>46.283333333333331</v>
          </cell>
          <cell r="V150">
            <v>4.3666666666666671</v>
          </cell>
          <cell r="W150">
            <v>4.0999999999999996</v>
          </cell>
          <cell r="X150">
            <v>0</v>
          </cell>
          <cell r="Y150">
            <v>7.6</v>
          </cell>
        </row>
        <row r="151">
          <cell r="S151">
            <v>40578</v>
          </cell>
          <cell r="T151">
            <v>48.849999999999994</v>
          </cell>
          <cell r="U151">
            <v>46.25</v>
          </cell>
          <cell r="V151">
            <v>6.1166666666666671</v>
          </cell>
          <cell r="W151">
            <v>5.2</v>
          </cell>
          <cell r="X151">
            <v>0</v>
          </cell>
          <cell r="Y151">
            <v>9.3000000000000007</v>
          </cell>
        </row>
        <row r="152">
          <cell r="S152">
            <v>40579</v>
          </cell>
          <cell r="T152">
            <v>48.666666666666664</v>
          </cell>
          <cell r="U152">
            <v>46.199999999999996</v>
          </cell>
          <cell r="V152">
            <v>6.2333333333333334</v>
          </cell>
          <cell r="W152">
            <v>5.8833333333333329</v>
          </cell>
          <cell r="X152">
            <v>0</v>
          </cell>
          <cell r="Y152">
            <v>7</v>
          </cell>
        </row>
        <row r="153">
          <cell r="S153">
            <v>40580</v>
          </cell>
          <cell r="T153">
            <v>48.566666666666663</v>
          </cell>
          <cell r="U153">
            <v>46.183333333333337</v>
          </cell>
          <cell r="V153">
            <v>5.2166666666666659</v>
          </cell>
          <cell r="W153">
            <v>5.6500000000000012</v>
          </cell>
          <cell r="X153">
            <v>0.4</v>
          </cell>
          <cell r="Y153">
            <v>2.9</v>
          </cell>
        </row>
        <row r="154">
          <cell r="S154">
            <v>40581</v>
          </cell>
          <cell r="T154">
            <v>48.433333333333337</v>
          </cell>
          <cell r="U154">
            <v>46.116666666666667</v>
          </cell>
          <cell r="V154">
            <v>5.083333333333333</v>
          </cell>
          <cell r="W154">
            <v>5.3</v>
          </cell>
          <cell r="X154">
            <v>0.2</v>
          </cell>
          <cell r="Y154">
            <v>5.6</v>
          </cell>
        </row>
        <row r="155">
          <cell r="S155">
            <v>40582</v>
          </cell>
          <cell r="T155">
            <v>48.25</v>
          </cell>
          <cell r="U155">
            <v>46.116666666666667</v>
          </cell>
          <cell r="V155">
            <v>6.05</v>
          </cell>
          <cell r="W155">
            <v>5.7166666666666659</v>
          </cell>
          <cell r="X155">
            <v>0.2</v>
          </cell>
          <cell r="Y155">
            <v>7.2</v>
          </cell>
        </row>
        <row r="156">
          <cell r="S156">
            <v>40583</v>
          </cell>
          <cell r="T156">
            <v>48.050000000000004</v>
          </cell>
          <cell r="U156">
            <v>45.966666666666669</v>
          </cell>
          <cell r="V156">
            <v>6.2</v>
          </cell>
          <cell r="W156">
            <v>5.95</v>
          </cell>
          <cell r="X156">
            <v>0.2</v>
          </cell>
          <cell r="Y156">
            <v>6.8</v>
          </cell>
        </row>
        <row r="157">
          <cell r="S157">
            <v>40584</v>
          </cell>
          <cell r="T157">
            <v>47.866666666666667</v>
          </cell>
          <cell r="U157">
            <v>45.866666666666667</v>
          </cell>
          <cell r="V157">
            <v>6.3</v>
          </cell>
          <cell r="W157">
            <v>6.166666666666667</v>
          </cell>
          <cell r="X157">
            <v>0</v>
          </cell>
          <cell r="Y157">
            <v>6.1</v>
          </cell>
        </row>
        <row r="158">
          <cell r="S158">
            <v>40585</v>
          </cell>
          <cell r="T158">
            <v>47.733333333333327</v>
          </cell>
          <cell r="U158">
            <v>45.783333333333331</v>
          </cell>
          <cell r="V158">
            <v>6.6333333333333329</v>
          </cell>
          <cell r="W158">
            <v>6.3166666666666664</v>
          </cell>
          <cell r="X158">
            <v>0</v>
          </cell>
          <cell r="Y158">
            <v>8.3000000000000007</v>
          </cell>
        </row>
        <row r="159">
          <cell r="S159">
            <v>40586</v>
          </cell>
          <cell r="T159">
            <v>47.516666666666673</v>
          </cell>
          <cell r="U159">
            <v>45.699999999999996</v>
          </cell>
          <cell r="V159">
            <v>6.8666666666666663</v>
          </cell>
          <cell r="W159">
            <v>6.5166666666666666</v>
          </cell>
          <cell r="X159">
            <v>1.2</v>
          </cell>
          <cell r="Y159">
            <v>7.2</v>
          </cell>
        </row>
        <row r="160">
          <cell r="S160">
            <v>40587</v>
          </cell>
          <cell r="T160">
            <v>47.266666666666659</v>
          </cell>
          <cell r="U160">
            <v>45.666666666666664</v>
          </cell>
          <cell r="V160">
            <v>7.1166666666666671</v>
          </cell>
          <cell r="W160">
            <v>6.7833333333333323</v>
          </cell>
          <cell r="X160">
            <v>0.2</v>
          </cell>
          <cell r="Y160">
            <v>7</v>
          </cell>
        </row>
        <row r="161">
          <cell r="S161">
            <v>40588</v>
          </cell>
          <cell r="T161">
            <v>47.233333333333327</v>
          </cell>
          <cell r="U161">
            <v>45.6</v>
          </cell>
          <cell r="V161">
            <v>7.3</v>
          </cell>
          <cell r="W161">
            <v>6.916666666666667</v>
          </cell>
          <cell r="X161">
            <v>0.6</v>
          </cell>
          <cell r="Y161">
            <v>7.4</v>
          </cell>
        </row>
        <row r="162">
          <cell r="S162">
            <v>40589</v>
          </cell>
          <cell r="T162">
            <v>47.033333333333331</v>
          </cell>
          <cell r="U162">
            <v>45.566666666666663</v>
          </cell>
          <cell r="V162">
            <v>7.0333333333333323</v>
          </cell>
          <cell r="W162">
            <v>6.833333333333333</v>
          </cell>
          <cell r="X162">
            <v>0.2</v>
          </cell>
          <cell r="Y162">
            <v>9.4</v>
          </cell>
        </row>
        <row r="163">
          <cell r="S163">
            <v>40590</v>
          </cell>
          <cell r="T163">
            <v>46.866666666666667</v>
          </cell>
          <cell r="U163">
            <v>45.466666666666669</v>
          </cell>
          <cell r="V163">
            <v>7.6000000000000005</v>
          </cell>
          <cell r="W163">
            <v>7.1500000000000012</v>
          </cell>
          <cell r="X163">
            <v>0</v>
          </cell>
          <cell r="Y163">
            <v>9</v>
          </cell>
        </row>
        <row r="164">
          <cell r="S164">
            <v>40591</v>
          </cell>
          <cell r="T164">
            <v>46.766666666666659</v>
          </cell>
          <cell r="U164">
            <v>45.4</v>
          </cell>
          <cell r="V164">
            <v>7.416666666666667</v>
          </cell>
          <cell r="W164">
            <v>7.2166666666666677</v>
          </cell>
          <cell r="X164">
            <v>0</v>
          </cell>
          <cell r="Y164">
            <v>7.7</v>
          </cell>
        </row>
        <row r="165">
          <cell r="S165">
            <v>40592</v>
          </cell>
          <cell r="T165">
            <v>46.616666666666674</v>
          </cell>
          <cell r="U165">
            <v>45.416666666666664</v>
          </cell>
          <cell r="V165">
            <v>7.8666666666666671</v>
          </cell>
          <cell r="W165">
            <v>7.3166666666666664</v>
          </cell>
          <cell r="X165">
            <v>0</v>
          </cell>
          <cell r="Y165">
            <v>9.1</v>
          </cell>
        </row>
        <row r="166">
          <cell r="S166">
            <v>40593</v>
          </cell>
          <cell r="T166">
            <v>46.533333333333339</v>
          </cell>
          <cell r="U166">
            <v>45.199999999999996</v>
          </cell>
          <cell r="V166">
            <v>7.0666666666666664</v>
          </cell>
          <cell r="W166">
            <v>7.2333333333333334</v>
          </cell>
          <cell r="X166">
            <v>3.8</v>
          </cell>
          <cell r="Y166">
            <v>7.3</v>
          </cell>
        </row>
        <row r="167">
          <cell r="S167">
            <v>40594</v>
          </cell>
          <cell r="T167">
            <v>46.433333333333337</v>
          </cell>
          <cell r="U167">
            <v>45.133333333333333</v>
          </cell>
          <cell r="V167">
            <v>8.2000000000000011</v>
          </cell>
          <cell r="W167">
            <v>7.4833333333333343</v>
          </cell>
          <cell r="X167">
            <v>0</v>
          </cell>
          <cell r="Y167">
            <v>9</v>
          </cell>
        </row>
        <row r="168">
          <cell r="S168">
            <v>40595</v>
          </cell>
          <cell r="T168">
            <v>48.583333333333336</v>
          </cell>
          <cell r="U168">
            <v>45.1</v>
          </cell>
          <cell r="V168">
            <v>7.7666666666666657</v>
          </cell>
          <cell r="W168">
            <v>7.6000000000000005</v>
          </cell>
          <cell r="X168">
            <v>10.7</v>
          </cell>
          <cell r="Y168">
            <v>9.1999999999999993</v>
          </cell>
        </row>
        <row r="169">
          <cell r="S169">
            <v>40596</v>
          </cell>
          <cell r="T169">
            <v>61.083333333333336</v>
          </cell>
          <cell r="U169">
            <v>45.566666666666663</v>
          </cell>
          <cell r="V169">
            <v>8.5</v>
          </cell>
          <cell r="W169">
            <v>7.8499999999999988</v>
          </cell>
          <cell r="X169">
            <v>3.2</v>
          </cell>
          <cell r="Y169">
            <v>8.5</v>
          </cell>
        </row>
        <row r="170">
          <cell r="S170">
            <v>40597</v>
          </cell>
          <cell r="T170">
            <v>54.300000000000004</v>
          </cell>
          <cell r="U170">
            <v>45.949999999999996</v>
          </cell>
          <cell r="V170">
            <v>8.1</v>
          </cell>
          <cell r="W170">
            <v>7.7833333333333323</v>
          </cell>
          <cell r="X170">
            <v>2.6</v>
          </cell>
          <cell r="Y170">
            <v>9</v>
          </cell>
        </row>
        <row r="171">
          <cell r="S171">
            <v>40598</v>
          </cell>
          <cell r="T171">
            <v>59.783333333333331</v>
          </cell>
          <cell r="U171">
            <v>46.166666666666664</v>
          </cell>
          <cell r="V171">
            <v>9.15</v>
          </cell>
          <cell r="W171">
            <v>8.1666666666666661</v>
          </cell>
          <cell r="X171">
            <v>0.6</v>
          </cell>
          <cell r="Y171">
            <v>11.1</v>
          </cell>
        </row>
        <row r="172">
          <cell r="S172">
            <v>40599</v>
          </cell>
          <cell r="T172">
            <v>51.716666666666661</v>
          </cell>
          <cell r="U172">
            <v>46.283333333333331</v>
          </cell>
          <cell r="V172">
            <v>9.75</v>
          </cell>
          <cell r="W172">
            <v>8.7333333333333325</v>
          </cell>
          <cell r="X172">
            <v>0</v>
          </cell>
          <cell r="Y172">
            <v>10.7</v>
          </cell>
        </row>
        <row r="173">
          <cell r="S173">
            <v>40600</v>
          </cell>
          <cell r="T173">
            <v>50.083333333333336</v>
          </cell>
          <cell r="U173">
            <v>46.199999999999996</v>
          </cell>
          <cell r="V173">
            <v>8.7833333333333332</v>
          </cell>
          <cell r="W173">
            <v>8.6666666666666661</v>
          </cell>
          <cell r="X173">
            <v>4</v>
          </cell>
          <cell r="Y173">
            <v>9.3000000000000007</v>
          </cell>
        </row>
        <row r="174">
          <cell r="S174">
            <v>40601</v>
          </cell>
          <cell r="T174">
            <v>53.75</v>
          </cell>
          <cell r="U174">
            <v>46.083333333333336</v>
          </cell>
          <cell r="V174">
            <v>8.4833333333333325</v>
          </cell>
          <cell r="W174">
            <v>8.4333333333333353</v>
          </cell>
          <cell r="X174">
            <v>2</v>
          </cell>
          <cell r="Y174">
            <v>7.2</v>
          </cell>
        </row>
        <row r="175">
          <cell r="S175">
            <v>40602</v>
          </cell>
          <cell r="T175">
            <v>61.666666666666664</v>
          </cell>
          <cell r="U175">
            <v>46.15</v>
          </cell>
          <cell r="V175">
            <v>7.2833333333333323</v>
          </cell>
          <cell r="W175">
            <v>7.75</v>
          </cell>
          <cell r="X175">
            <v>0.6</v>
          </cell>
          <cell r="Y175">
            <v>6.1</v>
          </cell>
        </row>
        <row r="176">
          <cell r="S176">
            <v>40603</v>
          </cell>
          <cell r="T176">
            <v>52.433333333333337</v>
          </cell>
          <cell r="U176">
            <v>46.416666666666664</v>
          </cell>
          <cell r="V176">
            <v>6.4666666666666659</v>
          </cell>
          <cell r="W176">
            <v>7.2166666666666659</v>
          </cell>
          <cell r="X176">
            <v>0.2</v>
          </cell>
          <cell r="Y176">
            <v>4.7</v>
          </cell>
        </row>
        <row r="177">
          <cell r="S177">
            <v>40604</v>
          </cell>
          <cell r="T177">
            <v>50.833333333333336</v>
          </cell>
          <cell r="U177">
            <v>46.300000000000004</v>
          </cell>
          <cell r="V177">
            <v>6.1166666666666671</v>
          </cell>
          <cell r="W177">
            <v>6.75</v>
          </cell>
          <cell r="X177">
            <v>0</v>
          </cell>
          <cell r="Y177">
            <v>4.7</v>
          </cell>
        </row>
        <row r="178">
          <cell r="S178">
            <v>40605</v>
          </cell>
          <cell r="T178">
            <v>50.216666666666661</v>
          </cell>
          <cell r="U178">
            <v>46.216666666666661</v>
          </cell>
          <cell r="V178">
            <v>5.6833333333333336</v>
          </cell>
          <cell r="W178">
            <v>6.3833333333333329</v>
          </cell>
          <cell r="X178">
            <v>1.8</v>
          </cell>
          <cell r="Y178">
            <v>3.7</v>
          </cell>
        </row>
        <row r="179">
          <cell r="S179">
            <v>40606</v>
          </cell>
          <cell r="T179">
            <v>49.733333333333327</v>
          </cell>
          <cell r="U179">
            <v>46.116666666666667</v>
          </cell>
          <cell r="V179">
            <v>5.45</v>
          </cell>
          <cell r="W179">
            <v>6.0333333333333341</v>
          </cell>
          <cell r="X179">
            <v>0.2</v>
          </cell>
          <cell r="Y179">
            <v>6.8</v>
          </cell>
        </row>
        <row r="180">
          <cell r="S180">
            <v>40607</v>
          </cell>
          <cell r="T180">
            <v>49.383333333333333</v>
          </cell>
          <cell r="U180">
            <v>45.866666666666667</v>
          </cell>
          <cell r="V180">
            <v>6.0666666666666664</v>
          </cell>
          <cell r="W180">
            <v>6.2333333333333334</v>
          </cell>
          <cell r="X180">
            <v>0</v>
          </cell>
          <cell r="Y180">
            <v>8.1</v>
          </cell>
        </row>
        <row r="181">
          <cell r="S181">
            <v>40608</v>
          </cell>
          <cell r="T181">
            <v>49.066666666666663</v>
          </cell>
          <cell r="U181">
            <v>45.766666666666659</v>
          </cell>
          <cell r="V181">
            <v>6.5333333333333341</v>
          </cell>
          <cell r="W181">
            <v>6.4833333333333334</v>
          </cell>
          <cell r="X181">
            <v>0</v>
          </cell>
          <cell r="Y181">
            <v>7.4</v>
          </cell>
        </row>
        <row r="182">
          <cell r="S182">
            <v>40609</v>
          </cell>
          <cell r="T182">
            <v>49.116666666666667</v>
          </cell>
          <cell r="U182">
            <v>45.666666666666664</v>
          </cell>
          <cell r="V182">
            <v>6.2833333333333341</v>
          </cell>
          <cell r="W182">
            <v>6.5</v>
          </cell>
          <cell r="X182">
            <v>0</v>
          </cell>
          <cell r="Y182">
            <v>9.1</v>
          </cell>
        </row>
        <row r="183">
          <cell r="S183">
            <v>40610</v>
          </cell>
          <cell r="T183">
            <v>48.68333333333333</v>
          </cell>
          <cell r="U183">
            <v>45.533333333333331</v>
          </cell>
          <cell r="V183">
            <v>7.7666666666666657</v>
          </cell>
          <cell r="W183">
            <v>7.0166666666666657</v>
          </cell>
          <cell r="X183">
            <v>0</v>
          </cell>
          <cell r="Y183">
            <v>10.199999999999999</v>
          </cell>
        </row>
        <row r="184">
          <cell r="S184">
            <v>40611</v>
          </cell>
          <cell r="T184">
            <v>48.116666666666667</v>
          </cell>
          <cell r="U184">
            <v>45.366666666666667</v>
          </cell>
          <cell r="V184">
            <v>8.0833333333333339</v>
          </cell>
          <cell r="W184">
            <v>7.45</v>
          </cell>
          <cell r="X184">
            <v>0</v>
          </cell>
          <cell r="Y184">
            <v>10.4</v>
          </cell>
        </row>
        <row r="185">
          <cell r="S185">
            <v>40612</v>
          </cell>
          <cell r="T185">
            <v>47.566666666666663</v>
          </cell>
          <cell r="U185">
            <v>45.416666666666664</v>
          </cell>
          <cell r="V185">
            <v>7.6333333333333329</v>
          </cell>
          <cell r="W185">
            <v>7.5166666666666666</v>
          </cell>
          <cell r="X185">
            <v>0</v>
          </cell>
          <cell r="Y185">
            <v>7.7</v>
          </cell>
        </row>
        <row r="186">
          <cell r="S186">
            <v>40613</v>
          </cell>
          <cell r="T186">
            <v>47.033333333333331</v>
          </cell>
          <cell r="U186">
            <v>45.233333333333327</v>
          </cell>
          <cell r="V186">
            <v>7.2833333333333341</v>
          </cell>
          <cell r="W186">
            <v>7.2666666666666657</v>
          </cell>
          <cell r="X186">
            <v>0</v>
          </cell>
          <cell r="Y186">
            <v>8.3000000000000007</v>
          </cell>
        </row>
        <row r="187">
          <cell r="S187">
            <v>40614</v>
          </cell>
          <cell r="T187">
            <v>46.966666666666669</v>
          </cell>
          <cell r="U187">
            <v>45.1</v>
          </cell>
          <cell r="V187">
            <v>8.4</v>
          </cell>
          <cell r="W187">
            <v>7.7333333333333334</v>
          </cell>
          <cell r="X187">
            <v>6.8</v>
          </cell>
          <cell r="Y187">
            <v>10.9</v>
          </cell>
        </row>
        <row r="188">
          <cell r="S188">
            <v>40615</v>
          </cell>
          <cell r="T188">
            <v>48.93333333333333</v>
          </cell>
          <cell r="U188">
            <v>45.066666666666663</v>
          </cell>
          <cell r="V188">
            <v>9.3166666666666682</v>
          </cell>
          <cell r="W188">
            <v>8.2333333333333325</v>
          </cell>
          <cell r="X188">
            <v>0</v>
          </cell>
          <cell r="Y188">
            <v>12.2</v>
          </cell>
        </row>
        <row r="189">
          <cell r="S189">
            <v>40616</v>
          </cell>
          <cell r="T189">
            <v>46.816666666666663</v>
          </cell>
          <cell r="U189">
            <v>44.933333333333337</v>
          </cell>
          <cell r="V189">
            <v>9.9666666666666668</v>
          </cell>
          <cell r="W189">
            <v>8.8666666666666671</v>
          </cell>
          <cell r="X189">
            <v>0</v>
          </cell>
          <cell r="Y189">
            <v>13.3</v>
          </cell>
        </row>
        <row r="190">
          <cell r="S190">
            <v>40617</v>
          </cell>
          <cell r="T190">
            <v>46.016666666666659</v>
          </cell>
          <cell r="U190">
            <v>44.800000000000004</v>
          </cell>
          <cell r="V190">
            <v>10.616666666666665</v>
          </cell>
          <cell r="W190">
            <v>9.4333333333333336</v>
          </cell>
          <cell r="X190">
            <v>8.8000000000000007</v>
          </cell>
          <cell r="Y190">
            <v>13.2</v>
          </cell>
        </row>
        <row r="191">
          <cell r="S191">
            <v>40618</v>
          </cell>
          <cell r="T191">
            <v>48.933333333333337</v>
          </cell>
          <cell r="U191">
            <v>44.716666666666661</v>
          </cell>
          <cell r="V191">
            <v>10.649999999999999</v>
          </cell>
          <cell r="W191">
            <v>9.7166666666666668</v>
          </cell>
          <cell r="X191">
            <v>1.6</v>
          </cell>
          <cell r="Y191">
            <v>11.8</v>
          </cell>
        </row>
        <row r="192">
          <cell r="S192">
            <v>40619</v>
          </cell>
          <cell r="T192">
            <v>47.616666666666674</v>
          </cell>
          <cell r="U192">
            <v>44.666666666666664</v>
          </cell>
          <cell r="V192">
            <v>10.483333333333333</v>
          </cell>
          <cell r="W192">
            <v>9.8166666666666682</v>
          </cell>
          <cell r="X192">
            <v>0</v>
          </cell>
          <cell r="Y192">
            <v>10.9</v>
          </cell>
        </row>
        <row r="193">
          <cell r="S193">
            <v>40620</v>
          </cell>
          <cell r="T193">
            <v>46.766666666666673</v>
          </cell>
          <cell r="U193">
            <v>44.516666666666673</v>
          </cell>
          <cell r="V193">
            <v>9.7333333333333343</v>
          </cell>
          <cell r="W193">
            <v>9.466666666666665</v>
          </cell>
          <cell r="X193">
            <v>0.2</v>
          </cell>
          <cell r="Y193">
            <v>11.1</v>
          </cell>
        </row>
        <row r="194">
          <cell r="S194">
            <v>40621</v>
          </cell>
          <cell r="T194">
            <v>46.066666666666663</v>
          </cell>
          <cell r="U194">
            <v>44.35</v>
          </cell>
          <cell r="V194">
            <v>10.233333333333334</v>
          </cell>
          <cell r="W194">
            <v>9.5166666666666675</v>
          </cell>
          <cell r="X194">
            <v>0</v>
          </cell>
          <cell r="Y194">
            <v>11.6</v>
          </cell>
        </row>
        <row r="195">
          <cell r="S195">
            <v>40622</v>
          </cell>
          <cell r="T195">
            <v>45.4</v>
          </cell>
          <cell r="U195">
            <v>44.133333333333333</v>
          </cell>
          <cell r="V195">
            <v>9.9166666666666661</v>
          </cell>
          <cell r="W195">
            <v>9.5499999999999989</v>
          </cell>
          <cell r="X195">
            <v>0</v>
          </cell>
          <cell r="Y195">
            <v>10.1</v>
          </cell>
        </row>
        <row r="196">
          <cell r="S196">
            <v>40623</v>
          </cell>
          <cell r="T196">
            <v>42.983333333333327</v>
          </cell>
          <cell r="U196">
            <v>43.916666666666664</v>
          </cell>
          <cell r="V196">
            <v>9.0666666666666647</v>
          </cell>
          <cell r="W196">
            <v>9.1833333333333336</v>
          </cell>
          <cell r="X196">
            <v>0</v>
          </cell>
          <cell r="Y196">
            <v>10.199999999999999</v>
          </cell>
        </row>
        <row r="197">
          <cell r="S197">
            <v>40624</v>
          </cell>
          <cell r="T197">
            <v>34.283333333333331</v>
          </cell>
          <cell r="U197">
            <v>43.583333333333336</v>
          </cell>
          <cell r="V197">
            <v>9.2333333333333325</v>
          </cell>
          <cell r="W197">
            <v>9</v>
          </cell>
          <cell r="X197">
            <v>0</v>
          </cell>
          <cell r="Y197">
            <v>11.5</v>
          </cell>
        </row>
        <row r="198">
          <cell r="S198">
            <v>40625</v>
          </cell>
          <cell r="T198">
            <v>33.483333333333327</v>
          </cell>
          <cell r="U198">
            <v>43.166666666666664</v>
          </cell>
          <cell r="V198">
            <v>9.1666666666666661</v>
          </cell>
          <cell r="W198">
            <v>8.9333333333333336</v>
          </cell>
          <cell r="X198">
            <v>0</v>
          </cell>
          <cell r="Y198">
            <v>12.1</v>
          </cell>
        </row>
        <row r="199">
          <cell r="S199">
            <v>40626</v>
          </cell>
          <cell r="T199">
            <v>33.38333333333334</v>
          </cell>
          <cell r="U199">
            <v>42.6</v>
          </cell>
          <cell r="V199">
            <v>9.3833333333333346</v>
          </cell>
          <cell r="W199">
            <v>8.9499999999999993</v>
          </cell>
          <cell r="X199">
            <v>0</v>
          </cell>
          <cell r="Y199">
            <v>12.7</v>
          </cell>
        </row>
        <row r="200">
          <cell r="S200">
            <v>40627</v>
          </cell>
          <cell r="T200">
            <v>32.883333333333333</v>
          </cell>
          <cell r="U200">
            <v>42.016666666666659</v>
          </cell>
          <cell r="V200">
            <v>9.9833333333333343</v>
          </cell>
          <cell r="W200">
            <v>9.2666666666666657</v>
          </cell>
          <cell r="X200">
            <v>0</v>
          </cell>
          <cell r="Y200">
            <v>12.1</v>
          </cell>
        </row>
        <row r="201">
          <cell r="S201">
            <v>40628</v>
          </cell>
          <cell r="T201">
            <v>32.199999999999996</v>
          </cell>
          <cell r="U201">
            <v>41.516666666666659</v>
          </cell>
          <cell r="V201">
            <v>10.6</v>
          </cell>
          <cell r="W201">
            <v>9.6666666666666661</v>
          </cell>
          <cell r="X201">
            <v>0</v>
          </cell>
          <cell r="Y201">
            <v>13.6</v>
          </cell>
        </row>
        <row r="202">
          <cell r="S202">
            <v>40629</v>
          </cell>
          <cell r="T202">
            <v>32.416666666666664</v>
          </cell>
          <cell r="U202">
            <v>41.116666666666667</v>
          </cell>
          <cell r="V202">
            <v>11.116666666666667</v>
          </cell>
          <cell r="W202">
            <v>10.183333333333332</v>
          </cell>
          <cell r="X202">
            <v>4.2</v>
          </cell>
          <cell r="Y202">
            <v>12.6</v>
          </cell>
        </row>
        <row r="203">
          <cell r="S203">
            <v>40630</v>
          </cell>
          <cell r="T203">
            <v>32.316666666666663</v>
          </cell>
          <cell r="U203">
            <v>40.966666666666669</v>
          </cell>
          <cell r="V203">
            <v>10.966666666666667</v>
          </cell>
          <cell r="W203">
            <v>10.283333333333333</v>
          </cell>
          <cell r="X203">
            <v>2.6</v>
          </cell>
          <cell r="Y203">
            <v>11.4</v>
          </cell>
        </row>
        <row r="204">
          <cell r="S204">
            <v>40631</v>
          </cell>
          <cell r="T204">
            <v>32.133333333333333</v>
          </cell>
          <cell r="U204">
            <v>40.866666666666667</v>
          </cell>
          <cell r="V204">
            <v>10.666666666666666</v>
          </cell>
          <cell r="W204">
            <v>10.200000000000001</v>
          </cell>
          <cell r="X204">
            <v>7.2</v>
          </cell>
          <cell r="Y204">
            <v>11.1</v>
          </cell>
        </row>
        <row r="205">
          <cell r="S205">
            <v>40632</v>
          </cell>
          <cell r="T205">
            <v>32</v>
          </cell>
          <cell r="U205">
            <v>40.916666666666664</v>
          </cell>
          <cell r="V205">
            <v>10.533333333333333</v>
          </cell>
          <cell r="W205">
            <v>10.1</v>
          </cell>
          <cell r="X205">
            <v>2</v>
          </cell>
          <cell r="Y205">
            <v>11.9</v>
          </cell>
        </row>
        <row r="206">
          <cell r="S206">
            <v>40633</v>
          </cell>
          <cell r="T206">
            <v>32.033333333333331</v>
          </cell>
          <cell r="U206">
            <v>40.5</v>
          </cell>
          <cell r="V206">
            <v>11.233333333333334</v>
          </cell>
          <cell r="W206">
            <v>10.333333333333334</v>
          </cell>
          <cell r="X206">
            <v>0.2</v>
          </cell>
          <cell r="Y206">
            <v>13.7</v>
          </cell>
        </row>
        <row r="207">
          <cell r="S207">
            <v>40634</v>
          </cell>
          <cell r="T207">
            <v>31.950000000000003</v>
          </cell>
          <cell r="U207">
            <v>40.133333333333333</v>
          </cell>
          <cell r="V207">
            <v>11.433333333333332</v>
          </cell>
          <cell r="W207">
            <v>10.6</v>
          </cell>
          <cell r="X207">
            <v>0.2</v>
          </cell>
          <cell r="Y207">
            <v>15.3</v>
          </cell>
        </row>
        <row r="208">
          <cell r="S208">
            <v>40635</v>
          </cell>
          <cell r="T208">
            <v>31.733333333333334</v>
          </cell>
          <cell r="U208">
            <v>39.799999999999997</v>
          </cell>
          <cell r="V208">
            <v>12.316666666666665</v>
          </cell>
          <cell r="W208">
            <v>11.100000000000001</v>
          </cell>
          <cell r="X208">
            <v>0</v>
          </cell>
          <cell r="Y208">
            <v>14.7</v>
          </cell>
        </row>
        <row r="209">
          <cell r="S209">
            <v>40636</v>
          </cell>
          <cell r="T209">
            <v>31.5</v>
          </cell>
          <cell r="U209">
            <v>39.550000000000004</v>
          </cell>
          <cell r="V209">
            <v>12.566666666666665</v>
          </cell>
          <cell r="W209">
            <v>11.533333333333333</v>
          </cell>
          <cell r="X209">
            <v>0</v>
          </cell>
          <cell r="Y209">
            <v>13.6</v>
          </cell>
        </row>
        <row r="210">
          <cell r="S210">
            <v>40637</v>
          </cell>
          <cell r="T210">
            <v>31.349999999999998</v>
          </cell>
          <cell r="U210">
            <v>39.383333333333333</v>
          </cell>
          <cell r="V210">
            <v>12.050000000000002</v>
          </cell>
          <cell r="W210">
            <v>11.399999999999999</v>
          </cell>
          <cell r="X210">
            <v>0</v>
          </cell>
          <cell r="Y210">
            <v>12.8</v>
          </cell>
        </row>
        <row r="211">
          <cell r="S211">
            <v>40638</v>
          </cell>
          <cell r="T211">
            <v>31.000000000000004</v>
          </cell>
          <cell r="U211">
            <v>38.983333333333334</v>
          </cell>
          <cell r="V211">
            <v>11.016666666666666</v>
          </cell>
          <cell r="W211">
            <v>10.9</v>
          </cell>
          <cell r="X211">
            <v>0</v>
          </cell>
          <cell r="Y211">
            <v>13.4</v>
          </cell>
        </row>
        <row r="212">
          <cell r="S212">
            <v>40639</v>
          </cell>
          <cell r="T212">
            <v>30.600000000000005</v>
          </cell>
          <cell r="U212">
            <v>38.433333333333337</v>
          </cell>
          <cell r="V212">
            <v>11.166666666666666</v>
          </cell>
          <cell r="W212">
            <v>10.666666666666666</v>
          </cell>
          <cell r="X212">
            <v>0</v>
          </cell>
          <cell r="Y212">
            <v>16.8</v>
          </cell>
        </row>
        <row r="213">
          <cell r="S213">
            <v>40640</v>
          </cell>
          <cell r="T213">
            <v>30.100000000000005</v>
          </cell>
          <cell r="U213">
            <v>37.699999999999996</v>
          </cell>
          <cell r="V213">
            <v>12.41666666666667</v>
          </cell>
          <cell r="W213">
            <v>11.233333333333333</v>
          </cell>
          <cell r="X213">
            <v>0</v>
          </cell>
          <cell r="Y213">
            <v>18.899999999999999</v>
          </cell>
        </row>
        <row r="214">
          <cell r="S214">
            <v>40641</v>
          </cell>
          <cell r="T214">
            <v>29.600000000000005</v>
          </cell>
          <cell r="U214">
            <v>37.000000000000007</v>
          </cell>
          <cell r="V214">
            <v>13.333333333333334</v>
          </cell>
          <cell r="W214">
            <v>11.966666666666667</v>
          </cell>
          <cell r="X214">
            <v>0</v>
          </cell>
          <cell r="Y214">
            <v>19.100000000000001</v>
          </cell>
        </row>
        <row r="215">
          <cell r="S215">
            <v>40642</v>
          </cell>
          <cell r="T215">
            <v>29.033333333333335</v>
          </cell>
          <cell r="U215">
            <v>36.15</v>
          </cell>
          <cell r="V215">
            <v>13.566666666666665</v>
          </cell>
          <cell r="W215">
            <v>12.366666666666667</v>
          </cell>
          <cell r="X215">
            <v>0</v>
          </cell>
          <cell r="Y215">
            <v>19.100000000000001</v>
          </cell>
        </row>
        <row r="216">
          <cell r="S216">
            <v>40643</v>
          </cell>
          <cell r="T216">
            <v>28.816666666666663</v>
          </cell>
          <cell r="U216">
            <v>35.4</v>
          </cell>
          <cell r="V216">
            <v>13.883333333333333</v>
          </cell>
          <cell r="W216">
            <v>12.816666666666668</v>
          </cell>
          <cell r="X216">
            <v>0</v>
          </cell>
          <cell r="Y216">
            <v>14.9</v>
          </cell>
        </row>
        <row r="217">
          <cell r="S217">
            <v>40644</v>
          </cell>
          <cell r="T217">
            <v>28.45</v>
          </cell>
          <cell r="U217">
            <v>35.150000000000006</v>
          </cell>
          <cell r="V217">
            <v>13.516666666666666</v>
          </cell>
          <cell r="W217">
            <v>12.633333333333333</v>
          </cell>
          <cell r="X217">
            <v>0.2</v>
          </cell>
          <cell r="Y217">
            <v>15.3</v>
          </cell>
        </row>
        <row r="218">
          <cell r="S218">
            <v>40645</v>
          </cell>
          <cell r="T218">
            <v>28.066666666666666</v>
          </cell>
          <cell r="U218">
            <v>34.616666666666667</v>
          </cell>
          <cell r="V218">
            <v>13.233333333333334</v>
          </cell>
          <cell r="W218">
            <v>12.6</v>
          </cell>
          <cell r="X218">
            <v>1.8</v>
          </cell>
          <cell r="Y218">
            <v>13.2</v>
          </cell>
        </row>
        <row r="219">
          <cell r="S219">
            <v>40646</v>
          </cell>
          <cell r="T219">
            <v>27.583333333333332</v>
          </cell>
          <cell r="U219">
            <v>33.866666666666667</v>
          </cell>
          <cell r="V219">
            <v>11.583333333333334</v>
          </cell>
          <cell r="W219">
            <v>11.85</v>
          </cell>
          <cell r="X219">
            <v>0</v>
          </cell>
          <cell r="Y219">
            <v>11.9</v>
          </cell>
        </row>
        <row r="220">
          <cell r="S220">
            <v>40647</v>
          </cell>
          <cell r="T220">
            <v>27.05</v>
          </cell>
          <cell r="U220">
            <v>33.016666666666666</v>
          </cell>
          <cell r="V220">
            <v>11.233333333333334</v>
          </cell>
          <cell r="W220">
            <v>11.266666666666666</v>
          </cell>
          <cell r="X220">
            <v>0</v>
          </cell>
          <cell r="Y220">
            <v>13.7</v>
          </cell>
        </row>
        <row r="221">
          <cell r="S221">
            <v>40648</v>
          </cell>
          <cell r="T221">
            <v>26.433333333333334</v>
          </cell>
          <cell r="U221">
            <v>32.1</v>
          </cell>
          <cell r="V221">
            <v>11.549999999999999</v>
          </cell>
          <cell r="W221">
            <v>11.233333333333334</v>
          </cell>
          <cell r="X221">
            <v>0</v>
          </cell>
          <cell r="Y221">
            <v>12.9</v>
          </cell>
        </row>
        <row r="222">
          <cell r="S222">
            <v>40649</v>
          </cell>
          <cell r="T222">
            <v>25.95</v>
          </cell>
          <cell r="U222">
            <v>31.25</v>
          </cell>
          <cell r="V222">
            <v>11.366666666666667</v>
          </cell>
          <cell r="W222">
            <v>11.166666666666666</v>
          </cell>
          <cell r="X222">
            <v>0</v>
          </cell>
          <cell r="Y222">
            <v>13.4</v>
          </cell>
        </row>
        <row r="223">
          <cell r="S223">
            <v>40650</v>
          </cell>
          <cell r="T223">
            <v>25.533333333333335</v>
          </cell>
          <cell r="U223">
            <v>30.3</v>
          </cell>
          <cell r="V223">
            <v>11.6</v>
          </cell>
          <cell r="W223">
            <v>11.15</v>
          </cell>
          <cell r="X223">
            <v>0</v>
          </cell>
          <cell r="Y223">
            <v>14.8</v>
          </cell>
        </row>
        <row r="224">
          <cell r="S224">
            <v>40651</v>
          </cell>
          <cell r="T224">
            <v>25.099999999999998</v>
          </cell>
          <cell r="U224">
            <v>29.400000000000002</v>
          </cell>
          <cell r="V224">
            <v>12.950000000000001</v>
          </cell>
          <cell r="W224">
            <v>11.833333333333334</v>
          </cell>
          <cell r="X224">
            <v>0</v>
          </cell>
          <cell r="Y224">
            <v>16.100000000000001</v>
          </cell>
        </row>
        <row r="225">
          <cell r="S225">
            <v>40652</v>
          </cell>
          <cell r="T225">
            <v>24.566666666666666</v>
          </cell>
          <cell r="U225">
            <v>28.616666666666664</v>
          </cell>
          <cell r="V225">
            <v>13.066666666666665</v>
          </cell>
          <cell r="W225">
            <v>12.266666666666667</v>
          </cell>
          <cell r="X225">
            <v>0</v>
          </cell>
          <cell r="Y225">
            <v>14.9</v>
          </cell>
        </row>
        <row r="226">
          <cell r="S226">
            <v>40653</v>
          </cell>
          <cell r="T226">
            <v>24.05</v>
          </cell>
          <cell r="U226">
            <v>27.916666666666668</v>
          </cell>
          <cell r="V226">
            <v>13.333333333333334</v>
          </cell>
          <cell r="W226">
            <v>12.4</v>
          </cell>
          <cell r="X226">
            <v>0.4</v>
          </cell>
          <cell r="Y226">
            <v>15.8</v>
          </cell>
        </row>
        <row r="227">
          <cell r="S227">
            <v>40654</v>
          </cell>
          <cell r="T227">
            <v>23.633333333333336</v>
          </cell>
          <cell r="U227">
            <v>27.283333333333335</v>
          </cell>
          <cell r="V227">
            <v>13.866666666666665</v>
          </cell>
          <cell r="W227">
            <v>12.733333333333334</v>
          </cell>
          <cell r="X227">
            <v>0</v>
          </cell>
          <cell r="Y227">
            <v>16.7</v>
          </cell>
        </row>
        <row r="228">
          <cell r="S228">
            <v>40655</v>
          </cell>
          <cell r="T228">
            <v>23.233333333333334</v>
          </cell>
          <cell r="U228">
            <v>26.666666666666671</v>
          </cell>
          <cell r="V228">
            <v>14.166666666666666</v>
          </cell>
          <cell r="W228">
            <v>13.1</v>
          </cell>
          <cell r="X228">
            <v>0</v>
          </cell>
          <cell r="Y228">
            <v>15.6</v>
          </cell>
        </row>
        <row r="229">
          <cell r="S229">
            <v>40656</v>
          </cell>
          <cell r="T229">
            <v>22.933333333333337</v>
          </cell>
          <cell r="U229">
            <v>26.3</v>
          </cell>
          <cell r="V229">
            <v>13.616666666666667</v>
          </cell>
          <cell r="W229">
            <v>13.066666666666668</v>
          </cell>
          <cell r="X229">
            <v>4.2</v>
          </cell>
          <cell r="Y229">
            <v>13.4</v>
          </cell>
        </row>
        <row r="230">
          <cell r="S230">
            <v>40657</v>
          </cell>
          <cell r="T230">
            <v>22.866666666666664</v>
          </cell>
          <cell r="U230">
            <v>26.200000000000003</v>
          </cell>
          <cell r="V230">
            <v>13.816666666666665</v>
          </cell>
          <cell r="W230">
            <v>12.916666666666666</v>
          </cell>
          <cell r="X230">
            <v>0</v>
          </cell>
          <cell r="Y230">
            <v>16.3</v>
          </cell>
        </row>
        <row r="231">
          <cell r="S231">
            <v>40658</v>
          </cell>
          <cell r="T231">
            <v>22.7</v>
          </cell>
          <cell r="U231">
            <v>25.950000000000003</v>
          </cell>
          <cell r="V231">
            <v>14.216666666666667</v>
          </cell>
          <cell r="W231">
            <v>13.183333333333335</v>
          </cell>
          <cell r="X231">
            <v>29.7</v>
          </cell>
          <cell r="Y231">
            <v>15.8</v>
          </cell>
        </row>
        <row r="232">
          <cell r="S232">
            <v>40659</v>
          </cell>
          <cell r="T232">
            <v>22.666666666666668</v>
          </cell>
          <cell r="U232">
            <v>25.866666666666671</v>
          </cell>
          <cell r="V232">
            <v>14.65</v>
          </cell>
          <cell r="W232">
            <v>13.466666666666669</v>
          </cell>
          <cell r="X232">
            <v>0</v>
          </cell>
          <cell r="Y232">
            <v>17.2</v>
          </cell>
        </row>
        <row r="233">
          <cell r="S233">
            <v>40660</v>
          </cell>
          <cell r="T233">
            <v>22.566666666666666</v>
          </cell>
          <cell r="U233">
            <v>25.75</v>
          </cell>
          <cell r="V233">
            <v>15.033333333333333</v>
          </cell>
          <cell r="W233">
            <v>13.799999999999999</v>
          </cell>
          <cell r="X233">
            <v>0</v>
          </cell>
          <cell r="Y233">
            <v>16.8</v>
          </cell>
        </row>
        <row r="234">
          <cell r="S234">
            <v>40661</v>
          </cell>
          <cell r="T234">
            <v>22.349999999999998</v>
          </cell>
          <cell r="U234">
            <v>25.500000000000004</v>
          </cell>
          <cell r="V234">
            <v>14.516666666666666</v>
          </cell>
          <cell r="W234">
            <v>13.733333333333333</v>
          </cell>
          <cell r="X234">
            <v>0</v>
          </cell>
          <cell r="Y234">
            <v>15.6</v>
          </cell>
        </row>
        <row r="235">
          <cell r="S235">
            <v>40662</v>
          </cell>
          <cell r="T235">
            <v>22.099999999999998</v>
          </cell>
          <cell r="U235">
            <v>25.133333333333336</v>
          </cell>
          <cell r="V235">
            <v>13.983333333333334</v>
          </cell>
          <cell r="W235">
            <v>13.466666666666667</v>
          </cell>
          <cell r="X235">
            <v>0</v>
          </cell>
          <cell r="Y235">
            <v>15.2</v>
          </cell>
        </row>
        <row r="236">
          <cell r="S236">
            <v>40663</v>
          </cell>
          <cell r="T236">
            <v>21.916666666666671</v>
          </cell>
          <cell r="U236">
            <v>24.799999999999997</v>
          </cell>
          <cell r="V236">
            <v>14.783333333333333</v>
          </cell>
          <cell r="W236">
            <v>13.649999999999999</v>
          </cell>
          <cell r="X236">
            <v>0</v>
          </cell>
          <cell r="Y236">
            <v>16.7</v>
          </cell>
        </row>
        <row r="237">
          <cell r="S237">
            <v>40664</v>
          </cell>
          <cell r="T237">
            <v>21.75</v>
          </cell>
          <cell r="U237">
            <v>24.500000000000004</v>
          </cell>
          <cell r="V237">
            <v>15.299999999999999</v>
          </cell>
          <cell r="W237">
            <v>14.033333333333333</v>
          </cell>
          <cell r="X237">
            <v>0</v>
          </cell>
          <cell r="Y237">
            <v>17.399999999999999</v>
          </cell>
        </row>
        <row r="238">
          <cell r="S238">
            <v>40665</v>
          </cell>
          <cell r="T238">
            <v>21.616666666666664</v>
          </cell>
          <cell r="U238">
            <v>24.233333333333334</v>
          </cell>
          <cell r="V238">
            <v>15.833333333333334</v>
          </cell>
          <cell r="W238">
            <v>14.516666666666667</v>
          </cell>
          <cell r="X238">
            <v>2.2000000000000002</v>
          </cell>
          <cell r="Y238">
            <v>16.8</v>
          </cell>
        </row>
        <row r="239">
          <cell r="S239">
            <v>40666</v>
          </cell>
          <cell r="T239">
            <v>21.516666666666666</v>
          </cell>
          <cell r="U239">
            <v>24.066666666666666</v>
          </cell>
          <cell r="V239">
            <v>15.583333333333334</v>
          </cell>
          <cell r="W239">
            <v>14.583333333333334</v>
          </cell>
          <cell r="X239">
            <v>2.4</v>
          </cell>
          <cell r="Y239">
            <v>15.9</v>
          </cell>
        </row>
        <row r="240">
          <cell r="S240">
            <v>40667</v>
          </cell>
          <cell r="T240">
            <v>21.433333333333337</v>
          </cell>
          <cell r="U240">
            <v>23.950000000000003</v>
          </cell>
          <cell r="V240">
            <v>15.066666666666668</v>
          </cell>
          <cell r="W240">
            <v>14.283333333333331</v>
          </cell>
          <cell r="X240">
            <v>0</v>
          </cell>
          <cell r="Y240">
            <v>16</v>
          </cell>
        </row>
        <row r="241">
          <cell r="S241">
            <v>40668</v>
          </cell>
          <cell r="T241">
            <v>21.283333333333335</v>
          </cell>
          <cell r="U241">
            <v>23.75</v>
          </cell>
          <cell r="V241">
            <v>15.133333333333335</v>
          </cell>
          <cell r="W241">
            <v>14.200000000000001</v>
          </cell>
          <cell r="X241">
            <v>0</v>
          </cell>
          <cell r="Y241">
            <v>17.7</v>
          </cell>
        </row>
        <row r="242">
          <cell r="S242">
            <v>40669</v>
          </cell>
          <cell r="T242">
            <v>21.216666666666669</v>
          </cell>
          <cell r="U242">
            <v>23.599999999999998</v>
          </cell>
          <cell r="V242">
            <v>16.399999999999999</v>
          </cell>
          <cell r="W242">
            <v>14.833333333333334</v>
          </cell>
          <cell r="X242">
            <v>0</v>
          </cell>
          <cell r="Y242">
            <v>18.2</v>
          </cell>
        </row>
        <row r="243">
          <cell r="S243">
            <v>40670</v>
          </cell>
          <cell r="T243">
            <v>21.133333333333329</v>
          </cell>
          <cell r="U243">
            <v>23.483333333333334</v>
          </cell>
          <cell r="V243">
            <v>16.166666666666668</v>
          </cell>
          <cell r="W243">
            <v>15.200000000000001</v>
          </cell>
          <cell r="X243">
            <v>0</v>
          </cell>
          <cell r="Y243">
            <v>17</v>
          </cell>
        </row>
        <row r="244">
          <cell r="S244">
            <v>40671</v>
          </cell>
          <cell r="T244">
            <v>21.05</v>
          </cell>
          <cell r="U244">
            <v>23.366666666666664</v>
          </cell>
          <cell r="V244">
            <v>16.5</v>
          </cell>
          <cell r="W244">
            <v>15.049999999999999</v>
          </cell>
          <cell r="X244">
            <v>0</v>
          </cell>
          <cell r="Y244">
            <v>19.5</v>
          </cell>
        </row>
        <row r="245">
          <cell r="S245">
            <v>40672</v>
          </cell>
          <cell r="T245">
            <v>21.016666666666666</v>
          </cell>
          <cell r="U245">
            <v>23.233333333333334</v>
          </cell>
          <cell r="V245">
            <v>17.333333333333332</v>
          </cell>
          <cell r="W245">
            <v>15.633333333333335</v>
          </cell>
          <cell r="X245">
            <v>0</v>
          </cell>
          <cell r="Y245">
            <v>19.600000000000001</v>
          </cell>
        </row>
        <row r="246">
          <cell r="S246">
            <v>40673</v>
          </cell>
          <cell r="T246">
            <v>20.95</v>
          </cell>
          <cell r="U246">
            <v>23.133333333333329</v>
          </cell>
          <cell r="V246">
            <v>17.866666666666664</v>
          </cell>
          <cell r="W246">
            <v>16.183333333333334</v>
          </cell>
          <cell r="X246">
            <v>0</v>
          </cell>
          <cell r="Y246">
            <v>19</v>
          </cell>
        </row>
        <row r="247">
          <cell r="S247">
            <v>40674</v>
          </cell>
          <cell r="T247">
            <v>20.866666666666664</v>
          </cell>
          <cell r="U247">
            <v>22.983333333333334</v>
          </cell>
          <cell r="V247">
            <v>18.033333333333335</v>
          </cell>
          <cell r="W247">
            <v>16.416666666666668</v>
          </cell>
          <cell r="X247">
            <v>0</v>
          </cell>
          <cell r="Y247">
            <v>20.9</v>
          </cell>
        </row>
        <row r="248">
          <cell r="S248">
            <v>40675</v>
          </cell>
          <cell r="T248">
            <v>20.816666666666666</v>
          </cell>
          <cell r="U248">
            <v>22.916666666666668</v>
          </cell>
          <cell r="V248">
            <v>18.316666666666666</v>
          </cell>
          <cell r="W248">
            <v>16.850000000000001</v>
          </cell>
          <cell r="X248">
            <v>0</v>
          </cell>
          <cell r="Y248">
            <v>18.8</v>
          </cell>
        </row>
        <row r="249">
          <cell r="S249">
            <v>40676</v>
          </cell>
          <cell r="T249">
            <v>20.8</v>
          </cell>
          <cell r="U249">
            <v>22.849999999999998</v>
          </cell>
          <cell r="V249">
            <v>18.666666666666668</v>
          </cell>
          <cell r="W249">
            <v>16.783333333333331</v>
          </cell>
          <cell r="X249">
            <v>0</v>
          </cell>
          <cell r="Y249">
            <v>21</v>
          </cell>
        </row>
        <row r="250">
          <cell r="S250">
            <v>40677</v>
          </cell>
          <cell r="T250">
            <v>20.766666666666666</v>
          </cell>
          <cell r="U250">
            <v>22.8</v>
          </cell>
          <cell r="V250">
            <v>17.916666666666664</v>
          </cell>
          <cell r="W250">
            <v>17.150000000000002</v>
          </cell>
          <cell r="X250">
            <v>4.8</v>
          </cell>
          <cell r="Y250">
            <v>15.1</v>
          </cell>
        </row>
        <row r="251">
          <cell r="S251">
            <v>40678</v>
          </cell>
          <cell r="T251">
            <v>20.700000000000003</v>
          </cell>
          <cell r="U251">
            <v>22.75</v>
          </cell>
          <cell r="V251">
            <v>15.616666666666667</v>
          </cell>
          <cell r="W251">
            <v>15.65</v>
          </cell>
          <cell r="X251" t="str">
            <v>NA</v>
          </cell>
          <cell r="Y251" t="str">
            <v>NA</v>
          </cell>
        </row>
        <row r="252">
          <cell r="S252">
            <v>40679</v>
          </cell>
          <cell r="T252">
            <v>20.633333333333333</v>
          </cell>
          <cell r="U252">
            <v>22.683333333333334</v>
          </cell>
          <cell r="V252">
            <v>14.866666666666665</v>
          </cell>
          <cell r="W252">
            <v>14.816666666666668</v>
          </cell>
          <cell r="X252">
            <v>0</v>
          </cell>
          <cell r="Y252">
            <v>16.100000000000001</v>
          </cell>
        </row>
        <row r="253">
          <cell r="S253">
            <v>40680</v>
          </cell>
          <cell r="T253">
            <v>20.65</v>
          </cell>
          <cell r="U253">
            <v>22.7</v>
          </cell>
          <cell r="V253">
            <v>15.916666666666666</v>
          </cell>
          <cell r="W253">
            <v>15</v>
          </cell>
          <cell r="X253">
            <v>0</v>
          </cell>
          <cell r="Y253">
            <v>19.2</v>
          </cell>
        </row>
        <row r="254">
          <cell r="S254">
            <v>40681</v>
          </cell>
          <cell r="T254">
            <v>20.683333333333334</v>
          </cell>
          <cell r="U254">
            <v>22.75</v>
          </cell>
          <cell r="V254">
            <v>17.216666666666665</v>
          </cell>
          <cell r="W254">
            <v>15.733333333333333</v>
          </cell>
          <cell r="X254">
            <v>0</v>
          </cell>
          <cell r="Y254">
            <v>20.100000000000001</v>
          </cell>
        </row>
        <row r="255">
          <cell r="S255">
            <v>40682</v>
          </cell>
          <cell r="T255">
            <v>20.75</v>
          </cell>
          <cell r="U255">
            <v>22.8</v>
          </cell>
          <cell r="V255">
            <v>18.216666666666669</v>
          </cell>
          <cell r="W255">
            <v>16.483333333333334</v>
          </cell>
          <cell r="X255">
            <v>0</v>
          </cell>
          <cell r="Y255">
            <v>19.5</v>
          </cell>
        </row>
        <row r="256">
          <cell r="S256">
            <v>40683</v>
          </cell>
          <cell r="T256">
            <v>20.75</v>
          </cell>
          <cell r="U256">
            <v>22.900000000000002</v>
          </cell>
          <cell r="V256">
            <v>18.266666666666666</v>
          </cell>
          <cell r="W256">
            <v>16.833333333333332</v>
          </cell>
          <cell r="X256">
            <v>0</v>
          </cell>
          <cell r="Y256">
            <v>20.7</v>
          </cell>
        </row>
        <row r="257">
          <cell r="S257">
            <v>40684</v>
          </cell>
          <cell r="T257">
            <v>20.766666666666666</v>
          </cell>
          <cell r="U257">
            <v>22.900000000000002</v>
          </cell>
          <cell r="V257">
            <v>19.316666666666666</v>
          </cell>
          <cell r="W257">
            <v>17.349999999999998</v>
          </cell>
          <cell r="X257">
            <v>0</v>
          </cell>
          <cell r="Y257">
            <v>21.7</v>
          </cell>
        </row>
        <row r="258">
          <cell r="S258">
            <v>40685</v>
          </cell>
          <cell r="T258">
            <v>20.766666666666669</v>
          </cell>
          <cell r="U258">
            <v>22.950000000000003</v>
          </cell>
          <cell r="V258">
            <v>18.95</v>
          </cell>
          <cell r="W258">
            <v>17.733333333333334</v>
          </cell>
          <cell r="X258">
            <v>0</v>
          </cell>
          <cell r="Y258">
            <v>18.2</v>
          </cell>
        </row>
        <row r="259">
          <cell r="S259">
            <v>40686</v>
          </cell>
          <cell r="T259">
            <v>20.7</v>
          </cell>
          <cell r="U259">
            <v>22.900000000000002</v>
          </cell>
          <cell r="V259">
            <v>18.383333333333336</v>
          </cell>
          <cell r="W259">
            <v>17.133333333333329</v>
          </cell>
          <cell r="X259">
            <v>0</v>
          </cell>
          <cell r="Y259">
            <v>21</v>
          </cell>
        </row>
        <row r="260">
          <cell r="S260">
            <v>40687</v>
          </cell>
          <cell r="T260">
            <v>20.75</v>
          </cell>
          <cell r="U260">
            <v>22.900000000000002</v>
          </cell>
          <cell r="V260">
            <v>19.316666666666666</v>
          </cell>
          <cell r="W260">
            <v>17.666666666666668</v>
          </cell>
          <cell r="X260">
            <v>0</v>
          </cell>
          <cell r="Y260">
            <v>20.9</v>
          </cell>
        </row>
        <row r="261">
          <cell r="S261">
            <v>40688</v>
          </cell>
          <cell r="T261">
            <v>20.783333333333331</v>
          </cell>
          <cell r="U261">
            <v>23</v>
          </cell>
          <cell r="V261">
            <v>20.233333333333331</v>
          </cell>
          <cell r="W261">
            <v>18.216666666666665</v>
          </cell>
          <cell r="X261">
            <v>0</v>
          </cell>
          <cell r="Y261">
            <v>22.9</v>
          </cell>
        </row>
        <row r="262">
          <cell r="S262">
            <v>40689</v>
          </cell>
          <cell r="T262">
            <v>20.816666666666666</v>
          </cell>
          <cell r="U262">
            <v>23</v>
          </cell>
          <cell r="V262">
            <v>19.866666666666664</v>
          </cell>
          <cell r="W262">
            <v>18.683333333333334</v>
          </cell>
          <cell r="X262">
            <v>0</v>
          </cell>
          <cell r="Y262">
            <v>19.600000000000001</v>
          </cell>
        </row>
        <row r="263">
          <cell r="S263">
            <v>40690</v>
          </cell>
          <cell r="T263">
            <v>20.716666666666669</v>
          </cell>
          <cell r="U263">
            <v>22.933333333333337</v>
          </cell>
          <cell r="V263">
            <v>18.55</v>
          </cell>
          <cell r="W263">
            <v>17.883333333333333</v>
          </cell>
          <cell r="X263">
            <v>0</v>
          </cell>
          <cell r="Y263">
            <v>16.3</v>
          </cell>
        </row>
        <row r="264">
          <cell r="S264">
            <v>40691</v>
          </cell>
          <cell r="T264">
            <v>20.666666666666668</v>
          </cell>
          <cell r="U264">
            <v>22.900000000000002</v>
          </cell>
          <cell r="V264">
            <v>18.166666666666668</v>
          </cell>
          <cell r="W264">
            <v>17.399999999999999</v>
          </cell>
          <cell r="X264">
            <v>0</v>
          </cell>
          <cell r="Y264">
            <v>18</v>
          </cell>
        </row>
        <row r="265">
          <cell r="S265">
            <v>40692</v>
          </cell>
          <cell r="T265">
            <v>20.7</v>
          </cell>
          <cell r="U265">
            <v>22.900000000000002</v>
          </cell>
          <cell r="V265">
            <v>18.916666666666668</v>
          </cell>
          <cell r="W265">
            <v>17.75</v>
          </cell>
          <cell r="X265">
            <v>0</v>
          </cell>
          <cell r="Y265">
            <v>21</v>
          </cell>
        </row>
        <row r="266">
          <cell r="S266">
            <v>40693</v>
          </cell>
          <cell r="T266">
            <v>20.783333333333335</v>
          </cell>
          <cell r="U266">
            <v>23</v>
          </cell>
          <cell r="V266">
            <v>19.966666666666665</v>
          </cell>
          <cell r="W266">
            <v>18.633333333333333</v>
          </cell>
          <cell r="X266">
            <v>9.6999999999999993</v>
          </cell>
          <cell r="Y266">
            <v>20.100000000000001</v>
          </cell>
        </row>
        <row r="267">
          <cell r="S267">
            <v>40694</v>
          </cell>
          <cell r="T267">
            <v>26.216666666666669</v>
          </cell>
          <cell r="U267">
            <v>23</v>
          </cell>
          <cell r="V267">
            <v>18.166666666666668</v>
          </cell>
          <cell r="W267">
            <v>18.083333333333332</v>
          </cell>
          <cell r="X267">
            <v>2.4</v>
          </cell>
          <cell r="Y267">
            <v>15.3</v>
          </cell>
        </row>
        <row r="268">
          <cell r="S268">
            <v>40695</v>
          </cell>
          <cell r="T268">
            <v>24.783333333333335</v>
          </cell>
          <cell r="U268">
            <v>22.933333333333337</v>
          </cell>
          <cell r="V268">
            <v>15.600000000000001</v>
          </cell>
          <cell r="W268">
            <v>16.533333333333331</v>
          </cell>
          <cell r="X268">
            <v>5</v>
          </cell>
          <cell r="Y268">
            <v>12.9</v>
          </cell>
        </row>
        <row r="269">
          <cell r="S269">
            <v>40696</v>
          </cell>
          <cell r="T269">
            <v>23.849999999999998</v>
          </cell>
          <cell r="U269">
            <v>22.833333333333332</v>
          </cell>
          <cell r="V269">
            <v>14.850000000000001</v>
          </cell>
          <cell r="W269">
            <v>15.399999999999999</v>
          </cell>
          <cell r="X269">
            <v>1.8</v>
          </cell>
          <cell r="Y269">
            <v>13.3</v>
          </cell>
        </row>
        <row r="270">
          <cell r="S270">
            <v>40697</v>
          </cell>
          <cell r="T270">
            <v>23.55</v>
          </cell>
          <cell r="U270">
            <v>22.816666666666666</v>
          </cell>
          <cell r="V270">
            <v>16.166666666666668</v>
          </cell>
          <cell r="W270">
            <v>15.466666666666667</v>
          </cell>
          <cell r="X270">
            <v>0</v>
          </cell>
          <cell r="Y270">
            <v>17.2</v>
          </cell>
        </row>
        <row r="271">
          <cell r="S271">
            <v>40698</v>
          </cell>
          <cell r="T271">
            <v>23.533333333333331</v>
          </cell>
          <cell r="U271">
            <v>22.900000000000002</v>
          </cell>
          <cell r="V271">
            <v>16.966666666666665</v>
          </cell>
          <cell r="W271">
            <v>16.233333333333331</v>
          </cell>
          <cell r="X271">
            <v>2.2000000000000002</v>
          </cell>
          <cell r="Y271">
            <v>17.600000000000001</v>
          </cell>
        </row>
        <row r="272">
          <cell r="S272">
            <v>40699</v>
          </cell>
          <cell r="T272">
            <v>23.533333333333331</v>
          </cell>
          <cell r="U272">
            <v>22.933333333333334</v>
          </cell>
          <cell r="V272">
            <v>17.416666666666668</v>
          </cell>
          <cell r="W272">
            <v>16.416666666666668</v>
          </cell>
          <cell r="X272">
            <v>0</v>
          </cell>
          <cell r="Y272">
            <v>19</v>
          </cell>
        </row>
        <row r="273">
          <cell r="S273">
            <v>40700</v>
          </cell>
          <cell r="T273">
            <v>23.583333333333332</v>
          </cell>
          <cell r="U273">
            <v>23</v>
          </cell>
          <cell r="V273">
            <v>18.133333333333333</v>
          </cell>
          <cell r="W273">
            <v>16.916666666666668</v>
          </cell>
          <cell r="X273">
            <v>0</v>
          </cell>
          <cell r="Y273">
            <v>19.600000000000001</v>
          </cell>
        </row>
        <row r="274">
          <cell r="S274">
            <v>40701</v>
          </cell>
          <cell r="T274">
            <v>23.616666666666664</v>
          </cell>
          <cell r="U274">
            <v>23.083333333333332</v>
          </cell>
          <cell r="V274">
            <v>17.7</v>
          </cell>
          <cell r="W274">
            <v>17.216666666666669</v>
          </cell>
          <cell r="X274">
            <v>18</v>
          </cell>
          <cell r="Y274">
            <v>15.4</v>
          </cell>
        </row>
        <row r="275">
          <cell r="S275">
            <v>40702</v>
          </cell>
          <cell r="T275">
            <v>23.524999999999999</v>
          </cell>
          <cell r="U275">
            <v>23</v>
          </cell>
          <cell r="V275">
            <v>15.925000000000001</v>
          </cell>
          <cell r="W275">
            <v>16.399999999999999</v>
          </cell>
          <cell r="X275">
            <v>3.2</v>
          </cell>
          <cell r="Y275">
            <v>15.1</v>
          </cell>
        </row>
        <row r="276">
          <cell r="S276">
            <v>40703</v>
          </cell>
          <cell r="T276" t="str">
            <v>NA</v>
          </cell>
          <cell r="U276" t="str">
            <v>NA</v>
          </cell>
          <cell r="V276" t="str">
            <v>NA</v>
          </cell>
          <cell r="W276" t="str">
            <v>NA</v>
          </cell>
          <cell r="X276">
            <v>0.4</v>
          </cell>
          <cell r="Y276">
            <v>17</v>
          </cell>
        </row>
        <row r="277">
          <cell r="S277">
            <v>40704</v>
          </cell>
          <cell r="T277" t="str">
            <v>NA</v>
          </cell>
          <cell r="U277" t="str">
            <v>NA</v>
          </cell>
          <cell r="V277" t="str">
            <v>NA</v>
          </cell>
          <cell r="W277" t="str">
            <v>NA</v>
          </cell>
          <cell r="X277">
            <v>0.6</v>
          </cell>
          <cell r="Y277">
            <v>15.7</v>
          </cell>
        </row>
      </sheetData>
      <sheetData sheetId="9">
        <row r="8">
          <cell r="K8" t="str">
            <v>TM</v>
          </cell>
          <cell r="L8" t="str">
            <v>TN</v>
          </cell>
          <cell r="M8" t="str">
            <v>TX</v>
          </cell>
        </row>
        <row r="9">
          <cell r="K9">
            <v>18.2</v>
          </cell>
          <cell r="L9">
            <v>14.1</v>
          </cell>
          <cell r="M9">
            <v>23.9</v>
          </cell>
          <cell r="N9">
            <v>40429</v>
          </cell>
        </row>
        <row r="10">
          <cell r="K10">
            <v>18.5</v>
          </cell>
          <cell r="L10">
            <v>15</v>
          </cell>
          <cell r="M10">
            <v>24</v>
          </cell>
          <cell r="N10">
            <v>40430</v>
          </cell>
        </row>
        <row r="11">
          <cell r="K11">
            <v>19.399999999999999</v>
          </cell>
          <cell r="L11">
            <v>15.2</v>
          </cell>
          <cell r="M11">
            <v>24.7</v>
          </cell>
          <cell r="N11">
            <v>40431</v>
          </cell>
        </row>
        <row r="12">
          <cell r="K12">
            <v>20.9</v>
          </cell>
          <cell r="L12">
            <v>11.5</v>
          </cell>
          <cell r="M12">
            <v>29.6</v>
          </cell>
          <cell r="N12">
            <v>40432</v>
          </cell>
        </row>
        <row r="13">
          <cell r="K13">
            <v>21.1</v>
          </cell>
          <cell r="L13">
            <v>15.7</v>
          </cell>
          <cell r="M13">
            <v>26.3</v>
          </cell>
          <cell r="N13">
            <v>40433</v>
          </cell>
        </row>
        <row r="14">
          <cell r="K14">
            <v>19.100000000000001</v>
          </cell>
          <cell r="L14">
            <v>14.7</v>
          </cell>
          <cell r="M14">
            <v>24.7</v>
          </cell>
          <cell r="N14">
            <v>40434</v>
          </cell>
        </row>
        <row r="15">
          <cell r="K15">
            <v>18.899999999999999</v>
          </cell>
          <cell r="L15">
            <v>10.1</v>
          </cell>
          <cell r="M15">
            <v>26.6</v>
          </cell>
          <cell r="N15">
            <v>40435</v>
          </cell>
        </row>
        <row r="16">
          <cell r="K16">
            <v>20.7</v>
          </cell>
          <cell r="L16">
            <v>12.1</v>
          </cell>
          <cell r="M16">
            <v>28.8</v>
          </cell>
          <cell r="N16">
            <v>40436</v>
          </cell>
        </row>
        <row r="17">
          <cell r="K17">
            <v>16.100000000000001</v>
          </cell>
          <cell r="L17">
            <v>14.8</v>
          </cell>
          <cell r="M17">
            <v>17.600000000000001</v>
          </cell>
          <cell r="N17">
            <v>40437</v>
          </cell>
        </row>
        <row r="18">
          <cell r="K18">
            <v>17.399999999999999</v>
          </cell>
          <cell r="L18">
            <v>15</v>
          </cell>
          <cell r="M18">
            <v>20.8</v>
          </cell>
          <cell r="N18">
            <v>40438</v>
          </cell>
        </row>
        <row r="19">
          <cell r="K19">
            <v>16.3</v>
          </cell>
          <cell r="L19">
            <v>13.4</v>
          </cell>
          <cell r="M19">
            <v>21.5</v>
          </cell>
          <cell r="N19">
            <v>40439</v>
          </cell>
        </row>
        <row r="20">
          <cell r="K20">
            <v>15.4</v>
          </cell>
          <cell r="L20">
            <v>8.6</v>
          </cell>
          <cell r="M20">
            <v>25.3</v>
          </cell>
          <cell r="N20">
            <v>40440</v>
          </cell>
        </row>
        <row r="21">
          <cell r="J21">
            <v>0</v>
          </cell>
          <cell r="K21">
            <v>18</v>
          </cell>
          <cell r="L21">
            <v>7.9</v>
          </cell>
          <cell r="M21">
            <v>27.8</v>
          </cell>
          <cell r="N21">
            <v>40441</v>
          </cell>
        </row>
        <row r="22">
          <cell r="J22">
            <v>0</v>
          </cell>
          <cell r="K22">
            <v>19.399999999999999</v>
          </cell>
          <cell r="L22">
            <v>17.7</v>
          </cell>
          <cell r="M22">
            <v>23.1</v>
          </cell>
          <cell r="N22">
            <v>40442</v>
          </cell>
        </row>
        <row r="23">
          <cell r="J23">
            <v>0</v>
          </cell>
          <cell r="K23">
            <v>21.2</v>
          </cell>
          <cell r="L23">
            <v>13.7</v>
          </cell>
          <cell r="M23">
            <v>29.7</v>
          </cell>
          <cell r="N23">
            <v>40443</v>
          </cell>
        </row>
        <row r="24">
          <cell r="J24">
            <v>10.3</v>
          </cell>
          <cell r="K24">
            <v>19.7</v>
          </cell>
          <cell r="L24">
            <v>14.6</v>
          </cell>
          <cell r="M24">
            <v>24</v>
          </cell>
          <cell r="N24">
            <v>40444</v>
          </cell>
        </row>
        <row r="25">
          <cell r="J25">
            <v>6.4</v>
          </cell>
          <cell r="K25">
            <v>16.3</v>
          </cell>
          <cell r="L25">
            <v>14.4</v>
          </cell>
          <cell r="M25">
            <v>21.1</v>
          </cell>
          <cell r="N25">
            <v>40445</v>
          </cell>
        </row>
        <row r="26">
          <cell r="J26">
            <v>0</v>
          </cell>
          <cell r="K26">
            <v>14.9</v>
          </cell>
          <cell r="L26">
            <v>13.5</v>
          </cell>
          <cell r="M26">
            <v>19.3</v>
          </cell>
          <cell r="N26">
            <v>40446</v>
          </cell>
        </row>
        <row r="27">
          <cell r="J27">
            <v>0</v>
          </cell>
          <cell r="K27">
            <v>12.7</v>
          </cell>
          <cell r="L27">
            <v>9</v>
          </cell>
          <cell r="M27">
            <v>16.600000000000001</v>
          </cell>
          <cell r="N27">
            <v>40447</v>
          </cell>
        </row>
        <row r="28">
          <cell r="J28">
            <v>0</v>
          </cell>
          <cell r="K28">
            <v>12.5</v>
          </cell>
          <cell r="L28">
            <v>6.5</v>
          </cell>
          <cell r="M28">
            <v>17.7</v>
          </cell>
          <cell r="N28">
            <v>40448</v>
          </cell>
        </row>
        <row r="29">
          <cell r="J29">
            <v>0</v>
          </cell>
          <cell r="K29">
            <v>13.9</v>
          </cell>
          <cell r="L29">
            <v>10.7</v>
          </cell>
          <cell r="M29">
            <v>19.100000000000001</v>
          </cell>
          <cell r="N29">
            <v>40449</v>
          </cell>
        </row>
        <row r="30">
          <cell r="J30">
            <v>0</v>
          </cell>
          <cell r="K30">
            <v>14.3</v>
          </cell>
          <cell r="L30">
            <v>6.8</v>
          </cell>
          <cell r="M30">
            <v>21.7</v>
          </cell>
          <cell r="N30">
            <v>40450</v>
          </cell>
        </row>
        <row r="31">
          <cell r="J31">
            <v>0</v>
          </cell>
          <cell r="K31">
            <v>14.2</v>
          </cell>
          <cell r="L31">
            <v>10</v>
          </cell>
          <cell r="M31">
            <v>17.7</v>
          </cell>
          <cell r="N31">
            <v>40451</v>
          </cell>
        </row>
        <row r="32">
          <cell r="J32">
            <v>0.2</v>
          </cell>
          <cell r="K32">
            <v>16.100000000000001</v>
          </cell>
          <cell r="L32">
            <v>9.4</v>
          </cell>
          <cell r="M32">
            <v>23.3</v>
          </cell>
          <cell r="N32">
            <v>40452</v>
          </cell>
        </row>
        <row r="33">
          <cell r="J33">
            <v>0</v>
          </cell>
          <cell r="K33">
            <v>18.3</v>
          </cell>
          <cell r="L33">
            <v>14.7</v>
          </cell>
          <cell r="M33">
            <v>22.6</v>
          </cell>
          <cell r="N33">
            <v>40453</v>
          </cell>
        </row>
        <row r="34">
          <cell r="J34">
            <v>0</v>
          </cell>
          <cell r="K34">
            <v>21.5</v>
          </cell>
          <cell r="L34">
            <v>17.899999999999999</v>
          </cell>
          <cell r="M34">
            <v>26.7</v>
          </cell>
          <cell r="N34">
            <v>40454</v>
          </cell>
        </row>
        <row r="35">
          <cell r="J35">
            <v>2.6</v>
          </cell>
          <cell r="K35">
            <v>16.7</v>
          </cell>
          <cell r="L35">
            <v>13.9</v>
          </cell>
          <cell r="M35">
            <v>21</v>
          </cell>
          <cell r="N35">
            <v>40455</v>
          </cell>
        </row>
        <row r="36">
          <cell r="J36">
            <v>0</v>
          </cell>
          <cell r="K36">
            <v>17.3</v>
          </cell>
          <cell r="L36">
            <v>10.9</v>
          </cell>
          <cell r="M36">
            <v>22.9</v>
          </cell>
          <cell r="N36">
            <v>40456</v>
          </cell>
        </row>
        <row r="37">
          <cell r="J37">
            <v>0</v>
          </cell>
          <cell r="K37">
            <v>19.2</v>
          </cell>
          <cell r="L37">
            <v>15.4</v>
          </cell>
          <cell r="M37">
            <v>24.9</v>
          </cell>
          <cell r="N37">
            <v>40457</v>
          </cell>
        </row>
        <row r="38">
          <cell r="J38">
            <v>0</v>
          </cell>
          <cell r="K38">
            <v>20</v>
          </cell>
          <cell r="L38">
            <v>15</v>
          </cell>
          <cell r="M38">
            <v>25</v>
          </cell>
          <cell r="N38">
            <v>40458</v>
          </cell>
        </row>
        <row r="39">
          <cell r="J39">
            <v>0</v>
          </cell>
          <cell r="K39">
            <v>20.399999999999999</v>
          </cell>
          <cell r="L39">
            <v>17.7</v>
          </cell>
          <cell r="M39">
            <v>25.1</v>
          </cell>
          <cell r="N39">
            <v>40459</v>
          </cell>
        </row>
        <row r="40">
          <cell r="J40">
            <v>6.7</v>
          </cell>
          <cell r="K40">
            <v>19.3</v>
          </cell>
          <cell r="L40">
            <v>17.5</v>
          </cell>
          <cell r="M40">
            <v>23.8</v>
          </cell>
          <cell r="N40">
            <v>40460</v>
          </cell>
        </row>
        <row r="41">
          <cell r="J41">
            <v>57.3</v>
          </cell>
          <cell r="K41">
            <v>15.5</v>
          </cell>
          <cell r="L41">
            <v>14.5</v>
          </cell>
          <cell r="M41">
            <v>16.399999999999999</v>
          </cell>
          <cell r="N41">
            <v>40461</v>
          </cell>
        </row>
        <row r="42">
          <cell r="J42">
            <v>1</v>
          </cell>
          <cell r="K42">
            <v>15.3</v>
          </cell>
          <cell r="L42">
            <v>13.9</v>
          </cell>
          <cell r="M42">
            <v>17.899999999999999</v>
          </cell>
          <cell r="N42">
            <v>40462</v>
          </cell>
        </row>
        <row r="43">
          <cell r="J43">
            <v>0</v>
          </cell>
          <cell r="K43">
            <v>16.3</v>
          </cell>
          <cell r="L43">
            <v>13.2</v>
          </cell>
          <cell r="M43">
            <v>21.3</v>
          </cell>
          <cell r="N43">
            <v>40463</v>
          </cell>
        </row>
        <row r="44">
          <cell r="J44">
            <v>0</v>
          </cell>
          <cell r="K44">
            <v>16</v>
          </cell>
          <cell r="L44">
            <v>12.7</v>
          </cell>
          <cell r="M44">
            <v>20.7</v>
          </cell>
          <cell r="N44">
            <v>40464</v>
          </cell>
        </row>
        <row r="45">
          <cell r="J45">
            <v>0.2</v>
          </cell>
          <cell r="K45">
            <v>13.5</v>
          </cell>
          <cell r="L45">
            <v>11.6</v>
          </cell>
          <cell r="M45">
            <v>17.600000000000001</v>
          </cell>
          <cell r="N45">
            <v>40465</v>
          </cell>
        </row>
        <row r="46">
          <cell r="J46">
            <v>0</v>
          </cell>
          <cell r="K46">
            <v>9.5</v>
          </cell>
          <cell r="L46">
            <v>7</v>
          </cell>
          <cell r="M46">
            <v>14.3</v>
          </cell>
          <cell r="N46">
            <v>40466</v>
          </cell>
        </row>
        <row r="47">
          <cell r="J47">
            <v>0.2</v>
          </cell>
          <cell r="K47">
            <v>9.6999999999999993</v>
          </cell>
          <cell r="L47">
            <v>6.9</v>
          </cell>
          <cell r="M47">
            <v>12.9</v>
          </cell>
          <cell r="N47">
            <v>40467</v>
          </cell>
        </row>
        <row r="48">
          <cell r="J48">
            <v>0</v>
          </cell>
          <cell r="K48">
            <v>9.1999999999999993</v>
          </cell>
          <cell r="L48">
            <v>7.9</v>
          </cell>
          <cell r="M48">
            <v>12.5</v>
          </cell>
          <cell r="N48">
            <v>40468</v>
          </cell>
        </row>
        <row r="49">
          <cell r="J49">
            <v>0</v>
          </cell>
          <cell r="K49">
            <v>6.7</v>
          </cell>
          <cell r="L49">
            <v>5.5</v>
          </cell>
          <cell r="M49">
            <v>9.9</v>
          </cell>
          <cell r="N49">
            <v>40469</v>
          </cell>
        </row>
        <row r="50">
          <cell r="J50">
            <v>0</v>
          </cell>
          <cell r="K50">
            <v>10.6</v>
          </cell>
          <cell r="L50">
            <v>4.0999999999999996</v>
          </cell>
          <cell r="M50">
            <v>16.2</v>
          </cell>
          <cell r="N50">
            <v>40470</v>
          </cell>
        </row>
        <row r="51">
          <cell r="J51">
            <v>0.2</v>
          </cell>
          <cell r="K51">
            <v>11.2</v>
          </cell>
          <cell r="L51">
            <v>10</v>
          </cell>
          <cell r="M51">
            <v>15.6</v>
          </cell>
          <cell r="N51">
            <v>40471</v>
          </cell>
        </row>
        <row r="52">
          <cell r="J52">
            <v>0</v>
          </cell>
          <cell r="K52">
            <v>8.4</v>
          </cell>
          <cell r="L52">
            <v>2.6</v>
          </cell>
          <cell r="M52">
            <v>14.4</v>
          </cell>
          <cell r="N52">
            <v>40472</v>
          </cell>
        </row>
        <row r="53">
          <cell r="J53">
            <v>0</v>
          </cell>
          <cell r="K53">
            <v>11.5</v>
          </cell>
          <cell r="L53">
            <v>3.8</v>
          </cell>
          <cell r="M53">
            <v>18.3</v>
          </cell>
          <cell r="N53">
            <v>40473</v>
          </cell>
        </row>
        <row r="54">
          <cell r="J54">
            <v>1.8</v>
          </cell>
          <cell r="K54">
            <v>12.9</v>
          </cell>
          <cell r="L54">
            <v>8.4</v>
          </cell>
          <cell r="M54">
            <v>18.399999999999999</v>
          </cell>
          <cell r="N54">
            <v>40474</v>
          </cell>
        </row>
        <row r="55">
          <cell r="J55">
            <v>11.1</v>
          </cell>
          <cell r="K55">
            <v>11.1</v>
          </cell>
          <cell r="L55">
            <v>10.1</v>
          </cell>
          <cell r="M55">
            <v>14.4</v>
          </cell>
          <cell r="N55">
            <v>40475</v>
          </cell>
        </row>
        <row r="56">
          <cell r="J56">
            <v>0</v>
          </cell>
          <cell r="K56">
            <v>8.4</v>
          </cell>
          <cell r="L56">
            <v>7.1</v>
          </cell>
          <cell r="M56">
            <v>11.6</v>
          </cell>
          <cell r="N56">
            <v>40476</v>
          </cell>
        </row>
        <row r="57">
          <cell r="J57">
            <v>0</v>
          </cell>
          <cell r="K57">
            <v>7.1</v>
          </cell>
          <cell r="L57">
            <v>3.5</v>
          </cell>
          <cell r="M57">
            <v>12.6</v>
          </cell>
          <cell r="N57">
            <v>40477</v>
          </cell>
        </row>
        <row r="58">
          <cell r="J58">
            <v>0</v>
          </cell>
          <cell r="K58">
            <v>7.5</v>
          </cell>
          <cell r="L58">
            <v>0.6</v>
          </cell>
          <cell r="M58">
            <v>16.8</v>
          </cell>
          <cell r="N58">
            <v>40478</v>
          </cell>
        </row>
        <row r="59">
          <cell r="J59">
            <v>0</v>
          </cell>
          <cell r="K59">
            <v>9.6</v>
          </cell>
          <cell r="L59">
            <v>4.2</v>
          </cell>
          <cell r="M59">
            <v>17.899999999999999</v>
          </cell>
          <cell r="N59">
            <v>40479</v>
          </cell>
        </row>
        <row r="60">
          <cell r="J60">
            <v>0</v>
          </cell>
          <cell r="K60">
            <v>15.2</v>
          </cell>
          <cell r="L60">
            <v>6.3</v>
          </cell>
          <cell r="M60">
            <v>19</v>
          </cell>
          <cell r="N60">
            <v>40480</v>
          </cell>
        </row>
        <row r="61">
          <cell r="J61">
            <v>0</v>
          </cell>
          <cell r="K61">
            <v>13.1</v>
          </cell>
          <cell r="L61">
            <v>10.6</v>
          </cell>
          <cell r="M61">
            <v>16.399999999999999</v>
          </cell>
          <cell r="N61">
            <v>40481</v>
          </cell>
        </row>
        <row r="62">
          <cell r="J62">
            <v>4.5999999999999996</v>
          </cell>
          <cell r="K62">
            <v>10.9</v>
          </cell>
          <cell r="L62">
            <v>8.4</v>
          </cell>
          <cell r="M62">
            <v>14.1</v>
          </cell>
          <cell r="N62">
            <v>40482</v>
          </cell>
        </row>
        <row r="63">
          <cell r="J63">
            <v>4.5</v>
          </cell>
          <cell r="K63">
            <v>12</v>
          </cell>
          <cell r="L63">
            <v>9.6</v>
          </cell>
          <cell r="M63">
            <v>13.9</v>
          </cell>
          <cell r="N63">
            <v>40483</v>
          </cell>
        </row>
        <row r="64">
          <cell r="J64">
            <v>0</v>
          </cell>
          <cell r="K64">
            <v>12.9</v>
          </cell>
          <cell r="L64">
            <v>9.6</v>
          </cell>
          <cell r="M64">
            <v>16.5</v>
          </cell>
          <cell r="N64">
            <v>40484</v>
          </cell>
        </row>
        <row r="65">
          <cell r="J65">
            <v>0.8</v>
          </cell>
          <cell r="K65">
            <v>14.5</v>
          </cell>
          <cell r="L65">
            <v>12.4</v>
          </cell>
          <cell r="M65">
            <v>17.100000000000001</v>
          </cell>
          <cell r="N65">
            <v>40485</v>
          </cell>
        </row>
        <row r="66">
          <cell r="J66">
            <v>0.8</v>
          </cell>
          <cell r="K66">
            <v>14.2</v>
          </cell>
          <cell r="L66">
            <v>11</v>
          </cell>
          <cell r="M66">
            <v>17.399999999999999</v>
          </cell>
          <cell r="N66">
            <v>40486</v>
          </cell>
        </row>
        <row r="67">
          <cell r="J67">
            <v>0.2</v>
          </cell>
          <cell r="K67">
            <v>14.6</v>
          </cell>
          <cell r="L67">
            <v>14.1</v>
          </cell>
          <cell r="M67">
            <v>15.7</v>
          </cell>
          <cell r="N67">
            <v>40487</v>
          </cell>
        </row>
        <row r="68">
          <cell r="J68">
            <v>0.4</v>
          </cell>
          <cell r="K68">
            <v>14.1</v>
          </cell>
          <cell r="L68">
            <v>12.9</v>
          </cell>
          <cell r="M68">
            <v>16.600000000000001</v>
          </cell>
          <cell r="N68">
            <v>40488</v>
          </cell>
        </row>
        <row r="69">
          <cell r="J69">
            <v>3.4</v>
          </cell>
          <cell r="K69">
            <v>9.9</v>
          </cell>
          <cell r="L69">
            <v>7.5</v>
          </cell>
          <cell r="M69">
            <v>12.8</v>
          </cell>
          <cell r="N69">
            <v>40489</v>
          </cell>
        </row>
        <row r="70">
          <cell r="J70">
            <v>8.4</v>
          </cell>
          <cell r="K70">
            <v>7.9</v>
          </cell>
          <cell r="L70">
            <v>3.5</v>
          </cell>
          <cell r="M70">
            <v>11.5</v>
          </cell>
          <cell r="N70">
            <v>40490</v>
          </cell>
        </row>
        <row r="71">
          <cell r="J71">
            <v>1.4</v>
          </cell>
          <cell r="K71">
            <v>10.5</v>
          </cell>
          <cell r="L71">
            <v>7.5</v>
          </cell>
          <cell r="M71">
            <v>13.8</v>
          </cell>
          <cell r="N71">
            <v>40491</v>
          </cell>
        </row>
        <row r="72">
          <cell r="J72">
            <v>5.2</v>
          </cell>
          <cell r="K72">
            <v>9</v>
          </cell>
          <cell r="L72">
            <v>8</v>
          </cell>
          <cell r="M72">
            <v>12</v>
          </cell>
          <cell r="N72">
            <v>40492</v>
          </cell>
        </row>
        <row r="73">
          <cell r="J73">
            <v>0.6</v>
          </cell>
          <cell r="K73">
            <v>9.4</v>
          </cell>
          <cell r="L73">
            <v>2.2000000000000002</v>
          </cell>
          <cell r="M73">
            <v>15.6</v>
          </cell>
          <cell r="N73">
            <v>40493</v>
          </cell>
        </row>
        <row r="74">
          <cell r="J74">
            <v>0.6</v>
          </cell>
          <cell r="K74">
            <v>14.2</v>
          </cell>
          <cell r="L74">
            <v>11.3</v>
          </cell>
          <cell r="M74">
            <v>18.7</v>
          </cell>
          <cell r="N74">
            <v>40494</v>
          </cell>
        </row>
        <row r="75">
          <cell r="J75">
            <v>0.2</v>
          </cell>
          <cell r="K75">
            <v>12.5</v>
          </cell>
          <cell r="L75">
            <v>5</v>
          </cell>
          <cell r="M75">
            <v>19.7</v>
          </cell>
          <cell r="N75">
            <v>40495</v>
          </cell>
        </row>
        <row r="76">
          <cell r="J76">
            <v>2.6</v>
          </cell>
          <cell r="K76">
            <v>13.7</v>
          </cell>
          <cell r="L76">
            <v>10.8</v>
          </cell>
          <cell r="M76">
            <v>20.100000000000001</v>
          </cell>
          <cell r="N76">
            <v>40496</v>
          </cell>
        </row>
        <row r="77">
          <cell r="J77">
            <v>3</v>
          </cell>
          <cell r="K77">
            <v>9.6</v>
          </cell>
          <cell r="L77">
            <v>8.6</v>
          </cell>
          <cell r="M77">
            <v>13</v>
          </cell>
          <cell r="N77">
            <v>40497</v>
          </cell>
        </row>
        <row r="78">
          <cell r="J78">
            <v>0</v>
          </cell>
          <cell r="K78">
            <v>7.7</v>
          </cell>
          <cell r="L78">
            <v>6.9</v>
          </cell>
          <cell r="M78">
            <v>12.2</v>
          </cell>
          <cell r="N78">
            <v>40498</v>
          </cell>
        </row>
        <row r="79">
          <cell r="J79">
            <v>8.5</v>
          </cell>
          <cell r="K79">
            <v>5</v>
          </cell>
          <cell r="L79">
            <v>-0.5</v>
          </cell>
          <cell r="M79">
            <v>9.3000000000000007</v>
          </cell>
          <cell r="N79">
            <v>40499</v>
          </cell>
        </row>
        <row r="80">
          <cell r="J80">
            <v>0</v>
          </cell>
          <cell r="K80">
            <v>9</v>
          </cell>
          <cell r="L80">
            <v>7</v>
          </cell>
          <cell r="M80">
            <v>12</v>
          </cell>
          <cell r="N80">
            <v>40500</v>
          </cell>
        </row>
        <row r="81">
          <cell r="J81">
            <v>0</v>
          </cell>
          <cell r="K81">
            <v>8.4</v>
          </cell>
          <cell r="L81">
            <v>3.7</v>
          </cell>
          <cell r="M81">
            <v>12.4</v>
          </cell>
          <cell r="N81">
            <v>40501</v>
          </cell>
        </row>
        <row r="82">
          <cell r="J82">
            <v>1</v>
          </cell>
          <cell r="K82">
            <v>8.9</v>
          </cell>
          <cell r="L82">
            <v>7.1</v>
          </cell>
          <cell r="M82">
            <v>12.3</v>
          </cell>
          <cell r="N82">
            <v>40502</v>
          </cell>
        </row>
        <row r="83">
          <cell r="J83">
            <v>12.1</v>
          </cell>
          <cell r="K83">
            <v>8</v>
          </cell>
          <cell r="L83">
            <v>4.7</v>
          </cell>
          <cell r="M83">
            <v>11.5</v>
          </cell>
          <cell r="N83">
            <v>40503</v>
          </cell>
        </row>
        <row r="84">
          <cell r="J84">
            <v>0.8</v>
          </cell>
          <cell r="K84">
            <v>7.7</v>
          </cell>
          <cell r="L84">
            <v>7.1</v>
          </cell>
          <cell r="M84">
            <v>9.1</v>
          </cell>
          <cell r="N84">
            <v>40504</v>
          </cell>
        </row>
        <row r="85">
          <cell r="J85">
            <v>0</v>
          </cell>
          <cell r="K85">
            <v>6.2</v>
          </cell>
          <cell r="L85">
            <v>5</v>
          </cell>
          <cell r="M85">
            <v>10</v>
          </cell>
          <cell r="N85">
            <v>40505</v>
          </cell>
        </row>
        <row r="86">
          <cell r="J86">
            <v>0</v>
          </cell>
          <cell r="K86">
            <v>2.9</v>
          </cell>
          <cell r="L86">
            <v>-0.8</v>
          </cell>
          <cell r="M86">
            <v>8.6</v>
          </cell>
          <cell r="N86">
            <v>40506</v>
          </cell>
        </row>
        <row r="87">
          <cell r="J87">
            <v>2.4</v>
          </cell>
          <cell r="K87">
            <v>4.7</v>
          </cell>
          <cell r="L87">
            <v>1.2</v>
          </cell>
          <cell r="M87">
            <v>8.1</v>
          </cell>
          <cell r="N87">
            <v>40507</v>
          </cell>
        </row>
        <row r="88">
          <cell r="J88">
            <v>0</v>
          </cell>
          <cell r="K88">
            <v>2.7</v>
          </cell>
          <cell r="L88">
            <v>1.1000000000000001</v>
          </cell>
          <cell r="M88">
            <v>7.1</v>
          </cell>
          <cell r="N88">
            <v>40508</v>
          </cell>
        </row>
        <row r="89">
          <cell r="J89">
            <v>1.6</v>
          </cell>
          <cell r="K89">
            <v>2</v>
          </cell>
          <cell r="L89">
            <v>-2.9</v>
          </cell>
          <cell r="M89">
            <v>6.5</v>
          </cell>
          <cell r="N89">
            <v>40509</v>
          </cell>
        </row>
        <row r="90">
          <cell r="J90">
            <v>0</v>
          </cell>
          <cell r="K90">
            <v>2.5</v>
          </cell>
          <cell r="L90">
            <v>-3</v>
          </cell>
          <cell r="M90">
            <v>7.5</v>
          </cell>
          <cell r="N90">
            <v>40510</v>
          </cell>
        </row>
        <row r="91">
          <cell r="J91">
            <v>0</v>
          </cell>
          <cell r="K91">
            <v>3</v>
          </cell>
          <cell r="L91">
            <v>-2.6</v>
          </cell>
          <cell r="M91">
            <v>8.5</v>
          </cell>
          <cell r="N91">
            <v>40511</v>
          </cell>
        </row>
        <row r="92">
          <cell r="J92">
            <v>0</v>
          </cell>
          <cell r="K92">
            <v>5.2</v>
          </cell>
          <cell r="L92">
            <v>2.7</v>
          </cell>
          <cell r="M92">
            <v>9.6</v>
          </cell>
          <cell r="N92">
            <v>40512</v>
          </cell>
        </row>
        <row r="93">
          <cell r="J93">
            <v>0</v>
          </cell>
          <cell r="K93">
            <v>1.7</v>
          </cell>
          <cell r="L93">
            <v>0.2</v>
          </cell>
          <cell r="M93">
            <v>4.9000000000000004</v>
          </cell>
          <cell r="N93">
            <v>40513</v>
          </cell>
        </row>
        <row r="94">
          <cell r="J94">
            <v>0.4</v>
          </cell>
          <cell r="K94">
            <v>1.4</v>
          </cell>
          <cell r="L94">
            <v>-3.5</v>
          </cell>
          <cell r="M94">
            <v>5.8</v>
          </cell>
          <cell r="N94">
            <v>40514</v>
          </cell>
        </row>
        <row r="95">
          <cell r="J95">
            <v>0.6</v>
          </cell>
          <cell r="K95">
            <v>1.8</v>
          </cell>
          <cell r="L95">
            <v>-1.1000000000000001</v>
          </cell>
          <cell r="M95">
            <v>3.9</v>
          </cell>
          <cell r="N95">
            <v>40515</v>
          </cell>
        </row>
        <row r="96">
          <cell r="J96">
            <v>0.2</v>
          </cell>
          <cell r="K96">
            <v>2.5</v>
          </cell>
          <cell r="L96">
            <v>-1</v>
          </cell>
          <cell r="M96">
            <v>7.2</v>
          </cell>
          <cell r="N96">
            <v>40516</v>
          </cell>
        </row>
        <row r="97">
          <cell r="J97">
            <v>0.4</v>
          </cell>
          <cell r="K97">
            <v>8.4</v>
          </cell>
          <cell r="L97">
            <v>1.5</v>
          </cell>
          <cell r="M97">
            <v>11.3</v>
          </cell>
          <cell r="N97">
            <v>40517</v>
          </cell>
        </row>
        <row r="98">
          <cell r="J98">
            <v>0.8</v>
          </cell>
          <cell r="K98">
            <v>11.2</v>
          </cell>
          <cell r="L98">
            <v>9.8000000000000007</v>
          </cell>
          <cell r="M98">
            <v>14.6</v>
          </cell>
          <cell r="N98">
            <v>40518</v>
          </cell>
        </row>
        <row r="99">
          <cell r="J99">
            <v>0.2</v>
          </cell>
          <cell r="K99">
            <v>12</v>
          </cell>
          <cell r="L99">
            <v>6.8</v>
          </cell>
          <cell r="M99">
            <v>15.9</v>
          </cell>
          <cell r="N99">
            <v>40519</v>
          </cell>
        </row>
        <row r="100">
          <cell r="J100">
            <v>0</v>
          </cell>
          <cell r="K100">
            <v>13.8</v>
          </cell>
          <cell r="L100">
            <v>11.4</v>
          </cell>
          <cell r="M100">
            <v>18.5</v>
          </cell>
          <cell r="N100">
            <v>40520</v>
          </cell>
        </row>
        <row r="101">
          <cell r="J101">
            <v>0</v>
          </cell>
          <cell r="K101">
            <v>4.8</v>
          </cell>
          <cell r="L101">
            <v>4.2</v>
          </cell>
          <cell r="M101">
            <v>6.5</v>
          </cell>
          <cell r="N101">
            <v>40521</v>
          </cell>
        </row>
        <row r="102">
          <cell r="J102">
            <v>0</v>
          </cell>
          <cell r="K102">
            <v>0.4</v>
          </cell>
          <cell r="L102">
            <v>-3.9</v>
          </cell>
          <cell r="M102">
            <v>6.1</v>
          </cell>
          <cell r="N102">
            <v>40522</v>
          </cell>
        </row>
        <row r="103">
          <cell r="J103">
            <v>0</v>
          </cell>
          <cell r="K103">
            <v>1.7</v>
          </cell>
          <cell r="L103">
            <v>-3.9</v>
          </cell>
          <cell r="M103">
            <v>9.9</v>
          </cell>
          <cell r="N103">
            <v>40523</v>
          </cell>
        </row>
        <row r="104">
          <cell r="J104">
            <v>0</v>
          </cell>
          <cell r="K104">
            <v>3.2</v>
          </cell>
          <cell r="L104">
            <v>-1.9</v>
          </cell>
          <cell r="M104">
            <v>11</v>
          </cell>
          <cell r="N104">
            <v>40524</v>
          </cell>
        </row>
        <row r="105">
          <cell r="J105">
            <v>0</v>
          </cell>
          <cell r="K105">
            <v>0.4</v>
          </cell>
          <cell r="L105">
            <v>-3.5</v>
          </cell>
          <cell r="M105">
            <v>6.1</v>
          </cell>
          <cell r="N105">
            <v>40525</v>
          </cell>
        </row>
        <row r="106">
          <cell r="J106">
            <v>0</v>
          </cell>
          <cell r="K106">
            <v>-0.4</v>
          </cell>
          <cell r="L106">
            <v>-5.0999999999999996</v>
          </cell>
          <cell r="M106">
            <v>5.3</v>
          </cell>
          <cell r="N106">
            <v>40526</v>
          </cell>
        </row>
        <row r="107">
          <cell r="J107">
            <v>0</v>
          </cell>
          <cell r="K107">
            <v>-2.1</v>
          </cell>
          <cell r="L107">
            <v>-3.4</v>
          </cell>
          <cell r="M107">
            <v>0.7</v>
          </cell>
          <cell r="N107">
            <v>40527</v>
          </cell>
        </row>
        <row r="108">
          <cell r="J108">
            <v>0</v>
          </cell>
          <cell r="K108">
            <v>1.4</v>
          </cell>
          <cell r="L108">
            <v>-3.5</v>
          </cell>
          <cell r="M108">
            <v>6.8</v>
          </cell>
          <cell r="N108">
            <v>40528</v>
          </cell>
        </row>
        <row r="109">
          <cell r="J109">
            <v>5.2</v>
          </cell>
          <cell r="K109">
            <v>3</v>
          </cell>
          <cell r="L109">
            <v>1.6</v>
          </cell>
          <cell r="M109">
            <v>7.2</v>
          </cell>
          <cell r="N109">
            <v>40529</v>
          </cell>
        </row>
        <row r="110">
          <cell r="J110">
            <v>0</v>
          </cell>
          <cell r="K110">
            <v>0.5</v>
          </cell>
          <cell r="L110">
            <v>-4.5999999999999996</v>
          </cell>
          <cell r="M110">
            <v>6.8</v>
          </cell>
          <cell r="N110">
            <v>40530</v>
          </cell>
        </row>
        <row r="111">
          <cell r="J111">
            <v>0</v>
          </cell>
          <cell r="K111">
            <v>2.8</v>
          </cell>
          <cell r="L111">
            <v>-2.2999999999999998</v>
          </cell>
          <cell r="M111">
            <v>9.1999999999999993</v>
          </cell>
          <cell r="N111">
            <v>40531</v>
          </cell>
        </row>
        <row r="112">
          <cell r="J112">
            <v>0</v>
          </cell>
          <cell r="K112">
            <v>6.1</v>
          </cell>
          <cell r="L112">
            <v>0.5</v>
          </cell>
          <cell r="M112">
            <v>12</v>
          </cell>
          <cell r="N112">
            <v>40532</v>
          </cell>
        </row>
        <row r="113">
          <cell r="J113">
            <v>0.2</v>
          </cell>
          <cell r="K113">
            <v>8.3000000000000007</v>
          </cell>
          <cell r="L113">
            <v>5.9</v>
          </cell>
          <cell r="M113">
            <v>11.3</v>
          </cell>
          <cell r="N113">
            <v>40533</v>
          </cell>
        </row>
        <row r="114">
          <cell r="J114">
            <v>0.4</v>
          </cell>
          <cell r="K114">
            <v>9.5</v>
          </cell>
          <cell r="L114">
            <v>3.9</v>
          </cell>
          <cell r="M114">
            <v>15.1</v>
          </cell>
          <cell r="N114">
            <v>40534</v>
          </cell>
        </row>
        <row r="115">
          <cell r="J115">
            <v>16.899999999999999</v>
          </cell>
          <cell r="K115">
            <v>7.1</v>
          </cell>
          <cell r="L115">
            <v>5.4</v>
          </cell>
          <cell r="M115">
            <v>9.3000000000000007</v>
          </cell>
          <cell r="N115">
            <v>40535</v>
          </cell>
        </row>
        <row r="116">
          <cell r="J116">
            <v>0.2</v>
          </cell>
          <cell r="K116">
            <v>2.1</v>
          </cell>
          <cell r="L116">
            <v>0.6</v>
          </cell>
          <cell r="M116">
            <v>4</v>
          </cell>
          <cell r="N116">
            <v>40536</v>
          </cell>
        </row>
        <row r="117">
          <cell r="J117">
            <v>0</v>
          </cell>
          <cell r="K117">
            <v>-0.3</v>
          </cell>
          <cell r="L117">
            <v>-0.8</v>
          </cell>
          <cell r="M117">
            <v>0.7</v>
          </cell>
          <cell r="N117">
            <v>40537</v>
          </cell>
        </row>
        <row r="118">
          <cell r="J118">
            <v>0</v>
          </cell>
          <cell r="K118">
            <v>-3</v>
          </cell>
          <cell r="L118">
            <v>-5.9</v>
          </cell>
          <cell r="M118">
            <v>0.9</v>
          </cell>
          <cell r="N118">
            <v>40538</v>
          </cell>
        </row>
        <row r="119">
          <cell r="J119">
            <v>0</v>
          </cell>
          <cell r="K119">
            <v>0.6</v>
          </cell>
          <cell r="L119">
            <v>-6.7</v>
          </cell>
          <cell r="M119">
            <v>7.2</v>
          </cell>
          <cell r="N119">
            <v>40539</v>
          </cell>
        </row>
        <row r="120">
          <cell r="J120">
            <v>0</v>
          </cell>
          <cell r="K120">
            <v>6</v>
          </cell>
          <cell r="L120">
            <v>2</v>
          </cell>
          <cell r="M120">
            <v>10.5</v>
          </cell>
          <cell r="N120">
            <v>40540</v>
          </cell>
        </row>
        <row r="121">
          <cell r="J121">
            <v>0</v>
          </cell>
          <cell r="K121">
            <v>8.1999999999999993</v>
          </cell>
          <cell r="L121">
            <v>4.8</v>
          </cell>
          <cell r="M121">
            <v>11</v>
          </cell>
          <cell r="N121">
            <v>40541</v>
          </cell>
        </row>
        <row r="122">
          <cell r="J122">
            <v>0</v>
          </cell>
          <cell r="K122">
            <v>10.4</v>
          </cell>
          <cell r="L122">
            <v>6.4</v>
          </cell>
          <cell r="M122">
            <v>12.7</v>
          </cell>
          <cell r="N122">
            <v>40542</v>
          </cell>
        </row>
        <row r="123">
          <cell r="J123">
            <v>0</v>
          </cell>
          <cell r="K123">
            <v>10.4</v>
          </cell>
          <cell r="L123">
            <v>9.5</v>
          </cell>
          <cell r="M123">
            <v>14.7</v>
          </cell>
          <cell r="N123">
            <v>40543</v>
          </cell>
        </row>
        <row r="124">
          <cell r="J124">
            <v>0</v>
          </cell>
          <cell r="K124">
            <v>6.3</v>
          </cell>
          <cell r="L124">
            <v>3.1</v>
          </cell>
          <cell r="M124">
            <v>9.3000000000000007</v>
          </cell>
          <cell r="N124">
            <v>40544</v>
          </cell>
        </row>
        <row r="125">
          <cell r="J125">
            <v>0</v>
          </cell>
          <cell r="K125">
            <v>2.6</v>
          </cell>
          <cell r="L125">
            <v>1.3</v>
          </cell>
          <cell r="M125">
            <v>3.1</v>
          </cell>
          <cell r="N125">
            <v>40545</v>
          </cell>
        </row>
        <row r="126">
          <cell r="J126">
            <v>0</v>
          </cell>
          <cell r="K126">
            <v>1.8</v>
          </cell>
          <cell r="L126">
            <v>1.2</v>
          </cell>
          <cell r="M126">
            <v>2.7</v>
          </cell>
          <cell r="N126">
            <v>40546</v>
          </cell>
        </row>
        <row r="127">
          <cell r="J127">
            <v>0.8</v>
          </cell>
          <cell r="K127">
            <v>2.6</v>
          </cell>
          <cell r="L127">
            <v>0.1</v>
          </cell>
          <cell r="M127">
            <v>5.8</v>
          </cell>
          <cell r="N127">
            <v>40547</v>
          </cell>
        </row>
        <row r="128">
          <cell r="J128">
            <v>0.2</v>
          </cell>
          <cell r="K128">
            <v>5.9</v>
          </cell>
          <cell r="L128">
            <v>2</v>
          </cell>
          <cell r="M128">
            <v>9.3000000000000007</v>
          </cell>
          <cell r="N128">
            <v>40548</v>
          </cell>
        </row>
        <row r="129">
          <cell r="J129">
            <v>0</v>
          </cell>
          <cell r="K129">
            <v>10.3</v>
          </cell>
          <cell r="L129">
            <v>6.7</v>
          </cell>
          <cell r="M129">
            <v>12.1</v>
          </cell>
          <cell r="N129">
            <v>40549</v>
          </cell>
        </row>
        <row r="130">
          <cell r="J130">
            <v>0</v>
          </cell>
          <cell r="K130">
            <v>11.3</v>
          </cell>
          <cell r="L130">
            <v>9.8000000000000007</v>
          </cell>
          <cell r="M130">
            <v>13.7</v>
          </cell>
          <cell r="N130">
            <v>40550</v>
          </cell>
        </row>
        <row r="131">
          <cell r="J131">
            <v>0</v>
          </cell>
          <cell r="K131">
            <v>11.3</v>
          </cell>
          <cell r="L131">
            <v>7.9</v>
          </cell>
          <cell r="M131">
            <v>14</v>
          </cell>
          <cell r="N131">
            <v>40551</v>
          </cell>
        </row>
        <row r="132">
          <cell r="J132">
            <v>6.3</v>
          </cell>
          <cell r="K132">
            <v>7.1</v>
          </cell>
          <cell r="L132">
            <v>6.1</v>
          </cell>
          <cell r="M132">
            <v>9.6</v>
          </cell>
          <cell r="N132">
            <v>40552</v>
          </cell>
        </row>
        <row r="133">
          <cell r="J133">
            <v>3.2</v>
          </cell>
          <cell r="K133">
            <v>3.2</v>
          </cell>
          <cell r="L133">
            <v>-1.6</v>
          </cell>
          <cell r="M133">
            <v>8.6999999999999993</v>
          </cell>
          <cell r="N133">
            <v>40553</v>
          </cell>
        </row>
        <row r="134">
          <cell r="J134">
            <v>8</v>
          </cell>
          <cell r="K134">
            <v>8.1999999999999993</v>
          </cell>
          <cell r="L134">
            <v>2.2999999999999998</v>
          </cell>
          <cell r="M134">
            <v>12.9</v>
          </cell>
          <cell r="N134">
            <v>40554</v>
          </cell>
        </row>
        <row r="135">
          <cell r="J135">
            <v>1.8</v>
          </cell>
          <cell r="K135">
            <v>9.6</v>
          </cell>
          <cell r="L135">
            <v>6.8</v>
          </cell>
          <cell r="M135">
            <v>12.2</v>
          </cell>
          <cell r="N135">
            <v>40555</v>
          </cell>
        </row>
        <row r="136">
          <cell r="J136">
            <v>0.4</v>
          </cell>
          <cell r="K136">
            <v>11.3</v>
          </cell>
          <cell r="L136">
            <v>10</v>
          </cell>
          <cell r="M136">
            <v>16</v>
          </cell>
          <cell r="N136">
            <v>40556</v>
          </cell>
        </row>
        <row r="137">
          <cell r="J137">
            <v>0.2</v>
          </cell>
          <cell r="K137">
            <v>6.4</v>
          </cell>
          <cell r="L137">
            <v>4.5</v>
          </cell>
          <cell r="M137">
            <v>9.6999999999999993</v>
          </cell>
          <cell r="N137">
            <v>40557</v>
          </cell>
        </row>
        <row r="138">
          <cell r="J138">
            <v>0</v>
          </cell>
          <cell r="K138">
            <v>6.8</v>
          </cell>
          <cell r="L138">
            <v>3</v>
          </cell>
          <cell r="M138">
            <v>13.9</v>
          </cell>
          <cell r="N138">
            <v>40558</v>
          </cell>
        </row>
        <row r="139">
          <cell r="J139">
            <v>0.2</v>
          </cell>
          <cell r="K139">
            <v>7.9</v>
          </cell>
          <cell r="L139">
            <v>0.3</v>
          </cell>
          <cell r="M139">
            <v>13</v>
          </cell>
          <cell r="N139">
            <v>40559</v>
          </cell>
        </row>
        <row r="140">
          <cell r="J140">
            <v>0</v>
          </cell>
          <cell r="K140">
            <v>9.1</v>
          </cell>
          <cell r="L140">
            <v>2.7</v>
          </cell>
          <cell r="M140">
            <v>15.3</v>
          </cell>
          <cell r="N140">
            <v>40560</v>
          </cell>
        </row>
        <row r="141">
          <cell r="J141">
            <v>0</v>
          </cell>
          <cell r="K141">
            <v>8.5</v>
          </cell>
          <cell r="L141">
            <v>4.9000000000000004</v>
          </cell>
          <cell r="M141">
            <v>13.7</v>
          </cell>
          <cell r="N141">
            <v>40561</v>
          </cell>
        </row>
        <row r="142">
          <cell r="J142">
            <v>0</v>
          </cell>
          <cell r="K142">
            <v>6.4</v>
          </cell>
          <cell r="L142">
            <v>5.2</v>
          </cell>
          <cell r="M142">
            <v>10.199999999999999</v>
          </cell>
          <cell r="N142">
            <v>40562</v>
          </cell>
        </row>
        <row r="143">
          <cell r="J143">
            <v>0</v>
          </cell>
          <cell r="K143">
            <v>1.9</v>
          </cell>
          <cell r="L143">
            <v>-2.1</v>
          </cell>
          <cell r="M143">
            <v>6.8</v>
          </cell>
          <cell r="N143">
            <v>40563</v>
          </cell>
        </row>
        <row r="144">
          <cell r="J144">
            <v>0</v>
          </cell>
          <cell r="K144">
            <v>0.4</v>
          </cell>
          <cell r="L144">
            <v>-1.8</v>
          </cell>
          <cell r="M144">
            <v>4</v>
          </cell>
          <cell r="N144">
            <v>40564</v>
          </cell>
        </row>
        <row r="145">
          <cell r="J145">
            <v>0</v>
          </cell>
          <cell r="K145">
            <v>-1.8</v>
          </cell>
          <cell r="L145">
            <v>-4.0999999999999996</v>
          </cell>
          <cell r="M145">
            <v>0.1</v>
          </cell>
          <cell r="N145">
            <v>40565</v>
          </cell>
        </row>
        <row r="146">
          <cell r="J146">
            <v>0</v>
          </cell>
          <cell r="K146">
            <v>-1.1000000000000001</v>
          </cell>
          <cell r="L146">
            <v>-3.9</v>
          </cell>
          <cell r="M146">
            <v>2.9</v>
          </cell>
          <cell r="N146">
            <v>40566</v>
          </cell>
        </row>
        <row r="147">
          <cell r="J147">
            <v>0</v>
          </cell>
          <cell r="K147">
            <v>-1.6</v>
          </cell>
          <cell r="L147">
            <v>-6.5</v>
          </cell>
          <cell r="M147">
            <v>4.3</v>
          </cell>
          <cell r="N147">
            <v>40567</v>
          </cell>
        </row>
        <row r="148">
          <cell r="J148">
            <v>0.2</v>
          </cell>
          <cell r="K148">
            <v>-0.1</v>
          </cell>
          <cell r="L148">
            <v>-5.2</v>
          </cell>
          <cell r="M148">
            <v>4.3</v>
          </cell>
          <cell r="N148">
            <v>40568</v>
          </cell>
        </row>
        <row r="149">
          <cell r="J149">
            <v>0</v>
          </cell>
          <cell r="K149">
            <v>1</v>
          </cell>
          <cell r="L149">
            <v>-3.9</v>
          </cell>
          <cell r="M149">
            <v>6.8</v>
          </cell>
          <cell r="N149">
            <v>40569</v>
          </cell>
        </row>
        <row r="150">
          <cell r="J150">
            <v>0</v>
          </cell>
          <cell r="K150">
            <v>3.9</v>
          </cell>
          <cell r="L150">
            <v>-3.7</v>
          </cell>
          <cell r="M150">
            <v>10.3</v>
          </cell>
          <cell r="N150">
            <v>40570</v>
          </cell>
        </row>
        <row r="151">
          <cell r="J151">
            <v>0</v>
          </cell>
          <cell r="K151">
            <v>7.5</v>
          </cell>
          <cell r="L151">
            <v>2.9</v>
          </cell>
          <cell r="M151">
            <v>11.1</v>
          </cell>
          <cell r="N151">
            <v>40571</v>
          </cell>
        </row>
        <row r="152">
          <cell r="J152">
            <v>10.9</v>
          </cell>
          <cell r="K152">
            <v>5.0999999999999996</v>
          </cell>
          <cell r="L152">
            <v>3.3</v>
          </cell>
          <cell r="M152">
            <v>7.3</v>
          </cell>
          <cell r="N152">
            <v>40572</v>
          </cell>
        </row>
        <row r="153">
          <cell r="J153">
            <v>0</v>
          </cell>
          <cell r="K153">
            <v>4</v>
          </cell>
          <cell r="L153">
            <v>3</v>
          </cell>
          <cell r="M153">
            <v>5.3</v>
          </cell>
          <cell r="N153">
            <v>40573</v>
          </cell>
        </row>
        <row r="154">
          <cell r="J154">
            <v>0</v>
          </cell>
          <cell r="K154">
            <v>1</v>
          </cell>
          <cell r="L154">
            <v>0.2</v>
          </cell>
          <cell r="M154">
            <v>2.6</v>
          </cell>
          <cell r="N154">
            <v>40574</v>
          </cell>
        </row>
        <row r="155">
          <cell r="J155">
            <v>0</v>
          </cell>
          <cell r="K155">
            <v>-0.5</v>
          </cell>
          <cell r="L155">
            <v>-2.1</v>
          </cell>
          <cell r="M155">
            <v>0.7</v>
          </cell>
          <cell r="N155">
            <v>40575</v>
          </cell>
        </row>
        <row r="156">
          <cell r="J156">
            <v>0</v>
          </cell>
          <cell r="K156">
            <v>2</v>
          </cell>
          <cell r="L156">
            <v>-1.9</v>
          </cell>
          <cell r="M156">
            <v>5.6</v>
          </cell>
          <cell r="N156">
            <v>40576</v>
          </cell>
        </row>
        <row r="157">
          <cell r="J157">
            <v>0</v>
          </cell>
          <cell r="K157">
            <v>7.6</v>
          </cell>
          <cell r="L157">
            <v>4.2</v>
          </cell>
          <cell r="M157">
            <v>10.5</v>
          </cell>
          <cell r="N157">
            <v>40577</v>
          </cell>
        </row>
        <row r="158">
          <cell r="J158">
            <v>0</v>
          </cell>
          <cell r="K158">
            <v>9.3000000000000007</v>
          </cell>
          <cell r="L158">
            <v>7.1</v>
          </cell>
          <cell r="M158">
            <v>13.2</v>
          </cell>
          <cell r="N158">
            <v>40578</v>
          </cell>
        </row>
        <row r="159">
          <cell r="J159">
            <v>0</v>
          </cell>
          <cell r="K159">
            <v>7</v>
          </cell>
          <cell r="L159">
            <v>1.8</v>
          </cell>
          <cell r="M159">
            <v>12.9</v>
          </cell>
          <cell r="N159">
            <v>40579</v>
          </cell>
        </row>
        <row r="160">
          <cell r="J160">
            <v>0.4</v>
          </cell>
          <cell r="K160">
            <v>2.9</v>
          </cell>
          <cell r="L160">
            <v>-1.9</v>
          </cell>
          <cell r="M160">
            <v>11.8</v>
          </cell>
          <cell r="N160">
            <v>40580</v>
          </cell>
        </row>
        <row r="161">
          <cell r="J161">
            <v>0.2</v>
          </cell>
          <cell r="K161">
            <v>5.6</v>
          </cell>
          <cell r="L161">
            <v>-2.1</v>
          </cell>
          <cell r="M161">
            <v>15.5</v>
          </cell>
          <cell r="N161">
            <v>40581</v>
          </cell>
        </row>
        <row r="162">
          <cell r="J162">
            <v>0.2</v>
          </cell>
          <cell r="K162">
            <v>7.2</v>
          </cell>
          <cell r="L162">
            <v>0.8</v>
          </cell>
          <cell r="M162">
            <v>15.4</v>
          </cell>
          <cell r="N162">
            <v>40582</v>
          </cell>
        </row>
        <row r="163">
          <cell r="J163">
            <v>0.2</v>
          </cell>
          <cell r="K163">
            <v>6.8</v>
          </cell>
          <cell r="L163">
            <v>0.1</v>
          </cell>
          <cell r="M163">
            <v>15.4</v>
          </cell>
          <cell r="N163">
            <v>40583</v>
          </cell>
        </row>
        <row r="164">
          <cell r="J164">
            <v>0</v>
          </cell>
          <cell r="K164">
            <v>6.1</v>
          </cell>
          <cell r="L164">
            <v>0.2</v>
          </cell>
          <cell r="M164">
            <v>14.2</v>
          </cell>
          <cell r="N164">
            <v>40584</v>
          </cell>
        </row>
        <row r="165">
          <cell r="J165">
            <v>0</v>
          </cell>
          <cell r="K165">
            <v>8.3000000000000007</v>
          </cell>
          <cell r="L165">
            <v>4.7</v>
          </cell>
          <cell r="M165">
            <v>13.4</v>
          </cell>
          <cell r="N165">
            <v>40585</v>
          </cell>
        </row>
        <row r="166">
          <cell r="J166">
            <v>1.2</v>
          </cell>
          <cell r="K166">
            <v>7.2</v>
          </cell>
          <cell r="L166">
            <v>0.8</v>
          </cell>
          <cell r="M166">
            <v>14.8</v>
          </cell>
          <cell r="N166">
            <v>40586</v>
          </cell>
        </row>
        <row r="167">
          <cell r="J167">
            <v>0.2</v>
          </cell>
          <cell r="K167">
            <v>7</v>
          </cell>
          <cell r="L167">
            <v>3.2</v>
          </cell>
          <cell r="M167">
            <v>12.3</v>
          </cell>
          <cell r="N167">
            <v>40587</v>
          </cell>
        </row>
        <row r="168">
          <cell r="J168">
            <v>0.6</v>
          </cell>
          <cell r="K168">
            <v>7.4</v>
          </cell>
          <cell r="L168">
            <v>5.9</v>
          </cell>
          <cell r="M168">
            <v>10.1</v>
          </cell>
          <cell r="N168">
            <v>40588</v>
          </cell>
        </row>
        <row r="169">
          <cell r="J169">
            <v>0.2</v>
          </cell>
          <cell r="K169">
            <v>9.4</v>
          </cell>
          <cell r="L169">
            <v>4</v>
          </cell>
          <cell r="M169">
            <v>15.1</v>
          </cell>
          <cell r="N169">
            <v>40589</v>
          </cell>
        </row>
        <row r="170">
          <cell r="J170">
            <v>0</v>
          </cell>
          <cell r="K170">
            <v>9</v>
          </cell>
          <cell r="L170">
            <v>4.8</v>
          </cell>
          <cell r="M170">
            <v>14</v>
          </cell>
          <cell r="N170">
            <v>40590</v>
          </cell>
        </row>
        <row r="171">
          <cell r="J171">
            <v>0</v>
          </cell>
          <cell r="K171">
            <v>7.7</v>
          </cell>
          <cell r="L171">
            <v>3.6</v>
          </cell>
          <cell r="M171">
            <v>10.7</v>
          </cell>
          <cell r="N171">
            <v>40591</v>
          </cell>
        </row>
        <row r="172">
          <cell r="J172">
            <v>0</v>
          </cell>
          <cell r="K172">
            <v>9.1</v>
          </cell>
          <cell r="L172">
            <v>7.1</v>
          </cell>
          <cell r="M172">
            <v>14</v>
          </cell>
          <cell r="N172">
            <v>40592</v>
          </cell>
        </row>
        <row r="173">
          <cell r="J173">
            <v>3.8</v>
          </cell>
          <cell r="K173">
            <v>7.3</v>
          </cell>
          <cell r="L173">
            <v>1.5</v>
          </cell>
          <cell r="M173">
            <v>14</v>
          </cell>
          <cell r="N173">
            <v>40593</v>
          </cell>
        </row>
        <row r="174">
          <cell r="J174">
            <v>0</v>
          </cell>
          <cell r="K174">
            <v>9</v>
          </cell>
          <cell r="L174">
            <v>7.7</v>
          </cell>
          <cell r="M174">
            <v>13.2</v>
          </cell>
          <cell r="N174">
            <v>40594</v>
          </cell>
        </row>
        <row r="175">
          <cell r="J175">
            <v>10.7</v>
          </cell>
          <cell r="K175">
            <v>9.1999999999999993</v>
          </cell>
          <cell r="L175">
            <v>4.4000000000000004</v>
          </cell>
          <cell r="M175">
            <v>11.8</v>
          </cell>
          <cell r="N175">
            <v>40595</v>
          </cell>
        </row>
        <row r="176">
          <cell r="J176">
            <v>3.2</v>
          </cell>
          <cell r="K176">
            <v>8.5</v>
          </cell>
          <cell r="L176">
            <v>7.3</v>
          </cell>
          <cell r="M176">
            <v>9.9</v>
          </cell>
          <cell r="N176">
            <v>40596</v>
          </cell>
        </row>
        <row r="177">
          <cell r="J177">
            <v>2.6</v>
          </cell>
          <cell r="K177">
            <v>9</v>
          </cell>
          <cell r="L177">
            <v>6.4</v>
          </cell>
          <cell r="M177">
            <v>11.9</v>
          </cell>
          <cell r="N177">
            <v>40597</v>
          </cell>
        </row>
        <row r="178">
          <cell r="J178">
            <v>0.6</v>
          </cell>
          <cell r="K178">
            <v>11.1</v>
          </cell>
          <cell r="L178">
            <v>9.5</v>
          </cell>
          <cell r="M178">
            <v>14.2</v>
          </cell>
          <cell r="N178">
            <v>40598</v>
          </cell>
        </row>
        <row r="179">
          <cell r="J179">
            <v>0</v>
          </cell>
          <cell r="K179">
            <v>10.7</v>
          </cell>
          <cell r="L179">
            <v>9.9</v>
          </cell>
          <cell r="M179">
            <v>13.8</v>
          </cell>
          <cell r="N179">
            <v>40599</v>
          </cell>
        </row>
        <row r="180">
          <cell r="J180">
            <v>4</v>
          </cell>
          <cell r="K180">
            <v>9.3000000000000007</v>
          </cell>
          <cell r="L180">
            <v>4.0999999999999996</v>
          </cell>
          <cell r="M180">
            <v>11.9</v>
          </cell>
          <cell r="N180">
            <v>40600</v>
          </cell>
        </row>
        <row r="181">
          <cell r="J181">
            <v>2</v>
          </cell>
          <cell r="K181">
            <v>7.2</v>
          </cell>
          <cell r="L181">
            <v>6.2</v>
          </cell>
          <cell r="M181">
            <v>10.8</v>
          </cell>
          <cell r="N181">
            <v>40601</v>
          </cell>
        </row>
        <row r="182">
          <cell r="J182">
            <v>0.6</v>
          </cell>
          <cell r="K182">
            <v>6.1</v>
          </cell>
          <cell r="L182">
            <v>3.1</v>
          </cell>
          <cell r="M182">
            <v>9.6</v>
          </cell>
          <cell r="N182">
            <v>40602</v>
          </cell>
        </row>
        <row r="183">
          <cell r="J183">
            <v>0.2</v>
          </cell>
          <cell r="K183">
            <v>4.7</v>
          </cell>
          <cell r="L183">
            <v>3.2</v>
          </cell>
          <cell r="M183">
            <v>6.3</v>
          </cell>
          <cell r="N183">
            <v>40603</v>
          </cell>
        </row>
        <row r="184">
          <cell r="J184">
            <v>0</v>
          </cell>
          <cell r="K184">
            <v>4.7</v>
          </cell>
          <cell r="L184">
            <v>4.5</v>
          </cell>
          <cell r="M184">
            <v>6</v>
          </cell>
          <cell r="N184">
            <v>40604</v>
          </cell>
        </row>
        <row r="185">
          <cell r="J185">
            <v>1.8</v>
          </cell>
          <cell r="K185">
            <v>3.7</v>
          </cell>
          <cell r="L185">
            <v>1.9</v>
          </cell>
          <cell r="M185">
            <v>7</v>
          </cell>
          <cell r="N185">
            <v>40605</v>
          </cell>
        </row>
        <row r="186">
          <cell r="J186">
            <v>0.2</v>
          </cell>
          <cell r="K186">
            <v>6.8</v>
          </cell>
          <cell r="L186">
            <v>-0.5</v>
          </cell>
          <cell r="M186">
            <v>13.8</v>
          </cell>
          <cell r="N186">
            <v>40606</v>
          </cell>
        </row>
        <row r="187">
          <cell r="J187">
            <v>0</v>
          </cell>
          <cell r="K187">
            <v>8.1</v>
          </cell>
          <cell r="L187">
            <v>0.4</v>
          </cell>
          <cell r="M187">
            <v>15.3</v>
          </cell>
          <cell r="N187">
            <v>40607</v>
          </cell>
        </row>
        <row r="188">
          <cell r="J188">
            <v>0</v>
          </cell>
          <cell r="K188">
            <v>7.4</v>
          </cell>
          <cell r="L188">
            <v>-0.1</v>
          </cell>
          <cell r="M188">
            <v>15.2</v>
          </cell>
          <cell r="N188">
            <v>40608</v>
          </cell>
        </row>
        <row r="189">
          <cell r="J189">
            <v>0</v>
          </cell>
          <cell r="K189">
            <v>9.1</v>
          </cell>
          <cell r="L189">
            <v>0.3</v>
          </cell>
          <cell r="M189">
            <v>17.399999999999999</v>
          </cell>
          <cell r="N189">
            <v>40609</v>
          </cell>
        </row>
        <row r="190">
          <cell r="J190">
            <v>0</v>
          </cell>
          <cell r="K190">
            <v>10.199999999999999</v>
          </cell>
          <cell r="L190">
            <v>8.8000000000000007</v>
          </cell>
          <cell r="M190">
            <v>13.3</v>
          </cell>
          <cell r="N190">
            <v>40610</v>
          </cell>
        </row>
        <row r="191">
          <cell r="J191">
            <v>0</v>
          </cell>
          <cell r="K191">
            <v>10.4</v>
          </cell>
          <cell r="L191">
            <v>7</v>
          </cell>
          <cell r="M191">
            <v>15.6</v>
          </cell>
          <cell r="N191">
            <v>40611</v>
          </cell>
        </row>
        <row r="192">
          <cell r="J192">
            <v>0</v>
          </cell>
          <cell r="K192">
            <v>7.7</v>
          </cell>
          <cell r="L192">
            <v>2.2999999999999998</v>
          </cell>
          <cell r="M192">
            <v>13.6</v>
          </cell>
          <cell r="N192">
            <v>40612</v>
          </cell>
        </row>
        <row r="193">
          <cell r="J193">
            <v>0</v>
          </cell>
          <cell r="K193">
            <v>8.3000000000000007</v>
          </cell>
          <cell r="L193">
            <v>1.4</v>
          </cell>
          <cell r="M193">
            <v>15.8</v>
          </cell>
          <cell r="N193">
            <v>40613</v>
          </cell>
        </row>
        <row r="194">
          <cell r="J194">
            <v>6.8</v>
          </cell>
          <cell r="K194">
            <v>10.9</v>
          </cell>
          <cell r="L194">
            <v>10</v>
          </cell>
          <cell r="M194">
            <v>11.7</v>
          </cell>
          <cell r="N194">
            <v>40614</v>
          </cell>
        </row>
        <row r="195">
          <cell r="J195">
            <v>0</v>
          </cell>
          <cell r="K195">
            <v>12.2</v>
          </cell>
          <cell r="L195">
            <v>8.6999999999999993</v>
          </cell>
          <cell r="M195">
            <v>17</v>
          </cell>
          <cell r="N195">
            <v>40615</v>
          </cell>
        </row>
        <row r="196">
          <cell r="J196">
            <v>0</v>
          </cell>
          <cell r="K196">
            <v>13.3</v>
          </cell>
          <cell r="L196">
            <v>8.9</v>
          </cell>
          <cell r="M196">
            <v>16.7</v>
          </cell>
          <cell r="N196">
            <v>40616</v>
          </cell>
        </row>
        <row r="197">
          <cell r="J197">
            <v>8.8000000000000007</v>
          </cell>
          <cell r="K197">
            <v>13.2</v>
          </cell>
          <cell r="L197">
            <v>12.3</v>
          </cell>
          <cell r="M197">
            <v>15.1</v>
          </cell>
          <cell r="N197">
            <v>40617</v>
          </cell>
        </row>
        <row r="198">
          <cell r="J198">
            <v>1.6</v>
          </cell>
          <cell r="K198">
            <v>11.8</v>
          </cell>
          <cell r="L198">
            <v>10.3</v>
          </cell>
          <cell r="M198">
            <v>15.3</v>
          </cell>
          <cell r="N198">
            <v>40618</v>
          </cell>
        </row>
        <row r="199">
          <cell r="J199">
            <v>0</v>
          </cell>
          <cell r="K199">
            <v>10.9</v>
          </cell>
          <cell r="L199">
            <v>9.9</v>
          </cell>
          <cell r="M199">
            <v>13.2</v>
          </cell>
          <cell r="N199">
            <v>40619</v>
          </cell>
        </row>
        <row r="200">
          <cell r="J200">
            <v>0.2</v>
          </cell>
          <cell r="K200">
            <v>11.1</v>
          </cell>
          <cell r="L200">
            <v>5.8</v>
          </cell>
          <cell r="M200">
            <v>15.7</v>
          </cell>
          <cell r="N200">
            <v>40620</v>
          </cell>
        </row>
        <row r="201">
          <cell r="J201">
            <v>0</v>
          </cell>
          <cell r="K201">
            <v>11.6</v>
          </cell>
          <cell r="L201">
            <v>8.8000000000000007</v>
          </cell>
          <cell r="M201">
            <v>15.5</v>
          </cell>
          <cell r="N201">
            <v>40621</v>
          </cell>
        </row>
        <row r="202">
          <cell r="J202">
            <v>0</v>
          </cell>
          <cell r="K202">
            <v>10.1</v>
          </cell>
          <cell r="L202">
            <v>5.9</v>
          </cell>
          <cell r="M202">
            <v>14.8</v>
          </cell>
          <cell r="N202">
            <v>40622</v>
          </cell>
        </row>
        <row r="203">
          <cell r="J203">
            <v>0</v>
          </cell>
          <cell r="K203">
            <v>10.199999999999999</v>
          </cell>
          <cell r="L203">
            <v>4.0999999999999996</v>
          </cell>
          <cell r="M203">
            <v>16.8</v>
          </cell>
          <cell r="N203">
            <v>40623</v>
          </cell>
        </row>
        <row r="204">
          <cell r="J204">
            <v>0</v>
          </cell>
          <cell r="K204">
            <v>11.5</v>
          </cell>
          <cell r="L204">
            <v>7.3</v>
          </cell>
          <cell r="M204">
            <v>16</v>
          </cell>
          <cell r="N204">
            <v>40624</v>
          </cell>
        </row>
        <row r="205">
          <cell r="J205">
            <v>0</v>
          </cell>
          <cell r="K205">
            <v>12.1</v>
          </cell>
          <cell r="L205">
            <v>3.3</v>
          </cell>
          <cell r="M205">
            <v>18.600000000000001</v>
          </cell>
          <cell r="N205">
            <v>40625</v>
          </cell>
        </row>
        <row r="206">
          <cell r="J206">
            <v>0</v>
          </cell>
          <cell r="K206">
            <v>12.7</v>
          </cell>
          <cell r="L206">
            <v>4.4000000000000004</v>
          </cell>
          <cell r="M206">
            <v>18.899999999999999</v>
          </cell>
          <cell r="N206">
            <v>40626</v>
          </cell>
        </row>
        <row r="207">
          <cell r="J207">
            <v>0</v>
          </cell>
          <cell r="K207">
            <v>12.1</v>
          </cell>
          <cell r="L207">
            <v>8.4</v>
          </cell>
          <cell r="M207">
            <v>17.7</v>
          </cell>
          <cell r="N207">
            <v>40627</v>
          </cell>
        </row>
        <row r="208">
          <cell r="J208">
            <v>0</v>
          </cell>
          <cell r="K208">
            <v>13.6</v>
          </cell>
          <cell r="L208">
            <v>6.9</v>
          </cell>
          <cell r="M208">
            <v>20.5</v>
          </cell>
          <cell r="N208">
            <v>40628</v>
          </cell>
        </row>
        <row r="209">
          <cell r="J209">
            <v>4.2</v>
          </cell>
          <cell r="K209">
            <v>12.6</v>
          </cell>
          <cell r="L209">
            <v>10.9</v>
          </cell>
          <cell r="M209">
            <v>16.5</v>
          </cell>
          <cell r="N209">
            <v>40629</v>
          </cell>
        </row>
        <row r="210">
          <cell r="J210">
            <v>2.6</v>
          </cell>
          <cell r="K210">
            <v>11.4</v>
          </cell>
          <cell r="L210">
            <v>9.5</v>
          </cell>
          <cell r="M210">
            <v>13.7</v>
          </cell>
          <cell r="N210">
            <v>40630</v>
          </cell>
        </row>
        <row r="211">
          <cell r="J211">
            <v>7.2</v>
          </cell>
          <cell r="K211">
            <v>11.1</v>
          </cell>
          <cell r="L211">
            <v>7.7</v>
          </cell>
          <cell r="M211">
            <v>16.100000000000001</v>
          </cell>
          <cell r="N211">
            <v>40631</v>
          </cell>
        </row>
        <row r="212">
          <cell r="J212">
            <v>2</v>
          </cell>
          <cell r="K212">
            <v>11.9</v>
          </cell>
          <cell r="L212">
            <v>9</v>
          </cell>
          <cell r="M212">
            <v>15.5</v>
          </cell>
          <cell r="N212">
            <v>40632</v>
          </cell>
        </row>
        <row r="213">
          <cell r="J213">
            <v>0.2</v>
          </cell>
          <cell r="K213">
            <v>13.7</v>
          </cell>
          <cell r="L213">
            <v>10.6</v>
          </cell>
          <cell r="M213">
            <v>17.7</v>
          </cell>
          <cell r="N213">
            <v>40633</v>
          </cell>
        </row>
        <row r="214">
          <cell r="J214">
            <v>0.2</v>
          </cell>
          <cell r="K214">
            <v>15.3</v>
          </cell>
          <cell r="L214">
            <v>5.7</v>
          </cell>
          <cell r="M214">
            <v>24.3</v>
          </cell>
          <cell r="N214">
            <v>40634</v>
          </cell>
        </row>
        <row r="215">
          <cell r="J215">
            <v>0</v>
          </cell>
          <cell r="K215">
            <v>14.7</v>
          </cell>
          <cell r="L215">
            <v>11.3</v>
          </cell>
          <cell r="M215">
            <v>19.399999999999999</v>
          </cell>
          <cell r="N215">
            <v>40635</v>
          </cell>
        </row>
        <row r="216">
          <cell r="J216">
            <v>0</v>
          </cell>
          <cell r="K216">
            <v>13.6</v>
          </cell>
          <cell r="L216">
            <v>12.7</v>
          </cell>
          <cell r="M216">
            <v>15.8</v>
          </cell>
          <cell r="N216">
            <v>40636</v>
          </cell>
        </row>
        <row r="217">
          <cell r="J217">
            <v>0</v>
          </cell>
          <cell r="K217">
            <v>12.8</v>
          </cell>
          <cell r="L217">
            <v>10</v>
          </cell>
          <cell r="M217">
            <v>17.600000000000001</v>
          </cell>
          <cell r="N217">
            <v>40637</v>
          </cell>
        </row>
        <row r="218">
          <cell r="J218">
            <v>0</v>
          </cell>
          <cell r="K218">
            <v>13.4</v>
          </cell>
          <cell r="L218">
            <v>5.0999999999999996</v>
          </cell>
          <cell r="M218">
            <v>21.6</v>
          </cell>
          <cell r="N218">
            <v>40638</v>
          </cell>
        </row>
        <row r="219">
          <cell r="J219">
            <v>0</v>
          </cell>
          <cell r="K219">
            <v>16.8</v>
          </cell>
          <cell r="L219">
            <v>7.1</v>
          </cell>
          <cell r="M219">
            <v>25.7</v>
          </cell>
          <cell r="N219">
            <v>40639</v>
          </cell>
        </row>
        <row r="220">
          <cell r="J220">
            <v>0</v>
          </cell>
          <cell r="K220">
            <v>18.899999999999999</v>
          </cell>
          <cell r="L220">
            <v>9.5</v>
          </cell>
          <cell r="M220">
            <v>28.1</v>
          </cell>
          <cell r="N220">
            <v>40640</v>
          </cell>
        </row>
        <row r="221">
          <cell r="J221">
            <v>0</v>
          </cell>
          <cell r="K221">
            <v>19.100000000000001</v>
          </cell>
          <cell r="L221">
            <v>10.3</v>
          </cell>
          <cell r="M221">
            <v>27.7</v>
          </cell>
          <cell r="N221">
            <v>40641</v>
          </cell>
        </row>
        <row r="222">
          <cell r="J222">
            <v>0</v>
          </cell>
          <cell r="K222">
            <v>19.100000000000001</v>
          </cell>
          <cell r="L222">
            <v>10.199999999999999</v>
          </cell>
          <cell r="M222">
            <v>28.6</v>
          </cell>
          <cell r="N222">
            <v>40642</v>
          </cell>
        </row>
        <row r="223">
          <cell r="J223">
            <v>0</v>
          </cell>
          <cell r="K223">
            <v>14.9</v>
          </cell>
          <cell r="L223">
            <v>14</v>
          </cell>
          <cell r="M223">
            <v>18.2</v>
          </cell>
          <cell r="N223">
            <v>40643</v>
          </cell>
        </row>
        <row r="224">
          <cell r="J224">
            <v>0.2</v>
          </cell>
          <cell r="K224">
            <v>15.3</v>
          </cell>
          <cell r="L224">
            <v>12.7</v>
          </cell>
          <cell r="M224">
            <v>19.899999999999999</v>
          </cell>
          <cell r="N224">
            <v>40644</v>
          </cell>
        </row>
        <row r="225">
          <cell r="J225">
            <v>1.8</v>
          </cell>
          <cell r="K225">
            <v>13.2</v>
          </cell>
          <cell r="L225">
            <v>11.6</v>
          </cell>
          <cell r="M225">
            <v>18.600000000000001</v>
          </cell>
          <cell r="N225">
            <v>40645</v>
          </cell>
        </row>
        <row r="226">
          <cell r="J226">
            <v>0</v>
          </cell>
          <cell r="K226">
            <v>11.9</v>
          </cell>
          <cell r="L226">
            <v>4.5999999999999996</v>
          </cell>
          <cell r="M226">
            <v>18.100000000000001</v>
          </cell>
          <cell r="N226">
            <v>40646</v>
          </cell>
        </row>
        <row r="227">
          <cell r="J227">
            <v>0</v>
          </cell>
          <cell r="K227">
            <v>13.7</v>
          </cell>
          <cell r="L227">
            <v>6.3</v>
          </cell>
          <cell r="M227">
            <v>20.3</v>
          </cell>
          <cell r="N227">
            <v>40647</v>
          </cell>
        </row>
        <row r="228">
          <cell r="J228">
            <v>0</v>
          </cell>
          <cell r="K228">
            <v>12.9</v>
          </cell>
          <cell r="L228">
            <v>6.9</v>
          </cell>
          <cell r="M228">
            <v>18.600000000000001</v>
          </cell>
          <cell r="N228">
            <v>40648</v>
          </cell>
        </row>
        <row r="229">
          <cell r="J229">
            <v>0</v>
          </cell>
          <cell r="K229">
            <v>13.4</v>
          </cell>
          <cell r="L229">
            <v>4.9000000000000004</v>
          </cell>
          <cell r="M229">
            <v>20.9</v>
          </cell>
          <cell r="N229">
            <v>40649</v>
          </cell>
        </row>
        <row r="230">
          <cell r="J230">
            <v>0</v>
          </cell>
          <cell r="K230">
            <v>14.8</v>
          </cell>
          <cell r="L230">
            <v>6</v>
          </cell>
          <cell r="M230">
            <v>22.6</v>
          </cell>
          <cell r="N230">
            <v>40650</v>
          </cell>
        </row>
        <row r="231">
          <cell r="J231">
            <v>0</v>
          </cell>
          <cell r="K231">
            <v>16.100000000000001</v>
          </cell>
          <cell r="L231">
            <v>11.1</v>
          </cell>
          <cell r="M231">
            <v>22.8</v>
          </cell>
          <cell r="N231">
            <v>40651</v>
          </cell>
        </row>
        <row r="232">
          <cell r="J232">
            <v>0</v>
          </cell>
          <cell r="K232">
            <v>14.9</v>
          </cell>
          <cell r="L232">
            <v>9.9</v>
          </cell>
          <cell r="M232">
            <v>20.2</v>
          </cell>
          <cell r="N232">
            <v>40652</v>
          </cell>
        </row>
        <row r="233">
          <cell r="J233">
            <v>0.4</v>
          </cell>
          <cell r="K233">
            <v>15.8</v>
          </cell>
          <cell r="L233">
            <v>11.6</v>
          </cell>
          <cell r="M233">
            <v>21.1</v>
          </cell>
          <cell r="N233">
            <v>40653</v>
          </cell>
        </row>
        <row r="234">
          <cell r="J234">
            <v>0</v>
          </cell>
          <cell r="K234">
            <v>16.7</v>
          </cell>
          <cell r="L234">
            <v>12.7</v>
          </cell>
          <cell r="M234">
            <v>22</v>
          </cell>
          <cell r="N234">
            <v>40654</v>
          </cell>
        </row>
        <row r="235">
          <cell r="J235">
            <v>0</v>
          </cell>
          <cell r="K235">
            <v>15.6</v>
          </cell>
          <cell r="L235">
            <v>12.9</v>
          </cell>
          <cell r="M235">
            <v>20</v>
          </cell>
          <cell r="N235">
            <v>40655</v>
          </cell>
        </row>
        <row r="236">
          <cell r="J236">
            <v>4.2</v>
          </cell>
          <cell r="K236">
            <v>13.4</v>
          </cell>
          <cell r="L236">
            <v>11.4</v>
          </cell>
          <cell r="M236">
            <v>17.399999999999999</v>
          </cell>
          <cell r="N236">
            <v>40656</v>
          </cell>
        </row>
        <row r="237">
          <cell r="J237">
            <v>0</v>
          </cell>
          <cell r="K237">
            <v>16.3</v>
          </cell>
          <cell r="L237">
            <v>12.5</v>
          </cell>
          <cell r="M237">
            <v>21.7</v>
          </cell>
          <cell r="N237">
            <v>40657</v>
          </cell>
        </row>
        <row r="238">
          <cell r="J238">
            <v>29.7</v>
          </cell>
          <cell r="K238">
            <v>15.8</v>
          </cell>
          <cell r="L238">
            <v>11.3</v>
          </cell>
          <cell r="M238">
            <v>23</v>
          </cell>
          <cell r="N238">
            <v>40658</v>
          </cell>
        </row>
        <row r="239">
          <cell r="J239">
            <v>0</v>
          </cell>
          <cell r="K239">
            <v>17.2</v>
          </cell>
          <cell r="L239">
            <v>13.2</v>
          </cell>
          <cell r="M239">
            <v>23</v>
          </cell>
          <cell r="N239">
            <v>40659</v>
          </cell>
        </row>
        <row r="240">
          <cell r="J240">
            <v>0</v>
          </cell>
          <cell r="K240">
            <v>16.8</v>
          </cell>
          <cell r="L240">
            <v>12.2</v>
          </cell>
          <cell r="M240">
            <v>22.5</v>
          </cell>
          <cell r="N240">
            <v>40660</v>
          </cell>
        </row>
        <row r="241">
          <cell r="J241">
            <v>0</v>
          </cell>
          <cell r="K241">
            <v>15.6</v>
          </cell>
          <cell r="L241">
            <v>9.8000000000000007</v>
          </cell>
          <cell r="M241">
            <v>21.6</v>
          </cell>
          <cell r="N241">
            <v>40661</v>
          </cell>
        </row>
        <row r="242">
          <cell r="J242">
            <v>0</v>
          </cell>
          <cell r="K242">
            <v>15.2</v>
          </cell>
          <cell r="L242">
            <v>8.3000000000000007</v>
          </cell>
          <cell r="M242">
            <v>21.5</v>
          </cell>
          <cell r="N242">
            <v>40662</v>
          </cell>
        </row>
        <row r="243">
          <cell r="J243">
            <v>0</v>
          </cell>
          <cell r="K243">
            <v>16.7</v>
          </cell>
          <cell r="L243">
            <v>11.7</v>
          </cell>
          <cell r="M243">
            <v>21.9</v>
          </cell>
          <cell r="N243">
            <v>40663</v>
          </cell>
        </row>
        <row r="244">
          <cell r="J244">
            <v>0</v>
          </cell>
          <cell r="K244">
            <v>17.399999999999999</v>
          </cell>
          <cell r="L244">
            <v>11.7</v>
          </cell>
          <cell r="M244">
            <v>23.5</v>
          </cell>
          <cell r="N244">
            <v>40664</v>
          </cell>
        </row>
        <row r="245">
          <cell r="J245">
            <v>2.2000000000000002</v>
          </cell>
          <cell r="K245">
            <v>16.8</v>
          </cell>
          <cell r="L245">
            <v>13</v>
          </cell>
          <cell r="M245">
            <v>22.1</v>
          </cell>
          <cell r="N245">
            <v>40665</v>
          </cell>
        </row>
        <row r="246">
          <cell r="J246">
            <v>2.4</v>
          </cell>
          <cell r="K246">
            <v>15.9</v>
          </cell>
          <cell r="L246">
            <v>13.2</v>
          </cell>
          <cell r="M246">
            <v>20.100000000000001</v>
          </cell>
          <cell r="N246">
            <v>40666</v>
          </cell>
        </row>
        <row r="247">
          <cell r="J247">
            <v>0</v>
          </cell>
          <cell r="K247">
            <v>16</v>
          </cell>
          <cell r="L247">
            <v>11.6</v>
          </cell>
          <cell r="M247">
            <v>21.6</v>
          </cell>
          <cell r="N247">
            <v>40667</v>
          </cell>
        </row>
        <row r="248">
          <cell r="J248">
            <v>0</v>
          </cell>
          <cell r="K248">
            <v>17.7</v>
          </cell>
          <cell r="L248">
            <v>10.3</v>
          </cell>
          <cell r="M248">
            <v>24.8</v>
          </cell>
          <cell r="N248">
            <v>40668</v>
          </cell>
        </row>
        <row r="249">
          <cell r="J249">
            <v>0</v>
          </cell>
          <cell r="K249">
            <v>18.2</v>
          </cell>
          <cell r="L249">
            <v>14.7</v>
          </cell>
          <cell r="M249">
            <v>22.5</v>
          </cell>
          <cell r="N249">
            <v>40669</v>
          </cell>
        </row>
        <row r="250">
          <cell r="J250">
            <v>0</v>
          </cell>
          <cell r="K250">
            <v>17</v>
          </cell>
          <cell r="L250">
            <v>15.9</v>
          </cell>
          <cell r="M250">
            <v>18.899999999999999</v>
          </cell>
          <cell r="N250">
            <v>40670</v>
          </cell>
        </row>
        <row r="251">
          <cell r="J251">
            <v>0</v>
          </cell>
          <cell r="K251">
            <v>19.5</v>
          </cell>
          <cell r="L251">
            <v>14.1</v>
          </cell>
          <cell r="M251">
            <v>24.7</v>
          </cell>
          <cell r="N251">
            <v>40671</v>
          </cell>
        </row>
        <row r="252">
          <cell r="J252">
            <v>0</v>
          </cell>
          <cell r="K252">
            <v>19.600000000000001</v>
          </cell>
          <cell r="L252">
            <v>12.9</v>
          </cell>
          <cell r="M252">
            <v>27.2</v>
          </cell>
          <cell r="N252">
            <v>40672</v>
          </cell>
        </row>
        <row r="253">
          <cell r="J253">
            <v>0</v>
          </cell>
          <cell r="K253">
            <v>19</v>
          </cell>
          <cell r="L253">
            <v>13.8</v>
          </cell>
          <cell r="M253">
            <v>25.9</v>
          </cell>
          <cell r="N253">
            <v>40673</v>
          </cell>
        </row>
        <row r="254">
          <cell r="J254">
            <v>0</v>
          </cell>
          <cell r="K254">
            <v>20.9</v>
          </cell>
          <cell r="L254">
            <v>12.3</v>
          </cell>
          <cell r="M254">
            <v>28.9</v>
          </cell>
          <cell r="N254">
            <v>40674</v>
          </cell>
        </row>
        <row r="255">
          <cell r="J255">
            <v>0</v>
          </cell>
          <cell r="K255">
            <v>18.8</v>
          </cell>
          <cell r="L255">
            <v>15.8</v>
          </cell>
          <cell r="M255">
            <v>21.8</v>
          </cell>
          <cell r="N255">
            <v>40675</v>
          </cell>
        </row>
        <row r="256">
          <cell r="J256">
            <v>0</v>
          </cell>
          <cell r="K256">
            <v>21</v>
          </cell>
          <cell r="L256">
            <v>15.9</v>
          </cell>
          <cell r="M256">
            <v>27.3</v>
          </cell>
          <cell r="N256">
            <v>40676</v>
          </cell>
        </row>
        <row r="257">
          <cell r="J257">
            <v>4.8</v>
          </cell>
          <cell r="K257">
            <v>15.1</v>
          </cell>
          <cell r="L257">
            <v>14.3</v>
          </cell>
          <cell r="M257">
            <v>17</v>
          </cell>
          <cell r="N257">
            <v>40677</v>
          </cell>
        </row>
        <row r="258">
          <cell r="J258">
            <v>0</v>
          </cell>
          <cell r="K258">
            <v>0</v>
          </cell>
          <cell r="L258" t="str">
            <v>NA</v>
          </cell>
          <cell r="M258" t="str">
            <v>NA</v>
          </cell>
          <cell r="N258">
            <v>40678</v>
          </cell>
        </row>
        <row r="259">
          <cell r="J259">
            <v>0</v>
          </cell>
          <cell r="K259">
            <v>16.100000000000001</v>
          </cell>
          <cell r="L259">
            <v>7.5</v>
          </cell>
          <cell r="M259">
            <v>22.4</v>
          </cell>
          <cell r="N259">
            <v>40679</v>
          </cell>
        </row>
        <row r="260">
          <cell r="J260">
            <v>0</v>
          </cell>
          <cell r="K260">
            <v>19.2</v>
          </cell>
          <cell r="L260">
            <v>9.6</v>
          </cell>
          <cell r="M260">
            <v>26.6</v>
          </cell>
          <cell r="N260">
            <v>40680</v>
          </cell>
        </row>
        <row r="261">
          <cell r="J261">
            <v>0</v>
          </cell>
          <cell r="K261">
            <v>20.100000000000001</v>
          </cell>
          <cell r="L261">
            <v>11.2</v>
          </cell>
          <cell r="M261">
            <v>28.1</v>
          </cell>
          <cell r="N261">
            <v>40681</v>
          </cell>
        </row>
        <row r="262">
          <cell r="J262">
            <v>0</v>
          </cell>
          <cell r="K262">
            <v>19.5</v>
          </cell>
          <cell r="L262">
            <v>13.2</v>
          </cell>
          <cell r="M262">
            <v>27.2</v>
          </cell>
          <cell r="N262">
            <v>40682</v>
          </cell>
        </row>
        <row r="263">
          <cell r="J263">
            <v>0</v>
          </cell>
          <cell r="K263">
            <v>20.7</v>
          </cell>
          <cell r="L263">
            <v>11.8</v>
          </cell>
          <cell r="M263">
            <v>28.1</v>
          </cell>
          <cell r="N263">
            <v>40683</v>
          </cell>
        </row>
        <row r="264">
          <cell r="J264">
            <v>0</v>
          </cell>
          <cell r="K264">
            <v>21.7</v>
          </cell>
          <cell r="L264">
            <v>14.4</v>
          </cell>
          <cell r="M264">
            <v>28.4</v>
          </cell>
          <cell r="N264">
            <v>40684</v>
          </cell>
        </row>
        <row r="265">
          <cell r="J265">
            <v>0</v>
          </cell>
          <cell r="K265">
            <v>18.2</v>
          </cell>
          <cell r="L265">
            <v>15.1</v>
          </cell>
          <cell r="M265">
            <v>21.2</v>
          </cell>
          <cell r="N265">
            <v>40685</v>
          </cell>
        </row>
        <row r="266">
          <cell r="J266">
            <v>0</v>
          </cell>
          <cell r="K266">
            <v>21</v>
          </cell>
          <cell r="L266">
            <v>12.1</v>
          </cell>
          <cell r="M266">
            <v>28.9</v>
          </cell>
          <cell r="N266">
            <v>40686</v>
          </cell>
        </row>
        <row r="267">
          <cell r="J267">
            <v>0</v>
          </cell>
          <cell r="K267">
            <v>20.9</v>
          </cell>
          <cell r="L267">
            <v>13.7</v>
          </cell>
          <cell r="M267">
            <v>27.3</v>
          </cell>
          <cell r="N267">
            <v>40687</v>
          </cell>
        </row>
        <row r="268">
          <cell r="J268">
            <v>0</v>
          </cell>
          <cell r="K268">
            <v>22.9</v>
          </cell>
          <cell r="L268">
            <v>13.7</v>
          </cell>
          <cell r="M268">
            <v>30.9</v>
          </cell>
          <cell r="N268">
            <v>40688</v>
          </cell>
        </row>
        <row r="269">
          <cell r="J269">
            <v>0</v>
          </cell>
          <cell r="K269">
            <v>19.600000000000001</v>
          </cell>
          <cell r="L269">
            <v>17.399999999999999</v>
          </cell>
          <cell r="M269">
            <v>22.4</v>
          </cell>
          <cell r="N269">
            <v>40689</v>
          </cell>
        </row>
        <row r="270">
          <cell r="J270">
            <v>0</v>
          </cell>
          <cell r="K270">
            <v>16.3</v>
          </cell>
          <cell r="L270">
            <v>12.9</v>
          </cell>
          <cell r="M270">
            <v>20.5</v>
          </cell>
          <cell r="N270">
            <v>40690</v>
          </cell>
        </row>
        <row r="271">
          <cell r="J271">
            <v>0</v>
          </cell>
          <cell r="K271">
            <v>18</v>
          </cell>
          <cell r="L271">
            <v>10.1</v>
          </cell>
          <cell r="M271">
            <v>24.6</v>
          </cell>
          <cell r="N271">
            <v>40691</v>
          </cell>
        </row>
        <row r="272">
          <cell r="J272">
            <v>0</v>
          </cell>
          <cell r="K272">
            <v>21</v>
          </cell>
          <cell r="L272">
            <v>9.6</v>
          </cell>
          <cell r="M272">
            <v>30</v>
          </cell>
          <cell r="N272">
            <v>40692</v>
          </cell>
        </row>
        <row r="273">
          <cell r="J273">
            <v>9.6999999999999993</v>
          </cell>
          <cell r="K273">
            <v>20.100000000000001</v>
          </cell>
          <cell r="L273">
            <v>16.899999999999999</v>
          </cell>
          <cell r="M273">
            <v>26</v>
          </cell>
          <cell r="N273">
            <v>40693</v>
          </cell>
        </row>
        <row r="274">
          <cell r="J274">
            <v>2.4</v>
          </cell>
          <cell r="K274">
            <v>15.3</v>
          </cell>
          <cell r="L274">
            <v>13.5</v>
          </cell>
          <cell r="M274">
            <v>19.3</v>
          </cell>
          <cell r="N274">
            <v>40694</v>
          </cell>
        </row>
        <row r="275">
          <cell r="J275">
            <v>5</v>
          </cell>
          <cell r="K275">
            <v>12.9</v>
          </cell>
          <cell r="L275">
            <v>9.3000000000000007</v>
          </cell>
          <cell r="M275">
            <v>17.5</v>
          </cell>
          <cell r="N275">
            <v>40695</v>
          </cell>
        </row>
        <row r="276">
          <cell r="J276">
            <v>1.8</v>
          </cell>
          <cell r="K276">
            <v>13.3</v>
          </cell>
          <cell r="L276">
            <v>10.7</v>
          </cell>
          <cell r="M276">
            <v>16.899999999999999</v>
          </cell>
          <cell r="N276">
            <v>40696</v>
          </cell>
        </row>
        <row r="277">
          <cell r="J277">
            <v>0</v>
          </cell>
          <cell r="K277">
            <v>17.2</v>
          </cell>
          <cell r="L277">
            <v>10.1</v>
          </cell>
          <cell r="M277">
            <v>24.2</v>
          </cell>
          <cell r="N277">
            <v>40697</v>
          </cell>
        </row>
        <row r="278">
          <cell r="J278">
            <v>2.2000000000000002</v>
          </cell>
          <cell r="K278">
            <v>17.600000000000001</v>
          </cell>
          <cell r="L278">
            <v>13.3</v>
          </cell>
          <cell r="M278">
            <v>22.2</v>
          </cell>
          <cell r="N278">
            <v>40698</v>
          </cell>
        </row>
        <row r="279">
          <cell r="J279">
            <v>0</v>
          </cell>
          <cell r="K279">
            <v>19</v>
          </cell>
          <cell r="L279">
            <v>13.7</v>
          </cell>
          <cell r="M279">
            <v>25.2</v>
          </cell>
          <cell r="N279">
            <v>40699</v>
          </cell>
        </row>
        <row r="280">
          <cell r="J280">
            <v>0</v>
          </cell>
          <cell r="K280">
            <v>19.600000000000001</v>
          </cell>
          <cell r="L280">
            <v>15.4</v>
          </cell>
          <cell r="M280">
            <v>25.8</v>
          </cell>
          <cell r="N280">
            <v>40700</v>
          </cell>
        </row>
        <row r="281">
          <cell r="J281">
            <v>18</v>
          </cell>
          <cell r="K281">
            <v>15.4</v>
          </cell>
          <cell r="L281">
            <v>13.6</v>
          </cell>
          <cell r="M281">
            <v>18.8</v>
          </cell>
          <cell r="N281">
            <v>40701</v>
          </cell>
        </row>
        <row r="282">
          <cell r="J282">
            <v>3.2</v>
          </cell>
          <cell r="K282">
            <v>15.1</v>
          </cell>
          <cell r="L282">
            <v>12.7</v>
          </cell>
          <cell r="M282">
            <v>19.100000000000001</v>
          </cell>
          <cell r="N282">
            <v>40702</v>
          </cell>
        </row>
        <row r="283">
          <cell r="J283">
            <v>0.4</v>
          </cell>
          <cell r="K283">
            <v>17</v>
          </cell>
          <cell r="L283">
            <v>12</v>
          </cell>
          <cell r="M283">
            <v>21.4</v>
          </cell>
          <cell r="N283">
            <v>40703</v>
          </cell>
        </row>
        <row r="284">
          <cell r="J284">
            <v>0.6</v>
          </cell>
          <cell r="K284">
            <v>15.7</v>
          </cell>
          <cell r="L284">
            <v>13.1</v>
          </cell>
          <cell r="M284">
            <v>19.100000000000001</v>
          </cell>
          <cell r="N284">
            <v>40704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49" zoomScale="90" zoomScaleNormal="90" workbookViewId="0">
      <selection activeCell="C76" sqref="C76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57" t="s">
        <v>5</v>
      </c>
      <c r="B5" s="357"/>
      <c r="C5" s="357"/>
      <c r="D5" s="357"/>
      <c r="E5" s="357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58" t="s">
        <v>6</v>
      </c>
      <c r="B7" s="359" t="s">
        <v>7</v>
      </c>
      <c r="C7" s="359"/>
      <c r="D7" s="359"/>
      <c r="E7" s="359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58"/>
      <c r="B8" s="360" t="s">
        <v>8</v>
      </c>
      <c r="C8" s="360"/>
      <c r="D8" s="360"/>
      <c r="E8" s="360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58"/>
      <c r="B9" s="361" t="s">
        <v>9</v>
      </c>
      <c r="C9" s="361"/>
      <c r="D9" s="361"/>
      <c r="E9" s="361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62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62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63" t="s">
        <v>29</v>
      </c>
      <c r="B69" s="364" t="s">
        <v>196</v>
      </c>
      <c r="C69" s="87" t="s">
        <v>197</v>
      </c>
      <c r="D69" s="87" t="s">
        <v>198</v>
      </c>
      <c r="E69" s="356" t="s">
        <v>199</v>
      </c>
      <c r="F69" s="356" t="s">
        <v>200</v>
      </c>
      <c r="G69" s="356" t="s">
        <v>201</v>
      </c>
      <c r="H69" s="356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63"/>
      <c r="B70" s="364"/>
      <c r="C70" s="90" t="s">
        <v>204</v>
      </c>
      <c r="D70" s="90" t="s">
        <v>205</v>
      </c>
      <c r="E70" s="356"/>
      <c r="F70" s="356"/>
      <c r="G70" s="356"/>
      <c r="H70" s="356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W4"/>
  <sheetViews>
    <sheetView zoomScale="95" zoomScaleNormal="95" workbookViewId="0">
      <selection activeCell="D2" sqref="D2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 ht="13.5" thickBot="1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0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 ht="15">
      <c r="A2" s="111" t="s">
        <v>7999</v>
      </c>
      <c r="B2" s="111" t="s">
        <v>8000</v>
      </c>
      <c r="C2" s="180" t="s">
        <v>7742</v>
      </c>
      <c r="D2" s="355">
        <v>2011</v>
      </c>
      <c r="G2" s="112" t="s">
        <v>7736</v>
      </c>
      <c r="I2" s="113" t="s">
        <v>55</v>
      </c>
      <c r="J2" s="113" t="s">
        <v>54</v>
      </c>
      <c r="L2" s="220"/>
      <c r="N2" s="112" t="s">
        <v>7725</v>
      </c>
    </row>
    <row r="3" spans="1:23">
      <c r="R3" s="181"/>
      <c r="S3" s="181"/>
      <c r="T3" s="182"/>
      <c r="U3" s="182"/>
      <c r="V3" s="182"/>
      <c r="W3" s="182"/>
    </row>
    <row r="4" spans="1:23">
      <c r="R4" s="183"/>
      <c r="S4" s="183"/>
      <c r="T4" s="183"/>
      <c r="U4" s="183"/>
      <c r="V4" s="183"/>
      <c r="W4" s="183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G6" sqref="G6"/>
    </sheetView>
  </sheetViews>
  <sheetFormatPr baseColWidth="10" defaultColWidth="10.7109375" defaultRowHeight="12.75"/>
  <cols>
    <col min="1" max="1" width="11.85546875" style="117" customWidth="1"/>
    <col min="2" max="2" width="10.42578125" style="118" bestFit="1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 ht="15.75">
      <c r="A2" s="117" t="s">
        <v>7740</v>
      </c>
      <c r="B2" s="231" t="s">
        <v>7739</v>
      </c>
      <c r="C2" s="231" t="s">
        <v>7738</v>
      </c>
      <c r="G2" s="117" t="s">
        <v>7741</v>
      </c>
      <c r="H2" s="217"/>
      <c r="I2" s="217"/>
      <c r="J2" s="118" t="s">
        <v>7737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X10"/>
  <sheetViews>
    <sheetView zoomScale="95" zoomScaleNormal="95" workbookViewId="0">
      <selection activeCell="B3" sqref="B3:G4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5" t="s">
        <v>113</v>
      </c>
      <c r="B2" s="125" t="s">
        <v>7721</v>
      </c>
      <c r="C2" s="125" t="s">
        <v>7722</v>
      </c>
      <c r="F2" s="215" t="s">
        <v>7723</v>
      </c>
      <c r="G2" s="125" t="s">
        <v>119</v>
      </c>
      <c r="H2" s="216" t="s">
        <v>7724</v>
      </c>
    </row>
    <row r="3" spans="1:24">
      <c r="D3"/>
      <c r="E3"/>
      <c r="H3" s="191"/>
    </row>
    <row r="4" spans="1:24">
      <c r="D4" s="194"/>
      <c r="E4"/>
      <c r="H4" s="191"/>
    </row>
    <row r="8" spans="1:24">
      <c r="K8" s="184"/>
      <c r="L8" s="185"/>
      <c r="M8" s="185"/>
      <c r="N8" s="185"/>
      <c r="O8" s="182"/>
      <c r="P8" s="186"/>
      <c r="Q8" s="187"/>
      <c r="R8" s="188"/>
      <c r="S8" s="188"/>
      <c r="T8" s="188"/>
      <c r="U8" s="187"/>
      <c r="V8" s="188"/>
      <c r="W8" s="188"/>
      <c r="X8" s="187"/>
    </row>
    <row r="9" spans="1:24">
      <c r="L9" s="189"/>
      <c r="M9" s="189"/>
      <c r="N9" s="190"/>
      <c r="Q9" s="191"/>
      <c r="R9" s="191"/>
      <c r="S9" s="191"/>
      <c r="T9" s="192"/>
      <c r="U9" s="191"/>
      <c r="V9" s="191"/>
      <c r="W9" s="191"/>
      <c r="X9" s="193"/>
    </row>
    <row r="10" spans="1:24">
      <c r="K10" s="194"/>
      <c r="L10" s="189"/>
      <c r="M10" s="189"/>
      <c r="N10" s="190"/>
      <c r="O10" s="194"/>
      <c r="Q10" s="191"/>
      <c r="R10" s="191"/>
      <c r="S10" s="191"/>
      <c r="T10" s="192"/>
      <c r="U10" s="191"/>
      <c r="V10" s="191"/>
      <c r="W10" s="191"/>
      <c r="X10" s="193"/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8"/>
  <sheetViews>
    <sheetView tabSelected="1" topLeftCell="B25" zoomScale="70" zoomScaleNormal="70" workbookViewId="0">
      <selection activeCell="H43" sqref="H43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6" t="s">
        <v>126</v>
      </c>
      <c r="B1" s="156" t="s">
        <v>127</v>
      </c>
      <c r="C1" s="157" t="s">
        <v>128</v>
      </c>
      <c r="D1" s="158" t="s">
        <v>29</v>
      </c>
      <c r="E1" s="158" t="s">
        <v>129</v>
      </c>
      <c r="F1" s="158" t="s">
        <v>130</v>
      </c>
      <c r="G1" s="159" t="s">
        <v>131</v>
      </c>
      <c r="H1" s="159" t="s">
        <v>74</v>
      </c>
    </row>
    <row r="2" spans="1:8" s="138" customFormat="1" ht="90" thickBot="1">
      <c r="A2" s="167" t="s">
        <v>244</v>
      </c>
      <c r="B2" s="167" t="s">
        <v>7445</v>
      </c>
      <c r="C2" s="168" t="s">
        <v>7446</v>
      </c>
      <c r="D2" s="169" t="s">
        <v>7447</v>
      </c>
      <c r="E2" s="169" t="s">
        <v>7448</v>
      </c>
      <c r="F2" s="169" t="s">
        <v>7449</v>
      </c>
      <c r="G2" s="170"/>
      <c r="H2" s="170" t="s">
        <v>7982</v>
      </c>
    </row>
    <row r="3" spans="1:8" ht="38.25">
      <c r="A3" s="160" t="s">
        <v>244</v>
      </c>
      <c r="B3" s="160" t="s">
        <v>7450</v>
      </c>
      <c r="C3" s="161" t="s">
        <v>7451</v>
      </c>
      <c r="D3" s="162" t="s">
        <v>7452</v>
      </c>
      <c r="E3" s="162" t="s">
        <v>7453</v>
      </c>
      <c r="F3" s="163" t="s">
        <v>7454</v>
      </c>
      <c r="G3" s="164"/>
      <c r="H3" s="164" t="s">
        <v>7983</v>
      </c>
    </row>
    <row r="4" spans="1:8" ht="38.25">
      <c r="A4" s="160" t="s">
        <v>244</v>
      </c>
      <c r="B4" s="160" t="s">
        <v>7455</v>
      </c>
      <c r="C4" s="161" t="s">
        <v>7456</v>
      </c>
      <c r="D4" s="162" t="s">
        <v>7457</v>
      </c>
      <c r="E4" s="162" t="s">
        <v>246</v>
      </c>
      <c r="F4" s="163" t="s">
        <v>7458</v>
      </c>
      <c r="G4" s="164"/>
      <c r="H4" s="164"/>
    </row>
    <row r="5" spans="1:8" ht="63.75">
      <c r="A5" s="160" t="s">
        <v>244</v>
      </c>
      <c r="B5" s="160" t="s">
        <v>7459</v>
      </c>
      <c r="C5" s="161" t="s">
        <v>7460</v>
      </c>
      <c r="D5" s="162" t="s">
        <v>7461</v>
      </c>
      <c r="E5" s="162" t="s">
        <v>247</v>
      </c>
      <c r="F5" s="163" t="s">
        <v>7462</v>
      </c>
      <c r="G5" s="164"/>
      <c r="H5" s="164"/>
    </row>
    <row r="6" spans="1:8" ht="38.25">
      <c r="A6" s="160" t="s">
        <v>244</v>
      </c>
      <c r="B6" s="160" t="s">
        <v>7463</v>
      </c>
      <c r="C6" s="161" t="s">
        <v>7464</v>
      </c>
      <c r="D6" s="162" t="s">
        <v>7465</v>
      </c>
      <c r="E6" s="162" t="s">
        <v>247</v>
      </c>
      <c r="F6" s="163" t="s">
        <v>7466</v>
      </c>
      <c r="G6" s="164"/>
      <c r="H6" s="164"/>
    </row>
    <row r="7" spans="1:8">
      <c r="A7" s="160" t="s">
        <v>244</v>
      </c>
      <c r="B7" s="160" t="s">
        <v>254</v>
      </c>
      <c r="C7" s="161" t="s">
        <v>7440</v>
      </c>
      <c r="D7" s="162" t="s">
        <v>7467</v>
      </c>
      <c r="E7" s="162" t="s">
        <v>7468</v>
      </c>
      <c r="F7" s="163" t="s">
        <v>7469</v>
      </c>
      <c r="G7" s="164"/>
      <c r="H7" s="164"/>
    </row>
    <row r="8" spans="1:8" ht="38.25">
      <c r="A8" s="160" t="s">
        <v>244</v>
      </c>
      <c r="B8" s="160" t="s">
        <v>7470</v>
      </c>
      <c r="C8" s="161" t="s">
        <v>7471</v>
      </c>
      <c r="D8" s="162" t="s">
        <v>7472</v>
      </c>
      <c r="E8" s="162" t="s">
        <v>245</v>
      </c>
      <c r="F8" s="163" t="s">
        <v>7473</v>
      </c>
      <c r="G8" s="164"/>
      <c r="H8" s="164"/>
    </row>
    <row r="9" spans="1:8" ht="25.5">
      <c r="A9" s="160" t="s">
        <v>244</v>
      </c>
      <c r="B9" s="160" t="s">
        <v>7474</v>
      </c>
      <c r="C9" s="161" t="s">
        <v>7475</v>
      </c>
      <c r="D9" s="162" t="s">
        <v>7476</v>
      </c>
      <c r="E9" s="162" t="s">
        <v>7453</v>
      </c>
      <c r="F9" s="163" t="s">
        <v>7477</v>
      </c>
      <c r="G9" s="164"/>
      <c r="H9" s="164"/>
    </row>
    <row r="10" spans="1:8">
      <c r="A10" s="160" t="s">
        <v>244</v>
      </c>
      <c r="B10" s="160" t="s">
        <v>253</v>
      </c>
      <c r="C10" s="161" t="s">
        <v>7439</v>
      </c>
      <c r="D10" s="162" t="s">
        <v>7478</v>
      </c>
      <c r="E10" s="162" t="s">
        <v>7468</v>
      </c>
      <c r="F10" s="163" t="s">
        <v>7479</v>
      </c>
      <c r="G10" s="164"/>
      <c r="H10" s="164"/>
    </row>
    <row r="11" spans="1:8">
      <c r="A11" s="160" t="s">
        <v>244</v>
      </c>
      <c r="B11" s="160" t="s">
        <v>251</v>
      </c>
      <c r="C11" s="161" t="s">
        <v>7480</v>
      </c>
      <c r="D11" s="162" t="s">
        <v>7481</v>
      </c>
      <c r="E11" s="162" t="s">
        <v>7482</v>
      </c>
      <c r="F11" s="163" t="s">
        <v>7483</v>
      </c>
      <c r="G11" s="164"/>
      <c r="H11" s="164"/>
    </row>
    <row r="12" spans="1:8" ht="25.5">
      <c r="A12" s="160" t="s">
        <v>244</v>
      </c>
      <c r="B12" s="160" t="s">
        <v>248</v>
      </c>
      <c r="C12" s="161" t="s">
        <v>7484</v>
      </c>
      <c r="D12" s="162" t="s">
        <v>7485</v>
      </c>
      <c r="E12" s="162" t="s">
        <v>7468</v>
      </c>
      <c r="F12" s="163" t="s">
        <v>7486</v>
      </c>
      <c r="G12" s="164"/>
      <c r="H12" s="164"/>
    </row>
    <row r="13" spans="1:8" ht="38.25">
      <c r="A13" s="160" t="s">
        <v>244</v>
      </c>
      <c r="B13" s="160" t="s">
        <v>7487</v>
      </c>
      <c r="C13" s="161" t="s">
        <v>7488</v>
      </c>
      <c r="D13" s="162" t="s">
        <v>7489</v>
      </c>
      <c r="E13" s="162" t="s">
        <v>7468</v>
      </c>
      <c r="F13" s="163" t="s">
        <v>7490</v>
      </c>
      <c r="G13" s="164"/>
      <c r="H13" s="164"/>
    </row>
    <row r="14" spans="1:8" ht="60.75" customHeight="1">
      <c r="A14" s="160" t="s">
        <v>244</v>
      </c>
      <c r="B14" s="160" t="s">
        <v>249</v>
      </c>
      <c r="C14" s="161" t="s">
        <v>7491</v>
      </c>
      <c r="D14" s="162" t="s">
        <v>7492</v>
      </c>
      <c r="E14" s="162" t="s">
        <v>250</v>
      </c>
      <c r="F14" s="163" t="s">
        <v>7597</v>
      </c>
      <c r="G14" s="164"/>
      <c r="H14" s="164"/>
    </row>
    <row r="15" spans="1:8" ht="25.5">
      <c r="A15" s="160" t="s">
        <v>244</v>
      </c>
      <c r="B15" s="160" t="s">
        <v>7598</v>
      </c>
      <c r="C15" s="161" t="s">
        <v>7493</v>
      </c>
      <c r="D15" s="162" t="s">
        <v>7494</v>
      </c>
      <c r="E15" s="162" t="s">
        <v>143</v>
      </c>
      <c r="F15" s="163" t="s">
        <v>7495</v>
      </c>
      <c r="G15" s="164"/>
      <c r="H15" s="164"/>
    </row>
    <row r="16" spans="1:8" ht="60">
      <c r="A16" s="160" t="s">
        <v>244</v>
      </c>
      <c r="B16" s="160" t="s">
        <v>7496</v>
      </c>
      <c r="C16" s="161" t="s">
        <v>7497</v>
      </c>
      <c r="D16" s="162" t="s">
        <v>7498</v>
      </c>
      <c r="E16" s="162" t="s">
        <v>7499</v>
      </c>
      <c r="F16" s="163" t="s">
        <v>7500</v>
      </c>
      <c r="G16" s="164"/>
      <c r="H16" s="165"/>
    </row>
    <row r="17" spans="1:8" ht="36">
      <c r="A17" s="160" t="s">
        <v>244</v>
      </c>
      <c r="B17" s="160" t="s">
        <v>7501</v>
      </c>
      <c r="C17" s="161" t="s">
        <v>7502</v>
      </c>
      <c r="D17" s="162" t="s">
        <v>7503</v>
      </c>
      <c r="E17" s="162" t="s">
        <v>7504</v>
      </c>
      <c r="F17" s="163" t="s">
        <v>7500</v>
      </c>
      <c r="G17" s="164"/>
      <c r="H17" s="164"/>
    </row>
    <row r="18" spans="1:8" ht="36">
      <c r="A18" s="160" t="s">
        <v>244</v>
      </c>
      <c r="B18" s="160" t="s">
        <v>7505</v>
      </c>
      <c r="C18" s="161" t="s">
        <v>7506</v>
      </c>
      <c r="D18" s="162" t="s">
        <v>7507</v>
      </c>
      <c r="E18" s="162" t="s">
        <v>7504</v>
      </c>
      <c r="F18" s="163" t="s">
        <v>7500</v>
      </c>
      <c r="G18" s="164"/>
      <c r="H18" s="164"/>
    </row>
    <row r="19" spans="1:8" ht="114.75">
      <c r="A19" s="171" t="s">
        <v>244</v>
      </c>
      <c r="B19" s="171" t="s">
        <v>7508</v>
      </c>
      <c r="C19" s="172" t="s">
        <v>7509</v>
      </c>
      <c r="D19" s="173" t="s">
        <v>7510</v>
      </c>
      <c r="E19" s="173" t="s">
        <v>7504</v>
      </c>
      <c r="F19" s="174" t="s">
        <v>7511</v>
      </c>
      <c r="G19" s="175"/>
      <c r="H19" s="175"/>
    </row>
    <row r="20" spans="1:8" ht="36">
      <c r="A20" s="160" t="s">
        <v>244</v>
      </c>
      <c r="B20" s="160" t="s">
        <v>7512</v>
      </c>
      <c r="C20" s="161" t="s">
        <v>7513</v>
      </c>
      <c r="D20" s="166" t="s">
        <v>7514</v>
      </c>
      <c r="E20" s="162" t="s">
        <v>7504</v>
      </c>
      <c r="F20" s="163" t="s">
        <v>7500</v>
      </c>
      <c r="G20" s="164"/>
      <c r="H20" s="164"/>
    </row>
    <row r="21" spans="1:8" ht="36">
      <c r="A21" s="160" t="s">
        <v>244</v>
      </c>
      <c r="B21" s="160" t="s">
        <v>7515</v>
      </c>
      <c r="C21" s="161" t="s">
        <v>7516</v>
      </c>
      <c r="D21" s="162" t="s">
        <v>7517</v>
      </c>
      <c r="E21" s="162" t="s">
        <v>7504</v>
      </c>
      <c r="F21" s="163" t="s">
        <v>7500</v>
      </c>
      <c r="G21" s="164"/>
      <c r="H21" s="164"/>
    </row>
    <row r="22" spans="1:8" ht="36">
      <c r="A22" s="160" t="s">
        <v>244</v>
      </c>
      <c r="B22" s="160" t="s">
        <v>7518</v>
      </c>
      <c r="C22" s="161" t="s">
        <v>7519</v>
      </c>
      <c r="D22" s="162" t="s">
        <v>7520</v>
      </c>
      <c r="E22" s="162" t="s">
        <v>7504</v>
      </c>
      <c r="F22" s="163" t="s">
        <v>7500</v>
      </c>
      <c r="G22" s="164"/>
      <c r="H22" s="164"/>
    </row>
    <row r="23" spans="1:8" ht="76.5">
      <c r="A23" s="160" t="s">
        <v>244</v>
      </c>
      <c r="B23" s="160" t="s">
        <v>7521</v>
      </c>
      <c r="C23" s="161" t="s">
        <v>7522</v>
      </c>
      <c r="D23" s="162" t="s">
        <v>7523</v>
      </c>
      <c r="E23" s="162" t="s">
        <v>7504</v>
      </c>
      <c r="F23" s="163" t="s">
        <v>7524</v>
      </c>
      <c r="G23" s="164"/>
      <c r="H23" s="164"/>
    </row>
    <row r="24" spans="1:8" ht="36">
      <c r="A24" s="160" t="s">
        <v>244</v>
      </c>
      <c r="B24" s="160" t="s">
        <v>7525</v>
      </c>
      <c r="C24" s="161" t="s">
        <v>7526</v>
      </c>
      <c r="D24" s="162" t="s">
        <v>7527</v>
      </c>
      <c r="E24" s="162" t="s">
        <v>7504</v>
      </c>
      <c r="F24" s="163" t="s">
        <v>7500</v>
      </c>
      <c r="G24" s="164"/>
      <c r="H24" s="165"/>
    </row>
    <row r="25" spans="1:8" ht="89.25">
      <c r="A25" s="160" t="s">
        <v>244</v>
      </c>
      <c r="B25" s="160" t="s">
        <v>7528</v>
      </c>
      <c r="C25" s="161" t="s">
        <v>7529</v>
      </c>
      <c r="D25" s="162" t="s">
        <v>7530</v>
      </c>
      <c r="E25" s="162" t="s">
        <v>7504</v>
      </c>
      <c r="F25" s="163" t="s">
        <v>7531</v>
      </c>
      <c r="G25" s="164"/>
      <c r="H25" s="165"/>
    </row>
    <row r="26" spans="1:8" ht="38.25">
      <c r="A26" s="160" t="s">
        <v>244</v>
      </c>
      <c r="B26" s="160" t="s">
        <v>7532</v>
      </c>
      <c r="C26" s="161" t="s">
        <v>7533</v>
      </c>
      <c r="D26" s="162" t="s">
        <v>7534</v>
      </c>
      <c r="E26" s="162" t="s">
        <v>247</v>
      </c>
      <c r="F26" s="163" t="s">
        <v>7535</v>
      </c>
      <c r="G26" s="164"/>
      <c r="H26" s="165"/>
    </row>
    <row r="27" spans="1:8">
      <c r="A27" s="160" t="s">
        <v>244</v>
      </c>
      <c r="B27" s="160" t="s">
        <v>7536</v>
      </c>
      <c r="C27" s="161" t="s">
        <v>7537</v>
      </c>
      <c r="D27" s="162" t="s">
        <v>7538</v>
      </c>
      <c r="E27" s="162" t="s">
        <v>7539</v>
      </c>
      <c r="F27" s="163" t="s">
        <v>7540</v>
      </c>
      <c r="G27" s="164"/>
      <c r="H27" s="165"/>
    </row>
    <row r="28" spans="1:8">
      <c r="A28" s="160" t="s">
        <v>244</v>
      </c>
      <c r="B28" s="160" t="s">
        <v>7541</v>
      </c>
      <c r="C28" s="161" t="s">
        <v>7542</v>
      </c>
      <c r="D28" s="162" t="s">
        <v>7543</v>
      </c>
      <c r="E28" s="162" t="s">
        <v>7539</v>
      </c>
      <c r="F28" s="163" t="s">
        <v>7540</v>
      </c>
      <c r="G28" s="164"/>
      <c r="H28" s="165"/>
    </row>
    <row r="29" spans="1:8">
      <c r="A29" s="160" t="s">
        <v>244</v>
      </c>
      <c r="B29" s="160" t="s">
        <v>7544</v>
      </c>
      <c r="C29" s="161" t="s">
        <v>7545</v>
      </c>
      <c r="D29" s="162" t="s">
        <v>7546</v>
      </c>
      <c r="E29" s="162" t="s">
        <v>7539</v>
      </c>
      <c r="F29" s="163" t="s">
        <v>7540</v>
      </c>
      <c r="G29" s="164"/>
      <c r="H29" s="165"/>
    </row>
    <row r="30" spans="1:8">
      <c r="A30" s="160" t="s">
        <v>244</v>
      </c>
      <c r="B30" s="160" t="s">
        <v>7547</v>
      </c>
      <c r="C30" s="161" t="s">
        <v>7548</v>
      </c>
      <c r="D30" s="162" t="s">
        <v>7549</v>
      </c>
      <c r="E30" s="162" t="s">
        <v>7539</v>
      </c>
      <c r="F30" s="163" t="s">
        <v>7540</v>
      </c>
      <c r="G30" s="164"/>
      <c r="H30" s="165"/>
    </row>
    <row r="31" spans="1:8">
      <c r="A31" s="160" t="s">
        <v>244</v>
      </c>
      <c r="B31" s="160" t="s">
        <v>7550</v>
      </c>
      <c r="C31" s="161" t="s">
        <v>7551</v>
      </c>
      <c r="D31" s="162" t="s">
        <v>7552</v>
      </c>
      <c r="E31" s="162" t="s">
        <v>7539</v>
      </c>
      <c r="F31" s="163" t="s">
        <v>7540</v>
      </c>
      <c r="G31" s="164"/>
      <c r="H31" s="165"/>
    </row>
    <row r="32" spans="1:8">
      <c r="A32" s="160" t="s">
        <v>244</v>
      </c>
      <c r="B32" s="160" t="s">
        <v>7553</v>
      </c>
      <c r="C32" s="161" t="s">
        <v>7554</v>
      </c>
      <c r="D32" s="162" t="s">
        <v>7555</v>
      </c>
      <c r="E32" s="162" t="s">
        <v>7539</v>
      </c>
      <c r="F32" s="163" t="s">
        <v>7540</v>
      </c>
      <c r="G32" s="164"/>
      <c r="H32" s="165"/>
    </row>
    <row r="33" spans="1:8" ht="24">
      <c r="A33" s="160" t="s">
        <v>244</v>
      </c>
      <c r="B33" s="160" t="s">
        <v>252</v>
      </c>
      <c r="C33" s="161" t="s">
        <v>7556</v>
      </c>
      <c r="D33" s="162" t="s">
        <v>7557</v>
      </c>
      <c r="E33" s="162" t="s">
        <v>7558</v>
      </c>
      <c r="F33" s="163" t="s">
        <v>7540</v>
      </c>
      <c r="G33" s="164"/>
      <c r="H33" s="165"/>
    </row>
    <row r="34" spans="1:8" ht="24">
      <c r="A34" s="160" t="s">
        <v>244</v>
      </c>
      <c r="B34" s="160" t="s">
        <v>7559</v>
      </c>
      <c r="C34" s="161" t="s">
        <v>7560</v>
      </c>
      <c r="D34" s="162" t="s">
        <v>7561</v>
      </c>
      <c r="E34" s="162" t="s">
        <v>7558</v>
      </c>
      <c r="F34" s="163" t="s">
        <v>7540</v>
      </c>
      <c r="G34" s="164"/>
      <c r="H34" s="165"/>
    </row>
    <row r="35" spans="1:8">
      <c r="A35" s="160" t="s">
        <v>244</v>
      </c>
      <c r="B35" s="160" t="s">
        <v>7562</v>
      </c>
      <c r="C35" s="161" t="s">
        <v>7444</v>
      </c>
      <c r="D35" s="162" t="s">
        <v>7563</v>
      </c>
      <c r="E35" s="162" t="s">
        <v>7564</v>
      </c>
      <c r="F35" s="163" t="s">
        <v>7540</v>
      </c>
      <c r="G35" s="164"/>
      <c r="H35" s="165"/>
    </row>
    <row r="36" spans="1:8">
      <c r="A36" s="160" t="s">
        <v>244</v>
      </c>
      <c r="B36" s="160" t="s">
        <v>7565</v>
      </c>
      <c r="C36" s="161" t="s">
        <v>7566</v>
      </c>
      <c r="D36" s="162" t="s">
        <v>7567</v>
      </c>
      <c r="E36" s="162" t="s">
        <v>247</v>
      </c>
      <c r="F36" s="163" t="s">
        <v>7540</v>
      </c>
      <c r="G36" s="164"/>
      <c r="H36" s="164"/>
    </row>
    <row r="37" spans="1:8" ht="24">
      <c r="A37" s="160" t="s">
        <v>244</v>
      </c>
      <c r="B37" s="160" t="s">
        <v>7568</v>
      </c>
      <c r="C37" s="161" t="s">
        <v>7569</v>
      </c>
      <c r="D37" s="162" t="s">
        <v>7570</v>
      </c>
      <c r="E37" s="162" t="s">
        <v>7558</v>
      </c>
      <c r="F37" s="163" t="s">
        <v>7540</v>
      </c>
      <c r="G37" s="164"/>
      <c r="H37" s="164"/>
    </row>
    <row r="38" spans="1:8">
      <c r="A38" s="160" t="s">
        <v>244</v>
      </c>
      <c r="B38" s="160" t="s">
        <v>7571</v>
      </c>
      <c r="C38" s="161" t="s">
        <v>7572</v>
      </c>
      <c r="D38" s="162" t="s">
        <v>7573</v>
      </c>
      <c r="E38" s="162" t="s">
        <v>247</v>
      </c>
      <c r="F38" s="163" t="s">
        <v>7574</v>
      </c>
      <c r="G38" s="164"/>
      <c r="H38" s="164"/>
    </row>
    <row r="39" spans="1:8" ht="63.75">
      <c r="A39" s="160" t="s">
        <v>244</v>
      </c>
      <c r="B39" s="160" t="s">
        <v>7575</v>
      </c>
      <c r="C39" s="161" t="s">
        <v>7576</v>
      </c>
      <c r="D39" s="162" t="s">
        <v>7577</v>
      </c>
      <c r="E39" s="162" t="s">
        <v>247</v>
      </c>
      <c r="F39" s="163" t="s">
        <v>7578</v>
      </c>
      <c r="G39" s="164"/>
      <c r="H39" s="164"/>
    </row>
    <row r="40" spans="1:8" ht="63.75">
      <c r="A40" s="160" t="s">
        <v>244</v>
      </c>
      <c r="B40" s="160" t="s">
        <v>7579</v>
      </c>
      <c r="C40" s="161" t="s">
        <v>7443</v>
      </c>
      <c r="D40" s="162" t="s">
        <v>7580</v>
      </c>
      <c r="E40" s="162" t="s">
        <v>247</v>
      </c>
      <c r="F40" s="163" t="s">
        <v>7581</v>
      </c>
      <c r="G40" s="164"/>
      <c r="H40" s="164"/>
    </row>
    <row r="41" spans="1:8" ht="36">
      <c r="A41" s="160" t="s">
        <v>244</v>
      </c>
      <c r="B41" s="160" t="s">
        <v>7582</v>
      </c>
      <c r="C41" s="161" t="s">
        <v>7583</v>
      </c>
      <c r="D41" s="162" t="s">
        <v>7584</v>
      </c>
      <c r="E41" s="162" t="s">
        <v>7585</v>
      </c>
      <c r="F41" s="163" t="s">
        <v>7586</v>
      </c>
      <c r="G41" s="164"/>
      <c r="H41" s="164"/>
    </row>
    <row r="42" spans="1:8" ht="36">
      <c r="A42" s="160" t="s">
        <v>244</v>
      </c>
      <c r="B42" s="160" t="s">
        <v>7441</v>
      </c>
      <c r="C42" s="161" t="s">
        <v>7442</v>
      </c>
      <c r="D42" s="162" t="s">
        <v>7587</v>
      </c>
      <c r="E42" s="162" t="s">
        <v>7588</v>
      </c>
      <c r="F42" s="163" t="s">
        <v>7586</v>
      </c>
      <c r="G42" s="164"/>
      <c r="H42" s="164"/>
    </row>
    <row r="43" spans="1:8" ht="36">
      <c r="A43" s="160" t="s">
        <v>244</v>
      </c>
      <c r="B43" s="160" t="s">
        <v>7589</v>
      </c>
      <c r="C43" s="161" t="s">
        <v>7590</v>
      </c>
      <c r="D43" s="162" t="s">
        <v>7591</v>
      </c>
      <c r="E43" s="162" t="s">
        <v>7592</v>
      </c>
      <c r="F43" s="163" t="s">
        <v>7586</v>
      </c>
      <c r="G43" s="164"/>
      <c r="H43" s="164"/>
    </row>
    <row r="44" spans="1:8" ht="102">
      <c r="A44" s="160" t="s">
        <v>244</v>
      </c>
      <c r="B44" s="160" t="s">
        <v>7593</v>
      </c>
      <c r="C44" s="161" t="s">
        <v>7594</v>
      </c>
      <c r="D44" s="162" t="s">
        <v>7595</v>
      </c>
      <c r="E44" s="162" t="s">
        <v>7453</v>
      </c>
      <c r="F44" s="163" t="s">
        <v>7596</v>
      </c>
      <c r="G44" s="176"/>
      <c r="H44" s="176"/>
    </row>
    <row r="45" spans="1:8">
      <c r="A45" s="177"/>
      <c r="B45" s="177"/>
      <c r="C45" s="178"/>
      <c r="D45" s="178"/>
      <c r="E45" s="178"/>
      <c r="F45" s="178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F84"/>
  <sheetViews>
    <sheetView zoomScale="95" zoomScaleNormal="95" workbookViewId="0">
      <selection activeCell="C103" sqref="C103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7" max="16384" width="12.7109375" style="129"/>
  </cols>
  <sheetData>
    <row r="1" spans="1:5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5">
      <c r="A2" s="132" t="s">
        <v>255</v>
      </c>
      <c r="B2" s="125" t="s">
        <v>7820</v>
      </c>
      <c r="C2" s="125" t="s">
        <v>7821</v>
      </c>
      <c r="D2" s="133"/>
      <c r="E2" s="125" t="s">
        <v>7820</v>
      </c>
    </row>
    <row r="3" spans="1:5">
      <c r="A3" s="132" t="s">
        <v>255</v>
      </c>
      <c r="B3" s="123" t="s">
        <v>7822</v>
      </c>
      <c r="C3" s="123" t="s">
        <v>7823</v>
      </c>
      <c r="E3" s="123" t="s">
        <v>7822</v>
      </c>
    </row>
    <row r="4" spans="1:5">
      <c r="A4" s="132" t="s">
        <v>255</v>
      </c>
      <c r="B4" s="123" t="s">
        <v>7824</v>
      </c>
      <c r="C4" s="123" t="s">
        <v>7825</v>
      </c>
      <c r="E4" s="123" t="s">
        <v>7824</v>
      </c>
    </row>
    <row r="5" spans="1:5">
      <c r="A5" s="132" t="s">
        <v>255</v>
      </c>
      <c r="B5" s="123" t="s">
        <v>7826</v>
      </c>
      <c r="C5" s="123" t="s">
        <v>7827</v>
      </c>
      <c r="E5" s="123" t="s">
        <v>7826</v>
      </c>
    </row>
    <row r="6" spans="1:5">
      <c r="A6" s="132" t="s">
        <v>255</v>
      </c>
      <c r="B6" s="123" t="s">
        <v>7828</v>
      </c>
      <c r="C6" s="123" t="s">
        <v>7829</v>
      </c>
      <c r="E6" s="123" t="s">
        <v>7828</v>
      </c>
    </row>
    <row r="7" spans="1:5">
      <c r="A7" s="132" t="s">
        <v>255</v>
      </c>
      <c r="B7" s="123" t="s">
        <v>7830</v>
      </c>
      <c r="C7" s="123" t="s">
        <v>7831</v>
      </c>
      <c r="E7" s="123" t="s">
        <v>7830</v>
      </c>
    </row>
    <row r="8" spans="1:5">
      <c r="A8" s="132" t="s">
        <v>255</v>
      </c>
      <c r="B8" s="123" t="s">
        <v>7832</v>
      </c>
      <c r="C8" s="123" t="s">
        <v>7833</v>
      </c>
      <c r="E8" s="123" t="s">
        <v>7832</v>
      </c>
    </row>
    <row r="9" spans="1:5">
      <c r="A9" s="132" t="s">
        <v>255</v>
      </c>
      <c r="B9" s="123" t="s">
        <v>7834</v>
      </c>
      <c r="C9" s="123" t="s">
        <v>7835</v>
      </c>
      <c r="E9" s="123" t="s">
        <v>7834</v>
      </c>
    </row>
    <row r="10" spans="1:5">
      <c r="A10" s="132" t="s">
        <v>255</v>
      </c>
      <c r="B10" s="123" t="s">
        <v>7836</v>
      </c>
      <c r="C10" s="123" t="s">
        <v>7837</v>
      </c>
      <c r="E10" s="123" t="s">
        <v>7836</v>
      </c>
    </row>
    <row r="11" spans="1:5">
      <c r="A11" s="132" t="s">
        <v>255</v>
      </c>
      <c r="B11" s="123" t="s">
        <v>7838</v>
      </c>
      <c r="C11" s="123" t="s">
        <v>7839</v>
      </c>
      <c r="E11" s="123" t="s">
        <v>7838</v>
      </c>
    </row>
    <row r="12" spans="1:5">
      <c r="A12" s="132" t="s">
        <v>255</v>
      </c>
      <c r="B12" s="123" t="s">
        <v>7840</v>
      </c>
      <c r="C12" s="123" t="s">
        <v>7841</v>
      </c>
      <c r="E12" s="123" t="s">
        <v>7840</v>
      </c>
    </row>
    <row r="13" spans="1:5">
      <c r="A13" s="132" t="s">
        <v>255</v>
      </c>
      <c r="B13" s="123" t="s">
        <v>7842</v>
      </c>
      <c r="C13" s="123" t="s">
        <v>7843</v>
      </c>
      <c r="E13" s="123" t="s">
        <v>7842</v>
      </c>
    </row>
    <row r="14" spans="1:5">
      <c r="A14" s="132" t="s">
        <v>255</v>
      </c>
      <c r="B14" s="123" t="s">
        <v>7844</v>
      </c>
      <c r="C14" s="123" t="s">
        <v>7845</v>
      </c>
      <c r="E14" s="123" t="s">
        <v>7844</v>
      </c>
    </row>
    <row r="15" spans="1:5">
      <c r="A15" s="132" t="s">
        <v>255</v>
      </c>
      <c r="B15" s="123" t="s">
        <v>7846</v>
      </c>
      <c r="C15" s="123" t="s">
        <v>7847</v>
      </c>
      <c r="E15" s="123" t="s">
        <v>7846</v>
      </c>
    </row>
    <row r="16" spans="1:5">
      <c r="A16" s="132" t="s">
        <v>255</v>
      </c>
      <c r="B16" s="123" t="s">
        <v>7848</v>
      </c>
      <c r="C16" s="123" t="s">
        <v>7849</v>
      </c>
      <c r="E16" s="123" t="s">
        <v>7848</v>
      </c>
    </row>
    <row r="17" spans="1:5">
      <c r="A17" s="132" t="s">
        <v>255</v>
      </c>
      <c r="B17" s="123" t="s">
        <v>7850</v>
      </c>
      <c r="C17" s="123" t="s">
        <v>7851</v>
      </c>
      <c r="E17" s="123" t="s">
        <v>7850</v>
      </c>
    </row>
    <row r="18" spans="1:5">
      <c r="A18" s="132" t="s">
        <v>255</v>
      </c>
      <c r="B18" s="123" t="s">
        <v>7852</v>
      </c>
      <c r="C18" s="123" t="s">
        <v>7853</v>
      </c>
      <c r="E18" s="123" t="s">
        <v>7852</v>
      </c>
    </row>
    <row r="19" spans="1:5">
      <c r="A19" s="132" t="s">
        <v>255</v>
      </c>
      <c r="B19" s="123" t="s">
        <v>7854</v>
      </c>
      <c r="C19" s="123" t="s">
        <v>7855</v>
      </c>
      <c r="E19" s="123" t="s">
        <v>7854</v>
      </c>
    </row>
    <row r="20" spans="1:5">
      <c r="A20" s="132" t="s">
        <v>255</v>
      </c>
      <c r="B20" s="123" t="s">
        <v>7856</v>
      </c>
      <c r="C20" s="123" t="s">
        <v>7857</v>
      </c>
      <c r="E20" s="123" t="s">
        <v>7856</v>
      </c>
    </row>
    <row r="21" spans="1:5">
      <c r="A21" s="132" t="s">
        <v>255</v>
      </c>
      <c r="B21" s="123" t="s">
        <v>7858</v>
      </c>
      <c r="C21" s="123" t="s">
        <v>7859</v>
      </c>
      <c r="E21" s="123" t="s">
        <v>7858</v>
      </c>
    </row>
    <row r="22" spans="1:5">
      <c r="A22" s="132" t="s">
        <v>255</v>
      </c>
      <c r="B22" s="123" t="s">
        <v>7860</v>
      </c>
      <c r="C22" s="123" t="s">
        <v>7861</v>
      </c>
      <c r="E22" s="123" t="s">
        <v>7860</v>
      </c>
    </row>
    <row r="23" spans="1:5">
      <c r="A23" s="132" t="s">
        <v>255</v>
      </c>
      <c r="B23" s="123" t="s">
        <v>7862</v>
      </c>
      <c r="C23" s="123" t="s">
        <v>7863</v>
      </c>
      <c r="E23" s="123" t="s">
        <v>7862</v>
      </c>
    </row>
    <row r="24" spans="1:5">
      <c r="A24" s="132" t="s">
        <v>255</v>
      </c>
      <c r="B24" s="123" t="s">
        <v>7864</v>
      </c>
      <c r="C24" s="123" t="s">
        <v>7865</v>
      </c>
      <c r="E24" s="123" t="s">
        <v>7864</v>
      </c>
    </row>
    <row r="25" spans="1:5">
      <c r="A25" s="132" t="s">
        <v>255</v>
      </c>
      <c r="B25" s="123" t="s">
        <v>7866</v>
      </c>
      <c r="C25" s="123" t="s">
        <v>7867</v>
      </c>
      <c r="E25" s="123" t="s">
        <v>7866</v>
      </c>
    </row>
    <row r="26" spans="1:5">
      <c r="A26" s="132" t="s">
        <v>255</v>
      </c>
      <c r="B26" s="123" t="s">
        <v>7868</v>
      </c>
      <c r="C26" s="123" t="s">
        <v>7869</v>
      </c>
      <c r="E26" s="123" t="s">
        <v>7868</v>
      </c>
    </row>
    <row r="27" spans="1:5">
      <c r="A27" s="132" t="s">
        <v>255</v>
      </c>
      <c r="B27" s="123" t="s">
        <v>7870</v>
      </c>
      <c r="C27" s="123" t="s">
        <v>7871</v>
      </c>
      <c r="E27" s="123" t="s">
        <v>7870</v>
      </c>
    </row>
    <row r="28" spans="1:5">
      <c r="A28" s="132" t="s">
        <v>255</v>
      </c>
      <c r="B28" s="123" t="s">
        <v>7872</v>
      </c>
      <c r="C28" s="123" t="s">
        <v>7873</v>
      </c>
      <c r="E28" s="123" t="s">
        <v>7872</v>
      </c>
    </row>
    <row r="29" spans="1:5">
      <c r="A29" s="132" t="s">
        <v>255</v>
      </c>
      <c r="B29" s="123" t="s">
        <v>7874</v>
      </c>
      <c r="C29" s="123" t="s">
        <v>7875</v>
      </c>
      <c r="E29" s="123" t="s">
        <v>7874</v>
      </c>
    </row>
    <row r="30" spans="1:5">
      <c r="A30" s="132" t="s">
        <v>255</v>
      </c>
      <c r="B30" s="123" t="s">
        <v>7876</v>
      </c>
      <c r="C30" s="123" t="s">
        <v>7877</v>
      </c>
      <c r="E30" s="123" t="s">
        <v>7876</v>
      </c>
    </row>
    <row r="31" spans="1:5">
      <c r="A31" s="132" t="s">
        <v>255</v>
      </c>
      <c r="B31" s="123" t="s">
        <v>7878</v>
      </c>
      <c r="C31" s="123" t="s">
        <v>7879</v>
      </c>
      <c r="E31" s="123" t="s">
        <v>7878</v>
      </c>
    </row>
    <row r="32" spans="1:5">
      <c r="A32" s="132" t="s">
        <v>255</v>
      </c>
      <c r="B32" s="123" t="s">
        <v>7880</v>
      </c>
      <c r="C32" s="123" t="s">
        <v>7881</v>
      </c>
      <c r="E32" s="123" t="s">
        <v>7880</v>
      </c>
    </row>
    <row r="33" spans="1:5">
      <c r="A33" s="132" t="s">
        <v>255</v>
      </c>
      <c r="B33" s="123" t="s">
        <v>7882</v>
      </c>
      <c r="C33" s="123" t="s">
        <v>7883</v>
      </c>
      <c r="E33" s="123" t="s">
        <v>7882</v>
      </c>
    </row>
    <row r="34" spans="1:5">
      <c r="A34" s="132" t="s">
        <v>255</v>
      </c>
      <c r="B34" s="123" t="s">
        <v>7884</v>
      </c>
      <c r="C34" s="123" t="s">
        <v>7885</v>
      </c>
      <c r="E34" s="123" t="s">
        <v>7884</v>
      </c>
    </row>
    <row r="35" spans="1:5">
      <c r="A35" s="132" t="s">
        <v>255</v>
      </c>
      <c r="B35" s="123" t="s">
        <v>7886</v>
      </c>
      <c r="C35" s="123" t="s">
        <v>7887</v>
      </c>
      <c r="E35" s="123" t="s">
        <v>7886</v>
      </c>
    </row>
    <row r="36" spans="1:5">
      <c r="A36" s="132" t="s">
        <v>255</v>
      </c>
      <c r="B36" s="123" t="s">
        <v>7888</v>
      </c>
      <c r="C36" s="123" t="s">
        <v>7889</v>
      </c>
      <c r="E36" s="123" t="s">
        <v>7888</v>
      </c>
    </row>
    <row r="37" spans="1:5">
      <c r="A37" s="132" t="s">
        <v>255</v>
      </c>
      <c r="B37" s="123" t="s">
        <v>7890</v>
      </c>
      <c r="C37" s="123" t="s">
        <v>7891</v>
      </c>
      <c r="E37" s="123" t="s">
        <v>7890</v>
      </c>
    </row>
    <row r="38" spans="1:5">
      <c r="A38" s="132" t="s">
        <v>255</v>
      </c>
      <c r="B38" s="123" t="s">
        <v>7892</v>
      </c>
      <c r="C38" s="123" t="s">
        <v>7893</v>
      </c>
      <c r="E38" s="123" t="s">
        <v>7892</v>
      </c>
    </row>
    <row r="39" spans="1:5">
      <c r="A39" s="132" t="s">
        <v>255</v>
      </c>
      <c r="B39" s="123" t="s">
        <v>7894</v>
      </c>
      <c r="C39" s="123" t="s">
        <v>7895</v>
      </c>
      <c r="E39" s="123" t="s">
        <v>7894</v>
      </c>
    </row>
    <row r="40" spans="1:5">
      <c r="A40" s="132" t="s">
        <v>255</v>
      </c>
      <c r="B40" s="123" t="s">
        <v>7896</v>
      </c>
      <c r="C40" s="123" t="s">
        <v>7897</v>
      </c>
      <c r="E40" s="123" t="s">
        <v>7896</v>
      </c>
    </row>
    <row r="41" spans="1:5">
      <c r="A41" s="132" t="s">
        <v>255</v>
      </c>
      <c r="B41" s="123" t="s">
        <v>7898</v>
      </c>
      <c r="C41" s="123" t="s">
        <v>7899</v>
      </c>
      <c r="E41" s="123" t="s">
        <v>7898</v>
      </c>
    </row>
    <row r="42" spans="1:5">
      <c r="A42" s="132" t="s">
        <v>255</v>
      </c>
      <c r="B42" s="123" t="s">
        <v>7900</v>
      </c>
      <c r="C42" s="123" t="s">
        <v>7901</v>
      </c>
      <c r="E42" s="123" t="s">
        <v>7900</v>
      </c>
    </row>
    <row r="43" spans="1:5">
      <c r="A43" s="132" t="s">
        <v>255</v>
      </c>
      <c r="B43" s="123" t="s">
        <v>7902</v>
      </c>
      <c r="C43" s="123" t="s">
        <v>7903</v>
      </c>
      <c r="E43" s="123" t="s">
        <v>7902</v>
      </c>
    </row>
    <row r="44" spans="1:5">
      <c r="A44" s="132" t="s">
        <v>255</v>
      </c>
      <c r="B44" s="123" t="s">
        <v>7904</v>
      </c>
      <c r="C44" s="123" t="s">
        <v>7905</v>
      </c>
      <c r="E44" s="123" t="s">
        <v>7904</v>
      </c>
    </row>
    <row r="45" spans="1:5">
      <c r="A45" s="132" t="s">
        <v>255</v>
      </c>
      <c r="B45" s="123" t="s">
        <v>7906</v>
      </c>
      <c r="C45" s="123" t="s">
        <v>7907</v>
      </c>
      <c r="E45" s="123" t="s">
        <v>7906</v>
      </c>
    </row>
    <row r="46" spans="1:5">
      <c r="A46" s="132" t="s">
        <v>255</v>
      </c>
      <c r="B46" s="123" t="s">
        <v>7908</v>
      </c>
      <c r="C46" s="123" t="s">
        <v>7909</v>
      </c>
      <c r="E46" s="123" t="s">
        <v>7908</v>
      </c>
    </row>
    <row r="47" spans="1:5">
      <c r="A47" s="132" t="s">
        <v>255</v>
      </c>
      <c r="B47" s="123" t="s">
        <v>7910</v>
      </c>
      <c r="C47" s="123" t="s">
        <v>7911</v>
      </c>
      <c r="E47" s="123" t="s">
        <v>7910</v>
      </c>
    </row>
    <row r="48" spans="1:5">
      <c r="A48" s="132" t="s">
        <v>255</v>
      </c>
      <c r="B48" s="123" t="s">
        <v>7912</v>
      </c>
      <c r="C48" s="123" t="s">
        <v>7913</v>
      </c>
      <c r="E48" s="123" t="s">
        <v>7912</v>
      </c>
    </row>
    <row r="49" spans="1:5">
      <c r="A49" s="132" t="s">
        <v>255</v>
      </c>
      <c r="B49" s="123" t="s">
        <v>7914</v>
      </c>
      <c r="C49" s="123" t="s">
        <v>7915</v>
      </c>
      <c r="E49" s="123" t="s">
        <v>7914</v>
      </c>
    </row>
    <row r="50" spans="1:5">
      <c r="A50" s="132" t="s">
        <v>255</v>
      </c>
      <c r="B50" s="123" t="s">
        <v>7916</v>
      </c>
      <c r="C50" s="123" t="s">
        <v>7917</v>
      </c>
      <c r="E50" s="123" t="s">
        <v>7916</v>
      </c>
    </row>
    <row r="51" spans="1:5">
      <c r="A51" s="132" t="s">
        <v>255</v>
      </c>
      <c r="B51" s="123" t="s">
        <v>7918</v>
      </c>
      <c r="C51" s="123" t="s">
        <v>7919</v>
      </c>
      <c r="E51" s="123" t="s">
        <v>7918</v>
      </c>
    </row>
    <row r="52" spans="1:5">
      <c r="A52" s="132" t="s">
        <v>255</v>
      </c>
      <c r="B52" s="123" t="s">
        <v>7920</v>
      </c>
      <c r="C52" s="123" t="s">
        <v>7921</v>
      </c>
      <c r="E52" s="123" t="s">
        <v>7920</v>
      </c>
    </row>
    <row r="53" spans="1:5">
      <c r="A53" s="132" t="s">
        <v>255</v>
      </c>
      <c r="B53" s="123" t="s">
        <v>7922</v>
      </c>
      <c r="C53" s="123" t="s">
        <v>7923</v>
      </c>
      <c r="E53" s="123" t="s">
        <v>7922</v>
      </c>
    </row>
    <row r="54" spans="1:5">
      <c r="A54" s="132" t="s">
        <v>255</v>
      </c>
      <c r="B54" s="123" t="s">
        <v>7924</v>
      </c>
      <c r="C54" s="123" t="s">
        <v>7925</v>
      </c>
      <c r="E54" s="123" t="s">
        <v>7924</v>
      </c>
    </row>
    <row r="55" spans="1:5">
      <c r="A55" s="132" t="s">
        <v>255</v>
      </c>
      <c r="B55" s="123" t="s">
        <v>7926</v>
      </c>
      <c r="C55" s="123" t="s">
        <v>7927</v>
      </c>
      <c r="E55" s="123" t="s">
        <v>7926</v>
      </c>
    </row>
    <row r="56" spans="1:5">
      <c r="A56" s="132" t="s">
        <v>255</v>
      </c>
      <c r="B56" s="123" t="s">
        <v>7928</v>
      </c>
      <c r="C56" s="123" t="s">
        <v>7929</v>
      </c>
      <c r="E56" s="123" t="s">
        <v>7928</v>
      </c>
    </row>
    <row r="57" spans="1:5">
      <c r="A57" s="132" t="s">
        <v>255</v>
      </c>
      <c r="B57" s="123" t="s">
        <v>7930</v>
      </c>
      <c r="C57" s="123" t="s">
        <v>7931</v>
      </c>
      <c r="E57" s="123" t="s">
        <v>7930</v>
      </c>
    </row>
    <row r="58" spans="1:5">
      <c r="A58" s="132" t="s">
        <v>255</v>
      </c>
      <c r="B58" s="123" t="s">
        <v>7932</v>
      </c>
      <c r="C58" s="123" t="s">
        <v>7933</v>
      </c>
      <c r="E58" s="123" t="s">
        <v>7932</v>
      </c>
    </row>
    <row r="59" spans="1:5">
      <c r="A59" s="132" t="s">
        <v>255</v>
      </c>
      <c r="B59" s="123" t="s">
        <v>7934</v>
      </c>
      <c r="C59" s="123" t="s">
        <v>7935</v>
      </c>
      <c r="E59" s="123" t="s">
        <v>7934</v>
      </c>
    </row>
    <row r="60" spans="1:5">
      <c r="A60" s="132" t="s">
        <v>255</v>
      </c>
      <c r="B60" s="123" t="s">
        <v>7936</v>
      </c>
      <c r="C60" s="123" t="s">
        <v>7937</v>
      </c>
      <c r="E60" s="123" t="s">
        <v>7936</v>
      </c>
    </row>
    <row r="61" spans="1:5">
      <c r="A61" s="132" t="s">
        <v>255</v>
      </c>
      <c r="B61" s="123" t="s">
        <v>7938</v>
      </c>
      <c r="C61" s="123" t="s">
        <v>7939</v>
      </c>
      <c r="E61" s="123" t="s">
        <v>7938</v>
      </c>
    </row>
    <row r="62" spans="1:5">
      <c r="A62" s="132" t="s">
        <v>255</v>
      </c>
      <c r="B62" s="123" t="s">
        <v>7940</v>
      </c>
      <c r="C62" s="123" t="s">
        <v>7941</v>
      </c>
      <c r="E62" s="123" t="s">
        <v>7940</v>
      </c>
    </row>
    <row r="63" spans="1:5">
      <c r="A63" s="132" t="s">
        <v>255</v>
      </c>
      <c r="B63" s="123" t="s">
        <v>7942</v>
      </c>
      <c r="C63" s="123" t="s">
        <v>7943</v>
      </c>
      <c r="E63" s="123" t="s">
        <v>7942</v>
      </c>
    </row>
    <row r="64" spans="1:5">
      <c r="A64" s="132" t="s">
        <v>255</v>
      </c>
      <c r="B64" s="123" t="s">
        <v>7944</v>
      </c>
      <c r="C64" s="123" t="s">
        <v>7945</v>
      </c>
      <c r="E64" s="123" t="s">
        <v>7944</v>
      </c>
    </row>
    <row r="65" spans="1:5">
      <c r="A65" s="132" t="s">
        <v>255</v>
      </c>
      <c r="B65" s="123" t="s">
        <v>7946</v>
      </c>
      <c r="C65" s="123" t="s">
        <v>7947</v>
      </c>
      <c r="E65" s="123" t="s">
        <v>7946</v>
      </c>
    </row>
    <row r="66" spans="1:5">
      <c r="A66" s="132" t="s">
        <v>255</v>
      </c>
      <c r="B66" s="123" t="s">
        <v>7948</v>
      </c>
      <c r="C66" s="123" t="s">
        <v>7949</v>
      </c>
      <c r="E66" s="123" t="s">
        <v>7948</v>
      </c>
    </row>
    <row r="67" spans="1:5">
      <c r="A67" s="132" t="s">
        <v>255</v>
      </c>
      <c r="B67" s="123" t="s">
        <v>7950</v>
      </c>
      <c r="C67" s="123" t="s">
        <v>7951</v>
      </c>
      <c r="E67" s="123" t="s">
        <v>7950</v>
      </c>
    </row>
    <row r="68" spans="1:5">
      <c r="A68" s="132" t="s">
        <v>255</v>
      </c>
      <c r="B68" s="123" t="s">
        <v>7952</v>
      </c>
      <c r="C68" s="123" t="s">
        <v>7953</v>
      </c>
      <c r="E68" s="123" t="s">
        <v>7952</v>
      </c>
    </row>
    <row r="69" spans="1:5">
      <c r="A69" s="132" t="s">
        <v>255</v>
      </c>
      <c r="B69" s="123" t="s">
        <v>7954</v>
      </c>
      <c r="C69" s="123" t="s">
        <v>7955</v>
      </c>
      <c r="E69" s="123" t="s">
        <v>7954</v>
      </c>
    </row>
    <row r="70" spans="1:5">
      <c r="A70" s="132" t="s">
        <v>255</v>
      </c>
      <c r="B70" s="123" t="s">
        <v>7956</v>
      </c>
      <c r="C70" s="123" t="s">
        <v>7957</v>
      </c>
      <c r="E70" s="123" t="s">
        <v>7956</v>
      </c>
    </row>
    <row r="71" spans="1:5">
      <c r="A71" s="132" t="s">
        <v>255</v>
      </c>
      <c r="B71" s="123" t="s">
        <v>7958</v>
      </c>
      <c r="C71" s="123" t="s">
        <v>7959</v>
      </c>
      <c r="E71" s="123" t="s">
        <v>7958</v>
      </c>
    </row>
    <row r="72" spans="1:5">
      <c r="A72" s="132" t="s">
        <v>255</v>
      </c>
      <c r="B72" s="123" t="s">
        <v>7960</v>
      </c>
      <c r="C72" s="123" t="s">
        <v>7961</v>
      </c>
      <c r="E72" s="123" t="s">
        <v>7960</v>
      </c>
    </row>
    <row r="73" spans="1:5">
      <c r="A73" s="132" t="s">
        <v>255</v>
      </c>
      <c r="B73" s="123" t="s">
        <v>7962</v>
      </c>
      <c r="C73" s="123" t="s">
        <v>7963</v>
      </c>
      <c r="E73" s="123" t="s">
        <v>7962</v>
      </c>
    </row>
    <row r="74" spans="1:5">
      <c r="A74" s="132" t="s">
        <v>255</v>
      </c>
      <c r="B74" s="123" t="s">
        <v>7964</v>
      </c>
      <c r="C74" s="123" t="s">
        <v>7965</v>
      </c>
      <c r="E74" s="123" t="s">
        <v>7964</v>
      </c>
    </row>
    <row r="75" spans="1:5">
      <c r="A75" s="132" t="s">
        <v>255</v>
      </c>
      <c r="B75" s="123" t="s">
        <v>7966</v>
      </c>
      <c r="C75" s="123" t="s">
        <v>7967</v>
      </c>
      <c r="E75" s="123" t="s">
        <v>7966</v>
      </c>
    </row>
    <row r="76" spans="1:5">
      <c r="A76" s="132" t="s">
        <v>255</v>
      </c>
      <c r="B76" s="123" t="s">
        <v>7968</v>
      </c>
      <c r="C76" s="123" t="s">
        <v>7969</v>
      </c>
      <c r="E76" s="123" t="s">
        <v>7968</v>
      </c>
    </row>
    <row r="77" spans="1:5">
      <c r="A77" s="132" t="s">
        <v>255</v>
      </c>
      <c r="B77" s="123" t="s">
        <v>7970</v>
      </c>
      <c r="C77" s="123" t="s">
        <v>7971</v>
      </c>
      <c r="E77" s="123" t="s">
        <v>7970</v>
      </c>
    </row>
    <row r="78" spans="1:5">
      <c r="A78" s="132" t="s">
        <v>255</v>
      </c>
      <c r="B78" s="123" t="s">
        <v>7972</v>
      </c>
      <c r="C78" s="123" t="s">
        <v>7973</v>
      </c>
      <c r="E78" s="123" t="s">
        <v>7972</v>
      </c>
    </row>
    <row r="79" spans="1:5">
      <c r="A79" s="132" t="s">
        <v>255</v>
      </c>
      <c r="B79" s="123" t="s">
        <v>7974</v>
      </c>
      <c r="C79" s="123" t="s">
        <v>7975</v>
      </c>
      <c r="E79" s="123" t="s">
        <v>7974</v>
      </c>
    </row>
    <row r="80" spans="1:5">
      <c r="A80" s="132" t="s">
        <v>255</v>
      </c>
      <c r="B80" s="123" t="s">
        <v>7976</v>
      </c>
      <c r="C80" s="123" t="s">
        <v>7977</v>
      </c>
      <c r="E80" s="123" t="s">
        <v>7976</v>
      </c>
    </row>
    <row r="81" spans="1:5">
      <c r="A81" s="132" t="s">
        <v>255</v>
      </c>
      <c r="B81" s="123" t="s">
        <v>7978</v>
      </c>
      <c r="C81" s="123" t="s">
        <v>7979</v>
      </c>
      <c r="E81" s="123" t="s">
        <v>7978</v>
      </c>
    </row>
    <row r="82" spans="1:5">
      <c r="A82" s="132" t="s">
        <v>255</v>
      </c>
      <c r="B82" s="123" t="s">
        <v>7980</v>
      </c>
      <c r="C82" s="123" t="s">
        <v>7981</v>
      </c>
      <c r="E82" s="123" t="s">
        <v>7980</v>
      </c>
    </row>
    <row r="83" spans="1:5">
      <c r="A83" s="132" t="s">
        <v>255</v>
      </c>
      <c r="B83" s="123" t="s">
        <v>7818</v>
      </c>
      <c r="C83" s="123" t="s">
        <v>7819</v>
      </c>
      <c r="E83" s="123" t="s">
        <v>7818</v>
      </c>
    </row>
    <row r="84" spans="1:5">
      <c r="A84" s="132" t="s">
        <v>255</v>
      </c>
      <c r="B84" s="123" t="s">
        <v>7816</v>
      </c>
      <c r="C84" s="123" t="s">
        <v>7817</v>
      </c>
      <c r="E84" s="123" t="s">
        <v>7816</v>
      </c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84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"/>
  <sheetViews>
    <sheetView zoomScale="89" zoomScaleNormal="89" workbookViewId="0">
      <selection activeCell="D7" sqref="D7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5"/>
      <c r="H1" s="195"/>
      <c r="I1" s="182"/>
      <c r="J1" s="195"/>
    </row>
    <row r="2" spans="1:10">
      <c r="A2" s="125" t="s">
        <v>256</v>
      </c>
      <c r="B2" s="125" t="s">
        <v>257</v>
      </c>
      <c r="C2" s="125" t="s">
        <v>258</v>
      </c>
      <c r="D2" s="112" t="s">
        <v>7814</v>
      </c>
      <c r="J2" s="196"/>
    </row>
    <row r="3" spans="1:10">
      <c r="A3" s="123" t="s">
        <v>256</v>
      </c>
      <c r="B3" s="123" t="s">
        <v>259</v>
      </c>
      <c r="C3" s="123" t="s">
        <v>260</v>
      </c>
      <c r="D3" s="112" t="s">
        <v>7815</v>
      </c>
      <c r="J3" s="196"/>
    </row>
    <row r="4" spans="1:10">
      <c r="J4" s="196"/>
    </row>
    <row r="5" spans="1:10">
      <c r="G5" s="140"/>
      <c r="H5" s="140"/>
      <c r="J5" s="196"/>
    </row>
    <row r="6" spans="1:10">
      <c r="G6" s="195"/>
      <c r="H6" s="195"/>
      <c r="I6" s="182"/>
      <c r="J6" s="19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4"/>
  <sheetViews>
    <sheetView zoomScale="95" zoomScaleNormal="95" workbookViewId="0">
      <selection activeCell="B5" sqref="B5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261</v>
      </c>
      <c r="B2" s="112" t="s">
        <v>261</v>
      </c>
    </row>
    <row r="3" spans="1:4">
      <c r="A3" s="134" t="s">
        <v>262</v>
      </c>
      <c r="B3" s="135" t="s">
        <v>263</v>
      </c>
      <c r="D3" s="112" t="s">
        <v>261</v>
      </c>
    </row>
    <row r="4" spans="1:4">
      <c r="A4" s="123" t="s">
        <v>7668</v>
      </c>
      <c r="B4" s="112" t="s">
        <v>7669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485"/>
  <sheetViews>
    <sheetView zoomScale="95" zoomScaleNormal="9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331" sqref="I331"/>
    </sheetView>
  </sheetViews>
  <sheetFormatPr baseColWidth="10" defaultColWidth="11.28515625" defaultRowHeight="12.75"/>
  <cols>
    <col min="1" max="1" width="12.140625" style="154" bestFit="1" customWidth="1"/>
    <col min="2" max="2" width="8.140625" bestFit="1" customWidth="1"/>
    <col min="3" max="3" width="5.28515625" bestFit="1" customWidth="1"/>
    <col min="4" max="4" width="9" bestFit="1" customWidth="1"/>
    <col min="5" max="5" width="7.140625" style="113" bestFit="1" customWidth="1"/>
    <col min="6" max="6" width="7" style="113" bestFit="1" customWidth="1"/>
    <col min="7" max="7" width="5.42578125" style="113" bestFit="1" customWidth="1"/>
    <col min="8" max="8" width="5.28515625" style="113" bestFit="1" customWidth="1"/>
    <col min="9" max="9" width="18.140625" style="112" bestFit="1" customWidth="1"/>
    <col min="10" max="10" width="17.5703125" style="112" bestFit="1" customWidth="1"/>
    <col min="11" max="11" width="17.28515625" style="112" bestFit="1" customWidth="1"/>
    <col min="12" max="12" width="16.7109375" style="179" bestFit="1" customWidth="1"/>
    <col min="13" max="13" width="20.85546875" style="136" bestFit="1" customWidth="1"/>
    <col min="14" max="14" width="20.28515625" style="136" bestFit="1" customWidth="1"/>
    <col min="15" max="15" width="12.140625" style="136" bestFit="1" customWidth="1"/>
    <col min="16" max="16" width="7.7109375" style="153" bestFit="1" customWidth="1"/>
    <col min="17" max="17" width="9.5703125" style="153" bestFit="1" customWidth="1"/>
    <col min="18" max="18" width="9" style="153" bestFit="1" customWidth="1"/>
    <col min="19" max="19" width="9.28515625" style="153" bestFit="1" customWidth="1"/>
    <col min="20" max="20" width="11.140625" style="153" bestFit="1" customWidth="1"/>
    <col min="21" max="21" width="16.85546875" style="136" bestFit="1" customWidth="1"/>
    <col min="22" max="22" width="16.28515625" style="136" bestFit="1" customWidth="1"/>
    <col min="23" max="23" width="16" style="153" bestFit="1" customWidth="1"/>
    <col min="24" max="24" width="15.28515625" style="153" bestFit="1" customWidth="1"/>
    <col min="25" max="25" width="9.7109375" style="136" bestFit="1" customWidth="1"/>
    <col min="26" max="26" width="9.140625" style="136" bestFit="1" customWidth="1"/>
    <col min="27" max="27" width="12.28515625" style="153" bestFit="1" customWidth="1"/>
    <col min="28" max="28" width="11" style="153" bestFit="1" customWidth="1"/>
    <col min="29" max="29" width="10" style="136" bestFit="1" customWidth="1"/>
    <col min="30" max="30" width="10.5703125" style="136" bestFit="1" customWidth="1"/>
    <col min="31" max="31" width="15.140625" style="229" bestFit="1" customWidth="1"/>
    <col min="32" max="32" width="14.42578125" style="153" bestFit="1" customWidth="1"/>
    <col min="33" max="33" width="16.7109375" style="136" bestFit="1" customWidth="1"/>
    <col min="34" max="34" width="10.28515625" style="136" bestFit="1" customWidth="1"/>
    <col min="35" max="35" width="17" style="153" bestFit="1" customWidth="1"/>
    <col min="36" max="36" width="16.42578125" style="153" bestFit="1" customWidth="1"/>
    <col min="37" max="37" width="18.85546875" style="136" bestFit="1" customWidth="1"/>
    <col min="38" max="38" width="18.140625" style="136" bestFit="1" customWidth="1"/>
    <col min="39" max="39" width="18.5703125" style="153" bestFit="1" customWidth="1"/>
    <col min="40" max="40" width="18" style="153" bestFit="1" customWidth="1"/>
    <col min="41" max="41" width="18.5703125" style="136" bestFit="1" customWidth="1"/>
    <col min="42" max="42" width="18" style="136" bestFit="1" customWidth="1"/>
    <col min="43" max="43" width="20.28515625" style="153" bestFit="1" customWidth="1"/>
    <col min="44" max="44" width="19.7109375" style="153" bestFit="1" customWidth="1"/>
    <col min="45" max="45" width="24.5703125" style="136" bestFit="1" customWidth="1"/>
    <col min="46" max="46" width="23.7109375" style="136" bestFit="1" customWidth="1"/>
    <col min="47" max="47" width="19" style="153" bestFit="1" customWidth="1"/>
    <col min="48" max="48" width="18.28515625" style="153" bestFit="1" customWidth="1"/>
    <col min="49" max="49" width="19" style="136" bestFit="1" customWidth="1"/>
    <col min="50" max="50" width="18.28515625" style="136" bestFit="1" customWidth="1"/>
    <col min="51" max="51" width="25" style="153" bestFit="1" customWidth="1"/>
    <col min="52" max="52" width="24.28515625" style="153" bestFit="1" customWidth="1"/>
    <col min="53" max="53" width="19" style="136" bestFit="1" customWidth="1"/>
    <col min="54" max="54" width="18.28515625" style="136" bestFit="1" customWidth="1"/>
    <col min="55" max="55" width="30.7109375" style="153" bestFit="1" customWidth="1"/>
    <col min="56" max="56" width="30" style="153" bestFit="1" customWidth="1"/>
    <col min="57" max="57" width="13.7109375" style="153" bestFit="1" customWidth="1"/>
    <col min="58" max="58" width="13.140625" style="153" bestFit="1" customWidth="1"/>
    <col min="59" max="59" width="13.7109375" style="153" bestFit="1" customWidth="1"/>
    <col min="60" max="60" width="13.140625" style="153" bestFit="1" customWidth="1"/>
    <col min="61" max="61" width="15.28515625" style="153" bestFit="1" customWidth="1"/>
    <col min="62" max="62" width="14.140625" style="153" bestFit="1" customWidth="1"/>
    <col min="63" max="63" width="14.85546875" style="153" bestFit="1" customWidth="1"/>
    <col min="64" max="64" width="14.140625" style="153" bestFit="1" customWidth="1"/>
    <col min="65" max="65" width="12.140625" style="136" bestFit="1" customWidth="1"/>
    <col min="66" max="66" width="11.5703125" style="136" bestFit="1" customWidth="1"/>
    <col min="67" max="67" width="15.140625" style="153" bestFit="1" customWidth="1"/>
    <col min="68" max="68" width="14.42578125" style="153" bestFit="1" customWidth="1"/>
    <col min="69" max="69" width="16.5703125" style="136" bestFit="1" customWidth="1"/>
    <col min="70" max="70" width="16" style="136" bestFit="1" customWidth="1"/>
    <col min="71" max="71" width="10.7109375" style="153" bestFit="1" customWidth="1"/>
    <col min="72" max="72" width="9.85546875" style="153" bestFit="1" customWidth="1"/>
    <col min="73" max="74" width="10.28515625" style="136" bestFit="1" customWidth="1"/>
    <col min="75" max="75" width="14.42578125" style="136" bestFit="1" customWidth="1"/>
    <col min="76" max="76" width="9.7109375" style="136" bestFit="1" customWidth="1"/>
    <col min="77" max="77" width="21.7109375" style="136" bestFit="1" customWidth="1"/>
    <col min="78" max="78" width="21" style="136" bestFit="1" customWidth="1"/>
    <col min="79" max="79" width="14.7109375" style="136" bestFit="1" customWidth="1"/>
    <col min="80" max="80" width="14" style="136" bestFit="1" customWidth="1"/>
    <col min="81" max="81" width="22.5703125" style="136" bestFit="1" customWidth="1"/>
    <col min="82" max="82" width="22" style="136" bestFit="1" customWidth="1"/>
    <col min="83" max="83" width="20.85546875" style="136" bestFit="1" customWidth="1"/>
    <col min="84" max="84" width="20.28515625" style="136" bestFit="1" customWidth="1"/>
    <col min="85" max="85" width="18.140625" style="136" bestFit="1" customWidth="1"/>
    <col min="86" max="86" width="17.5703125" style="136" bestFit="1" customWidth="1"/>
    <col min="87" max="87" width="7.140625" style="136" bestFit="1" customWidth="1"/>
    <col min="88" max="88" width="6.5703125" style="136" bestFit="1" customWidth="1"/>
    <col min="89" max="89" width="9.7109375" style="136" bestFit="1" customWidth="1"/>
    <col min="90" max="90" width="15.28515625" style="136" bestFit="1" customWidth="1"/>
    <col min="91" max="91" width="14.7109375" style="136" bestFit="1" customWidth="1"/>
    <col min="92" max="16384" width="11.28515625" style="137"/>
  </cols>
  <sheetData>
    <row r="1" spans="1:91" s="139" customFormat="1" ht="13.5" thickBot="1">
      <c r="A1" s="155" t="s">
        <v>150</v>
      </c>
      <c r="B1" s="115" t="s">
        <v>171</v>
      </c>
      <c r="C1" s="115" t="s">
        <v>187</v>
      </c>
      <c r="D1" s="115" t="s">
        <v>264</v>
      </c>
      <c r="E1" s="113" t="s">
        <v>21</v>
      </c>
      <c r="F1" s="113" t="s">
        <v>22</v>
      </c>
      <c r="G1" s="116" t="s">
        <v>192</v>
      </c>
      <c r="H1" s="116" t="s">
        <v>193</v>
      </c>
      <c r="I1" s="138" t="s">
        <v>7599</v>
      </c>
      <c r="J1" s="138" t="s">
        <v>7600</v>
      </c>
      <c r="K1" s="138" t="s">
        <v>7601</v>
      </c>
      <c r="L1" s="138" t="s">
        <v>7602</v>
      </c>
      <c r="M1" s="138" t="s">
        <v>7603</v>
      </c>
      <c r="N1" s="138" t="s">
        <v>7604</v>
      </c>
      <c r="O1" s="138" t="s">
        <v>7605</v>
      </c>
      <c r="P1" s="138" t="s">
        <v>7606</v>
      </c>
      <c r="Q1" s="138" t="s">
        <v>7607</v>
      </c>
      <c r="R1" s="138" t="s">
        <v>7608</v>
      </c>
      <c r="S1" s="138" t="s">
        <v>274</v>
      </c>
      <c r="T1" s="138" t="s">
        <v>275</v>
      </c>
      <c r="U1" s="138" t="s">
        <v>7609</v>
      </c>
      <c r="V1" s="138" t="s">
        <v>7610</v>
      </c>
      <c r="W1" s="138" t="s">
        <v>7611</v>
      </c>
      <c r="X1" s="138" t="s">
        <v>7612</v>
      </c>
      <c r="Y1" s="138" t="s">
        <v>272</v>
      </c>
      <c r="Z1" s="138" t="s">
        <v>273</v>
      </c>
      <c r="AA1" s="138" t="s">
        <v>268</v>
      </c>
      <c r="AB1" s="138" t="s">
        <v>269</v>
      </c>
      <c r="AC1" s="138" t="s">
        <v>265</v>
      </c>
      <c r="AD1" s="138" t="s">
        <v>7613</v>
      </c>
      <c r="AE1" s="230" t="s">
        <v>7614</v>
      </c>
      <c r="AF1" s="138" t="s">
        <v>7615</v>
      </c>
      <c r="AG1" s="138" t="s">
        <v>266</v>
      </c>
      <c r="AH1" s="138" t="s">
        <v>267</v>
      </c>
      <c r="AI1" s="138" t="s">
        <v>7616</v>
      </c>
      <c r="AJ1" s="138" t="s">
        <v>7617</v>
      </c>
      <c r="AK1" s="138" t="s">
        <v>7619</v>
      </c>
      <c r="AL1" s="138" t="s">
        <v>7618</v>
      </c>
      <c r="AM1" s="138" t="s">
        <v>7620</v>
      </c>
      <c r="AN1" s="138" t="s">
        <v>7621</v>
      </c>
      <c r="AO1" s="138" t="s">
        <v>7622</v>
      </c>
      <c r="AP1" s="138" t="s">
        <v>7623</v>
      </c>
      <c r="AQ1" s="138" t="s">
        <v>7624</v>
      </c>
      <c r="AR1" s="138" t="s">
        <v>7625</v>
      </c>
      <c r="AS1" s="138" t="s">
        <v>7626</v>
      </c>
      <c r="AT1" s="138" t="s">
        <v>7627</v>
      </c>
      <c r="AU1" s="138" t="s">
        <v>7628</v>
      </c>
      <c r="AV1" s="138" t="s">
        <v>7629</v>
      </c>
      <c r="AW1" s="138" t="s">
        <v>7630</v>
      </c>
      <c r="AX1" s="138" t="s">
        <v>7631</v>
      </c>
      <c r="AY1" s="138" t="s">
        <v>7632</v>
      </c>
      <c r="AZ1" s="138" t="s">
        <v>7633</v>
      </c>
      <c r="BA1" s="138" t="s">
        <v>7635</v>
      </c>
      <c r="BB1" s="138" t="s">
        <v>7634</v>
      </c>
      <c r="BC1" s="138" t="s">
        <v>7636</v>
      </c>
      <c r="BD1" s="138" t="s">
        <v>7637</v>
      </c>
      <c r="BE1" s="138" t="s">
        <v>7638</v>
      </c>
      <c r="BF1" s="138" t="s">
        <v>7639</v>
      </c>
      <c r="BG1" s="138" t="s">
        <v>7640</v>
      </c>
      <c r="BH1" s="138" t="s">
        <v>7641</v>
      </c>
      <c r="BI1" s="138" t="s">
        <v>7642</v>
      </c>
      <c r="BJ1" s="138" t="s">
        <v>7643</v>
      </c>
      <c r="BK1" s="138" t="s">
        <v>7644</v>
      </c>
      <c r="BL1" s="138" t="s">
        <v>7645</v>
      </c>
      <c r="BM1" s="138" t="s">
        <v>7646</v>
      </c>
      <c r="BN1" s="138" t="s">
        <v>7647</v>
      </c>
      <c r="BO1" s="138" t="s">
        <v>7648</v>
      </c>
      <c r="BP1" s="138" t="s">
        <v>7649</v>
      </c>
      <c r="BQ1" s="138" t="s">
        <v>7650</v>
      </c>
      <c r="BR1" s="138" t="s">
        <v>7651</v>
      </c>
      <c r="BS1" s="138" t="s">
        <v>270</v>
      </c>
      <c r="BT1" s="138" t="s">
        <v>271</v>
      </c>
      <c r="BU1" s="138" t="s">
        <v>7652</v>
      </c>
      <c r="BV1" s="138" t="s">
        <v>7653</v>
      </c>
      <c r="BW1" s="138" t="s">
        <v>7654</v>
      </c>
      <c r="BX1" s="138" t="s">
        <v>7655</v>
      </c>
      <c r="BY1" s="138" t="s">
        <v>7656</v>
      </c>
      <c r="BZ1" s="138" t="s">
        <v>7657</v>
      </c>
      <c r="CA1" s="138" t="s">
        <v>7658</v>
      </c>
      <c r="CB1" s="138" t="s">
        <v>7659</v>
      </c>
      <c r="CC1" s="138" t="s">
        <v>7660</v>
      </c>
      <c r="CD1" s="138" t="s">
        <v>7661</v>
      </c>
      <c r="CE1" s="138" t="s">
        <v>7662</v>
      </c>
      <c r="CF1" s="138" t="s">
        <v>7663</v>
      </c>
      <c r="CG1" s="138" t="s">
        <v>7664</v>
      </c>
      <c r="CH1" s="138" t="s">
        <v>7665</v>
      </c>
      <c r="CI1" s="138" t="s">
        <v>7582</v>
      </c>
      <c r="CJ1" s="138" t="s">
        <v>7441</v>
      </c>
      <c r="CK1" s="138" t="s">
        <v>7589</v>
      </c>
      <c r="CL1" s="138" t="s">
        <v>7666</v>
      </c>
      <c r="CM1" s="138" t="s">
        <v>7667</v>
      </c>
    </row>
    <row r="2" spans="1:91">
      <c r="A2" s="154" t="s">
        <v>7816</v>
      </c>
      <c r="B2" t="s">
        <v>257</v>
      </c>
      <c r="C2" t="s">
        <v>405</v>
      </c>
      <c r="D2" t="s">
        <v>8001</v>
      </c>
      <c r="E2" s="113">
        <v>20</v>
      </c>
      <c r="F2" s="113">
        <v>14</v>
      </c>
      <c r="I2" s="112">
        <v>7</v>
      </c>
      <c r="K2" s="112">
        <v>9</v>
      </c>
      <c r="M2" s="136">
        <v>2.5499999999999998</v>
      </c>
      <c r="S2" s="328">
        <v>1085</v>
      </c>
      <c r="U2">
        <v>10.8</v>
      </c>
      <c r="Y2" s="136">
        <v>549</v>
      </c>
      <c r="AA2" s="328">
        <v>83654</v>
      </c>
      <c r="AC2" s="136">
        <v>24.2</v>
      </c>
      <c r="AG2" s="136">
        <v>2.9</v>
      </c>
      <c r="AM2" s="328">
        <v>80</v>
      </c>
      <c r="BS2" s="336">
        <v>44.73</v>
      </c>
      <c r="BU2" s="336">
        <v>22.65</v>
      </c>
      <c r="BY2" s="136">
        <v>6.55</v>
      </c>
      <c r="CL2" s="136">
        <v>0</v>
      </c>
    </row>
    <row r="3" spans="1:91">
      <c r="A3" s="154" t="s">
        <v>7816</v>
      </c>
      <c r="B3" t="s">
        <v>257</v>
      </c>
      <c r="C3" t="s">
        <v>405</v>
      </c>
      <c r="D3" t="s">
        <v>8002</v>
      </c>
      <c r="E3" s="113">
        <v>47</v>
      </c>
      <c r="F3" s="113">
        <v>14</v>
      </c>
      <c r="I3" s="112">
        <v>9</v>
      </c>
      <c r="K3" s="112">
        <v>9</v>
      </c>
      <c r="M3" s="136">
        <v>3.06</v>
      </c>
      <c r="S3" s="328">
        <v>1447</v>
      </c>
      <c r="U3">
        <v>10.8</v>
      </c>
      <c r="Y3" s="136">
        <v>533</v>
      </c>
      <c r="AA3" s="328">
        <v>94134</v>
      </c>
      <c r="AC3" s="136">
        <v>29.4</v>
      </c>
      <c r="AG3" s="136">
        <v>3.13</v>
      </c>
      <c r="AM3" s="328">
        <v>83</v>
      </c>
      <c r="BS3" s="336">
        <v>49.18</v>
      </c>
      <c r="BU3" s="336">
        <v>18.12</v>
      </c>
      <c r="BY3" s="136">
        <v>5.47</v>
      </c>
      <c r="CL3" s="136">
        <v>0</v>
      </c>
    </row>
    <row r="4" spans="1:91">
      <c r="A4" s="154" t="s">
        <v>7816</v>
      </c>
      <c r="B4" t="s">
        <v>257</v>
      </c>
      <c r="C4" t="s">
        <v>7726</v>
      </c>
      <c r="D4" t="s">
        <v>8003</v>
      </c>
      <c r="E4" s="113">
        <v>41</v>
      </c>
      <c r="F4" s="113">
        <v>17</v>
      </c>
      <c r="I4" s="112">
        <v>9</v>
      </c>
      <c r="K4" s="112">
        <v>9</v>
      </c>
      <c r="M4" s="136">
        <v>2.08</v>
      </c>
      <c r="S4" s="328">
        <v>952</v>
      </c>
      <c r="U4">
        <v>10.8</v>
      </c>
      <c r="Y4" s="136">
        <v>395</v>
      </c>
      <c r="AA4" s="328">
        <v>67047</v>
      </c>
      <c r="AC4" s="136">
        <v>20</v>
      </c>
      <c r="AG4" s="136">
        <v>2.98</v>
      </c>
      <c r="AM4" s="328">
        <v>83</v>
      </c>
      <c r="BS4" s="336">
        <v>47.72</v>
      </c>
      <c r="BU4" s="336">
        <v>19.78</v>
      </c>
      <c r="BY4" s="136">
        <v>5.72</v>
      </c>
      <c r="CL4" s="136">
        <v>0</v>
      </c>
    </row>
    <row r="5" spans="1:91">
      <c r="A5" s="154" t="s">
        <v>7816</v>
      </c>
      <c r="B5" t="s">
        <v>257</v>
      </c>
      <c r="C5" t="s">
        <v>7726</v>
      </c>
      <c r="D5" t="s">
        <v>8004</v>
      </c>
      <c r="E5" s="113">
        <v>14</v>
      </c>
      <c r="F5" s="113">
        <v>17</v>
      </c>
      <c r="I5" s="112">
        <v>9</v>
      </c>
      <c r="K5" s="112">
        <v>9</v>
      </c>
      <c r="M5" s="136">
        <v>2.73</v>
      </c>
      <c r="S5" s="328">
        <v>1191</v>
      </c>
      <c r="U5">
        <v>10.8</v>
      </c>
      <c r="Y5" s="136">
        <v>559</v>
      </c>
      <c r="AA5" s="328">
        <v>86952</v>
      </c>
      <c r="AC5" s="136">
        <v>26</v>
      </c>
      <c r="AG5" s="136">
        <v>2.99</v>
      </c>
      <c r="AM5" s="328">
        <v>83</v>
      </c>
      <c r="BS5" s="336">
        <v>45.75</v>
      </c>
      <c r="BU5" s="336">
        <v>21.47</v>
      </c>
      <c r="BY5" s="136">
        <v>6.31</v>
      </c>
      <c r="CL5" s="136">
        <v>0</v>
      </c>
    </row>
    <row r="6" spans="1:91">
      <c r="A6" s="154" t="s">
        <v>7816</v>
      </c>
      <c r="B6" t="s">
        <v>259</v>
      </c>
      <c r="C6" t="s">
        <v>405</v>
      </c>
      <c r="D6" t="s">
        <v>8001</v>
      </c>
      <c r="E6" s="113">
        <v>5</v>
      </c>
      <c r="F6" s="113">
        <v>15</v>
      </c>
      <c r="I6" s="112">
        <v>9</v>
      </c>
      <c r="K6" s="112">
        <v>9</v>
      </c>
      <c r="M6" s="136">
        <v>2.7</v>
      </c>
      <c r="S6" s="328">
        <v>1105</v>
      </c>
      <c r="U6">
        <v>10.8</v>
      </c>
      <c r="Y6" s="136">
        <v>591</v>
      </c>
      <c r="AA6" s="328">
        <v>94437</v>
      </c>
      <c r="AC6" s="136">
        <v>25.6</v>
      </c>
      <c r="AG6" s="136">
        <v>2.71</v>
      </c>
      <c r="AM6" s="328">
        <v>80</v>
      </c>
      <c r="BS6" s="336">
        <v>43.17</v>
      </c>
      <c r="BU6" s="336">
        <v>23.07</v>
      </c>
      <c r="BY6" s="136">
        <v>6.79</v>
      </c>
      <c r="CL6" s="136">
        <v>0</v>
      </c>
    </row>
    <row r="7" spans="1:91">
      <c r="A7" s="154" t="s">
        <v>7816</v>
      </c>
      <c r="B7" t="s">
        <v>259</v>
      </c>
      <c r="C7" t="s">
        <v>405</v>
      </c>
      <c r="D7" t="s">
        <v>8002</v>
      </c>
      <c r="E7" s="113">
        <v>32</v>
      </c>
      <c r="F7" s="113">
        <v>15</v>
      </c>
      <c r="I7" s="112">
        <v>9</v>
      </c>
      <c r="K7" s="112">
        <v>9</v>
      </c>
      <c r="M7" s="136">
        <v>2.72</v>
      </c>
      <c r="S7" s="328">
        <v>1161</v>
      </c>
      <c r="U7">
        <v>10.8</v>
      </c>
      <c r="Y7" s="136">
        <v>578</v>
      </c>
      <c r="AA7" s="328">
        <v>91386</v>
      </c>
      <c r="AC7" s="136">
        <v>26</v>
      </c>
      <c r="AG7" s="136">
        <v>2.85</v>
      </c>
      <c r="AM7" s="328">
        <v>83</v>
      </c>
      <c r="BS7" s="336">
        <v>44.63</v>
      </c>
      <c r="BU7" s="336">
        <v>22.21</v>
      </c>
      <c r="BY7" s="136">
        <v>6.03</v>
      </c>
      <c r="CL7" s="136">
        <v>0</v>
      </c>
    </row>
    <row r="8" spans="1:91">
      <c r="A8" s="154" t="s">
        <v>7816</v>
      </c>
      <c r="B8" t="s">
        <v>259</v>
      </c>
      <c r="C8" t="s">
        <v>7726</v>
      </c>
      <c r="D8" t="s">
        <v>8003</v>
      </c>
      <c r="E8" s="113">
        <v>38</v>
      </c>
      <c r="F8" s="113">
        <v>20</v>
      </c>
      <c r="I8" s="112">
        <v>9</v>
      </c>
      <c r="K8" s="112">
        <v>9</v>
      </c>
      <c r="M8" s="136">
        <v>3.07</v>
      </c>
      <c r="S8" s="328">
        <v>1288</v>
      </c>
      <c r="U8">
        <v>10.8</v>
      </c>
      <c r="Y8" s="136">
        <v>692</v>
      </c>
      <c r="AA8" s="328">
        <v>98096</v>
      </c>
      <c r="AC8" s="136">
        <v>29.4</v>
      </c>
      <c r="AG8" s="136">
        <v>3</v>
      </c>
      <c r="AM8" s="328">
        <v>83</v>
      </c>
      <c r="BS8" s="336">
        <v>43.81</v>
      </c>
      <c r="BU8" s="336">
        <v>23.53</v>
      </c>
      <c r="BY8" s="136">
        <v>5.85</v>
      </c>
      <c r="CL8" s="136">
        <v>0</v>
      </c>
    </row>
    <row r="9" spans="1:91">
      <c r="A9" s="154" t="s">
        <v>7816</v>
      </c>
      <c r="B9" t="s">
        <v>259</v>
      </c>
      <c r="C9" t="s">
        <v>7726</v>
      </c>
      <c r="D9" t="s">
        <v>8004</v>
      </c>
      <c r="E9" s="113">
        <v>11</v>
      </c>
      <c r="F9" s="113">
        <v>20</v>
      </c>
      <c r="I9" s="112">
        <v>9</v>
      </c>
      <c r="K9" s="112">
        <v>9</v>
      </c>
      <c r="M9" s="136">
        <v>2.2200000000000002</v>
      </c>
      <c r="S9" s="328">
        <v>898</v>
      </c>
      <c r="U9">
        <v>10.8</v>
      </c>
      <c r="Y9" s="136">
        <v>535</v>
      </c>
      <c r="AA9" s="328">
        <v>71605</v>
      </c>
      <c r="AC9" s="136">
        <v>21.2</v>
      </c>
      <c r="AG9" s="136">
        <v>2.96</v>
      </c>
      <c r="AM9" s="328">
        <v>80</v>
      </c>
      <c r="BS9" s="336">
        <v>42.44</v>
      </c>
      <c r="BU9" s="336">
        <v>25.3</v>
      </c>
      <c r="BY9" s="136">
        <v>6.31</v>
      </c>
      <c r="CL9" s="136">
        <v>0</v>
      </c>
    </row>
    <row r="10" spans="1:91">
      <c r="A10" s="154" t="s">
        <v>7818</v>
      </c>
      <c r="B10" t="s">
        <v>257</v>
      </c>
      <c r="C10" t="s">
        <v>405</v>
      </c>
      <c r="D10" t="s">
        <v>8001</v>
      </c>
      <c r="E10" s="113">
        <v>4</v>
      </c>
      <c r="F10" s="113">
        <v>13</v>
      </c>
      <c r="I10" s="112">
        <v>9</v>
      </c>
      <c r="K10" s="112">
        <v>9</v>
      </c>
      <c r="M10" s="136">
        <v>2.81</v>
      </c>
      <c r="S10" s="328">
        <v>1277</v>
      </c>
      <c r="U10">
        <v>10.8</v>
      </c>
      <c r="Y10" s="136">
        <v>505</v>
      </c>
      <c r="AA10" s="328">
        <v>86169</v>
      </c>
      <c r="AC10" s="136">
        <v>26.7</v>
      </c>
      <c r="AG10" s="136">
        <v>3.1</v>
      </c>
      <c r="AM10" s="328">
        <v>80</v>
      </c>
      <c r="BS10" s="336">
        <v>47.76</v>
      </c>
      <c r="BU10" s="336">
        <v>18.91</v>
      </c>
      <c r="BY10" s="136">
        <v>6.51</v>
      </c>
      <c r="CL10" s="136">
        <v>0</v>
      </c>
    </row>
    <row r="11" spans="1:91">
      <c r="A11" s="154" t="s">
        <v>7818</v>
      </c>
      <c r="B11" t="s">
        <v>257</v>
      </c>
      <c r="C11" t="s">
        <v>405</v>
      </c>
      <c r="D11" t="s">
        <v>8002</v>
      </c>
      <c r="E11" s="113">
        <v>31</v>
      </c>
      <c r="F11" s="113">
        <v>13</v>
      </c>
      <c r="I11" s="112">
        <v>9</v>
      </c>
      <c r="K11" s="112">
        <v>9</v>
      </c>
      <c r="M11" s="136">
        <v>2.77</v>
      </c>
      <c r="S11" s="328">
        <v>1222</v>
      </c>
      <c r="U11">
        <v>10.8</v>
      </c>
      <c r="Y11" s="136">
        <v>549</v>
      </c>
      <c r="AA11" s="328">
        <v>86034</v>
      </c>
      <c r="AC11" s="136">
        <v>26.4</v>
      </c>
      <c r="AG11" s="136">
        <v>3.07</v>
      </c>
      <c r="AM11" s="328">
        <v>80</v>
      </c>
      <c r="BS11" s="336">
        <v>46.24</v>
      </c>
      <c r="BU11" s="336">
        <v>20.77</v>
      </c>
      <c r="BY11" s="136">
        <v>6.26</v>
      </c>
      <c r="CL11" s="136">
        <v>0</v>
      </c>
    </row>
    <row r="12" spans="1:91">
      <c r="A12" s="154" t="s">
        <v>7818</v>
      </c>
      <c r="B12" t="s">
        <v>257</v>
      </c>
      <c r="C12" t="s">
        <v>7726</v>
      </c>
      <c r="D12" t="s">
        <v>8003</v>
      </c>
      <c r="E12" s="113">
        <v>55</v>
      </c>
      <c r="F12" s="113">
        <v>18</v>
      </c>
      <c r="I12" s="112">
        <v>9</v>
      </c>
      <c r="K12" s="112">
        <v>9</v>
      </c>
      <c r="M12" s="136">
        <v>3.42</v>
      </c>
      <c r="S12" s="328">
        <v>1442</v>
      </c>
      <c r="U12">
        <v>10.8</v>
      </c>
      <c r="Y12" s="136">
        <v>747</v>
      </c>
      <c r="AA12" s="328">
        <v>103641</v>
      </c>
      <c r="AC12" s="136">
        <v>32.799999999999997</v>
      </c>
      <c r="AG12" s="136">
        <v>3.16</v>
      </c>
      <c r="AM12" s="328">
        <v>80</v>
      </c>
      <c r="BS12" s="336">
        <v>44.01</v>
      </c>
      <c r="BU12" s="336">
        <v>22.8</v>
      </c>
      <c r="BY12" s="136">
        <v>5.83</v>
      </c>
      <c r="CL12" s="136">
        <v>0</v>
      </c>
    </row>
    <row r="13" spans="1:91">
      <c r="A13" s="154" t="s">
        <v>7818</v>
      </c>
      <c r="B13" t="s">
        <v>257</v>
      </c>
      <c r="C13" t="s">
        <v>7726</v>
      </c>
      <c r="D13" t="s">
        <v>8004</v>
      </c>
      <c r="E13" s="113">
        <v>28</v>
      </c>
      <c r="F13" s="113">
        <v>18</v>
      </c>
      <c r="I13" s="112">
        <v>9</v>
      </c>
      <c r="K13" s="112">
        <v>9</v>
      </c>
      <c r="M13" s="136">
        <v>2.86</v>
      </c>
      <c r="S13" s="328">
        <v>1218</v>
      </c>
      <c r="U13">
        <v>10.8</v>
      </c>
      <c r="Y13" s="136">
        <v>642</v>
      </c>
      <c r="AA13" s="328">
        <v>84646</v>
      </c>
      <c r="AC13" s="136">
        <v>27.4</v>
      </c>
      <c r="AG13" s="136">
        <v>3.24</v>
      </c>
      <c r="AM13" s="328">
        <v>80</v>
      </c>
      <c r="BS13" s="336">
        <v>44.42</v>
      </c>
      <c r="BU13" s="336">
        <v>23.4</v>
      </c>
      <c r="BY13" s="136">
        <v>5.77</v>
      </c>
      <c r="CL13" s="136">
        <v>0</v>
      </c>
    </row>
    <row r="14" spans="1:91" s="347" customFormat="1">
      <c r="A14" s="337" t="s">
        <v>7818</v>
      </c>
      <c r="B14" s="338" t="s">
        <v>259</v>
      </c>
      <c r="C14" s="338" t="s">
        <v>405</v>
      </c>
      <c r="D14" s="338" t="s">
        <v>8001</v>
      </c>
      <c r="E14" s="339"/>
      <c r="F14" s="339"/>
      <c r="G14" s="339"/>
      <c r="H14" s="339"/>
      <c r="I14" s="340"/>
      <c r="J14" s="340"/>
      <c r="K14" s="340"/>
      <c r="L14" s="341"/>
      <c r="M14" s="342"/>
      <c r="N14" s="342"/>
      <c r="O14" s="342"/>
      <c r="P14" s="343"/>
      <c r="Q14" s="343"/>
      <c r="R14" s="343"/>
      <c r="S14" s="344" t="s">
        <v>7709</v>
      </c>
      <c r="T14" s="343"/>
      <c r="U14" s="338">
        <v>10.8</v>
      </c>
      <c r="V14" s="342"/>
      <c r="W14" s="343"/>
      <c r="X14" s="343"/>
      <c r="Y14" s="342" t="s">
        <v>7709</v>
      </c>
      <c r="Z14" s="342"/>
      <c r="AA14" s="344" t="s">
        <v>7709</v>
      </c>
      <c r="AB14" s="343"/>
      <c r="AC14" s="342" t="s">
        <v>7709</v>
      </c>
      <c r="AD14" s="342"/>
      <c r="AE14" s="345"/>
      <c r="AF14" s="343"/>
      <c r="AG14" s="342" t="s">
        <v>7709</v>
      </c>
      <c r="AH14" s="342"/>
      <c r="AI14" s="343"/>
      <c r="AJ14" s="343"/>
      <c r="AK14" s="342"/>
      <c r="AL14" s="342"/>
      <c r="AM14" s="344" t="s">
        <v>7709</v>
      </c>
      <c r="AN14" s="343"/>
      <c r="AO14" s="342"/>
      <c r="AP14" s="342"/>
      <c r="AQ14" s="343"/>
      <c r="AR14" s="343"/>
      <c r="AS14" s="342"/>
      <c r="AT14" s="342"/>
      <c r="AU14" s="343"/>
      <c r="AV14" s="343"/>
      <c r="AW14" s="342"/>
      <c r="AX14" s="342"/>
      <c r="AY14" s="343"/>
      <c r="AZ14" s="343"/>
      <c r="BA14" s="342"/>
      <c r="BB14" s="342"/>
      <c r="BC14" s="343"/>
      <c r="BD14" s="343"/>
      <c r="BE14" s="343"/>
      <c r="BF14" s="343"/>
      <c r="BG14" s="343"/>
      <c r="BH14" s="343"/>
      <c r="BI14" s="343"/>
      <c r="BJ14" s="343"/>
      <c r="BK14" s="343"/>
      <c r="BL14" s="343"/>
      <c r="BM14" s="342"/>
      <c r="BN14" s="342"/>
      <c r="BO14" s="343"/>
      <c r="BP14" s="343"/>
      <c r="BQ14" s="342"/>
      <c r="BR14" s="342"/>
      <c r="BS14" s="346" t="s">
        <v>7709</v>
      </c>
      <c r="BT14" s="343"/>
      <c r="BU14" s="346" t="s">
        <v>7709</v>
      </c>
      <c r="BV14" s="342"/>
      <c r="BW14" s="342"/>
      <c r="BX14" s="342"/>
      <c r="BY14" s="342"/>
      <c r="BZ14" s="342"/>
      <c r="CA14" s="342"/>
      <c r="CB14" s="342"/>
      <c r="CC14" s="342"/>
      <c r="CD14" s="342"/>
      <c r="CE14" s="342"/>
      <c r="CF14" s="342"/>
      <c r="CG14" s="342"/>
      <c r="CH14" s="342"/>
      <c r="CI14" s="342"/>
      <c r="CJ14" s="342"/>
      <c r="CK14" s="342"/>
      <c r="CL14" s="342"/>
      <c r="CM14" s="342"/>
    </row>
    <row r="15" spans="1:91">
      <c r="A15" s="154" t="s">
        <v>7818</v>
      </c>
      <c r="B15" t="s">
        <v>259</v>
      </c>
      <c r="C15" t="s">
        <v>405</v>
      </c>
      <c r="D15" t="s">
        <v>8002</v>
      </c>
      <c r="E15" s="113">
        <v>47</v>
      </c>
      <c r="F15" s="113">
        <v>15</v>
      </c>
      <c r="I15" s="112">
        <v>9</v>
      </c>
      <c r="K15" s="112">
        <v>9</v>
      </c>
      <c r="M15" s="136">
        <v>2.79</v>
      </c>
      <c r="S15" s="328">
        <v>1193</v>
      </c>
      <c r="U15">
        <v>10.8</v>
      </c>
      <c r="Y15" s="136">
        <v>616</v>
      </c>
      <c r="AA15" s="328">
        <v>88489</v>
      </c>
      <c r="AC15" s="136">
        <v>26.8</v>
      </c>
      <c r="AG15" s="136">
        <v>3.02</v>
      </c>
      <c r="AM15" s="328">
        <v>80</v>
      </c>
      <c r="BS15" s="336">
        <v>44.59</v>
      </c>
      <c r="BU15" s="336">
        <v>23.03</v>
      </c>
      <c r="BY15" s="136">
        <v>5.72</v>
      </c>
      <c r="CL15" s="136">
        <v>0</v>
      </c>
    </row>
    <row r="16" spans="1:91">
      <c r="A16" s="154" t="s">
        <v>7818</v>
      </c>
      <c r="B16" t="s">
        <v>259</v>
      </c>
      <c r="C16" t="s">
        <v>7726</v>
      </c>
      <c r="D16" t="s">
        <v>8003</v>
      </c>
      <c r="E16" s="113">
        <v>32</v>
      </c>
      <c r="F16" s="113">
        <v>19</v>
      </c>
      <c r="I16" s="112">
        <v>9</v>
      </c>
      <c r="K16" s="112">
        <v>9</v>
      </c>
      <c r="M16" s="136">
        <v>2.5</v>
      </c>
      <c r="S16" s="328">
        <v>1048</v>
      </c>
      <c r="U16">
        <v>10.8</v>
      </c>
      <c r="Y16" s="136">
        <v>566</v>
      </c>
      <c r="AA16" s="328">
        <v>71924</v>
      </c>
      <c r="AC16" s="136">
        <v>23.9</v>
      </c>
      <c r="AG16" s="136">
        <v>3.32</v>
      </c>
      <c r="AM16" s="328">
        <v>80</v>
      </c>
      <c r="BS16" s="336">
        <v>43.93</v>
      </c>
      <c r="BU16" s="336">
        <v>23.74</v>
      </c>
      <c r="BY16" s="136">
        <v>6.22</v>
      </c>
      <c r="CL16" s="136">
        <v>0</v>
      </c>
    </row>
    <row r="17" spans="1:90">
      <c r="A17" s="154" t="s">
        <v>7818</v>
      </c>
      <c r="B17" t="s">
        <v>259</v>
      </c>
      <c r="C17" t="s">
        <v>7726</v>
      </c>
      <c r="D17" t="s">
        <v>8004</v>
      </c>
      <c r="E17" s="113">
        <v>5</v>
      </c>
      <c r="F17" s="113">
        <v>19</v>
      </c>
      <c r="I17" s="112">
        <v>9</v>
      </c>
      <c r="K17" s="112">
        <v>9</v>
      </c>
      <c r="M17" s="136">
        <v>2.72</v>
      </c>
      <c r="S17" s="328">
        <v>1112</v>
      </c>
      <c r="U17">
        <v>10.8</v>
      </c>
      <c r="Y17" s="136">
        <v>631</v>
      </c>
      <c r="AA17" s="328">
        <v>86054</v>
      </c>
      <c r="AC17" s="136">
        <v>25.8</v>
      </c>
      <c r="AG17" s="136">
        <v>3</v>
      </c>
      <c r="AM17" s="328">
        <v>80</v>
      </c>
      <c r="BS17" s="336">
        <v>43.1</v>
      </c>
      <c r="BU17" s="336">
        <v>24.47</v>
      </c>
      <c r="BY17" s="136">
        <v>6.76</v>
      </c>
      <c r="CL17" s="136">
        <v>0</v>
      </c>
    </row>
    <row r="18" spans="1:90">
      <c r="A18" s="154" t="s">
        <v>7820</v>
      </c>
      <c r="B18" t="s">
        <v>257</v>
      </c>
      <c r="C18" t="s">
        <v>405</v>
      </c>
      <c r="D18" t="s">
        <v>8001</v>
      </c>
      <c r="E18" s="113">
        <v>2</v>
      </c>
      <c r="F18" s="113">
        <v>13</v>
      </c>
      <c r="I18" s="112">
        <v>9</v>
      </c>
      <c r="K18" s="112">
        <v>9</v>
      </c>
      <c r="M18" s="136">
        <v>2.63</v>
      </c>
      <c r="S18" s="328">
        <v>1165</v>
      </c>
      <c r="U18">
        <v>10.8</v>
      </c>
      <c r="Y18" s="136">
        <v>508</v>
      </c>
      <c r="AA18" s="328">
        <v>84403</v>
      </c>
      <c r="AC18" s="136">
        <v>25</v>
      </c>
      <c r="AG18" s="136">
        <v>2.96</v>
      </c>
      <c r="AM18" s="328">
        <v>69</v>
      </c>
      <c r="BS18" s="336">
        <v>46.57</v>
      </c>
      <c r="BU18" s="336">
        <v>20.329999999999998</v>
      </c>
      <c r="BY18" s="136">
        <v>6.54</v>
      </c>
      <c r="CL18" s="136">
        <v>0</v>
      </c>
    </row>
    <row r="19" spans="1:90">
      <c r="A19" s="154" t="s">
        <v>7820</v>
      </c>
      <c r="B19" t="s">
        <v>257</v>
      </c>
      <c r="C19" t="s">
        <v>7726</v>
      </c>
      <c r="D19" t="s">
        <v>8003</v>
      </c>
      <c r="E19" s="113">
        <v>42</v>
      </c>
      <c r="F19" s="113">
        <v>17</v>
      </c>
      <c r="I19" s="112">
        <v>9</v>
      </c>
      <c r="K19" s="112">
        <v>9</v>
      </c>
      <c r="M19" s="136">
        <v>1.8</v>
      </c>
      <c r="S19" s="328">
        <v>800</v>
      </c>
      <c r="U19">
        <v>10.8</v>
      </c>
      <c r="Y19" s="136">
        <v>366</v>
      </c>
      <c r="AA19" s="328">
        <v>58901</v>
      </c>
      <c r="AC19" s="136">
        <v>17.3</v>
      </c>
      <c r="AG19" s="136">
        <v>2.94</v>
      </c>
      <c r="AM19" s="328">
        <v>73</v>
      </c>
      <c r="BS19" s="336">
        <v>46.23</v>
      </c>
      <c r="BU19" s="336">
        <v>21.13</v>
      </c>
      <c r="BY19" s="136">
        <v>5.46</v>
      </c>
      <c r="CL19" s="136">
        <v>0</v>
      </c>
    </row>
    <row r="20" spans="1:90">
      <c r="A20" s="154" t="s">
        <v>7820</v>
      </c>
      <c r="B20" t="s">
        <v>259</v>
      </c>
      <c r="C20" t="s">
        <v>405</v>
      </c>
      <c r="D20" t="s">
        <v>8001</v>
      </c>
      <c r="E20" s="113">
        <v>17</v>
      </c>
      <c r="F20" s="113">
        <v>16</v>
      </c>
      <c r="I20" s="112">
        <v>9</v>
      </c>
      <c r="K20" s="112">
        <v>9</v>
      </c>
      <c r="M20" s="136">
        <v>2.88</v>
      </c>
      <c r="S20" s="328">
        <v>1162</v>
      </c>
      <c r="U20">
        <v>10.8</v>
      </c>
      <c r="Y20" s="136">
        <v>664</v>
      </c>
      <c r="AA20" s="328">
        <v>95584</v>
      </c>
      <c r="AC20" s="136">
        <v>27.5</v>
      </c>
      <c r="AG20" s="136">
        <v>2.88</v>
      </c>
      <c r="AM20" s="328">
        <v>69</v>
      </c>
      <c r="BS20" s="336">
        <v>42.27</v>
      </c>
      <c r="BU20" s="336">
        <v>24.16</v>
      </c>
      <c r="BY20" s="136">
        <v>6.17</v>
      </c>
      <c r="CL20" s="136">
        <v>0</v>
      </c>
    </row>
    <row r="21" spans="1:90">
      <c r="A21" s="154" t="s">
        <v>7820</v>
      </c>
      <c r="B21" t="s">
        <v>259</v>
      </c>
      <c r="C21" t="s">
        <v>7726</v>
      </c>
      <c r="D21" t="s">
        <v>8003</v>
      </c>
      <c r="E21" s="113">
        <v>37</v>
      </c>
      <c r="F21" s="113">
        <v>19</v>
      </c>
      <c r="I21" s="112">
        <v>9</v>
      </c>
      <c r="K21" s="112">
        <v>9</v>
      </c>
      <c r="M21" s="136">
        <v>3.96</v>
      </c>
      <c r="S21" s="328">
        <v>1633</v>
      </c>
      <c r="U21">
        <v>10.8</v>
      </c>
      <c r="Y21" s="136">
        <v>909</v>
      </c>
      <c r="AA21" s="328">
        <v>125497</v>
      </c>
      <c r="AC21" s="136">
        <v>38</v>
      </c>
      <c r="AG21" s="136">
        <v>3.02</v>
      </c>
      <c r="AM21" s="328">
        <v>69</v>
      </c>
      <c r="BS21" s="336">
        <v>43.01</v>
      </c>
      <c r="BU21" s="336">
        <v>23.96</v>
      </c>
      <c r="BY21" s="136">
        <v>5.8</v>
      </c>
      <c r="CL21" s="136">
        <v>0</v>
      </c>
    </row>
    <row r="22" spans="1:90">
      <c r="A22" s="154" t="s">
        <v>7822</v>
      </c>
      <c r="B22" t="s">
        <v>257</v>
      </c>
      <c r="C22" t="s">
        <v>405</v>
      </c>
      <c r="D22" t="s">
        <v>8001</v>
      </c>
      <c r="E22" s="113">
        <v>15</v>
      </c>
      <c r="F22" s="113">
        <v>13</v>
      </c>
      <c r="I22" s="112">
        <v>9</v>
      </c>
      <c r="K22" s="112">
        <v>9</v>
      </c>
      <c r="M22" s="136">
        <v>2.2999999999999998</v>
      </c>
      <c r="S22" s="328">
        <v>946</v>
      </c>
      <c r="U22">
        <v>10.8</v>
      </c>
      <c r="Y22" s="136">
        <v>503</v>
      </c>
      <c r="AA22" s="328">
        <v>75883</v>
      </c>
      <c r="AC22" s="136">
        <v>21.9</v>
      </c>
      <c r="AG22" s="136">
        <v>2.88</v>
      </c>
      <c r="AM22" s="328">
        <v>87</v>
      </c>
      <c r="BS22" s="336">
        <v>43.22</v>
      </c>
      <c r="BU22" s="336">
        <v>22.99</v>
      </c>
      <c r="BY22" s="136">
        <v>6.52</v>
      </c>
      <c r="CL22" s="136">
        <v>0</v>
      </c>
    </row>
    <row r="23" spans="1:90">
      <c r="A23" s="154" t="s">
        <v>7822</v>
      </c>
      <c r="B23" t="s">
        <v>257</v>
      </c>
      <c r="C23" t="s">
        <v>7726</v>
      </c>
      <c r="D23" t="s">
        <v>8003</v>
      </c>
      <c r="E23" s="113">
        <v>55</v>
      </c>
      <c r="F23" s="113">
        <v>17</v>
      </c>
      <c r="I23" s="112">
        <v>9</v>
      </c>
      <c r="K23" s="112">
        <v>9</v>
      </c>
      <c r="M23" s="136">
        <v>2.21</v>
      </c>
      <c r="S23" s="328" t="s">
        <v>7709</v>
      </c>
      <c r="U23">
        <v>10.8</v>
      </c>
      <c r="Y23" s="136" t="s">
        <v>7709</v>
      </c>
      <c r="AA23" s="328" t="s">
        <v>7709</v>
      </c>
      <c r="AC23" s="136">
        <v>21.2</v>
      </c>
      <c r="AG23" s="136" t="s">
        <v>7709</v>
      </c>
      <c r="AM23" s="328">
        <v>87</v>
      </c>
      <c r="BS23" s="336" t="s">
        <v>7709</v>
      </c>
      <c r="BU23" s="336" t="s">
        <v>7709</v>
      </c>
      <c r="BY23" s="136">
        <v>5.8</v>
      </c>
      <c r="CL23" s="136">
        <v>0</v>
      </c>
    </row>
    <row r="24" spans="1:90">
      <c r="A24" s="154" t="s">
        <v>7822</v>
      </c>
      <c r="B24" t="s">
        <v>259</v>
      </c>
      <c r="C24" t="s">
        <v>405</v>
      </c>
      <c r="D24" t="s">
        <v>8001</v>
      </c>
      <c r="E24" s="113">
        <v>23</v>
      </c>
      <c r="F24" s="113">
        <v>16</v>
      </c>
      <c r="I24" s="112">
        <v>9</v>
      </c>
      <c r="K24" s="112">
        <v>9</v>
      </c>
      <c r="M24" s="136">
        <v>2.0099999999999998</v>
      </c>
      <c r="S24" s="328">
        <v>809</v>
      </c>
      <c r="U24">
        <v>10.8</v>
      </c>
      <c r="Y24" s="136">
        <v>450</v>
      </c>
      <c r="AA24" s="328">
        <v>66488</v>
      </c>
      <c r="AC24" s="136">
        <v>19.2</v>
      </c>
      <c r="AG24" s="136">
        <v>2.88</v>
      </c>
      <c r="AM24" s="328">
        <v>87</v>
      </c>
      <c r="BS24" s="336">
        <v>42.17</v>
      </c>
      <c r="BU24" s="336">
        <v>23.45</v>
      </c>
      <c r="BY24" s="136">
        <v>6.25</v>
      </c>
      <c r="CL24" s="136">
        <v>0</v>
      </c>
    </row>
    <row r="25" spans="1:90">
      <c r="A25" s="154" t="s">
        <v>7822</v>
      </c>
      <c r="B25" t="s">
        <v>259</v>
      </c>
      <c r="C25" t="s">
        <v>7726</v>
      </c>
      <c r="D25" t="s">
        <v>8003</v>
      </c>
      <c r="E25" s="113">
        <v>41</v>
      </c>
      <c r="F25" s="113">
        <v>20</v>
      </c>
      <c r="I25" s="112">
        <v>7</v>
      </c>
      <c r="K25" s="112">
        <v>5</v>
      </c>
      <c r="M25" s="136">
        <v>2.0099999999999998</v>
      </c>
      <c r="S25" s="328">
        <v>840</v>
      </c>
      <c r="U25">
        <v>10.8</v>
      </c>
      <c r="Y25" s="136">
        <v>436</v>
      </c>
      <c r="AA25" s="328">
        <v>71354</v>
      </c>
      <c r="AC25" s="136">
        <v>19.2</v>
      </c>
      <c r="AG25" s="136">
        <v>2.7</v>
      </c>
      <c r="AM25" s="328">
        <v>87</v>
      </c>
      <c r="BS25" s="336">
        <v>43.66</v>
      </c>
      <c r="BU25" s="336">
        <v>22.63</v>
      </c>
      <c r="BY25" s="136">
        <v>5.89</v>
      </c>
      <c r="CL25" s="136">
        <v>0</v>
      </c>
    </row>
    <row r="26" spans="1:90">
      <c r="A26" s="154" t="s">
        <v>7824</v>
      </c>
      <c r="B26" t="s">
        <v>257</v>
      </c>
      <c r="C26" t="s">
        <v>405</v>
      </c>
      <c r="D26" t="s">
        <v>8001</v>
      </c>
      <c r="E26" s="113">
        <v>10</v>
      </c>
      <c r="F26" s="113">
        <v>14</v>
      </c>
      <c r="I26" s="112">
        <v>9</v>
      </c>
      <c r="K26" s="112">
        <v>9</v>
      </c>
      <c r="M26" s="136">
        <v>2.2599999999999998</v>
      </c>
      <c r="S26" s="328">
        <v>956</v>
      </c>
      <c r="U26">
        <v>10.8</v>
      </c>
      <c r="Y26" s="136">
        <v>467</v>
      </c>
      <c r="AA26" s="328">
        <v>67573</v>
      </c>
      <c r="AC26" s="136">
        <v>21.6</v>
      </c>
      <c r="AG26" s="136">
        <v>3.19</v>
      </c>
      <c r="AM26" s="328">
        <v>83</v>
      </c>
      <c r="BS26" s="336">
        <v>44.38</v>
      </c>
      <c r="BU26" s="336">
        <v>21.67</v>
      </c>
      <c r="BY26" s="136">
        <v>6.27</v>
      </c>
      <c r="CL26" s="136">
        <v>0</v>
      </c>
    </row>
    <row r="27" spans="1:90">
      <c r="A27" s="154" t="s">
        <v>7824</v>
      </c>
      <c r="B27" t="s">
        <v>257</v>
      </c>
      <c r="C27" t="s">
        <v>7726</v>
      </c>
      <c r="D27" t="s">
        <v>8003</v>
      </c>
      <c r="E27" s="113">
        <v>46</v>
      </c>
      <c r="F27" s="113">
        <v>18</v>
      </c>
      <c r="I27" s="112">
        <v>9</v>
      </c>
      <c r="K27" s="112">
        <v>9</v>
      </c>
      <c r="M27" s="136">
        <v>2.75</v>
      </c>
      <c r="S27" s="328">
        <v>1177</v>
      </c>
      <c r="U27">
        <v>10.8</v>
      </c>
      <c r="Y27" s="136">
        <v>575</v>
      </c>
      <c r="AA27" s="328">
        <v>75984</v>
      </c>
      <c r="AC27" s="136">
        <v>26.3</v>
      </c>
      <c r="AG27" s="136">
        <v>3.47</v>
      </c>
      <c r="AM27" s="328">
        <v>87</v>
      </c>
      <c r="BS27" s="336">
        <v>44.67</v>
      </c>
      <c r="BU27" s="336">
        <v>21.83</v>
      </c>
      <c r="BY27" s="136">
        <v>5.87</v>
      </c>
      <c r="CL27" s="136">
        <v>0</v>
      </c>
    </row>
    <row r="28" spans="1:90">
      <c r="A28" s="154" t="s">
        <v>7824</v>
      </c>
      <c r="B28" t="s">
        <v>259</v>
      </c>
      <c r="C28" t="s">
        <v>405</v>
      </c>
      <c r="D28" t="s">
        <v>8001</v>
      </c>
      <c r="E28" s="113">
        <v>18</v>
      </c>
      <c r="F28" s="113">
        <v>15</v>
      </c>
      <c r="I28" s="112">
        <v>9</v>
      </c>
      <c r="K28" s="112">
        <v>9</v>
      </c>
      <c r="M28" s="136">
        <v>2.67</v>
      </c>
      <c r="S28" s="328">
        <v>1056</v>
      </c>
      <c r="U28">
        <v>10.8</v>
      </c>
      <c r="Y28" s="136">
        <v>631</v>
      </c>
      <c r="AA28" s="328">
        <v>76953</v>
      </c>
      <c r="AC28" s="136">
        <v>25.4</v>
      </c>
      <c r="AG28" s="136">
        <v>3.3</v>
      </c>
      <c r="AM28" s="328">
        <v>87</v>
      </c>
      <c r="BS28" s="336">
        <v>41.6</v>
      </c>
      <c r="BU28" s="336">
        <v>24.84</v>
      </c>
      <c r="BY28" s="136">
        <v>6.52</v>
      </c>
      <c r="CL28" s="136">
        <v>0</v>
      </c>
    </row>
    <row r="29" spans="1:90">
      <c r="A29" s="154" t="s">
        <v>7824</v>
      </c>
      <c r="B29" t="s">
        <v>259</v>
      </c>
      <c r="C29" t="s">
        <v>7726</v>
      </c>
      <c r="D29" t="s">
        <v>8003</v>
      </c>
      <c r="E29" s="113">
        <v>31</v>
      </c>
      <c r="F29" s="113">
        <v>19</v>
      </c>
      <c r="I29" s="112">
        <v>9</v>
      </c>
      <c r="K29" s="112">
        <v>9</v>
      </c>
      <c r="M29" s="136">
        <v>2.15</v>
      </c>
      <c r="S29" s="328">
        <v>861</v>
      </c>
      <c r="U29">
        <v>10.8</v>
      </c>
      <c r="Y29" s="136">
        <v>487</v>
      </c>
      <c r="AA29" s="328">
        <v>63078</v>
      </c>
      <c r="AC29" s="136">
        <v>20.5</v>
      </c>
      <c r="AG29" s="136">
        <v>3.25</v>
      </c>
      <c r="AM29" s="328">
        <v>83</v>
      </c>
      <c r="BS29" s="336">
        <v>42.03</v>
      </c>
      <c r="BU29" s="336">
        <v>23.75</v>
      </c>
      <c r="BY29" s="136">
        <v>6.36</v>
      </c>
      <c r="CL29" s="136">
        <v>0</v>
      </c>
    </row>
    <row r="30" spans="1:90">
      <c r="A30" s="154" t="s">
        <v>7826</v>
      </c>
      <c r="B30" t="s">
        <v>257</v>
      </c>
      <c r="C30" t="s">
        <v>405</v>
      </c>
      <c r="D30" t="s">
        <v>8001</v>
      </c>
      <c r="E30" s="113">
        <v>22</v>
      </c>
      <c r="F30" s="113">
        <v>13</v>
      </c>
      <c r="I30" s="112">
        <v>9</v>
      </c>
      <c r="K30" s="112">
        <v>9</v>
      </c>
      <c r="M30" s="136">
        <v>2.76</v>
      </c>
      <c r="S30" s="328">
        <v>1177</v>
      </c>
      <c r="U30">
        <v>10.8</v>
      </c>
      <c r="Y30" s="136">
        <v>585</v>
      </c>
      <c r="AA30" s="328">
        <v>93714</v>
      </c>
      <c r="AC30" s="136">
        <v>26.3</v>
      </c>
      <c r="AG30" s="136">
        <v>2.81</v>
      </c>
      <c r="AM30" s="328">
        <v>83</v>
      </c>
      <c r="BS30" s="336">
        <v>44.72</v>
      </c>
      <c r="BU30" s="336">
        <v>22.22</v>
      </c>
      <c r="BY30" s="136">
        <v>6.29</v>
      </c>
      <c r="CL30" s="136">
        <v>0</v>
      </c>
    </row>
    <row r="31" spans="1:90">
      <c r="A31" s="154" t="s">
        <v>7826</v>
      </c>
      <c r="B31" t="s">
        <v>257</v>
      </c>
      <c r="C31" t="s">
        <v>7726</v>
      </c>
      <c r="D31" t="s">
        <v>8003</v>
      </c>
      <c r="E31" s="113">
        <v>42</v>
      </c>
      <c r="F31" s="113">
        <v>18</v>
      </c>
      <c r="I31" s="112">
        <v>9</v>
      </c>
      <c r="K31" s="112">
        <v>9</v>
      </c>
      <c r="M31" s="136">
        <v>2.5299999999999998</v>
      </c>
      <c r="S31" s="328">
        <v>1154</v>
      </c>
      <c r="U31">
        <v>10.8</v>
      </c>
      <c r="Y31" s="136">
        <v>474</v>
      </c>
      <c r="AA31" s="328">
        <v>77402</v>
      </c>
      <c r="AC31" s="136">
        <v>24.3</v>
      </c>
      <c r="AG31" s="136">
        <v>3.13</v>
      </c>
      <c r="AM31" s="328">
        <v>83</v>
      </c>
      <c r="BS31" s="336">
        <v>47.55</v>
      </c>
      <c r="BU31" s="336">
        <v>19.55</v>
      </c>
      <c r="BY31" s="136">
        <v>5.75</v>
      </c>
      <c r="CL31" s="136">
        <v>0</v>
      </c>
    </row>
    <row r="32" spans="1:90">
      <c r="A32" s="154" t="s">
        <v>7826</v>
      </c>
      <c r="B32" t="s">
        <v>259</v>
      </c>
      <c r="C32" t="s">
        <v>405</v>
      </c>
      <c r="D32" t="s">
        <v>8001</v>
      </c>
      <c r="E32" s="113">
        <v>14</v>
      </c>
      <c r="F32" s="113">
        <v>16</v>
      </c>
      <c r="I32" s="112">
        <v>9</v>
      </c>
      <c r="K32" s="112">
        <v>9</v>
      </c>
      <c r="M32" s="136">
        <v>3.07</v>
      </c>
      <c r="S32" s="328">
        <v>1267</v>
      </c>
      <c r="U32">
        <v>10.8</v>
      </c>
      <c r="Y32" s="136">
        <v>698</v>
      </c>
      <c r="AA32" s="328">
        <v>98559</v>
      </c>
      <c r="AC32" s="136">
        <v>29.1</v>
      </c>
      <c r="AG32" s="136">
        <v>2.96</v>
      </c>
      <c r="AM32" s="328">
        <v>83</v>
      </c>
      <c r="BS32" s="336">
        <v>43.47</v>
      </c>
      <c r="BU32" s="336">
        <v>23.95</v>
      </c>
      <c r="BY32" s="136">
        <v>6.72</v>
      </c>
      <c r="CL32" s="136">
        <v>6</v>
      </c>
    </row>
    <row r="33" spans="1:90">
      <c r="A33" s="154" t="s">
        <v>7826</v>
      </c>
      <c r="B33" t="s">
        <v>259</v>
      </c>
      <c r="C33" t="s">
        <v>7726</v>
      </c>
      <c r="D33" t="s">
        <v>8003</v>
      </c>
      <c r="E33" s="113">
        <v>44</v>
      </c>
      <c r="F33" s="113">
        <v>19</v>
      </c>
      <c r="I33" s="112">
        <v>9</v>
      </c>
      <c r="K33" s="112">
        <v>9</v>
      </c>
      <c r="M33" s="136">
        <v>3.34</v>
      </c>
      <c r="S33" s="328">
        <v>1452</v>
      </c>
      <c r="U33">
        <v>10.8</v>
      </c>
      <c r="Y33" s="136">
        <v>716</v>
      </c>
      <c r="AA33" s="328">
        <v>104598</v>
      </c>
      <c r="AC33" s="136">
        <v>32.1</v>
      </c>
      <c r="AG33" s="136">
        <v>3.06</v>
      </c>
      <c r="AM33" s="328">
        <v>83</v>
      </c>
      <c r="BS33" s="336">
        <v>45.31</v>
      </c>
      <c r="BU33" s="336">
        <v>22.35</v>
      </c>
      <c r="BY33" s="136">
        <v>5.67</v>
      </c>
      <c r="CL33" s="136">
        <v>0</v>
      </c>
    </row>
    <row r="34" spans="1:90">
      <c r="A34" s="154" t="s">
        <v>7828</v>
      </c>
      <c r="B34" t="s">
        <v>257</v>
      </c>
      <c r="C34" t="s">
        <v>405</v>
      </c>
      <c r="D34" t="s">
        <v>8001</v>
      </c>
      <c r="E34" s="113">
        <v>9</v>
      </c>
      <c r="F34" s="113">
        <v>13</v>
      </c>
      <c r="I34" s="112">
        <v>9</v>
      </c>
      <c r="K34" s="112">
        <v>9</v>
      </c>
      <c r="M34" s="136">
        <v>2.41</v>
      </c>
      <c r="S34" s="328">
        <v>1051</v>
      </c>
      <c r="U34">
        <v>10.8</v>
      </c>
      <c r="Y34" s="136">
        <v>476</v>
      </c>
      <c r="AA34" s="328">
        <v>80543</v>
      </c>
      <c r="AC34" s="136">
        <v>23</v>
      </c>
      <c r="AG34" s="136">
        <v>2.85</v>
      </c>
      <c r="AM34" s="328">
        <v>87</v>
      </c>
      <c r="BS34" s="336">
        <v>45.76</v>
      </c>
      <c r="BU34" s="336">
        <v>20.72</v>
      </c>
      <c r="BY34" s="136">
        <v>6.3</v>
      </c>
      <c r="CL34" s="136">
        <v>0</v>
      </c>
    </row>
    <row r="35" spans="1:90">
      <c r="A35" s="154" t="s">
        <v>7828</v>
      </c>
      <c r="B35" t="s">
        <v>257</v>
      </c>
      <c r="C35" t="s">
        <v>7726</v>
      </c>
      <c r="D35" t="s">
        <v>8003</v>
      </c>
      <c r="E35" s="113">
        <v>34</v>
      </c>
      <c r="F35" s="113">
        <v>18</v>
      </c>
      <c r="I35" s="112">
        <v>9</v>
      </c>
      <c r="K35" s="112">
        <v>9</v>
      </c>
      <c r="M35" s="136">
        <v>2.1</v>
      </c>
      <c r="S35" s="328">
        <v>938</v>
      </c>
      <c r="U35">
        <v>10.8</v>
      </c>
      <c r="Y35" s="136">
        <v>416</v>
      </c>
      <c r="AA35" s="328">
        <v>64519</v>
      </c>
      <c r="AC35" s="136">
        <v>20.100000000000001</v>
      </c>
      <c r="AG35" s="136">
        <v>3.12</v>
      </c>
      <c r="AM35" s="328">
        <v>87</v>
      </c>
      <c r="BS35" s="336">
        <v>46.67</v>
      </c>
      <c r="BU35" s="336">
        <v>20.7</v>
      </c>
      <c r="BY35" s="136">
        <v>5.94</v>
      </c>
      <c r="CL35" s="136">
        <v>0</v>
      </c>
    </row>
    <row r="36" spans="1:90">
      <c r="A36" s="154" t="s">
        <v>7828</v>
      </c>
      <c r="B36" t="s">
        <v>259</v>
      </c>
      <c r="C36" t="s">
        <v>405</v>
      </c>
      <c r="D36" t="s">
        <v>8001</v>
      </c>
      <c r="E36" s="113">
        <v>27</v>
      </c>
      <c r="F36" s="113">
        <v>15</v>
      </c>
      <c r="I36" s="112">
        <v>9</v>
      </c>
      <c r="K36" s="112">
        <v>9</v>
      </c>
      <c r="M36" s="136">
        <v>2.89</v>
      </c>
      <c r="S36" s="328">
        <v>1192</v>
      </c>
      <c r="U36">
        <v>10.8</v>
      </c>
      <c r="Y36" s="136">
        <v>636</v>
      </c>
      <c r="AA36" s="328">
        <v>91920</v>
      </c>
      <c r="AC36" s="136">
        <v>27.3</v>
      </c>
      <c r="AG36" s="136">
        <v>2.97</v>
      </c>
      <c r="AM36" s="328">
        <v>87</v>
      </c>
      <c r="BS36" s="336">
        <v>43.63</v>
      </c>
      <c r="BU36" s="336">
        <v>23.29</v>
      </c>
      <c r="BY36" s="136">
        <v>7.1</v>
      </c>
      <c r="CL36" s="136">
        <v>0</v>
      </c>
    </row>
    <row r="37" spans="1:90">
      <c r="A37" s="154" t="s">
        <v>7828</v>
      </c>
      <c r="B37" t="s">
        <v>259</v>
      </c>
      <c r="C37" t="s">
        <v>7726</v>
      </c>
      <c r="D37" t="s">
        <v>8003</v>
      </c>
      <c r="E37" s="113">
        <v>52</v>
      </c>
      <c r="F37" s="113">
        <v>19</v>
      </c>
      <c r="I37" s="112">
        <v>9</v>
      </c>
      <c r="K37" s="112">
        <v>9</v>
      </c>
      <c r="M37" s="136">
        <v>2.52</v>
      </c>
      <c r="S37" s="328">
        <v>1058</v>
      </c>
      <c r="U37">
        <v>10.8</v>
      </c>
      <c r="Y37" s="136">
        <v>549</v>
      </c>
      <c r="AA37" s="328">
        <v>80367</v>
      </c>
      <c r="AC37" s="136">
        <v>24.1</v>
      </c>
      <c r="AG37" s="136">
        <v>3</v>
      </c>
      <c r="AM37" s="328">
        <v>87</v>
      </c>
      <c r="BS37" s="336">
        <v>43.81</v>
      </c>
      <c r="BU37" s="336">
        <v>22.76</v>
      </c>
      <c r="BY37" s="136">
        <v>5.83</v>
      </c>
      <c r="CL37" s="136">
        <v>0</v>
      </c>
    </row>
    <row r="38" spans="1:90">
      <c r="A38" s="154" t="s">
        <v>7830</v>
      </c>
      <c r="B38" t="s">
        <v>257</v>
      </c>
      <c r="C38" t="s">
        <v>405</v>
      </c>
      <c r="D38" t="s">
        <v>8001</v>
      </c>
      <c r="E38" s="113">
        <v>4</v>
      </c>
      <c r="F38" s="113">
        <v>14</v>
      </c>
      <c r="I38" s="112">
        <v>9</v>
      </c>
      <c r="K38" s="112">
        <v>9</v>
      </c>
      <c r="M38" s="136">
        <v>2.63</v>
      </c>
      <c r="S38" s="328">
        <v>1160</v>
      </c>
      <c r="U38">
        <v>10.8</v>
      </c>
      <c r="Y38" s="136">
        <v>505</v>
      </c>
      <c r="AA38" s="328">
        <v>80146</v>
      </c>
      <c r="AC38" s="136">
        <v>25.1</v>
      </c>
      <c r="AG38" s="136">
        <v>3.13</v>
      </c>
      <c r="AM38" s="328">
        <v>80</v>
      </c>
      <c r="BS38" s="336">
        <v>46.16</v>
      </c>
      <c r="BU38" s="336">
        <v>20.12</v>
      </c>
      <c r="BY38" s="136">
        <v>6.11</v>
      </c>
      <c r="CL38" s="136">
        <v>0</v>
      </c>
    </row>
    <row r="39" spans="1:90">
      <c r="A39" s="154" t="s">
        <v>7830</v>
      </c>
      <c r="B39" t="s">
        <v>257</v>
      </c>
      <c r="C39" t="s">
        <v>7726</v>
      </c>
      <c r="D39" t="s">
        <v>8003</v>
      </c>
      <c r="E39" s="113">
        <v>37</v>
      </c>
      <c r="F39" s="113">
        <v>17</v>
      </c>
      <c r="I39" s="112">
        <v>9</v>
      </c>
      <c r="K39" s="112">
        <v>9</v>
      </c>
      <c r="M39" s="136">
        <v>2.56</v>
      </c>
      <c r="S39" s="328">
        <v>1142</v>
      </c>
      <c r="U39">
        <v>10.8</v>
      </c>
      <c r="Y39" s="136">
        <v>499</v>
      </c>
      <c r="AA39" s="328">
        <v>76119</v>
      </c>
      <c r="AC39" s="136">
        <v>24.6</v>
      </c>
      <c r="AG39" s="136">
        <v>3.23</v>
      </c>
      <c r="AM39" s="328">
        <v>83</v>
      </c>
      <c r="BS39" s="336">
        <v>46.45</v>
      </c>
      <c r="BU39" s="336">
        <v>20.3</v>
      </c>
      <c r="BY39" s="136">
        <v>5.61</v>
      </c>
      <c r="CL39" s="136">
        <v>0</v>
      </c>
    </row>
    <row r="40" spans="1:90">
      <c r="A40" s="154" t="s">
        <v>7830</v>
      </c>
      <c r="B40" t="s">
        <v>259</v>
      </c>
      <c r="C40" t="s">
        <v>405</v>
      </c>
      <c r="D40" t="s">
        <v>8001</v>
      </c>
      <c r="E40" s="113">
        <v>28</v>
      </c>
      <c r="F40" s="113">
        <v>16</v>
      </c>
      <c r="I40" s="112">
        <v>9</v>
      </c>
      <c r="K40" s="112">
        <v>9</v>
      </c>
      <c r="M40" s="136">
        <v>2.58</v>
      </c>
      <c r="S40" s="328">
        <v>1068</v>
      </c>
      <c r="U40">
        <v>10.8</v>
      </c>
      <c r="Y40" s="136">
        <v>569</v>
      </c>
      <c r="AA40" s="328">
        <v>74886</v>
      </c>
      <c r="AC40" s="136">
        <v>24.5</v>
      </c>
      <c r="AG40" s="136">
        <v>3.28</v>
      </c>
      <c r="AM40" s="328">
        <v>80</v>
      </c>
      <c r="BS40" s="336">
        <v>43.53</v>
      </c>
      <c r="BU40" s="336">
        <v>23.19</v>
      </c>
      <c r="BY40" s="136">
        <v>6.52</v>
      </c>
      <c r="CL40" s="136">
        <v>2</v>
      </c>
    </row>
    <row r="41" spans="1:90">
      <c r="A41" s="154" t="s">
        <v>7830</v>
      </c>
      <c r="B41" t="s">
        <v>259</v>
      </c>
      <c r="C41" t="s">
        <v>7726</v>
      </c>
      <c r="D41" t="s">
        <v>8003</v>
      </c>
      <c r="E41" s="113">
        <v>49</v>
      </c>
      <c r="F41" s="113">
        <v>19</v>
      </c>
      <c r="I41" s="112">
        <v>9</v>
      </c>
      <c r="K41" s="112">
        <v>9</v>
      </c>
      <c r="M41" s="136">
        <v>2.95</v>
      </c>
      <c r="S41" s="328">
        <v>1255</v>
      </c>
      <c r="U41">
        <v>10.8</v>
      </c>
      <c r="Y41" s="136">
        <v>624</v>
      </c>
      <c r="AA41" s="328">
        <v>85104</v>
      </c>
      <c r="AC41" s="136">
        <v>28</v>
      </c>
      <c r="AG41" s="136">
        <v>3.28</v>
      </c>
      <c r="AM41" s="328">
        <v>83</v>
      </c>
      <c r="BS41" s="336">
        <v>44.91</v>
      </c>
      <c r="BU41" s="336">
        <v>22.33</v>
      </c>
      <c r="BY41" s="136">
        <v>6.87</v>
      </c>
      <c r="CL41" s="136">
        <v>0</v>
      </c>
    </row>
    <row r="42" spans="1:90">
      <c r="A42" s="154" t="s">
        <v>7832</v>
      </c>
      <c r="B42" t="s">
        <v>257</v>
      </c>
      <c r="C42" t="s">
        <v>405</v>
      </c>
      <c r="D42" t="s">
        <v>8001</v>
      </c>
      <c r="E42" s="113">
        <v>15</v>
      </c>
      <c r="F42" s="113">
        <v>14</v>
      </c>
      <c r="I42" s="112">
        <v>7</v>
      </c>
      <c r="K42" s="112">
        <v>9</v>
      </c>
      <c r="M42" s="136">
        <v>2.99</v>
      </c>
      <c r="S42" s="328">
        <v>1194</v>
      </c>
      <c r="U42">
        <v>10.8</v>
      </c>
      <c r="Y42" s="136">
        <v>740</v>
      </c>
      <c r="AA42" s="328">
        <v>88646</v>
      </c>
      <c r="AC42" s="136">
        <v>28.5</v>
      </c>
      <c r="AG42" s="136">
        <v>3.21</v>
      </c>
      <c r="AM42" s="328">
        <v>77</v>
      </c>
      <c r="BS42" s="336">
        <v>41.93</v>
      </c>
      <c r="BU42" s="336">
        <v>25.99</v>
      </c>
      <c r="BY42" s="136">
        <v>6.43</v>
      </c>
      <c r="CL42" s="136">
        <v>0</v>
      </c>
    </row>
    <row r="43" spans="1:90">
      <c r="A43" s="154" t="s">
        <v>7832</v>
      </c>
      <c r="B43" t="s">
        <v>257</v>
      </c>
      <c r="C43" t="s">
        <v>7726</v>
      </c>
      <c r="D43" t="s">
        <v>8003</v>
      </c>
      <c r="E43" s="113">
        <v>53</v>
      </c>
      <c r="F43" s="113">
        <v>18</v>
      </c>
      <c r="I43" s="112">
        <v>9</v>
      </c>
      <c r="K43" s="112">
        <v>9</v>
      </c>
      <c r="M43" s="136">
        <v>3.1</v>
      </c>
      <c r="S43" s="328">
        <v>1346</v>
      </c>
      <c r="U43">
        <v>10.8</v>
      </c>
      <c r="Y43" s="136">
        <v>680</v>
      </c>
      <c r="AA43" s="328">
        <v>91774</v>
      </c>
      <c r="AC43" s="136">
        <v>29.7</v>
      </c>
      <c r="AG43" s="136">
        <v>3.24</v>
      </c>
      <c r="AM43" s="328">
        <v>73</v>
      </c>
      <c r="BS43" s="336">
        <v>45.31</v>
      </c>
      <c r="BU43" s="336">
        <v>22.88</v>
      </c>
      <c r="BY43" s="136">
        <v>5.85</v>
      </c>
      <c r="CL43" s="136">
        <v>0</v>
      </c>
    </row>
    <row r="44" spans="1:90">
      <c r="A44" s="154" t="s">
        <v>7832</v>
      </c>
      <c r="B44" t="s">
        <v>259</v>
      </c>
      <c r="C44" t="s">
        <v>405</v>
      </c>
      <c r="D44" t="s">
        <v>8001</v>
      </c>
      <c r="E44" s="113">
        <v>24</v>
      </c>
      <c r="F44" s="113">
        <v>15</v>
      </c>
      <c r="I44" s="112">
        <v>7</v>
      </c>
      <c r="K44" s="112">
        <v>9</v>
      </c>
      <c r="M44" s="136">
        <v>2.6</v>
      </c>
      <c r="S44" s="328">
        <v>1066</v>
      </c>
      <c r="U44">
        <v>10.8</v>
      </c>
      <c r="Y44" s="136">
        <v>583</v>
      </c>
      <c r="AA44" s="328">
        <v>76090</v>
      </c>
      <c r="AC44" s="136">
        <v>24.4</v>
      </c>
      <c r="AG44" s="136">
        <v>3.21</v>
      </c>
      <c r="AM44" s="328">
        <v>77</v>
      </c>
      <c r="BS44" s="336">
        <v>43.65</v>
      </c>
      <c r="BU44" s="336">
        <v>23.86</v>
      </c>
      <c r="BY44" s="136">
        <v>7.67</v>
      </c>
      <c r="CL44" s="136">
        <v>0</v>
      </c>
    </row>
    <row r="45" spans="1:90">
      <c r="A45" s="154" t="s">
        <v>7832</v>
      </c>
      <c r="B45" t="s">
        <v>259</v>
      </c>
      <c r="C45" t="s">
        <v>7726</v>
      </c>
      <c r="D45" t="s">
        <v>8003</v>
      </c>
      <c r="E45" s="113">
        <v>43</v>
      </c>
      <c r="F45" s="113">
        <v>19</v>
      </c>
      <c r="I45" s="112">
        <v>7</v>
      </c>
      <c r="K45" s="112">
        <v>9</v>
      </c>
      <c r="M45" s="136">
        <v>2.66</v>
      </c>
      <c r="S45" s="328">
        <v>1100</v>
      </c>
      <c r="U45">
        <v>10.8</v>
      </c>
      <c r="Y45" s="136">
        <v>628</v>
      </c>
      <c r="AA45" s="328">
        <v>79602</v>
      </c>
      <c r="AC45" s="136">
        <v>25.5</v>
      </c>
      <c r="AG45" s="136">
        <v>3.21</v>
      </c>
      <c r="AM45" s="328">
        <v>77</v>
      </c>
      <c r="BS45" s="336">
        <v>43.1</v>
      </c>
      <c r="BU45" s="336">
        <v>24.6</v>
      </c>
      <c r="BY45" s="136">
        <v>5.69</v>
      </c>
      <c r="CL45" s="136">
        <v>0</v>
      </c>
    </row>
    <row r="46" spans="1:90">
      <c r="A46" s="154" t="s">
        <v>7834</v>
      </c>
      <c r="B46" t="s">
        <v>257</v>
      </c>
      <c r="C46" t="s">
        <v>405</v>
      </c>
      <c r="D46" t="s">
        <v>8001</v>
      </c>
      <c r="E46" s="113">
        <v>23</v>
      </c>
      <c r="F46" s="113">
        <v>14</v>
      </c>
      <c r="I46" s="112">
        <v>9</v>
      </c>
      <c r="K46" s="112">
        <v>9</v>
      </c>
      <c r="M46" s="136">
        <v>3.07</v>
      </c>
      <c r="S46" s="328">
        <v>1276</v>
      </c>
      <c r="U46">
        <v>10.8</v>
      </c>
      <c r="Y46" s="136">
        <v>659</v>
      </c>
      <c r="AA46" s="328">
        <v>102810</v>
      </c>
      <c r="AC46" s="136">
        <v>29.3</v>
      </c>
      <c r="AG46" s="136">
        <v>2.85</v>
      </c>
      <c r="AM46" s="328">
        <v>87</v>
      </c>
      <c r="BS46" s="336">
        <v>43.57</v>
      </c>
      <c r="BU46" s="336">
        <v>22.51</v>
      </c>
      <c r="BY46" s="136">
        <v>6.25</v>
      </c>
      <c r="CL46" s="136">
        <v>0</v>
      </c>
    </row>
    <row r="47" spans="1:90">
      <c r="A47" s="154" t="s">
        <v>7834</v>
      </c>
      <c r="B47" t="s">
        <v>257</v>
      </c>
      <c r="C47" t="s">
        <v>7726</v>
      </c>
      <c r="D47" t="s">
        <v>8003</v>
      </c>
      <c r="E47" s="113">
        <v>33</v>
      </c>
      <c r="F47" s="113">
        <v>17</v>
      </c>
      <c r="I47" s="112">
        <v>9</v>
      </c>
      <c r="K47" s="112">
        <v>9</v>
      </c>
      <c r="M47" s="136">
        <v>1.75</v>
      </c>
      <c r="S47" s="328">
        <v>768</v>
      </c>
      <c r="U47">
        <v>10.8</v>
      </c>
      <c r="Y47" s="136">
        <v>332</v>
      </c>
      <c r="AA47" s="328">
        <v>56749</v>
      </c>
      <c r="AC47" s="136">
        <v>16.7</v>
      </c>
      <c r="AG47" s="136">
        <v>2.95</v>
      </c>
      <c r="AM47" s="328">
        <v>87</v>
      </c>
      <c r="BS47" s="336">
        <v>45.88</v>
      </c>
      <c r="BU47" s="336">
        <v>19.84</v>
      </c>
      <c r="BY47" s="136">
        <v>5.97</v>
      </c>
      <c r="CL47" s="136">
        <v>0</v>
      </c>
    </row>
    <row r="48" spans="1:90">
      <c r="A48" s="154" t="s">
        <v>7834</v>
      </c>
      <c r="B48" t="s">
        <v>259</v>
      </c>
      <c r="C48" t="s">
        <v>405</v>
      </c>
      <c r="D48" t="s">
        <v>8001</v>
      </c>
      <c r="E48" s="113">
        <v>5</v>
      </c>
      <c r="F48" s="113">
        <v>16</v>
      </c>
      <c r="I48" s="112">
        <v>9</v>
      </c>
      <c r="K48" s="112">
        <v>9</v>
      </c>
      <c r="M48" s="136">
        <v>2.31</v>
      </c>
      <c r="S48" s="328">
        <v>946</v>
      </c>
      <c r="U48">
        <v>10.8</v>
      </c>
      <c r="Y48" s="136">
        <v>502</v>
      </c>
      <c r="AA48" s="328">
        <v>85664</v>
      </c>
      <c r="AC48" s="136">
        <v>21.9</v>
      </c>
      <c r="AG48" s="136">
        <v>2.56</v>
      </c>
      <c r="AM48" s="328">
        <v>83</v>
      </c>
      <c r="BS48" s="336">
        <v>43.15</v>
      </c>
      <c r="BU48" s="336">
        <v>22.89</v>
      </c>
      <c r="BY48" s="136">
        <v>6.71</v>
      </c>
      <c r="CL48" s="136">
        <v>0</v>
      </c>
    </row>
    <row r="49" spans="1:91">
      <c r="A49" s="154" t="s">
        <v>7834</v>
      </c>
      <c r="B49" t="s">
        <v>259</v>
      </c>
      <c r="C49" t="s">
        <v>7726</v>
      </c>
      <c r="D49" t="s">
        <v>8003</v>
      </c>
      <c r="E49" s="113">
        <v>38</v>
      </c>
      <c r="F49" s="113">
        <v>19</v>
      </c>
      <c r="I49" s="112">
        <v>9</v>
      </c>
      <c r="K49" s="112">
        <v>9</v>
      </c>
      <c r="M49" s="136">
        <v>2.84</v>
      </c>
      <c r="S49" s="328">
        <v>1168</v>
      </c>
      <c r="U49">
        <v>10.8</v>
      </c>
      <c r="Y49" s="136">
        <v>628</v>
      </c>
      <c r="AA49" s="328">
        <v>96334</v>
      </c>
      <c r="AC49" s="136">
        <v>27.3</v>
      </c>
      <c r="AG49" s="136">
        <v>2.83</v>
      </c>
      <c r="AM49" s="328">
        <v>87</v>
      </c>
      <c r="BS49" s="336">
        <v>42.83</v>
      </c>
      <c r="BU49" s="336">
        <v>23.04</v>
      </c>
      <c r="BY49" s="136">
        <v>5.65</v>
      </c>
      <c r="CL49" s="136">
        <v>0</v>
      </c>
    </row>
    <row r="50" spans="1:91">
      <c r="A50" s="154" t="s">
        <v>7836</v>
      </c>
      <c r="B50" t="s">
        <v>257</v>
      </c>
      <c r="C50" t="s">
        <v>405</v>
      </c>
      <c r="D50" t="s">
        <v>8001</v>
      </c>
      <c r="E50" s="113">
        <v>22</v>
      </c>
      <c r="F50" s="113">
        <v>14</v>
      </c>
      <c r="I50" s="112">
        <v>9</v>
      </c>
      <c r="K50" s="112">
        <v>9</v>
      </c>
      <c r="M50" s="136">
        <v>2.63</v>
      </c>
      <c r="S50" s="328">
        <v>1089</v>
      </c>
      <c r="U50">
        <v>10.8</v>
      </c>
      <c r="Y50" s="136">
        <v>615</v>
      </c>
      <c r="AA50" s="328">
        <v>77316</v>
      </c>
      <c r="AC50" s="136">
        <v>25.1</v>
      </c>
      <c r="AG50" s="136">
        <v>3.24</v>
      </c>
      <c r="AM50" s="328">
        <v>73</v>
      </c>
      <c r="BS50" s="336">
        <v>43.41</v>
      </c>
      <c r="BU50" s="336">
        <v>24.51</v>
      </c>
      <c r="BY50" s="136">
        <v>6.29</v>
      </c>
      <c r="CL50" s="136">
        <v>0</v>
      </c>
    </row>
    <row r="51" spans="1:91">
      <c r="A51" s="154" t="s">
        <v>7836</v>
      </c>
      <c r="B51" t="s">
        <v>257</v>
      </c>
      <c r="C51" t="s">
        <v>7726</v>
      </c>
      <c r="D51" t="s">
        <v>8003</v>
      </c>
      <c r="E51" s="113">
        <v>45</v>
      </c>
      <c r="F51" s="113">
        <v>18</v>
      </c>
      <c r="I51" s="112">
        <v>7</v>
      </c>
      <c r="K51" s="112">
        <v>9</v>
      </c>
      <c r="M51" s="136">
        <v>2.61</v>
      </c>
      <c r="S51" s="328">
        <v>1122</v>
      </c>
      <c r="U51">
        <v>10.8</v>
      </c>
      <c r="Y51" s="136">
        <v>568</v>
      </c>
      <c r="AA51" s="328">
        <v>78454</v>
      </c>
      <c r="AC51" s="136">
        <v>25</v>
      </c>
      <c r="AG51" s="136">
        <v>3.19</v>
      </c>
      <c r="AM51" s="328">
        <v>77</v>
      </c>
      <c r="BS51" s="336">
        <v>44.87</v>
      </c>
      <c r="BU51" s="336">
        <v>22.73</v>
      </c>
      <c r="BY51" s="136">
        <v>5.82</v>
      </c>
      <c r="CL51" s="136">
        <v>0</v>
      </c>
    </row>
    <row r="52" spans="1:91">
      <c r="A52" s="154" t="s">
        <v>7836</v>
      </c>
      <c r="B52" t="s">
        <v>259</v>
      </c>
      <c r="C52" t="s">
        <v>405</v>
      </c>
      <c r="D52" t="s">
        <v>8001</v>
      </c>
      <c r="E52" s="113">
        <v>10</v>
      </c>
      <c r="F52" s="113">
        <v>15</v>
      </c>
      <c r="I52" s="112">
        <v>7</v>
      </c>
      <c r="K52" s="112">
        <v>9</v>
      </c>
      <c r="M52" s="136">
        <v>2.8</v>
      </c>
      <c r="S52" s="328">
        <v>1158</v>
      </c>
      <c r="U52">
        <v>10.8</v>
      </c>
      <c r="Y52" s="136">
        <v>647</v>
      </c>
      <c r="AA52" s="328">
        <v>83374</v>
      </c>
      <c r="AC52" s="136">
        <v>26.7</v>
      </c>
      <c r="AG52" s="136">
        <v>3.2</v>
      </c>
      <c r="AM52" s="328">
        <v>73</v>
      </c>
      <c r="BS52" s="336">
        <v>43.39</v>
      </c>
      <c r="BU52" s="336">
        <v>24.24</v>
      </c>
      <c r="BY52" s="136">
        <v>6.33</v>
      </c>
      <c r="CL52" s="136">
        <v>0</v>
      </c>
    </row>
    <row r="53" spans="1:91">
      <c r="A53" s="154" t="s">
        <v>7836</v>
      </c>
      <c r="B53" t="s">
        <v>259</v>
      </c>
      <c r="C53" t="s">
        <v>7726</v>
      </c>
      <c r="D53" t="s">
        <v>8003</v>
      </c>
      <c r="E53" s="113">
        <v>54</v>
      </c>
      <c r="F53" s="113">
        <v>19</v>
      </c>
      <c r="I53" s="112">
        <v>7</v>
      </c>
      <c r="K53" s="112">
        <v>9</v>
      </c>
      <c r="M53" s="136">
        <v>3.51</v>
      </c>
      <c r="S53" s="328">
        <v>1455</v>
      </c>
      <c r="U53">
        <v>10.8</v>
      </c>
      <c r="Y53" s="136">
        <v>823</v>
      </c>
      <c r="AA53" s="328">
        <v>101217</v>
      </c>
      <c r="AC53" s="136">
        <v>33.6</v>
      </c>
      <c r="AG53" s="136">
        <v>3.32</v>
      </c>
      <c r="AM53" s="328">
        <v>73</v>
      </c>
      <c r="BS53" s="336">
        <v>43.34</v>
      </c>
      <c r="BU53" s="336">
        <v>24.52</v>
      </c>
      <c r="BY53" s="136">
        <v>6</v>
      </c>
      <c r="CL53" s="136">
        <v>0</v>
      </c>
    </row>
    <row r="54" spans="1:91" s="347" customFormat="1">
      <c r="A54" s="337" t="s">
        <v>7838</v>
      </c>
      <c r="B54" s="338" t="s">
        <v>257</v>
      </c>
      <c r="C54" s="338" t="s">
        <v>405</v>
      </c>
      <c r="D54" s="338" t="s">
        <v>8001</v>
      </c>
      <c r="E54" s="339"/>
      <c r="F54" s="339"/>
      <c r="G54" s="339"/>
      <c r="H54" s="339"/>
      <c r="I54" s="340"/>
      <c r="J54" s="340"/>
      <c r="K54" s="340"/>
      <c r="L54" s="341"/>
      <c r="M54" s="342"/>
      <c r="N54" s="342"/>
      <c r="O54" s="342"/>
      <c r="P54" s="343"/>
      <c r="Q54" s="343"/>
      <c r="R54" s="343"/>
      <c r="S54" s="344" t="s">
        <v>7709</v>
      </c>
      <c r="T54" s="343"/>
      <c r="U54" s="338">
        <v>10.8</v>
      </c>
      <c r="V54" s="342"/>
      <c r="W54" s="343"/>
      <c r="X54" s="343"/>
      <c r="Y54" s="342" t="s">
        <v>7709</v>
      </c>
      <c r="Z54" s="342"/>
      <c r="AA54" s="344" t="s">
        <v>7709</v>
      </c>
      <c r="AB54" s="343"/>
      <c r="AC54" s="342" t="s">
        <v>7709</v>
      </c>
      <c r="AD54" s="342"/>
      <c r="AE54" s="345"/>
      <c r="AF54" s="343"/>
      <c r="AG54" s="342">
        <v>3.29</v>
      </c>
      <c r="AH54" s="342"/>
      <c r="AI54" s="343"/>
      <c r="AJ54" s="343"/>
      <c r="AK54" s="342"/>
      <c r="AL54" s="342"/>
      <c r="AM54" s="344" t="s">
        <v>7709</v>
      </c>
      <c r="AN54" s="343"/>
      <c r="AO54" s="342"/>
      <c r="AP54" s="342"/>
      <c r="AQ54" s="343"/>
      <c r="AR54" s="343"/>
      <c r="AS54" s="342"/>
      <c r="AT54" s="342"/>
      <c r="AU54" s="343"/>
      <c r="AV54" s="343"/>
      <c r="AW54" s="342"/>
      <c r="AX54" s="342"/>
      <c r="AY54" s="343"/>
      <c r="AZ54" s="343"/>
      <c r="BA54" s="342"/>
      <c r="BB54" s="342"/>
      <c r="BC54" s="343"/>
      <c r="BD54" s="343"/>
      <c r="BE54" s="343"/>
      <c r="BF54" s="343"/>
      <c r="BG54" s="343"/>
      <c r="BH54" s="343"/>
      <c r="BI54" s="343"/>
      <c r="BJ54" s="343"/>
      <c r="BK54" s="343"/>
      <c r="BL54" s="343"/>
      <c r="BM54" s="342"/>
      <c r="BN54" s="342"/>
      <c r="BO54" s="343"/>
      <c r="BP54" s="343"/>
      <c r="BQ54" s="342"/>
      <c r="BR54" s="342"/>
      <c r="BS54" s="346">
        <v>47.46</v>
      </c>
      <c r="BT54" s="343"/>
      <c r="BU54" s="346">
        <v>19.63</v>
      </c>
      <c r="BV54" s="342"/>
      <c r="BW54" s="342"/>
      <c r="BX54" s="342"/>
      <c r="BY54" s="342"/>
      <c r="BZ54" s="342"/>
      <c r="CA54" s="342"/>
      <c r="CB54" s="342"/>
      <c r="CC54" s="342"/>
      <c r="CD54" s="342"/>
      <c r="CE54" s="342"/>
      <c r="CF54" s="342"/>
      <c r="CG54" s="342"/>
      <c r="CH54" s="342"/>
      <c r="CI54" s="342"/>
      <c r="CJ54" s="342"/>
      <c r="CK54" s="342"/>
      <c r="CL54" s="342"/>
      <c r="CM54" s="342"/>
    </row>
    <row r="55" spans="1:91">
      <c r="A55" s="154" t="s">
        <v>7838</v>
      </c>
      <c r="B55" t="s">
        <v>257</v>
      </c>
      <c r="C55" t="s">
        <v>7726</v>
      </c>
      <c r="D55" t="s">
        <v>8003</v>
      </c>
      <c r="E55" s="113">
        <v>38</v>
      </c>
      <c r="F55" s="113">
        <v>17</v>
      </c>
      <c r="I55" s="112">
        <v>9</v>
      </c>
      <c r="K55" s="112">
        <v>9</v>
      </c>
      <c r="M55" s="136">
        <v>1.87</v>
      </c>
      <c r="S55" s="328">
        <v>860</v>
      </c>
      <c r="U55">
        <v>10.8</v>
      </c>
      <c r="Y55" s="136">
        <v>364</v>
      </c>
      <c r="AA55" s="328">
        <v>54025</v>
      </c>
      <c r="AC55" s="136">
        <v>18</v>
      </c>
      <c r="AG55" s="136">
        <v>3.33</v>
      </c>
      <c r="AM55" s="328">
        <v>77</v>
      </c>
      <c r="BS55" s="336">
        <v>47.81</v>
      </c>
      <c r="BU55" s="336">
        <v>20.239999999999998</v>
      </c>
      <c r="BY55" s="136">
        <v>5.49</v>
      </c>
      <c r="CL55" s="136">
        <v>0</v>
      </c>
    </row>
    <row r="56" spans="1:91">
      <c r="A56" s="154" t="s">
        <v>7838</v>
      </c>
      <c r="B56" t="s">
        <v>259</v>
      </c>
      <c r="C56" t="s">
        <v>405</v>
      </c>
      <c r="D56" t="s">
        <v>8001</v>
      </c>
      <c r="E56" s="113">
        <v>26</v>
      </c>
      <c r="F56" s="113">
        <v>16</v>
      </c>
      <c r="I56" s="112">
        <v>7</v>
      </c>
      <c r="K56" s="112">
        <v>9</v>
      </c>
      <c r="M56" s="136">
        <v>2.57</v>
      </c>
      <c r="S56" s="328">
        <v>1079</v>
      </c>
      <c r="U56">
        <v>10.8</v>
      </c>
      <c r="Y56" s="136">
        <v>555</v>
      </c>
      <c r="AA56" s="328">
        <v>68493</v>
      </c>
      <c r="AC56" s="136">
        <v>24.2</v>
      </c>
      <c r="AG56" s="136">
        <v>3.54</v>
      </c>
      <c r="AM56" s="328">
        <v>77</v>
      </c>
      <c r="BS56" s="336">
        <v>44.53</v>
      </c>
      <c r="BU56" s="336">
        <v>22.93</v>
      </c>
      <c r="BY56" s="136">
        <v>7.38</v>
      </c>
      <c r="CL56" s="136">
        <v>0</v>
      </c>
    </row>
    <row r="57" spans="1:91">
      <c r="A57" s="154" t="s">
        <v>7838</v>
      </c>
      <c r="B57" t="s">
        <v>259</v>
      </c>
      <c r="C57" t="s">
        <v>7726</v>
      </c>
      <c r="D57" t="s">
        <v>8003</v>
      </c>
      <c r="E57" s="113">
        <v>48</v>
      </c>
      <c r="F57" s="113">
        <v>19</v>
      </c>
      <c r="I57" s="112">
        <v>7</v>
      </c>
      <c r="K57" s="112">
        <v>9</v>
      </c>
      <c r="M57" s="136">
        <v>2.69</v>
      </c>
      <c r="S57" s="328">
        <v>1166</v>
      </c>
      <c r="U57">
        <v>10.8</v>
      </c>
      <c r="Y57" s="136">
        <v>570</v>
      </c>
      <c r="AA57" s="328">
        <v>76195</v>
      </c>
      <c r="AC57" s="136">
        <v>25.8</v>
      </c>
      <c r="AG57" s="136">
        <v>3.39</v>
      </c>
      <c r="AM57" s="328">
        <v>77</v>
      </c>
      <c r="BS57" s="336">
        <v>45.14</v>
      </c>
      <c r="BU57" s="336">
        <v>22.05</v>
      </c>
      <c r="BY57" s="136">
        <v>5.6</v>
      </c>
      <c r="CL57" s="136">
        <v>0</v>
      </c>
    </row>
    <row r="58" spans="1:91">
      <c r="A58" s="154" t="s">
        <v>7840</v>
      </c>
      <c r="B58" t="s">
        <v>257</v>
      </c>
      <c r="C58" t="s">
        <v>405</v>
      </c>
      <c r="D58" t="s">
        <v>8001</v>
      </c>
      <c r="E58" s="113">
        <v>17</v>
      </c>
      <c r="F58" s="113">
        <v>13</v>
      </c>
      <c r="I58" s="112">
        <v>7</v>
      </c>
      <c r="K58" s="112">
        <v>9</v>
      </c>
      <c r="M58" s="136">
        <v>1.73</v>
      </c>
      <c r="S58" s="328">
        <v>696</v>
      </c>
      <c r="U58">
        <v>10.8</v>
      </c>
      <c r="Y58" s="136">
        <v>404</v>
      </c>
      <c r="AA58" s="328">
        <v>58192</v>
      </c>
      <c r="AC58" s="136">
        <v>16.5</v>
      </c>
      <c r="AG58" s="136">
        <v>2.84</v>
      </c>
      <c r="AM58" s="328">
        <v>80</v>
      </c>
      <c r="BS58" s="336">
        <v>42.16</v>
      </c>
      <c r="BU58" s="336">
        <v>24.48</v>
      </c>
      <c r="BY58" s="136">
        <v>6.27</v>
      </c>
      <c r="CL58" s="136">
        <v>0</v>
      </c>
    </row>
    <row r="59" spans="1:91">
      <c r="A59" s="154" t="s">
        <v>7840</v>
      </c>
      <c r="B59" t="s">
        <v>257</v>
      </c>
      <c r="C59" t="s">
        <v>7726</v>
      </c>
      <c r="D59" t="s">
        <v>8003</v>
      </c>
      <c r="E59" s="113">
        <v>35</v>
      </c>
      <c r="F59" s="113">
        <v>17</v>
      </c>
      <c r="I59" s="112">
        <v>7</v>
      </c>
      <c r="K59" s="112">
        <v>9</v>
      </c>
      <c r="M59" s="136">
        <v>1.55</v>
      </c>
      <c r="S59" s="328">
        <v>689</v>
      </c>
      <c r="U59">
        <v>10.8</v>
      </c>
      <c r="Y59" s="136">
        <v>310</v>
      </c>
      <c r="AA59" s="328">
        <v>47881</v>
      </c>
      <c r="AC59" s="136">
        <v>14.9</v>
      </c>
      <c r="AG59" s="136">
        <v>3.11</v>
      </c>
      <c r="AM59" s="328">
        <v>83</v>
      </c>
      <c r="BS59" s="336">
        <v>46.27</v>
      </c>
      <c r="BU59" s="336">
        <v>20.83</v>
      </c>
      <c r="BY59" s="136">
        <v>5.57</v>
      </c>
      <c r="CL59" s="136">
        <v>0</v>
      </c>
    </row>
    <row r="60" spans="1:91">
      <c r="A60" s="154" t="s">
        <v>7840</v>
      </c>
      <c r="B60" t="s">
        <v>259</v>
      </c>
      <c r="C60" t="s">
        <v>405</v>
      </c>
      <c r="D60" t="s">
        <v>8001</v>
      </c>
      <c r="E60" s="113">
        <v>4</v>
      </c>
      <c r="F60" s="113">
        <v>16</v>
      </c>
      <c r="I60" s="112">
        <v>9</v>
      </c>
      <c r="K60" s="112">
        <v>9</v>
      </c>
      <c r="M60" s="136">
        <v>2.63</v>
      </c>
      <c r="S60" s="328">
        <v>1048</v>
      </c>
      <c r="U60">
        <v>10.8</v>
      </c>
      <c r="Y60" s="136">
        <v>597</v>
      </c>
      <c r="AA60" s="328">
        <v>84505</v>
      </c>
      <c r="AC60" s="136">
        <v>24.9</v>
      </c>
      <c r="AG60" s="136">
        <v>2.95</v>
      </c>
      <c r="AM60" s="328">
        <v>83</v>
      </c>
      <c r="BS60" s="336">
        <v>42.05</v>
      </c>
      <c r="BU60" s="336">
        <v>23.96</v>
      </c>
      <c r="BY60" s="136">
        <v>6.83</v>
      </c>
      <c r="CL60" s="136">
        <v>0</v>
      </c>
    </row>
    <row r="61" spans="1:91">
      <c r="A61" s="154" t="s">
        <v>7840</v>
      </c>
      <c r="B61" t="s">
        <v>259</v>
      </c>
      <c r="C61" t="s">
        <v>7726</v>
      </c>
      <c r="D61" t="s">
        <v>8003</v>
      </c>
      <c r="E61" s="113">
        <v>53</v>
      </c>
      <c r="F61" s="113">
        <v>20</v>
      </c>
      <c r="I61" s="112">
        <v>9</v>
      </c>
      <c r="K61" s="112">
        <v>9</v>
      </c>
      <c r="M61" s="136">
        <v>2.48</v>
      </c>
      <c r="S61" s="328">
        <v>996</v>
      </c>
      <c r="U61">
        <v>10.8</v>
      </c>
      <c r="Y61" s="136">
        <v>597</v>
      </c>
      <c r="AA61" s="328">
        <v>78443</v>
      </c>
      <c r="AC61" s="136">
        <v>23.8</v>
      </c>
      <c r="AG61" s="136">
        <v>3.03</v>
      </c>
      <c r="AM61" s="328">
        <v>77</v>
      </c>
      <c r="BS61" s="336">
        <v>41.87</v>
      </c>
      <c r="BU61" s="336">
        <v>25.12</v>
      </c>
      <c r="BY61" s="136">
        <v>5.75</v>
      </c>
      <c r="CL61" s="136">
        <v>0</v>
      </c>
    </row>
    <row r="62" spans="1:91">
      <c r="A62" s="154" t="s">
        <v>7842</v>
      </c>
      <c r="B62" t="s">
        <v>257</v>
      </c>
      <c r="C62" t="s">
        <v>405</v>
      </c>
      <c r="D62" t="s">
        <v>8001</v>
      </c>
      <c r="E62" s="113">
        <v>6</v>
      </c>
      <c r="F62" s="113">
        <v>14</v>
      </c>
      <c r="I62" s="112">
        <v>9</v>
      </c>
      <c r="K62" s="112">
        <v>9</v>
      </c>
      <c r="M62" s="136">
        <v>2.16</v>
      </c>
      <c r="S62" s="328">
        <v>880</v>
      </c>
      <c r="U62">
        <v>10.8</v>
      </c>
      <c r="Y62" s="136">
        <v>442</v>
      </c>
      <c r="AA62" s="328">
        <v>69731</v>
      </c>
      <c r="AC62" s="136">
        <v>20.5</v>
      </c>
      <c r="AG62" s="136">
        <v>2.94</v>
      </c>
      <c r="AM62" s="328">
        <v>80</v>
      </c>
      <c r="BS62" s="336">
        <v>42.9</v>
      </c>
      <c r="BU62" s="336">
        <v>21.54</v>
      </c>
      <c r="BY62" s="136">
        <v>6.66</v>
      </c>
      <c r="CL62" s="136">
        <v>0</v>
      </c>
    </row>
    <row r="63" spans="1:91">
      <c r="A63" s="154" t="s">
        <v>7842</v>
      </c>
      <c r="B63" t="s">
        <v>257</v>
      </c>
      <c r="C63" t="s">
        <v>7726</v>
      </c>
      <c r="D63" t="s">
        <v>8003</v>
      </c>
      <c r="E63" s="113">
        <v>31</v>
      </c>
      <c r="F63" s="113">
        <v>17</v>
      </c>
      <c r="I63" s="112">
        <v>9</v>
      </c>
      <c r="K63" s="112">
        <v>9</v>
      </c>
      <c r="M63" s="136">
        <v>1.67</v>
      </c>
      <c r="S63" s="328">
        <v>712</v>
      </c>
      <c r="U63">
        <v>10.8</v>
      </c>
      <c r="Y63" s="136">
        <v>333</v>
      </c>
      <c r="AA63" s="328">
        <v>49992</v>
      </c>
      <c r="AC63" s="136">
        <v>15.9</v>
      </c>
      <c r="AG63" s="136">
        <v>3.18</v>
      </c>
      <c r="AM63" s="328">
        <v>83</v>
      </c>
      <c r="BS63" s="336">
        <v>44.73</v>
      </c>
      <c r="BU63" s="336">
        <v>20.95</v>
      </c>
      <c r="BY63" s="136">
        <v>6.38</v>
      </c>
      <c r="CL63" s="136">
        <v>0</v>
      </c>
    </row>
    <row r="64" spans="1:91">
      <c r="A64" s="154" t="s">
        <v>7842</v>
      </c>
      <c r="B64" t="s">
        <v>259</v>
      </c>
      <c r="C64" t="s">
        <v>405</v>
      </c>
      <c r="D64" t="s">
        <v>8001</v>
      </c>
      <c r="E64" s="113">
        <v>16</v>
      </c>
      <c r="F64" s="113">
        <v>15</v>
      </c>
      <c r="I64" s="112">
        <v>9</v>
      </c>
      <c r="K64" s="112">
        <v>9</v>
      </c>
      <c r="M64" s="136">
        <v>2.2400000000000002</v>
      </c>
      <c r="S64" s="328">
        <v>877</v>
      </c>
      <c r="U64">
        <v>10.8</v>
      </c>
      <c r="Y64" s="136">
        <v>514</v>
      </c>
      <c r="AA64" s="328">
        <v>73268</v>
      </c>
      <c r="AC64" s="136">
        <v>21.3</v>
      </c>
      <c r="AG64" s="136">
        <v>2.9</v>
      </c>
      <c r="AM64" s="328">
        <v>80</v>
      </c>
      <c r="BS64" s="336">
        <v>41.25</v>
      </c>
      <c r="BU64" s="336">
        <v>24.17</v>
      </c>
      <c r="BY64" s="136">
        <v>6.73</v>
      </c>
      <c r="CL64" s="136">
        <v>0</v>
      </c>
    </row>
    <row r="65" spans="1:90">
      <c r="A65" s="154" t="s">
        <v>7842</v>
      </c>
      <c r="B65" t="s">
        <v>259</v>
      </c>
      <c r="C65" t="s">
        <v>7726</v>
      </c>
      <c r="D65" t="s">
        <v>8003</v>
      </c>
      <c r="E65" s="113">
        <v>34</v>
      </c>
      <c r="F65" s="113">
        <v>19</v>
      </c>
      <c r="I65" s="112">
        <v>9</v>
      </c>
      <c r="K65" s="112">
        <v>9</v>
      </c>
      <c r="M65" s="136">
        <v>2.77</v>
      </c>
      <c r="S65" s="328">
        <v>1103</v>
      </c>
      <c r="U65">
        <v>10.8</v>
      </c>
      <c r="Y65" s="136">
        <v>615</v>
      </c>
      <c r="AA65" s="328" t="s">
        <v>7709</v>
      </c>
      <c r="AC65" s="136">
        <v>26.4</v>
      </c>
      <c r="AG65" s="136" t="s">
        <v>7709</v>
      </c>
      <c r="AM65" s="328">
        <v>80</v>
      </c>
      <c r="BS65" s="336">
        <v>41.78</v>
      </c>
      <c r="BU65" s="336">
        <v>23.3</v>
      </c>
      <c r="BY65" s="136">
        <v>6.36</v>
      </c>
      <c r="CL65" s="136">
        <v>0</v>
      </c>
    </row>
    <row r="66" spans="1:90">
      <c r="A66" s="154" t="s">
        <v>7844</v>
      </c>
      <c r="B66" t="s">
        <v>257</v>
      </c>
      <c r="C66" t="s">
        <v>405</v>
      </c>
      <c r="D66" t="s">
        <v>8001</v>
      </c>
      <c r="E66" s="113">
        <v>24</v>
      </c>
      <c r="F66" s="113">
        <v>13</v>
      </c>
      <c r="I66" s="112">
        <v>9</v>
      </c>
      <c r="K66" s="112">
        <v>9</v>
      </c>
      <c r="M66" s="136">
        <v>2.4500000000000002</v>
      </c>
      <c r="S66" s="328">
        <v>1039</v>
      </c>
      <c r="U66">
        <v>10.8</v>
      </c>
      <c r="Y66" s="136">
        <v>513</v>
      </c>
      <c r="AA66" s="328">
        <v>69428</v>
      </c>
      <c r="AC66" s="136">
        <v>23</v>
      </c>
      <c r="AG66" s="136">
        <v>3.32</v>
      </c>
      <c r="AM66" s="328">
        <v>77</v>
      </c>
      <c r="BS66" s="336">
        <v>45.1</v>
      </c>
      <c r="BU66" s="336">
        <v>22.25</v>
      </c>
      <c r="BY66" s="136">
        <v>7.56</v>
      </c>
      <c r="CL66" s="136">
        <v>0</v>
      </c>
    </row>
    <row r="67" spans="1:90">
      <c r="A67" s="154" t="s">
        <v>7844</v>
      </c>
      <c r="B67" t="s">
        <v>257</v>
      </c>
      <c r="C67" t="s">
        <v>7726</v>
      </c>
      <c r="D67" t="s">
        <v>8003</v>
      </c>
      <c r="E67" s="113">
        <v>34</v>
      </c>
      <c r="F67" s="113">
        <v>17</v>
      </c>
      <c r="I67" s="112">
        <v>9</v>
      </c>
      <c r="K67" s="112">
        <v>9</v>
      </c>
      <c r="M67" s="136">
        <v>2.0299999999999998</v>
      </c>
      <c r="S67" s="328">
        <v>914</v>
      </c>
      <c r="U67">
        <v>10.8</v>
      </c>
      <c r="Y67" s="136">
        <v>393</v>
      </c>
      <c r="AA67" s="328">
        <v>54782</v>
      </c>
      <c r="AC67" s="136">
        <v>19.399999999999999</v>
      </c>
      <c r="AG67" s="136">
        <v>3.55</v>
      </c>
      <c r="AM67" s="328">
        <v>77</v>
      </c>
      <c r="BS67" s="336">
        <v>46.98</v>
      </c>
      <c r="BU67" s="336">
        <v>20.2</v>
      </c>
      <c r="BY67" s="136">
        <v>5.85</v>
      </c>
      <c r="CL67" s="136">
        <v>0</v>
      </c>
    </row>
    <row r="68" spans="1:90">
      <c r="A68" s="154" t="s">
        <v>7844</v>
      </c>
      <c r="B68" t="s">
        <v>259</v>
      </c>
      <c r="C68" t="s">
        <v>405</v>
      </c>
      <c r="D68" t="s">
        <v>8001</v>
      </c>
      <c r="E68" s="113">
        <v>7</v>
      </c>
      <c r="F68" s="113">
        <v>15</v>
      </c>
      <c r="I68" s="112">
        <v>9</v>
      </c>
      <c r="K68" s="112">
        <v>9</v>
      </c>
      <c r="M68" s="136">
        <v>2.8</v>
      </c>
      <c r="S68" s="328">
        <v>1136</v>
      </c>
      <c r="U68">
        <v>10.8</v>
      </c>
      <c r="Y68" s="136">
        <v>647</v>
      </c>
      <c r="AA68" s="328">
        <v>82452</v>
      </c>
      <c r="AC68" s="136">
        <v>26.7</v>
      </c>
      <c r="AG68" s="136">
        <v>3.24</v>
      </c>
      <c r="AM68" s="328">
        <v>77</v>
      </c>
      <c r="BS68" s="336">
        <v>42.53</v>
      </c>
      <c r="BU68" s="336">
        <v>24.23</v>
      </c>
      <c r="BY68" s="136">
        <v>6.22</v>
      </c>
      <c r="CL68" s="136">
        <v>0</v>
      </c>
    </row>
    <row r="69" spans="1:90">
      <c r="A69" s="154" t="s">
        <v>7844</v>
      </c>
      <c r="B69" t="s">
        <v>259</v>
      </c>
      <c r="C69" t="s">
        <v>7726</v>
      </c>
      <c r="D69" t="s">
        <v>8003</v>
      </c>
      <c r="E69" s="113">
        <v>43</v>
      </c>
      <c r="F69" s="113">
        <v>20</v>
      </c>
      <c r="I69" s="112">
        <v>9</v>
      </c>
      <c r="K69" s="112">
        <v>9</v>
      </c>
      <c r="M69" s="136">
        <v>2.99</v>
      </c>
      <c r="S69" s="328">
        <v>1266</v>
      </c>
      <c r="U69">
        <v>10.8</v>
      </c>
      <c r="Y69" s="136">
        <v>672</v>
      </c>
      <c r="AA69" s="328">
        <v>89013</v>
      </c>
      <c r="AC69" s="136">
        <v>28.6</v>
      </c>
      <c r="AG69" s="136">
        <v>3.22</v>
      </c>
      <c r="AM69" s="328">
        <v>77</v>
      </c>
      <c r="BS69" s="336">
        <v>44.18</v>
      </c>
      <c r="BU69" s="336">
        <v>23.47</v>
      </c>
      <c r="BY69" s="136">
        <v>5.84</v>
      </c>
      <c r="CL69" s="136">
        <v>0</v>
      </c>
    </row>
    <row r="70" spans="1:90">
      <c r="A70" s="154" t="s">
        <v>7846</v>
      </c>
      <c r="B70" t="s">
        <v>257</v>
      </c>
      <c r="C70" t="s">
        <v>405</v>
      </c>
      <c r="D70" t="s">
        <v>8001</v>
      </c>
      <c r="E70" s="113">
        <v>11</v>
      </c>
      <c r="F70" s="113">
        <v>13</v>
      </c>
      <c r="I70" s="112">
        <v>9</v>
      </c>
      <c r="K70" s="112">
        <v>9</v>
      </c>
      <c r="M70" s="136">
        <v>1.97</v>
      </c>
      <c r="S70" s="328">
        <v>851</v>
      </c>
      <c r="U70">
        <v>10.8</v>
      </c>
      <c r="Y70" s="136">
        <v>408</v>
      </c>
      <c r="AA70" s="328">
        <v>66856</v>
      </c>
      <c r="AC70" s="136">
        <v>18.8</v>
      </c>
      <c r="AG70" s="136">
        <v>2.81</v>
      </c>
      <c r="AM70" s="328">
        <v>87</v>
      </c>
      <c r="BS70" s="336">
        <v>45.23</v>
      </c>
      <c r="BU70" s="336">
        <v>21.69</v>
      </c>
      <c r="BY70" s="136">
        <v>6.15</v>
      </c>
      <c r="CL70" s="136">
        <v>0</v>
      </c>
    </row>
    <row r="71" spans="1:90">
      <c r="A71" s="154" t="s">
        <v>7846</v>
      </c>
      <c r="B71" t="s">
        <v>257</v>
      </c>
      <c r="C71" t="s">
        <v>7726</v>
      </c>
      <c r="D71" t="s">
        <v>8003</v>
      </c>
      <c r="E71" s="113">
        <v>54</v>
      </c>
      <c r="F71" s="113">
        <v>17</v>
      </c>
      <c r="I71" s="112">
        <v>9</v>
      </c>
      <c r="K71" s="112">
        <v>9</v>
      </c>
      <c r="M71" s="136">
        <v>1.74</v>
      </c>
      <c r="S71" s="328">
        <v>727</v>
      </c>
      <c r="U71">
        <v>10.8</v>
      </c>
      <c r="Y71" s="136">
        <v>377</v>
      </c>
      <c r="AA71" s="328">
        <v>60040</v>
      </c>
      <c r="AC71" s="136">
        <v>16.7</v>
      </c>
      <c r="AG71" s="136">
        <v>2.78</v>
      </c>
      <c r="AM71" s="328">
        <v>87</v>
      </c>
      <c r="BS71" s="336">
        <v>43.6</v>
      </c>
      <c r="BU71" s="336">
        <v>22.63</v>
      </c>
      <c r="BY71" s="136">
        <v>5.8</v>
      </c>
      <c r="CL71" s="136">
        <v>0</v>
      </c>
    </row>
    <row r="72" spans="1:90">
      <c r="A72" s="154" t="s">
        <v>7846</v>
      </c>
      <c r="B72" t="s">
        <v>259</v>
      </c>
      <c r="C72" t="s">
        <v>405</v>
      </c>
      <c r="D72" t="s">
        <v>8001</v>
      </c>
      <c r="E72" s="113">
        <v>15</v>
      </c>
      <c r="F72" s="113">
        <v>16</v>
      </c>
      <c r="I72" s="112">
        <v>9</v>
      </c>
      <c r="K72" s="112">
        <v>9</v>
      </c>
      <c r="M72" s="136">
        <v>2.52</v>
      </c>
      <c r="S72" s="328">
        <v>988</v>
      </c>
      <c r="U72">
        <v>10.8</v>
      </c>
      <c r="Y72" s="136">
        <v>589</v>
      </c>
      <c r="AA72" s="328">
        <v>89940</v>
      </c>
      <c r="AC72" s="136">
        <v>24</v>
      </c>
      <c r="AG72" s="136">
        <v>2.66</v>
      </c>
      <c r="AM72" s="328">
        <v>87</v>
      </c>
      <c r="BS72" s="336">
        <v>41.26</v>
      </c>
      <c r="BU72" s="336">
        <v>24.61</v>
      </c>
      <c r="BY72" s="136">
        <v>6.57</v>
      </c>
      <c r="CL72" s="136">
        <v>0</v>
      </c>
    </row>
    <row r="73" spans="1:90">
      <c r="A73" s="154" t="s">
        <v>7846</v>
      </c>
      <c r="B73" t="s">
        <v>259</v>
      </c>
      <c r="C73" t="s">
        <v>7726</v>
      </c>
      <c r="D73" t="s">
        <v>8003</v>
      </c>
      <c r="E73" s="113">
        <v>29</v>
      </c>
      <c r="F73" s="113">
        <v>19</v>
      </c>
      <c r="I73" s="112">
        <v>7</v>
      </c>
      <c r="K73" s="112">
        <v>9</v>
      </c>
      <c r="M73" s="136">
        <v>1.69</v>
      </c>
      <c r="S73" s="328">
        <v>661</v>
      </c>
      <c r="U73">
        <v>10.8</v>
      </c>
      <c r="Y73" s="136">
        <v>396</v>
      </c>
      <c r="AA73" s="328">
        <v>55634</v>
      </c>
      <c r="AC73" s="136">
        <v>16.100000000000001</v>
      </c>
      <c r="AG73" s="136">
        <v>2.89</v>
      </c>
      <c r="AM73" s="328">
        <v>87</v>
      </c>
      <c r="BS73" s="336">
        <v>41.15</v>
      </c>
      <c r="BU73" s="336">
        <v>24.67</v>
      </c>
      <c r="BY73" s="136">
        <v>6.62</v>
      </c>
      <c r="CL73" s="136">
        <v>0</v>
      </c>
    </row>
    <row r="74" spans="1:90">
      <c r="A74" s="154" t="s">
        <v>7848</v>
      </c>
      <c r="B74" t="s">
        <v>257</v>
      </c>
      <c r="C74" t="s">
        <v>405</v>
      </c>
      <c r="D74" t="s">
        <v>8001</v>
      </c>
      <c r="E74" s="113">
        <v>27</v>
      </c>
      <c r="F74" s="113">
        <v>13</v>
      </c>
      <c r="I74" s="112">
        <v>9</v>
      </c>
      <c r="K74" s="112">
        <v>9</v>
      </c>
      <c r="M74" s="136">
        <v>2.12</v>
      </c>
      <c r="S74" s="328">
        <v>932</v>
      </c>
      <c r="U74">
        <v>10.8</v>
      </c>
      <c r="Y74" s="136">
        <v>376</v>
      </c>
      <c r="AA74" s="328">
        <v>66669</v>
      </c>
      <c r="AC74" s="136">
        <v>20.100000000000001</v>
      </c>
      <c r="AG74" s="136">
        <v>3.01</v>
      </c>
      <c r="AM74" s="328">
        <v>80</v>
      </c>
      <c r="BS74" s="336">
        <v>46.45</v>
      </c>
      <c r="BU74" s="336">
        <v>18.71</v>
      </c>
      <c r="BY74" s="136">
        <v>6.96</v>
      </c>
      <c r="CL74" s="136">
        <v>0</v>
      </c>
    </row>
    <row r="75" spans="1:90">
      <c r="A75" s="154" t="s">
        <v>7848</v>
      </c>
      <c r="B75" t="s">
        <v>257</v>
      </c>
      <c r="C75" t="s">
        <v>7726</v>
      </c>
      <c r="D75" t="s">
        <v>8003</v>
      </c>
      <c r="E75" s="113">
        <v>40</v>
      </c>
      <c r="F75" s="113">
        <v>18</v>
      </c>
      <c r="I75" s="112">
        <v>9</v>
      </c>
      <c r="K75" s="112">
        <v>9</v>
      </c>
      <c r="M75" s="136">
        <v>2.5</v>
      </c>
      <c r="S75" s="328">
        <v>1073</v>
      </c>
      <c r="U75">
        <v>10.8</v>
      </c>
      <c r="Y75" s="136">
        <v>508</v>
      </c>
      <c r="AA75" s="328">
        <v>78238</v>
      </c>
      <c r="AC75" s="136">
        <v>24</v>
      </c>
      <c r="AG75" s="136">
        <v>3.07</v>
      </c>
      <c r="AM75" s="328">
        <v>83</v>
      </c>
      <c r="BS75" s="336">
        <v>44.74</v>
      </c>
      <c r="BU75" s="336">
        <v>21.16</v>
      </c>
      <c r="BY75" s="136">
        <v>5.69</v>
      </c>
      <c r="CL75" s="136">
        <v>0</v>
      </c>
    </row>
    <row r="76" spans="1:90">
      <c r="A76" s="154" t="s">
        <v>7848</v>
      </c>
      <c r="B76" t="s">
        <v>259</v>
      </c>
      <c r="C76" t="s">
        <v>405</v>
      </c>
      <c r="D76" t="s">
        <v>8001</v>
      </c>
      <c r="E76" s="113">
        <v>4</v>
      </c>
      <c r="F76" s="113">
        <v>15</v>
      </c>
      <c r="I76" s="112">
        <v>9</v>
      </c>
      <c r="K76" s="112">
        <v>9</v>
      </c>
      <c r="M76" s="136">
        <v>2.58</v>
      </c>
      <c r="S76" s="328">
        <v>1041</v>
      </c>
      <c r="U76">
        <v>10.8</v>
      </c>
      <c r="Y76" s="136">
        <v>556</v>
      </c>
      <c r="AA76" s="328">
        <v>86543</v>
      </c>
      <c r="AC76" s="136">
        <v>24.4</v>
      </c>
      <c r="AG76" s="136">
        <v>2.82</v>
      </c>
      <c r="AM76" s="328">
        <v>83</v>
      </c>
      <c r="BS76" s="336">
        <v>42.6</v>
      </c>
      <c r="BU76" s="336">
        <v>22.75</v>
      </c>
      <c r="BY76" s="136">
        <v>6.94</v>
      </c>
      <c r="CL76" s="136">
        <v>0</v>
      </c>
    </row>
    <row r="77" spans="1:90">
      <c r="A77" s="154" t="s">
        <v>7848</v>
      </c>
      <c r="B77" t="s">
        <v>259</v>
      </c>
      <c r="C77" t="s">
        <v>7726</v>
      </c>
      <c r="D77" t="s">
        <v>8003</v>
      </c>
      <c r="E77" s="113">
        <v>35</v>
      </c>
      <c r="F77" s="113">
        <v>20</v>
      </c>
      <c r="I77" s="112">
        <v>9</v>
      </c>
      <c r="K77" s="112">
        <v>9</v>
      </c>
      <c r="M77" s="136">
        <v>1.47</v>
      </c>
      <c r="S77" s="328">
        <v>605</v>
      </c>
      <c r="U77">
        <v>10.8</v>
      </c>
      <c r="Y77" s="136">
        <v>321</v>
      </c>
      <c r="AA77" s="328">
        <v>43424</v>
      </c>
      <c r="AC77" s="136">
        <v>13.9</v>
      </c>
      <c r="AG77" s="136">
        <v>3.21</v>
      </c>
      <c r="AM77" s="328">
        <v>80</v>
      </c>
      <c r="BS77" s="336">
        <v>43.35</v>
      </c>
      <c r="BU77" s="336">
        <v>23.02</v>
      </c>
      <c r="BY77" s="136">
        <v>6.74</v>
      </c>
      <c r="CL77" s="136">
        <v>0</v>
      </c>
    </row>
    <row r="78" spans="1:90">
      <c r="A78" s="154" t="s">
        <v>7850</v>
      </c>
      <c r="B78" t="s">
        <v>257</v>
      </c>
      <c r="C78" t="s">
        <v>405</v>
      </c>
      <c r="D78" t="s">
        <v>8001</v>
      </c>
      <c r="E78" s="113">
        <v>14</v>
      </c>
      <c r="F78" s="113">
        <v>14</v>
      </c>
      <c r="I78" s="112">
        <v>9</v>
      </c>
      <c r="K78" s="112">
        <v>9</v>
      </c>
      <c r="M78" s="136">
        <v>2.38</v>
      </c>
      <c r="S78" s="328">
        <v>940</v>
      </c>
      <c r="U78">
        <v>10.8</v>
      </c>
      <c r="Y78" s="136">
        <v>550</v>
      </c>
      <c r="AA78" s="328">
        <v>84558</v>
      </c>
      <c r="AC78" s="136">
        <v>22.6</v>
      </c>
      <c r="AG78" s="136">
        <v>2.67</v>
      </c>
      <c r="AM78" s="328">
        <v>80</v>
      </c>
      <c r="BS78" s="336">
        <v>41.66</v>
      </c>
      <c r="BU78" s="336">
        <v>24.37</v>
      </c>
      <c r="BY78" s="136">
        <v>6.82</v>
      </c>
      <c r="CL78" s="136">
        <v>0</v>
      </c>
    </row>
    <row r="79" spans="1:90">
      <c r="A79" s="154" t="s">
        <v>7850</v>
      </c>
      <c r="B79" t="s">
        <v>257</v>
      </c>
      <c r="C79" t="s">
        <v>7726</v>
      </c>
      <c r="D79" t="s">
        <v>8003</v>
      </c>
      <c r="E79" s="113">
        <v>39</v>
      </c>
      <c r="F79" s="113">
        <v>17</v>
      </c>
      <c r="I79" s="112">
        <v>9</v>
      </c>
      <c r="K79" s="112">
        <v>9</v>
      </c>
      <c r="M79" s="136">
        <v>2.56</v>
      </c>
      <c r="S79" s="328">
        <v>1086</v>
      </c>
      <c r="U79">
        <v>10.8</v>
      </c>
      <c r="Y79" s="136">
        <v>508</v>
      </c>
      <c r="AA79" s="328">
        <v>89675</v>
      </c>
      <c r="AC79" s="136">
        <v>24.5</v>
      </c>
      <c r="AG79" s="136">
        <v>2.74</v>
      </c>
      <c r="AM79" s="328">
        <v>80</v>
      </c>
      <c r="BS79" s="336">
        <v>44.26</v>
      </c>
      <c r="BU79" s="336">
        <v>20.69</v>
      </c>
      <c r="BY79" s="136">
        <v>5.76</v>
      </c>
      <c r="CL79" s="136">
        <v>0</v>
      </c>
    </row>
    <row r="80" spans="1:90">
      <c r="A80" s="154" t="s">
        <v>7850</v>
      </c>
      <c r="B80" t="s">
        <v>259</v>
      </c>
      <c r="C80" t="s">
        <v>405</v>
      </c>
      <c r="D80" t="s">
        <v>8001</v>
      </c>
      <c r="E80" s="113">
        <v>23</v>
      </c>
      <c r="F80" s="113">
        <v>15</v>
      </c>
      <c r="I80" s="112">
        <v>9</v>
      </c>
      <c r="K80" s="112">
        <v>9</v>
      </c>
      <c r="M80" s="136">
        <v>2.48</v>
      </c>
      <c r="S80" s="328">
        <v>961</v>
      </c>
      <c r="U80">
        <v>10.8</v>
      </c>
      <c r="Y80" s="136">
        <v>571</v>
      </c>
      <c r="AA80" s="328">
        <v>93595</v>
      </c>
      <c r="AC80" s="136">
        <v>23.6</v>
      </c>
      <c r="AG80" s="136">
        <v>2.52</v>
      </c>
      <c r="AM80" s="328">
        <v>80</v>
      </c>
      <c r="BS80" s="336">
        <v>40.79</v>
      </c>
      <c r="BU80" s="336">
        <v>24.25</v>
      </c>
      <c r="BY80" s="136">
        <v>6.62</v>
      </c>
      <c r="CL80" s="136">
        <v>0</v>
      </c>
    </row>
    <row r="81" spans="1:90">
      <c r="A81" s="154" t="s">
        <v>7850</v>
      </c>
      <c r="B81" t="s">
        <v>259</v>
      </c>
      <c r="C81" t="s">
        <v>7726</v>
      </c>
      <c r="D81" t="s">
        <v>8003</v>
      </c>
      <c r="E81" s="113">
        <v>50</v>
      </c>
      <c r="F81" s="113">
        <v>19</v>
      </c>
      <c r="I81" s="112">
        <v>9</v>
      </c>
      <c r="K81" s="112">
        <v>9</v>
      </c>
      <c r="M81" s="136">
        <v>2.65</v>
      </c>
      <c r="S81" s="328">
        <v>1070</v>
      </c>
      <c r="U81">
        <v>10.8</v>
      </c>
      <c r="Y81" s="136">
        <v>573</v>
      </c>
      <c r="AA81" s="328">
        <v>95822</v>
      </c>
      <c r="AC81" s="136">
        <v>25.3</v>
      </c>
      <c r="AG81" s="136">
        <v>2.64</v>
      </c>
      <c r="AM81" s="328">
        <v>80</v>
      </c>
      <c r="BS81" s="336">
        <v>42.28</v>
      </c>
      <c r="BU81" s="336">
        <v>22.63</v>
      </c>
      <c r="BY81" s="136">
        <v>6.12</v>
      </c>
      <c r="CL81" s="136">
        <v>0</v>
      </c>
    </row>
    <row r="82" spans="1:90">
      <c r="A82" s="154" t="s">
        <v>7852</v>
      </c>
      <c r="B82" t="s">
        <v>257</v>
      </c>
      <c r="C82" t="s">
        <v>405</v>
      </c>
      <c r="D82" t="s">
        <v>8001</v>
      </c>
      <c r="E82" s="113">
        <v>25</v>
      </c>
      <c r="F82" s="113">
        <v>14</v>
      </c>
      <c r="I82" s="112">
        <v>9</v>
      </c>
      <c r="K82" s="112">
        <v>9</v>
      </c>
      <c r="M82" s="136">
        <v>2.36</v>
      </c>
      <c r="S82" s="328">
        <v>1000</v>
      </c>
      <c r="U82">
        <v>10.8</v>
      </c>
      <c r="Y82" s="136">
        <v>466</v>
      </c>
      <c r="AA82" s="328">
        <v>68142</v>
      </c>
      <c r="AC82" s="136">
        <v>22.2</v>
      </c>
      <c r="AG82" s="136">
        <v>3.26</v>
      </c>
      <c r="AM82" s="328">
        <v>77</v>
      </c>
      <c r="BS82" s="336">
        <v>44.96</v>
      </c>
      <c r="BU82" s="336">
        <v>20.93</v>
      </c>
      <c r="BY82" s="136">
        <v>7.38</v>
      </c>
      <c r="CL82" s="136">
        <v>0</v>
      </c>
    </row>
    <row r="83" spans="1:90">
      <c r="A83" s="154" t="s">
        <v>7852</v>
      </c>
      <c r="B83" t="s">
        <v>257</v>
      </c>
      <c r="C83" t="s">
        <v>7726</v>
      </c>
      <c r="D83" t="s">
        <v>8003</v>
      </c>
      <c r="E83" s="113">
        <v>52</v>
      </c>
      <c r="F83" s="113">
        <v>18</v>
      </c>
      <c r="I83" s="112">
        <v>9</v>
      </c>
      <c r="K83" s="112">
        <v>9</v>
      </c>
      <c r="M83" s="136">
        <v>2.4500000000000002</v>
      </c>
      <c r="S83" s="328">
        <v>1053</v>
      </c>
      <c r="U83">
        <v>10.8</v>
      </c>
      <c r="Y83" s="136">
        <v>509</v>
      </c>
      <c r="AA83" s="328">
        <v>75747</v>
      </c>
      <c r="AC83" s="136">
        <v>23.5</v>
      </c>
      <c r="AG83" s="136">
        <v>3.1</v>
      </c>
      <c r="AM83" s="328">
        <v>77</v>
      </c>
      <c r="BS83" s="336">
        <v>44.82</v>
      </c>
      <c r="BU83" s="336">
        <v>21.67</v>
      </c>
      <c r="BY83" s="136">
        <v>5.77</v>
      </c>
      <c r="CL83" s="136">
        <v>0</v>
      </c>
    </row>
    <row r="84" spans="1:90">
      <c r="A84" s="154" t="s">
        <v>7852</v>
      </c>
      <c r="B84" t="s">
        <v>259</v>
      </c>
      <c r="C84" t="s">
        <v>405</v>
      </c>
      <c r="D84" t="s">
        <v>8001</v>
      </c>
      <c r="E84" s="113">
        <v>6</v>
      </c>
      <c r="F84" s="113">
        <v>16</v>
      </c>
      <c r="I84" s="112">
        <v>9</v>
      </c>
      <c r="K84" s="112">
        <v>9</v>
      </c>
      <c r="M84" s="136">
        <v>2.59</v>
      </c>
      <c r="S84" s="328">
        <v>1031</v>
      </c>
      <c r="U84">
        <v>10.8</v>
      </c>
      <c r="Y84" s="136">
        <v>589</v>
      </c>
      <c r="AA84" s="328">
        <v>85618</v>
      </c>
      <c r="AC84" s="136">
        <v>24.6</v>
      </c>
      <c r="AG84" s="136">
        <v>2.87</v>
      </c>
      <c r="AM84" s="328">
        <v>77</v>
      </c>
      <c r="BS84" s="336">
        <v>41.92</v>
      </c>
      <c r="BU84" s="336">
        <v>23.96</v>
      </c>
      <c r="BY84" s="136">
        <v>6.66</v>
      </c>
      <c r="CL84" s="136">
        <v>0</v>
      </c>
    </row>
    <row r="85" spans="1:90">
      <c r="A85" s="154" t="s">
        <v>7852</v>
      </c>
      <c r="B85" t="s">
        <v>259</v>
      </c>
      <c r="C85" t="s">
        <v>7726</v>
      </c>
      <c r="D85" t="s">
        <v>8003</v>
      </c>
      <c r="E85" s="113">
        <v>30</v>
      </c>
      <c r="F85" s="113">
        <v>20</v>
      </c>
      <c r="I85" s="112">
        <v>9</v>
      </c>
      <c r="K85" s="112">
        <v>9</v>
      </c>
      <c r="M85" s="136">
        <v>2.64</v>
      </c>
      <c r="S85" s="328">
        <v>1071</v>
      </c>
      <c r="U85">
        <v>10.8</v>
      </c>
      <c r="Y85" s="136">
        <v>594</v>
      </c>
      <c r="AA85" s="328">
        <v>82439</v>
      </c>
      <c r="AC85" s="136">
        <v>25.2</v>
      </c>
      <c r="AG85" s="136">
        <v>3.05</v>
      </c>
      <c r="AM85" s="328">
        <v>77</v>
      </c>
      <c r="BS85" s="336">
        <v>42.57</v>
      </c>
      <c r="BU85" s="336">
        <v>23.6</v>
      </c>
      <c r="BY85" s="136">
        <v>6.32</v>
      </c>
      <c r="CL85" s="136">
        <v>0</v>
      </c>
    </row>
    <row r="86" spans="1:90">
      <c r="A86" s="154" t="s">
        <v>7854</v>
      </c>
      <c r="B86" t="s">
        <v>257</v>
      </c>
      <c r="C86" t="s">
        <v>405</v>
      </c>
      <c r="D86" t="s">
        <v>8001</v>
      </c>
      <c r="E86" s="113">
        <v>21</v>
      </c>
      <c r="F86" s="113">
        <v>14</v>
      </c>
      <c r="I86" s="112">
        <v>7</v>
      </c>
      <c r="K86" s="112">
        <v>9</v>
      </c>
      <c r="M86" s="136">
        <v>1.52</v>
      </c>
      <c r="S86" s="328">
        <v>600</v>
      </c>
      <c r="U86">
        <v>10.8</v>
      </c>
      <c r="Y86" s="136">
        <v>373</v>
      </c>
      <c r="AA86" s="328">
        <v>46826</v>
      </c>
      <c r="AC86" s="136">
        <v>14.7</v>
      </c>
      <c r="AG86" s="136">
        <v>3.14</v>
      </c>
      <c r="AM86" s="328">
        <v>87</v>
      </c>
      <c r="BS86" s="336">
        <v>40.770000000000003</v>
      </c>
      <c r="BU86" s="336">
        <v>25.38</v>
      </c>
      <c r="BY86" s="136">
        <v>4.8899999999999997</v>
      </c>
      <c r="CL86" s="136">
        <v>0</v>
      </c>
    </row>
    <row r="87" spans="1:90">
      <c r="A87" s="154" t="s">
        <v>7854</v>
      </c>
      <c r="B87" t="s">
        <v>257</v>
      </c>
      <c r="C87" t="s">
        <v>7726</v>
      </c>
      <c r="D87" t="s">
        <v>8003</v>
      </c>
      <c r="E87" s="113">
        <v>36</v>
      </c>
      <c r="F87" s="113">
        <v>18</v>
      </c>
      <c r="I87" s="112">
        <v>9</v>
      </c>
      <c r="K87" s="112">
        <v>9</v>
      </c>
      <c r="M87" s="136">
        <v>1.28</v>
      </c>
      <c r="S87" s="328">
        <v>557</v>
      </c>
      <c r="U87">
        <v>10.8</v>
      </c>
      <c r="Y87" s="136">
        <v>270</v>
      </c>
      <c r="AA87" s="328">
        <v>41498</v>
      </c>
      <c r="AC87" s="136">
        <v>12.5</v>
      </c>
      <c r="AG87" s="136">
        <v>3</v>
      </c>
      <c r="AM87" s="328">
        <v>87</v>
      </c>
      <c r="BS87" s="336">
        <v>44.72</v>
      </c>
      <c r="BU87" s="336">
        <v>21.67</v>
      </c>
      <c r="BY87" s="136">
        <v>4.3499999999999996</v>
      </c>
      <c r="CL87" s="136">
        <v>0</v>
      </c>
    </row>
    <row r="88" spans="1:90">
      <c r="A88" s="154" t="s">
        <v>7854</v>
      </c>
      <c r="B88" t="s">
        <v>259</v>
      </c>
      <c r="C88" t="s">
        <v>405</v>
      </c>
      <c r="D88" t="s">
        <v>8001</v>
      </c>
      <c r="E88" s="113">
        <v>9</v>
      </c>
      <c r="F88" s="113">
        <v>15</v>
      </c>
      <c r="I88" s="112">
        <v>9</v>
      </c>
      <c r="K88" s="112">
        <v>9</v>
      </c>
      <c r="M88" s="136">
        <v>1.81</v>
      </c>
      <c r="S88" s="328">
        <v>727</v>
      </c>
      <c r="U88">
        <v>10.8</v>
      </c>
      <c r="Y88" s="136">
        <v>409</v>
      </c>
      <c r="AA88" s="328">
        <v>59333</v>
      </c>
      <c r="AC88" s="136">
        <v>17.2</v>
      </c>
      <c r="AG88" s="136">
        <v>2.9</v>
      </c>
      <c r="AM88" s="328">
        <v>87</v>
      </c>
      <c r="BS88" s="336">
        <v>42.19</v>
      </c>
      <c r="BU88" s="336">
        <v>23.73</v>
      </c>
      <c r="BY88" s="136">
        <v>6.46</v>
      </c>
      <c r="CL88" s="136">
        <v>0</v>
      </c>
    </row>
    <row r="89" spans="1:90">
      <c r="A89" s="154" t="s">
        <v>7854</v>
      </c>
      <c r="B89" t="s">
        <v>259</v>
      </c>
      <c r="C89" t="s">
        <v>7726</v>
      </c>
      <c r="D89" t="s">
        <v>8003</v>
      </c>
      <c r="E89" s="113">
        <v>39</v>
      </c>
      <c r="F89" s="113">
        <v>20</v>
      </c>
      <c r="I89" s="112">
        <v>9</v>
      </c>
      <c r="K89" s="112">
        <v>9</v>
      </c>
      <c r="M89" s="136">
        <v>2.02</v>
      </c>
      <c r="S89" s="328">
        <v>825</v>
      </c>
      <c r="U89">
        <v>10.8</v>
      </c>
      <c r="Y89" s="136">
        <v>467</v>
      </c>
      <c r="AA89" s="328">
        <v>65308</v>
      </c>
      <c r="AC89" s="136">
        <v>19.399999999999999</v>
      </c>
      <c r="AG89" s="136">
        <v>2.97</v>
      </c>
      <c r="AM89" s="328">
        <v>87</v>
      </c>
      <c r="BS89" s="336">
        <v>42.53</v>
      </c>
      <c r="BU89" s="336">
        <v>24.06</v>
      </c>
      <c r="BY89" s="136">
        <v>5.65</v>
      </c>
      <c r="CL89" s="136">
        <v>0</v>
      </c>
    </row>
    <row r="90" spans="1:90">
      <c r="A90" s="154" t="s">
        <v>7856</v>
      </c>
      <c r="B90" t="s">
        <v>257</v>
      </c>
      <c r="C90" t="s">
        <v>405</v>
      </c>
      <c r="D90" t="s">
        <v>8001</v>
      </c>
      <c r="E90" s="113">
        <v>6</v>
      </c>
      <c r="F90" s="113">
        <v>13</v>
      </c>
      <c r="I90" s="112">
        <v>9</v>
      </c>
      <c r="K90" s="112">
        <v>9</v>
      </c>
      <c r="M90" s="136">
        <v>2.58</v>
      </c>
      <c r="S90" s="328">
        <v>1135</v>
      </c>
      <c r="U90">
        <v>10.8</v>
      </c>
      <c r="Y90" s="136">
        <v>487</v>
      </c>
      <c r="AA90" s="328">
        <v>80900</v>
      </c>
      <c r="AC90" s="136">
        <v>24.6</v>
      </c>
      <c r="AG90" s="136">
        <v>3.04</v>
      </c>
      <c r="AM90" s="328">
        <v>77</v>
      </c>
      <c r="BS90" s="336">
        <v>46.14</v>
      </c>
      <c r="BU90" s="336">
        <v>19.82</v>
      </c>
      <c r="BY90" s="136">
        <v>6.33</v>
      </c>
      <c r="CL90" s="136">
        <v>0</v>
      </c>
    </row>
    <row r="91" spans="1:90">
      <c r="A91" s="154" t="s">
        <v>7856</v>
      </c>
      <c r="B91" t="s">
        <v>257</v>
      </c>
      <c r="C91" t="s">
        <v>7726</v>
      </c>
      <c r="D91" t="s">
        <v>8003</v>
      </c>
      <c r="E91" s="113">
        <v>38</v>
      </c>
      <c r="F91" s="113">
        <v>18</v>
      </c>
      <c r="I91" s="112">
        <v>9</v>
      </c>
      <c r="K91" s="112">
        <v>9</v>
      </c>
      <c r="M91" s="136">
        <v>2.7</v>
      </c>
      <c r="S91" s="328">
        <v>1170</v>
      </c>
      <c r="U91">
        <v>10.8</v>
      </c>
      <c r="Y91" s="136">
        <v>541</v>
      </c>
      <c r="AA91" s="328">
        <v>88444</v>
      </c>
      <c r="AC91" s="136">
        <v>25.9</v>
      </c>
      <c r="AG91" s="136">
        <v>2.93</v>
      </c>
      <c r="AM91" s="328">
        <v>77</v>
      </c>
      <c r="BS91" s="336">
        <v>45.2</v>
      </c>
      <c r="BU91" s="336">
        <v>20.9</v>
      </c>
      <c r="BY91" s="136">
        <v>5.78</v>
      </c>
      <c r="CL91" s="136">
        <v>0</v>
      </c>
    </row>
    <row r="92" spans="1:90">
      <c r="A92" s="154" t="s">
        <v>7856</v>
      </c>
      <c r="B92" t="s">
        <v>259</v>
      </c>
      <c r="C92" t="s">
        <v>405</v>
      </c>
      <c r="D92" t="s">
        <v>8001</v>
      </c>
      <c r="E92" s="113">
        <v>19</v>
      </c>
      <c r="F92" s="113">
        <v>16</v>
      </c>
      <c r="I92" s="112">
        <v>9</v>
      </c>
      <c r="K92" s="112">
        <v>9</v>
      </c>
      <c r="M92" s="136">
        <v>3.12</v>
      </c>
      <c r="S92" s="328">
        <v>1210</v>
      </c>
      <c r="U92">
        <v>10.8</v>
      </c>
      <c r="Y92" s="136">
        <v>731</v>
      </c>
      <c r="AA92" s="328">
        <v>107624</v>
      </c>
      <c r="AC92" s="136">
        <v>29.7</v>
      </c>
      <c r="AG92" s="136">
        <v>2.76</v>
      </c>
      <c r="AM92" s="328">
        <v>77</v>
      </c>
      <c r="BS92" s="336">
        <v>40.78</v>
      </c>
      <c r="BU92" s="336">
        <v>24.63</v>
      </c>
      <c r="BY92" s="136">
        <v>6.52</v>
      </c>
      <c r="CL92" s="136">
        <v>0</v>
      </c>
    </row>
    <row r="93" spans="1:90">
      <c r="A93" s="154" t="s">
        <v>7856</v>
      </c>
      <c r="B93" t="s">
        <v>259</v>
      </c>
      <c r="C93" t="s">
        <v>7726</v>
      </c>
      <c r="D93" t="s">
        <v>8003</v>
      </c>
      <c r="E93" s="113">
        <v>45</v>
      </c>
      <c r="F93" s="113">
        <v>20</v>
      </c>
      <c r="I93" s="112">
        <v>9</v>
      </c>
      <c r="K93" s="112">
        <v>9</v>
      </c>
      <c r="M93" s="136">
        <v>3.2</v>
      </c>
      <c r="S93" s="328">
        <v>1306</v>
      </c>
      <c r="U93">
        <v>10.8</v>
      </c>
      <c r="Y93" s="136">
        <v>714</v>
      </c>
      <c r="AA93" s="328">
        <v>105828</v>
      </c>
      <c r="AC93" s="136">
        <v>30.6</v>
      </c>
      <c r="AG93" s="136">
        <v>2.89</v>
      </c>
      <c r="AM93" s="328">
        <v>77</v>
      </c>
      <c r="BS93" s="336">
        <v>42.65</v>
      </c>
      <c r="BU93" s="336">
        <v>23.3</v>
      </c>
      <c r="BY93" s="136">
        <v>5.93</v>
      </c>
      <c r="CL93" s="136">
        <v>0</v>
      </c>
    </row>
    <row r="94" spans="1:90">
      <c r="A94" s="154" t="s">
        <v>7858</v>
      </c>
      <c r="B94" t="s">
        <v>257</v>
      </c>
      <c r="C94" t="s">
        <v>405</v>
      </c>
      <c r="D94" t="s">
        <v>8001</v>
      </c>
      <c r="E94" s="113">
        <v>25</v>
      </c>
      <c r="F94" s="113">
        <v>13</v>
      </c>
      <c r="I94" s="112">
        <v>9</v>
      </c>
      <c r="K94" s="112">
        <v>9</v>
      </c>
      <c r="M94" s="136">
        <v>2.74</v>
      </c>
      <c r="S94" s="328">
        <v>1189</v>
      </c>
      <c r="U94">
        <v>10.8</v>
      </c>
      <c r="Y94" s="136">
        <v>503</v>
      </c>
      <c r="AA94" s="328">
        <v>94589</v>
      </c>
      <c r="AC94" s="136">
        <v>25.8</v>
      </c>
      <c r="AG94" s="136">
        <v>2.73</v>
      </c>
      <c r="AM94" s="328">
        <v>77</v>
      </c>
      <c r="BS94" s="336">
        <v>46.01</v>
      </c>
      <c r="BU94" s="336">
        <v>19.440000000000001</v>
      </c>
      <c r="BY94" s="136">
        <v>7.29</v>
      </c>
      <c r="CL94" s="136">
        <v>0</v>
      </c>
    </row>
    <row r="95" spans="1:90">
      <c r="A95" s="154" t="s">
        <v>7858</v>
      </c>
      <c r="B95" t="s">
        <v>257</v>
      </c>
      <c r="C95" t="s">
        <v>7726</v>
      </c>
      <c r="D95" t="s">
        <v>8003</v>
      </c>
      <c r="E95" s="113">
        <v>41</v>
      </c>
      <c r="F95" s="113">
        <v>18</v>
      </c>
      <c r="I95" s="112">
        <v>9</v>
      </c>
      <c r="K95" s="112">
        <v>9</v>
      </c>
      <c r="M95" s="136">
        <v>2.95</v>
      </c>
      <c r="S95" s="328">
        <v>1306</v>
      </c>
      <c r="U95">
        <v>10.8</v>
      </c>
      <c r="Y95" s="136">
        <v>569</v>
      </c>
      <c r="AA95" s="328">
        <v>99602</v>
      </c>
      <c r="AC95" s="136">
        <v>28.3</v>
      </c>
      <c r="AG95" s="136">
        <v>2.84</v>
      </c>
      <c r="AM95" s="328">
        <v>77</v>
      </c>
      <c r="BS95" s="336">
        <v>46.11</v>
      </c>
      <c r="BU95" s="336">
        <v>20.079999999999998</v>
      </c>
      <c r="BY95" s="136">
        <v>5.62</v>
      </c>
      <c r="CL95" s="136">
        <v>0</v>
      </c>
    </row>
    <row r="96" spans="1:90">
      <c r="A96" s="154" t="s">
        <v>7858</v>
      </c>
      <c r="B96" t="s">
        <v>259</v>
      </c>
      <c r="C96" t="s">
        <v>405</v>
      </c>
      <c r="D96" t="s">
        <v>8001</v>
      </c>
      <c r="E96" s="113">
        <v>12</v>
      </c>
      <c r="F96" s="113">
        <v>16</v>
      </c>
      <c r="I96" s="112">
        <v>9</v>
      </c>
      <c r="K96" s="112">
        <v>9</v>
      </c>
      <c r="M96" s="136">
        <v>3.08</v>
      </c>
      <c r="S96" s="328">
        <v>1238</v>
      </c>
      <c r="U96">
        <v>10.8</v>
      </c>
      <c r="Y96" s="136">
        <v>695</v>
      </c>
      <c r="AA96" s="328">
        <v>109796</v>
      </c>
      <c r="AC96" s="136">
        <v>29.3</v>
      </c>
      <c r="AG96" s="136">
        <v>2.67</v>
      </c>
      <c r="AM96" s="328">
        <v>77</v>
      </c>
      <c r="BS96" s="336">
        <v>42.17</v>
      </c>
      <c r="BU96" s="336">
        <v>23.69</v>
      </c>
      <c r="BY96" s="136">
        <v>6.35</v>
      </c>
      <c r="CL96" s="136">
        <v>2</v>
      </c>
    </row>
    <row r="97" spans="1:90">
      <c r="A97" s="154" t="s">
        <v>7858</v>
      </c>
      <c r="B97" t="s">
        <v>259</v>
      </c>
      <c r="C97" t="s">
        <v>7726</v>
      </c>
      <c r="D97" t="s">
        <v>8003</v>
      </c>
      <c r="E97" s="113">
        <v>40</v>
      </c>
      <c r="F97" s="113">
        <v>20</v>
      </c>
      <c r="I97" s="112">
        <v>9</v>
      </c>
      <c r="K97" s="112">
        <v>9</v>
      </c>
      <c r="M97" s="136">
        <v>2.8</v>
      </c>
      <c r="S97" s="328">
        <v>1180</v>
      </c>
      <c r="U97">
        <v>10.8</v>
      </c>
      <c r="Y97" s="136">
        <v>593</v>
      </c>
      <c r="AA97" s="328">
        <v>97462</v>
      </c>
      <c r="AC97" s="136">
        <v>26.9</v>
      </c>
      <c r="AG97" s="136">
        <v>2.76</v>
      </c>
      <c r="AM97" s="328">
        <v>77</v>
      </c>
      <c r="BS97" s="336">
        <v>43.9</v>
      </c>
      <c r="BU97" s="336">
        <v>22.07</v>
      </c>
      <c r="BY97" s="136">
        <v>5.63</v>
      </c>
      <c r="CL97" s="136">
        <v>0</v>
      </c>
    </row>
    <row r="98" spans="1:90">
      <c r="A98" s="154" t="s">
        <v>7860</v>
      </c>
      <c r="B98" t="s">
        <v>257</v>
      </c>
      <c r="C98" t="s">
        <v>405</v>
      </c>
      <c r="D98" t="s">
        <v>8001</v>
      </c>
      <c r="E98" s="113">
        <v>5</v>
      </c>
      <c r="F98" s="113">
        <v>14</v>
      </c>
      <c r="I98" s="112">
        <v>9</v>
      </c>
      <c r="K98" s="112">
        <v>9</v>
      </c>
      <c r="M98" s="136">
        <v>2.61</v>
      </c>
      <c r="S98" s="328">
        <v>1123</v>
      </c>
      <c r="U98">
        <v>10.8</v>
      </c>
      <c r="Y98" s="136">
        <v>509</v>
      </c>
      <c r="AA98" s="328">
        <v>87190</v>
      </c>
      <c r="AC98" s="136">
        <v>24.8</v>
      </c>
      <c r="AG98" s="136">
        <v>2.85</v>
      </c>
      <c r="AM98" s="328">
        <v>77</v>
      </c>
      <c r="BS98" s="336">
        <v>45.22</v>
      </c>
      <c r="BU98" s="336">
        <v>20.47</v>
      </c>
      <c r="BY98" s="136">
        <v>6.45</v>
      </c>
      <c r="CL98" s="136">
        <v>0</v>
      </c>
    </row>
    <row r="99" spans="1:90">
      <c r="A99" s="154" t="s">
        <v>7860</v>
      </c>
      <c r="B99" t="s">
        <v>257</v>
      </c>
      <c r="C99" t="s">
        <v>7726</v>
      </c>
      <c r="D99" t="s">
        <v>8003</v>
      </c>
      <c r="E99" s="113">
        <v>29</v>
      </c>
      <c r="F99" s="113">
        <v>18</v>
      </c>
      <c r="I99" s="112">
        <v>9</v>
      </c>
      <c r="K99" s="112">
        <v>9</v>
      </c>
      <c r="M99" s="136">
        <v>2.59</v>
      </c>
      <c r="S99" s="328">
        <v>1072</v>
      </c>
      <c r="U99">
        <v>10.8</v>
      </c>
      <c r="Y99" s="136">
        <v>544</v>
      </c>
      <c r="AA99" s="328">
        <v>83173</v>
      </c>
      <c r="AC99" s="136">
        <v>24.7</v>
      </c>
      <c r="AG99" s="136">
        <v>2.97</v>
      </c>
      <c r="AM99" s="328">
        <v>77</v>
      </c>
      <c r="BS99" s="336">
        <v>43.48</v>
      </c>
      <c r="BU99" s="336">
        <v>22.05</v>
      </c>
      <c r="BY99" s="136">
        <v>6.42</v>
      </c>
      <c r="CL99" s="136">
        <v>0</v>
      </c>
    </row>
    <row r="100" spans="1:90">
      <c r="A100" s="154" t="s">
        <v>7860</v>
      </c>
      <c r="B100" t="s">
        <v>259</v>
      </c>
      <c r="C100" t="s">
        <v>405</v>
      </c>
      <c r="D100" t="s">
        <v>8001</v>
      </c>
      <c r="E100" s="113">
        <v>15</v>
      </c>
      <c r="F100" s="113">
        <v>15</v>
      </c>
      <c r="I100" s="112">
        <v>9</v>
      </c>
      <c r="K100" s="112">
        <v>9</v>
      </c>
      <c r="M100" s="136">
        <v>2.66</v>
      </c>
      <c r="S100" s="328">
        <v>1040</v>
      </c>
      <c r="U100">
        <v>10.8</v>
      </c>
      <c r="Y100" s="136">
        <v>613</v>
      </c>
      <c r="AA100" s="328">
        <v>87101</v>
      </c>
      <c r="AC100" s="136">
        <v>25.3</v>
      </c>
      <c r="AG100" s="136">
        <v>2.9</v>
      </c>
      <c r="AM100" s="328">
        <v>80</v>
      </c>
      <c r="BS100" s="336">
        <v>41.16</v>
      </c>
      <c r="BU100" s="336">
        <v>24.28</v>
      </c>
      <c r="BY100" s="136">
        <v>6.68</v>
      </c>
      <c r="CL100" s="136">
        <v>3</v>
      </c>
    </row>
    <row r="101" spans="1:90">
      <c r="A101" s="154" t="s">
        <v>7860</v>
      </c>
      <c r="B101" t="s">
        <v>259</v>
      </c>
      <c r="C101" t="s">
        <v>7726</v>
      </c>
      <c r="D101" t="s">
        <v>8003</v>
      </c>
      <c r="E101" s="113">
        <v>30</v>
      </c>
      <c r="F101" s="113">
        <v>19</v>
      </c>
      <c r="I101" s="112">
        <v>9</v>
      </c>
      <c r="K101" s="112">
        <v>9</v>
      </c>
      <c r="M101" s="136">
        <v>2.11</v>
      </c>
      <c r="S101" s="328">
        <v>872</v>
      </c>
      <c r="U101">
        <v>10.8</v>
      </c>
      <c r="Y101" s="136">
        <v>454</v>
      </c>
      <c r="AA101" s="328">
        <v>66934</v>
      </c>
      <c r="AC101" s="136">
        <v>20.100000000000001</v>
      </c>
      <c r="AG101" s="136">
        <v>3</v>
      </c>
      <c r="AM101" s="328">
        <v>80</v>
      </c>
      <c r="BS101" s="336">
        <v>43.44</v>
      </c>
      <c r="BU101" s="336">
        <v>22.64</v>
      </c>
      <c r="BY101" s="136">
        <v>6.49</v>
      </c>
      <c r="CL101" s="136">
        <v>0</v>
      </c>
    </row>
    <row r="102" spans="1:90">
      <c r="A102" s="154" t="s">
        <v>7862</v>
      </c>
      <c r="B102" t="s">
        <v>257</v>
      </c>
      <c r="C102" t="s">
        <v>405</v>
      </c>
      <c r="D102" t="s">
        <v>8001</v>
      </c>
      <c r="E102" s="113">
        <v>14</v>
      </c>
      <c r="F102" s="113">
        <v>13</v>
      </c>
      <c r="I102" s="112">
        <v>9</v>
      </c>
      <c r="K102" s="112">
        <v>9</v>
      </c>
      <c r="M102" s="136">
        <v>2.73</v>
      </c>
      <c r="S102" s="328">
        <v>1150</v>
      </c>
      <c r="U102">
        <v>10.8</v>
      </c>
      <c r="Y102" s="136">
        <v>554</v>
      </c>
      <c r="AA102" s="328">
        <v>91012</v>
      </c>
      <c r="AC102" s="136">
        <v>26</v>
      </c>
      <c r="AG102" s="136">
        <v>2.86</v>
      </c>
      <c r="AM102" s="328">
        <v>69</v>
      </c>
      <c r="BS102" s="336">
        <v>44.22</v>
      </c>
      <c r="BU102" s="336">
        <v>21.28</v>
      </c>
      <c r="BY102" s="136">
        <v>6.33</v>
      </c>
      <c r="CL102" s="136">
        <v>0</v>
      </c>
    </row>
    <row r="103" spans="1:90">
      <c r="A103" s="154" t="s">
        <v>7862</v>
      </c>
      <c r="B103" t="s">
        <v>257</v>
      </c>
      <c r="C103" t="s">
        <v>7726</v>
      </c>
      <c r="D103" t="s">
        <v>8003</v>
      </c>
      <c r="E103" s="113">
        <v>50</v>
      </c>
      <c r="F103" s="113">
        <v>18</v>
      </c>
      <c r="I103" s="112">
        <v>9</v>
      </c>
      <c r="K103" s="112">
        <v>9</v>
      </c>
      <c r="M103" s="136">
        <v>2.7</v>
      </c>
      <c r="S103" s="328">
        <v>1205</v>
      </c>
      <c r="U103">
        <v>10.8</v>
      </c>
      <c r="Y103" s="136">
        <v>513</v>
      </c>
      <c r="AA103" s="328">
        <v>85203</v>
      </c>
      <c r="AC103" s="136">
        <v>26</v>
      </c>
      <c r="AG103" s="136">
        <v>3.05</v>
      </c>
      <c r="AM103" s="328">
        <v>73</v>
      </c>
      <c r="BS103" s="336">
        <v>46.43</v>
      </c>
      <c r="BU103" s="336">
        <v>19.78</v>
      </c>
      <c r="BY103" s="136">
        <v>5.53</v>
      </c>
      <c r="CL103" s="136">
        <v>0</v>
      </c>
    </row>
    <row r="104" spans="1:90">
      <c r="A104" s="154" t="s">
        <v>7862</v>
      </c>
      <c r="B104" t="s">
        <v>259</v>
      </c>
      <c r="C104" t="s">
        <v>405</v>
      </c>
      <c r="D104" t="s">
        <v>8001</v>
      </c>
      <c r="E104" s="113">
        <v>24</v>
      </c>
      <c r="F104" s="113">
        <v>16</v>
      </c>
      <c r="I104" s="112">
        <v>9</v>
      </c>
      <c r="K104" s="112">
        <v>9</v>
      </c>
      <c r="M104" s="136">
        <v>3.38</v>
      </c>
      <c r="S104" s="328">
        <v>1353</v>
      </c>
      <c r="U104">
        <v>10.8</v>
      </c>
      <c r="Y104" s="136">
        <v>724</v>
      </c>
      <c r="AA104" s="328">
        <v>107255</v>
      </c>
      <c r="AC104" s="136">
        <v>31.7</v>
      </c>
      <c r="AG104" s="136">
        <v>2.95</v>
      </c>
      <c r="AM104" s="328">
        <v>73</v>
      </c>
      <c r="BS104" s="336">
        <v>42.7</v>
      </c>
      <c r="BU104" s="336">
        <v>22.87</v>
      </c>
      <c r="BY104" s="136">
        <v>7.89</v>
      </c>
      <c r="CL104" s="136">
        <v>0</v>
      </c>
    </row>
    <row r="105" spans="1:90">
      <c r="A105" s="154" t="s">
        <v>7862</v>
      </c>
      <c r="B105" t="s">
        <v>259</v>
      </c>
      <c r="C105" t="s">
        <v>7726</v>
      </c>
      <c r="D105" t="s">
        <v>8003</v>
      </c>
      <c r="E105" s="113">
        <v>29</v>
      </c>
      <c r="F105" s="113">
        <v>20</v>
      </c>
      <c r="I105" s="112">
        <v>9</v>
      </c>
      <c r="K105" s="112">
        <v>9</v>
      </c>
      <c r="M105" s="136">
        <v>2.8</v>
      </c>
      <c r="S105" s="328">
        <v>1132</v>
      </c>
      <c r="U105">
        <v>10.8</v>
      </c>
      <c r="Y105" s="136">
        <v>624</v>
      </c>
      <c r="AA105" s="328">
        <v>88841</v>
      </c>
      <c r="AC105" s="136">
        <v>26.7</v>
      </c>
      <c r="AG105" s="136">
        <v>3</v>
      </c>
      <c r="AM105" s="328">
        <v>69</v>
      </c>
      <c r="BS105" s="336">
        <v>42.48</v>
      </c>
      <c r="BU105" s="336">
        <v>23.42</v>
      </c>
      <c r="BY105" s="136">
        <v>6.43</v>
      </c>
      <c r="CL105" s="136">
        <v>0</v>
      </c>
    </row>
    <row r="106" spans="1:90">
      <c r="A106" s="154" t="s">
        <v>7864</v>
      </c>
      <c r="B106" t="s">
        <v>257</v>
      </c>
      <c r="C106" t="s">
        <v>405</v>
      </c>
      <c r="D106" t="s">
        <v>8001</v>
      </c>
      <c r="E106" s="113">
        <v>24</v>
      </c>
      <c r="F106" s="113">
        <v>14</v>
      </c>
      <c r="I106" s="112">
        <v>9</v>
      </c>
      <c r="K106" s="112">
        <v>9</v>
      </c>
      <c r="M106" s="136">
        <v>2.33</v>
      </c>
      <c r="S106" s="328">
        <v>939</v>
      </c>
      <c r="U106">
        <v>10.8</v>
      </c>
      <c r="Y106" s="136">
        <v>473</v>
      </c>
      <c r="AA106" s="328">
        <v>70627</v>
      </c>
      <c r="AC106" s="136">
        <v>21.8</v>
      </c>
      <c r="AG106" s="136">
        <v>3.09</v>
      </c>
      <c r="AM106" s="328">
        <v>73</v>
      </c>
      <c r="BS106" s="336">
        <v>42.98</v>
      </c>
      <c r="BU106" s="336">
        <v>21.65</v>
      </c>
      <c r="BY106" s="136">
        <v>7.88</v>
      </c>
      <c r="CL106" s="136">
        <v>0</v>
      </c>
    </row>
    <row r="107" spans="1:90">
      <c r="A107" s="154" t="s">
        <v>7864</v>
      </c>
      <c r="B107" t="s">
        <v>257</v>
      </c>
      <c r="C107" t="s">
        <v>7726</v>
      </c>
      <c r="D107" t="s">
        <v>8003</v>
      </c>
      <c r="E107" s="113">
        <v>52</v>
      </c>
      <c r="F107" s="113">
        <v>17</v>
      </c>
      <c r="I107" s="112">
        <v>9</v>
      </c>
      <c r="K107" s="112">
        <v>9</v>
      </c>
      <c r="M107" s="136">
        <v>1.78</v>
      </c>
      <c r="S107" s="328">
        <v>765</v>
      </c>
      <c r="U107">
        <v>10.8</v>
      </c>
      <c r="Y107" s="136">
        <v>353</v>
      </c>
      <c r="AA107" s="328">
        <v>53268</v>
      </c>
      <c r="AC107" s="136">
        <v>17</v>
      </c>
      <c r="AG107" s="136">
        <v>3.2</v>
      </c>
      <c r="AM107" s="328">
        <v>73</v>
      </c>
      <c r="BS107" s="336">
        <v>44.87</v>
      </c>
      <c r="BU107" s="336">
        <v>20.69</v>
      </c>
      <c r="BY107" s="136">
        <v>5.9</v>
      </c>
      <c r="CL107" s="136">
        <v>0</v>
      </c>
    </row>
    <row r="108" spans="1:90">
      <c r="A108" s="154" t="s">
        <v>7864</v>
      </c>
      <c r="B108" t="s">
        <v>259</v>
      </c>
      <c r="C108" t="s">
        <v>405</v>
      </c>
      <c r="D108" t="s">
        <v>8001</v>
      </c>
      <c r="E108" s="113">
        <v>3</v>
      </c>
      <c r="F108" s="113">
        <v>16</v>
      </c>
      <c r="I108" s="112">
        <v>9</v>
      </c>
      <c r="K108" s="112">
        <v>9</v>
      </c>
      <c r="M108" s="136">
        <v>2.4300000000000002</v>
      </c>
      <c r="S108" s="328">
        <v>969</v>
      </c>
      <c r="U108">
        <v>10.8</v>
      </c>
      <c r="Y108" s="136">
        <v>525</v>
      </c>
      <c r="AA108" s="328">
        <v>77864</v>
      </c>
      <c r="AC108" s="136">
        <v>23</v>
      </c>
      <c r="AG108" s="136">
        <v>2.95</v>
      </c>
      <c r="AM108" s="328">
        <v>73</v>
      </c>
      <c r="BS108" s="336">
        <v>42.22</v>
      </c>
      <c r="BU108" s="336">
        <v>22.89</v>
      </c>
      <c r="BY108" s="136">
        <v>7.17</v>
      </c>
      <c r="CL108" s="136">
        <v>0</v>
      </c>
    </row>
    <row r="109" spans="1:90">
      <c r="A109" s="154" t="s">
        <v>7864</v>
      </c>
      <c r="B109" t="s">
        <v>259</v>
      </c>
      <c r="C109" t="s">
        <v>7726</v>
      </c>
      <c r="D109" t="s">
        <v>8003</v>
      </c>
      <c r="E109" s="113">
        <v>51</v>
      </c>
      <c r="F109" s="113">
        <v>19</v>
      </c>
      <c r="I109" s="112">
        <v>9</v>
      </c>
      <c r="K109" s="112">
        <v>9</v>
      </c>
      <c r="M109" s="136">
        <v>2.52</v>
      </c>
      <c r="S109" s="328">
        <v>1025</v>
      </c>
      <c r="U109">
        <v>10.8</v>
      </c>
      <c r="Y109" s="136">
        <v>552</v>
      </c>
      <c r="AA109" s="328">
        <v>78211</v>
      </c>
      <c r="AC109" s="136">
        <v>24.3</v>
      </c>
      <c r="AG109" s="136">
        <v>3.1</v>
      </c>
      <c r="AM109" s="328">
        <v>77</v>
      </c>
      <c r="BS109" s="336">
        <v>42.26</v>
      </c>
      <c r="BU109" s="336">
        <v>22.74</v>
      </c>
      <c r="BY109" s="136">
        <v>5.38</v>
      </c>
      <c r="CL109" s="136">
        <v>0</v>
      </c>
    </row>
    <row r="110" spans="1:90">
      <c r="A110" s="154" t="s">
        <v>7866</v>
      </c>
      <c r="B110" t="s">
        <v>257</v>
      </c>
      <c r="C110" t="s">
        <v>405</v>
      </c>
      <c r="D110" t="s">
        <v>8001</v>
      </c>
      <c r="E110" s="113">
        <v>26</v>
      </c>
      <c r="F110" s="113">
        <v>13</v>
      </c>
      <c r="I110" s="112">
        <v>9</v>
      </c>
      <c r="K110" s="112">
        <v>9</v>
      </c>
      <c r="M110" s="136">
        <v>2.2999999999999998</v>
      </c>
      <c r="S110" s="328">
        <v>1005</v>
      </c>
      <c r="U110">
        <v>10.8</v>
      </c>
      <c r="Y110" s="136">
        <v>408</v>
      </c>
      <c r="AA110" s="328">
        <v>70336</v>
      </c>
      <c r="AC110" s="136">
        <v>21.7</v>
      </c>
      <c r="AG110" s="136">
        <v>3.08</v>
      </c>
      <c r="AM110" s="328">
        <v>73</v>
      </c>
      <c r="BS110" s="336">
        <v>46.34</v>
      </c>
      <c r="BU110" s="336">
        <v>18.84</v>
      </c>
      <c r="BY110" s="136">
        <v>7.37</v>
      </c>
      <c r="CL110" s="136">
        <v>0</v>
      </c>
    </row>
    <row r="111" spans="1:90">
      <c r="A111" s="154" t="s">
        <v>7866</v>
      </c>
      <c r="B111" t="s">
        <v>257</v>
      </c>
      <c r="C111" t="s">
        <v>7726</v>
      </c>
      <c r="D111" t="s">
        <v>8003</v>
      </c>
      <c r="E111" s="113">
        <v>32</v>
      </c>
      <c r="F111" s="113">
        <v>17</v>
      </c>
      <c r="I111" s="112">
        <v>9</v>
      </c>
      <c r="K111" s="112">
        <v>9</v>
      </c>
      <c r="M111" s="136">
        <v>1.76</v>
      </c>
      <c r="S111" s="328">
        <v>777</v>
      </c>
      <c r="U111">
        <v>10.8</v>
      </c>
      <c r="Y111" s="136">
        <v>325</v>
      </c>
      <c r="AA111" s="328">
        <v>52031</v>
      </c>
      <c r="AC111" s="136">
        <v>16.899999999999999</v>
      </c>
      <c r="AG111" s="136">
        <v>3.24</v>
      </c>
      <c r="AM111" s="328">
        <v>73</v>
      </c>
      <c r="BS111" s="336">
        <v>46.08</v>
      </c>
      <c r="BU111" s="336">
        <v>19.29</v>
      </c>
      <c r="BY111" s="136">
        <v>5.9</v>
      </c>
      <c r="CL111" s="136">
        <v>0</v>
      </c>
    </row>
    <row r="112" spans="1:90">
      <c r="A112" s="154" t="s">
        <v>7866</v>
      </c>
      <c r="B112" t="s">
        <v>259</v>
      </c>
      <c r="C112" t="s">
        <v>405</v>
      </c>
      <c r="D112" t="s">
        <v>8001</v>
      </c>
      <c r="E112" s="113">
        <v>3</v>
      </c>
      <c r="F112" s="113">
        <v>15</v>
      </c>
      <c r="I112" s="112">
        <v>9</v>
      </c>
      <c r="K112" s="112">
        <v>9</v>
      </c>
      <c r="M112" s="136">
        <v>2.91</v>
      </c>
      <c r="S112" s="328">
        <v>1185</v>
      </c>
      <c r="U112">
        <v>10.8</v>
      </c>
      <c r="Y112" s="136">
        <v>608</v>
      </c>
      <c r="AA112" s="328">
        <v>93711</v>
      </c>
      <c r="AC112" s="136">
        <v>27.5</v>
      </c>
      <c r="AG112" s="136">
        <v>2.94</v>
      </c>
      <c r="AM112" s="328">
        <v>73</v>
      </c>
      <c r="BS112" s="336">
        <v>43.06</v>
      </c>
      <c r="BU112" s="336">
        <v>22.1</v>
      </c>
      <c r="BY112" s="136">
        <v>7.03</v>
      </c>
      <c r="CL112" s="136">
        <v>0</v>
      </c>
    </row>
    <row r="113" spans="1:91">
      <c r="A113" s="154" t="s">
        <v>7866</v>
      </c>
      <c r="B113" t="s">
        <v>259</v>
      </c>
      <c r="C113" t="s">
        <v>7726</v>
      </c>
      <c r="D113" t="s">
        <v>8003</v>
      </c>
      <c r="E113" s="113">
        <v>33</v>
      </c>
      <c r="F113" s="113">
        <v>20</v>
      </c>
      <c r="I113" s="112">
        <v>9</v>
      </c>
      <c r="K113" s="112">
        <v>9</v>
      </c>
      <c r="M113" s="136">
        <v>2.35</v>
      </c>
      <c r="S113" s="328">
        <v>959</v>
      </c>
      <c r="U113">
        <v>10.8</v>
      </c>
      <c r="Y113" s="136">
        <v>518</v>
      </c>
      <c r="AA113" s="328">
        <v>67399</v>
      </c>
      <c r="AC113" s="136">
        <v>22.5</v>
      </c>
      <c r="AG113" s="136">
        <v>3.33</v>
      </c>
      <c r="AM113" s="328">
        <v>73</v>
      </c>
      <c r="BS113" s="336">
        <v>42.72</v>
      </c>
      <c r="BU113" s="336">
        <v>23.06</v>
      </c>
      <c r="BY113" s="136">
        <v>6.11</v>
      </c>
      <c r="CL113" s="136">
        <v>0</v>
      </c>
    </row>
    <row r="114" spans="1:91">
      <c r="A114" s="154" t="s">
        <v>7868</v>
      </c>
      <c r="B114" t="s">
        <v>257</v>
      </c>
      <c r="C114" t="s">
        <v>405</v>
      </c>
      <c r="D114" t="s">
        <v>8001</v>
      </c>
      <c r="E114" s="113">
        <v>12</v>
      </c>
      <c r="F114" s="113">
        <v>14</v>
      </c>
      <c r="I114" s="112">
        <v>9</v>
      </c>
      <c r="K114" s="112">
        <v>9</v>
      </c>
      <c r="M114" s="136">
        <v>2.4500000000000002</v>
      </c>
      <c r="S114" s="328">
        <v>1026</v>
      </c>
      <c r="U114">
        <v>10.8</v>
      </c>
      <c r="Y114" s="136">
        <v>522</v>
      </c>
      <c r="AA114" s="328">
        <v>70677</v>
      </c>
      <c r="AC114" s="136">
        <v>23.3</v>
      </c>
      <c r="AG114" s="136">
        <v>3.3</v>
      </c>
      <c r="AM114" s="328">
        <v>87</v>
      </c>
      <c r="BS114" s="336">
        <v>43.99</v>
      </c>
      <c r="BU114" s="336">
        <v>22.39</v>
      </c>
      <c r="BY114" s="136">
        <v>6.42</v>
      </c>
      <c r="CL114" s="136">
        <v>0</v>
      </c>
    </row>
    <row r="115" spans="1:91">
      <c r="A115" s="154" t="s">
        <v>7868</v>
      </c>
      <c r="B115" t="s">
        <v>257</v>
      </c>
      <c r="C115" t="s">
        <v>7726</v>
      </c>
      <c r="D115" t="s">
        <v>8003</v>
      </c>
      <c r="E115" s="113">
        <v>39</v>
      </c>
      <c r="F115" s="113">
        <v>18</v>
      </c>
      <c r="I115" s="112">
        <v>9</v>
      </c>
      <c r="K115" s="112">
        <v>9</v>
      </c>
      <c r="M115" s="136">
        <v>2.29</v>
      </c>
      <c r="S115" s="328">
        <v>994</v>
      </c>
      <c r="U115">
        <v>10.8</v>
      </c>
      <c r="Y115" s="136">
        <v>461</v>
      </c>
      <c r="AA115" s="328">
        <v>67845</v>
      </c>
      <c r="AC115" s="136">
        <v>22</v>
      </c>
      <c r="AG115" s="136">
        <v>3.24</v>
      </c>
      <c r="AM115" s="328">
        <v>87</v>
      </c>
      <c r="BS115" s="336">
        <v>45.23</v>
      </c>
      <c r="BU115" s="336">
        <v>21</v>
      </c>
      <c r="BY115" s="136">
        <v>5.72</v>
      </c>
      <c r="CL115" s="136">
        <v>0</v>
      </c>
    </row>
    <row r="116" spans="1:91" s="347" customFormat="1">
      <c r="A116" s="337" t="s">
        <v>7868</v>
      </c>
      <c r="B116" s="338" t="s">
        <v>259</v>
      </c>
      <c r="C116" s="338" t="s">
        <v>405</v>
      </c>
      <c r="D116" s="338" t="s">
        <v>8001</v>
      </c>
      <c r="E116" s="339"/>
      <c r="F116" s="339"/>
      <c r="G116" s="339"/>
      <c r="H116" s="339"/>
      <c r="I116" s="340"/>
      <c r="J116" s="340"/>
      <c r="K116" s="340"/>
      <c r="L116" s="341"/>
      <c r="M116" s="342"/>
      <c r="N116" s="342"/>
      <c r="O116" s="342"/>
      <c r="P116" s="343"/>
      <c r="Q116" s="343"/>
      <c r="R116" s="343"/>
      <c r="S116" s="344" t="s">
        <v>7709</v>
      </c>
      <c r="T116" s="343"/>
      <c r="U116" s="338">
        <v>10.8</v>
      </c>
      <c r="V116" s="342"/>
      <c r="W116" s="343"/>
      <c r="X116" s="343"/>
      <c r="Y116" s="342" t="s">
        <v>7709</v>
      </c>
      <c r="Z116" s="342"/>
      <c r="AA116" s="344" t="s">
        <v>7709</v>
      </c>
      <c r="AB116" s="343"/>
      <c r="AC116" s="342" t="s">
        <v>7709</v>
      </c>
      <c r="AD116" s="342"/>
      <c r="AE116" s="345"/>
      <c r="AF116" s="343"/>
      <c r="AG116" s="342">
        <v>3.04</v>
      </c>
      <c r="AH116" s="342"/>
      <c r="AI116" s="343"/>
      <c r="AJ116" s="343"/>
      <c r="AK116" s="342"/>
      <c r="AL116" s="342"/>
      <c r="AM116" s="344" t="s">
        <v>7709</v>
      </c>
      <c r="AN116" s="343"/>
      <c r="AO116" s="342"/>
      <c r="AP116" s="342"/>
      <c r="AQ116" s="343"/>
      <c r="AR116" s="343"/>
      <c r="AS116" s="342"/>
      <c r="AT116" s="342"/>
      <c r="AU116" s="343"/>
      <c r="AV116" s="343"/>
      <c r="AW116" s="342"/>
      <c r="AX116" s="342"/>
      <c r="AY116" s="343"/>
      <c r="AZ116" s="343"/>
      <c r="BA116" s="342"/>
      <c r="BB116" s="342"/>
      <c r="BC116" s="343"/>
      <c r="BD116" s="343"/>
      <c r="BE116" s="343"/>
      <c r="BF116" s="343"/>
      <c r="BG116" s="343"/>
      <c r="BH116" s="343"/>
      <c r="BI116" s="343"/>
      <c r="BJ116" s="343"/>
      <c r="BK116" s="343"/>
      <c r="BL116" s="343"/>
      <c r="BM116" s="342"/>
      <c r="BN116" s="342"/>
      <c r="BO116" s="343"/>
      <c r="BP116" s="343"/>
      <c r="BQ116" s="342"/>
      <c r="BR116" s="342"/>
      <c r="BS116" s="346">
        <v>39.67</v>
      </c>
      <c r="BT116" s="343"/>
      <c r="BU116" s="346">
        <v>26.12</v>
      </c>
      <c r="BV116" s="342"/>
      <c r="BW116" s="342"/>
      <c r="BX116" s="342"/>
      <c r="BY116" s="342"/>
      <c r="BZ116" s="342"/>
      <c r="CA116" s="342"/>
      <c r="CB116" s="342"/>
      <c r="CC116" s="342"/>
      <c r="CD116" s="342"/>
      <c r="CE116" s="342"/>
      <c r="CF116" s="342"/>
      <c r="CG116" s="342"/>
      <c r="CH116" s="342"/>
      <c r="CI116" s="342"/>
      <c r="CJ116" s="342"/>
      <c r="CK116" s="342"/>
      <c r="CL116" s="342"/>
      <c r="CM116" s="342"/>
    </row>
    <row r="117" spans="1:91">
      <c r="A117" s="154" t="s">
        <v>7868</v>
      </c>
      <c r="B117" t="s">
        <v>259</v>
      </c>
      <c r="C117" t="s">
        <v>7726</v>
      </c>
      <c r="D117" t="s">
        <v>8003</v>
      </c>
      <c r="E117" s="113">
        <v>37</v>
      </c>
      <c r="F117" s="113">
        <v>20</v>
      </c>
      <c r="I117" s="112">
        <v>9</v>
      </c>
      <c r="K117" s="112">
        <v>9</v>
      </c>
      <c r="M117" s="136">
        <v>1.63</v>
      </c>
      <c r="S117" s="328">
        <v>647</v>
      </c>
      <c r="U117">
        <v>10.8</v>
      </c>
      <c r="Y117" s="136">
        <v>374</v>
      </c>
      <c r="AA117" s="328">
        <v>49919</v>
      </c>
      <c r="AC117" s="136">
        <v>15.5</v>
      </c>
      <c r="AG117" s="136">
        <v>3.1</v>
      </c>
      <c r="AM117" s="328">
        <v>83</v>
      </c>
      <c r="BS117" s="336">
        <v>41.78</v>
      </c>
      <c r="BU117" s="336">
        <v>24.11</v>
      </c>
      <c r="BY117" s="136">
        <v>6.57</v>
      </c>
      <c r="CL117" s="136">
        <v>0</v>
      </c>
    </row>
    <row r="118" spans="1:91">
      <c r="A118" s="154" t="s">
        <v>7870</v>
      </c>
      <c r="B118" t="s">
        <v>257</v>
      </c>
      <c r="C118" t="s">
        <v>405</v>
      </c>
      <c r="D118" t="s">
        <v>8001</v>
      </c>
      <c r="E118" s="113">
        <v>13</v>
      </c>
      <c r="F118" s="113">
        <v>13</v>
      </c>
      <c r="I118" s="112">
        <v>9</v>
      </c>
      <c r="K118" s="112">
        <v>9</v>
      </c>
      <c r="M118" s="136">
        <v>2.19</v>
      </c>
      <c r="S118" s="328">
        <v>928</v>
      </c>
      <c r="U118">
        <v>10.8</v>
      </c>
      <c r="Y118" s="136">
        <v>450</v>
      </c>
      <c r="AA118" s="328">
        <v>74511</v>
      </c>
      <c r="AC118" s="136">
        <v>20.9</v>
      </c>
      <c r="AG118" s="136">
        <v>2.81</v>
      </c>
      <c r="AM118" s="328">
        <v>87</v>
      </c>
      <c r="BS118" s="336">
        <v>44.36</v>
      </c>
      <c r="BU118" s="336">
        <v>21.5</v>
      </c>
      <c r="BY118" s="136">
        <v>6.16</v>
      </c>
      <c r="CL118" s="136">
        <v>0</v>
      </c>
    </row>
    <row r="119" spans="1:91">
      <c r="A119" s="154" t="s">
        <v>7870</v>
      </c>
      <c r="B119" t="s">
        <v>257</v>
      </c>
      <c r="C119" t="s">
        <v>7726</v>
      </c>
      <c r="D119" t="s">
        <v>8003</v>
      </c>
      <c r="E119" s="113">
        <v>37</v>
      </c>
      <c r="F119" s="113">
        <v>18</v>
      </c>
      <c r="I119" s="112">
        <v>9</v>
      </c>
      <c r="K119" s="112">
        <v>9</v>
      </c>
      <c r="M119" s="136">
        <v>2.56</v>
      </c>
      <c r="S119" s="328">
        <v>1130</v>
      </c>
      <c r="U119">
        <v>10.8</v>
      </c>
      <c r="Y119" s="136">
        <v>515</v>
      </c>
      <c r="AA119" s="328">
        <v>84136</v>
      </c>
      <c r="AC119" s="136">
        <v>24.6</v>
      </c>
      <c r="AG119" s="136">
        <v>2.92</v>
      </c>
      <c r="AM119" s="328">
        <v>87</v>
      </c>
      <c r="BS119" s="336">
        <v>45.94</v>
      </c>
      <c r="BU119" s="336">
        <v>20.92</v>
      </c>
      <c r="BY119" s="136">
        <v>5.59</v>
      </c>
      <c r="CL119" s="136">
        <v>0</v>
      </c>
    </row>
    <row r="120" spans="1:91">
      <c r="A120" s="154" t="s">
        <v>7870</v>
      </c>
      <c r="B120" t="s">
        <v>259</v>
      </c>
      <c r="C120" t="s">
        <v>405</v>
      </c>
      <c r="D120" t="s">
        <v>8001</v>
      </c>
      <c r="E120" s="113">
        <v>22</v>
      </c>
      <c r="F120" s="113">
        <v>16</v>
      </c>
      <c r="I120" s="112">
        <v>9</v>
      </c>
      <c r="K120" s="112">
        <v>9</v>
      </c>
      <c r="M120" s="136">
        <v>2.5499999999999998</v>
      </c>
      <c r="S120" s="328">
        <v>1026</v>
      </c>
      <c r="U120">
        <v>10.8</v>
      </c>
      <c r="Y120" s="136">
        <v>582</v>
      </c>
      <c r="AA120" s="328">
        <v>87969</v>
      </c>
      <c r="AC120" s="136">
        <v>24.3</v>
      </c>
      <c r="AG120" s="136">
        <v>2.76</v>
      </c>
      <c r="AM120" s="328">
        <v>87</v>
      </c>
      <c r="BS120" s="336">
        <v>42.21</v>
      </c>
      <c r="BU120" s="336">
        <v>23.96</v>
      </c>
      <c r="BY120" s="136">
        <v>6.36</v>
      </c>
      <c r="CL120" s="136">
        <v>0</v>
      </c>
    </row>
    <row r="121" spans="1:91">
      <c r="A121" s="154" t="s">
        <v>7870</v>
      </c>
      <c r="B121" t="s">
        <v>259</v>
      </c>
      <c r="C121" t="s">
        <v>7726</v>
      </c>
      <c r="D121" t="s">
        <v>8003</v>
      </c>
      <c r="E121" s="113">
        <v>32</v>
      </c>
      <c r="F121" s="113">
        <v>20</v>
      </c>
      <c r="I121" s="112">
        <v>9</v>
      </c>
      <c r="K121" s="112">
        <v>9</v>
      </c>
      <c r="M121" s="136">
        <v>2.8</v>
      </c>
      <c r="S121" s="328">
        <v>1159</v>
      </c>
      <c r="U121">
        <v>10.8</v>
      </c>
      <c r="Y121" s="136">
        <v>620</v>
      </c>
      <c r="AA121" s="328">
        <v>94195</v>
      </c>
      <c r="AC121" s="136">
        <v>26.7</v>
      </c>
      <c r="AG121" s="136">
        <v>2.84</v>
      </c>
      <c r="AM121" s="328">
        <v>87</v>
      </c>
      <c r="BS121" s="336">
        <v>43.39</v>
      </c>
      <c r="BU121" s="336">
        <v>23.21</v>
      </c>
      <c r="BY121" s="136">
        <v>6.22</v>
      </c>
      <c r="CL121" s="136">
        <v>0</v>
      </c>
    </row>
    <row r="122" spans="1:91">
      <c r="A122" s="154" t="s">
        <v>7872</v>
      </c>
      <c r="B122" t="s">
        <v>257</v>
      </c>
      <c r="C122" t="s">
        <v>405</v>
      </c>
      <c r="D122" t="s">
        <v>8001</v>
      </c>
      <c r="E122" s="113">
        <v>17</v>
      </c>
      <c r="F122" s="113">
        <v>14</v>
      </c>
      <c r="I122" s="112">
        <v>9</v>
      </c>
      <c r="K122" s="112">
        <v>9</v>
      </c>
      <c r="M122" s="136">
        <v>2.42</v>
      </c>
      <c r="S122" s="328">
        <v>1023</v>
      </c>
      <c r="U122">
        <v>10.8</v>
      </c>
      <c r="Y122" s="136">
        <v>519</v>
      </c>
      <c r="AA122" s="328">
        <v>76841</v>
      </c>
      <c r="AC122" s="136">
        <v>23.1</v>
      </c>
      <c r="AG122" s="136">
        <v>3</v>
      </c>
      <c r="AM122" s="328">
        <v>80</v>
      </c>
      <c r="BS122" s="336">
        <v>44.33</v>
      </c>
      <c r="BU122" s="336">
        <v>22.48</v>
      </c>
      <c r="BY122" s="136">
        <v>6.32</v>
      </c>
      <c r="CL122" s="136">
        <v>0</v>
      </c>
    </row>
    <row r="123" spans="1:91">
      <c r="A123" s="154" t="s">
        <v>7872</v>
      </c>
      <c r="B123" t="s">
        <v>257</v>
      </c>
      <c r="C123" t="s">
        <v>7726</v>
      </c>
      <c r="D123" t="s">
        <v>8003</v>
      </c>
      <c r="E123" s="113">
        <v>35</v>
      </c>
      <c r="F123" s="113">
        <v>18</v>
      </c>
      <c r="I123" s="112">
        <v>9</v>
      </c>
      <c r="K123" s="112">
        <v>9</v>
      </c>
      <c r="M123" s="136">
        <v>1.94</v>
      </c>
      <c r="S123" s="328">
        <v>793</v>
      </c>
      <c r="U123">
        <v>10.8</v>
      </c>
      <c r="Y123" s="136">
        <v>429</v>
      </c>
      <c r="AA123" s="328">
        <v>57542</v>
      </c>
      <c r="AC123" s="136">
        <v>18.600000000000001</v>
      </c>
      <c r="AG123" s="136">
        <v>3.23</v>
      </c>
      <c r="AM123" s="328">
        <v>83</v>
      </c>
      <c r="BS123" s="336">
        <v>42.6</v>
      </c>
      <c r="BU123" s="336">
        <v>23.06</v>
      </c>
      <c r="BY123" s="136">
        <v>5.73</v>
      </c>
      <c r="CL123" s="136">
        <v>0</v>
      </c>
    </row>
    <row r="124" spans="1:91">
      <c r="A124" s="154" t="s">
        <v>7872</v>
      </c>
      <c r="B124" t="s">
        <v>259</v>
      </c>
      <c r="C124" t="s">
        <v>405</v>
      </c>
      <c r="D124" t="s">
        <v>8001</v>
      </c>
      <c r="E124" s="113">
        <v>8</v>
      </c>
      <c r="F124" s="113">
        <v>15</v>
      </c>
      <c r="I124" s="112">
        <v>9</v>
      </c>
      <c r="K124" s="112">
        <v>9</v>
      </c>
      <c r="M124" s="136">
        <v>2.58</v>
      </c>
      <c r="S124" s="328">
        <v>1122</v>
      </c>
      <c r="U124">
        <v>10.8</v>
      </c>
      <c r="Y124" s="136">
        <v>533</v>
      </c>
      <c r="AA124" s="328">
        <v>82962</v>
      </c>
      <c r="AC124" s="136">
        <v>24.6</v>
      </c>
      <c r="AG124" s="136">
        <v>2.96</v>
      </c>
      <c r="AM124" s="328">
        <v>80</v>
      </c>
      <c r="BS124" s="336">
        <v>45.67</v>
      </c>
      <c r="BU124" s="336">
        <v>21.69</v>
      </c>
      <c r="BY124" s="136">
        <v>6.37</v>
      </c>
      <c r="CL124" s="136">
        <v>0</v>
      </c>
    </row>
    <row r="125" spans="1:91">
      <c r="A125" s="154" t="s">
        <v>7872</v>
      </c>
      <c r="B125" t="s">
        <v>259</v>
      </c>
      <c r="C125" t="s">
        <v>7726</v>
      </c>
      <c r="D125" t="s">
        <v>8003</v>
      </c>
      <c r="E125" s="113">
        <v>44</v>
      </c>
      <c r="F125" s="113">
        <v>20</v>
      </c>
      <c r="I125" s="112">
        <v>9</v>
      </c>
      <c r="K125" s="112">
        <v>9</v>
      </c>
      <c r="M125" s="136">
        <v>2.77</v>
      </c>
      <c r="S125" s="328">
        <v>1194</v>
      </c>
      <c r="U125">
        <v>10.8</v>
      </c>
      <c r="Y125" s="136">
        <v>590</v>
      </c>
      <c r="AA125" s="328">
        <v>87486</v>
      </c>
      <c r="AC125" s="136">
        <v>26.6</v>
      </c>
      <c r="AG125" s="136">
        <v>3.04</v>
      </c>
      <c r="AM125" s="328">
        <v>83</v>
      </c>
      <c r="BS125" s="336">
        <v>44.91</v>
      </c>
      <c r="BU125" s="336">
        <v>22.21</v>
      </c>
      <c r="BY125" s="136">
        <v>5.67</v>
      </c>
      <c r="CL125" s="136">
        <v>0</v>
      </c>
    </row>
    <row r="126" spans="1:91">
      <c r="A126" s="154" t="s">
        <v>7874</v>
      </c>
      <c r="B126" t="s">
        <v>257</v>
      </c>
      <c r="C126" t="s">
        <v>405</v>
      </c>
      <c r="D126" t="s">
        <v>8001</v>
      </c>
      <c r="E126" s="113">
        <v>3</v>
      </c>
      <c r="F126" s="113">
        <v>13</v>
      </c>
      <c r="I126" s="112">
        <v>9</v>
      </c>
      <c r="K126" s="112">
        <v>9</v>
      </c>
      <c r="M126" s="136">
        <v>1.52</v>
      </c>
      <c r="S126" s="328">
        <v>647</v>
      </c>
      <c r="U126">
        <v>10.8</v>
      </c>
      <c r="Y126" s="136">
        <v>290</v>
      </c>
      <c r="AA126" s="328">
        <v>57255</v>
      </c>
      <c r="AC126" s="136">
        <v>14.4</v>
      </c>
      <c r="AG126" s="136">
        <v>2.52</v>
      </c>
      <c r="AM126" s="328">
        <v>80</v>
      </c>
      <c r="BS126" s="336">
        <v>44.84</v>
      </c>
      <c r="BU126" s="336">
        <v>20.11</v>
      </c>
      <c r="BY126" s="136">
        <v>6.71</v>
      </c>
      <c r="CL126" s="136">
        <v>0</v>
      </c>
    </row>
    <row r="127" spans="1:91" s="347" customFormat="1">
      <c r="A127" s="337" t="s">
        <v>7874</v>
      </c>
      <c r="B127" s="338" t="s">
        <v>257</v>
      </c>
      <c r="C127" s="338" t="s">
        <v>7726</v>
      </c>
      <c r="D127" s="338" t="s">
        <v>8003</v>
      </c>
      <c r="E127" s="339"/>
      <c r="F127" s="339"/>
      <c r="G127" s="339"/>
      <c r="H127" s="339"/>
      <c r="I127" s="340"/>
      <c r="J127" s="340"/>
      <c r="K127" s="340"/>
      <c r="L127" s="341"/>
      <c r="M127" s="342"/>
      <c r="N127" s="342"/>
      <c r="O127" s="342"/>
      <c r="P127" s="343"/>
      <c r="Q127" s="343"/>
      <c r="R127" s="343"/>
      <c r="S127" s="344" t="s">
        <v>7709</v>
      </c>
      <c r="T127" s="343"/>
      <c r="U127" s="338">
        <v>10.8</v>
      </c>
      <c r="V127" s="342"/>
      <c r="W127" s="343"/>
      <c r="X127" s="343"/>
      <c r="Y127" s="342" t="s">
        <v>7709</v>
      </c>
      <c r="Z127" s="342"/>
      <c r="AA127" s="344" t="s">
        <v>7709</v>
      </c>
      <c r="AB127" s="343"/>
      <c r="AC127" s="342" t="s">
        <v>7709</v>
      </c>
      <c r="AD127" s="342"/>
      <c r="AE127" s="345"/>
      <c r="AF127" s="343"/>
      <c r="AG127" s="342">
        <v>2.88</v>
      </c>
      <c r="AH127" s="342"/>
      <c r="AI127" s="343"/>
      <c r="AJ127" s="343"/>
      <c r="AK127" s="342"/>
      <c r="AL127" s="342"/>
      <c r="AM127" s="344" t="s">
        <v>7709</v>
      </c>
      <c r="AN127" s="343"/>
      <c r="AO127" s="342"/>
      <c r="AP127" s="342"/>
      <c r="AQ127" s="343"/>
      <c r="AR127" s="343"/>
      <c r="AS127" s="342"/>
      <c r="AT127" s="342"/>
      <c r="AU127" s="343"/>
      <c r="AV127" s="343"/>
      <c r="AW127" s="342"/>
      <c r="AX127" s="342"/>
      <c r="AY127" s="343"/>
      <c r="AZ127" s="343"/>
      <c r="BA127" s="342"/>
      <c r="BB127" s="342"/>
      <c r="BC127" s="343"/>
      <c r="BD127" s="343"/>
      <c r="BE127" s="343"/>
      <c r="BF127" s="343"/>
      <c r="BG127" s="343"/>
      <c r="BH127" s="343"/>
      <c r="BI127" s="343"/>
      <c r="BJ127" s="343"/>
      <c r="BK127" s="343"/>
      <c r="BL127" s="343"/>
      <c r="BM127" s="342"/>
      <c r="BN127" s="342"/>
      <c r="BO127" s="343"/>
      <c r="BP127" s="343"/>
      <c r="BQ127" s="342"/>
      <c r="BR127" s="342"/>
      <c r="BS127" s="346">
        <v>45.04</v>
      </c>
      <c r="BT127" s="343"/>
      <c r="BU127" s="346">
        <v>20.52</v>
      </c>
      <c r="BV127" s="342"/>
      <c r="BW127" s="342"/>
      <c r="BX127" s="342"/>
      <c r="BY127" s="342"/>
      <c r="BZ127" s="342"/>
      <c r="CA127" s="342"/>
      <c r="CB127" s="342"/>
      <c r="CC127" s="342"/>
      <c r="CD127" s="342"/>
      <c r="CE127" s="342"/>
      <c r="CF127" s="342"/>
      <c r="CG127" s="342"/>
      <c r="CH127" s="342"/>
      <c r="CI127" s="342"/>
      <c r="CJ127" s="342"/>
      <c r="CK127" s="342"/>
      <c r="CL127" s="342"/>
      <c r="CM127" s="342"/>
    </row>
    <row r="128" spans="1:91">
      <c r="A128" s="154" t="s">
        <v>7874</v>
      </c>
      <c r="B128" t="s">
        <v>259</v>
      </c>
      <c r="C128" t="s">
        <v>405</v>
      </c>
      <c r="D128" t="s">
        <v>8001</v>
      </c>
      <c r="E128" s="113">
        <v>25</v>
      </c>
      <c r="F128" s="113">
        <v>16</v>
      </c>
      <c r="I128" s="112">
        <v>7</v>
      </c>
      <c r="K128" s="112">
        <v>9</v>
      </c>
      <c r="M128" s="136">
        <v>2.44</v>
      </c>
      <c r="S128" s="328">
        <v>936</v>
      </c>
      <c r="U128">
        <v>10.8</v>
      </c>
      <c r="Y128" s="136">
        <v>545</v>
      </c>
      <c r="AA128" s="328">
        <v>86474</v>
      </c>
      <c r="AC128" s="136">
        <v>22.8</v>
      </c>
      <c r="AG128" s="136">
        <v>2.64</v>
      </c>
      <c r="AM128" s="328">
        <v>83</v>
      </c>
      <c r="BS128" s="336">
        <v>40.97</v>
      </c>
      <c r="BU128" s="336">
        <v>23.83</v>
      </c>
      <c r="BY128" s="136">
        <v>7.98</v>
      </c>
      <c r="CL128" s="136">
        <v>0</v>
      </c>
    </row>
    <row r="129" spans="1:90">
      <c r="A129" s="154" t="s">
        <v>7874</v>
      </c>
      <c r="B129" t="s">
        <v>259</v>
      </c>
      <c r="C129" t="s">
        <v>7726</v>
      </c>
      <c r="D129" t="s">
        <v>8003</v>
      </c>
      <c r="E129" s="113">
        <v>54</v>
      </c>
      <c r="F129" s="113">
        <v>20</v>
      </c>
      <c r="I129" s="112">
        <v>7</v>
      </c>
      <c r="K129" s="112">
        <v>9</v>
      </c>
      <c r="M129" s="136">
        <v>2.34</v>
      </c>
      <c r="S129" s="328">
        <v>940</v>
      </c>
      <c r="U129">
        <v>10.8</v>
      </c>
      <c r="Y129" s="136">
        <v>535</v>
      </c>
      <c r="AA129" s="328">
        <v>87886</v>
      </c>
      <c r="AC129" s="136">
        <v>22.3</v>
      </c>
      <c r="AG129" s="136">
        <v>2.54</v>
      </c>
      <c r="AM129" s="328">
        <v>80</v>
      </c>
      <c r="BS129" s="336">
        <v>42.09</v>
      </c>
      <c r="BU129" s="336">
        <v>23.95</v>
      </c>
      <c r="BY129" s="136">
        <v>6.21</v>
      </c>
      <c r="CL129" s="136">
        <v>0</v>
      </c>
    </row>
    <row r="130" spans="1:90">
      <c r="A130" s="154" t="s">
        <v>7876</v>
      </c>
      <c r="B130" t="s">
        <v>257</v>
      </c>
      <c r="C130" t="s">
        <v>405</v>
      </c>
      <c r="D130" t="s">
        <v>8001</v>
      </c>
      <c r="E130" s="113">
        <v>19</v>
      </c>
      <c r="F130" s="113">
        <v>13</v>
      </c>
      <c r="I130" s="112">
        <v>7</v>
      </c>
      <c r="K130" s="112">
        <v>9</v>
      </c>
      <c r="M130" s="136">
        <v>2.04</v>
      </c>
      <c r="S130" s="328">
        <v>856</v>
      </c>
      <c r="U130">
        <v>10.8</v>
      </c>
      <c r="Y130" s="136">
        <v>442</v>
      </c>
      <c r="AA130" s="328">
        <v>61081</v>
      </c>
      <c r="AC130" s="136">
        <v>19.399999999999999</v>
      </c>
      <c r="AG130" s="136">
        <v>3.18</v>
      </c>
      <c r="AM130" s="328">
        <v>83</v>
      </c>
      <c r="BS130" s="336">
        <v>44.11</v>
      </c>
      <c r="BU130" s="336">
        <v>22.78</v>
      </c>
      <c r="BY130" s="136">
        <v>6.48</v>
      </c>
      <c r="CL130" s="136">
        <v>0</v>
      </c>
    </row>
    <row r="131" spans="1:90">
      <c r="A131" s="154" t="s">
        <v>7876</v>
      </c>
      <c r="B131" t="s">
        <v>257</v>
      </c>
      <c r="C131" t="s">
        <v>7726</v>
      </c>
      <c r="D131" t="s">
        <v>8003</v>
      </c>
      <c r="E131" s="113">
        <v>40</v>
      </c>
      <c r="F131" s="113">
        <v>17</v>
      </c>
      <c r="I131" s="112">
        <v>9</v>
      </c>
      <c r="K131" s="112">
        <v>9</v>
      </c>
      <c r="M131" s="136">
        <v>1.86</v>
      </c>
      <c r="S131" s="328">
        <v>802</v>
      </c>
      <c r="U131">
        <v>10.8</v>
      </c>
      <c r="Y131" s="136">
        <v>386</v>
      </c>
      <c r="AA131" s="328">
        <v>59055</v>
      </c>
      <c r="AC131" s="136">
        <v>17.899999999999999</v>
      </c>
      <c r="AG131" s="136">
        <v>3.03</v>
      </c>
      <c r="AM131" s="328">
        <v>83</v>
      </c>
      <c r="BS131" s="336">
        <v>44.81</v>
      </c>
      <c r="BU131" s="336">
        <v>21.55</v>
      </c>
      <c r="BY131" s="136">
        <v>5.48</v>
      </c>
      <c r="CL131" s="136">
        <v>0</v>
      </c>
    </row>
    <row r="132" spans="1:90">
      <c r="A132" s="154" t="s">
        <v>7876</v>
      </c>
      <c r="B132" t="s">
        <v>259</v>
      </c>
      <c r="C132" t="s">
        <v>405</v>
      </c>
      <c r="D132" t="s">
        <v>8001</v>
      </c>
      <c r="E132" s="113">
        <v>13</v>
      </c>
      <c r="F132" s="113">
        <v>16</v>
      </c>
      <c r="I132" s="112">
        <v>9</v>
      </c>
      <c r="K132" s="112">
        <v>9</v>
      </c>
      <c r="M132" s="136">
        <v>2.5499999999999998</v>
      </c>
      <c r="S132" s="328">
        <v>1011</v>
      </c>
      <c r="U132">
        <v>10.8</v>
      </c>
      <c r="Y132" s="136">
        <v>610</v>
      </c>
      <c r="AA132" s="328">
        <v>77696</v>
      </c>
      <c r="AC132" s="136">
        <v>24.3</v>
      </c>
      <c r="AG132" s="136">
        <v>3.13</v>
      </c>
      <c r="AM132" s="328">
        <v>83</v>
      </c>
      <c r="BS132" s="336">
        <v>41.59</v>
      </c>
      <c r="BU132" s="336">
        <v>25.1</v>
      </c>
      <c r="BY132" s="136">
        <v>6.31</v>
      </c>
      <c r="CL132" s="136">
        <v>0</v>
      </c>
    </row>
    <row r="133" spans="1:90">
      <c r="A133" s="154" t="s">
        <v>7876</v>
      </c>
      <c r="B133" t="s">
        <v>259</v>
      </c>
      <c r="C133" t="s">
        <v>7726</v>
      </c>
      <c r="D133" t="s">
        <v>8003</v>
      </c>
      <c r="E133" s="113">
        <v>46</v>
      </c>
      <c r="F133" s="113">
        <v>20</v>
      </c>
      <c r="I133" s="112">
        <v>9</v>
      </c>
      <c r="K133" s="112">
        <v>9</v>
      </c>
      <c r="M133" s="136">
        <v>2.08</v>
      </c>
      <c r="S133" s="328">
        <v>864</v>
      </c>
      <c r="U133">
        <v>10.8</v>
      </c>
      <c r="Y133" s="136">
        <v>473</v>
      </c>
      <c r="AA133" s="328">
        <v>64258</v>
      </c>
      <c r="AC133" s="136">
        <v>19.899999999999999</v>
      </c>
      <c r="AG133" s="136">
        <v>3.1</v>
      </c>
      <c r="AM133" s="328">
        <v>83</v>
      </c>
      <c r="BS133" s="336">
        <v>43.36</v>
      </c>
      <c r="BU133" s="336">
        <v>23.74</v>
      </c>
      <c r="BY133" s="136">
        <v>5.85</v>
      </c>
      <c r="CL133" s="136">
        <v>0</v>
      </c>
    </row>
    <row r="134" spans="1:90">
      <c r="A134" s="154" t="s">
        <v>7878</v>
      </c>
      <c r="B134" t="s">
        <v>257</v>
      </c>
      <c r="C134" t="s">
        <v>405</v>
      </c>
      <c r="D134" t="s">
        <v>8001</v>
      </c>
      <c r="E134" s="113">
        <v>7</v>
      </c>
      <c r="F134" s="113">
        <v>14</v>
      </c>
      <c r="I134" s="112">
        <v>9</v>
      </c>
      <c r="K134" s="112">
        <v>9</v>
      </c>
      <c r="M134" s="136">
        <v>2.39</v>
      </c>
      <c r="S134" s="328">
        <v>1011</v>
      </c>
      <c r="U134">
        <v>10.8</v>
      </c>
      <c r="Y134" s="136">
        <v>503</v>
      </c>
      <c r="AA134" s="328">
        <v>75792</v>
      </c>
      <c r="AC134" s="136">
        <v>22.7</v>
      </c>
      <c r="AG134" s="136">
        <v>3</v>
      </c>
      <c r="AM134" s="328">
        <v>83</v>
      </c>
      <c r="BS134" s="336">
        <v>44.51</v>
      </c>
      <c r="BU134" s="336">
        <v>22.14</v>
      </c>
      <c r="BY134" s="136">
        <v>6.56</v>
      </c>
      <c r="CL134" s="136">
        <v>0</v>
      </c>
    </row>
    <row r="135" spans="1:90">
      <c r="A135" s="154" t="s">
        <v>7878</v>
      </c>
      <c r="B135" t="s">
        <v>257</v>
      </c>
      <c r="C135" t="s">
        <v>7726</v>
      </c>
      <c r="D135" t="s">
        <v>8003</v>
      </c>
      <c r="E135" s="113">
        <v>46</v>
      </c>
      <c r="F135" s="113">
        <v>17</v>
      </c>
      <c r="I135" s="112">
        <v>9</v>
      </c>
      <c r="K135" s="112">
        <v>9</v>
      </c>
      <c r="M135" s="136">
        <v>2.1800000000000002</v>
      </c>
      <c r="S135" s="328">
        <v>964</v>
      </c>
      <c r="U135">
        <v>10.8</v>
      </c>
      <c r="Y135" s="136">
        <v>440</v>
      </c>
      <c r="AA135" s="328">
        <v>67537</v>
      </c>
      <c r="AC135" s="136">
        <v>20.9</v>
      </c>
      <c r="AG135" s="136">
        <v>3.1</v>
      </c>
      <c r="AM135" s="328">
        <v>83</v>
      </c>
      <c r="BS135" s="336">
        <v>46.09</v>
      </c>
      <c r="BU135" s="336">
        <v>21.02</v>
      </c>
      <c r="BY135" s="136">
        <v>5.73</v>
      </c>
      <c r="CL135" s="136">
        <v>0</v>
      </c>
    </row>
    <row r="136" spans="1:90">
      <c r="A136" s="154" t="s">
        <v>7878</v>
      </c>
      <c r="B136" t="s">
        <v>259</v>
      </c>
      <c r="C136" t="s">
        <v>405</v>
      </c>
      <c r="D136" t="s">
        <v>8001</v>
      </c>
      <c r="E136" s="113">
        <v>17</v>
      </c>
      <c r="F136" s="113">
        <v>15</v>
      </c>
      <c r="I136" s="112">
        <v>9</v>
      </c>
      <c r="K136" s="112">
        <v>9</v>
      </c>
      <c r="M136" s="136">
        <v>2.2799999999999998</v>
      </c>
      <c r="S136" s="328">
        <v>923</v>
      </c>
      <c r="U136">
        <v>10.8</v>
      </c>
      <c r="Y136" s="136">
        <v>516</v>
      </c>
      <c r="AA136" s="328">
        <v>79443</v>
      </c>
      <c r="AC136" s="136">
        <v>21.7</v>
      </c>
      <c r="AG136" s="136">
        <v>2.73</v>
      </c>
      <c r="AM136" s="328">
        <v>87</v>
      </c>
      <c r="BS136" s="336">
        <v>42.55</v>
      </c>
      <c r="BU136" s="336">
        <v>23.78</v>
      </c>
      <c r="BY136" s="136">
        <v>6.48</v>
      </c>
      <c r="CL136" s="136">
        <v>7</v>
      </c>
    </row>
    <row r="137" spans="1:90">
      <c r="A137" s="154" t="s">
        <v>7878</v>
      </c>
      <c r="B137" t="s">
        <v>259</v>
      </c>
      <c r="C137" t="s">
        <v>7726</v>
      </c>
      <c r="D137" t="s">
        <v>8003</v>
      </c>
      <c r="E137" s="113">
        <v>52</v>
      </c>
      <c r="F137" s="113">
        <v>20</v>
      </c>
      <c r="I137" s="112">
        <v>9</v>
      </c>
      <c r="K137" s="112">
        <v>9</v>
      </c>
      <c r="M137" s="136">
        <v>2.5499999999999998</v>
      </c>
      <c r="S137" s="328">
        <v>1070</v>
      </c>
      <c r="U137">
        <v>10.8</v>
      </c>
      <c r="Y137" s="136">
        <v>565</v>
      </c>
      <c r="AA137" s="328">
        <v>79347</v>
      </c>
      <c r="AC137" s="136">
        <v>24.4</v>
      </c>
      <c r="AG137" s="136">
        <v>3.08</v>
      </c>
      <c r="AM137" s="328">
        <v>83</v>
      </c>
      <c r="BS137" s="336">
        <v>43.84</v>
      </c>
      <c r="BU137" s="336">
        <v>23.14</v>
      </c>
      <c r="BY137" s="136">
        <v>5.95</v>
      </c>
      <c r="CL137" s="136">
        <v>0</v>
      </c>
    </row>
    <row r="138" spans="1:90">
      <c r="A138" s="154" t="s">
        <v>7880</v>
      </c>
      <c r="B138" t="s">
        <v>257</v>
      </c>
      <c r="C138" t="s">
        <v>405</v>
      </c>
      <c r="D138" t="s">
        <v>8001</v>
      </c>
      <c r="E138" s="113">
        <v>20</v>
      </c>
      <c r="F138" s="113">
        <v>13</v>
      </c>
      <c r="I138" s="112">
        <v>9</v>
      </c>
      <c r="K138" s="112">
        <v>9</v>
      </c>
      <c r="M138" s="136">
        <v>1.99</v>
      </c>
      <c r="S138" s="328">
        <v>816</v>
      </c>
      <c r="U138">
        <v>10.8</v>
      </c>
      <c r="Y138" s="136">
        <v>413</v>
      </c>
      <c r="AA138" s="328">
        <v>71150</v>
      </c>
      <c r="AC138" s="136">
        <v>18.899999999999999</v>
      </c>
      <c r="AG138" s="136">
        <v>2.66</v>
      </c>
      <c r="AM138" s="328">
        <v>87</v>
      </c>
      <c r="BS138" s="336">
        <v>43.1</v>
      </c>
      <c r="BU138" s="336">
        <v>21.84</v>
      </c>
      <c r="BY138" s="136">
        <v>6.55</v>
      </c>
      <c r="CL138" s="136">
        <v>0</v>
      </c>
    </row>
    <row r="139" spans="1:90">
      <c r="A139" s="154" t="s">
        <v>7880</v>
      </c>
      <c r="B139" t="s">
        <v>257</v>
      </c>
      <c r="C139" t="s">
        <v>7726</v>
      </c>
      <c r="D139" t="s">
        <v>8003</v>
      </c>
      <c r="E139" s="113">
        <v>47</v>
      </c>
      <c r="F139" s="113">
        <v>17</v>
      </c>
      <c r="I139" s="112">
        <v>9</v>
      </c>
      <c r="K139" s="112">
        <v>9</v>
      </c>
      <c r="M139" s="136">
        <v>1.83</v>
      </c>
      <c r="S139" s="328">
        <v>779</v>
      </c>
      <c r="U139">
        <v>10.8</v>
      </c>
      <c r="Y139" s="136">
        <v>373</v>
      </c>
      <c r="AA139" s="328">
        <v>61538</v>
      </c>
      <c r="AC139" s="136">
        <v>17.5</v>
      </c>
      <c r="AG139" s="136">
        <v>2.85</v>
      </c>
      <c r="AM139" s="328">
        <v>87</v>
      </c>
      <c r="BS139" s="336">
        <v>44.47</v>
      </c>
      <c r="BU139" s="336">
        <v>21.29</v>
      </c>
      <c r="BY139" s="136">
        <v>5.86</v>
      </c>
      <c r="CL139" s="136">
        <v>0</v>
      </c>
    </row>
    <row r="140" spans="1:90">
      <c r="A140" s="154" t="s">
        <v>7880</v>
      </c>
      <c r="B140" t="s">
        <v>259</v>
      </c>
      <c r="C140" t="s">
        <v>405</v>
      </c>
      <c r="D140" t="s">
        <v>8001</v>
      </c>
      <c r="E140" s="113">
        <v>9</v>
      </c>
      <c r="F140" s="113">
        <v>16</v>
      </c>
      <c r="I140" s="112">
        <v>9</v>
      </c>
      <c r="K140" s="112">
        <v>9</v>
      </c>
      <c r="M140" s="136">
        <v>2.4300000000000002</v>
      </c>
      <c r="S140" s="328">
        <v>978</v>
      </c>
      <c r="U140">
        <v>10.8</v>
      </c>
      <c r="Y140" s="136">
        <v>525</v>
      </c>
      <c r="AA140" s="328">
        <v>89588</v>
      </c>
      <c r="AC140" s="136">
        <v>23.2</v>
      </c>
      <c r="AG140" s="136">
        <v>2.59</v>
      </c>
      <c r="AM140" s="328">
        <v>87</v>
      </c>
      <c r="BS140" s="336">
        <v>42.21</v>
      </c>
      <c r="BU140" s="336">
        <v>22.65</v>
      </c>
      <c r="BY140" s="136">
        <v>6.29</v>
      </c>
      <c r="CL140" s="136">
        <v>0</v>
      </c>
    </row>
    <row r="141" spans="1:90">
      <c r="A141" s="154" t="s">
        <v>7880</v>
      </c>
      <c r="B141" t="s">
        <v>259</v>
      </c>
      <c r="C141" t="s">
        <v>7726</v>
      </c>
      <c r="D141" t="s">
        <v>8003</v>
      </c>
      <c r="E141" s="113">
        <v>40</v>
      </c>
      <c r="F141" s="113">
        <v>19</v>
      </c>
      <c r="I141" s="112">
        <v>9</v>
      </c>
      <c r="K141" s="112">
        <v>9</v>
      </c>
      <c r="M141" s="136">
        <v>2.33</v>
      </c>
      <c r="S141" s="328">
        <v>992</v>
      </c>
      <c r="U141">
        <v>10.8</v>
      </c>
      <c r="Y141" s="136">
        <v>480</v>
      </c>
      <c r="AA141" s="328">
        <v>79211</v>
      </c>
      <c r="AC141" s="136">
        <v>22.4</v>
      </c>
      <c r="AG141" s="136">
        <v>2.82</v>
      </c>
      <c r="AM141" s="328">
        <v>87</v>
      </c>
      <c r="BS141" s="336">
        <v>44.35</v>
      </c>
      <c r="BU141" s="336">
        <v>21.48</v>
      </c>
      <c r="BY141" s="136">
        <v>5.7</v>
      </c>
      <c r="CL141" s="136">
        <v>0</v>
      </c>
    </row>
    <row r="142" spans="1:90">
      <c r="A142" s="154" t="s">
        <v>7882</v>
      </c>
      <c r="B142" t="s">
        <v>257</v>
      </c>
      <c r="C142" t="s">
        <v>405</v>
      </c>
      <c r="D142" t="s">
        <v>8001</v>
      </c>
      <c r="E142" s="113">
        <v>28</v>
      </c>
      <c r="F142" s="113">
        <v>13</v>
      </c>
      <c r="I142" s="112">
        <v>9</v>
      </c>
      <c r="K142" s="112">
        <v>9</v>
      </c>
      <c r="M142" s="136">
        <v>1.87</v>
      </c>
      <c r="S142" s="328">
        <v>816</v>
      </c>
      <c r="U142">
        <v>10.8</v>
      </c>
      <c r="Y142" s="136">
        <v>358</v>
      </c>
      <c r="AA142" s="328">
        <v>53093</v>
      </c>
      <c r="AC142" s="136">
        <v>17.8</v>
      </c>
      <c r="AG142" s="136">
        <v>3.35</v>
      </c>
      <c r="AM142" s="328">
        <v>80</v>
      </c>
      <c r="BS142" s="336">
        <v>45.9</v>
      </c>
      <c r="BU142" s="336">
        <v>20.12</v>
      </c>
      <c r="BY142" s="136">
        <v>6.52</v>
      </c>
      <c r="CL142" s="136">
        <v>0</v>
      </c>
    </row>
    <row r="143" spans="1:90">
      <c r="A143" s="154" t="s">
        <v>7882</v>
      </c>
      <c r="B143" t="s">
        <v>257</v>
      </c>
      <c r="C143" t="s">
        <v>7726</v>
      </c>
      <c r="D143" t="s">
        <v>8003</v>
      </c>
      <c r="E143" s="113">
        <v>53</v>
      </c>
      <c r="F143" s="113">
        <v>17</v>
      </c>
      <c r="I143" s="112">
        <v>9</v>
      </c>
      <c r="K143" s="112">
        <v>9</v>
      </c>
      <c r="M143" s="136">
        <v>2.0699999999999998</v>
      </c>
      <c r="S143" s="328">
        <v>903</v>
      </c>
      <c r="U143">
        <v>10.8</v>
      </c>
      <c r="Y143" s="136">
        <v>421</v>
      </c>
      <c r="AA143" s="328">
        <v>59367</v>
      </c>
      <c r="AC143" s="136">
        <v>19.8</v>
      </c>
      <c r="AG143" s="136">
        <v>3.34</v>
      </c>
      <c r="AM143" s="328">
        <v>80</v>
      </c>
      <c r="BS143" s="336">
        <v>45.55</v>
      </c>
      <c r="BU143" s="336">
        <v>21.22</v>
      </c>
      <c r="BY143" s="136">
        <v>5.91</v>
      </c>
      <c r="CL143" s="136">
        <v>0</v>
      </c>
    </row>
    <row r="144" spans="1:90">
      <c r="A144" s="154" t="s">
        <v>7882</v>
      </c>
      <c r="B144" t="s">
        <v>259</v>
      </c>
      <c r="C144" t="s">
        <v>405</v>
      </c>
      <c r="D144" t="s">
        <v>8001</v>
      </c>
      <c r="E144" s="113">
        <v>2</v>
      </c>
      <c r="F144" s="113">
        <v>15</v>
      </c>
      <c r="I144" s="112">
        <v>9</v>
      </c>
      <c r="K144" s="112">
        <v>9</v>
      </c>
      <c r="M144" s="136">
        <v>2.39</v>
      </c>
      <c r="S144" s="328">
        <v>992</v>
      </c>
      <c r="U144">
        <v>10.8</v>
      </c>
      <c r="Y144" s="136">
        <v>512</v>
      </c>
      <c r="AA144" s="328">
        <v>68655</v>
      </c>
      <c r="AC144" s="136">
        <v>22.6</v>
      </c>
      <c r="AG144" s="136">
        <v>3.29</v>
      </c>
      <c r="AM144" s="328">
        <v>80</v>
      </c>
      <c r="BS144" s="336">
        <v>43.95</v>
      </c>
      <c r="BU144" s="336">
        <v>22.69</v>
      </c>
      <c r="BY144" s="136">
        <v>7.14</v>
      </c>
      <c r="CL144" s="136">
        <v>0</v>
      </c>
    </row>
    <row r="145" spans="1:90">
      <c r="A145" s="154" t="s">
        <v>7882</v>
      </c>
      <c r="B145" t="s">
        <v>259</v>
      </c>
      <c r="C145" t="s">
        <v>7726</v>
      </c>
      <c r="D145" t="s">
        <v>8003</v>
      </c>
      <c r="E145" s="113">
        <v>50</v>
      </c>
      <c r="F145" s="113">
        <v>20</v>
      </c>
      <c r="I145" s="112">
        <v>9</v>
      </c>
      <c r="K145" s="112">
        <v>9</v>
      </c>
      <c r="M145" s="136">
        <v>2.3199999999999998</v>
      </c>
      <c r="S145" s="328">
        <v>976</v>
      </c>
      <c r="U145">
        <v>10.8</v>
      </c>
      <c r="Y145" s="136">
        <v>515</v>
      </c>
      <c r="AA145" s="328">
        <v>68270</v>
      </c>
      <c r="AC145" s="136">
        <v>22.2</v>
      </c>
      <c r="AG145" s="136">
        <v>3.26</v>
      </c>
      <c r="AM145" s="328">
        <v>80</v>
      </c>
      <c r="BS145" s="336">
        <v>43.9</v>
      </c>
      <c r="BU145" s="336">
        <v>23.17</v>
      </c>
      <c r="BY145" s="136">
        <v>5.83</v>
      </c>
      <c r="CL145" s="136">
        <v>0</v>
      </c>
    </row>
    <row r="146" spans="1:90">
      <c r="A146" s="154" t="s">
        <v>7884</v>
      </c>
      <c r="B146" t="s">
        <v>257</v>
      </c>
      <c r="C146" t="s">
        <v>405</v>
      </c>
      <c r="D146" t="s">
        <v>8001</v>
      </c>
      <c r="E146" s="113">
        <v>16</v>
      </c>
      <c r="F146" s="113">
        <v>14</v>
      </c>
      <c r="I146" s="112">
        <v>9</v>
      </c>
      <c r="K146" s="112">
        <v>9</v>
      </c>
      <c r="M146" s="136">
        <v>2.0299999999999998</v>
      </c>
      <c r="S146" s="328">
        <v>813</v>
      </c>
      <c r="U146">
        <v>10.8</v>
      </c>
      <c r="Y146" s="136">
        <v>470</v>
      </c>
      <c r="AA146" s="328">
        <v>66312</v>
      </c>
      <c r="AC146" s="136">
        <v>19.3</v>
      </c>
      <c r="AG146" s="136">
        <v>2.91</v>
      </c>
      <c r="AM146" s="328">
        <v>77</v>
      </c>
      <c r="BS146" s="336">
        <v>42.12</v>
      </c>
      <c r="BU146" s="336">
        <v>24.33</v>
      </c>
      <c r="BY146" s="136">
        <v>6.57</v>
      </c>
      <c r="CL146" s="136">
        <v>0</v>
      </c>
    </row>
    <row r="147" spans="1:90">
      <c r="A147" s="154" t="s">
        <v>7884</v>
      </c>
      <c r="B147" t="s">
        <v>257</v>
      </c>
      <c r="C147" t="s">
        <v>7726</v>
      </c>
      <c r="D147" t="s">
        <v>8003</v>
      </c>
      <c r="E147" s="113">
        <v>30</v>
      </c>
      <c r="F147" s="113">
        <v>18</v>
      </c>
      <c r="I147" s="112">
        <v>9</v>
      </c>
      <c r="K147" s="112">
        <v>9</v>
      </c>
      <c r="M147" s="136">
        <v>1.56</v>
      </c>
      <c r="S147" s="328">
        <v>676</v>
      </c>
      <c r="U147">
        <v>10.8</v>
      </c>
      <c r="Y147" s="136">
        <v>312</v>
      </c>
      <c r="AA147" s="328">
        <v>51012</v>
      </c>
      <c r="AC147" s="136">
        <v>14.9</v>
      </c>
      <c r="AG147" s="136">
        <v>2.92</v>
      </c>
      <c r="AM147" s="328">
        <v>77</v>
      </c>
      <c r="BS147" s="336">
        <v>45.35</v>
      </c>
      <c r="BU147" s="336">
        <v>20.96</v>
      </c>
      <c r="BY147" s="136">
        <v>6.14</v>
      </c>
      <c r="CL147" s="136">
        <v>0</v>
      </c>
    </row>
    <row r="148" spans="1:90">
      <c r="A148" s="154" t="s">
        <v>7884</v>
      </c>
      <c r="B148" t="s">
        <v>259</v>
      </c>
      <c r="C148" t="s">
        <v>405</v>
      </c>
      <c r="D148" t="s">
        <v>8001</v>
      </c>
      <c r="E148" s="113">
        <v>14</v>
      </c>
      <c r="F148" s="113">
        <v>15</v>
      </c>
      <c r="I148" s="112">
        <v>9</v>
      </c>
      <c r="K148" s="112">
        <v>9</v>
      </c>
      <c r="M148" s="136">
        <v>1.6</v>
      </c>
      <c r="S148" s="328">
        <v>605</v>
      </c>
      <c r="U148">
        <v>10.8</v>
      </c>
      <c r="Y148" s="136">
        <v>392</v>
      </c>
      <c r="AA148" s="328">
        <v>51540</v>
      </c>
      <c r="AC148" s="136">
        <v>15.2</v>
      </c>
      <c r="AG148" s="136">
        <v>2.95</v>
      </c>
      <c r="AM148" s="328">
        <v>80</v>
      </c>
      <c r="BS148" s="336">
        <v>39.83</v>
      </c>
      <c r="BU148" s="336">
        <v>25.79</v>
      </c>
      <c r="BY148" s="136">
        <v>6.65</v>
      </c>
      <c r="CL148" s="136">
        <v>7</v>
      </c>
    </row>
    <row r="149" spans="1:90">
      <c r="A149" s="154" t="s">
        <v>7884</v>
      </c>
      <c r="B149" t="s">
        <v>259</v>
      </c>
      <c r="C149" t="s">
        <v>7726</v>
      </c>
      <c r="D149" t="s">
        <v>8003</v>
      </c>
      <c r="E149" s="113">
        <v>45</v>
      </c>
      <c r="F149" s="113">
        <v>19</v>
      </c>
      <c r="I149" s="112">
        <v>9</v>
      </c>
      <c r="K149" s="112">
        <v>9</v>
      </c>
      <c r="M149" s="136">
        <v>2.0099999999999998</v>
      </c>
      <c r="S149" s="328">
        <v>811</v>
      </c>
      <c r="U149">
        <v>10.8</v>
      </c>
      <c r="Y149" s="136">
        <v>467</v>
      </c>
      <c r="AA149" s="328">
        <v>66231</v>
      </c>
      <c r="AC149" s="136">
        <v>19.2</v>
      </c>
      <c r="AG149" s="136">
        <v>2.9</v>
      </c>
      <c r="AM149" s="328">
        <v>77</v>
      </c>
      <c r="BS149" s="336">
        <v>42.18</v>
      </c>
      <c r="BU149" s="336">
        <v>24.32</v>
      </c>
      <c r="BY149" s="136">
        <v>6.04</v>
      </c>
      <c r="CL149" s="136">
        <v>0</v>
      </c>
    </row>
    <row r="150" spans="1:90">
      <c r="A150" s="154" t="s">
        <v>7886</v>
      </c>
      <c r="B150" t="s">
        <v>257</v>
      </c>
      <c r="C150" t="s">
        <v>405</v>
      </c>
      <c r="D150" t="s">
        <v>8001</v>
      </c>
      <c r="E150" s="113">
        <v>27</v>
      </c>
      <c r="F150" s="113">
        <v>14</v>
      </c>
      <c r="I150" s="112">
        <v>9</v>
      </c>
      <c r="K150" s="112">
        <v>9</v>
      </c>
      <c r="M150" s="136">
        <v>3.11</v>
      </c>
      <c r="S150" s="328">
        <v>1353</v>
      </c>
      <c r="U150">
        <v>10.8</v>
      </c>
      <c r="Y150" s="136">
        <v>600</v>
      </c>
      <c r="AA150" s="328">
        <v>90051</v>
      </c>
      <c r="AC150" s="136">
        <v>29.4</v>
      </c>
      <c r="AG150" s="136">
        <v>3.26</v>
      </c>
      <c r="AM150" s="328">
        <v>69</v>
      </c>
      <c r="BS150" s="336">
        <v>46.06</v>
      </c>
      <c r="BU150" s="336">
        <v>20.420000000000002</v>
      </c>
      <c r="BY150" s="136">
        <v>7.2</v>
      </c>
      <c r="CL150" s="136">
        <v>0</v>
      </c>
    </row>
    <row r="151" spans="1:90">
      <c r="A151" s="154" t="s">
        <v>7886</v>
      </c>
      <c r="B151" t="s">
        <v>257</v>
      </c>
      <c r="C151" t="s">
        <v>7726</v>
      </c>
      <c r="D151" t="s">
        <v>8003</v>
      </c>
      <c r="E151" s="113">
        <v>36</v>
      </c>
      <c r="F151" s="113">
        <v>17</v>
      </c>
      <c r="I151" s="112">
        <v>9</v>
      </c>
      <c r="K151" s="112">
        <v>9</v>
      </c>
      <c r="M151" s="136">
        <v>2.2200000000000002</v>
      </c>
      <c r="S151" s="328">
        <v>974</v>
      </c>
      <c r="U151">
        <v>10.8</v>
      </c>
      <c r="Y151" s="136">
        <v>440</v>
      </c>
      <c r="AA151" s="328">
        <v>67538</v>
      </c>
      <c r="AC151" s="136">
        <v>21.3</v>
      </c>
      <c r="AG151" s="136">
        <v>3.16</v>
      </c>
      <c r="AM151" s="328">
        <v>73</v>
      </c>
      <c r="BS151" s="336">
        <v>45.63</v>
      </c>
      <c r="BU151" s="336">
        <v>20.63</v>
      </c>
      <c r="BY151" s="136">
        <v>5.55</v>
      </c>
      <c r="CL151" s="136">
        <v>0</v>
      </c>
    </row>
    <row r="152" spans="1:90">
      <c r="A152" s="154" t="s">
        <v>7886</v>
      </c>
      <c r="B152" t="s">
        <v>259</v>
      </c>
      <c r="C152" t="s">
        <v>405</v>
      </c>
      <c r="D152" t="s">
        <v>8001</v>
      </c>
      <c r="E152" s="113">
        <v>10</v>
      </c>
      <c r="F152" s="113">
        <v>16</v>
      </c>
      <c r="I152" s="112">
        <v>9</v>
      </c>
      <c r="K152" s="112">
        <v>9</v>
      </c>
      <c r="M152" s="136">
        <v>2.83</v>
      </c>
      <c r="S152" s="328">
        <v>1161</v>
      </c>
      <c r="U152">
        <v>10.8</v>
      </c>
      <c r="Y152" s="136">
        <v>617</v>
      </c>
      <c r="AA152" s="328">
        <v>85207</v>
      </c>
      <c r="AC152" s="136">
        <v>26.9</v>
      </c>
      <c r="AG152" s="136">
        <v>3.16</v>
      </c>
      <c r="AM152" s="328">
        <v>69</v>
      </c>
      <c r="BS152" s="336">
        <v>43.09</v>
      </c>
      <c r="BU152" s="336">
        <v>22.89</v>
      </c>
      <c r="BY152" s="136">
        <v>6.43</v>
      </c>
      <c r="CL152" s="136">
        <v>0</v>
      </c>
    </row>
    <row r="153" spans="1:90">
      <c r="A153" s="154" t="s">
        <v>7886</v>
      </c>
      <c r="B153" t="s">
        <v>259</v>
      </c>
      <c r="C153" t="s">
        <v>7726</v>
      </c>
      <c r="D153" t="s">
        <v>8003</v>
      </c>
      <c r="E153" s="113">
        <v>34</v>
      </c>
      <c r="F153" s="113">
        <v>20</v>
      </c>
      <c r="I153" s="112">
        <v>9</v>
      </c>
      <c r="K153" s="112">
        <v>9</v>
      </c>
      <c r="M153" s="136">
        <v>2.9</v>
      </c>
      <c r="S153" s="328" t="s">
        <v>7709</v>
      </c>
      <c r="U153">
        <v>10.8</v>
      </c>
      <c r="Y153" s="136" t="s">
        <v>7709</v>
      </c>
      <c r="AA153" s="328" t="s">
        <v>7709</v>
      </c>
      <c r="AC153" s="136">
        <v>27.7</v>
      </c>
      <c r="AG153" s="136" t="s">
        <v>7709</v>
      </c>
      <c r="AM153" s="328">
        <v>69</v>
      </c>
      <c r="BS153" s="336" t="s">
        <v>7709</v>
      </c>
      <c r="BU153" s="336" t="s">
        <v>7709</v>
      </c>
      <c r="BY153" s="136">
        <v>6.09</v>
      </c>
      <c r="CL153" s="136">
        <v>0</v>
      </c>
    </row>
    <row r="154" spans="1:90">
      <c r="A154" s="154" t="s">
        <v>7888</v>
      </c>
      <c r="B154" t="s">
        <v>257</v>
      </c>
      <c r="C154" t="s">
        <v>405</v>
      </c>
      <c r="D154" t="s">
        <v>8001</v>
      </c>
      <c r="E154" s="113">
        <v>19</v>
      </c>
      <c r="F154" s="113">
        <v>14</v>
      </c>
      <c r="I154" s="112">
        <v>9</v>
      </c>
      <c r="K154" s="112">
        <v>9</v>
      </c>
      <c r="M154" s="136">
        <v>1.94</v>
      </c>
      <c r="S154" s="328">
        <v>830</v>
      </c>
      <c r="U154">
        <v>10.8</v>
      </c>
      <c r="Y154" s="136">
        <v>424</v>
      </c>
      <c r="AA154" s="328">
        <v>56310</v>
      </c>
      <c r="AC154" s="136">
        <v>18.5</v>
      </c>
      <c r="AG154" s="136">
        <v>3.28</v>
      </c>
      <c r="AM154" s="328">
        <v>83</v>
      </c>
      <c r="BS154" s="336">
        <v>44.88</v>
      </c>
      <c r="BU154" s="336">
        <v>22.94</v>
      </c>
      <c r="BY154" s="136">
        <v>6.31</v>
      </c>
      <c r="CL154" s="136">
        <v>0</v>
      </c>
    </row>
    <row r="155" spans="1:90">
      <c r="A155" s="154" t="s">
        <v>7888</v>
      </c>
      <c r="B155" t="s">
        <v>257</v>
      </c>
      <c r="C155" t="s">
        <v>7726</v>
      </c>
      <c r="D155" t="s">
        <v>8003</v>
      </c>
      <c r="E155" s="113">
        <v>44</v>
      </c>
      <c r="F155" s="113">
        <v>18</v>
      </c>
      <c r="I155" s="112">
        <v>9</v>
      </c>
      <c r="K155" s="112">
        <v>9</v>
      </c>
      <c r="M155" s="136">
        <v>2.17</v>
      </c>
      <c r="S155" s="328">
        <v>973</v>
      </c>
      <c r="U155">
        <v>10.8</v>
      </c>
      <c r="Y155" s="136">
        <v>437</v>
      </c>
      <c r="AA155" s="328">
        <v>61064</v>
      </c>
      <c r="AC155" s="136">
        <v>20.8</v>
      </c>
      <c r="AG155" s="136">
        <v>3.41</v>
      </c>
      <c r="AM155" s="328">
        <v>83</v>
      </c>
      <c r="BS155" s="336">
        <v>46.75</v>
      </c>
      <c r="BU155" s="336">
        <v>21.02</v>
      </c>
      <c r="BY155" s="136">
        <v>5.75</v>
      </c>
      <c r="CL155" s="136">
        <v>0</v>
      </c>
    </row>
    <row r="156" spans="1:90">
      <c r="A156" s="154" t="s">
        <v>7888</v>
      </c>
      <c r="B156" t="s">
        <v>259</v>
      </c>
      <c r="C156" t="s">
        <v>405</v>
      </c>
      <c r="D156" t="s">
        <v>8001</v>
      </c>
      <c r="E156" s="113">
        <v>12</v>
      </c>
      <c r="F156" s="113">
        <v>15</v>
      </c>
      <c r="I156" s="112">
        <v>9</v>
      </c>
      <c r="K156" s="112">
        <v>9</v>
      </c>
      <c r="M156" s="136">
        <v>2.1800000000000002</v>
      </c>
      <c r="S156" s="328">
        <v>898</v>
      </c>
      <c r="U156">
        <v>10.8</v>
      </c>
      <c r="Y156" s="136">
        <v>507</v>
      </c>
      <c r="AA156" s="328">
        <v>60160</v>
      </c>
      <c r="AC156" s="136">
        <v>20.8</v>
      </c>
      <c r="AG156" s="136">
        <v>3.45</v>
      </c>
      <c r="AM156" s="328">
        <v>83</v>
      </c>
      <c r="BS156" s="336">
        <v>43.22</v>
      </c>
      <c r="BU156" s="336">
        <v>24.42</v>
      </c>
      <c r="BY156" s="136">
        <v>6.34</v>
      </c>
      <c r="CL156" s="136">
        <v>3</v>
      </c>
    </row>
    <row r="157" spans="1:90">
      <c r="A157" s="154" t="s">
        <v>7888</v>
      </c>
      <c r="B157" t="s">
        <v>259</v>
      </c>
      <c r="C157" t="s">
        <v>7726</v>
      </c>
      <c r="D157" t="s">
        <v>8003</v>
      </c>
      <c r="E157" s="113">
        <v>42</v>
      </c>
      <c r="F157" s="113">
        <v>20</v>
      </c>
      <c r="I157" s="112">
        <v>9</v>
      </c>
      <c r="K157" s="112">
        <v>9</v>
      </c>
      <c r="M157" s="136">
        <v>2.81</v>
      </c>
      <c r="S157" s="328">
        <v>1222</v>
      </c>
      <c r="U157">
        <v>10.8</v>
      </c>
      <c r="Y157" s="136">
        <v>619</v>
      </c>
      <c r="AA157" s="328">
        <v>80496</v>
      </c>
      <c r="AC157" s="136">
        <v>27</v>
      </c>
      <c r="AG157" s="136">
        <v>3.35</v>
      </c>
      <c r="AM157" s="328">
        <v>83</v>
      </c>
      <c r="BS157" s="336">
        <v>45.29</v>
      </c>
      <c r="BU157" s="336">
        <v>22.93</v>
      </c>
      <c r="BY157" s="136">
        <v>5.62</v>
      </c>
      <c r="CL157" s="136">
        <v>0</v>
      </c>
    </row>
    <row r="158" spans="1:90">
      <c r="A158" s="154" t="s">
        <v>7890</v>
      </c>
      <c r="B158" t="s">
        <v>257</v>
      </c>
      <c r="C158" t="s">
        <v>405</v>
      </c>
      <c r="D158" t="s">
        <v>8001</v>
      </c>
      <c r="E158" s="113">
        <v>5</v>
      </c>
      <c r="F158" s="113">
        <v>13</v>
      </c>
      <c r="I158" s="112">
        <v>9</v>
      </c>
      <c r="K158" s="112">
        <v>9</v>
      </c>
      <c r="M158" s="136">
        <v>2.19</v>
      </c>
      <c r="S158" s="328">
        <v>964</v>
      </c>
      <c r="U158">
        <v>10.8</v>
      </c>
      <c r="Y158" s="136">
        <v>385</v>
      </c>
      <c r="AA158" s="328">
        <v>75076</v>
      </c>
      <c r="AC158" s="136">
        <v>20.9</v>
      </c>
      <c r="AG158" s="136">
        <v>2.78</v>
      </c>
      <c r="AM158" s="328">
        <v>77</v>
      </c>
      <c r="BS158" s="336">
        <v>46.22</v>
      </c>
      <c r="BU158" s="336">
        <v>18.47</v>
      </c>
      <c r="BY158" s="136">
        <v>6.39</v>
      </c>
      <c r="CL158" s="136">
        <v>0</v>
      </c>
    </row>
    <row r="159" spans="1:90">
      <c r="A159" s="154" t="s">
        <v>7890</v>
      </c>
      <c r="B159" t="s">
        <v>257</v>
      </c>
      <c r="C159" t="s">
        <v>7726</v>
      </c>
      <c r="D159" t="s">
        <v>8003</v>
      </c>
      <c r="E159" s="113">
        <v>50</v>
      </c>
      <c r="F159" s="113">
        <v>17</v>
      </c>
      <c r="I159" s="112">
        <v>9</v>
      </c>
      <c r="K159" s="112">
        <v>9</v>
      </c>
      <c r="M159" s="136">
        <v>2.2799999999999998</v>
      </c>
      <c r="S159" s="328">
        <v>992</v>
      </c>
      <c r="U159">
        <v>10.8</v>
      </c>
      <c r="Y159" s="136">
        <v>430</v>
      </c>
      <c r="AA159" s="328">
        <v>71895</v>
      </c>
      <c r="AC159" s="136">
        <v>21.8</v>
      </c>
      <c r="AG159" s="136">
        <v>3.04</v>
      </c>
      <c r="AM159" s="328">
        <v>77</v>
      </c>
      <c r="BS159" s="336">
        <v>45.46</v>
      </c>
      <c r="BU159" s="336">
        <v>19.690000000000001</v>
      </c>
      <c r="BY159" s="136">
        <v>5.9</v>
      </c>
      <c r="CL159" s="136">
        <v>0</v>
      </c>
    </row>
    <row r="160" spans="1:90">
      <c r="A160" s="154" t="s">
        <v>7890</v>
      </c>
      <c r="B160" t="s">
        <v>259</v>
      </c>
      <c r="C160" t="s">
        <v>405</v>
      </c>
      <c r="D160" t="s">
        <v>8001</v>
      </c>
      <c r="E160" s="113">
        <v>21</v>
      </c>
      <c r="F160" s="113">
        <v>16</v>
      </c>
      <c r="I160" s="112">
        <v>9</v>
      </c>
      <c r="K160" s="112">
        <v>9</v>
      </c>
      <c r="M160" s="136">
        <v>2.15</v>
      </c>
      <c r="S160" s="328">
        <v>823</v>
      </c>
      <c r="U160">
        <v>10.8</v>
      </c>
      <c r="Y160" s="136">
        <v>492</v>
      </c>
      <c r="AA160" s="328">
        <v>81739</v>
      </c>
      <c r="AC160" s="136">
        <v>20.399999999999999</v>
      </c>
      <c r="AG160" s="136">
        <v>2.5</v>
      </c>
      <c r="AM160" s="328">
        <v>77</v>
      </c>
      <c r="BS160" s="336">
        <v>40.28</v>
      </c>
      <c r="BU160" s="336">
        <v>24.08</v>
      </c>
      <c r="BY160" s="136">
        <v>6.59</v>
      </c>
      <c r="CL160" s="136">
        <v>7</v>
      </c>
    </row>
    <row r="161" spans="1:90">
      <c r="A161" s="154" t="s">
        <v>7890</v>
      </c>
      <c r="B161" t="s">
        <v>259</v>
      </c>
      <c r="C161" t="s">
        <v>7726</v>
      </c>
      <c r="D161" t="s">
        <v>8003</v>
      </c>
      <c r="E161" s="113">
        <v>55</v>
      </c>
      <c r="F161" s="113">
        <v>20</v>
      </c>
      <c r="I161" s="112">
        <v>9</v>
      </c>
      <c r="K161" s="112">
        <v>9</v>
      </c>
      <c r="M161" s="136">
        <v>2.2200000000000002</v>
      </c>
      <c r="S161" s="328">
        <v>909</v>
      </c>
      <c r="U161">
        <v>10.8</v>
      </c>
      <c r="Y161" s="136">
        <v>499</v>
      </c>
      <c r="AA161" s="328">
        <v>75007</v>
      </c>
      <c r="AC161" s="136">
        <v>21.3</v>
      </c>
      <c r="AG161" s="136">
        <v>2.85</v>
      </c>
      <c r="AM161" s="328">
        <v>77</v>
      </c>
      <c r="BS161" s="336">
        <v>42.58</v>
      </c>
      <c r="BU161" s="336">
        <v>23.4</v>
      </c>
      <c r="BY161" s="136">
        <v>5.51</v>
      </c>
      <c r="CL161" s="136">
        <v>4</v>
      </c>
    </row>
    <row r="162" spans="1:90">
      <c r="A162" s="154" t="s">
        <v>7892</v>
      </c>
      <c r="B162" t="s">
        <v>257</v>
      </c>
      <c r="C162" t="s">
        <v>405</v>
      </c>
      <c r="D162" t="s">
        <v>8001</v>
      </c>
      <c r="E162" s="113">
        <v>16</v>
      </c>
      <c r="F162" s="113">
        <v>13</v>
      </c>
      <c r="I162" s="112">
        <v>9</v>
      </c>
      <c r="K162" s="112">
        <v>9</v>
      </c>
      <c r="M162" s="136">
        <v>2.11</v>
      </c>
      <c r="S162" s="328">
        <v>865</v>
      </c>
      <c r="U162">
        <v>10.8</v>
      </c>
      <c r="Y162" s="136">
        <v>474</v>
      </c>
      <c r="AA162" s="328">
        <v>72227</v>
      </c>
      <c r="AC162" s="136">
        <v>20.100000000000001</v>
      </c>
      <c r="AG162" s="136">
        <v>2.78</v>
      </c>
      <c r="AM162" s="328">
        <v>87</v>
      </c>
      <c r="BS162" s="336">
        <v>43.1</v>
      </c>
      <c r="BU162" s="336">
        <v>23.65</v>
      </c>
      <c r="BY162" s="136">
        <v>6.55</v>
      </c>
      <c r="CL162" s="136">
        <v>0</v>
      </c>
    </row>
    <row r="163" spans="1:90">
      <c r="A163" s="154" t="s">
        <v>7892</v>
      </c>
      <c r="B163" t="s">
        <v>257</v>
      </c>
      <c r="C163" t="s">
        <v>7726</v>
      </c>
      <c r="D163" t="s">
        <v>8003</v>
      </c>
      <c r="E163" s="113">
        <v>43</v>
      </c>
      <c r="F163" s="113">
        <v>17</v>
      </c>
      <c r="I163" s="112">
        <v>9</v>
      </c>
      <c r="K163" s="112">
        <v>9</v>
      </c>
      <c r="M163" s="136">
        <v>2.0699999999999998</v>
      </c>
      <c r="S163" s="328">
        <v>928</v>
      </c>
      <c r="U163">
        <v>10.8</v>
      </c>
      <c r="Y163" s="136">
        <v>395</v>
      </c>
      <c r="AA163" s="328">
        <v>65161</v>
      </c>
      <c r="AC163" s="136">
        <v>19.899999999999999</v>
      </c>
      <c r="AG163" s="136">
        <v>3.05</v>
      </c>
      <c r="AM163" s="328">
        <v>87</v>
      </c>
      <c r="BS163" s="336">
        <v>46.73</v>
      </c>
      <c r="BU163" s="336">
        <v>19.87</v>
      </c>
      <c r="BY163" s="136">
        <v>5.72</v>
      </c>
      <c r="CL163" s="136">
        <v>0</v>
      </c>
    </row>
    <row r="164" spans="1:90">
      <c r="A164" s="154" t="s">
        <v>7892</v>
      </c>
      <c r="B164" t="s">
        <v>259</v>
      </c>
      <c r="C164" t="s">
        <v>405</v>
      </c>
      <c r="D164" t="s">
        <v>8001</v>
      </c>
      <c r="E164" s="113">
        <v>11</v>
      </c>
      <c r="F164" s="113">
        <v>16</v>
      </c>
      <c r="I164" s="112">
        <v>9</v>
      </c>
      <c r="K164" s="112">
        <v>9</v>
      </c>
      <c r="M164" s="136">
        <v>2.86</v>
      </c>
      <c r="S164" s="328">
        <v>1184</v>
      </c>
      <c r="U164">
        <v>10.8</v>
      </c>
      <c r="Y164" s="136">
        <v>609</v>
      </c>
      <c r="AA164" s="328">
        <v>99024</v>
      </c>
      <c r="AC164" s="136">
        <v>27.3</v>
      </c>
      <c r="AG164" s="136">
        <v>2.76</v>
      </c>
      <c r="AM164" s="328">
        <v>87</v>
      </c>
      <c r="BS164" s="336">
        <v>43.36</v>
      </c>
      <c r="BU164" s="336">
        <v>22.29</v>
      </c>
      <c r="BY164" s="136">
        <v>6.19</v>
      </c>
      <c r="CL164" s="136">
        <v>0</v>
      </c>
    </row>
    <row r="165" spans="1:90">
      <c r="A165" s="154" t="s">
        <v>7892</v>
      </c>
      <c r="B165" t="s">
        <v>259</v>
      </c>
      <c r="C165" t="s">
        <v>7726</v>
      </c>
      <c r="D165" t="s">
        <v>8003</v>
      </c>
      <c r="E165" s="113">
        <v>46</v>
      </c>
      <c r="F165" s="113">
        <v>19</v>
      </c>
      <c r="I165" s="112">
        <v>9</v>
      </c>
      <c r="K165" s="112">
        <v>9</v>
      </c>
      <c r="M165" s="136">
        <v>2.64</v>
      </c>
      <c r="S165" s="328">
        <v>1107</v>
      </c>
      <c r="U165">
        <v>10.8</v>
      </c>
      <c r="Y165" s="136">
        <v>574</v>
      </c>
      <c r="AA165" s="328">
        <v>88929</v>
      </c>
      <c r="AC165" s="136">
        <v>25.3</v>
      </c>
      <c r="AG165" s="136">
        <v>2.85</v>
      </c>
      <c r="AM165" s="328">
        <v>87</v>
      </c>
      <c r="BS165" s="336">
        <v>43.69</v>
      </c>
      <c r="BU165" s="336">
        <v>22.65</v>
      </c>
      <c r="BY165" s="136">
        <v>5.7</v>
      </c>
      <c r="CL165" s="136">
        <v>0</v>
      </c>
    </row>
    <row r="166" spans="1:90">
      <c r="A166" s="154" t="s">
        <v>7894</v>
      </c>
      <c r="B166" t="s">
        <v>257</v>
      </c>
      <c r="C166" t="s">
        <v>405</v>
      </c>
      <c r="D166" t="s">
        <v>8001</v>
      </c>
      <c r="E166" s="113">
        <v>9</v>
      </c>
      <c r="F166" s="113">
        <v>14</v>
      </c>
      <c r="I166" s="112">
        <v>9</v>
      </c>
      <c r="K166" s="112">
        <v>9</v>
      </c>
      <c r="M166" s="136">
        <v>2.72</v>
      </c>
      <c r="S166" s="328">
        <v>1185</v>
      </c>
      <c r="U166">
        <v>10.8</v>
      </c>
      <c r="Y166" s="136">
        <v>500</v>
      </c>
      <c r="AA166" s="328">
        <v>88668</v>
      </c>
      <c r="AC166" s="136">
        <v>25.9</v>
      </c>
      <c r="AG166" s="136">
        <v>2.93</v>
      </c>
      <c r="AM166" s="328">
        <v>73</v>
      </c>
      <c r="BS166" s="336">
        <v>45.65</v>
      </c>
      <c r="BU166" s="336">
        <v>19.25</v>
      </c>
      <c r="BY166" s="136">
        <v>6.24</v>
      </c>
      <c r="CL166" s="136">
        <v>0</v>
      </c>
    </row>
    <row r="167" spans="1:90">
      <c r="A167" s="154" t="s">
        <v>7894</v>
      </c>
      <c r="B167" t="s">
        <v>257</v>
      </c>
      <c r="C167" t="s">
        <v>7726</v>
      </c>
      <c r="D167" t="s">
        <v>8003</v>
      </c>
      <c r="E167" s="113">
        <v>29</v>
      </c>
      <c r="F167" s="113">
        <v>17</v>
      </c>
      <c r="I167" s="112">
        <v>9</v>
      </c>
      <c r="K167" s="112">
        <v>9</v>
      </c>
      <c r="M167" s="136">
        <v>2.2200000000000002</v>
      </c>
      <c r="S167" s="328">
        <v>925</v>
      </c>
      <c r="U167">
        <v>10.8</v>
      </c>
      <c r="Y167" s="136">
        <v>464</v>
      </c>
      <c r="AA167" s="328">
        <v>65988</v>
      </c>
      <c r="AC167" s="136">
        <v>21.1</v>
      </c>
      <c r="AG167" s="136">
        <v>3.2</v>
      </c>
      <c r="AM167" s="328">
        <v>73</v>
      </c>
      <c r="BS167" s="336">
        <v>43.77</v>
      </c>
      <c r="BU167" s="336">
        <v>21.95</v>
      </c>
      <c r="BY167" s="136">
        <v>6.47</v>
      </c>
      <c r="CL167" s="136">
        <v>0</v>
      </c>
    </row>
    <row r="168" spans="1:90">
      <c r="A168" s="154" t="s">
        <v>7894</v>
      </c>
      <c r="B168" t="s">
        <v>259</v>
      </c>
      <c r="C168" t="s">
        <v>405</v>
      </c>
      <c r="D168" t="s">
        <v>8001</v>
      </c>
      <c r="E168" s="113">
        <v>19</v>
      </c>
      <c r="F168" s="113">
        <v>15</v>
      </c>
      <c r="I168" s="112">
        <v>9</v>
      </c>
      <c r="K168" s="112">
        <v>9</v>
      </c>
      <c r="M168" s="136">
        <v>2.85</v>
      </c>
      <c r="S168" s="328">
        <v>1143</v>
      </c>
      <c r="U168">
        <v>10.8</v>
      </c>
      <c r="Y168" s="136">
        <v>659</v>
      </c>
      <c r="AA168" s="328">
        <v>82892</v>
      </c>
      <c r="AC168" s="136">
        <v>27.2</v>
      </c>
      <c r="AG168" s="136">
        <v>3.28</v>
      </c>
      <c r="AM168" s="328">
        <v>77</v>
      </c>
      <c r="BS168" s="336">
        <v>42.04</v>
      </c>
      <c r="BU168" s="336">
        <v>24.23</v>
      </c>
      <c r="BY168" s="136">
        <v>6.25</v>
      </c>
      <c r="CL168" s="136">
        <v>0</v>
      </c>
    </row>
    <row r="169" spans="1:90">
      <c r="A169" s="154" t="s">
        <v>7894</v>
      </c>
      <c r="B169" t="s">
        <v>259</v>
      </c>
      <c r="C169" t="s">
        <v>7726</v>
      </c>
      <c r="D169" t="s">
        <v>8003</v>
      </c>
      <c r="E169" s="113">
        <v>48</v>
      </c>
      <c r="F169" s="113">
        <v>20</v>
      </c>
      <c r="I169" s="112">
        <v>9</v>
      </c>
      <c r="K169" s="112">
        <v>9</v>
      </c>
      <c r="M169" s="136">
        <v>2.46</v>
      </c>
      <c r="S169" s="328">
        <v>1033</v>
      </c>
      <c r="U169">
        <v>10.8</v>
      </c>
      <c r="Y169" s="136">
        <v>519</v>
      </c>
      <c r="AA169" s="328">
        <v>73988</v>
      </c>
      <c r="AC169" s="136">
        <v>23.5</v>
      </c>
      <c r="AG169" s="136">
        <v>3.18</v>
      </c>
      <c r="AM169" s="328">
        <v>77</v>
      </c>
      <c r="BS169" s="336">
        <v>43.85</v>
      </c>
      <c r="BU169" s="336">
        <v>22.04</v>
      </c>
      <c r="BY169" s="136">
        <v>5.93</v>
      </c>
      <c r="CL169" s="136">
        <v>0</v>
      </c>
    </row>
    <row r="170" spans="1:90">
      <c r="A170" s="154" t="s">
        <v>7896</v>
      </c>
      <c r="B170" t="s">
        <v>257</v>
      </c>
      <c r="C170" t="s">
        <v>405</v>
      </c>
      <c r="D170" t="s">
        <v>8001</v>
      </c>
      <c r="E170" s="113">
        <v>21</v>
      </c>
      <c r="F170" s="113">
        <v>13</v>
      </c>
      <c r="I170" s="112">
        <v>9</v>
      </c>
      <c r="K170" s="112">
        <v>9</v>
      </c>
      <c r="M170" s="136">
        <v>2.0299999999999998</v>
      </c>
      <c r="S170" s="328">
        <v>838</v>
      </c>
      <c r="U170">
        <v>10.8</v>
      </c>
      <c r="Y170" s="136">
        <v>432</v>
      </c>
      <c r="AA170" s="328">
        <v>60152</v>
      </c>
      <c r="AC170" s="136">
        <v>19.399999999999999</v>
      </c>
      <c r="AG170" s="136">
        <v>3.22</v>
      </c>
      <c r="AM170" s="328">
        <v>80</v>
      </c>
      <c r="BS170" s="336">
        <v>43.21</v>
      </c>
      <c r="BU170" s="336">
        <v>22.3</v>
      </c>
      <c r="BY170" s="136">
        <v>6.17</v>
      </c>
      <c r="CL170" s="136">
        <v>0</v>
      </c>
    </row>
    <row r="171" spans="1:90">
      <c r="A171" s="154" t="s">
        <v>7896</v>
      </c>
      <c r="B171" t="s">
        <v>257</v>
      </c>
      <c r="C171" t="s">
        <v>7726</v>
      </c>
      <c r="D171" t="s">
        <v>8003</v>
      </c>
      <c r="E171" s="113">
        <v>44</v>
      </c>
      <c r="F171" s="113">
        <v>17</v>
      </c>
      <c r="I171" s="112">
        <v>9</v>
      </c>
      <c r="K171" s="112">
        <v>9</v>
      </c>
      <c r="M171" s="136">
        <v>2.04</v>
      </c>
      <c r="S171" s="328">
        <v>891</v>
      </c>
      <c r="U171">
        <v>10.8</v>
      </c>
      <c r="Y171" s="136">
        <v>392</v>
      </c>
      <c r="AA171" s="328">
        <v>58686</v>
      </c>
      <c r="AC171" s="136">
        <v>19.5</v>
      </c>
      <c r="AG171" s="136">
        <v>3.33</v>
      </c>
      <c r="AM171" s="328">
        <v>80</v>
      </c>
      <c r="BS171" s="336">
        <v>45.62</v>
      </c>
      <c r="BU171" s="336">
        <v>20.059999999999999</v>
      </c>
      <c r="BY171" s="136">
        <v>5.89</v>
      </c>
      <c r="CL171" s="136">
        <v>0</v>
      </c>
    </row>
    <row r="172" spans="1:90">
      <c r="A172" s="154" t="s">
        <v>7896</v>
      </c>
      <c r="B172" t="s">
        <v>259</v>
      </c>
      <c r="C172" t="s">
        <v>405</v>
      </c>
      <c r="D172" t="s">
        <v>8001</v>
      </c>
      <c r="E172" s="113">
        <v>7</v>
      </c>
      <c r="F172" s="113">
        <v>16</v>
      </c>
      <c r="I172" s="112">
        <v>9</v>
      </c>
      <c r="K172" s="112">
        <v>9</v>
      </c>
      <c r="M172" s="136">
        <v>2.76</v>
      </c>
      <c r="S172" s="328">
        <v>1127</v>
      </c>
      <c r="U172">
        <v>10.8</v>
      </c>
      <c r="Y172" s="136">
        <v>579</v>
      </c>
      <c r="AA172" s="328">
        <v>88256</v>
      </c>
      <c r="AC172" s="136">
        <v>26.3</v>
      </c>
      <c r="AG172" s="136">
        <v>2.97</v>
      </c>
      <c r="AM172" s="328">
        <v>80</v>
      </c>
      <c r="BS172" s="336">
        <v>42.95</v>
      </c>
      <c r="BU172" s="336">
        <v>22.04</v>
      </c>
      <c r="BY172" s="136">
        <v>6.52</v>
      </c>
      <c r="CL172" s="136">
        <v>0</v>
      </c>
    </row>
    <row r="173" spans="1:90">
      <c r="A173" s="154" t="s">
        <v>7896</v>
      </c>
      <c r="B173" t="s">
        <v>259</v>
      </c>
      <c r="C173" t="s">
        <v>7726</v>
      </c>
      <c r="D173" t="s">
        <v>8003</v>
      </c>
      <c r="E173" s="113">
        <v>39</v>
      </c>
      <c r="F173" s="113">
        <v>19</v>
      </c>
      <c r="I173" s="112">
        <v>9</v>
      </c>
      <c r="K173" s="112">
        <v>9</v>
      </c>
      <c r="M173" s="136">
        <v>2.4500000000000002</v>
      </c>
      <c r="S173" s="328">
        <v>989</v>
      </c>
      <c r="U173">
        <v>10.8</v>
      </c>
      <c r="Y173" s="136">
        <v>559</v>
      </c>
      <c r="AA173" s="328">
        <v>71691</v>
      </c>
      <c r="AC173" s="136">
        <v>23.5</v>
      </c>
      <c r="AG173" s="136">
        <v>3.28</v>
      </c>
      <c r="AM173" s="328">
        <v>80</v>
      </c>
      <c r="BS173" s="336">
        <v>42.02</v>
      </c>
      <c r="BU173" s="336">
        <v>23.74</v>
      </c>
      <c r="BY173" s="136">
        <v>5.63</v>
      </c>
      <c r="CL173" s="136">
        <v>0</v>
      </c>
    </row>
    <row r="174" spans="1:90">
      <c r="A174" s="154" t="s">
        <v>7898</v>
      </c>
      <c r="B174" t="s">
        <v>257</v>
      </c>
      <c r="C174" t="s">
        <v>405</v>
      </c>
      <c r="D174" t="s">
        <v>8001</v>
      </c>
      <c r="E174" s="113">
        <v>12</v>
      </c>
      <c r="F174" s="113">
        <v>13</v>
      </c>
      <c r="I174" s="112">
        <v>9</v>
      </c>
      <c r="K174" s="112">
        <v>9</v>
      </c>
      <c r="M174" s="136">
        <v>1.67</v>
      </c>
      <c r="S174" s="328">
        <v>724</v>
      </c>
      <c r="U174">
        <v>10.8</v>
      </c>
      <c r="Y174" s="136">
        <v>337</v>
      </c>
      <c r="AA174" s="328">
        <v>48573</v>
      </c>
      <c r="AC174" s="136">
        <v>15.9</v>
      </c>
      <c r="AG174" s="136">
        <v>3.27</v>
      </c>
      <c r="AM174" s="328">
        <v>83</v>
      </c>
      <c r="BS174" s="336">
        <v>45.52</v>
      </c>
      <c r="BU174" s="336">
        <v>21.21</v>
      </c>
      <c r="BY174" s="136">
        <v>6.43</v>
      </c>
      <c r="CL174" s="136">
        <v>0</v>
      </c>
    </row>
    <row r="175" spans="1:90">
      <c r="A175" s="154" t="s">
        <v>7898</v>
      </c>
      <c r="B175" t="s">
        <v>257</v>
      </c>
      <c r="C175" t="s">
        <v>7726</v>
      </c>
      <c r="D175" t="s">
        <v>8003</v>
      </c>
      <c r="E175" s="113">
        <v>32</v>
      </c>
      <c r="F175" s="113">
        <v>18</v>
      </c>
      <c r="I175" s="112">
        <v>9</v>
      </c>
      <c r="K175" s="112">
        <v>9</v>
      </c>
      <c r="M175" s="136">
        <v>1.96</v>
      </c>
      <c r="S175" s="328">
        <v>865</v>
      </c>
      <c r="U175">
        <v>10.8</v>
      </c>
      <c r="Y175" s="136">
        <v>380</v>
      </c>
      <c r="AA175" s="328">
        <v>54565</v>
      </c>
      <c r="AC175" s="136">
        <v>18.8</v>
      </c>
      <c r="AG175" s="136">
        <v>3.44</v>
      </c>
      <c r="AM175" s="328">
        <v>83</v>
      </c>
      <c r="BS175" s="336">
        <v>46.13</v>
      </c>
      <c r="BU175" s="336">
        <v>20.28</v>
      </c>
      <c r="BY175" s="136">
        <v>5.98</v>
      </c>
      <c r="CL175" s="136">
        <v>0</v>
      </c>
    </row>
    <row r="176" spans="1:90">
      <c r="A176" s="154" t="s">
        <v>7898</v>
      </c>
      <c r="B176" t="s">
        <v>259</v>
      </c>
      <c r="C176" t="s">
        <v>405</v>
      </c>
      <c r="D176" t="s">
        <v>8001</v>
      </c>
      <c r="E176" s="113">
        <v>28</v>
      </c>
      <c r="F176" s="113">
        <v>15</v>
      </c>
      <c r="I176" s="112">
        <v>9</v>
      </c>
      <c r="K176" s="112">
        <v>9</v>
      </c>
      <c r="M176" s="136">
        <v>2.2400000000000002</v>
      </c>
      <c r="S176" s="328">
        <v>920</v>
      </c>
      <c r="U176">
        <v>10.8</v>
      </c>
      <c r="Y176" s="136">
        <v>508</v>
      </c>
      <c r="AA176" s="328">
        <v>65536</v>
      </c>
      <c r="AC176" s="136">
        <v>21.3</v>
      </c>
      <c r="AG176" s="136">
        <v>3.24</v>
      </c>
      <c r="AM176" s="328">
        <v>83</v>
      </c>
      <c r="BS176" s="336">
        <v>43.28</v>
      </c>
      <c r="BU176" s="336">
        <v>23.91</v>
      </c>
      <c r="BY176" s="136">
        <v>6.76</v>
      </c>
      <c r="CL176" s="136">
        <v>0</v>
      </c>
    </row>
    <row r="177" spans="1:91">
      <c r="A177" s="154" t="s">
        <v>7898</v>
      </c>
      <c r="B177" t="s">
        <v>259</v>
      </c>
      <c r="C177" t="s">
        <v>7726</v>
      </c>
      <c r="D177" t="s">
        <v>8003</v>
      </c>
      <c r="E177" s="113">
        <v>49</v>
      </c>
      <c r="F177" s="113">
        <v>20</v>
      </c>
      <c r="I177" s="112">
        <v>9</v>
      </c>
      <c r="K177" s="112">
        <v>9</v>
      </c>
      <c r="M177" s="136">
        <v>1.38</v>
      </c>
      <c r="S177" s="328">
        <v>564</v>
      </c>
      <c r="U177">
        <v>10.8</v>
      </c>
      <c r="Y177" s="136">
        <v>312</v>
      </c>
      <c r="AA177" s="328">
        <v>41805</v>
      </c>
      <c r="AC177" s="136">
        <v>13.1</v>
      </c>
      <c r="AG177" s="136">
        <v>3.14</v>
      </c>
      <c r="AM177" s="328">
        <v>83</v>
      </c>
      <c r="BS177" s="336">
        <v>42.99</v>
      </c>
      <c r="BU177" s="336">
        <v>23.83</v>
      </c>
      <c r="BY177" s="136">
        <v>6.64</v>
      </c>
      <c r="CL177" s="136">
        <v>0</v>
      </c>
    </row>
    <row r="178" spans="1:91">
      <c r="A178" s="154" t="s">
        <v>7900</v>
      </c>
      <c r="B178" t="s">
        <v>257</v>
      </c>
      <c r="C178" t="s">
        <v>405</v>
      </c>
      <c r="D178" t="s">
        <v>8001</v>
      </c>
      <c r="E178" s="113">
        <v>2</v>
      </c>
      <c r="F178" s="113">
        <v>14</v>
      </c>
      <c r="I178" s="112">
        <v>9</v>
      </c>
      <c r="K178" s="112">
        <v>9</v>
      </c>
      <c r="M178" s="136">
        <v>2.2799999999999998</v>
      </c>
      <c r="S178" s="328">
        <v>994</v>
      </c>
      <c r="U178">
        <v>10.8</v>
      </c>
      <c r="Y178" s="136">
        <v>426</v>
      </c>
      <c r="AA178" s="328">
        <v>68837</v>
      </c>
      <c r="AC178" s="136">
        <v>21.6</v>
      </c>
      <c r="AG178" s="136">
        <v>3.13</v>
      </c>
      <c r="AM178" s="328">
        <v>69</v>
      </c>
      <c r="BS178" s="336">
        <v>46.05</v>
      </c>
      <c r="BU178" s="336">
        <v>19.739999999999998</v>
      </c>
      <c r="BY178" s="136">
        <v>6.98</v>
      </c>
      <c r="CL178" s="136">
        <v>0</v>
      </c>
    </row>
    <row r="179" spans="1:91">
      <c r="A179" s="154" t="s">
        <v>7900</v>
      </c>
      <c r="B179" t="s">
        <v>257</v>
      </c>
      <c r="C179" t="s">
        <v>7726</v>
      </c>
      <c r="D179" t="s">
        <v>8003</v>
      </c>
      <c r="E179" s="113">
        <v>47</v>
      </c>
      <c r="F179" s="113">
        <v>18</v>
      </c>
      <c r="I179" s="112">
        <v>9</v>
      </c>
      <c r="K179" s="112">
        <v>9</v>
      </c>
      <c r="M179" s="136">
        <v>2.87</v>
      </c>
      <c r="S179" s="328">
        <v>1275</v>
      </c>
      <c r="U179">
        <v>10.8</v>
      </c>
      <c r="Y179" s="136">
        <v>545</v>
      </c>
      <c r="AA179" s="328">
        <v>86036</v>
      </c>
      <c r="AC179" s="136">
        <v>27.5</v>
      </c>
      <c r="AG179" s="136">
        <v>3.2</v>
      </c>
      <c r="AM179" s="328">
        <v>69</v>
      </c>
      <c r="BS179" s="336">
        <v>46.33</v>
      </c>
      <c r="BU179" s="336">
        <v>19.8</v>
      </c>
      <c r="BY179" s="136">
        <v>5.77</v>
      </c>
      <c r="CL179" s="136">
        <v>0</v>
      </c>
    </row>
    <row r="180" spans="1:91">
      <c r="A180" s="154" t="s">
        <v>7900</v>
      </c>
      <c r="B180" t="s">
        <v>259</v>
      </c>
      <c r="C180" t="s">
        <v>405</v>
      </c>
      <c r="D180" t="s">
        <v>8001</v>
      </c>
      <c r="E180" s="113">
        <v>18</v>
      </c>
      <c r="F180" s="113">
        <v>16</v>
      </c>
      <c r="I180" s="112">
        <v>9</v>
      </c>
      <c r="K180" s="112">
        <v>9</v>
      </c>
      <c r="M180" s="136">
        <v>2.84</v>
      </c>
      <c r="S180" s="328">
        <v>1153</v>
      </c>
      <c r="U180">
        <v>10.8</v>
      </c>
      <c r="Y180" s="136">
        <v>638</v>
      </c>
      <c r="AA180" s="328">
        <v>85213</v>
      </c>
      <c r="AC180" s="136">
        <v>27</v>
      </c>
      <c r="AG180" s="136">
        <v>3.17</v>
      </c>
      <c r="AM180" s="328">
        <v>69</v>
      </c>
      <c r="BS180" s="336">
        <v>42.69</v>
      </c>
      <c r="BU180" s="336">
        <v>23.63</v>
      </c>
      <c r="BY180" s="136">
        <v>6.51</v>
      </c>
      <c r="CL180" s="136">
        <v>0</v>
      </c>
    </row>
    <row r="181" spans="1:91">
      <c r="A181" s="154" t="s">
        <v>7900</v>
      </c>
      <c r="B181" t="s">
        <v>259</v>
      </c>
      <c r="C181" t="s">
        <v>7726</v>
      </c>
      <c r="D181" t="s">
        <v>8003</v>
      </c>
      <c r="E181" s="113">
        <v>31</v>
      </c>
      <c r="F181" s="113">
        <v>20</v>
      </c>
      <c r="I181" s="112">
        <v>9</v>
      </c>
      <c r="K181" s="112">
        <v>9</v>
      </c>
      <c r="M181" s="136">
        <v>2.93</v>
      </c>
      <c r="S181" s="328">
        <v>1206</v>
      </c>
      <c r="U181">
        <v>10.8</v>
      </c>
      <c r="Y181" s="136">
        <v>635</v>
      </c>
      <c r="AA181" s="328">
        <v>88340</v>
      </c>
      <c r="AC181" s="136">
        <v>28</v>
      </c>
      <c r="AG181" s="136">
        <v>3.17</v>
      </c>
      <c r="AM181" s="328">
        <v>69</v>
      </c>
      <c r="BS181" s="336">
        <v>43.07</v>
      </c>
      <c r="BU181" s="336">
        <v>22.69</v>
      </c>
      <c r="BY181" s="136">
        <v>6.11</v>
      </c>
      <c r="CL181" s="136">
        <v>0</v>
      </c>
    </row>
    <row r="182" spans="1:91" s="347" customFormat="1">
      <c r="A182" s="337" t="s">
        <v>7902</v>
      </c>
      <c r="B182" s="338" t="s">
        <v>257</v>
      </c>
      <c r="C182" s="338" t="s">
        <v>405</v>
      </c>
      <c r="D182" s="338" t="s">
        <v>8001</v>
      </c>
      <c r="E182" s="339"/>
      <c r="F182" s="339"/>
      <c r="G182" s="339"/>
      <c r="H182" s="339"/>
      <c r="I182" s="340"/>
      <c r="J182" s="340"/>
      <c r="K182" s="340"/>
      <c r="L182" s="341"/>
      <c r="M182" s="342"/>
      <c r="N182" s="342"/>
      <c r="O182" s="342"/>
      <c r="P182" s="343"/>
      <c r="Q182" s="343"/>
      <c r="R182" s="343"/>
      <c r="S182" s="344" t="s">
        <v>7709</v>
      </c>
      <c r="T182" s="343"/>
      <c r="U182" s="338">
        <v>10.8</v>
      </c>
      <c r="V182" s="342"/>
      <c r="W182" s="343"/>
      <c r="X182" s="343"/>
      <c r="Y182" s="342" t="s">
        <v>7709</v>
      </c>
      <c r="Z182" s="342"/>
      <c r="AA182" s="344" t="s">
        <v>7709</v>
      </c>
      <c r="AB182" s="343"/>
      <c r="AC182" s="342" t="s">
        <v>7709</v>
      </c>
      <c r="AD182" s="342"/>
      <c r="AE182" s="345"/>
      <c r="AF182" s="343"/>
      <c r="AG182" s="342">
        <v>3.2</v>
      </c>
      <c r="AH182" s="342"/>
      <c r="AI182" s="343"/>
      <c r="AJ182" s="343"/>
      <c r="AK182" s="342"/>
      <c r="AL182" s="342"/>
      <c r="AM182" s="344" t="s">
        <v>7709</v>
      </c>
      <c r="AN182" s="343"/>
      <c r="AO182" s="342"/>
      <c r="AP182" s="342"/>
      <c r="AQ182" s="343"/>
      <c r="AR182" s="343"/>
      <c r="AS182" s="342"/>
      <c r="AT182" s="342"/>
      <c r="AU182" s="343"/>
      <c r="AV182" s="343"/>
      <c r="AW182" s="342"/>
      <c r="AX182" s="342"/>
      <c r="AY182" s="343"/>
      <c r="AZ182" s="343"/>
      <c r="BA182" s="342"/>
      <c r="BB182" s="342"/>
      <c r="BC182" s="343"/>
      <c r="BD182" s="343"/>
      <c r="BE182" s="343"/>
      <c r="BF182" s="343"/>
      <c r="BG182" s="343"/>
      <c r="BH182" s="343"/>
      <c r="BI182" s="343"/>
      <c r="BJ182" s="343"/>
      <c r="BK182" s="343"/>
      <c r="BL182" s="343"/>
      <c r="BM182" s="342"/>
      <c r="BN182" s="342"/>
      <c r="BO182" s="343"/>
      <c r="BP182" s="343"/>
      <c r="BQ182" s="342"/>
      <c r="BR182" s="342"/>
      <c r="BS182" s="346">
        <v>44.98</v>
      </c>
      <c r="BT182" s="343"/>
      <c r="BU182" s="346">
        <v>22.53</v>
      </c>
      <c r="BV182" s="342"/>
      <c r="BW182" s="342"/>
      <c r="BX182" s="342"/>
      <c r="BY182" s="342"/>
      <c r="BZ182" s="342"/>
      <c r="CA182" s="342"/>
      <c r="CB182" s="342"/>
      <c r="CC182" s="342"/>
      <c r="CD182" s="342"/>
      <c r="CE182" s="342"/>
      <c r="CF182" s="342"/>
      <c r="CG182" s="342"/>
      <c r="CH182" s="342"/>
      <c r="CI182" s="342"/>
      <c r="CJ182" s="342"/>
      <c r="CK182" s="342"/>
      <c r="CL182" s="342"/>
      <c r="CM182" s="342"/>
    </row>
    <row r="183" spans="1:91">
      <c r="A183" s="154" t="s">
        <v>7902</v>
      </c>
      <c r="B183" t="s">
        <v>257</v>
      </c>
      <c r="C183" t="s">
        <v>7726</v>
      </c>
      <c r="D183" t="s">
        <v>8003</v>
      </c>
      <c r="E183" s="113">
        <v>54</v>
      </c>
      <c r="F183" s="113">
        <v>18</v>
      </c>
      <c r="I183" s="112">
        <v>7</v>
      </c>
      <c r="K183" s="112">
        <v>9</v>
      </c>
      <c r="M183" s="136">
        <v>2.08</v>
      </c>
      <c r="S183" s="328">
        <v>902</v>
      </c>
      <c r="U183">
        <v>10.8</v>
      </c>
      <c r="Y183" s="136">
        <v>451</v>
      </c>
      <c r="AA183" s="328">
        <v>64787</v>
      </c>
      <c r="AC183" s="136">
        <v>19.899999999999999</v>
      </c>
      <c r="AG183" s="136">
        <v>3.07</v>
      </c>
      <c r="AM183" s="328">
        <v>87</v>
      </c>
      <c r="BS183" s="336">
        <v>45.3</v>
      </c>
      <c r="BU183" s="336">
        <v>22.66</v>
      </c>
      <c r="BY183" s="136">
        <v>5.95</v>
      </c>
      <c r="CL183" s="136">
        <v>0</v>
      </c>
    </row>
    <row r="184" spans="1:91">
      <c r="A184" s="154" t="s">
        <v>7902</v>
      </c>
      <c r="B184" t="s">
        <v>259</v>
      </c>
      <c r="C184" t="s">
        <v>405</v>
      </c>
      <c r="D184" t="s">
        <v>8001</v>
      </c>
      <c r="E184" s="113">
        <v>16</v>
      </c>
      <c r="F184" s="113">
        <v>16</v>
      </c>
      <c r="I184" s="112">
        <v>9</v>
      </c>
      <c r="K184" s="112">
        <v>9</v>
      </c>
      <c r="M184" s="136">
        <v>1.75</v>
      </c>
      <c r="S184" s="328">
        <v>731</v>
      </c>
      <c r="U184">
        <v>10.8</v>
      </c>
      <c r="Y184" s="136">
        <v>405</v>
      </c>
      <c r="AA184" s="328">
        <v>52284</v>
      </c>
      <c r="AC184" s="136">
        <v>16.7</v>
      </c>
      <c r="AG184" s="136">
        <v>3.19</v>
      </c>
      <c r="AM184" s="328">
        <v>87</v>
      </c>
      <c r="BS184" s="336">
        <v>43.85</v>
      </c>
      <c r="BU184" s="336">
        <v>24.25</v>
      </c>
      <c r="BY184" s="136">
        <v>6.31</v>
      </c>
      <c r="CL184" s="136">
        <v>0</v>
      </c>
    </row>
    <row r="185" spans="1:91" s="347" customFormat="1">
      <c r="A185" s="337" t="s">
        <v>7902</v>
      </c>
      <c r="B185" s="338" t="s">
        <v>259</v>
      </c>
      <c r="C185" s="338" t="s">
        <v>7726</v>
      </c>
      <c r="D185" s="338" t="s">
        <v>8003</v>
      </c>
      <c r="E185" s="339"/>
      <c r="F185" s="339"/>
      <c r="G185" s="339"/>
      <c r="H185" s="339"/>
      <c r="I185" s="340"/>
      <c r="J185" s="340"/>
      <c r="K185" s="340"/>
      <c r="L185" s="341"/>
      <c r="M185" s="342"/>
      <c r="N185" s="342"/>
      <c r="O185" s="342"/>
      <c r="P185" s="343"/>
      <c r="Q185" s="343"/>
      <c r="R185" s="343"/>
      <c r="S185" s="344" t="s">
        <v>7709</v>
      </c>
      <c r="T185" s="343"/>
      <c r="U185" s="338">
        <v>10.8</v>
      </c>
      <c r="V185" s="342"/>
      <c r="W185" s="343"/>
      <c r="X185" s="343"/>
      <c r="Y185" s="342" t="s">
        <v>7709</v>
      </c>
      <c r="Z185" s="342"/>
      <c r="AA185" s="344" t="s">
        <v>7709</v>
      </c>
      <c r="AB185" s="343"/>
      <c r="AC185" s="342" t="s">
        <v>7709</v>
      </c>
      <c r="AD185" s="342"/>
      <c r="AE185" s="345"/>
      <c r="AF185" s="343"/>
      <c r="AG185" s="342">
        <v>3.23</v>
      </c>
      <c r="AH185" s="342"/>
      <c r="AI185" s="343"/>
      <c r="AJ185" s="343"/>
      <c r="AK185" s="342"/>
      <c r="AL185" s="342"/>
      <c r="AM185" s="344" t="s">
        <v>7709</v>
      </c>
      <c r="AN185" s="343"/>
      <c r="AO185" s="342"/>
      <c r="AP185" s="342"/>
      <c r="AQ185" s="343"/>
      <c r="AR185" s="343"/>
      <c r="AS185" s="342"/>
      <c r="AT185" s="342"/>
      <c r="AU185" s="343"/>
      <c r="AV185" s="343"/>
      <c r="AW185" s="342"/>
      <c r="AX185" s="342"/>
      <c r="AY185" s="343"/>
      <c r="AZ185" s="343"/>
      <c r="BA185" s="342"/>
      <c r="BB185" s="342"/>
      <c r="BC185" s="343"/>
      <c r="BD185" s="343"/>
      <c r="BE185" s="343"/>
      <c r="BF185" s="343"/>
      <c r="BG185" s="343"/>
      <c r="BH185" s="343"/>
      <c r="BI185" s="343"/>
      <c r="BJ185" s="343"/>
      <c r="BK185" s="343"/>
      <c r="BL185" s="343"/>
      <c r="BM185" s="342"/>
      <c r="BN185" s="342"/>
      <c r="BO185" s="343"/>
      <c r="BP185" s="343"/>
      <c r="BQ185" s="342"/>
      <c r="BR185" s="342"/>
      <c r="BS185" s="346">
        <v>44.69</v>
      </c>
      <c r="BT185" s="343"/>
      <c r="BU185" s="346">
        <v>22.56</v>
      </c>
      <c r="BV185" s="342"/>
      <c r="BW185" s="342"/>
      <c r="BX185" s="342"/>
      <c r="BY185" s="342"/>
      <c r="BZ185" s="342"/>
      <c r="CA185" s="342"/>
      <c r="CB185" s="342"/>
      <c r="CC185" s="342"/>
      <c r="CD185" s="342"/>
      <c r="CE185" s="342"/>
      <c r="CF185" s="342"/>
      <c r="CG185" s="342"/>
      <c r="CH185" s="342"/>
      <c r="CI185" s="342"/>
      <c r="CJ185" s="342"/>
      <c r="CK185" s="342"/>
      <c r="CL185" s="342"/>
      <c r="CM185" s="342"/>
    </row>
    <row r="186" spans="1:91">
      <c r="A186" s="154" t="s">
        <v>7904</v>
      </c>
      <c r="B186" t="s">
        <v>257</v>
      </c>
      <c r="C186" t="s">
        <v>405</v>
      </c>
      <c r="D186" t="s">
        <v>8002</v>
      </c>
      <c r="E186" s="113">
        <v>29</v>
      </c>
      <c r="F186" s="113">
        <v>13</v>
      </c>
      <c r="I186" s="112">
        <v>9</v>
      </c>
      <c r="K186" s="112">
        <v>9</v>
      </c>
      <c r="M186" s="136">
        <v>2</v>
      </c>
      <c r="S186" s="328">
        <v>881</v>
      </c>
      <c r="U186">
        <v>10.8</v>
      </c>
      <c r="Y186" s="136">
        <v>378</v>
      </c>
      <c r="AA186" s="328">
        <v>58640</v>
      </c>
      <c r="AC186" s="136">
        <v>19.100000000000001</v>
      </c>
      <c r="AG186" s="136">
        <v>3.25</v>
      </c>
      <c r="AM186" s="328">
        <v>83</v>
      </c>
      <c r="BS186" s="336">
        <v>46.19</v>
      </c>
      <c r="BU186" s="336">
        <v>19.8</v>
      </c>
      <c r="BY186" s="136">
        <v>6.27</v>
      </c>
      <c r="CL186" s="136">
        <v>0</v>
      </c>
    </row>
    <row r="187" spans="1:91">
      <c r="A187" s="154" t="s">
        <v>7904</v>
      </c>
      <c r="B187" t="s">
        <v>257</v>
      </c>
      <c r="C187" t="s">
        <v>7726</v>
      </c>
      <c r="D187" t="s">
        <v>8004</v>
      </c>
      <c r="E187" s="113">
        <v>15</v>
      </c>
      <c r="F187" s="113">
        <v>17</v>
      </c>
      <c r="I187" s="112">
        <v>9</v>
      </c>
      <c r="K187" s="112">
        <v>9</v>
      </c>
      <c r="M187" s="136">
        <v>1.57</v>
      </c>
      <c r="S187" s="328">
        <v>666</v>
      </c>
      <c r="U187">
        <v>10.8</v>
      </c>
      <c r="Y187" s="136">
        <v>336</v>
      </c>
      <c r="AA187" s="328">
        <v>48113</v>
      </c>
      <c r="AC187" s="136">
        <v>15</v>
      </c>
      <c r="AG187" s="136">
        <v>3.12</v>
      </c>
      <c r="AM187" s="328">
        <v>83</v>
      </c>
      <c r="BS187" s="336">
        <v>44.4</v>
      </c>
      <c r="BU187" s="336">
        <v>22.43</v>
      </c>
      <c r="BY187" s="136">
        <v>6.17</v>
      </c>
      <c r="CL187" s="136">
        <v>0</v>
      </c>
    </row>
    <row r="188" spans="1:91">
      <c r="A188" s="154" t="s">
        <v>7904</v>
      </c>
      <c r="B188" t="s">
        <v>259</v>
      </c>
      <c r="C188" t="s">
        <v>405</v>
      </c>
      <c r="D188" t="s">
        <v>8002</v>
      </c>
      <c r="E188" s="113">
        <v>44</v>
      </c>
      <c r="F188" s="113">
        <v>16</v>
      </c>
      <c r="I188" s="112">
        <v>9</v>
      </c>
      <c r="K188" s="112">
        <v>9</v>
      </c>
      <c r="M188" s="136">
        <v>2.4900000000000002</v>
      </c>
      <c r="S188" s="328">
        <v>1058</v>
      </c>
      <c r="U188">
        <v>10.8</v>
      </c>
      <c r="Y188" s="136">
        <v>534</v>
      </c>
      <c r="AA188" s="328">
        <v>78898</v>
      </c>
      <c r="AC188" s="136">
        <v>23.9</v>
      </c>
      <c r="AG188" s="136">
        <v>3.02</v>
      </c>
      <c r="AM188" s="328">
        <v>87</v>
      </c>
      <c r="BS188" s="336">
        <v>44.36</v>
      </c>
      <c r="BU188" s="336">
        <v>22.4</v>
      </c>
      <c r="BY188" s="136">
        <v>5.83</v>
      </c>
      <c r="CL188" s="136">
        <v>0</v>
      </c>
    </row>
    <row r="189" spans="1:91">
      <c r="A189" s="154" t="s">
        <v>7904</v>
      </c>
      <c r="B189" t="s">
        <v>259</v>
      </c>
      <c r="C189" t="s">
        <v>7726</v>
      </c>
      <c r="D189" t="s">
        <v>8004</v>
      </c>
      <c r="E189" s="113">
        <v>10</v>
      </c>
      <c r="F189" s="113">
        <v>19</v>
      </c>
      <c r="I189" s="112">
        <v>9</v>
      </c>
      <c r="K189" s="112">
        <v>9</v>
      </c>
      <c r="M189" s="136">
        <v>2.2799999999999998</v>
      </c>
      <c r="S189" s="328">
        <v>939</v>
      </c>
      <c r="U189">
        <v>10.8</v>
      </c>
      <c r="Y189" s="136">
        <v>514</v>
      </c>
      <c r="AA189" s="328">
        <v>67648</v>
      </c>
      <c r="AC189" s="136">
        <v>21.7</v>
      </c>
      <c r="AG189" s="136">
        <v>3.21</v>
      </c>
      <c r="AM189" s="328">
        <v>87</v>
      </c>
      <c r="BS189" s="336">
        <v>43.28</v>
      </c>
      <c r="BU189" s="336">
        <v>23.69</v>
      </c>
      <c r="BY189" s="136">
        <v>6.51</v>
      </c>
      <c r="CL189" s="136">
        <v>0</v>
      </c>
    </row>
    <row r="190" spans="1:91">
      <c r="A190" s="154" t="s">
        <v>7906</v>
      </c>
      <c r="B190" t="s">
        <v>257</v>
      </c>
      <c r="C190" t="s">
        <v>405</v>
      </c>
      <c r="D190" t="s">
        <v>8002</v>
      </c>
      <c r="E190" s="113">
        <v>42</v>
      </c>
      <c r="F190" s="113">
        <v>13</v>
      </c>
      <c r="I190" s="112">
        <v>9</v>
      </c>
      <c r="K190" s="112">
        <v>9</v>
      </c>
      <c r="M190" s="136">
        <v>1.8</v>
      </c>
      <c r="S190" s="328">
        <v>803</v>
      </c>
      <c r="U190">
        <v>10.8</v>
      </c>
      <c r="Y190" s="136">
        <v>347</v>
      </c>
      <c r="AA190" s="328">
        <v>58876</v>
      </c>
      <c r="AC190" s="136">
        <v>17.3</v>
      </c>
      <c r="AG190" s="136">
        <v>2.94</v>
      </c>
      <c r="AM190" s="328">
        <v>80</v>
      </c>
      <c r="BS190" s="336">
        <v>46.44</v>
      </c>
      <c r="BU190" s="336">
        <v>20.07</v>
      </c>
      <c r="BY190" s="136">
        <v>5.57</v>
      </c>
      <c r="CL190" s="136">
        <v>0</v>
      </c>
    </row>
    <row r="191" spans="1:91">
      <c r="A191" s="154" t="s">
        <v>7906</v>
      </c>
      <c r="B191" t="s">
        <v>257</v>
      </c>
      <c r="C191" t="s">
        <v>7726</v>
      </c>
      <c r="D191" t="s">
        <v>8004</v>
      </c>
      <c r="E191" s="113">
        <v>28</v>
      </c>
      <c r="F191" s="113">
        <v>17</v>
      </c>
      <c r="I191" s="112">
        <v>9</v>
      </c>
      <c r="K191" s="112">
        <v>9</v>
      </c>
      <c r="M191" s="136">
        <v>1.38</v>
      </c>
      <c r="S191" s="328">
        <v>589</v>
      </c>
      <c r="U191">
        <v>10.8</v>
      </c>
      <c r="Y191" s="136">
        <v>286</v>
      </c>
      <c r="AA191" s="328">
        <v>42058</v>
      </c>
      <c r="AC191" s="136">
        <v>13.1</v>
      </c>
      <c r="AG191" s="136">
        <v>3.12</v>
      </c>
      <c r="AM191" s="328">
        <v>80</v>
      </c>
      <c r="BS191" s="336">
        <v>44.87</v>
      </c>
      <c r="BU191" s="336">
        <v>21.76</v>
      </c>
      <c r="BY191" s="136">
        <v>6.52</v>
      </c>
      <c r="CL191" s="136">
        <v>0</v>
      </c>
    </row>
    <row r="192" spans="1:91">
      <c r="A192" s="154" t="s">
        <v>7906</v>
      </c>
      <c r="B192" t="s">
        <v>259</v>
      </c>
      <c r="C192" t="s">
        <v>405</v>
      </c>
      <c r="D192" t="s">
        <v>8002</v>
      </c>
      <c r="E192" s="113">
        <v>50</v>
      </c>
      <c r="F192" s="113">
        <v>16</v>
      </c>
      <c r="I192" s="112">
        <v>9</v>
      </c>
      <c r="K192" s="112">
        <v>9</v>
      </c>
      <c r="M192" s="136">
        <v>2.7</v>
      </c>
      <c r="S192" s="328">
        <v>1156</v>
      </c>
      <c r="U192">
        <v>10.8</v>
      </c>
      <c r="Y192" s="136">
        <v>563</v>
      </c>
      <c r="AA192" s="328">
        <v>84937</v>
      </c>
      <c r="AC192" s="136">
        <v>25.8</v>
      </c>
      <c r="AG192" s="136">
        <v>3.04</v>
      </c>
      <c r="AM192" s="328">
        <v>83</v>
      </c>
      <c r="BS192" s="336">
        <v>44.75</v>
      </c>
      <c r="BU192" s="336">
        <v>21.79</v>
      </c>
      <c r="BY192" s="136">
        <v>5.94</v>
      </c>
      <c r="CL192" s="136">
        <v>0</v>
      </c>
    </row>
    <row r="193" spans="1:90">
      <c r="A193" s="154" t="s">
        <v>7906</v>
      </c>
      <c r="B193" t="s">
        <v>259</v>
      </c>
      <c r="C193" t="s">
        <v>7726</v>
      </c>
      <c r="D193" t="s">
        <v>8004</v>
      </c>
      <c r="E193" s="113">
        <v>14</v>
      </c>
      <c r="F193" s="113">
        <v>20</v>
      </c>
      <c r="I193" s="112">
        <v>9</v>
      </c>
      <c r="K193" s="112">
        <v>9</v>
      </c>
      <c r="M193" s="136">
        <v>2.2200000000000002</v>
      </c>
      <c r="S193" s="328">
        <v>902</v>
      </c>
      <c r="U193">
        <v>10.8</v>
      </c>
      <c r="Y193" s="136">
        <v>515</v>
      </c>
      <c r="AA193" s="328">
        <v>69565</v>
      </c>
      <c r="AC193" s="136">
        <v>21.1</v>
      </c>
      <c r="AG193" s="136">
        <v>3.04</v>
      </c>
      <c r="AM193" s="328">
        <v>80</v>
      </c>
      <c r="BS193" s="336">
        <v>42.66</v>
      </c>
      <c r="BU193" s="336">
        <v>24.37</v>
      </c>
      <c r="BY193" s="136">
        <v>6.41</v>
      </c>
      <c r="CL193" s="136">
        <v>0</v>
      </c>
    </row>
    <row r="194" spans="1:90">
      <c r="A194" s="154" t="s">
        <v>7908</v>
      </c>
      <c r="B194" t="s">
        <v>257</v>
      </c>
      <c r="C194" t="s">
        <v>405</v>
      </c>
      <c r="D194" t="s">
        <v>8002</v>
      </c>
      <c r="E194" s="113">
        <v>37</v>
      </c>
      <c r="F194" s="113">
        <v>14</v>
      </c>
      <c r="I194" s="112">
        <v>9</v>
      </c>
      <c r="K194" s="112">
        <v>9</v>
      </c>
      <c r="M194" s="136">
        <v>2.62</v>
      </c>
      <c r="S194" s="328">
        <v>1194</v>
      </c>
      <c r="U194">
        <v>10.8</v>
      </c>
      <c r="Y194" s="136">
        <v>508</v>
      </c>
      <c r="AA194" s="328">
        <v>75781</v>
      </c>
      <c r="AC194" s="136">
        <v>25.2</v>
      </c>
      <c r="AG194" s="136">
        <v>3.32</v>
      </c>
      <c r="AM194" s="328">
        <v>80</v>
      </c>
      <c r="BS194" s="336">
        <v>47.43</v>
      </c>
      <c r="BU194" s="336">
        <v>20.2</v>
      </c>
      <c r="BY194" s="136">
        <v>5.58</v>
      </c>
      <c r="CL194" s="136">
        <v>0</v>
      </c>
    </row>
    <row r="195" spans="1:90">
      <c r="A195" s="154" t="s">
        <v>7908</v>
      </c>
      <c r="B195" t="s">
        <v>257</v>
      </c>
      <c r="C195" t="s">
        <v>7726</v>
      </c>
      <c r="D195" t="s">
        <v>8004</v>
      </c>
      <c r="E195" s="113">
        <v>19</v>
      </c>
      <c r="F195" s="113">
        <v>18</v>
      </c>
      <c r="I195" s="112">
        <v>9</v>
      </c>
      <c r="K195" s="112">
        <v>9</v>
      </c>
      <c r="M195" s="136">
        <v>2.74</v>
      </c>
      <c r="S195" s="328">
        <v>1155</v>
      </c>
      <c r="U195">
        <v>10.8</v>
      </c>
      <c r="Y195" s="136">
        <v>607</v>
      </c>
      <c r="AA195" s="328">
        <v>83994</v>
      </c>
      <c r="AC195" s="136">
        <v>26.2</v>
      </c>
      <c r="AG195" s="136">
        <v>3.12</v>
      </c>
      <c r="AM195" s="328">
        <v>80</v>
      </c>
      <c r="BS195" s="336">
        <v>44.14</v>
      </c>
      <c r="BU195" s="336">
        <v>23.19</v>
      </c>
      <c r="BY195" s="136">
        <v>6.14</v>
      </c>
      <c r="CL195" s="136">
        <v>0</v>
      </c>
    </row>
    <row r="196" spans="1:90">
      <c r="A196" s="154" t="s">
        <v>7908</v>
      </c>
      <c r="B196" t="s">
        <v>259</v>
      </c>
      <c r="C196" t="s">
        <v>405</v>
      </c>
      <c r="D196" t="s">
        <v>8002</v>
      </c>
      <c r="E196" s="113">
        <v>45</v>
      </c>
      <c r="F196" s="113">
        <v>15</v>
      </c>
      <c r="I196" s="112">
        <v>9</v>
      </c>
      <c r="K196" s="112">
        <v>9</v>
      </c>
      <c r="M196" s="136">
        <v>2.87</v>
      </c>
      <c r="S196" s="328">
        <v>1225</v>
      </c>
      <c r="U196">
        <v>10.8</v>
      </c>
      <c r="Y196" s="136">
        <v>619</v>
      </c>
      <c r="AA196" s="328">
        <v>90518</v>
      </c>
      <c r="AC196" s="136">
        <v>27.6</v>
      </c>
      <c r="AG196" s="136">
        <v>3.05</v>
      </c>
      <c r="AM196" s="328">
        <v>80</v>
      </c>
      <c r="BS196" s="336">
        <v>44.45</v>
      </c>
      <c r="BU196" s="336">
        <v>22.44</v>
      </c>
      <c r="BY196" s="136">
        <v>5.6</v>
      </c>
      <c r="CL196" s="136">
        <v>0</v>
      </c>
    </row>
    <row r="197" spans="1:90">
      <c r="A197" s="154" t="s">
        <v>7908</v>
      </c>
      <c r="B197" t="s">
        <v>259</v>
      </c>
      <c r="C197" t="s">
        <v>7726</v>
      </c>
      <c r="D197" t="s">
        <v>8004</v>
      </c>
      <c r="E197" s="113">
        <v>4</v>
      </c>
      <c r="F197" s="113">
        <v>19</v>
      </c>
      <c r="I197" s="112">
        <v>9</v>
      </c>
      <c r="K197" s="112">
        <v>9</v>
      </c>
      <c r="M197" s="136">
        <v>2.5499999999999998</v>
      </c>
      <c r="S197" s="328">
        <v>1069</v>
      </c>
      <c r="U197">
        <v>10.8</v>
      </c>
      <c r="Y197" s="136">
        <v>561</v>
      </c>
      <c r="AA197" s="328">
        <v>81425</v>
      </c>
      <c r="AC197" s="136">
        <v>24.3</v>
      </c>
      <c r="AG197" s="136">
        <v>2.98</v>
      </c>
      <c r="AM197" s="328">
        <v>80</v>
      </c>
      <c r="BS197" s="336">
        <v>44.05</v>
      </c>
      <c r="BU197" s="336">
        <v>23.11</v>
      </c>
      <c r="BY197" s="136">
        <v>6.5</v>
      </c>
      <c r="CL197" s="136">
        <v>0</v>
      </c>
    </row>
    <row r="198" spans="1:90">
      <c r="A198" s="154" t="s">
        <v>7910</v>
      </c>
      <c r="B198" t="s">
        <v>257</v>
      </c>
      <c r="C198" t="s">
        <v>405</v>
      </c>
      <c r="D198" t="s">
        <v>8002</v>
      </c>
      <c r="E198" s="113">
        <v>49</v>
      </c>
      <c r="F198" s="113">
        <v>13</v>
      </c>
      <c r="I198" s="112">
        <v>9</v>
      </c>
      <c r="K198" s="112">
        <v>9</v>
      </c>
      <c r="M198" s="136">
        <v>2.4900000000000002</v>
      </c>
      <c r="S198" s="328">
        <v>1099</v>
      </c>
      <c r="U198">
        <v>10.8</v>
      </c>
      <c r="Y198" s="136">
        <v>471</v>
      </c>
      <c r="AA198" s="328">
        <v>71756</v>
      </c>
      <c r="AC198" s="136">
        <v>23.9</v>
      </c>
      <c r="AG198" s="136">
        <v>3.33</v>
      </c>
      <c r="AM198" s="328">
        <v>77</v>
      </c>
      <c r="BS198" s="336">
        <v>45.99</v>
      </c>
      <c r="BU198" s="336">
        <v>19.7</v>
      </c>
      <c r="BY198" s="136">
        <v>5.66</v>
      </c>
      <c r="CL198" s="136">
        <v>0</v>
      </c>
    </row>
    <row r="199" spans="1:90">
      <c r="A199" s="154" t="s">
        <v>7910</v>
      </c>
      <c r="B199" t="s">
        <v>257</v>
      </c>
      <c r="C199" t="s">
        <v>7726</v>
      </c>
      <c r="D199" t="s">
        <v>8004</v>
      </c>
      <c r="E199" s="113">
        <v>15</v>
      </c>
      <c r="F199" s="113">
        <v>18</v>
      </c>
      <c r="I199" s="112">
        <v>9</v>
      </c>
      <c r="K199" s="112">
        <v>9</v>
      </c>
      <c r="M199" s="136">
        <v>2.5099999999999998</v>
      </c>
      <c r="S199" s="328">
        <v>1023</v>
      </c>
      <c r="U199">
        <v>10.8</v>
      </c>
      <c r="Y199" s="136">
        <v>548</v>
      </c>
      <c r="AA199" s="328">
        <v>73453</v>
      </c>
      <c r="AC199" s="136">
        <v>23.9</v>
      </c>
      <c r="AG199" s="136">
        <v>3.26</v>
      </c>
      <c r="AM199" s="328">
        <v>73</v>
      </c>
      <c r="BS199" s="336">
        <v>42.73</v>
      </c>
      <c r="BU199" s="336">
        <v>22.9</v>
      </c>
      <c r="BY199" s="136">
        <v>6.28</v>
      </c>
      <c r="CL199" s="136">
        <v>0</v>
      </c>
    </row>
    <row r="200" spans="1:90">
      <c r="A200" s="154" t="s">
        <v>7910</v>
      </c>
      <c r="B200" t="s">
        <v>259</v>
      </c>
      <c r="C200" t="s">
        <v>405</v>
      </c>
      <c r="D200" t="s">
        <v>8002</v>
      </c>
      <c r="E200" s="113">
        <v>41</v>
      </c>
      <c r="F200" s="113">
        <v>16</v>
      </c>
      <c r="I200" s="112">
        <v>9</v>
      </c>
      <c r="K200" s="112">
        <v>9</v>
      </c>
      <c r="M200" s="136">
        <v>3.52</v>
      </c>
      <c r="S200" s="328">
        <v>1440</v>
      </c>
      <c r="U200">
        <v>10.8</v>
      </c>
      <c r="Y200" s="136">
        <v>791</v>
      </c>
      <c r="AA200" s="328">
        <v>102723</v>
      </c>
      <c r="AC200" s="136">
        <v>33.799999999999997</v>
      </c>
      <c r="AG200" s="136">
        <v>3.29</v>
      </c>
      <c r="AM200" s="328">
        <v>73</v>
      </c>
      <c r="BS200" s="336">
        <v>42.6</v>
      </c>
      <c r="BU200" s="336">
        <v>23.4</v>
      </c>
      <c r="BY200" s="136">
        <v>5.61</v>
      </c>
      <c r="CL200" s="136">
        <v>0</v>
      </c>
    </row>
    <row r="201" spans="1:90">
      <c r="A201" s="154" t="s">
        <v>7910</v>
      </c>
      <c r="B201" t="s">
        <v>259</v>
      </c>
      <c r="C201" t="s">
        <v>7726</v>
      </c>
      <c r="D201" t="s">
        <v>8004</v>
      </c>
      <c r="E201" s="113">
        <v>17</v>
      </c>
      <c r="F201" s="113">
        <v>19</v>
      </c>
      <c r="I201" s="112">
        <v>9</v>
      </c>
      <c r="K201" s="112">
        <v>9</v>
      </c>
      <c r="M201" s="136">
        <v>2.67</v>
      </c>
      <c r="S201" s="328">
        <v>1030</v>
      </c>
      <c r="U201">
        <v>10.8</v>
      </c>
      <c r="Y201" s="136">
        <v>662</v>
      </c>
      <c r="AA201" s="328">
        <v>75995</v>
      </c>
      <c r="AC201" s="136">
        <v>25.5</v>
      </c>
      <c r="AG201" s="136">
        <v>3.35</v>
      </c>
      <c r="AM201" s="328">
        <v>73</v>
      </c>
      <c r="BS201" s="336">
        <v>40.47</v>
      </c>
      <c r="BU201" s="336">
        <v>26</v>
      </c>
      <c r="BY201" s="136">
        <v>6.29</v>
      </c>
      <c r="CL201" s="136">
        <v>0</v>
      </c>
    </row>
    <row r="202" spans="1:90">
      <c r="A202" s="154" t="s">
        <v>7912</v>
      </c>
      <c r="B202" t="s">
        <v>257</v>
      </c>
      <c r="C202" t="s">
        <v>405</v>
      </c>
      <c r="D202" t="s">
        <v>8002</v>
      </c>
      <c r="E202" s="113">
        <v>36</v>
      </c>
      <c r="F202" s="113">
        <v>13</v>
      </c>
      <c r="I202" s="112">
        <v>9</v>
      </c>
      <c r="K202" s="112">
        <v>9</v>
      </c>
      <c r="M202" s="136">
        <v>2.27</v>
      </c>
      <c r="S202" s="328">
        <v>1026</v>
      </c>
      <c r="U202">
        <v>10.8</v>
      </c>
      <c r="Y202" s="136">
        <v>428</v>
      </c>
      <c r="AA202" s="328">
        <v>68999</v>
      </c>
      <c r="AC202" s="136">
        <v>21.8</v>
      </c>
      <c r="AG202" s="136">
        <v>3.16</v>
      </c>
      <c r="AM202" s="328">
        <v>77</v>
      </c>
      <c r="BS202" s="336">
        <v>47.06</v>
      </c>
      <c r="BU202" s="336">
        <v>19.63</v>
      </c>
      <c r="BY202" s="136">
        <v>5.59</v>
      </c>
      <c r="CL202" s="136">
        <v>0</v>
      </c>
    </row>
    <row r="203" spans="1:90">
      <c r="A203" s="154" t="s">
        <v>7912</v>
      </c>
      <c r="B203" t="s">
        <v>257</v>
      </c>
      <c r="C203" t="s">
        <v>7726</v>
      </c>
      <c r="D203" t="s">
        <v>8004</v>
      </c>
      <c r="E203" s="113">
        <v>7</v>
      </c>
      <c r="F203" s="113">
        <v>18</v>
      </c>
      <c r="I203" s="112">
        <v>9</v>
      </c>
      <c r="K203" s="112">
        <v>9</v>
      </c>
      <c r="M203" s="136">
        <v>2.42</v>
      </c>
      <c r="S203" s="328">
        <v>1038</v>
      </c>
      <c r="U203">
        <v>10.8</v>
      </c>
      <c r="Y203" s="136">
        <v>478</v>
      </c>
      <c r="AA203" s="328">
        <v>76041</v>
      </c>
      <c r="AC203" s="136">
        <v>23.1</v>
      </c>
      <c r="AG203" s="136">
        <v>3.03</v>
      </c>
      <c r="AM203" s="328">
        <v>77</v>
      </c>
      <c r="BS203" s="336">
        <v>45.02</v>
      </c>
      <c r="BU203" s="336">
        <v>20.72</v>
      </c>
      <c r="BY203" s="136">
        <v>6.36</v>
      </c>
      <c r="CL203" s="136">
        <v>0</v>
      </c>
    </row>
    <row r="204" spans="1:90">
      <c r="A204" s="154" t="s">
        <v>7912</v>
      </c>
      <c r="B204" t="s">
        <v>259</v>
      </c>
      <c r="C204" t="s">
        <v>405</v>
      </c>
      <c r="D204" t="s">
        <v>8002</v>
      </c>
      <c r="E204" s="113">
        <v>54</v>
      </c>
      <c r="F204" s="113">
        <v>15</v>
      </c>
      <c r="I204" s="112">
        <v>9</v>
      </c>
      <c r="K204" s="112">
        <v>9</v>
      </c>
      <c r="M204" s="136">
        <v>2.84</v>
      </c>
      <c r="S204" s="328">
        <v>1166</v>
      </c>
      <c r="U204">
        <v>10.8</v>
      </c>
      <c r="Y204" s="136">
        <v>642</v>
      </c>
      <c r="AA204" s="328">
        <v>90758</v>
      </c>
      <c r="AC204" s="136">
        <v>27.2</v>
      </c>
      <c r="AG204" s="136">
        <v>3</v>
      </c>
      <c r="AM204" s="328">
        <v>77</v>
      </c>
      <c r="BS204" s="336">
        <v>42.88</v>
      </c>
      <c r="BU204" s="336">
        <v>23.6</v>
      </c>
      <c r="BY204" s="136">
        <v>5.9</v>
      </c>
      <c r="CL204" s="136">
        <v>0</v>
      </c>
    </row>
    <row r="205" spans="1:90">
      <c r="A205" s="154" t="s">
        <v>7912</v>
      </c>
      <c r="B205" t="s">
        <v>259</v>
      </c>
      <c r="C205" t="s">
        <v>7726</v>
      </c>
      <c r="D205" t="s">
        <v>8004</v>
      </c>
      <c r="E205" s="113">
        <v>25</v>
      </c>
      <c r="F205" s="113">
        <v>19</v>
      </c>
      <c r="I205" s="112">
        <v>9</v>
      </c>
      <c r="K205" s="112">
        <v>9</v>
      </c>
      <c r="M205" s="136">
        <v>3.01</v>
      </c>
      <c r="S205" s="328">
        <v>1208</v>
      </c>
      <c r="U205">
        <v>10.8</v>
      </c>
      <c r="Y205" s="136">
        <v>671</v>
      </c>
      <c r="AA205" s="328">
        <v>92987</v>
      </c>
      <c r="AC205" s="136">
        <v>28.3</v>
      </c>
      <c r="AG205" s="136">
        <v>3.04</v>
      </c>
      <c r="AM205" s="328">
        <v>77</v>
      </c>
      <c r="BS205" s="336">
        <v>42.71</v>
      </c>
      <c r="BU205" s="336">
        <v>23.72</v>
      </c>
      <c r="BY205" s="136">
        <v>7.69</v>
      </c>
      <c r="CL205" s="136">
        <v>0</v>
      </c>
    </row>
    <row r="206" spans="1:90">
      <c r="A206" s="154" t="s">
        <v>7914</v>
      </c>
      <c r="B206" t="s">
        <v>257</v>
      </c>
      <c r="C206" t="s">
        <v>405</v>
      </c>
      <c r="D206" t="s">
        <v>8002</v>
      </c>
      <c r="E206" s="113">
        <v>31</v>
      </c>
      <c r="F206" s="113">
        <v>14</v>
      </c>
      <c r="I206" s="112">
        <v>7</v>
      </c>
      <c r="K206" s="112">
        <v>9</v>
      </c>
      <c r="M206" s="136">
        <v>2.74</v>
      </c>
      <c r="S206" s="328">
        <v>1191</v>
      </c>
      <c r="U206">
        <v>10.8</v>
      </c>
      <c r="Y206" s="136">
        <v>543</v>
      </c>
      <c r="AA206" s="328">
        <v>81327</v>
      </c>
      <c r="AC206" s="136">
        <v>26.2</v>
      </c>
      <c r="AG206" s="136">
        <v>3.22</v>
      </c>
      <c r="AM206" s="328">
        <v>80</v>
      </c>
      <c r="BS206" s="336">
        <v>45.49</v>
      </c>
      <c r="BU206" s="336">
        <v>20.74</v>
      </c>
      <c r="BY206" s="136">
        <v>6.08</v>
      </c>
      <c r="CL206" s="136">
        <v>0</v>
      </c>
    </row>
    <row r="207" spans="1:90">
      <c r="A207" s="154" t="s">
        <v>7914</v>
      </c>
      <c r="B207" t="s">
        <v>257</v>
      </c>
      <c r="C207" t="s">
        <v>7726</v>
      </c>
      <c r="D207" t="s">
        <v>8004</v>
      </c>
      <c r="E207" s="113">
        <v>10</v>
      </c>
      <c r="F207" s="113">
        <v>17</v>
      </c>
      <c r="I207" s="112">
        <v>9</v>
      </c>
      <c r="K207" s="112">
        <v>9</v>
      </c>
      <c r="M207" s="136">
        <v>1.88</v>
      </c>
      <c r="S207" s="328">
        <v>811</v>
      </c>
      <c r="U207">
        <v>10.8</v>
      </c>
      <c r="Y207" s="136">
        <v>379</v>
      </c>
      <c r="AA207" s="328">
        <v>56311</v>
      </c>
      <c r="AC207" s="136">
        <v>17.899999999999999</v>
      </c>
      <c r="AG207" s="136">
        <v>3.18</v>
      </c>
      <c r="AM207" s="328">
        <v>80</v>
      </c>
      <c r="BS207" s="336">
        <v>45.29</v>
      </c>
      <c r="BU207" s="336">
        <v>21.14</v>
      </c>
      <c r="BY207" s="136">
        <v>6.39</v>
      </c>
      <c r="CL207" s="136">
        <v>0</v>
      </c>
    </row>
    <row r="208" spans="1:90">
      <c r="A208" s="154" t="s">
        <v>7914</v>
      </c>
      <c r="B208" t="s">
        <v>259</v>
      </c>
      <c r="C208" t="s">
        <v>405</v>
      </c>
      <c r="D208" t="s">
        <v>8002</v>
      </c>
      <c r="E208" s="113">
        <v>55</v>
      </c>
      <c r="F208" s="113">
        <v>16</v>
      </c>
      <c r="I208" s="112">
        <v>9</v>
      </c>
      <c r="K208" s="112">
        <v>9</v>
      </c>
      <c r="M208" s="136">
        <v>2.48</v>
      </c>
      <c r="S208" s="328" t="s">
        <v>7709</v>
      </c>
      <c r="U208">
        <v>10.8</v>
      </c>
      <c r="Y208" s="136" t="s">
        <v>7709</v>
      </c>
      <c r="AA208" s="328" t="s">
        <v>7709</v>
      </c>
      <c r="AC208" s="136">
        <v>23.6</v>
      </c>
      <c r="AG208" s="136" t="s">
        <v>7709</v>
      </c>
      <c r="AM208" s="328">
        <v>83</v>
      </c>
      <c r="BS208" s="336" t="s">
        <v>7709</v>
      </c>
      <c r="BU208" s="336" t="s">
        <v>7709</v>
      </c>
      <c r="BY208" s="136">
        <v>6.3</v>
      </c>
      <c r="CL208" s="136">
        <v>0</v>
      </c>
    </row>
    <row r="209" spans="1:90">
      <c r="A209" s="154" t="s">
        <v>7914</v>
      </c>
      <c r="B209" t="s">
        <v>259</v>
      </c>
      <c r="C209" t="s">
        <v>7726</v>
      </c>
      <c r="D209" t="s">
        <v>8004</v>
      </c>
      <c r="E209" s="113">
        <v>22</v>
      </c>
      <c r="F209" s="113">
        <v>19</v>
      </c>
      <c r="I209" s="112">
        <v>7</v>
      </c>
      <c r="K209" s="112">
        <v>9</v>
      </c>
      <c r="M209" s="136">
        <v>2.4500000000000002</v>
      </c>
      <c r="S209" s="328">
        <v>1002</v>
      </c>
      <c r="U209">
        <v>10.8</v>
      </c>
      <c r="Y209" s="136">
        <v>551</v>
      </c>
      <c r="AA209" s="328">
        <v>67377</v>
      </c>
      <c r="AC209" s="136">
        <v>23.3</v>
      </c>
      <c r="AG209" s="136">
        <v>3.46</v>
      </c>
      <c r="AM209" s="328">
        <v>80</v>
      </c>
      <c r="BS209" s="336">
        <v>42.95</v>
      </c>
      <c r="BU209" s="336">
        <v>23.61</v>
      </c>
      <c r="BY209" s="136">
        <v>6.45</v>
      </c>
      <c r="CL209" s="136">
        <v>0</v>
      </c>
    </row>
    <row r="210" spans="1:90">
      <c r="A210" s="154" t="s">
        <v>7916</v>
      </c>
      <c r="B210" t="s">
        <v>257</v>
      </c>
      <c r="C210" t="s">
        <v>405</v>
      </c>
      <c r="D210" t="s">
        <v>8002</v>
      </c>
      <c r="E210" s="113">
        <v>42</v>
      </c>
      <c r="F210" s="113">
        <v>14</v>
      </c>
      <c r="I210" s="112">
        <v>7</v>
      </c>
      <c r="K210" s="112">
        <v>9</v>
      </c>
      <c r="M210" s="136">
        <v>2.54</v>
      </c>
      <c r="S210" s="328">
        <v>1109</v>
      </c>
      <c r="U210">
        <v>10.8</v>
      </c>
      <c r="Y210" s="136">
        <v>486</v>
      </c>
      <c r="AA210" s="328">
        <v>77921</v>
      </c>
      <c r="AC210" s="136">
        <v>24.4</v>
      </c>
      <c r="AG210" s="136">
        <v>3.13</v>
      </c>
      <c r="AM210" s="328">
        <v>73</v>
      </c>
      <c r="BS210" s="336">
        <v>45.45</v>
      </c>
      <c r="BU210" s="336">
        <v>19.940000000000001</v>
      </c>
      <c r="BY210" s="136">
        <v>5.63</v>
      </c>
      <c r="CL210" s="136">
        <v>0</v>
      </c>
    </row>
    <row r="211" spans="1:90">
      <c r="A211" s="154" t="s">
        <v>7916</v>
      </c>
      <c r="B211" t="s">
        <v>257</v>
      </c>
      <c r="C211" t="s">
        <v>7726</v>
      </c>
      <c r="D211" t="s">
        <v>8004</v>
      </c>
      <c r="E211" s="113">
        <v>26</v>
      </c>
      <c r="F211" s="113">
        <v>18</v>
      </c>
      <c r="I211" s="112">
        <v>9</v>
      </c>
      <c r="K211" s="112">
        <v>9</v>
      </c>
      <c r="M211" s="136">
        <v>2.65</v>
      </c>
      <c r="S211" s="328">
        <v>1124</v>
      </c>
      <c r="U211">
        <v>10.8</v>
      </c>
      <c r="Y211" s="136">
        <v>528</v>
      </c>
      <c r="AA211" s="328">
        <v>74779</v>
      </c>
      <c r="AC211" s="136">
        <v>24.9</v>
      </c>
      <c r="AG211" s="136">
        <v>3.34</v>
      </c>
      <c r="AM211" s="328">
        <v>77</v>
      </c>
      <c r="BS211" s="336">
        <v>45.04</v>
      </c>
      <c r="BU211" s="336">
        <v>21.16</v>
      </c>
      <c r="BY211" s="136">
        <v>7.49</v>
      </c>
      <c r="CL211" s="136">
        <v>0</v>
      </c>
    </row>
    <row r="212" spans="1:90">
      <c r="A212" s="154" t="s">
        <v>7916</v>
      </c>
      <c r="B212" t="s">
        <v>259</v>
      </c>
      <c r="C212" t="s">
        <v>405</v>
      </c>
      <c r="D212" t="s">
        <v>8002</v>
      </c>
      <c r="E212" s="113">
        <v>51</v>
      </c>
      <c r="F212" s="113">
        <v>15</v>
      </c>
      <c r="I212" s="112">
        <v>9</v>
      </c>
      <c r="K212" s="112">
        <v>9</v>
      </c>
      <c r="M212" s="136">
        <v>2.5499999999999998</v>
      </c>
      <c r="S212" s="328">
        <v>1069</v>
      </c>
      <c r="U212">
        <v>10.8</v>
      </c>
      <c r="Y212" s="136">
        <v>526</v>
      </c>
      <c r="AA212" s="328">
        <v>79501</v>
      </c>
      <c r="AC212" s="136">
        <v>24.4</v>
      </c>
      <c r="AG212" s="136">
        <v>3.07</v>
      </c>
      <c r="AM212" s="328">
        <v>77</v>
      </c>
      <c r="BS212" s="336">
        <v>43.83</v>
      </c>
      <c r="BU212" s="336">
        <v>21.58</v>
      </c>
      <c r="BY212" s="136">
        <v>6</v>
      </c>
      <c r="CL212" s="136">
        <v>0</v>
      </c>
    </row>
    <row r="213" spans="1:90">
      <c r="A213" s="154" t="s">
        <v>7916</v>
      </c>
      <c r="B213" t="s">
        <v>259</v>
      </c>
      <c r="C213" t="s">
        <v>7726</v>
      </c>
      <c r="D213" t="s">
        <v>8004</v>
      </c>
      <c r="E213" s="113">
        <v>16</v>
      </c>
      <c r="F213" s="113">
        <v>19</v>
      </c>
      <c r="I213" s="112">
        <v>9</v>
      </c>
      <c r="K213" s="112">
        <v>9</v>
      </c>
      <c r="M213" s="136">
        <v>2.33</v>
      </c>
      <c r="S213" s="328">
        <v>902</v>
      </c>
      <c r="U213">
        <v>10.8</v>
      </c>
      <c r="Y213" s="136">
        <v>552</v>
      </c>
      <c r="AA213" s="328">
        <v>71727</v>
      </c>
      <c r="AC213" s="136">
        <v>22.2</v>
      </c>
      <c r="AG213" s="136">
        <v>3.09</v>
      </c>
      <c r="AM213" s="328">
        <v>77</v>
      </c>
      <c r="BS213" s="336">
        <v>40.68</v>
      </c>
      <c r="BU213" s="336">
        <v>24.92</v>
      </c>
      <c r="BY213" s="136">
        <v>6.49</v>
      </c>
      <c r="CL213" s="136">
        <v>0</v>
      </c>
    </row>
    <row r="214" spans="1:90">
      <c r="A214" s="154" t="s">
        <v>7918</v>
      </c>
      <c r="B214" t="s">
        <v>257</v>
      </c>
      <c r="C214" t="s">
        <v>405</v>
      </c>
      <c r="D214" t="s">
        <v>8002</v>
      </c>
      <c r="E214" s="113">
        <v>50</v>
      </c>
      <c r="F214" s="113">
        <v>14</v>
      </c>
      <c r="I214" s="112">
        <v>7</v>
      </c>
      <c r="K214" s="112">
        <v>9</v>
      </c>
      <c r="M214" s="136">
        <v>1.88</v>
      </c>
      <c r="S214" s="328">
        <v>846</v>
      </c>
      <c r="U214">
        <v>10.8</v>
      </c>
      <c r="Y214" s="136">
        <v>360</v>
      </c>
      <c r="AA214" s="328">
        <v>50695</v>
      </c>
      <c r="AC214" s="136">
        <v>18</v>
      </c>
      <c r="AG214" s="136">
        <v>3.55</v>
      </c>
      <c r="AM214" s="328">
        <v>83</v>
      </c>
      <c r="BS214" s="336">
        <v>46.98</v>
      </c>
      <c r="BU214" s="336">
        <v>20</v>
      </c>
      <c r="BY214" s="136">
        <v>5.91</v>
      </c>
      <c r="CL214" s="136">
        <v>0</v>
      </c>
    </row>
    <row r="215" spans="1:90">
      <c r="A215" s="154" t="s">
        <v>7918</v>
      </c>
      <c r="B215" t="s">
        <v>257</v>
      </c>
      <c r="C215" t="s">
        <v>7726</v>
      </c>
      <c r="D215" t="s">
        <v>8004</v>
      </c>
      <c r="E215" s="113">
        <v>6</v>
      </c>
      <c r="F215" s="113">
        <v>17</v>
      </c>
      <c r="I215" s="112">
        <v>9</v>
      </c>
      <c r="K215" s="112">
        <v>9</v>
      </c>
      <c r="M215" s="136">
        <v>1.4</v>
      </c>
      <c r="S215" s="328">
        <v>606</v>
      </c>
      <c r="U215">
        <v>10.8</v>
      </c>
      <c r="Y215" s="136">
        <v>279</v>
      </c>
      <c r="AA215" s="328">
        <v>40133</v>
      </c>
      <c r="AC215" s="136">
        <v>13.3</v>
      </c>
      <c r="AG215" s="136">
        <v>3.31</v>
      </c>
      <c r="AM215" s="328">
        <v>83</v>
      </c>
      <c r="BS215" s="336">
        <v>45.55</v>
      </c>
      <c r="BU215" s="336">
        <v>21</v>
      </c>
      <c r="BY215" s="136">
        <v>6.62</v>
      </c>
      <c r="CL215" s="136">
        <v>0</v>
      </c>
    </row>
    <row r="216" spans="1:90">
      <c r="A216" s="154" t="s">
        <v>7918</v>
      </c>
      <c r="B216" t="s">
        <v>259</v>
      </c>
      <c r="C216" t="s">
        <v>405</v>
      </c>
      <c r="D216" t="s">
        <v>8002</v>
      </c>
      <c r="E216" s="113">
        <v>32</v>
      </c>
      <c r="F216" s="113">
        <v>16</v>
      </c>
      <c r="I216" s="112">
        <v>9</v>
      </c>
      <c r="K216" s="112">
        <v>9</v>
      </c>
      <c r="M216" s="136">
        <v>2.2000000000000002</v>
      </c>
      <c r="S216" s="328">
        <v>921</v>
      </c>
      <c r="U216">
        <v>10.8</v>
      </c>
      <c r="Y216" s="136">
        <v>488</v>
      </c>
      <c r="AA216" s="328">
        <v>61629</v>
      </c>
      <c r="AC216" s="136">
        <v>21</v>
      </c>
      <c r="AG216" s="136">
        <v>3.41</v>
      </c>
      <c r="AM216" s="328">
        <v>83</v>
      </c>
      <c r="BS216" s="336">
        <v>43.88</v>
      </c>
      <c r="BU216" s="336">
        <v>23.24</v>
      </c>
      <c r="BY216" s="136">
        <v>6.23</v>
      </c>
      <c r="CL216" s="136">
        <v>0</v>
      </c>
    </row>
    <row r="217" spans="1:90">
      <c r="A217" s="154" t="s">
        <v>7918</v>
      </c>
      <c r="B217" t="s">
        <v>259</v>
      </c>
      <c r="C217" t="s">
        <v>7726</v>
      </c>
      <c r="D217" t="s">
        <v>8004</v>
      </c>
      <c r="E217" s="113">
        <v>11</v>
      </c>
      <c r="F217" s="113">
        <v>19</v>
      </c>
      <c r="I217" s="112">
        <v>9</v>
      </c>
      <c r="K217" s="112">
        <v>9</v>
      </c>
      <c r="M217" s="136">
        <v>2.34</v>
      </c>
      <c r="S217" s="328">
        <v>918</v>
      </c>
      <c r="U217">
        <v>10.8</v>
      </c>
      <c r="Y217" s="136">
        <v>581</v>
      </c>
      <c r="AA217" s="328">
        <v>65821</v>
      </c>
      <c r="AC217" s="136">
        <v>22.2</v>
      </c>
      <c r="AG217" s="136">
        <v>3.38</v>
      </c>
      <c r="AM217" s="328">
        <v>83</v>
      </c>
      <c r="BS217" s="336">
        <v>41.29</v>
      </c>
      <c r="BU217" s="336">
        <v>26.13</v>
      </c>
      <c r="BY217" s="136">
        <v>6.6</v>
      </c>
      <c r="CL217" s="136">
        <v>0</v>
      </c>
    </row>
    <row r="218" spans="1:90">
      <c r="A218" s="154" t="s">
        <v>7920</v>
      </c>
      <c r="B218" t="s">
        <v>257</v>
      </c>
      <c r="C218" t="s">
        <v>405</v>
      </c>
      <c r="D218" t="s">
        <v>8002</v>
      </c>
      <c r="E218" s="113">
        <v>49</v>
      </c>
      <c r="F218" s="113">
        <v>14</v>
      </c>
      <c r="I218" s="112">
        <v>9</v>
      </c>
      <c r="K218" s="112">
        <v>9</v>
      </c>
      <c r="M218" s="136">
        <v>2.5099999999999998</v>
      </c>
      <c r="S218" s="328">
        <v>1154</v>
      </c>
      <c r="U218">
        <v>10.8</v>
      </c>
      <c r="Y218" s="136">
        <v>475</v>
      </c>
      <c r="AA218" s="328">
        <v>79781</v>
      </c>
      <c r="AC218" s="136">
        <v>24.1</v>
      </c>
      <c r="AG218" s="136">
        <v>3.02</v>
      </c>
      <c r="AM218" s="328">
        <v>80</v>
      </c>
      <c r="BS218" s="336">
        <v>47.82</v>
      </c>
      <c r="BU218" s="336">
        <v>19.68</v>
      </c>
      <c r="BY218" s="136">
        <v>5.53</v>
      </c>
      <c r="CL218" s="136">
        <v>0</v>
      </c>
    </row>
    <row r="219" spans="1:90">
      <c r="A219" s="154" t="s">
        <v>7920</v>
      </c>
      <c r="B219" t="s">
        <v>257</v>
      </c>
      <c r="C219" t="s">
        <v>7726</v>
      </c>
      <c r="D219" t="s">
        <v>8004</v>
      </c>
      <c r="E219" s="113">
        <v>18</v>
      </c>
      <c r="F219" s="113">
        <v>18</v>
      </c>
      <c r="I219" s="112">
        <v>9</v>
      </c>
      <c r="K219" s="112">
        <v>9</v>
      </c>
      <c r="M219" s="136">
        <v>2.52</v>
      </c>
      <c r="S219" s="328">
        <v>1079</v>
      </c>
      <c r="U219">
        <v>10.8</v>
      </c>
      <c r="Y219" s="136">
        <v>547</v>
      </c>
      <c r="AA219" s="328">
        <v>83643</v>
      </c>
      <c r="AC219" s="136">
        <v>24.1</v>
      </c>
      <c r="AG219" s="136">
        <v>2.88</v>
      </c>
      <c r="AM219" s="328">
        <v>80</v>
      </c>
      <c r="BS219" s="336">
        <v>44.81</v>
      </c>
      <c r="BU219" s="336">
        <v>22.73</v>
      </c>
      <c r="BY219" s="136">
        <v>6.11</v>
      </c>
      <c r="CL219" s="136">
        <v>0</v>
      </c>
    </row>
    <row r="220" spans="1:90">
      <c r="A220" s="154" t="s">
        <v>7920</v>
      </c>
      <c r="B220" t="s">
        <v>259</v>
      </c>
      <c r="C220" t="s">
        <v>405</v>
      </c>
      <c r="D220" t="s">
        <v>8002</v>
      </c>
      <c r="E220" s="113">
        <v>37</v>
      </c>
      <c r="F220" s="113">
        <v>15</v>
      </c>
      <c r="I220" s="112">
        <v>9</v>
      </c>
      <c r="K220" s="112">
        <v>9</v>
      </c>
      <c r="M220" s="136">
        <v>2.31</v>
      </c>
      <c r="S220" s="328">
        <v>1002</v>
      </c>
      <c r="U220">
        <v>10.8</v>
      </c>
      <c r="Y220" s="136">
        <v>495</v>
      </c>
      <c r="AA220" s="328">
        <v>82937</v>
      </c>
      <c r="AC220" s="136">
        <v>22.2</v>
      </c>
      <c r="AG220" s="136">
        <v>2.68</v>
      </c>
      <c r="AM220" s="328">
        <v>80</v>
      </c>
      <c r="BS220" s="336">
        <v>45.18</v>
      </c>
      <c r="BU220" s="336">
        <v>22.31</v>
      </c>
      <c r="BY220" s="136">
        <v>5.61</v>
      </c>
      <c r="CL220" s="136">
        <v>0</v>
      </c>
    </row>
    <row r="221" spans="1:90">
      <c r="A221" s="154" t="s">
        <v>7920</v>
      </c>
      <c r="B221" t="s">
        <v>259</v>
      </c>
      <c r="C221" t="s">
        <v>7726</v>
      </c>
      <c r="D221" t="s">
        <v>8004</v>
      </c>
      <c r="E221" s="113">
        <v>27</v>
      </c>
      <c r="F221" s="113">
        <v>19</v>
      </c>
      <c r="I221" s="112">
        <v>9</v>
      </c>
      <c r="K221" s="112">
        <v>9</v>
      </c>
      <c r="M221" s="136">
        <v>2.19</v>
      </c>
      <c r="S221" s="328">
        <v>894</v>
      </c>
      <c r="U221">
        <v>10.8</v>
      </c>
      <c r="Y221" s="136">
        <v>498</v>
      </c>
      <c r="AA221" s="328">
        <v>74323</v>
      </c>
      <c r="AC221" s="136">
        <v>20.6</v>
      </c>
      <c r="AG221" s="136">
        <v>2.78</v>
      </c>
      <c r="AM221" s="328">
        <v>80</v>
      </c>
      <c r="BS221" s="336">
        <v>43.31</v>
      </c>
      <c r="BU221" s="336">
        <v>24.1</v>
      </c>
      <c r="BY221" s="136">
        <v>7.34</v>
      </c>
      <c r="CL221" s="136">
        <v>5</v>
      </c>
    </row>
    <row r="222" spans="1:90">
      <c r="A222" s="154" t="s">
        <v>7922</v>
      </c>
      <c r="B222" t="s">
        <v>257</v>
      </c>
      <c r="C222" t="s">
        <v>405</v>
      </c>
      <c r="D222" t="s">
        <v>8002</v>
      </c>
      <c r="E222" s="113">
        <v>34</v>
      </c>
      <c r="F222" s="113">
        <v>13</v>
      </c>
      <c r="I222" s="112">
        <v>9</v>
      </c>
      <c r="K222" s="112">
        <v>9</v>
      </c>
      <c r="M222" s="136">
        <v>2.1800000000000002</v>
      </c>
      <c r="S222" s="328">
        <v>959</v>
      </c>
      <c r="U222">
        <v>10.8</v>
      </c>
      <c r="Y222" s="136">
        <v>428</v>
      </c>
      <c r="AA222" s="328">
        <v>68111</v>
      </c>
      <c r="AC222" s="136">
        <v>20.8</v>
      </c>
      <c r="AG222" s="136">
        <v>3.06</v>
      </c>
      <c r="AM222" s="328">
        <v>80</v>
      </c>
      <c r="BS222" s="336">
        <v>46.03</v>
      </c>
      <c r="BU222" s="336">
        <v>20.52</v>
      </c>
      <c r="BY222" s="136">
        <v>6.03</v>
      </c>
      <c r="CL222" s="136">
        <v>0</v>
      </c>
    </row>
    <row r="223" spans="1:90">
      <c r="A223" s="154" t="s">
        <v>7922</v>
      </c>
      <c r="B223" t="s">
        <v>257</v>
      </c>
      <c r="C223" t="s">
        <v>7726</v>
      </c>
      <c r="D223" t="s">
        <v>8004</v>
      </c>
      <c r="E223" s="113">
        <v>11</v>
      </c>
      <c r="F223" s="113">
        <v>17</v>
      </c>
      <c r="I223" s="112">
        <v>9</v>
      </c>
      <c r="K223" s="112">
        <v>9</v>
      </c>
      <c r="M223" s="136">
        <v>2.33</v>
      </c>
      <c r="S223" s="328">
        <v>942</v>
      </c>
      <c r="U223">
        <v>10.8</v>
      </c>
      <c r="Y223" s="136">
        <v>516</v>
      </c>
      <c r="AA223" s="328">
        <v>73852</v>
      </c>
      <c r="AC223" s="136">
        <v>22.2</v>
      </c>
      <c r="AG223" s="136">
        <v>3.01</v>
      </c>
      <c r="AM223" s="328">
        <v>80</v>
      </c>
      <c r="BS223" s="336">
        <v>42.4</v>
      </c>
      <c r="BU223" s="336">
        <v>23.23</v>
      </c>
      <c r="BY223" s="136">
        <v>6.31</v>
      </c>
      <c r="CL223" s="136">
        <v>0</v>
      </c>
    </row>
    <row r="224" spans="1:90">
      <c r="A224" s="154" t="s">
        <v>7922</v>
      </c>
      <c r="B224" t="s">
        <v>259</v>
      </c>
      <c r="C224" t="s">
        <v>405</v>
      </c>
      <c r="D224" t="s">
        <v>8002</v>
      </c>
      <c r="E224" s="113">
        <v>53</v>
      </c>
      <c r="F224" s="113">
        <v>16</v>
      </c>
      <c r="I224" s="112">
        <v>9</v>
      </c>
      <c r="K224" s="112">
        <v>9</v>
      </c>
      <c r="M224" s="136">
        <v>2.96</v>
      </c>
      <c r="S224" s="328">
        <v>1209</v>
      </c>
      <c r="U224">
        <v>10.8</v>
      </c>
      <c r="Y224" s="136">
        <v>641</v>
      </c>
      <c r="AA224" s="328">
        <v>97586</v>
      </c>
      <c r="AC224" s="136">
        <v>28.4</v>
      </c>
      <c r="AG224" s="136">
        <v>2.91</v>
      </c>
      <c r="AM224" s="328">
        <v>80</v>
      </c>
      <c r="BS224" s="336">
        <v>42.66</v>
      </c>
      <c r="BU224" s="336">
        <v>22.61</v>
      </c>
      <c r="BY224" s="136">
        <v>5.86</v>
      </c>
      <c r="CL224" s="136">
        <v>0</v>
      </c>
    </row>
    <row r="225" spans="1:90">
      <c r="A225" s="154" t="s">
        <v>7922</v>
      </c>
      <c r="B225" t="s">
        <v>259</v>
      </c>
      <c r="C225" t="s">
        <v>7726</v>
      </c>
      <c r="D225" t="s">
        <v>8004</v>
      </c>
      <c r="E225" s="113">
        <v>21</v>
      </c>
      <c r="F225" s="113">
        <v>19</v>
      </c>
      <c r="I225" s="112">
        <v>9</v>
      </c>
      <c r="K225" s="112">
        <v>9</v>
      </c>
      <c r="M225" s="136">
        <v>2.33</v>
      </c>
      <c r="S225" s="328">
        <v>910</v>
      </c>
      <c r="U225">
        <v>10.8</v>
      </c>
      <c r="Y225" s="136">
        <v>564</v>
      </c>
      <c r="AA225" s="328">
        <v>79718</v>
      </c>
      <c r="AC225" s="136">
        <v>22.5</v>
      </c>
      <c r="AG225" s="136">
        <v>2.82</v>
      </c>
      <c r="AM225" s="328">
        <v>80</v>
      </c>
      <c r="BS225" s="336">
        <v>40.549999999999997</v>
      </c>
      <c r="BU225" s="336">
        <v>25.11</v>
      </c>
      <c r="BY225" s="136">
        <v>5.29</v>
      </c>
      <c r="CL225" s="136">
        <v>0</v>
      </c>
    </row>
    <row r="226" spans="1:90">
      <c r="A226" s="154" t="s">
        <v>7924</v>
      </c>
      <c r="B226" t="s">
        <v>257</v>
      </c>
      <c r="C226" t="s">
        <v>405</v>
      </c>
      <c r="D226" t="s">
        <v>8002</v>
      </c>
      <c r="E226" s="113">
        <v>44</v>
      </c>
      <c r="F226" s="113">
        <v>13</v>
      </c>
      <c r="I226" s="112">
        <v>9</v>
      </c>
      <c r="K226" s="112">
        <v>9</v>
      </c>
      <c r="M226" s="136">
        <v>2.2000000000000002</v>
      </c>
      <c r="S226" s="328">
        <v>1005</v>
      </c>
      <c r="U226">
        <v>10.8</v>
      </c>
      <c r="Y226" s="136">
        <v>402</v>
      </c>
      <c r="AA226" s="328">
        <v>68382</v>
      </c>
      <c r="AC226" s="136">
        <v>21.1</v>
      </c>
      <c r="AG226" s="136">
        <v>3.08</v>
      </c>
      <c r="AM226" s="328">
        <v>80</v>
      </c>
      <c r="BS226" s="336">
        <v>47.69</v>
      </c>
      <c r="BU226" s="336">
        <v>19.09</v>
      </c>
      <c r="BY226" s="136">
        <v>5.82</v>
      </c>
      <c r="CL226" s="136">
        <v>0</v>
      </c>
    </row>
    <row r="227" spans="1:90">
      <c r="A227" s="154" t="s">
        <v>7924</v>
      </c>
      <c r="B227" t="s">
        <v>257</v>
      </c>
      <c r="C227" t="s">
        <v>7726</v>
      </c>
      <c r="D227" t="s">
        <v>8004</v>
      </c>
      <c r="E227" s="113">
        <v>8</v>
      </c>
      <c r="F227" s="113">
        <v>17</v>
      </c>
      <c r="I227" s="112">
        <v>9</v>
      </c>
      <c r="K227" s="112">
        <v>9</v>
      </c>
      <c r="M227" s="136">
        <v>1.68</v>
      </c>
      <c r="S227" s="328">
        <v>1038</v>
      </c>
      <c r="U227">
        <v>10.8</v>
      </c>
      <c r="Y227" s="136">
        <v>457</v>
      </c>
      <c r="AA227" s="328">
        <v>74624</v>
      </c>
      <c r="AC227" s="136">
        <v>22.3</v>
      </c>
      <c r="AG227" s="136">
        <v>2.99</v>
      </c>
      <c r="AM227" s="328">
        <v>80</v>
      </c>
      <c r="BS227" s="336">
        <v>46.47</v>
      </c>
      <c r="BU227" s="336">
        <v>20.45</v>
      </c>
      <c r="BY227" s="136">
        <v>6.36</v>
      </c>
      <c r="CL227" s="136">
        <v>0</v>
      </c>
    </row>
    <row r="228" spans="1:90">
      <c r="A228" s="154" t="s">
        <v>7924</v>
      </c>
      <c r="B228" t="s">
        <v>259</v>
      </c>
      <c r="C228" t="s">
        <v>405</v>
      </c>
      <c r="D228" t="s">
        <v>8002</v>
      </c>
      <c r="E228" s="113">
        <v>31</v>
      </c>
      <c r="F228" s="113">
        <v>16</v>
      </c>
      <c r="I228" s="112">
        <v>9</v>
      </c>
      <c r="K228" s="112">
        <v>9</v>
      </c>
      <c r="M228" s="136">
        <v>2.68</v>
      </c>
      <c r="S228" s="328">
        <v>1146</v>
      </c>
      <c r="U228">
        <v>10.8</v>
      </c>
      <c r="Y228" s="136">
        <v>564</v>
      </c>
      <c r="AA228" s="328">
        <v>82293</v>
      </c>
      <c r="AC228" s="136">
        <v>25.6</v>
      </c>
      <c r="AG228" s="136">
        <v>3.11</v>
      </c>
      <c r="AM228" s="328">
        <v>80</v>
      </c>
      <c r="BS228" s="336">
        <v>44.77</v>
      </c>
      <c r="BU228" s="336">
        <v>22.03</v>
      </c>
      <c r="BY228" s="136">
        <v>6.17</v>
      </c>
      <c r="CL228" s="136">
        <v>0</v>
      </c>
    </row>
    <row r="229" spans="1:90">
      <c r="A229" s="154" t="s">
        <v>7924</v>
      </c>
      <c r="B229" t="s">
        <v>259</v>
      </c>
      <c r="C229" t="s">
        <v>7726</v>
      </c>
      <c r="D229" t="s">
        <v>8004</v>
      </c>
      <c r="E229" s="113">
        <v>26</v>
      </c>
      <c r="F229" s="113">
        <v>20</v>
      </c>
      <c r="I229" s="112">
        <v>9</v>
      </c>
      <c r="K229" s="112">
        <v>7</v>
      </c>
      <c r="M229" s="136">
        <v>2.41</v>
      </c>
      <c r="S229" s="328">
        <v>1009</v>
      </c>
      <c r="U229">
        <v>10.8</v>
      </c>
      <c r="Y229" s="136">
        <v>530</v>
      </c>
      <c r="AA229" s="328">
        <v>66804</v>
      </c>
      <c r="AC229" s="136">
        <v>22.7</v>
      </c>
      <c r="AG229" s="136">
        <v>3.4</v>
      </c>
      <c r="AM229" s="328">
        <v>80</v>
      </c>
      <c r="BS229" s="336">
        <v>44.39</v>
      </c>
      <c r="BU229" s="336">
        <v>23.3</v>
      </c>
      <c r="BY229" s="136">
        <v>7.28</v>
      </c>
      <c r="CL229" s="136">
        <v>0</v>
      </c>
    </row>
    <row r="230" spans="1:90">
      <c r="A230" s="154" t="s">
        <v>7926</v>
      </c>
      <c r="B230" t="s">
        <v>257</v>
      </c>
      <c r="C230" t="s">
        <v>405</v>
      </c>
      <c r="D230" t="s">
        <v>8002</v>
      </c>
      <c r="E230" s="113">
        <v>33</v>
      </c>
      <c r="F230" s="113">
        <v>14</v>
      </c>
      <c r="I230" s="112">
        <v>9</v>
      </c>
      <c r="K230" s="112">
        <v>9</v>
      </c>
      <c r="M230" s="136">
        <v>2.69</v>
      </c>
      <c r="S230" s="328">
        <v>1196</v>
      </c>
      <c r="U230">
        <v>10.8</v>
      </c>
      <c r="Y230" s="136">
        <v>520</v>
      </c>
      <c r="AA230" s="328">
        <v>78340</v>
      </c>
      <c r="AC230" s="136">
        <v>25.7</v>
      </c>
      <c r="AG230" s="136">
        <v>3.28</v>
      </c>
      <c r="AM230" s="328">
        <v>83</v>
      </c>
      <c r="BS230" s="336">
        <v>46.5</v>
      </c>
      <c r="BU230" s="336">
        <v>20.239999999999998</v>
      </c>
      <c r="BY230" s="136">
        <v>6.06</v>
      </c>
      <c r="CL230" s="136">
        <v>0</v>
      </c>
    </row>
    <row r="231" spans="1:90">
      <c r="A231" s="154" t="s">
        <v>7926</v>
      </c>
      <c r="B231" t="s">
        <v>257</v>
      </c>
      <c r="C231" t="s">
        <v>7726</v>
      </c>
      <c r="D231" t="s">
        <v>8004</v>
      </c>
      <c r="E231" s="113">
        <v>4</v>
      </c>
      <c r="F231" s="113">
        <v>17</v>
      </c>
      <c r="I231" s="112">
        <v>9</v>
      </c>
      <c r="K231" s="112">
        <v>9</v>
      </c>
      <c r="M231" s="136">
        <v>2.17</v>
      </c>
      <c r="S231" s="328">
        <v>895</v>
      </c>
      <c r="U231">
        <v>10.8</v>
      </c>
      <c r="Y231" s="136">
        <v>453</v>
      </c>
      <c r="AA231" s="328">
        <v>65153</v>
      </c>
      <c r="AC231" s="136">
        <v>20.6</v>
      </c>
      <c r="AG231" s="136">
        <v>3.15</v>
      </c>
      <c r="AM231" s="328">
        <v>83</v>
      </c>
      <c r="BS231" s="336">
        <v>43.56</v>
      </c>
      <c r="BU231" s="336">
        <v>22.03</v>
      </c>
      <c r="BY231" s="136">
        <v>6.91</v>
      </c>
      <c r="CL231" s="136">
        <v>0</v>
      </c>
    </row>
    <row r="232" spans="1:90">
      <c r="A232" s="154" t="s">
        <v>7926</v>
      </c>
      <c r="B232" t="s">
        <v>259</v>
      </c>
      <c r="C232" t="s">
        <v>405</v>
      </c>
      <c r="D232" t="s">
        <v>8002</v>
      </c>
      <c r="E232" s="113">
        <v>43</v>
      </c>
      <c r="F232" s="113">
        <v>15</v>
      </c>
      <c r="I232" s="112">
        <v>9</v>
      </c>
      <c r="K232" s="112">
        <v>9</v>
      </c>
      <c r="M232" s="136">
        <v>2.9</v>
      </c>
      <c r="S232" s="328">
        <v>1185</v>
      </c>
      <c r="U232">
        <v>10.8</v>
      </c>
      <c r="Y232" s="136">
        <v>648</v>
      </c>
      <c r="AA232" s="328">
        <v>89101</v>
      </c>
      <c r="AC232" s="136">
        <v>27.8</v>
      </c>
      <c r="AG232" s="136">
        <v>3.11</v>
      </c>
      <c r="AM232" s="328">
        <v>87</v>
      </c>
      <c r="BS232" s="336">
        <v>42.71</v>
      </c>
      <c r="BU232" s="336">
        <v>23.34</v>
      </c>
      <c r="BY232" s="136">
        <v>5.94</v>
      </c>
      <c r="CL232" s="136">
        <v>0</v>
      </c>
    </row>
    <row r="233" spans="1:90">
      <c r="A233" s="154" t="s">
        <v>7926</v>
      </c>
      <c r="B233" t="s">
        <v>259</v>
      </c>
      <c r="C233" t="s">
        <v>7726</v>
      </c>
      <c r="D233" t="s">
        <v>8004</v>
      </c>
      <c r="E233" s="113">
        <v>7</v>
      </c>
      <c r="F233" s="113">
        <v>19</v>
      </c>
      <c r="I233" s="112">
        <v>9</v>
      </c>
      <c r="K233" s="112">
        <v>9</v>
      </c>
      <c r="M233" s="136">
        <v>2.4700000000000002</v>
      </c>
      <c r="S233" s="328">
        <v>975</v>
      </c>
      <c r="U233">
        <v>10.8</v>
      </c>
      <c r="Y233" s="136">
        <v>587</v>
      </c>
      <c r="AA233" s="328">
        <v>76610</v>
      </c>
      <c r="AC233" s="136">
        <v>23.5</v>
      </c>
      <c r="AG233" s="136">
        <v>3.07</v>
      </c>
      <c r="AM233" s="328">
        <v>83</v>
      </c>
      <c r="BS233" s="336">
        <v>41.5</v>
      </c>
      <c r="BU233" s="336">
        <v>24.98</v>
      </c>
      <c r="BY233" s="136">
        <v>6.53</v>
      </c>
      <c r="CL233" s="136">
        <v>0</v>
      </c>
    </row>
    <row r="234" spans="1:90">
      <c r="A234" s="154" t="s">
        <v>7928</v>
      </c>
      <c r="B234" t="s">
        <v>257</v>
      </c>
      <c r="C234" t="s">
        <v>405</v>
      </c>
      <c r="D234" t="s">
        <v>8002</v>
      </c>
      <c r="E234" s="113">
        <v>51</v>
      </c>
      <c r="F234" s="113">
        <v>13</v>
      </c>
      <c r="I234" s="112">
        <v>9</v>
      </c>
      <c r="K234" s="112">
        <v>9</v>
      </c>
      <c r="M234" s="136">
        <v>2.46</v>
      </c>
      <c r="S234" s="328">
        <v>1096</v>
      </c>
      <c r="U234">
        <v>10.8</v>
      </c>
      <c r="Y234" s="136">
        <v>471</v>
      </c>
      <c r="AA234" s="328">
        <v>84582</v>
      </c>
      <c r="AC234" s="136">
        <v>23.6</v>
      </c>
      <c r="AG234" s="136">
        <v>2.79</v>
      </c>
      <c r="AM234" s="328">
        <v>77</v>
      </c>
      <c r="BS234" s="336">
        <v>46.5</v>
      </c>
      <c r="BU234" s="336">
        <v>19.96</v>
      </c>
      <c r="BY234" s="136">
        <v>5.83</v>
      </c>
      <c r="CL234" s="136">
        <v>0</v>
      </c>
    </row>
    <row r="235" spans="1:90">
      <c r="A235" s="154" t="s">
        <v>7928</v>
      </c>
      <c r="B235" t="s">
        <v>257</v>
      </c>
      <c r="C235" t="s">
        <v>7726</v>
      </c>
      <c r="D235" t="s">
        <v>8004</v>
      </c>
      <c r="E235" s="113">
        <v>7</v>
      </c>
      <c r="F235" s="113">
        <v>17</v>
      </c>
      <c r="I235" s="112">
        <v>9</v>
      </c>
      <c r="K235" s="112">
        <v>9</v>
      </c>
      <c r="M235" s="136">
        <v>2.96</v>
      </c>
      <c r="S235" s="328">
        <v>1277</v>
      </c>
      <c r="U235">
        <v>10.8</v>
      </c>
      <c r="Y235" s="136">
        <v>588</v>
      </c>
      <c r="AA235" s="328">
        <v>103459</v>
      </c>
      <c r="AC235" s="136">
        <v>28.2</v>
      </c>
      <c r="AG235" s="136">
        <v>2.73</v>
      </c>
      <c r="AM235" s="328">
        <v>77</v>
      </c>
      <c r="BS235" s="336">
        <v>45.24</v>
      </c>
      <c r="BU235" s="336">
        <v>20.82</v>
      </c>
      <c r="BY235" s="136">
        <v>6.26</v>
      </c>
      <c r="CL235" s="136">
        <v>0</v>
      </c>
    </row>
    <row r="236" spans="1:90">
      <c r="A236" s="154" t="s">
        <v>7928</v>
      </c>
      <c r="B236" t="s">
        <v>259</v>
      </c>
      <c r="C236" t="s">
        <v>405</v>
      </c>
      <c r="D236" t="s">
        <v>8002</v>
      </c>
      <c r="E236" s="113">
        <v>34</v>
      </c>
      <c r="F236" s="113">
        <v>15</v>
      </c>
      <c r="I236" s="112">
        <v>9</v>
      </c>
      <c r="K236" s="112">
        <v>9</v>
      </c>
      <c r="M236" s="136">
        <v>3.17</v>
      </c>
      <c r="S236" s="328">
        <v>1324</v>
      </c>
      <c r="U236">
        <v>10.8</v>
      </c>
      <c r="Y236" s="136">
        <v>712</v>
      </c>
      <c r="AA236" s="328">
        <v>103206</v>
      </c>
      <c r="AC236" s="136">
        <v>30.3</v>
      </c>
      <c r="AG236" s="136">
        <v>2.94</v>
      </c>
      <c r="AM236" s="328">
        <v>77</v>
      </c>
      <c r="BS236" s="336">
        <v>43.67</v>
      </c>
      <c r="BU236" s="336">
        <v>23.49</v>
      </c>
      <c r="BY236" s="136">
        <v>6.01</v>
      </c>
      <c r="CL236" s="136">
        <v>0</v>
      </c>
    </row>
    <row r="237" spans="1:90">
      <c r="A237" s="154" t="s">
        <v>7928</v>
      </c>
      <c r="B237" t="s">
        <v>259</v>
      </c>
      <c r="C237" t="s">
        <v>7726</v>
      </c>
      <c r="D237" t="s">
        <v>8004</v>
      </c>
      <c r="E237" s="113">
        <v>16</v>
      </c>
      <c r="F237" s="113">
        <v>20</v>
      </c>
      <c r="I237" s="112">
        <v>9</v>
      </c>
      <c r="K237" s="112">
        <v>9</v>
      </c>
      <c r="M237" s="136">
        <v>2.83</v>
      </c>
      <c r="S237" s="328">
        <v>1134</v>
      </c>
      <c r="U237">
        <v>10.8</v>
      </c>
      <c r="Y237" s="136">
        <v>691</v>
      </c>
      <c r="AA237" s="328">
        <v>88397</v>
      </c>
      <c r="AC237" s="136">
        <v>27</v>
      </c>
      <c r="AG237" s="136">
        <v>3.06</v>
      </c>
      <c r="AM237" s="328">
        <v>77</v>
      </c>
      <c r="BS237" s="336">
        <v>42</v>
      </c>
      <c r="BU237" s="336">
        <v>25.6</v>
      </c>
      <c r="BY237" s="136">
        <v>6.21</v>
      </c>
      <c r="CL237" s="136">
        <v>0</v>
      </c>
    </row>
    <row r="238" spans="1:90">
      <c r="A238" s="154" t="s">
        <v>7930</v>
      </c>
      <c r="B238" t="s">
        <v>257</v>
      </c>
      <c r="C238" t="s">
        <v>405</v>
      </c>
      <c r="D238" t="s">
        <v>8002</v>
      </c>
      <c r="E238" s="113">
        <v>38</v>
      </c>
      <c r="F238" s="113">
        <v>13</v>
      </c>
      <c r="I238" s="112">
        <v>9</v>
      </c>
      <c r="K238" s="112">
        <v>9</v>
      </c>
      <c r="M238" s="136">
        <v>2.37</v>
      </c>
      <c r="S238" s="328">
        <v>1068</v>
      </c>
      <c r="U238">
        <v>10.8</v>
      </c>
      <c r="Y238" s="136">
        <v>451</v>
      </c>
      <c r="AA238" s="328">
        <v>74331</v>
      </c>
      <c r="AC238" s="136">
        <v>22.8</v>
      </c>
      <c r="AG238" s="136">
        <v>3.07</v>
      </c>
      <c r="AM238" s="328">
        <v>69</v>
      </c>
      <c r="BS238" s="336">
        <v>46.79</v>
      </c>
      <c r="BU238" s="336">
        <v>19.77</v>
      </c>
      <c r="BY238" s="136">
        <v>5.33</v>
      </c>
      <c r="CL238" s="136">
        <v>0</v>
      </c>
    </row>
    <row r="239" spans="1:90">
      <c r="A239" s="154" t="s">
        <v>7930</v>
      </c>
      <c r="B239" t="s">
        <v>257</v>
      </c>
      <c r="C239" t="s">
        <v>7726</v>
      </c>
      <c r="D239" t="s">
        <v>8004</v>
      </c>
      <c r="E239" s="113">
        <v>27</v>
      </c>
      <c r="F239" s="113">
        <v>17</v>
      </c>
      <c r="I239" s="112">
        <v>9</v>
      </c>
      <c r="K239" s="112">
        <v>9</v>
      </c>
      <c r="M239" s="136">
        <v>2.08</v>
      </c>
      <c r="S239" s="328">
        <v>881</v>
      </c>
      <c r="U239">
        <v>10.8</v>
      </c>
      <c r="Y239" s="136">
        <v>424</v>
      </c>
      <c r="AA239" s="328">
        <v>62281</v>
      </c>
      <c r="AC239" s="136">
        <v>19.7</v>
      </c>
      <c r="AG239" s="136">
        <v>3.16</v>
      </c>
      <c r="AM239" s="328">
        <v>69</v>
      </c>
      <c r="BS239" s="336">
        <v>44.82</v>
      </c>
      <c r="BU239" s="336">
        <v>21.58</v>
      </c>
      <c r="BY239" s="136">
        <v>7.08</v>
      </c>
      <c r="CL239" s="136">
        <v>0</v>
      </c>
    </row>
    <row r="240" spans="1:90">
      <c r="A240" s="154" t="s">
        <v>7930</v>
      </c>
      <c r="B240" t="s">
        <v>259</v>
      </c>
      <c r="C240" t="s">
        <v>405</v>
      </c>
      <c r="D240" t="s">
        <v>8002</v>
      </c>
      <c r="E240" s="113">
        <v>42</v>
      </c>
      <c r="F240" s="113">
        <v>16</v>
      </c>
      <c r="I240" s="112">
        <v>9</v>
      </c>
      <c r="K240" s="112">
        <v>9</v>
      </c>
      <c r="M240" s="136">
        <v>2.7</v>
      </c>
      <c r="S240" s="328">
        <v>1097</v>
      </c>
      <c r="U240">
        <v>10.8</v>
      </c>
      <c r="Y240" s="136">
        <v>620</v>
      </c>
      <c r="AA240" s="328">
        <v>84891</v>
      </c>
      <c r="AC240" s="136">
        <v>25.9</v>
      </c>
      <c r="AG240" s="136">
        <v>3.05</v>
      </c>
      <c r="AM240" s="328">
        <v>69</v>
      </c>
      <c r="BS240" s="336">
        <v>42.36</v>
      </c>
      <c r="BU240" s="336">
        <v>23.92</v>
      </c>
      <c r="BY240" s="136">
        <v>5.7</v>
      </c>
      <c r="CL240" s="136">
        <v>0</v>
      </c>
    </row>
    <row r="241" spans="1:90">
      <c r="A241" s="154" t="s">
        <v>7930</v>
      </c>
      <c r="B241" t="s">
        <v>259</v>
      </c>
      <c r="C241" t="s">
        <v>7726</v>
      </c>
      <c r="D241" t="s">
        <v>8004</v>
      </c>
      <c r="E241" s="113">
        <v>2</v>
      </c>
      <c r="F241" s="113">
        <v>19</v>
      </c>
      <c r="I241" s="112">
        <v>9</v>
      </c>
      <c r="K241" s="112">
        <v>9</v>
      </c>
      <c r="M241" s="136">
        <v>2.99</v>
      </c>
      <c r="S241" s="328">
        <v>1178</v>
      </c>
      <c r="U241">
        <v>10.8</v>
      </c>
      <c r="Y241" s="136">
        <v>704</v>
      </c>
      <c r="AA241" s="328">
        <v>96940</v>
      </c>
      <c r="AC241" s="136">
        <v>28.3</v>
      </c>
      <c r="AG241" s="136">
        <v>2.92</v>
      </c>
      <c r="AM241" s="328">
        <v>69</v>
      </c>
      <c r="BS241" s="336">
        <v>41.61</v>
      </c>
      <c r="BU241" s="336">
        <v>24.89</v>
      </c>
      <c r="BY241" s="136">
        <v>6.95</v>
      </c>
      <c r="CL241" s="136">
        <v>0</v>
      </c>
    </row>
    <row r="242" spans="1:90">
      <c r="A242" s="154" t="s">
        <v>7932</v>
      </c>
      <c r="B242" t="s">
        <v>257</v>
      </c>
      <c r="C242" t="s">
        <v>405</v>
      </c>
      <c r="D242" t="s">
        <v>8002</v>
      </c>
      <c r="E242" s="113">
        <v>54</v>
      </c>
      <c r="F242" s="113">
        <v>13</v>
      </c>
      <c r="I242" s="112">
        <v>7</v>
      </c>
      <c r="K242" s="112">
        <v>9</v>
      </c>
      <c r="M242" s="136">
        <v>2.06</v>
      </c>
      <c r="S242" s="328">
        <v>896</v>
      </c>
      <c r="U242">
        <v>10.8</v>
      </c>
      <c r="Y242" s="136">
        <v>400</v>
      </c>
      <c r="AA242" s="328">
        <v>65017</v>
      </c>
      <c r="AC242" s="136">
        <v>19.7</v>
      </c>
      <c r="AG242" s="136">
        <v>3.03</v>
      </c>
      <c r="AM242" s="328">
        <v>73</v>
      </c>
      <c r="BS242" s="336">
        <v>45.46</v>
      </c>
      <c r="BU242" s="336">
        <v>20.28</v>
      </c>
      <c r="BY242" s="136">
        <v>5.93</v>
      </c>
      <c r="CL242" s="136">
        <v>0</v>
      </c>
    </row>
    <row r="243" spans="1:90">
      <c r="A243" s="154" t="s">
        <v>7932</v>
      </c>
      <c r="B243" t="s">
        <v>257</v>
      </c>
      <c r="C243" t="s">
        <v>7726</v>
      </c>
      <c r="D243" t="s">
        <v>8004</v>
      </c>
      <c r="E243" s="113">
        <v>13</v>
      </c>
      <c r="F243" s="113">
        <v>18</v>
      </c>
      <c r="I243" s="112">
        <v>9</v>
      </c>
      <c r="K243" s="112">
        <v>9</v>
      </c>
      <c r="M243" s="136">
        <v>2.0699999999999998</v>
      </c>
      <c r="S243" s="328">
        <v>859</v>
      </c>
      <c r="U243">
        <v>10.8</v>
      </c>
      <c r="Y243" s="136">
        <v>441</v>
      </c>
      <c r="AA243" s="328">
        <v>65841</v>
      </c>
      <c r="AC243" s="136">
        <v>19.7</v>
      </c>
      <c r="AG243" s="136">
        <v>3</v>
      </c>
      <c r="AM243" s="328">
        <v>69</v>
      </c>
      <c r="BS243" s="336">
        <v>43.57</v>
      </c>
      <c r="BU243" s="336">
        <v>22.38</v>
      </c>
      <c r="BY243" s="136">
        <v>6.36</v>
      </c>
      <c r="CL243" s="136">
        <v>0</v>
      </c>
    </row>
    <row r="244" spans="1:90">
      <c r="A244" s="154" t="s">
        <v>7932</v>
      </c>
      <c r="B244" t="s">
        <v>259</v>
      </c>
      <c r="C244" t="s">
        <v>405</v>
      </c>
      <c r="D244" t="s">
        <v>8002</v>
      </c>
      <c r="E244" s="113">
        <v>31</v>
      </c>
      <c r="F244" s="113">
        <v>15</v>
      </c>
      <c r="I244" s="112">
        <v>9</v>
      </c>
      <c r="K244" s="112">
        <v>9</v>
      </c>
      <c r="M244" s="136">
        <v>2.2400000000000002</v>
      </c>
      <c r="S244" s="328">
        <v>910</v>
      </c>
      <c r="U244">
        <v>10.8</v>
      </c>
      <c r="Y244" s="136">
        <v>499</v>
      </c>
      <c r="AA244" s="328">
        <v>71852</v>
      </c>
      <c r="AC244" s="136">
        <v>21.4</v>
      </c>
      <c r="AG244" s="136">
        <v>2.97</v>
      </c>
      <c r="AM244" s="328">
        <v>73</v>
      </c>
      <c r="BS244" s="336">
        <v>42.57</v>
      </c>
      <c r="BU244" s="336">
        <v>23.35</v>
      </c>
      <c r="BY244" s="136">
        <v>6.25</v>
      </c>
      <c r="CL244" s="136">
        <v>0</v>
      </c>
    </row>
    <row r="245" spans="1:90">
      <c r="A245" s="154" t="s">
        <v>7932</v>
      </c>
      <c r="B245" t="s">
        <v>259</v>
      </c>
      <c r="C245" t="s">
        <v>7726</v>
      </c>
      <c r="D245" t="s">
        <v>8004</v>
      </c>
      <c r="E245" s="113">
        <v>8</v>
      </c>
      <c r="F245" s="113">
        <v>20</v>
      </c>
      <c r="I245" s="112">
        <v>9</v>
      </c>
      <c r="K245" s="112">
        <v>9</v>
      </c>
      <c r="M245" s="136">
        <v>2.15</v>
      </c>
      <c r="S245" s="328">
        <v>873</v>
      </c>
      <c r="U245">
        <v>10.8</v>
      </c>
      <c r="Y245" s="136">
        <v>483</v>
      </c>
      <c r="AA245" s="328">
        <v>67013</v>
      </c>
      <c r="AC245" s="136">
        <v>20.5</v>
      </c>
      <c r="AG245" s="136">
        <v>3.05</v>
      </c>
      <c r="AM245" s="328">
        <v>69</v>
      </c>
      <c r="BS245" s="336">
        <v>42.68</v>
      </c>
      <c r="BU245" s="336">
        <v>23.61</v>
      </c>
      <c r="BY245" s="136">
        <v>6.51</v>
      </c>
      <c r="CL245" s="136">
        <v>0</v>
      </c>
    </row>
    <row r="246" spans="1:90">
      <c r="A246" s="154" t="s">
        <v>7934</v>
      </c>
      <c r="B246" t="s">
        <v>257</v>
      </c>
      <c r="C246" t="s">
        <v>405</v>
      </c>
      <c r="D246" t="s">
        <v>8002</v>
      </c>
      <c r="E246" s="113">
        <v>41</v>
      </c>
      <c r="F246" s="113">
        <v>14</v>
      </c>
      <c r="I246" s="112">
        <v>9</v>
      </c>
      <c r="K246" s="112">
        <v>9</v>
      </c>
      <c r="M246" s="136">
        <v>2.5099999999999998</v>
      </c>
      <c r="S246" s="328">
        <v>1100</v>
      </c>
      <c r="U246">
        <v>10.8</v>
      </c>
      <c r="Y246" s="136">
        <v>511</v>
      </c>
      <c r="AA246" s="328">
        <v>73401</v>
      </c>
      <c r="AC246" s="136">
        <v>24.1</v>
      </c>
      <c r="AG246" s="136">
        <v>3.28</v>
      </c>
      <c r="AM246" s="328">
        <v>80</v>
      </c>
      <c r="BS246" s="336">
        <v>45.66</v>
      </c>
      <c r="BU246" s="336">
        <v>21.23</v>
      </c>
      <c r="BY246" s="136">
        <v>5.68</v>
      </c>
      <c r="CL246" s="136">
        <v>0</v>
      </c>
    </row>
    <row r="247" spans="1:90">
      <c r="A247" s="154" t="s">
        <v>7934</v>
      </c>
      <c r="B247" t="s">
        <v>257</v>
      </c>
      <c r="C247" t="s">
        <v>7726</v>
      </c>
      <c r="D247" t="s">
        <v>8004</v>
      </c>
      <c r="E247" s="113">
        <v>12</v>
      </c>
      <c r="F247" s="113">
        <v>17</v>
      </c>
      <c r="I247" s="112">
        <v>9</v>
      </c>
      <c r="K247" s="112">
        <v>9</v>
      </c>
      <c r="M247" s="136">
        <v>2.21</v>
      </c>
      <c r="S247" s="328">
        <v>878</v>
      </c>
      <c r="U247">
        <v>10.8</v>
      </c>
      <c r="Y247" s="136">
        <v>513</v>
      </c>
      <c r="AA247" s="328">
        <v>63985</v>
      </c>
      <c r="AC247" s="136">
        <v>21</v>
      </c>
      <c r="AG247" s="136">
        <v>3.29</v>
      </c>
      <c r="AM247" s="328">
        <v>83</v>
      </c>
      <c r="BS247" s="336">
        <v>41.72</v>
      </c>
      <c r="BU247" s="336">
        <v>24.39</v>
      </c>
      <c r="BY247" s="136">
        <v>6.41</v>
      </c>
      <c r="CL247" s="136">
        <v>0</v>
      </c>
    </row>
    <row r="248" spans="1:90">
      <c r="A248" s="154" t="s">
        <v>7934</v>
      </c>
      <c r="B248" t="s">
        <v>259</v>
      </c>
      <c r="C248" t="s">
        <v>405</v>
      </c>
      <c r="D248" t="s">
        <v>8002</v>
      </c>
      <c r="E248" s="113">
        <v>50</v>
      </c>
      <c r="F248" s="113">
        <v>15</v>
      </c>
      <c r="I248" s="112">
        <v>9</v>
      </c>
      <c r="K248" s="112">
        <v>9</v>
      </c>
      <c r="M248" s="136">
        <v>2.54</v>
      </c>
      <c r="S248" s="328">
        <v>1061</v>
      </c>
      <c r="U248">
        <v>10.8</v>
      </c>
      <c r="Y248" s="136">
        <v>562</v>
      </c>
      <c r="AA248" s="328">
        <v>75617</v>
      </c>
      <c r="AC248" s="136">
        <v>24.3</v>
      </c>
      <c r="AG248" s="136">
        <v>3.21</v>
      </c>
      <c r="AM248" s="328">
        <v>83</v>
      </c>
      <c r="BS248" s="336">
        <v>43.64</v>
      </c>
      <c r="BU248" s="336">
        <v>23.13</v>
      </c>
      <c r="BY248" s="136">
        <v>5.97</v>
      </c>
      <c r="CL248" s="136">
        <v>0</v>
      </c>
    </row>
    <row r="249" spans="1:90">
      <c r="A249" s="154" t="s">
        <v>7934</v>
      </c>
      <c r="B249" t="s">
        <v>259</v>
      </c>
      <c r="C249" t="s">
        <v>7726</v>
      </c>
      <c r="D249" t="s">
        <v>8004</v>
      </c>
      <c r="E249" s="113">
        <v>23</v>
      </c>
      <c r="F249" s="113">
        <v>19</v>
      </c>
      <c r="I249" s="112">
        <v>9</v>
      </c>
      <c r="K249" s="112">
        <v>9</v>
      </c>
      <c r="M249" s="136">
        <v>2.65</v>
      </c>
      <c r="S249" s="328">
        <v>1078</v>
      </c>
      <c r="U249">
        <v>10.8</v>
      </c>
      <c r="Y249" s="136">
        <v>608</v>
      </c>
      <c r="AA249" s="328">
        <v>76330</v>
      </c>
      <c r="AC249" s="136">
        <v>25.2</v>
      </c>
      <c r="AG249" s="136">
        <v>3.3</v>
      </c>
      <c r="AM249" s="328">
        <v>83</v>
      </c>
      <c r="BS249" s="336">
        <v>42.75</v>
      </c>
      <c r="BU249" s="336">
        <v>24.11</v>
      </c>
      <c r="BY249" s="136">
        <v>6.51</v>
      </c>
      <c r="CL249" s="136">
        <v>0</v>
      </c>
    </row>
    <row r="250" spans="1:90">
      <c r="A250" s="154" t="s">
        <v>7936</v>
      </c>
      <c r="B250" t="s">
        <v>257</v>
      </c>
      <c r="C250" t="s">
        <v>405</v>
      </c>
      <c r="D250" t="s">
        <v>8002</v>
      </c>
      <c r="E250" s="113">
        <v>52</v>
      </c>
      <c r="F250" s="113">
        <v>14</v>
      </c>
      <c r="I250" s="112">
        <v>9</v>
      </c>
      <c r="K250" s="112">
        <v>9</v>
      </c>
      <c r="M250" s="136">
        <v>2.31</v>
      </c>
      <c r="S250" s="328">
        <v>1063</v>
      </c>
      <c r="U250">
        <v>10.8</v>
      </c>
      <c r="Y250" s="136">
        <v>421</v>
      </c>
      <c r="AA250" s="328">
        <v>73512</v>
      </c>
      <c r="AC250" s="136">
        <v>22.2</v>
      </c>
      <c r="AG250" s="136">
        <v>3.01</v>
      </c>
      <c r="AM250" s="328">
        <v>80</v>
      </c>
      <c r="BS250" s="336">
        <v>47.96</v>
      </c>
      <c r="BU250" s="336">
        <v>19</v>
      </c>
      <c r="BY250" s="136">
        <v>5.71</v>
      </c>
      <c r="CL250" s="136">
        <v>0</v>
      </c>
    </row>
    <row r="251" spans="1:90">
      <c r="A251" s="154" t="s">
        <v>7936</v>
      </c>
      <c r="B251" t="s">
        <v>257</v>
      </c>
      <c r="C251" t="s">
        <v>7726</v>
      </c>
      <c r="D251" t="s">
        <v>8004</v>
      </c>
      <c r="E251" s="113">
        <v>25</v>
      </c>
      <c r="F251" s="113">
        <v>18</v>
      </c>
      <c r="I251" s="112">
        <v>9</v>
      </c>
      <c r="K251" s="112">
        <v>9</v>
      </c>
      <c r="M251" s="136">
        <v>2.5099999999999998</v>
      </c>
      <c r="S251" s="328">
        <v>1069</v>
      </c>
      <c r="U251">
        <v>10.8</v>
      </c>
      <c r="Y251" s="136">
        <v>519</v>
      </c>
      <c r="AA251" s="328">
        <v>80205</v>
      </c>
      <c r="AC251" s="136">
        <v>23.7</v>
      </c>
      <c r="AG251" s="136">
        <v>2.95</v>
      </c>
      <c r="AM251" s="328">
        <v>80</v>
      </c>
      <c r="BS251" s="336">
        <v>45.12</v>
      </c>
      <c r="BU251" s="336">
        <v>21.91</v>
      </c>
      <c r="BY251" s="136">
        <v>7.24</v>
      </c>
      <c r="CL251" s="136">
        <v>0</v>
      </c>
    </row>
    <row r="252" spans="1:90">
      <c r="A252" s="154" t="s">
        <v>7936</v>
      </c>
      <c r="B252" t="s">
        <v>259</v>
      </c>
      <c r="C252" t="s">
        <v>405</v>
      </c>
      <c r="D252" t="s">
        <v>8002</v>
      </c>
      <c r="E252" s="113">
        <v>33</v>
      </c>
      <c r="F252" s="113">
        <v>16</v>
      </c>
      <c r="I252" s="112">
        <v>9</v>
      </c>
      <c r="K252" s="112">
        <v>9</v>
      </c>
      <c r="M252" s="136">
        <v>2.74</v>
      </c>
      <c r="S252" s="328">
        <v>1167</v>
      </c>
      <c r="U252">
        <v>10.8</v>
      </c>
      <c r="Y252" s="136">
        <v>610</v>
      </c>
      <c r="AA252" s="328">
        <v>92507</v>
      </c>
      <c r="AC252" s="136">
        <v>26.3</v>
      </c>
      <c r="AG252" s="136">
        <v>2.84</v>
      </c>
      <c r="AM252" s="328">
        <v>83</v>
      </c>
      <c r="BS252" s="336">
        <v>44.43</v>
      </c>
      <c r="BU252" s="336">
        <v>23.25</v>
      </c>
      <c r="BY252" s="136">
        <v>5.83</v>
      </c>
      <c r="CL252" s="136">
        <v>0</v>
      </c>
    </row>
    <row r="253" spans="1:90">
      <c r="A253" s="154" t="s">
        <v>7936</v>
      </c>
      <c r="B253" t="s">
        <v>259</v>
      </c>
      <c r="C253" t="s">
        <v>7726</v>
      </c>
      <c r="D253" t="s">
        <v>8004</v>
      </c>
      <c r="E253" s="113">
        <v>3</v>
      </c>
      <c r="F253" s="113">
        <v>20</v>
      </c>
      <c r="I253" s="112">
        <v>9</v>
      </c>
      <c r="K253" s="112">
        <v>9</v>
      </c>
      <c r="M253" s="136">
        <v>2.6</v>
      </c>
      <c r="S253" s="328">
        <v>1079</v>
      </c>
      <c r="U253">
        <v>10.8</v>
      </c>
      <c r="Y253" s="136">
        <v>579</v>
      </c>
      <c r="AA253" s="328">
        <v>89404</v>
      </c>
      <c r="AC253" s="136">
        <v>24.7</v>
      </c>
      <c r="AG253" s="136">
        <v>2.76</v>
      </c>
      <c r="AM253" s="328">
        <v>80</v>
      </c>
      <c r="BS253" s="336">
        <v>43.66</v>
      </c>
      <c r="BU253" s="336">
        <v>23.42</v>
      </c>
      <c r="BY253" s="136">
        <v>6.63</v>
      </c>
      <c r="CL253" s="136">
        <v>0</v>
      </c>
    </row>
    <row r="254" spans="1:90">
      <c r="A254" s="154" t="s">
        <v>7938</v>
      </c>
      <c r="B254" t="s">
        <v>257</v>
      </c>
      <c r="C254" t="s">
        <v>405</v>
      </c>
      <c r="D254" t="s">
        <v>8002</v>
      </c>
      <c r="E254" s="113">
        <v>48</v>
      </c>
      <c r="F254" s="113">
        <v>14</v>
      </c>
      <c r="I254" s="112">
        <v>9</v>
      </c>
      <c r="K254" s="112">
        <v>9</v>
      </c>
      <c r="M254" s="136">
        <v>2.61</v>
      </c>
      <c r="S254" s="328">
        <v>1166</v>
      </c>
      <c r="U254">
        <v>10.8</v>
      </c>
      <c r="Y254" s="136">
        <v>475</v>
      </c>
      <c r="AA254" s="328">
        <v>90074</v>
      </c>
      <c r="AC254" s="136">
        <v>25.1</v>
      </c>
      <c r="AG254" s="136">
        <v>2.78</v>
      </c>
      <c r="AM254" s="328">
        <v>77</v>
      </c>
      <c r="BS254" s="336">
        <v>46.51</v>
      </c>
      <c r="BU254" s="336">
        <v>18.95</v>
      </c>
      <c r="BY254" s="136">
        <v>5.63</v>
      </c>
      <c r="CL254" s="136">
        <v>0</v>
      </c>
    </row>
    <row r="255" spans="1:90">
      <c r="A255" s="154" t="s">
        <v>7938</v>
      </c>
      <c r="B255" t="s">
        <v>257</v>
      </c>
      <c r="C255" t="s">
        <v>7726</v>
      </c>
      <c r="D255" t="s">
        <v>8004</v>
      </c>
      <c r="E255" s="113">
        <v>9</v>
      </c>
      <c r="F255" s="113">
        <v>18</v>
      </c>
      <c r="I255" s="112">
        <v>9</v>
      </c>
      <c r="K255" s="112">
        <v>9</v>
      </c>
      <c r="M255" s="136">
        <v>2.76</v>
      </c>
      <c r="S255" s="328">
        <v>1143</v>
      </c>
      <c r="U255">
        <v>10.8</v>
      </c>
      <c r="Y255" s="136">
        <v>551</v>
      </c>
      <c r="AA255" s="328">
        <v>101531</v>
      </c>
      <c r="AC255" s="136">
        <v>26.3</v>
      </c>
      <c r="AG255" s="136">
        <v>2.59</v>
      </c>
      <c r="AM255" s="328">
        <v>77</v>
      </c>
      <c r="BS255" s="336">
        <v>43.42</v>
      </c>
      <c r="BU255" s="336">
        <v>20.91</v>
      </c>
      <c r="BY255" s="136">
        <v>6.23</v>
      </c>
      <c r="CL255" s="136">
        <v>0</v>
      </c>
    </row>
    <row r="256" spans="1:90">
      <c r="A256" s="154" t="s">
        <v>7938</v>
      </c>
      <c r="B256" t="s">
        <v>259</v>
      </c>
      <c r="C256" t="s">
        <v>405</v>
      </c>
      <c r="D256" t="s">
        <v>8002</v>
      </c>
      <c r="E256" s="113">
        <v>36</v>
      </c>
      <c r="F256" s="113">
        <v>15</v>
      </c>
      <c r="I256" s="112">
        <v>9</v>
      </c>
      <c r="K256" s="112">
        <v>9</v>
      </c>
      <c r="M256" s="136">
        <v>3.08</v>
      </c>
      <c r="S256" s="328">
        <v>1257</v>
      </c>
      <c r="U256">
        <v>10.8</v>
      </c>
      <c r="Y256" s="136">
        <v>642</v>
      </c>
      <c r="AA256" s="328">
        <v>108169</v>
      </c>
      <c r="AC256" s="136">
        <v>29.6</v>
      </c>
      <c r="AG256" s="136">
        <v>2.73</v>
      </c>
      <c r="AM256" s="328">
        <v>77</v>
      </c>
      <c r="BS256" s="336">
        <v>42.5</v>
      </c>
      <c r="BU256" s="336">
        <v>21.7</v>
      </c>
      <c r="BY256" s="136">
        <v>5.61</v>
      </c>
      <c r="CL256" s="136">
        <v>0</v>
      </c>
    </row>
    <row r="257" spans="1:90">
      <c r="A257" s="154" t="s">
        <v>7938</v>
      </c>
      <c r="B257" t="s">
        <v>259</v>
      </c>
      <c r="C257" t="s">
        <v>7726</v>
      </c>
      <c r="D257" t="s">
        <v>8004</v>
      </c>
      <c r="E257" s="113">
        <v>12</v>
      </c>
      <c r="F257" s="113">
        <v>20</v>
      </c>
      <c r="I257" s="112">
        <v>9</v>
      </c>
      <c r="K257" s="112">
        <v>9</v>
      </c>
      <c r="M257" s="136">
        <v>2.66</v>
      </c>
      <c r="S257" s="328">
        <v>1016</v>
      </c>
      <c r="U257">
        <v>10.8</v>
      </c>
      <c r="Y257" s="136">
        <v>619</v>
      </c>
      <c r="AA257" s="328">
        <v>94579</v>
      </c>
      <c r="AC257" s="136">
        <v>25.4</v>
      </c>
      <c r="AG257" s="136">
        <v>2.68</v>
      </c>
      <c r="AM257" s="328">
        <v>77</v>
      </c>
      <c r="BS257" s="336">
        <v>40.06</v>
      </c>
      <c r="BU257" s="336">
        <v>24.4</v>
      </c>
      <c r="BY257" s="136">
        <v>6.3</v>
      </c>
      <c r="CL257" s="136">
        <v>0</v>
      </c>
    </row>
    <row r="258" spans="1:90">
      <c r="A258" s="154" t="s">
        <v>7940</v>
      </c>
      <c r="B258" t="s">
        <v>257</v>
      </c>
      <c r="C258" t="s">
        <v>405</v>
      </c>
      <c r="D258" t="s">
        <v>8002</v>
      </c>
      <c r="E258" s="113">
        <v>33</v>
      </c>
      <c r="F258" s="113">
        <v>13</v>
      </c>
      <c r="I258" s="112">
        <v>9</v>
      </c>
      <c r="K258" s="112">
        <v>9</v>
      </c>
      <c r="M258" s="136">
        <v>2.4300000000000002</v>
      </c>
      <c r="S258" s="328">
        <v>1115</v>
      </c>
      <c r="U258">
        <v>10.8</v>
      </c>
      <c r="Y258" s="136">
        <v>477</v>
      </c>
      <c r="AA258" s="328">
        <v>62216</v>
      </c>
      <c r="AC258" s="136">
        <v>23.3</v>
      </c>
      <c r="AG258" s="136">
        <v>3.75</v>
      </c>
      <c r="AM258" s="328">
        <v>77</v>
      </c>
      <c r="BS258" s="336">
        <v>47.83</v>
      </c>
      <c r="BU258" s="336">
        <v>20.45</v>
      </c>
      <c r="BY258" s="136">
        <v>5.69</v>
      </c>
      <c r="CL258" s="136">
        <v>0</v>
      </c>
    </row>
    <row r="259" spans="1:90">
      <c r="A259" s="154" t="s">
        <v>7940</v>
      </c>
      <c r="B259" t="s">
        <v>257</v>
      </c>
      <c r="C259" t="s">
        <v>7726</v>
      </c>
      <c r="D259" t="s">
        <v>8004</v>
      </c>
      <c r="E259" s="113">
        <v>11</v>
      </c>
      <c r="F259" s="113">
        <v>18</v>
      </c>
      <c r="I259" s="112">
        <v>9</v>
      </c>
      <c r="K259" s="112">
        <v>9</v>
      </c>
      <c r="M259" s="136">
        <v>2.84</v>
      </c>
      <c r="S259" s="328">
        <v>1171</v>
      </c>
      <c r="U259">
        <v>10.8</v>
      </c>
      <c r="Y259" s="136">
        <v>662</v>
      </c>
      <c r="AA259" s="328">
        <v>71952</v>
      </c>
      <c r="AC259" s="136">
        <v>27.1</v>
      </c>
      <c r="AG259" s="136">
        <v>3.76</v>
      </c>
      <c r="AM259" s="328">
        <v>77</v>
      </c>
      <c r="BS259" s="336">
        <v>43.23</v>
      </c>
      <c r="BU259" s="336">
        <v>24.44</v>
      </c>
      <c r="BY259" s="136">
        <v>6.28</v>
      </c>
      <c r="CL259" s="136">
        <v>0</v>
      </c>
    </row>
    <row r="260" spans="1:90">
      <c r="A260" s="154" t="s">
        <v>7940</v>
      </c>
      <c r="B260" t="s">
        <v>259</v>
      </c>
      <c r="C260" t="s">
        <v>405</v>
      </c>
      <c r="D260" t="s">
        <v>8002</v>
      </c>
      <c r="E260" s="113">
        <v>46</v>
      </c>
      <c r="F260" s="113">
        <v>16</v>
      </c>
      <c r="I260" s="112">
        <v>9</v>
      </c>
      <c r="K260" s="112">
        <v>9</v>
      </c>
      <c r="M260" s="136">
        <v>2.98</v>
      </c>
      <c r="S260" s="328">
        <v>1263</v>
      </c>
      <c r="U260">
        <v>10.8</v>
      </c>
      <c r="Y260" s="136">
        <v>670</v>
      </c>
      <c r="AA260" s="328">
        <v>78938</v>
      </c>
      <c r="AC260" s="136">
        <v>28.6</v>
      </c>
      <c r="AG260" s="136">
        <v>3.62</v>
      </c>
      <c r="AM260" s="328">
        <v>77</v>
      </c>
      <c r="BS260" s="336">
        <v>44.21</v>
      </c>
      <c r="BU260" s="336">
        <v>23.44</v>
      </c>
      <c r="BY260" s="136">
        <v>5.75</v>
      </c>
      <c r="CL260" s="136">
        <v>0</v>
      </c>
    </row>
    <row r="261" spans="1:90">
      <c r="A261" s="154" t="s">
        <v>7940</v>
      </c>
      <c r="B261" t="s">
        <v>259</v>
      </c>
      <c r="C261" t="s">
        <v>7726</v>
      </c>
      <c r="D261" t="s">
        <v>8004</v>
      </c>
      <c r="E261" s="113">
        <v>18</v>
      </c>
      <c r="F261" s="113">
        <v>20</v>
      </c>
      <c r="I261" s="112">
        <v>9</v>
      </c>
      <c r="K261" s="112">
        <v>9</v>
      </c>
      <c r="M261" s="136">
        <v>3</v>
      </c>
      <c r="S261" s="328">
        <v>1236</v>
      </c>
      <c r="U261">
        <v>10.8</v>
      </c>
      <c r="Y261" s="136">
        <v>711</v>
      </c>
      <c r="AA261" s="328">
        <v>74330</v>
      </c>
      <c r="AC261" s="136">
        <v>28.6</v>
      </c>
      <c r="AG261" s="136">
        <v>3.85</v>
      </c>
      <c r="AM261" s="328">
        <v>77</v>
      </c>
      <c r="BS261" s="336">
        <v>43.16</v>
      </c>
      <c r="BU261" s="336">
        <v>24.83</v>
      </c>
      <c r="BY261" s="136">
        <v>6.16</v>
      </c>
      <c r="CL261" s="136">
        <v>0</v>
      </c>
    </row>
    <row r="262" spans="1:90">
      <c r="A262" s="154" t="s">
        <v>7942</v>
      </c>
      <c r="B262" t="s">
        <v>257</v>
      </c>
      <c r="C262" t="s">
        <v>405</v>
      </c>
      <c r="D262" t="s">
        <v>8002</v>
      </c>
      <c r="E262" s="113">
        <v>52</v>
      </c>
      <c r="F262" s="113">
        <v>13</v>
      </c>
      <c r="I262" s="112">
        <v>9</v>
      </c>
      <c r="K262" s="112">
        <v>9</v>
      </c>
      <c r="M262" s="136">
        <v>2.19</v>
      </c>
      <c r="S262" s="328">
        <v>991</v>
      </c>
      <c r="U262">
        <v>10.8</v>
      </c>
      <c r="Y262" s="136">
        <v>398</v>
      </c>
      <c r="AA262" s="328">
        <v>63001</v>
      </c>
      <c r="AC262" s="136">
        <v>21</v>
      </c>
      <c r="AG262" s="136">
        <v>3.34</v>
      </c>
      <c r="AM262" s="328">
        <v>80</v>
      </c>
      <c r="BS262" s="336">
        <v>47.18</v>
      </c>
      <c r="BU262" s="336">
        <v>18.920000000000002</v>
      </c>
      <c r="BY262" s="136">
        <v>5.69</v>
      </c>
      <c r="CL262" s="136">
        <v>0</v>
      </c>
    </row>
    <row r="263" spans="1:90">
      <c r="A263" s="154" t="s">
        <v>7942</v>
      </c>
      <c r="B263" t="s">
        <v>257</v>
      </c>
      <c r="C263" t="s">
        <v>7726</v>
      </c>
      <c r="D263" t="s">
        <v>8004</v>
      </c>
      <c r="E263" s="113">
        <v>14</v>
      </c>
      <c r="F263" s="113">
        <v>18</v>
      </c>
      <c r="I263" s="112">
        <v>9</v>
      </c>
      <c r="K263" s="112">
        <v>9</v>
      </c>
      <c r="M263" s="136">
        <v>2.4500000000000002</v>
      </c>
      <c r="S263" s="328">
        <v>1043</v>
      </c>
      <c r="U263">
        <v>10.8</v>
      </c>
      <c r="Y263" s="136">
        <v>503</v>
      </c>
      <c r="AA263" s="328">
        <v>71202</v>
      </c>
      <c r="AC263" s="136">
        <v>23.4</v>
      </c>
      <c r="AG263" s="136">
        <v>3.28</v>
      </c>
      <c r="AM263" s="328">
        <v>83</v>
      </c>
      <c r="BS263" s="336">
        <v>44.66</v>
      </c>
      <c r="BU263" s="336">
        <v>21.53</v>
      </c>
      <c r="BY263" s="136">
        <v>6.33</v>
      </c>
      <c r="CL263" s="136">
        <v>0</v>
      </c>
    </row>
    <row r="264" spans="1:90">
      <c r="A264" s="154" t="s">
        <v>7942</v>
      </c>
      <c r="B264" t="s">
        <v>259</v>
      </c>
      <c r="C264" t="s">
        <v>405</v>
      </c>
      <c r="D264" t="s">
        <v>8002</v>
      </c>
      <c r="E264" s="113">
        <v>39</v>
      </c>
      <c r="F264" s="113">
        <v>16</v>
      </c>
      <c r="I264" s="112">
        <v>9</v>
      </c>
      <c r="K264" s="112">
        <v>9</v>
      </c>
      <c r="M264" s="136">
        <v>3.53</v>
      </c>
      <c r="S264" s="328">
        <v>1472</v>
      </c>
      <c r="U264">
        <v>10.8</v>
      </c>
      <c r="Y264" s="136">
        <v>767</v>
      </c>
      <c r="AA264" s="328">
        <v>105087</v>
      </c>
      <c r="AC264" s="136">
        <v>33.9</v>
      </c>
      <c r="AG264" s="136">
        <v>3.22</v>
      </c>
      <c r="AM264" s="328">
        <v>83</v>
      </c>
      <c r="BS264" s="336">
        <v>43.44</v>
      </c>
      <c r="BU264" s="336">
        <v>22.62</v>
      </c>
      <c r="BY264" s="136">
        <v>5.66</v>
      </c>
      <c r="CL264" s="136">
        <v>0</v>
      </c>
    </row>
    <row r="265" spans="1:90">
      <c r="A265" s="154" t="s">
        <v>7942</v>
      </c>
      <c r="B265" t="s">
        <v>259</v>
      </c>
      <c r="C265" t="s">
        <v>7726</v>
      </c>
      <c r="D265" t="s">
        <v>8004</v>
      </c>
      <c r="E265" s="113">
        <v>13</v>
      </c>
      <c r="F265" s="113">
        <v>20</v>
      </c>
      <c r="I265" s="112">
        <v>9</v>
      </c>
      <c r="K265" s="112">
        <v>9</v>
      </c>
      <c r="M265" s="136">
        <v>2.34</v>
      </c>
      <c r="S265" s="328">
        <v>946</v>
      </c>
      <c r="U265">
        <v>10.8</v>
      </c>
      <c r="Y265" s="136">
        <v>536</v>
      </c>
      <c r="AA265" s="328">
        <v>64847</v>
      </c>
      <c r="AC265" s="136">
        <v>22.3</v>
      </c>
      <c r="AG265" s="136">
        <v>3.44</v>
      </c>
      <c r="AM265" s="328">
        <v>83</v>
      </c>
      <c r="BS265" s="336">
        <v>42.44</v>
      </c>
      <c r="BU265" s="336">
        <v>24.03</v>
      </c>
      <c r="BY265" s="136">
        <v>6.34</v>
      </c>
      <c r="CL265" s="136">
        <v>0</v>
      </c>
    </row>
    <row r="266" spans="1:90">
      <c r="A266" s="154" t="s">
        <v>7944</v>
      </c>
      <c r="B266" t="s">
        <v>257</v>
      </c>
      <c r="C266" t="s">
        <v>405</v>
      </c>
      <c r="D266" t="s">
        <v>8002</v>
      </c>
      <c r="E266" s="113">
        <v>32</v>
      </c>
      <c r="F266" s="113">
        <v>14</v>
      </c>
      <c r="I266" s="112">
        <v>9</v>
      </c>
      <c r="K266" s="112">
        <v>9</v>
      </c>
      <c r="M266" s="136">
        <v>2.85</v>
      </c>
      <c r="S266" s="328">
        <v>1258</v>
      </c>
      <c r="U266">
        <v>10.8</v>
      </c>
      <c r="Y266" s="136">
        <v>546</v>
      </c>
      <c r="AA266" s="328">
        <v>88036</v>
      </c>
      <c r="AC266" s="136">
        <v>27.2</v>
      </c>
      <c r="AG266" s="136">
        <v>3.09</v>
      </c>
      <c r="AM266" s="328">
        <v>77</v>
      </c>
      <c r="BS266" s="336">
        <v>46.19</v>
      </c>
      <c r="BU266" s="336">
        <v>20.04</v>
      </c>
      <c r="BY266" s="136">
        <v>6.11</v>
      </c>
      <c r="CL266" s="136">
        <v>0</v>
      </c>
    </row>
    <row r="267" spans="1:90">
      <c r="A267" s="154" t="s">
        <v>7944</v>
      </c>
      <c r="B267" t="s">
        <v>257</v>
      </c>
      <c r="C267" t="s">
        <v>7726</v>
      </c>
      <c r="D267" t="s">
        <v>8004</v>
      </c>
      <c r="E267" s="113">
        <v>2</v>
      </c>
      <c r="F267" s="113">
        <v>18</v>
      </c>
      <c r="I267" s="112">
        <v>9</v>
      </c>
      <c r="K267" s="112">
        <v>9</v>
      </c>
      <c r="M267" s="136">
        <v>2.3199999999999998</v>
      </c>
      <c r="S267" s="328">
        <v>952</v>
      </c>
      <c r="U267">
        <v>10.8</v>
      </c>
      <c r="Y267" s="136">
        <v>495</v>
      </c>
      <c r="AA267" s="328">
        <v>75692</v>
      </c>
      <c r="AC267" s="136">
        <v>22</v>
      </c>
      <c r="AG267" s="136">
        <v>2.9</v>
      </c>
      <c r="AM267" s="328">
        <v>73</v>
      </c>
      <c r="BS267" s="336">
        <v>43.38</v>
      </c>
      <c r="BU267" s="336">
        <v>22.55</v>
      </c>
      <c r="BY267" s="136">
        <v>7.01</v>
      </c>
      <c r="CL267" s="136">
        <v>0</v>
      </c>
    </row>
    <row r="268" spans="1:90">
      <c r="A268" s="154" t="s">
        <v>7944</v>
      </c>
      <c r="B268" t="s">
        <v>259</v>
      </c>
      <c r="C268" t="s">
        <v>405</v>
      </c>
      <c r="D268" t="s">
        <v>8002</v>
      </c>
      <c r="E268" s="113">
        <v>42</v>
      </c>
      <c r="F268" s="113">
        <v>15</v>
      </c>
      <c r="I268" s="112">
        <v>9</v>
      </c>
      <c r="K268" s="112">
        <v>9</v>
      </c>
      <c r="M268" s="136">
        <v>2.85</v>
      </c>
      <c r="S268" s="328">
        <v>1186</v>
      </c>
      <c r="U268">
        <v>10.8</v>
      </c>
      <c r="Y268" s="136">
        <v>623</v>
      </c>
      <c r="AA268" s="328">
        <v>89761</v>
      </c>
      <c r="AC268" s="136">
        <v>27.4</v>
      </c>
      <c r="AG268" s="136">
        <v>3.05</v>
      </c>
      <c r="AM268" s="328">
        <v>77</v>
      </c>
      <c r="BS268" s="336">
        <v>43.37</v>
      </c>
      <c r="BU268" s="336">
        <v>22.79</v>
      </c>
      <c r="BY268" s="136">
        <v>5.67</v>
      </c>
      <c r="CL268" s="136">
        <v>0</v>
      </c>
    </row>
    <row r="269" spans="1:90">
      <c r="A269" s="154" t="s">
        <v>7944</v>
      </c>
      <c r="B269" t="s">
        <v>259</v>
      </c>
      <c r="C269" t="s">
        <v>7726</v>
      </c>
      <c r="D269" t="s">
        <v>8004</v>
      </c>
      <c r="E269" s="113">
        <v>3</v>
      </c>
      <c r="F269" s="113">
        <v>19</v>
      </c>
      <c r="I269" s="112">
        <v>9</v>
      </c>
      <c r="K269" s="112">
        <v>9</v>
      </c>
      <c r="M269" s="136">
        <v>2.66</v>
      </c>
      <c r="S269" s="328">
        <v>1081</v>
      </c>
      <c r="U269">
        <v>10.8</v>
      </c>
      <c r="Y269" s="136">
        <v>603</v>
      </c>
      <c r="AA269" s="328">
        <v>84602</v>
      </c>
      <c r="AC269" s="136">
        <v>25.2</v>
      </c>
      <c r="AG269" s="136">
        <v>2.98</v>
      </c>
      <c r="AM269" s="328">
        <v>77</v>
      </c>
      <c r="BS269" s="336">
        <v>42.89</v>
      </c>
      <c r="BU269" s="336">
        <v>23.92</v>
      </c>
      <c r="BY269" s="136">
        <v>6.84</v>
      </c>
      <c r="CL269" s="136">
        <v>0</v>
      </c>
    </row>
    <row r="270" spans="1:90">
      <c r="A270" s="154" t="s">
        <v>7946</v>
      </c>
      <c r="B270" t="s">
        <v>257</v>
      </c>
      <c r="C270" t="s">
        <v>405</v>
      </c>
      <c r="D270" t="s">
        <v>8002</v>
      </c>
      <c r="E270" s="113">
        <v>41</v>
      </c>
      <c r="F270" s="113">
        <v>13</v>
      </c>
      <c r="I270" s="112">
        <v>9</v>
      </c>
      <c r="K270" s="112">
        <v>9</v>
      </c>
      <c r="M270" s="136">
        <v>2.66</v>
      </c>
      <c r="S270" s="328">
        <v>1173</v>
      </c>
      <c r="U270">
        <v>10.8</v>
      </c>
      <c r="Y270" s="136">
        <v>495</v>
      </c>
      <c r="AA270" s="328">
        <v>80731</v>
      </c>
      <c r="AC270" s="136">
        <v>25.5</v>
      </c>
      <c r="AG270" s="136">
        <v>3.16</v>
      </c>
      <c r="AM270" s="328">
        <v>77</v>
      </c>
      <c r="BS270" s="336">
        <v>45.97</v>
      </c>
      <c r="BU270" s="336">
        <v>19.39</v>
      </c>
      <c r="BY270" s="136">
        <v>5.7</v>
      </c>
      <c r="CL270" s="136">
        <v>0</v>
      </c>
    </row>
    <row r="271" spans="1:90">
      <c r="A271" s="154" t="s">
        <v>7946</v>
      </c>
      <c r="B271" t="s">
        <v>257</v>
      </c>
      <c r="C271" t="s">
        <v>7726</v>
      </c>
      <c r="D271" t="s">
        <v>8004</v>
      </c>
      <c r="E271" s="113">
        <v>23</v>
      </c>
      <c r="F271" s="113">
        <v>18</v>
      </c>
      <c r="I271" s="112">
        <v>9</v>
      </c>
      <c r="K271" s="112">
        <v>9</v>
      </c>
      <c r="M271" s="136">
        <v>2.58</v>
      </c>
      <c r="S271" s="328">
        <v>1082</v>
      </c>
      <c r="U271">
        <v>10.8</v>
      </c>
      <c r="Y271" s="136">
        <v>519</v>
      </c>
      <c r="AA271" s="328">
        <v>77671</v>
      </c>
      <c r="AC271" s="136">
        <v>24.6</v>
      </c>
      <c r="AG271" s="136">
        <v>3.17</v>
      </c>
      <c r="AM271" s="328">
        <v>73</v>
      </c>
      <c r="BS271" s="336">
        <v>43.97</v>
      </c>
      <c r="BU271" s="336">
        <v>21.11</v>
      </c>
      <c r="BY271" s="136">
        <v>6.28</v>
      </c>
      <c r="CL271" s="136">
        <v>0</v>
      </c>
    </row>
    <row r="272" spans="1:90">
      <c r="A272" s="154" t="s">
        <v>7946</v>
      </c>
      <c r="B272" t="s">
        <v>259</v>
      </c>
      <c r="C272" t="s">
        <v>405</v>
      </c>
      <c r="D272" t="s">
        <v>8002</v>
      </c>
      <c r="E272" s="113">
        <v>51</v>
      </c>
      <c r="F272" s="113">
        <v>16</v>
      </c>
      <c r="I272" s="112">
        <v>9</v>
      </c>
      <c r="K272" s="112">
        <v>9</v>
      </c>
      <c r="M272" s="136">
        <v>3.22</v>
      </c>
      <c r="S272" s="328">
        <v>1336</v>
      </c>
      <c r="U272">
        <v>10.8</v>
      </c>
      <c r="Y272" s="136">
        <v>683</v>
      </c>
      <c r="AA272" s="328">
        <v>100147</v>
      </c>
      <c r="AC272" s="136">
        <v>30.8</v>
      </c>
      <c r="AG272" s="136">
        <v>3.08</v>
      </c>
      <c r="AM272" s="328">
        <v>77</v>
      </c>
      <c r="BS272" s="336">
        <v>43.36</v>
      </c>
      <c r="BU272" s="336">
        <v>22.16</v>
      </c>
      <c r="BY272" s="136">
        <v>5.98</v>
      </c>
      <c r="CL272" s="136">
        <v>0</v>
      </c>
    </row>
    <row r="273" spans="1:91">
      <c r="A273" s="154" t="s">
        <v>7946</v>
      </c>
      <c r="B273" t="s">
        <v>259</v>
      </c>
      <c r="C273" t="s">
        <v>7726</v>
      </c>
      <c r="D273" t="s">
        <v>8004</v>
      </c>
      <c r="E273" s="113">
        <v>2</v>
      </c>
      <c r="F273" s="113">
        <v>20</v>
      </c>
      <c r="I273" s="112">
        <v>9</v>
      </c>
      <c r="K273" s="112">
        <v>9</v>
      </c>
      <c r="M273" s="136">
        <v>2.5499999999999998</v>
      </c>
      <c r="S273" s="328">
        <v>1009</v>
      </c>
      <c r="U273">
        <v>10.8</v>
      </c>
      <c r="Y273" s="136">
        <v>575</v>
      </c>
      <c r="AA273" s="328">
        <v>82240</v>
      </c>
      <c r="AC273" s="136">
        <v>24.1</v>
      </c>
      <c r="AG273" s="136">
        <v>2.93</v>
      </c>
      <c r="AM273" s="328">
        <v>73</v>
      </c>
      <c r="BS273" s="336">
        <v>41.83</v>
      </c>
      <c r="BU273" s="336">
        <v>23.86</v>
      </c>
      <c r="BY273" s="136">
        <v>7.03</v>
      </c>
      <c r="CL273" s="136">
        <v>0</v>
      </c>
    </row>
    <row r="274" spans="1:91">
      <c r="A274" s="154" t="s">
        <v>7948</v>
      </c>
      <c r="B274" t="s">
        <v>257</v>
      </c>
      <c r="C274" t="s">
        <v>405</v>
      </c>
      <c r="D274" t="s">
        <v>8002</v>
      </c>
      <c r="E274" s="113">
        <v>51</v>
      </c>
      <c r="F274" s="113">
        <v>14</v>
      </c>
      <c r="I274" s="112">
        <v>9</v>
      </c>
      <c r="K274" s="112">
        <v>9</v>
      </c>
      <c r="M274" s="136">
        <v>2.1800000000000002</v>
      </c>
      <c r="S274" s="328">
        <v>993</v>
      </c>
      <c r="U274">
        <v>10.8</v>
      </c>
      <c r="Y274" s="136">
        <v>390</v>
      </c>
      <c r="AA274" s="328">
        <v>71683</v>
      </c>
      <c r="AC274" s="136">
        <v>20.9</v>
      </c>
      <c r="AG274" s="136">
        <v>2.91</v>
      </c>
      <c r="AM274" s="328">
        <v>77</v>
      </c>
      <c r="BS274" s="336">
        <v>47.54</v>
      </c>
      <c r="BU274" s="336">
        <v>18.66</v>
      </c>
      <c r="BY274" s="136">
        <v>5.81</v>
      </c>
      <c r="CL274" s="136">
        <v>0</v>
      </c>
    </row>
    <row r="275" spans="1:91">
      <c r="A275" s="154" t="s">
        <v>7948</v>
      </c>
      <c r="B275" t="s">
        <v>257</v>
      </c>
      <c r="C275" t="s">
        <v>7726</v>
      </c>
      <c r="D275" t="s">
        <v>8004</v>
      </c>
      <c r="E275" s="113">
        <v>25</v>
      </c>
      <c r="F275" s="113">
        <v>17</v>
      </c>
      <c r="I275" s="112">
        <v>9</v>
      </c>
      <c r="K275" s="112">
        <v>9</v>
      </c>
      <c r="M275" s="136">
        <v>1.8</v>
      </c>
      <c r="S275" s="328">
        <v>775</v>
      </c>
      <c r="U275">
        <v>10.8</v>
      </c>
      <c r="Y275" s="136">
        <v>351</v>
      </c>
      <c r="AA275" s="328">
        <v>60124</v>
      </c>
      <c r="AC275" s="136">
        <v>16.899999999999999</v>
      </c>
      <c r="AG275" s="136">
        <v>2.82</v>
      </c>
      <c r="AM275" s="328">
        <v>77</v>
      </c>
      <c r="BS275" s="336">
        <v>45.79</v>
      </c>
      <c r="BU275" s="336">
        <v>20.7</v>
      </c>
      <c r="BY275" s="136">
        <v>7.53</v>
      </c>
      <c r="CL275" s="136">
        <v>0</v>
      </c>
    </row>
    <row r="276" spans="1:91">
      <c r="A276" s="154" t="s">
        <v>7948</v>
      </c>
      <c r="B276" t="s">
        <v>259</v>
      </c>
      <c r="C276" t="s">
        <v>405</v>
      </c>
      <c r="D276" t="s">
        <v>8002</v>
      </c>
      <c r="E276" s="113">
        <v>30</v>
      </c>
      <c r="F276" s="113">
        <v>16</v>
      </c>
      <c r="I276" s="112">
        <v>9</v>
      </c>
      <c r="K276" s="112">
        <v>9</v>
      </c>
      <c r="M276" s="136">
        <v>2.71</v>
      </c>
      <c r="S276" s="328">
        <v>1128</v>
      </c>
      <c r="U276">
        <v>10.8</v>
      </c>
      <c r="Y276" s="136">
        <v>589</v>
      </c>
      <c r="AA276" s="328">
        <v>89147</v>
      </c>
      <c r="AC276" s="136">
        <v>25.9</v>
      </c>
      <c r="AG276" s="136">
        <v>2.9</v>
      </c>
      <c r="AM276" s="328">
        <v>73</v>
      </c>
      <c r="BS276" s="336">
        <v>43.65</v>
      </c>
      <c r="BU276" s="336">
        <v>22.77</v>
      </c>
      <c r="BY276" s="136">
        <v>6.25</v>
      </c>
      <c r="CL276" s="136">
        <v>0</v>
      </c>
    </row>
    <row r="277" spans="1:91">
      <c r="A277" s="154" t="s">
        <v>7948</v>
      </c>
      <c r="B277" t="s">
        <v>259</v>
      </c>
      <c r="C277" t="s">
        <v>7726</v>
      </c>
      <c r="D277" t="s">
        <v>8004</v>
      </c>
      <c r="E277" s="113">
        <v>24</v>
      </c>
      <c r="F277" s="113">
        <v>19</v>
      </c>
      <c r="I277" s="112">
        <v>9</v>
      </c>
      <c r="K277" s="112">
        <v>9</v>
      </c>
      <c r="M277" s="136">
        <v>2.2999999999999998</v>
      </c>
      <c r="S277" s="328">
        <v>951</v>
      </c>
      <c r="U277">
        <v>10.8</v>
      </c>
      <c r="Y277" s="136">
        <v>488</v>
      </c>
      <c r="AA277" s="328">
        <v>71419</v>
      </c>
      <c r="AC277" s="136">
        <v>21.7</v>
      </c>
      <c r="AG277" s="136">
        <v>3.03</v>
      </c>
      <c r="AM277" s="328">
        <v>77</v>
      </c>
      <c r="BS277" s="336">
        <v>43.93</v>
      </c>
      <c r="BU277" s="336">
        <v>22.55</v>
      </c>
      <c r="BY277" s="136">
        <v>7.48</v>
      </c>
      <c r="CL277" s="136">
        <v>0</v>
      </c>
    </row>
    <row r="278" spans="1:91">
      <c r="A278" s="154" t="s">
        <v>7950</v>
      </c>
      <c r="B278" t="s">
        <v>257</v>
      </c>
      <c r="C278" t="s">
        <v>405</v>
      </c>
      <c r="D278" t="s">
        <v>8002</v>
      </c>
      <c r="E278" s="113">
        <v>53</v>
      </c>
      <c r="F278" s="113">
        <v>13</v>
      </c>
      <c r="I278" s="112">
        <v>9</v>
      </c>
      <c r="K278" s="112">
        <v>9</v>
      </c>
      <c r="M278" s="136">
        <v>2.65</v>
      </c>
      <c r="S278" s="328">
        <v>1218</v>
      </c>
      <c r="U278">
        <v>10.8</v>
      </c>
      <c r="Y278" s="136">
        <v>494</v>
      </c>
      <c r="AA278" s="328">
        <v>76034</v>
      </c>
      <c r="AC278" s="136">
        <v>25.5</v>
      </c>
      <c r="AG278" s="136">
        <v>3.35</v>
      </c>
      <c r="AM278" s="328">
        <v>87</v>
      </c>
      <c r="BS278" s="336">
        <v>47.85</v>
      </c>
      <c r="BU278" s="336">
        <v>19.420000000000002</v>
      </c>
      <c r="BY278" s="136">
        <v>5.6</v>
      </c>
      <c r="CL278" s="136">
        <v>0</v>
      </c>
    </row>
    <row r="279" spans="1:91">
      <c r="A279" s="154" t="s">
        <v>7950</v>
      </c>
      <c r="B279" t="s">
        <v>257</v>
      </c>
      <c r="C279" t="s">
        <v>7726</v>
      </c>
      <c r="D279" t="s">
        <v>8004</v>
      </c>
      <c r="E279" s="113">
        <v>5</v>
      </c>
      <c r="F279" s="113">
        <v>17</v>
      </c>
      <c r="I279" s="112">
        <v>9</v>
      </c>
      <c r="K279" s="112">
        <v>9</v>
      </c>
      <c r="M279" s="136">
        <v>2.1</v>
      </c>
      <c r="S279" s="328">
        <v>921</v>
      </c>
      <c r="U279">
        <v>10.8</v>
      </c>
      <c r="Y279" s="136">
        <v>430</v>
      </c>
      <c r="AA279" s="328">
        <v>60717</v>
      </c>
      <c r="AC279" s="136">
        <v>20</v>
      </c>
      <c r="AG279" s="136">
        <v>3.29</v>
      </c>
      <c r="AM279" s="328">
        <v>83</v>
      </c>
      <c r="BS279" s="336">
        <v>46.03</v>
      </c>
      <c r="BU279" s="336">
        <v>21.49</v>
      </c>
      <c r="BY279" s="136">
        <v>6.4</v>
      </c>
      <c r="CL279" s="136">
        <v>0</v>
      </c>
    </row>
    <row r="280" spans="1:91">
      <c r="A280" s="154" t="s">
        <v>7950</v>
      </c>
      <c r="B280" t="s">
        <v>259</v>
      </c>
      <c r="C280" t="s">
        <v>405</v>
      </c>
      <c r="D280" t="s">
        <v>8002</v>
      </c>
      <c r="E280" s="113">
        <v>30</v>
      </c>
      <c r="F280" s="113">
        <v>15</v>
      </c>
      <c r="I280" s="112">
        <v>9</v>
      </c>
      <c r="K280" s="112">
        <v>9</v>
      </c>
      <c r="M280" s="136">
        <v>2.57</v>
      </c>
      <c r="S280" s="328">
        <v>1094</v>
      </c>
      <c r="U280">
        <v>10.8</v>
      </c>
      <c r="Y280" s="136">
        <v>583</v>
      </c>
      <c r="AA280" s="328">
        <v>70952</v>
      </c>
      <c r="AC280" s="136">
        <v>24.5</v>
      </c>
      <c r="AG280" s="136">
        <v>3.46</v>
      </c>
      <c r="AM280" s="328">
        <v>83</v>
      </c>
      <c r="BS280" s="336">
        <v>44.59</v>
      </c>
      <c r="BU280" s="336">
        <v>23.75</v>
      </c>
      <c r="BY280" s="136">
        <v>6.21</v>
      </c>
      <c r="CL280" s="136">
        <v>0</v>
      </c>
    </row>
    <row r="281" spans="1:91">
      <c r="A281" s="154" t="s">
        <v>7950</v>
      </c>
      <c r="B281" t="s">
        <v>259</v>
      </c>
      <c r="C281" t="s">
        <v>7726</v>
      </c>
      <c r="D281" t="s">
        <v>8004</v>
      </c>
      <c r="E281" s="113">
        <v>6</v>
      </c>
      <c r="F281" s="113">
        <v>20</v>
      </c>
      <c r="I281" s="112">
        <v>9</v>
      </c>
      <c r="K281" s="112">
        <v>9</v>
      </c>
      <c r="M281" s="136">
        <v>2.13</v>
      </c>
      <c r="S281" s="328">
        <v>905</v>
      </c>
      <c r="U281">
        <v>10.8</v>
      </c>
      <c r="Y281" s="136">
        <v>482</v>
      </c>
      <c r="AA281" s="328">
        <v>59382</v>
      </c>
      <c r="AC281" s="136">
        <v>20.3</v>
      </c>
      <c r="AG281" s="136">
        <v>3.42</v>
      </c>
      <c r="AM281" s="328">
        <v>87</v>
      </c>
      <c r="BS281" s="336">
        <v>44.54</v>
      </c>
      <c r="BU281" s="336">
        <v>23.74</v>
      </c>
      <c r="BY281" s="136">
        <v>6.27</v>
      </c>
      <c r="CL281" s="136">
        <v>0</v>
      </c>
    </row>
    <row r="282" spans="1:91">
      <c r="A282" s="154" t="s">
        <v>7952</v>
      </c>
      <c r="B282" t="s">
        <v>257</v>
      </c>
      <c r="C282" t="s">
        <v>405</v>
      </c>
      <c r="D282" t="s">
        <v>8002</v>
      </c>
      <c r="E282" s="113">
        <v>39</v>
      </c>
      <c r="F282" s="113">
        <v>14</v>
      </c>
      <c r="I282" s="112">
        <v>9</v>
      </c>
      <c r="K282" s="112">
        <v>9</v>
      </c>
      <c r="M282" s="136">
        <v>2.84</v>
      </c>
      <c r="S282" s="328">
        <v>1298</v>
      </c>
      <c r="U282">
        <v>10.8</v>
      </c>
      <c r="Y282" s="136">
        <v>533</v>
      </c>
      <c r="AA282" s="328">
        <v>99349</v>
      </c>
      <c r="AC282" s="136">
        <v>27.3</v>
      </c>
      <c r="AG282" s="136">
        <v>2.75</v>
      </c>
      <c r="AM282" s="328">
        <v>80</v>
      </c>
      <c r="BS282" s="336">
        <v>47.55</v>
      </c>
      <c r="BU282" s="336">
        <v>19.52</v>
      </c>
      <c r="BY282" s="136">
        <v>5.52</v>
      </c>
      <c r="CL282" s="136">
        <v>0</v>
      </c>
    </row>
    <row r="283" spans="1:91">
      <c r="A283" s="154" t="s">
        <v>7952</v>
      </c>
      <c r="B283" t="s">
        <v>257</v>
      </c>
      <c r="C283" t="s">
        <v>7726</v>
      </c>
      <c r="D283" t="s">
        <v>8004</v>
      </c>
      <c r="E283" s="113">
        <v>12</v>
      </c>
      <c r="F283" s="113">
        <v>18</v>
      </c>
      <c r="I283" s="112">
        <v>9</v>
      </c>
      <c r="K283" s="112">
        <v>9</v>
      </c>
      <c r="M283" s="136">
        <v>2.91</v>
      </c>
      <c r="S283" s="328">
        <v>1227</v>
      </c>
      <c r="U283">
        <v>10.8</v>
      </c>
      <c r="Y283" s="136">
        <v>640</v>
      </c>
      <c r="AA283" s="328">
        <v>95757</v>
      </c>
      <c r="AC283" s="136">
        <v>27.7</v>
      </c>
      <c r="AG283" s="136">
        <v>2.89</v>
      </c>
      <c r="AM283" s="328">
        <v>83</v>
      </c>
      <c r="BS283" s="336">
        <v>44.26</v>
      </c>
      <c r="BU283" s="336">
        <v>23.08</v>
      </c>
      <c r="BY283" s="136">
        <v>6.41</v>
      </c>
      <c r="CL283" s="136">
        <v>0</v>
      </c>
    </row>
    <row r="284" spans="1:91">
      <c r="A284" s="154" t="s">
        <v>7952</v>
      </c>
      <c r="B284" t="s">
        <v>259</v>
      </c>
      <c r="C284" t="s">
        <v>405</v>
      </c>
      <c r="D284" t="s">
        <v>8002</v>
      </c>
      <c r="E284" s="113">
        <v>48</v>
      </c>
      <c r="F284" s="113">
        <v>15</v>
      </c>
      <c r="I284" s="112">
        <v>9</v>
      </c>
      <c r="K284" s="112">
        <v>9</v>
      </c>
      <c r="M284" s="136">
        <v>2.79</v>
      </c>
      <c r="S284" s="328">
        <v>1210</v>
      </c>
      <c r="U284">
        <v>10.8</v>
      </c>
      <c r="Y284" s="136">
        <v>583</v>
      </c>
      <c r="AA284" s="328">
        <v>96923</v>
      </c>
      <c r="AC284" s="136">
        <v>26.8</v>
      </c>
      <c r="AG284" s="136">
        <v>2.76</v>
      </c>
      <c r="AM284" s="328">
        <v>83</v>
      </c>
      <c r="BS284" s="336">
        <v>45.19</v>
      </c>
      <c r="BU284" s="336">
        <v>21.78</v>
      </c>
      <c r="BY284" s="136">
        <v>5.65</v>
      </c>
      <c r="CL284" s="136">
        <v>0</v>
      </c>
    </row>
    <row r="285" spans="1:91" s="347" customFormat="1">
      <c r="A285" s="337" t="s">
        <v>7952</v>
      </c>
      <c r="B285" s="338" t="s">
        <v>259</v>
      </c>
      <c r="C285" s="338" t="s">
        <v>7726</v>
      </c>
      <c r="D285" s="338" t="s">
        <v>8004</v>
      </c>
      <c r="E285" s="339"/>
      <c r="F285" s="339"/>
      <c r="G285" s="339"/>
      <c r="H285" s="339"/>
      <c r="I285" s="340"/>
      <c r="J285" s="340"/>
      <c r="K285" s="340"/>
      <c r="L285" s="341"/>
      <c r="M285" s="342"/>
      <c r="N285" s="342"/>
      <c r="O285" s="342"/>
      <c r="P285" s="343"/>
      <c r="Q285" s="343"/>
      <c r="R285" s="343"/>
      <c r="S285" s="344" t="s">
        <v>7709</v>
      </c>
      <c r="T285" s="343"/>
      <c r="U285" s="338">
        <v>10.8</v>
      </c>
      <c r="V285" s="342"/>
      <c r="W285" s="343"/>
      <c r="X285" s="343"/>
      <c r="Y285" s="342" t="s">
        <v>7709</v>
      </c>
      <c r="Z285" s="342"/>
      <c r="AA285" s="344" t="s">
        <v>7709</v>
      </c>
      <c r="AB285" s="343"/>
      <c r="AC285" s="342" t="s">
        <v>7709</v>
      </c>
      <c r="AD285" s="342"/>
      <c r="AE285" s="345"/>
      <c r="AF285" s="343"/>
      <c r="AG285" s="342">
        <v>2.56</v>
      </c>
      <c r="AH285" s="342"/>
      <c r="AI285" s="343"/>
      <c r="AJ285" s="343"/>
      <c r="AK285" s="342"/>
      <c r="AL285" s="342"/>
      <c r="AM285" s="344" t="s">
        <v>7709</v>
      </c>
      <c r="AN285" s="343"/>
      <c r="AO285" s="342"/>
      <c r="AP285" s="342"/>
      <c r="AQ285" s="343"/>
      <c r="AR285" s="343"/>
      <c r="AS285" s="342"/>
      <c r="AT285" s="342"/>
      <c r="AU285" s="343"/>
      <c r="AV285" s="343"/>
      <c r="AW285" s="342"/>
      <c r="AX285" s="342"/>
      <c r="AY285" s="343"/>
      <c r="AZ285" s="343"/>
      <c r="BA285" s="342"/>
      <c r="BB285" s="342"/>
      <c r="BC285" s="343"/>
      <c r="BD285" s="343"/>
      <c r="BE285" s="343"/>
      <c r="BF285" s="343"/>
      <c r="BG285" s="343"/>
      <c r="BH285" s="343"/>
      <c r="BI285" s="343"/>
      <c r="BJ285" s="343"/>
      <c r="BK285" s="343"/>
      <c r="BL285" s="343"/>
      <c r="BM285" s="342"/>
      <c r="BN285" s="342"/>
      <c r="BO285" s="343"/>
      <c r="BP285" s="343"/>
      <c r="BQ285" s="342"/>
      <c r="BR285" s="342"/>
      <c r="BS285" s="346">
        <v>41.86</v>
      </c>
      <c r="BT285" s="343"/>
      <c r="BU285" s="346">
        <v>25.5</v>
      </c>
      <c r="BV285" s="342"/>
      <c r="BW285" s="342"/>
      <c r="BX285" s="342"/>
      <c r="BY285" s="342"/>
      <c r="BZ285" s="342"/>
      <c r="CA285" s="342"/>
      <c r="CB285" s="342"/>
      <c r="CC285" s="342"/>
      <c r="CD285" s="342"/>
      <c r="CE285" s="342"/>
      <c r="CF285" s="342"/>
      <c r="CG285" s="342"/>
      <c r="CH285" s="342"/>
      <c r="CI285" s="342"/>
      <c r="CJ285" s="342"/>
      <c r="CK285" s="342"/>
      <c r="CL285" s="342"/>
      <c r="CM285" s="342"/>
    </row>
    <row r="286" spans="1:91">
      <c r="A286" s="154" t="s">
        <v>7954</v>
      </c>
      <c r="B286" t="s">
        <v>257</v>
      </c>
      <c r="C286" t="s">
        <v>405</v>
      </c>
      <c r="D286" t="s">
        <v>8002</v>
      </c>
      <c r="E286" s="113">
        <v>40</v>
      </c>
      <c r="F286" s="113">
        <v>13</v>
      </c>
      <c r="I286" s="112">
        <v>9</v>
      </c>
      <c r="K286" s="112">
        <v>9</v>
      </c>
      <c r="M286" s="136">
        <v>2.71</v>
      </c>
      <c r="S286" s="328">
        <v>1189</v>
      </c>
      <c r="U286">
        <v>10.8</v>
      </c>
      <c r="Y286" s="136">
        <v>540</v>
      </c>
      <c r="AA286" s="328">
        <v>86367</v>
      </c>
      <c r="AC286" s="136">
        <v>26.1</v>
      </c>
      <c r="AG286" s="136">
        <v>3.02</v>
      </c>
      <c r="AM286" s="328">
        <v>80</v>
      </c>
      <c r="BS286" s="336">
        <v>45.61</v>
      </c>
      <c r="BU286" s="336">
        <v>20.71</v>
      </c>
      <c r="BY286" s="136">
        <v>5.49</v>
      </c>
      <c r="CL286" s="136">
        <v>0</v>
      </c>
    </row>
    <row r="287" spans="1:91">
      <c r="A287" s="154" t="s">
        <v>7954</v>
      </c>
      <c r="B287" t="s">
        <v>257</v>
      </c>
      <c r="C287" t="s">
        <v>7726</v>
      </c>
      <c r="D287" t="s">
        <v>8004</v>
      </c>
      <c r="E287" s="113">
        <v>10</v>
      </c>
      <c r="F287" s="113">
        <v>18</v>
      </c>
      <c r="I287" s="112">
        <v>9</v>
      </c>
      <c r="K287" s="112">
        <v>9</v>
      </c>
      <c r="M287" s="136">
        <v>2.35</v>
      </c>
      <c r="S287" s="328">
        <v>979</v>
      </c>
      <c r="U287">
        <v>10.8</v>
      </c>
      <c r="Y287" s="136">
        <v>508</v>
      </c>
      <c r="AA287" s="328">
        <v>73792</v>
      </c>
      <c r="AC287" s="136">
        <v>22.4</v>
      </c>
      <c r="AG287" s="136">
        <v>3.04</v>
      </c>
      <c r="AM287" s="328">
        <v>83</v>
      </c>
      <c r="BS287" s="336">
        <v>43.69</v>
      </c>
      <c r="BU287" s="336">
        <v>22.69</v>
      </c>
      <c r="BY287" s="136">
        <v>6.33</v>
      </c>
      <c r="CL287" s="136">
        <v>0</v>
      </c>
    </row>
    <row r="288" spans="1:91">
      <c r="A288" s="154" t="s">
        <v>7954</v>
      </c>
      <c r="B288" t="s">
        <v>259</v>
      </c>
      <c r="C288" t="s">
        <v>405</v>
      </c>
      <c r="D288" t="s">
        <v>8002</v>
      </c>
      <c r="E288" s="113">
        <v>49</v>
      </c>
      <c r="F288" s="113">
        <v>16</v>
      </c>
      <c r="I288" s="112">
        <v>9</v>
      </c>
      <c r="K288" s="112">
        <v>9</v>
      </c>
      <c r="M288" s="136">
        <v>2.73</v>
      </c>
      <c r="S288" s="328">
        <v>1142</v>
      </c>
      <c r="U288">
        <v>10.8</v>
      </c>
      <c r="Y288" s="136">
        <v>596</v>
      </c>
      <c r="AA288" s="328">
        <v>84860</v>
      </c>
      <c r="AC288" s="136">
        <v>26.1</v>
      </c>
      <c r="AG288" s="136">
        <v>3.08</v>
      </c>
      <c r="AM288" s="328">
        <v>83</v>
      </c>
      <c r="BS288" s="336">
        <v>43.7</v>
      </c>
      <c r="BU288" s="336">
        <v>22.81</v>
      </c>
      <c r="BY288" s="136">
        <v>5.94</v>
      </c>
      <c r="CL288" s="136">
        <v>0</v>
      </c>
    </row>
    <row r="289" spans="1:91">
      <c r="A289" s="154" t="s">
        <v>7954</v>
      </c>
      <c r="B289" t="s">
        <v>259</v>
      </c>
      <c r="C289" t="s">
        <v>7726</v>
      </c>
      <c r="D289" t="s">
        <v>8004</v>
      </c>
      <c r="E289" s="113">
        <v>5</v>
      </c>
      <c r="F289" s="113">
        <v>20</v>
      </c>
      <c r="I289" s="112">
        <v>9</v>
      </c>
      <c r="K289" s="112">
        <v>9</v>
      </c>
      <c r="M289" s="136">
        <v>1.73</v>
      </c>
      <c r="S289" s="328">
        <v>702</v>
      </c>
      <c r="U289">
        <v>10.8</v>
      </c>
      <c r="Y289" s="136">
        <v>405</v>
      </c>
      <c r="AA289" s="328">
        <v>55794</v>
      </c>
      <c r="AC289" s="136">
        <v>16.399999999999999</v>
      </c>
      <c r="AG289" s="136">
        <v>2.94</v>
      </c>
      <c r="AM289" s="328">
        <v>83</v>
      </c>
      <c r="BS289" s="336">
        <v>42.73</v>
      </c>
      <c r="BU289" s="336">
        <v>24.66</v>
      </c>
      <c r="BY289" s="136">
        <v>6.73</v>
      </c>
      <c r="CL289" s="136">
        <v>0</v>
      </c>
    </row>
    <row r="290" spans="1:91" s="347" customFormat="1">
      <c r="A290" s="337" t="s">
        <v>7956</v>
      </c>
      <c r="B290" s="338" t="s">
        <v>257</v>
      </c>
      <c r="C290" s="338" t="s">
        <v>405</v>
      </c>
      <c r="D290" s="338" t="s">
        <v>8002</v>
      </c>
      <c r="E290" s="339"/>
      <c r="F290" s="339"/>
      <c r="G290" s="339"/>
      <c r="H290" s="339"/>
      <c r="I290" s="340"/>
      <c r="J290" s="340"/>
      <c r="K290" s="340"/>
      <c r="L290" s="341"/>
      <c r="M290" s="342"/>
      <c r="N290" s="342"/>
      <c r="O290" s="342"/>
      <c r="P290" s="343"/>
      <c r="Q290" s="343"/>
      <c r="R290" s="343"/>
      <c r="S290" s="344" t="s">
        <v>7709</v>
      </c>
      <c r="T290" s="343"/>
      <c r="U290" s="338">
        <v>10.8</v>
      </c>
      <c r="V290" s="342"/>
      <c r="W290" s="343"/>
      <c r="X290" s="343"/>
      <c r="Y290" s="342" t="s">
        <v>7709</v>
      </c>
      <c r="Z290" s="342"/>
      <c r="AA290" s="344" t="s">
        <v>7709</v>
      </c>
      <c r="AB290" s="343"/>
      <c r="AC290" s="342" t="s">
        <v>7709</v>
      </c>
      <c r="AD290" s="342"/>
      <c r="AE290" s="345"/>
      <c r="AF290" s="343"/>
      <c r="AG290" s="342">
        <v>3.25</v>
      </c>
      <c r="AH290" s="342"/>
      <c r="AI290" s="343"/>
      <c r="AJ290" s="343"/>
      <c r="AK290" s="342"/>
      <c r="AL290" s="342"/>
      <c r="AM290" s="344" t="s">
        <v>7709</v>
      </c>
      <c r="AN290" s="343"/>
      <c r="AO290" s="342"/>
      <c r="AP290" s="342"/>
      <c r="AQ290" s="343"/>
      <c r="AR290" s="343"/>
      <c r="AS290" s="342"/>
      <c r="AT290" s="342"/>
      <c r="AU290" s="343"/>
      <c r="AV290" s="343"/>
      <c r="AW290" s="342"/>
      <c r="AX290" s="342"/>
      <c r="AY290" s="343"/>
      <c r="AZ290" s="343"/>
      <c r="BA290" s="342"/>
      <c r="BB290" s="342"/>
      <c r="BC290" s="343"/>
      <c r="BD290" s="343"/>
      <c r="BE290" s="343"/>
      <c r="BF290" s="343"/>
      <c r="BG290" s="343"/>
      <c r="BH290" s="343"/>
      <c r="BI290" s="343"/>
      <c r="BJ290" s="343"/>
      <c r="BK290" s="343"/>
      <c r="BL290" s="343"/>
      <c r="BM290" s="342"/>
      <c r="BN290" s="342"/>
      <c r="BO290" s="343"/>
      <c r="BP290" s="343"/>
      <c r="BQ290" s="342"/>
      <c r="BR290" s="342"/>
      <c r="BS290" s="346">
        <v>44.58</v>
      </c>
      <c r="BT290" s="343"/>
      <c r="BU290" s="346">
        <v>20.79</v>
      </c>
      <c r="BV290" s="342"/>
      <c r="BW290" s="342"/>
      <c r="BX290" s="342"/>
      <c r="BY290" s="342"/>
      <c r="BZ290" s="342"/>
      <c r="CA290" s="342"/>
      <c r="CB290" s="342"/>
      <c r="CC290" s="342"/>
      <c r="CD290" s="342"/>
      <c r="CE290" s="342"/>
      <c r="CF290" s="342"/>
      <c r="CG290" s="342"/>
      <c r="CH290" s="342"/>
      <c r="CI290" s="342"/>
      <c r="CJ290" s="342"/>
      <c r="CK290" s="342"/>
      <c r="CL290" s="342"/>
      <c r="CM290" s="342"/>
    </row>
    <row r="291" spans="1:91">
      <c r="A291" s="154" t="s">
        <v>7956</v>
      </c>
      <c r="B291" t="s">
        <v>257</v>
      </c>
      <c r="C291" t="s">
        <v>7726</v>
      </c>
      <c r="D291" t="s">
        <v>8004</v>
      </c>
      <c r="E291" s="113">
        <v>8</v>
      </c>
      <c r="F291" s="113">
        <v>18</v>
      </c>
      <c r="I291" s="112">
        <v>7</v>
      </c>
      <c r="K291" s="112">
        <v>9</v>
      </c>
      <c r="M291" s="136">
        <v>2.02</v>
      </c>
      <c r="S291" s="328">
        <v>857</v>
      </c>
      <c r="U291">
        <v>10.8</v>
      </c>
      <c r="Y291" s="136">
        <v>398</v>
      </c>
      <c r="AA291" s="328">
        <v>62566</v>
      </c>
      <c r="AC291" s="136">
        <v>19.2</v>
      </c>
      <c r="AG291" s="136">
        <v>3.07</v>
      </c>
      <c r="AM291" s="328">
        <v>69</v>
      </c>
      <c r="BS291" s="336">
        <v>44.57</v>
      </c>
      <c r="BU291" s="336">
        <v>20.71</v>
      </c>
      <c r="BY291" s="136">
        <v>6.43</v>
      </c>
      <c r="CL291" s="136">
        <v>0</v>
      </c>
    </row>
    <row r="292" spans="1:91">
      <c r="A292" s="154" t="s">
        <v>7956</v>
      </c>
      <c r="B292" t="s">
        <v>259</v>
      </c>
      <c r="C292" t="s">
        <v>405</v>
      </c>
      <c r="D292" t="s">
        <v>8002</v>
      </c>
      <c r="E292" s="113">
        <v>35</v>
      </c>
      <c r="F292" s="113">
        <v>15</v>
      </c>
      <c r="I292" s="112">
        <v>7</v>
      </c>
      <c r="K292" s="112">
        <v>9</v>
      </c>
      <c r="M292" s="136">
        <v>1.41</v>
      </c>
      <c r="S292" s="328">
        <v>598</v>
      </c>
      <c r="U292">
        <v>10.8</v>
      </c>
      <c r="Y292" s="136">
        <v>297</v>
      </c>
      <c r="AA292" s="328">
        <v>45695</v>
      </c>
      <c r="AC292" s="136">
        <v>13.4</v>
      </c>
      <c r="AG292" s="136">
        <v>2.94</v>
      </c>
      <c r="AM292" s="328">
        <v>73</v>
      </c>
      <c r="BS292" s="336">
        <v>44.54</v>
      </c>
      <c r="BU292" s="336">
        <v>22.12</v>
      </c>
      <c r="BY292" s="136">
        <v>6.5</v>
      </c>
      <c r="CL292" s="136">
        <v>0</v>
      </c>
    </row>
    <row r="293" spans="1:91">
      <c r="A293" s="154" t="s">
        <v>7956</v>
      </c>
      <c r="B293" t="s">
        <v>259</v>
      </c>
      <c r="C293" t="s">
        <v>7726</v>
      </c>
      <c r="D293" t="s">
        <v>8004</v>
      </c>
      <c r="E293" s="113">
        <v>17</v>
      </c>
      <c r="F293" s="113">
        <v>20</v>
      </c>
      <c r="I293" s="112">
        <v>7</v>
      </c>
      <c r="K293" s="112">
        <v>9</v>
      </c>
      <c r="M293" s="136">
        <v>2.2400000000000002</v>
      </c>
      <c r="S293" s="328">
        <v>852</v>
      </c>
      <c r="U293">
        <v>10.8</v>
      </c>
      <c r="Y293" s="136">
        <v>552</v>
      </c>
      <c r="AA293" s="328">
        <v>70138</v>
      </c>
      <c r="AC293" s="136">
        <v>21.3</v>
      </c>
      <c r="AG293" s="136">
        <v>3.04</v>
      </c>
      <c r="AM293" s="328">
        <v>69</v>
      </c>
      <c r="BS293" s="336">
        <v>39.93</v>
      </c>
      <c r="BU293" s="336">
        <v>25.88</v>
      </c>
      <c r="BY293" s="136">
        <v>6.43</v>
      </c>
      <c r="CL293" s="136">
        <v>0</v>
      </c>
    </row>
    <row r="294" spans="1:91">
      <c r="A294" s="154" t="s">
        <v>7958</v>
      </c>
      <c r="B294" t="s">
        <v>257</v>
      </c>
      <c r="C294" t="s">
        <v>405</v>
      </c>
      <c r="D294" t="s">
        <v>8002</v>
      </c>
      <c r="E294" s="113">
        <v>30</v>
      </c>
      <c r="F294" s="113">
        <v>13</v>
      </c>
      <c r="I294" s="112">
        <v>7</v>
      </c>
      <c r="K294" s="112">
        <v>9</v>
      </c>
      <c r="M294" s="136">
        <v>1.79</v>
      </c>
      <c r="S294" s="328">
        <v>764</v>
      </c>
      <c r="U294">
        <v>10.8</v>
      </c>
      <c r="Y294" s="136">
        <v>353</v>
      </c>
      <c r="AA294" s="328">
        <v>55434</v>
      </c>
      <c r="AC294" s="136">
        <v>17.100000000000001</v>
      </c>
      <c r="AG294" s="136">
        <v>3.08</v>
      </c>
      <c r="AM294" s="328">
        <v>80</v>
      </c>
      <c r="BS294" s="336">
        <v>44.66</v>
      </c>
      <c r="BU294" s="336">
        <v>20.67</v>
      </c>
      <c r="BY294" s="136">
        <v>6.12</v>
      </c>
      <c r="CL294" s="136">
        <v>0</v>
      </c>
    </row>
    <row r="295" spans="1:91">
      <c r="A295" s="154" t="s">
        <v>7958</v>
      </c>
      <c r="B295" t="s">
        <v>257</v>
      </c>
      <c r="C295" t="s">
        <v>7726</v>
      </c>
      <c r="D295" t="s">
        <v>8004</v>
      </c>
      <c r="E295" s="113">
        <v>22</v>
      </c>
      <c r="F295" s="113">
        <v>18</v>
      </c>
      <c r="I295" s="112">
        <v>9</v>
      </c>
      <c r="K295" s="112">
        <v>9</v>
      </c>
      <c r="M295" s="136">
        <v>1.63</v>
      </c>
      <c r="S295" s="328">
        <v>672</v>
      </c>
      <c r="U295">
        <v>10.8</v>
      </c>
      <c r="Y295" s="136">
        <v>350</v>
      </c>
      <c r="AA295" s="328">
        <v>49328</v>
      </c>
      <c r="AC295" s="136">
        <v>15.5</v>
      </c>
      <c r="AG295" s="136">
        <v>3.14</v>
      </c>
      <c r="AM295" s="328">
        <v>83</v>
      </c>
      <c r="BS295" s="336">
        <v>43.35</v>
      </c>
      <c r="BU295" s="336">
        <v>22.54</v>
      </c>
      <c r="BY295" s="136">
        <v>6.49</v>
      </c>
      <c r="CL295" s="136">
        <v>0</v>
      </c>
    </row>
    <row r="296" spans="1:91">
      <c r="A296" s="154" t="s">
        <v>7958</v>
      </c>
      <c r="B296" t="s">
        <v>259</v>
      </c>
      <c r="C296" t="s">
        <v>405</v>
      </c>
      <c r="D296" t="s">
        <v>8002</v>
      </c>
      <c r="E296" s="113">
        <v>52</v>
      </c>
      <c r="F296" s="113">
        <v>16</v>
      </c>
      <c r="I296" s="112">
        <v>9</v>
      </c>
      <c r="K296" s="112">
        <v>9</v>
      </c>
      <c r="M296" s="136">
        <v>2.36</v>
      </c>
      <c r="S296" s="328">
        <v>978</v>
      </c>
      <c r="U296">
        <v>10.8</v>
      </c>
      <c r="Y296" s="136">
        <v>521</v>
      </c>
      <c r="AA296" s="328">
        <v>75869</v>
      </c>
      <c r="AC296" s="136">
        <v>22.6</v>
      </c>
      <c r="AG296" s="136">
        <v>2.98</v>
      </c>
      <c r="AM296" s="328">
        <v>80</v>
      </c>
      <c r="BS296" s="336">
        <v>43.24</v>
      </c>
      <c r="BU296" s="336">
        <v>23.03</v>
      </c>
      <c r="BY296" s="136">
        <v>5.78</v>
      </c>
      <c r="CL296" s="136">
        <v>0</v>
      </c>
    </row>
    <row r="297" spans="1:91">
      <c r="A297" s="154" t="s">
        <v>7958</v>
      </c>
      <c r="B297" t="s">
        <v>259</v>
      </c>
      <c r="C297" t="s">
        <v>7726</v>
      </c>
      <c r="D297" t="s">
        <v>8004</v>
      </c>
      <c r="E297" s="113">
        <v>27</v>
      </c>
      <c r="F297" s="113">
        <v>20</v>
      </c>
      <c r="I297" s="112">
        <v>7</v>
      </c>
      <c r="K297" s="112">
        <v>7</v>
      </c>
      <c r="M297" s="136">
        <v>2.2000000000000002</v>
      </c>
      <c r="S297" s="328">
        <v>866</v>
      </c>
      <c r="U297">
        <v>10.8</v>
      </c>
      <c r="Y297" s="136">
        <v>507</v>
      </c>
      <c r="AA297" s="328">
        <v>68859</v>
      </c>
      <c r="AC297" s="136">
        <v>20.8</v>
      </c>
      <c r="AG297" s="136">
        <v>3.02</v>
      </c>
      <c r="AM297" s="328">
        <v>80</v>
      </c>
      <c r="BS297" s="336">
        <v>41.67</v>
      </c>
      <c r="BU297" s="336">
        <v>24.4</v>
      </c>
      <c r="BY297" s="136">
        <v>7.2</v>
      </c>
      <c r="CL297" s="136">
        <v>0</v>
      </c>
    </row>
    <row r="298" spans="1:91">
      <c r="A298" s="154" t="s">
        <v>7960</v>
      </c>
      <c r="B298" t="s">
        <v>257</v>
      </c>
      <c r="C298" t="s">
        <v>405</v>
      </c>
      <c r="D298" t="s">
        <v>8002</v>
      </c>
      <c r="E298" s="113">
        <v>46</v>
      </c>
      <c r="F298" s="113">
        <v>13</v>
      </c>
      <c r="I298" s="112">
        <v>9</v>
      </c>
      <c r="K298" s="112">
        <v>9</v>
      </c>
      <c r="M298" s="136">
        <v>2.3199999999999998</v>
      </c>
      <c r="S298" s="328">
        <v>1054</v>
      </c>
      <c r="U298">
        <v>10.8</v>
      </c>
      <c r="Y298" s="136">
        <v>403</v>
      </c>
      <c r="AA298" s="328">
        <v>72950</v>
      </c>
      <c r="AC298" s="136">
        <v>22.2</v>
      </c>
      <c r="AG298" s="136">
        <v>3.05</v>
      </c>
      <c r="AM298" s="328">
        <v>80</v>
      </c>
      <c r="BS298" s="336">
        <v>47.4</v>
      </c>
      <c r="BU298" s="336">
        <v>18.13</v>
      </c>
      <c r="BY298" s="136">
        <v>5.79</v>
      </c>
      <c r="CL298" s="136">
        <v>0</v>
      </c>
    </row>
    <row r="299" spans="1:91">
      <c r="A299" s="154" t="s">
        <v>7960</v>
      </c>
      <c r="B299" t="s">
        <v>257</v>
      </c>
      <c r="C299" t="s">
        <v>7726</v>
      </c>
      <c r="D299" t="s">
        <v>8004</v>
      </c>
      <c r="E299" s="113">
        <v>13</v>
      </c>
      <c r="F299" s="113">
        <v>17</v>
      </c>
      <c r="I299" s="112">
        <v>9</v>
      </c>
      <c r="K299" s="112">
        <v>9</v>
      </c>
      <c r="M299" s="136">
        <v>2.2000000000000002</v>
      </c>
      <c r="S299" s="328">
        <v>911</v>
      </c>
      <c r="U299">
        <v>10.8</v>
      </c>
      <c r="Y299" s="136">
        <v>487</v>
      </c>
      <c r="AA299" s="328">
        <v>72830</v>
      </c>
      <c r="AC299" s="136">
        <v>21.1</v>
      </c>
      <c r="AG299" s="136">
        <v>2.89</v>
      </c>
      <c r="AM299" s="328">
        <v>77</v>
      </c>
      <c r="BS299" s="336">
        <v>43.27</v>
      </c>
      <c r="BU299" s="336">
        <v>23.12</v>
      </c>
      <c r="BY299" s="136">
        <v>5.93</v>
      </c>
      <c r="CL299" s="136">
        <v>0</v>
      </c>
    </row>
    <row r="300" spans="1:91">
      <c r="A300" s="154" t="s">
        <v>7960</v>
      </c>
      <c r="B300" t="s">
        <v>259</v>
      </c>
      <c r="C300" t="s">
        <v>405</v>
      </c>
      <c r="D300" t="s">
        <v>8002</v>
      </c>
      <c r="E300" s="113">
        <v>40</v>
      </c>
      <c r="F300" s="113">
        <v>16</v>
      </c>
      <c r="I300" s="112">
        <v>9</v>
      </c>
      <c r="K300" s="112">
        <v>9</v>
      </c>
      <c r="M300" s="136">
        <v>3.29</v>
      </c>
      <c r="S300" s="328">
        <v>1436</v>
      </c>
      <c r="U300">
        <v>10.8</v>
      </c>
      <c r="Y300" s="136">
        <v>695</v>
      </c>
      <c r="AA300" s="328">
        <v>105733</v>
      </c>
      <c r="AC300" s="136">
        <v>31.6</v>
      </c>
      <c r="AG300" s="136">
        <v>2.99</v>
      </c>
      <c r="AM300" s="328">
        <v>77</v>
      </c>
      <c r="BS300" s="336">
        <v>45.4</v>
      </c>
      <c r="BU300" s="336">
        <v>21.99</v>
      </c>
      <c r="BY300" s="136">
        <v>5.55</v>
      </c>
      <c r="CL300" s="136">
        <v>0</v>
      </c>
    </row>
    <row r="301" spans="1:91">
      <c r="A301" s="154" t="s">
        <v>7960</v>
      </c>
      <c r="B301" t="s">
        <v>259</v>
      </c>
      <c r="C301" t="s">
        <v>7726</v>
      </c>
      <c r="D301" t="s">
        <v>8004</v>
      </c>
      <c r="E301" s="113">
        <v>19</v>
      </c>
      <c r="F301" s="113">
        <v>20</v>
      </c>
      <c r="I301" s="112">
        <v>9</v>
      </c>
      <c r="K301" s="112">
        <v>9</v>
      </c>
      <c r="M301" s="136">
        <v>2.4500000000000002</v>
      </c>
      <c r="S301" s="328">
        <v>987</v>
      </c>
      <c r="U301">
        <v>10.8</v>
      </c>
      <c r="Y301" s="136">
        <v>584</v>
      </c>
      <c r="AA301" s="328">
        <v>79012</v>
      </c>
      <c r="AC301" s="136">
        <v>23.4</v>
      </c>
      <c r="AG301" s="136">
        <v>2.96</v>
      </c>
      <c r="AM301" s="328">
        <v>77</v>
      </c>
      <c r="BS301" s="336">
        <v>42.22</v>
      </c>
      <c r="BU301" s="336">
        <v>24.98</v>
      </c>
      <c r="BY301" s="136">
        <v>6.26</v>
      </c>
      <c r="CL301" s="136">
        <v>0</v>
      </c>
    </row>
    <row r="302" spans="1:91">
      <c r="A302" s="154" t="s">
        <v>7962</v>
      </c>
      <c r="B302" t="s">
        <v>257</v>
      </c>
      <c r="C302" t="s">
        <v>405</v>
      </c>
      <c r="D302" t="s">
        <v>8002</v>
      </c>
      <c r="E302" s="113">
        <v>34</v>
      </c>
      <c r="F302" s="113">
        <v>14</v>
      </c>
      <c r="I302" s="112">
        <v>9</v>
      </c>
      <c r="K302" s="112">
        <v>9</v>
      </c>
      <c r="M302" s="136">
        <v>2.37</v>
      </c>
      <c r="S302" s="328">
        <v>1079</v>
      </c>
      <c r="U302">
        <v>10.8</v>
      </c>
      <c r="Y302" s="136">
        <v>444</v>
      </c>
      <c r="AA302" s="328">
        <v>82722</v>
      </c>
      <c r="AC302" s="136">
        <v>22.8</v>
      </c>
      <c r="AG302" s="136">
        <v>2.75</v>
      </c>
      <c r="AM302" s="328">
        <v>80</v>
      </c>
      <c r="BS302" s="336">
        <v>47.41</v>
      </c>
      <c r="BU302" s="336">
        <v>19.52</v>
      </c>
      <c r="BY302" s="136">
        <v>5.62</v>
      </c>
      <c r="CL302" s="136">
        <v>0</v>
      </c>
    </row>
    <row r="303" spans="1:91">
      <c r="A303" s="154" t="s">
        <v>7962</v>
      </c>
      <c r="B303" t="s">
        <v>257</v>
      </c>
      <c r="C303" t="s">
        <v>7726</v>
      </c>
      <c r="D303" t="s">
        <v>8004</v>
      </c>
      <c r="E303" s="113">
        <v>19</v>
      </c>
      <c r="F303" s="113">
        <v>17</v>
      </c>
      <c r="I303" s="112">
        <v>9</v>
      </c>
      <c r="K303" s="112">
        <v>9</v>
      </c>
      <c r="M303" s="136">
        <v>2.48</v>
      </c>
      <c r="S303" s="328">
        <v>1011</v>
      </c>
      <c r="U303">
        <v>10.8</v>
      </c>
      <c r="Y303" s="136">
        <v>574</v>
      </c>
      <c r="AA303" s="328">
        <v>89470</v>
      </c>
      <c r="AC303" s="136">
        <v>23.7</v>
      </c>
      <c r="AG303" s="136">
        <v>2.65</v>
      </c>
      <c r="AM303" s="328">
        <v>80</v>
      </c>
      <c r="BS303" s="336">
        <v>42.7</v>
      </c>
      <c r="BU303" s="336">
        <v>24.26</v>
      </c>
      <c r="BY303" s="136">
        <v>6.21</v>
      </c>
      <c r="CL303" s="136">
        <v>0</v>
      </c>
    </row>
    <row r="304" spans="1:91">
      <c r="A304" s="154" t="s">
        <v>7962</v>
      </c>
      <c r="B304" t="s">
        <v>259</v>
      </c>
      <c r="C304" t="s">
        <v>405</v>
      </c>
      <c r="D304" t="s">
        <v>8002</v>
      </c>
      <c r="E304" s="113">
        <v>44</v>
      </c>
      <c r="F304" s="113">
        <v>15</v>
      </c>
      <c r="I304" s="112">
        <v>9</v>
      </c>
      <c r="K304" s="112">
        <v>9</v>
      </c>
      <c r="M304" s="136">
        <v>3.05</v>
      </c>
      <c r="S304" s="328">
        <v>1281</v>
      </c>
      <c r="U304">
        <v>10.8</v>
      </c>
      <c r="Y304" s="136">
        <v>661</v>
      </c>
      <c r="AA304" s="328">
        <v>96797</v>
      </c>
      <c r="AC304" s="136">
        <v>29.2</v>
      </c>
      <c r="AG304" s="136">
        <v>3.02</v>
      </c>
      <c r="AM304" s="328">
        <v>80</v>
      </c>
      <c r="BS304" s="336">
        <v>43.82</v>
      </c>
      <c r="BU304" s="336">
        <v>22.63</v>
      </c>
      <c r="BY304" s="136">
        <v>5.82</v>
      </c>
      <c r="CL304" s="136">
        <v>0</v>
      </c>
    </row>
    <row r="305" spans="1:90">
      <c r="A305" s="154" t="s">
        <v>7962</v>
      </c>
      <c r="B305" t="s">
        <v>259</v>
      </c>
      <c r="C305" t="s">
        <v>7726</v>
      </c>
      <c r="D305" t="s">
        <v>8004</v>
      </c>
      <c r="E305" s="113">
        <v>25</v>
      </c>
      <c r="F305" s="113">
        <v>20</v>
      </c>
      <c r="I305" s="112">
        <v>9</v>
      </c>
      <c r="K305" s="112">
        <v>9</v>
      </c>
      <c r="M305" s="136">
        <v>2.41</v>
      </c>
      <c r="S305" s="328">
        <v>944</v>
      </c>
      <c r="U305">
        <v>10.8</v>
      </c>
      <c r="Y305" s="136">
        <v>564</v>
      </c>
      <c r="AA305" s="328">
        <v>86400</v>
      </c>
      <c r="AC305" s="136">
        <v>22.7</v>
      </c>
      <c r="AG305" s="136">
        <v>2.62</v>
      </c>
      <c r="AM305" s="328">
        <v>80</v>
      </c>
      <c r="BS305" s="336">
        <v>41.65</v>
      </c>
      <c r="BU305" s="336">
        <v>24.87</v>
      </c>
      <c r="BY305" s="136">
        <v>7.56</v>
      </c>
      <c r="CL305" s="136">
        <v>0</v>
      </c>
    </row>
    <row r="306" spans="1:90">
      <c r="A306" s="154" t="s">
        <v>7964</v>
      </c>
      <c r="B306" t="s">
        <v>257</v>
      </c>
      <c r="C306" t="s">
        <v>405</v>
      </c>
      <c r="D306" t="s">
        <v>8002</v>
      </c>
      <c r="E306" s="113">
        <v>47</v>
      </c>
      <c r="F306" s="113">
        <v>13</v>
      </c>
      <c r="I306" s="112">
        <v>9</v>
      </c>
      <c r="K306" s="112">
        <v>9</v>
      </c>
      <c r="M306" s="136">
        <v>2.73</v>
      </c>
      <c r="S306" s="328">
        <v>1246</v>
      </c>
      <c r="U306">
        <v>10.8</v>
      </c>
      <c r="Y306" s="136">
        <v>479</v>
      </c>
      <c r="AA306" s="328">
        <v>83058</v>
      </c>
      <c r="AC306" s="136">
        <v>26.2</v>
      </c>
      <c r="AG306" s="136">
        <v>3.16</v>
      </c>
      <c r="AM306" s="328">
        <v>69</v>
      </c>
      <c r="BS306" s="336">
        <v>47.54</v>
      </c>
      <c r="BU306" s="336">
        <v>18.27</v>
      </c>
      <c r="BY306" s="136">
        <v>5.64</v>
      </c>
      <c r="CL306" s="136">
        <v>0</v>
      </c>
    </row>
    <row r="307" spans="1:90">
      <c r="A307" s="154" t="s">
        <v>7964</v>
      </c>
      <c r="B307" t="s">
        <v>257</v>
      </c>
      <c r="C307" t="s">
        <v>7726</v>
      </c>
      <c r="D307" t="s">
        <v>8004</v>
      </c>
      <c r="E307" s="113">
        <v>20</v>
      </c>
      <c r="F307" s="113">
        <v>17</v>
      </c>
      <c r="I307" s="112">
        <v>9</v>
      </c>
      <c r="K307" s="112">
        <v>9</v>
      </c>
      <c r="M307" s="136">
        <v>2.48</v>
      </c>
      <c r="S307" s="328">
        <v>995</v>
      </c>
      <c r="U307">
        <v>10.8</v>
      </c>
      <c r="Y307" s="136">
        <v>547</v>
      </c>
      <c r="AA307" s="328">
        <v>75955</v>
      </c>
      <c r="AC307" s="136">
        <v>23.6</v>
      </c>
      <c r="AG307" s="136">
        <v>3.11</v>
      </c>
      <c r="AM307" s="328">
        <v>69</v>
      </c>
      <c r="BS307" s="336">
        <v>42.18</v>
      </c>
      <c r="BU307" s="336">
        <v>23.2</v>
      </c>
      <c r="BY307" s="136">
        <v>6.51</v>
      </c>
      <c r="CL307" s="136">
        <v>0</v>
      </c>
    </row>
    <row r="308" spans="1:90">
      <c r="A308" s="154" t="s">
        <v>7964</v>
      </c>
      <c r="B308" t="s">
        <v>259</v>
      </c>
      <c r="C308" t="s">
        <v>405</v>
      </c>
      <c r="D308" t="s">
        <v>8002</v>
      </c>
      <c r="E308" s="113">
        <v>36</v>
      </c>
      <c r="F308" s="113">
        <v>16</v>
      </c>
      <c r="I308" s="112">
        <v>9</v>
      </c>
      <c r="K308" s="112">
        <v>9</v>
      </c>
      <c r="M308" s="136">
        <v>3.11</v>
      </c>
      <c r="S308" s="328">
        <v>1267</v>
      </c>
      <c r="U308">
        <v>10.8</v>
      </c>
      <c r="Y308" s="136">
        <v>683</v>
      </c>
      <c r="AA308" s="328">
        <v>99159</v>
      </c>
      <c r="AC308" s="136">
        <v>29.9</v>
      </c>
      <c r="AG308" s="136">
        <v>3.01</v>
      </c>
      <c r="AM308" s="328">
        <v>69</v>
      </c>
      <c r="BS308" s="336">
        <v>42.45</v>
      </c>
      <c r="BU308" s="336">
        <v>22.88</v>
      </c>
      <c r="BY308" s="136">
        <v>5.65</v>
      </c>
      <c r="CL308" s="136">
        <v>0</v>
      </c>
    </row>
    <row r="309" spans="1:90">
      <c r="A309" s="154" t="s">
        <v>7964</v>
      </c>
      <c r="B309" t="s">
        <v>259</v>
      </c>
      <c r="C309" t="s">
        <v>7726</v>
      </c>
      <c r="D309" t="s">
        <v>8004</v>
      </c>
      <c r="E309" s="113">
        <v>13</v>
      </c>
      <c r="F309" s="113">
        <v>19</v>
      </c>
      <c r="I309" s="112">
        <v>9</v>
      </c>
      <c r="K309" s="112">
        <v>9</v>
      </c>
      <c r="M309" s="136">
        <v>2.92</v>
      </c>
      <c r="S309" s="328">
        <v>1099</v>
      </c>
      <c r="U309">
        <v>10.8</v>
      </c>
      <c r="Y309" s="136">
        <v>721</v>
      </c>
      <c r="AA309" s="328">
        <v>87125</v>
      </c>
      <c r="AC309" s="136">
        <v>27.8</v>
      </c>
      <c r="AG309" s="136">
        <v>3.19</v>
      </c>
      <c r="AM309" s="328">
        <v>69</v>
      </c>
      <c r="BS309" s="336">
        <v>39.49</v>
      </c>
      <c r="BU309" s="336">
        <v>25.9</v>
      </c>
      <c r="BY309" s="136">
        <v>6.34</v>
      </c>
      <c r="CL309" s="136">
        <v>0</v>
      </c>
    </row>
    <row r="310" spans="1:90">
      <c r="A310" s="154" t="s">
        <v>7966</v>
      </c>
      <c r="B310" t="s">
        <v>257</v>
      </c>
      <c r="C310" t="s">
        <v>405</v>
      </c>
      <c r="D310" t="s">
        <v>8002</v>
      </c>
      <c r="E310" s="113">
        <v>55</v>
      </c>
      <c r="F310" s="113">
        <v>13</v>
      </c>
      <c r="I310" s="112">
        <v>9</v>
      </c>
      <c r="K310" s="112">
        <v>9</v>
      </c>
      <c r="M310" s="136">
        <v>3.09</v>
      </c>
      <c r="S310" s="328">
        <v>1330</v>
      </c>
      <c r="U310">
        <v>10.8</v>
      </c>
      <c r="Y310" s="136">
        <v>603</v>
      </c>
      <c r="AA310" s="328">
        <v>104303</v>
      </c>
      <c r="AC310" s="136">
        <v>29.5</v>
      </c>
      <c r="AG310" s="136">
        <v>2.83</v>
      </c>
      <c r="AM310" s="328">
        <v>77</v>
      </c>
      <c r="BS310" s="336">
        <v>45.04</v>
      </c>
      <c r="BU310" s="336">
        <v>20.43</v>
      </c>
      <c r="BY310" s="136">
        <v>6.11</v>
      </c>
      <c r="CL310" s="136">
        <v>0</v>
      </c>
    </row>
    <row r="311" spans="1:90">
      <c r="A311" s="154" t="s">
        <v>7966</v>
      </c>
      <c r="B311" t="s">
        <v>257</v>
      </c>
      <c r="C311" t="s">
        <v>7726</v>
      </c>
      <c r="D311" t="s">
        <v>8004</v>
      </c>
      <c r="E311" s="113">
        <v>26</v>
      </c>
      <c r="F311" s="113">
        <v>17</v>
      </c>
      <c r="I311" s="112">
        <v>9</v>
      </c>
      <c r="K311" s="112">
        <v>9</v>
      </c>
      <c r="M311" s="136">
        <v>2.75</v>
      </c>
      <c r="S311" s="328">
        <v>1185</v>
      </c>
      <c r="U311">
        <v>10.8</v>
      </c>
      <c r="Y311" s="136">
        <v>533</v>
      </c>
      <c r="AA311" s="328">
        <v>82750</v>
      </c>
      <c r="AC311" s="136">
        <v>25.9</v>
      </c>
      <c r="AG311" s="136">
        <v>3.13</v>
      </c>
      <c r="AM311" s="328">
        <v>77</v>
      </c>
      <c r="BS311" s="336">
        <v>45.73</v>
      </c>
      <c r="BU311" s="336">
        <v>20.59</v>
      </c>
      <c r="BY311" s="136">
        <v>7.41</v>
      </c>
      <c r="CL311" s="136">
        <v>0</v>
      </c>
    </row>
    <row r="312" spans="1:90">
      <c r="A312" s="154" t="s">
        <v>7966</v>
      </c>
      <c r="B312" t="s">
        <v>259</v>
      </c>
      <c r="C312" t="s">
        <v>405</v>
      </c>
      <c r="D312" t="s">
        <v>8002</v>
      </c>
      <c r="E312" s="113">
        <v>29</v>
      </c>
      <c r="F312" s="113">
        <v>15</v>
      </c>
      <c r="I312" s="112">
        <v>9</v>
      </c>
      <c r="K312" s="112">
        <v>9</v>
      </c>
      <c r="M312" s="136">
        <v>2.69</v>
      </c>
      <c r="S312" s="328">
        <v>1076</v>
      </c>
      <c r="U312">
        <v>10.8</v>
      </c>
      <c r="Y312" s="136">
        <v>608</v>
      </c>
      <c r="AA312" s="328">
        <v>87254</v>
      </c>
      <c r="AC312" s="136">
        <v>25.5</v>
      </c>
      <c r="AG312" s="136">
        <v>2.92</v>
      </c>
      <c r="AM312" s="328">
        <v>77</v>
      </c>
      <c r="BS312" s="336">
        <v>42.15</v>
      </c>
      <c r="BU312" s="336">
        <v>23.83</v>
      </c>
      <c r="BY312" s="136">
        <v>6.77</v>
      </c>
      <c r="CL312" s="136">
        <v>0</v>
      </c>
    </row>
    <row r="313" spans="1:90">
      <c r="A313" s="154" t="s">
        <v>7966</v>
      </c>
      <c r="B313" t="s">
        <v>259</v>
      </c>
      <c r="C313" t="s">
        <v>7726</v>
      </c>
      <c r="D313" t="s">
        <v>8004</v>
      </c>
      <c r="E313" s="113">
        <v>23</v>
      </c>
      <c r="F313" s="113">
        <v>20</v>
      </c>
      <c r="I313" s="112">
        <v>9</v>
      </c>
      <c r="K313" s="112">
        <v>9</v>
      </c>
      <c r="M313" s="136">
        <v>2.08</v>
      </c>
      <c r="S313" s="328">
        <v>828</v>
      </c>
      <c r="U313">
        <v>10.8</v>
      </c>
      <c r="Y313" s="136">
        <v>484</v>
      </c>
      <c r="AA313" s="328">
        <v>68076</v>
      </c>
      <c r="AC313" s="136">
        <v>19.8</v>
      </c>
      <c r="AG313" s="136">
        <v>2.91</v>
      </c>
      <c r="AM313" s="328">
        <v>77</v>
      </c>
      <c r="BS313" s="336">
        <v>41.8</v>
      </c>
      <c r="BU313" s="336">
        <v>24.44</v>
      </c>
      <c r="BY313" s="136">
        <v>6.35</v>
      </c>
      <c r="CL313" s="136">
        <v>0</v>
      </c>
    </row>
    <row r="314" spans="1:90">
      <c r="A314" s="154" t="s">
        <v>7968</v>
      </c>
      <c r="B314" t="s">
        <v>257</v>
      </c>
      <c r="C314" t="s">
        <v>405</v>
      </c>
      <c r="D314" t="s">
        <v>8002</v>
      </c>
      <c r="E314" s="113">
        <v>43</v>
      </c>
      <c r="F314" s="113">
        <v>14</v>
      </c>
      <c r="I314" s="112">
        <v>9</v>
      </c>
      <c r="K314" s="112">
        <v>9</v>
      </c>
      <c r="M314" s="136">
        <v>2.79</v>
      </c>
      <c r="S314" s="328">
        <v>1239</v>
      </c>
      <c r="U314">
        <v>10.8</v>
      </c>
      <c r="Y314" s="136">
        <v>543</v>
      </c>
      <c r="AA314" s="328">
        <v>82984</v>
      </c>
      <c r="AC314" s="136">
        <v>26.8</v>
      </c>
      <c r="AG314" s="136">
        <v>3.22</v>
      </c>
      <c r="AM314" s="328">
        <v>77</v>
      </c>
      <c r="BS314" s="336">
        <v>46.29</v>
      </c>
      <c r="BU314" s="336">
        <v>20.3</v>
      </c>
      <c r="BY314" s="136">
        <v>5.73</v>
      </c>
      <c r="CL314" s="136">
        <v>0</v>
      </c>
    </row>
    <row r="315" spans="1:90">
      <c r="A315" s="154" t="s">
        <v>7968</v>
      </c>
      <c r="B315" t="s">
        <v>257</v>
      </c>
      <c r="C315" t="s">
        <v>7726</v>
      </c>
      <c r="D315" t="s">
        <v>8004</v>
      </c>
      <c r="E315" s="113">
        <v>3</v>
      </c>
      <c r="F315" s="113">
        <v>18</v>
      </c>
      <c r="I315" s="112">
        <v>9</v>
      </c>
      <c r="K315" s="112">
        <v>9</v>
      </c>
      <c r="M315" s="136">
        <v>2.57</v>
      </c>
      <c r="S315" s="328">
        <v>1069</v>
      </c>
      <c r="U315">
        <v>10.8</v>
      </c>
      <c r="Y315" s="136">
        <v>541</v>
      </c>
      <c r="AA315" s="328">
        <v>78707</v>
      </c>
      <c r="AC315" s="136">
        <v>24.4</v>
      </c>
      <c r="AG315" s="136">
        <v>3.1</v>
      </c>
      <c r="AM315" s="328">
        <v>73</v>
      </c>
      <c r="BS315" s="336">
        <v>43.83</v>
      </c>
      <c r="BU315" s="336">
        <v>22.18</v>
      </c>
      <c r="BY315" s="136">
        <v>6.72</v>
      </c>
      <c r="CL315" s="136">
        <v>0</v>
      </c>
    </row>
    <row r="316" spans="1:90">
      <c r="A316" s="154" t="s">
        <v>7968</v>
      </c>
      <c r="B316" t="s">
        <v>259</v>
      </c>
      <c r="C316" t="s">
        <v>405</v>
      </c>
      <c r="D316" t="s">
        <v>8002</v>
      </c>
      <c r="E316" s="113">
        <v>41</v>
      </c>
      <c r="F316" s="113">
        <v>15</v>
      </c>
      <c r="I316" s="112">
        <v>9</v>
      </c>
      <c r="K316" s="112">
        <v>9</v>
      </c>
      <c r="M316" s="136">
        <v>2.4900000000000002</v>
      </c>
      <c r="S316" s="328">
        <v>1034</v>
      </c>
      <c r="U316">
        <v>10.8</v>
      </c>
      <c r="Y316" s="136">
        <v>561</v>
      </c>
      <c r="AA316" s="328">
        <v>72872</v>
      </c>
      <c r="AC316" s="136">
        <v>23.9</v>
      </c>
      <c r="AG316" s="136">
        <v>3.28</v>
      </c>
      <c r="AM316" s="328">
        <v>77</v>
      </c>
      <c r="BS316" s="336">
        <v>43.23</v>
      </c>
      <c r="BU316" s="336">
        <v>23.47</v>
      </c>
      <c r="BY316" s="136">
        <v>5.62</v>
      </c>
      <c r="CL316" s="136">
        <v>0</v>
      </c>
    </row>
    <row r="317" spans="1:90">
      <c r="A317" s="154" t="s">
        <v>7968</v>
      </c>
      <c r="B317" t="s">
        <v>259</v>
      </c>
      <c r="C317" t="s">
        <v>7726</v>
      </c>
      <c r="D317" t="s">
        <v>8004</v>
      </c>
      <c r="E317" s="113">
        <v>18</v>
      </c>
      <c r="F317" s="113">
        <v>19</v>
      </c>
      <c r="I317" s="112">
        <v>9</v>
      </c>
      <c r="K317" s="112">
        <v>9</v>
      </c>
      <c r="M317" s="136">
        <v>2.19</v>
      </c>
      <c r="S317" s="328">
        <v>894</v>
      </c>
      <c r="U317">
        <v>10.8</v>
      </c>
      <c r="Y317" s="136">
        <v>508</v>
      </c>
      <c r="AA317" s="328">
        <v>64065</v>
      </c>
      <c r="AC317" s="136">
        <v>20.9</v>
      </c>
      <c r="AG317" s="136">
        <v>3.26</v>
      </c>
      <c r="AM317" s="328">
        <v>77</v>
      </c>
      <c r="BS317" s="336">
        <v>42.83</v>
      </c>
      <c r="BU317" s="336">
        <v>24.34</v>
      </c>
      <c r="BY317" s="136">
        <v>6.31</v>
      </c>
      <c r="CL317" s="136">
        <v>0</v>
      </c>
    </row>
    <row r="318" spans="1:90">
      <c r="A318" s="154" t="s">
        <v>7970</v>
      </c>
      <c r="B318" t="s">
        <v>257</v>
      </c>
      <c r="C318" t="s">
        <v>405</v>
      </c>
      <c r="D318" t="s">
        <v>8002</v>
      </c>
      <c r="E318" s="113">
        <v>54</v>
      </c>
      <c r="F318" s="113">
        <v>14</v>
      </c>
      <c r="I318" s="112">
        <v>9</v>
      </c>
      <c r="K318" s="112">
        <v>9</v>
      </c>
      <c r="M318" s="136">
        <v>2.4700000000000002</v>
      </c>
      <c r="S318" s="328">
        <v>1099</v>
      </c>
      <c r="U318">
        <v>10.8</v>
      </c>
      <c r="Y318" s="136">
        <v>493</v>
      </c>
      <c r="AA318" s="328">
        <v>80612</v>
      </c>
      <c r="AC318" s="136">
        <v>23.6</v>
      </c>
      <c r="AG318" s="136">
        <v>2.93</v>
      </c>
      <c r="AM318" s="328">
        <v>80</v>
      </c>
      <c r="BS318" s="336">
        <v>46.49</v>
      </c>
      <c r="BU318" s="336">
        <v>20.85</v>
      </c>
      <c r="BY318" s="136">
        <v>5.9</v>
      </c>
      <c r="CL318" s="136">
        <v>0</v>
      </c>
    </row>
    <row r="319" spans="1:90">
      <c r="A319" s="154" t="s">
        <v>7970</v>
      </c>
      <c r="B319" t="s">
        <v>257</v>
      </c>
      <c r="C319" t="s">
        <v>7726</v>
      </c>
      <c r="D319" t="s">
        <v>8004</v>
      </c>
      <c r="E319" s="113">
        <v>9</v>
      </c>
      <c r="F319" s="113">
        <v>17</v>
      </c>
      <c r="I319" s="112">
        <v>9</v>
      </c>
      <c r="K319" s="112">
        <v>9</v>
      </c>
      <c r="M319" s="136">
        <v>2.2599999999999998</v>
      </c>
      <c r="S319" s="328">
        <v>1002</v>
      </c>
      <c r="U319">
        <v>10.8</v>
      </c>
      <c r="Y319" s="136">
        <v>447</v>
      </c>
      <c r="AA319" s="328">
        <v>73295</v>
      </c>
      <c r="AC319" s="136">
        <v>21.6</v>
      </c>
      <c r="AG319" s="136">
        <v>2.94</v>
      </c>
      <c r="AM319" s="328">
        <v>80</v>
      </c>
      <c r="BS319" s="336">
        <v>46.44</v>
      </c>
      <c r="BU319" s="336">
        <v>20.7</v>
      </c>
      <c r="BY319" s="136">
        <v>6.16</v>
      </c>
      <c r="CL319" s="136">
        <v>0</v>
      </c>
    </row>
    <row r="320" spans="1:90">
      <c r="A320" s="154" t="s">
        <v>7970</v>
      </c>
      <c r="B320" t="s">
        <v>259</v>
      </c>
      <c r="C320" t="s">
        <v>405</v>
      </c>
      <c r="D320" t="s">
        <v>8002</v>
      </c>
      <c r="E320" s="113">
        <v>37</v>
      </c>
      <c r="F320" s="113">
        <v>16</v>
      </c>
      <c r="I320" s="112">
        <v>9</v>
      </c>
      <c r="K320" s="112">
        <v>9</v>
      </c>
      <c r="M320" s="136">
        <v>3.19</v>
      </c>
      <c r="S320" s="328">
        <v>1358</v>
      </c>
      <c r="U320">
        <v>10.8</v>
      </c>
      <c r="Y320" s="136">
        <v>688</v>
      </c>
      <c r="AA320" s="328">
        <v>103723</v>
      </c>
      <c r="AC320" s="136">
        <v>30.6</v>
      </c>
      <c r="AG320" s="136">
        <v>2.95</v>
      </c>
      <c r="AM320" s="328">
        <v>80</v>
      </c>
      <c r="BS320" s="336">
        <v>44.43</v>
      </c>
      <c r="BU320" s="336">
        <v>22.5</v>
      </c>
      <c r="BY320" s="136">
        <v>5.8</v>
      </c>
      <c r="CL320" s="136">
        <v>0</v>
      </c>
    </row>
    <row r="321" spans="1:90">
      <c r="A321" s="154" t="s">
        <v>7970</v>
      </c>
      <c r="B321" t="s">
        <v>259</v>
      </c>
      <c r="C321" t="s">
        <v>7726</v>
      </c>
      <c r="D321" t="s">
        <v>8004</v>
      </c>
      <c r="E321" s="113">
        <v>7</v>
      </c>
      <c r="F321" s="113">
        <v>20</v>
      </c>
      <c r="I321" s="112">
        <v>9</v>
      </c>
      <c r="K321" s="112">
        <v>9</v>
      </c>
      <c r="M321" s="136">
        <v>2.15</v>
      </c>
      <c r="S321" s="328">
        <v>887</v>
      </c>
      <c r="U321">
        <v>10.8</v>
      </c>
      <c r="Y321" s="136">
        <v>498</v>
      </c>
      <c r="AA321" s="328">
        <v>70049</v>
      </c>
      <c r="AC321" s="136">
        <v>20.5</v>
      </c>
      <c r="AG321" s="136">
        <v>2.93</v>
      </c>
      <c r="AM321" s="328">
        <v>80</v>
      </c>
      <c r="BS321" s="336">
        <v>43.28</v>
      </c>
      <c r="BU321" s="336">
        <v>24.31</v>
      </c>
      <c r="BY321" s="136">
        <v>6.33</v>
      </c>
      <c r="CL321" s="136">
        <v>0</v>
      </c>
    </row>
    <row r="322" spans="1:90">
      <c r="A322" s="154" t="s">
        <v>7972</v>
      </c>
      <c r="B322" t="s">
        <v>257</v>
      </c>
      <c r="C322" t="s">
        <v>405</v>
      </c>
      <c r="D322" t="s">
        <v>8002</v>
      </c>
      <c r="E322" s="113">
        <v>46</v>
      </c>
      <c r="F322" s="113">
        <v>14</v>
      </c>
      <c r="I322" s="112">
        <v>9</v>
      </c>
      <c r="K322" s="112">
        <v>9</v>
      </c>
      <c r="M322" s="136">
        <v>2.46</v>
      </c>
      <c r="S322" s="328">
        <v>1121</v>
      </c>
      <c r="U322">
        <v>10.8</v>
      </c>
      <c r="Y322" s="136">
        <v>439</v>
      </c>
      <c r="AA322" s="328">
        <v>81018</v>
      </c>
      <c r="AC322" s="136">
        <v>23.6</v>
      </c>
      <c r="AG322" s="136">
        <v>2.91</v>
      </c>
      <c r="AM322" s="328">
        <v>77</v>
      </c>
      <c r="BS322" s="336">
        <v>47.53</v>
      </c>
      <c r="BU322" s="336">
        <v>18.63</v>
      </c>
      <c r="BY322" s="136">
        <v>5.77</v>
      </c>
      <c r="CL322" s="136">
        <v>0</v>
      </c>
    </row>
    <row r="323" spans="1:90">
      <c r="A323" s="154" t="s">
        <v>7972</v>
      </c>
      <c r="B323" t="s">
        <v>257</v>
      </c>
      <c r="C323" t="s">
        <v>7726</v>
      </c>
      <c r="D323" t="s">
        <v>8004</v>
      </c>
      <c r="E323" s="113">
        <v>17</v>
      </c>
      <c r="F323" s="113">
        <v>18</v>
      </c>
      <c r="I323" s="112">
        <v>9</v>
      </c>
      <c r="K323" s="112">
        <v>9</v>
      </c>
      <c r="M323" s="136">
        <v>2.77</v>
      </c>
      <c r="S323" s="328">
        <v>1121</v>
      </c>
      <c r="U323">
        <v>10.8</v>
      </c>
      <c r="Y323" s="136">
        <v>614</v>
      </c>
      <c r="AA323" s="328">
        <v>98303</v>
      </c>
      <c r="AC323" s="136">
        <v>26.4</v>
      </c>
      <c r="AG323" s="136">
        <v>2.68</v>
      </c>
      <c r="AM323" s="328">
        <v>77</v>
      </c>
      <c r="BS323" s="336">
        <v>42.49</v>
      </c>
      <c r="BU323" s="336">
        <v>23.29</v>
      </c>
      <c r="BY323" s="136">
        <v>6.43</v>
      </c>
      <c r="CL323" s="136">
        <v>0</v>
      </c>
    </row>
    <row r="324" spans="1:90">
      <c r="A324" s="154" t="s">
        <v>7972</v>
      </c>
      <c r="B324" t="s">
        <v>259</v>
      </c>
      <c r="C324" t="s">
        <v>405</v>
      </c>
      <c r="D324" t="s">
        <v>8002</v>
      </c>
      <c r="E324" s="113">
        <v>39</v>
      </c>
      <c r="F324" s="113">
        <v>15</v>
      </c>
      <c r="I324" s="112">
        <v>9</v>
      </c>
      <c r="K324" s="112">
        <v>9</v>
      </c>
      <c r="M324" s="136">
        <v>2.73</v>
      </c>
      <c r="S324" s="328">
        <v>1125</v>
      </c>
      <c r="U324">
        <v>10.8</v>
      </c>
      <c r="Y324" s="136">
        <v>598</v>
      </c>
      <c r="AA324" s="328">
        <v>97001</v>
      </c>
      <c r="AC324" s="136">
        <v>26.2</v>
      </c>
      <c r="AG324" s="136">
        <v>2.7</v>
      </c>
      <c r="AM324" s="328">
        <v>80</v>
      </c>
      <c r="BS324" s="336">
        <v>42.99</v>
      </c>
      <c r="BU324" s="336">
        <v>22.86</v>
      </c>
      <c r="BY324" s="136">
        <v>5.78</v>
      </c>
      <c r="CL324" s="136">
        <v>0</v>
      </c>
    </row>
    <row r="325" spans="1:90">
      <c r="A325" s="154" t="s">
        <v>7972</v>
      </c>
      <c r="B325" t="s">
        <v>259</v>
      </c>
      <c r="C325" t="s">
        <v>7726</v>
      </c>
      <c r="D325" t="s">
        <v>8004</v>
      </c>
      <c r="E325" s="113">
        <v>15</v>
      </c>
      <c r="F325" s="113">
        <v>20</v>
      </c>
      <c r="I325" s="112">
        <v>9</v>
      </c>
      <c r="K325" s="112">
        <v>9</v>
      </c>
      <c r="M325" s="136">
        <v>2.41</v>
      </c>
      <c r="S325" s="328">
        <v>954</v>
      </c>
      <c r="U325">
        <v>10.8</v>
      </c>
      <c r="Y325" s="136">
        <v>561</v>
      </c>
      <c r="AA325" s="328">
        <v>87740</v>
      </c>
      <c r="AC325" s="136">
        <v>22.9</v>
      </c>
      <c r="AG325" s="136">
        <v>2.61</v>
      </c>
      <c r="AM325" s="328">
        <v>77</v>
      </c>
      <c r="BS325" s="336">
        <v>41.64</v>
      </c>
      <c r="BU325" s="336">
        <v>24.48</v>
      </c>
      <c r="BY325" s="136">
        <v>6.52</v>
      </c>
      <c r="CL325" s="136">
        <v>0</v>
      </c>
    </row>
    <row r="326" spans="1:90">
      <c r="A326" s="154" t="s">
        <v>7974</v>
      </c>
      <c r="B326" t="s">
        <v>257</v>
      </c>
      <c r="C326" t="s">
        <v>405</v>
      </c>
      <c r="D326" t="s">
        <v>8002</v>
      </c>
      <c r="E326" s="113">
        <v>32</v>
      </c>
      <c r="F326" s="113">
        <v>13</v>
      </c>
      <c r="I326" s="112">
        <v>9</v>
      </c>
      <c r="K326" s="112">
        <v>9</v>
      </c>
      <c r="M326" s="136">
        <v>2.72</v>
      </c>
      <c r="S326" s="328">
        <v>1176</v>
      </c>
      <c r="U326">
        <v>10.8</v>
      </c>
      <c r="Y326" s="136">
        <v>507</v>
      </c>
      <c r="AA326" s="328">
        <v>92738</v>
      </c>
      <c r="AC326" s="136">
        <v>26</v>
      </c>
      <c r="AG326" s="136">
        <v>2.8</v>
      </c>
      <c r="AM326" s="328">
        <v>77</v>
      </c>
      <c r="BS326" s="336">
        <v>45.26</v>
      </c>
      <c r="BU326" s="336">
        <v>19.5</v>
      </c>
      <c r="BY326" s="136">
        <v>6.12</v>
      </c>
      <c r="CL326" s="136">
        <v>0</v>
      </c>
    </row>
    <row r="327" spans="1:90">
      <c r="A327" s="154" t="s">
        <v>7974</v>
      </c>
      <c r="B327" t="s">
        <v>257</v>
      </c>
      <c r="C327" t="s">
        <v>7726</v>
      </c>
      <c r="D327" t="s">
        <v>8004</v>
      </c>
      <c r="E327" s="113">
        <v>23</v>
      </c>
      <c r="F327" s="113">
        <v>17</v>
      </c>
      <c r="I327" s="112">
        <v>9</v>
      </c>
      <c r="K327" s="112">
        <v>9</v>
      </c>
      <c r="M327" s="136">
        <v>2.27</v>
      </c>
      <c r="S327" s="328">
        <v>951</v>
      </c>
      <c r="U327">
        <v>10.8</v>
      </c>
      <c r="Y327" s="136">
        <v>447</v>
      </c>
      <c r="AA327" s="328">
        <v>76878</v>
      </c>
      <c r="AC327" s="136">
        <v>21.7</v>
      </c>
      <c r="AG327" s="136">
        <v>2.82</v>
      </c>
      <c r="AM327" s="328">
        <v>77</v>
      </c>
      <c r="BS327" s="336">
        <v>43.91</v>
      </c>
      <c r="BU327" s="336">
        <v>20.63</v>
      </c>
      <c r="BY327" s="136">
        <v>6.25</v>
      </c>
      <c r="CL327" s="136">
        <v>0</v>
      </c>
    </row>
    <row r="328" spans="1:90">
      <c r="A328" s="154" t="s">
        <v>7974</v>
      </c>
      <c r="B328" t="s">
        <v>259</v>
      </c>
      <c r="C328" t="s">
        <v>405</v>
      </c>
      <c r="D328" t="s">
        <v>8002</v>
      </c>
      <c r="E328" s="113">
        <v>48</v>
      </c>
      <c r="F328" s="113">
        <v>16</v>
      </c>
      <c r="I328" s="112">
        <v>9</v>
      </c>
      <c r="K328" s="112">
        <v>9</v>
      </c>
      <c r="M328" s="136">
        <v>3.08</v>
      </c>
      <c r="S328" s="328">
        <v>1268</v>
      </c>
      <c r="U328">
        <v>10.8</v>
      </c>
      <c r="Y328" s="136">
        <v>651</v>
      </c>
      <c r="AA328" s="328">
        <v>109111</v>
      </c>
      <c r="AC328" s="136">
        <v>29.5</v>
      </c>
      <c r="AG328" s="136">
        <v>2.7</v>
      </c>
      <c r="AM328" s="328">
        <v>77</v>
      </c>
      <c r="BS328" s="336">
        <v>43.03</v>
      </c>
      <c r="BU328" s="336">
        <v>22.09</v>
      </c>
      <c r="BY328" s="136">
        <v>6</v>
      </c>
      <c r="CL328" s="136">
        <v>0</v>
      </c>
    </row>
    <row r="329" spans="1:90">
      <c r="A329" s="154" t="s">
        <v>7974</v>
      </c>
      <c r="B329" t="s">
        <v>259</v>
      </c>
      <c r="C329" t="s">
        <v>7726</v>
      </c>
      <c r="D329" t="s">
        <v>8004</v>
      </c>
      <c r="E329" s="113">
        <v>28</v>
      </c>
      <c r="F329" s="113">
        <v>20</v>
      </c>
      <c r="I329" s="112">
        <v>9</v>
      </c>
      <c r="K329" s="112">
        <v>9</v>
      </c>
      <c r="M329" s="136">
        <v>2.94</v>
      </c>
      <c r="S329" s="328">
        <v>1173</v>
      </c>
      <c r="U329">
        <v>10.8</v>
      </c>
      <c r="Y329" s="136">
        <v>637</v>
      </c>
      <c r="AA329" s="328">
        <v>100226</v>
      </c>
      <c r="AC329" s="136">
        <v>27.9</v>
      </c>
      <c r="AG329" s="136">
        <v>2.78</v>
      </c>
      <c r="AM329" s="328">
        <v>77</v>
      </c>
      <c r="BS329" s="336">
        <v>42.09</v>
      </c>
      <c r="BU329" s="336">
        <v>22.84</v>
      </c>
      <c r="BY329" s="136">
        <v>6.81</v>
      </c>
      <c r="CL329" s="136">
        <v>0</v>
      </c>
    </row>
    <row r="330" spans="1:90">
      <c r="A330" s="154" t="s">
        <v>7976</v>
      </c>
      <c r="B330" t="s">
        <v>257</v>
      </c>
      <c r="C330" t="s">
        <v>405</v>
      </c>
      <c r="D330" t="s">
        <v>8002</v>
      </c>
      <c r="E330" s="113">
        <v>43</v>
      </c>
      <c r="F330" s="113">
        <v>13</v>
      </c>
      <c r="I330" s="112">
        <v>9</v>
      </c>
      <c r="K330" s="112">
        <v>9</v>
      </c>
      <c r="M330" s="136">
        <v>2.72</v>
      </c>
      <c r="S330" s="328">
        <v>1212</v>
      </c>
      <c r="U330">
        <v>10.8</v>
      </c>
      <c r="Y330" s="136">
        <v>526</v>
      </c>
      <c r="AA330" s="328">
        <v>91116</v>
      </c>
      <c r="AC330" s="136">
        <v>26.1</v>
      </c>
      <c r="AG330" s="136">
        <v>2.87</v>
      </c>
      <c r="AM330" s="328">
        <v>77</v>
      </c>
      <c r="BS330" s="336">
        <v>46.37</v>
      </c>
      <c r="BU330" s="336">
        <v>20.12</v>
      </c>
      <c r="BY330" s="136">
        <v>5.59</v>
      </c>
      <c r="CL330" s="136">
        <v>0</v>
      </c>
    </row>
    <row r="331" spans="1:90">
      <c r="A331" s="154" t="s">
        <v>7976</v>
      </c>
      <c r="B331" t="s">
        <v>257</v>
      </c>
      <c r="C331" t="s">
        <v>7726</v>
      </c>
      <c r="D331" t="s">
        <v>8004</v>
      </c>
      <c r="E331" s="113">
        <v>16</v>
      </c>
      <c r="F331" s="113">
        <v>17</v>
      </c>
      <c r="I331" s="112">
        <v>9</v>
      </c>
      <c r="K331" s="112">
        <v>9</v>
      </c>
      <c r="M331" s="136">
        <v>2.61</v>
      </c>
      <c r="S331" s="328">
        <v>1098</v>
      </c>
      <c r="U331">
        <v>10.8</v>
      </c>
      <c r="Y331" s="136">
        <v>561</v>
      </c>
      <c r="AA331" s="328">
        <v>87143</v>
      </c>
      <c r="AC331" s="136">
        <v>24.9</v>
      </c>
      <c r="AG331" s="136">
        <v>2.85</v>
      </c>
      <c r="AM331" s="328">
        <v>77</v>
      </c>
      <c r="BS331" s="336">
        <v>44.15</v>
      </c>
      <c r="BU331" s="336">
        <v>22.56</v>
      </c>
      <c r="BY331" s="136">
        <v>6.36</v>
      </c>
      <c r="CL331" s="136">
        <v>0</v>
      </c>
    </row>
    <row r="332" spans="1:90">
      <c r="A332" s="154" t="s">
        <v>7976</v>
      </c>
      <c r="B332" t="s">
        <v>259</v>
      </c>
      <c r="C332" t="s">
        <v>405</v>
      </c>
      <c r="D332" t="s">
        <v>8002</v>
      </c>
      <c r="E332" s="113">
        <v>38</v>
      </c>
      <c r="F332" s="113">
        <v>16</v>
      </c>
      <c r="I332" s="112">
        <v>9</v>
      </c>
      <c r="K332" s="112">
        <v>9</v>
      </c>
      <c r="M332" s="136">
        <v>3.44</v>
      </c>
      <c r="S332" s="328">
        <v>1432</v>
      </c>
      <c r="U332">
        <v>10.8</v>
      </c>
      <c r="Y332" s="136">
        <v>772</v>
      </c>
      <c r="AA332" s="328">
        <v>115963</v>
      </c>
      <c r="AC332" s="136">
        <v>33</v>
      </c>
      <c r="AG332" s="136">
        <v>2.85</v>
      </c>
      <c r="AM332" s="328">
        <v>73</v>
      </c>
      <c r="BS332" s="336">
        <v>43.39</v>
      </c>
      <c r="BU332" s="336">
        <v>23.41</v>
      </c>
      <c r="BY332" s="136">
        <v>5.72</v>
      </c>
      <c r="CL332" s="136">
        <v>0</v>
      </c>
    </row>
    <row r="333" spans="1:90">
      <c r="A333" s="154" t="s">
        <v>7976</v>
      </c>
      <c r="B333" t="s">
        <v>259</v>
      </c>
      <c r="C333" t="s">
        <v>7726</v>
      </c>
      <c r="D333" t="s">
        <v>8004</v>
      </c>
      <c r="E333" s="113">
        <v>19</v>
      </c>
      <c r="F333" s="113">
        <v>19</v>
      </c>
      <c r="I333" s="112">
        <v>9</v>
      </c>
      <c r="K333" s="112">
        <v>9</v>
      </c>
      <c r="M333" s="136">
        <v>3.13</v>
      </c>
      <c r="S333" s="328">
        <v>1234</v>
      </c>
      <c r="U333">
        <v>10.8</v>
      </c>
      <c r="Y333" s="136">
        <v>762</v>
      </c>
      <c r="AA333" s="328">
        <v>103045</v>
      </c>
      <c r="AC333" s="136">
        <v>29.8</v>
      </c>
      <c r="AG333" s="136">
        <v>2.89</v>
      </c>
      <c r="AM333" s="328">
        <v>77</v>
      </c>
      <c r="BS333" s="336">
        <v>41.45</v>
      </c>
      <c r="BU333" s="336">
        <v>25.58</v>
      </c>
      <c r="BY333" s="136">
        <v>6.52</v>
      </c>
      <c r="CL333" s="136">
        <v>0</v>
      </c>
    </row>
    <row r="334" spans="1:90">
      <c r="A334" s="154" t="s">
        <v>7978</v>
      </c>
      <c r="B334" t="s">
        <v>257</v>
      </c>
      <c r="C334" t="s">
        <v>405</v>
      </c>
      <c r="D334" t="s">
        <v>8002</v>
      </c>
      <c r="E334" s="113">
        <v>36</v>
      </c>
      <c r="F334" s="113">
        <v>14</v>
      </c>
      <c r="I334" s="112">
        <v>9</v>
      </c>
      <c r="K334" s="112">
        <v>9</v>
      </c>
      <c r="M334" s="136">
        <v>2.29</v>
      </c>
      <c r="S334" s="328">
        <v>1034</v>
      </c>
      <c r="U334">
        <v>10.8</v>
      </c>
      <c r="Y334" s="136">
        <v>440</v>
      </c>
      <c r="AA334" s="328">
        <v>70839</v>
      </c>
      <c r="AC334" s="136">
        <v>22</v>
      </c>
      <c r="AG334" s="136">
        <v>3.1</v>
      </c>
      <c r="AM334" s="328">
        <v>83</v>
      </c>
      <c r="BS334" s="336">
        <v>47.04</v>
      </c>
      <c r="BU334" s="336">
        <v>20.04</v>
      </c>
      <c r="BY334" s="136">
        <v>5.69</v>
      </c>
      <c r="CL334" s="136">
        <v>0</v>
      </c>
    </row>
    <row r="335" spans="1:90">
      <c r="A335" s="154" t="s">
        <v>7978</v>
      </c>
      <c r="B335" t="s">
        <v>257</v>
      </c>
      <c r="C335" t="s">
        <v>7726</v>
      </c>
      <c r="D335" t="s">
        <v>8004</v>
      </c>
      <c r="E335" s="113">
        <v>2</v>
      </c>
      <c r="F335" s="113">
        <v>17</v>
      </c>
      <c r="I335" s="112">
        <v>9</v>
      </c>
      <c r="K335" s="112">
        <v>9</v>
      </c>
      <c r="M335" s="136">
        <v>2</v>
      </c>
      <c r="S335" s="328">
        <v>824</v>
      </c>
      <c r="U335">
        <v>10.8</v>
      </c>
      <c r="Y335" s="136">
        <v>429</v>
      </c>
      <c r="AA335" s="328">
        <v>72025</v>
      </c>
      <c r="AC335" s="136">
        <v>19</v>
      </c>
      <c r="AG335" s="136">
        <v>2.63</v>
      </c>
      <c r="AM335" s="328">
        <v>87</v>
      </c>
      <c r="BS335" s="336">
        <v>43.48</v>
      </c>
      <c r="BU335" s="336">
        <v>22.64</v>
      </c>
      <c r="BY335" s="136">
        <v>6.84</v>
      </c>
      <c r="CL335" s="136">
        <v>0</v>
      </c>
    </row>
    <row r="336" spans="1:90">
      <c r="A336" s="154" t="s">
        <v>7978</v>
      </c>
      <c r="B336" t="s">
        <v>259</v>
      </c>
      <c r="C336" t="s">
        <v>405</v>
      </c>
      <c r="D336" t="s">
        <v>8002</v>
      </c>
      <c r="E336" s="113">
        <v>46</v>
      </c>
      <c r="F336" s="113">
        <v>15</v>
      </c>
      <c r="I336" s="112">
        <v>9</v>
      </c>
      <c r="K336" s="112">
        <v>9</v>
      </c>
      <c r="M336" s="136">
        <v>2.57</v>
      </c>
      <c r="S336" s="328">
        <v>1090</v>
      </c>
      <c r="U336">
        <v>10.8</v>
      </c>
      <c r="Y336" s="136">
        <v>553</v>
      </c>
      <c r="AA336" s="328">
        <v>96530</v>
      </c>
      <c r="AC336" s="136">
        <v>24.6</v>
      </c>
      <c r="AG336" s="136">
        <v>2.5499999999999998</v>
      </c>
      <c r="AM336" s="328">
        <v>87</v>
      </c>
      <c r="BS336" s="336">
        <v>44.29</v>
      </c>
      <c r="BU336" s="336">
        <v>22.48</v>
      </c>
      <c r="BY336" s="136">
        <v>5.87</v>
      </c>
      <c r="CL336" s="136">
        <v>0</v>
      </c>
    </row>
    <row r="337" spans="1:91" s="347" customFormat="1">
      <c r="A337" s="337" t="s">
        <v>7978</v>
      </c>
      <c r="B337" s="338" t="s">
        <v>259</v>
      </c>
      <c r="C337" s="338" t="s">
        <v>7726</v>
      </c>
      <c r="D337" s="338" t="s">
        <v>8004</v>
      </c>
      <c r="E337" s="339"/>
      <c r="F337" s="339"/>
      <c r="G337" s="339"/>
      <c r="H337" s="339"/>
      <c r="I337" s="340"/>
      <c r="J337" s="340"/>
      <c r="K337" s="340"/>
      <c r="L337" s="341"/>
      <c r="M337" s="342"/>
      <c r="N337" s="342"/>
      <c r="O337" s="342"/>
      <c r="P337" s="343"/>
      <c r="Q337" s="343"/>
      <c r="R337" s="343"/>
      <c r="S337" s="344" t="s">
        <v>7709</v>
      </c>
      <c r="T337" s="343"/>
      <c r="U337" s="338">
        <v>10.8</v>
      </c>
      <c r="V337" s="342"/>
      <c r="W337" s="343"/>
      <c r="X337" s="343"/>
      <c r="Y337" s="342" t="s">
        <v>7709</v>
      </c>
      <c r="Z337" s="342"/>
      <c r="AA337" s="344" t="s">
        <v>7709</v>
      </c>
      <c r="AB337" s="343"/>
      <c r="AC337" s="342" t="s">
        <v>7709</v>
      </c>
      <c r="AD337" s="342"/>
      <c r="AE337" s="345"/>
      <c r="AF337" s="343"/>
      <c r="AG337" s="342">
        <v>2.48</v>
      </c>
      <c r="AH337" s="342"/>
      <c r="AI337" s="343"/>
      <c r="AJ337" s="343"/>
      <c r="AK337" s="342"/>
      <c r="AL337" s="342"/>
      <c r="AM337" s="344" t="s">
        <v>7709</v>
      </c>
      <c r="AN337" s="343"/>
      <c r="AO337" s="342"/>
      <c r="AP337" s="342"/>
      <c r="AQ337" s="343"/>
      <c r="AR337" s="343"/>
      <c r="AS337" s="342"/>
      <c r="AT337" s="342"/>
      <c r="AU337" s="343"/>
      <c r="AV337" s="343"/>
      <c r="AW337" s="342"/>
      <c r="AX337" s="342"/>
      <c r="AY337" s="343"/>
      <c r="AZ337" s="343"/>
      <c r="BA337" s="342"/>
      <c r="BB337" s="342"/>
      <c r="BC337" s="343"/>
      <c r="BD337" s="343"/>
      <c r="BE337" s="343"/>
      <c r="BF337" s="343"/>
      <c r="BG337" s="343"/>
      <c r="BH337" s="343"/>
      <c r="BI337" s="343"/>
      <c r="BJ337" s="343"/>
      <c r="BK337" s="343"/>
      <c r="BL337" s="343"/>
      <c r="BM337" s="342"/>
      <c r="BN337" s="342"/>
      <c r="BO337" s="343"/>
      <c r="BP337" s="343"/>
      <c r="BQ337" s="342"/>
      <c r="BR337" s="342"/>
      <c r="BS337" s="346">
        <v>41.34</v>
      </c>
      <c r="BT337" s="343"/>
      <c r="BU337" s="346">
        <v>24.55</v>
      </c>
      <c r="BV337" s="342"/>
      <c r="BW337" s="342"/>
      <c r="BX337" s="342"/>
      <c r="BY337" s="342"/>
      <c r="BZ337" s="342"/>
      <c r="CA337" s="342"/>
      <c r="CB337" s="342"/>
      <c r="CC337" s="342"/>
      <c r="CD337" s="342"/>
      <c r="CE337" s="342"/>
      <c r="CF337" s="342"/>
      <c r="CG337" s="342"/>
      <c r="CH337" s="342"/>
      <c r="CI337" s="342"/>
      <c r="CJ337" s="342"/>
      <c r="CK337" s="342"/>
      <c r="CL337" s="342"/>
      <c r="CM337" s="342"/>
    </row>
    <row r="338" spans="1:91">
      <c r="A338" s="154" t="s">
        <v>7980</v>
      </c>
      <c r="B338" t="s">
        <v>257</v>
      </c>
      <c r="C338" t="s">
        <v>405</v>
      </c>
      <c r="D338" t="s">
        <v>8002</v>
      </c>
      <c r="E338" s="113">
        <v>48</v>
      </c>
      <c r="F338" s="113">
        <v>13</v>
      </c>
      <c r="I338" s="112">
        <v>9</v>
      </c>
      <c r="K338" s="112">
        <v>9</v>
      </c>
      <c r="M338" s="136">
        <v>2.34</v>
      </c>
      <c r="S338" s="328">
        <v>1059</v>
      </c>
      <c r="U338">
        <v>10.8</v>
      </c>
      <c r="Y338" s="136">
        <v>430</v>
      </c>
      <c r="AA338" s="328">
        <v>75136</v>
      </c>
      <c r="AC338" s="136">
        <v>22.4</v>
      </c>
      <c r="AG338" s="136">
        <v>2.99</v>
      </c>
      <c r="AM338" s="328">
        <v>69</v>
      </c>
      <c r="BS338" s="336">
        <v>47.22</v>
      </c>
      <c r="BU338" s="336">
        <v>19.170000000000002</v>
      </c>
      <c r="BY338" s="136">
        <v>5.77</v>
      </c>
      <c r="CL338" s="136">
        <v>0</v>
      </c>
    </row>
    <row r="339" spans="1:91">
      <c r="A339" s="154" t="s">
        <v>7980</v>
      </c>
      <c r="B339" t="s">
        <v>257</v>
      </c>
      <c r="C339" t="s">
        <v>7726</v>
      </c>
      <c r="D339" t="s">
        <v>8004</v>
      </c>
      <c r="E339" s="113">
        <v>17</v>
      </c>
      <c r="F339" s="113">
        <v>17</v>
      </c>
      <c r="I339" s="112">
        <v>9</v>
      </c>
      <c r="K339" s="112">
        <v>9</v>
      </c>
      <c r="M339" s="136">
        <v>2.2999999999999998</v>
      </c>
      <c r="S339" s="328">
        <v>977</v>
      </c>
      <c r="U339">
        <v>10.8</v>
      </c>
      <c r="Y339" s="136">
        <v>482</v>
      </c>
      <c r="AA339" s="328">
        <v>74593</v>
      </c>
      <c r="AC339" s="136">
        <v>21.9</v>
      </c>
      <c r="AG339" s="136">
        <v>2.94</v>
      </c>
      <c r="AM339" s="328">
        <v>69</v>
      </c>
      <c r="BS339" s="336">
        <v>44.55</v>
      </c>
      <c r="BU339" s="336">
        <v>22</v>
      </c>
      <c r="BY339" s="136">
        <v>6.3</v>
      </c>
      <c r="CL339" s="136">
        <v>0</v>
      </c>
    </row>
    <row r="340" spans="1:91">
      <c r="A340" s="154" t="s">
        <v>7980</v>
      </c>
      <c r="B340" t="s">
        <v>259</v>
      </c>
      <c r="C340" t="s">
        <v>405</v>
      </c>
      <c r="D340" t="s">
        <v>8002</v>
      </c>
      <c r="E340" s="113">
        <v>34</v>
      </c>
      <c r="F340" s="113">
        <v>16</v>
      </c>
      <c r="I340" s="112">
        <v>9</v>
      </c>
      <c r="K340" s="112">
        <v>5</v>
      </c>
      <c r="M340" s="136">
        <v>2.72</v>
      </c>
      <c r="S340" s="328">
        <v>1160</v>
      </c>
      <c r="U340">
        <v>10.8</v>
      </c>
      <c r="Y340" s="136">
        <v>569</v>
      </c>
      <c r="AA340" s="328">
        <v>96025</v>
      </c>
      <c r="AC340" s="136">
        <v>26</v>
      </c>
      <c r="AG340" s="136">
        <v>2.71</v>
      </c>
      <c r="AM340" s="328">
        <v>73</v>
      </c>
      <c r="BS340" s="336">
        <v>44.66</v>
      </c>
      <c r="BU340" s="336">
        <v>21.9</v>
      </c>
      <c r="BY340" s="136">
        <v>6.14</v>
      </c>
      <c r="CL340" s="136">
        <v>0</v>
      </c>
    </row>
    <row r="341" spans="1:91">
      <c r="A341" s="154" t="s">
        <v>7980</v>
      </c>
      <c r="B341" t="s">
        <v>259</v>
      </c>
      <c r="C341" t="s">
        <v>7726</v>
      </c>
      <c r="D341" t="s">
        <v>8004</v>
      </c>
      <c r="E341" s="113">
        <v>12</v>
      </c>
      <c r="F341" s="113">
        <v>19</v>
      </c>
      <c r="I341" s="112">
        <v>9</v>
      </c>
      <c r="K341" s="112">
        <v>9</v>
      </c>
      <c r="M341" s="136">
        <v>2.1800000000000002</v>
      </c>
      <c r="S341" s="328">
        <v>895</v>
      </c>
      <c r="U341">
        <v>10.8</v>
      </c>
      <c r="Y341" s="136">
        <v>496</v>
      </c>
      <c r="AA341" s="328">
        <v>69552</v>
      </c>
      <c r="AC341" s="136">
        <v>20.7</v>
      </c>
      <c r="AG341" s="136">
        <v>2.98</v>
      </c>
      <c r="AM341" s="328">
        <v>69</v>
      </c>
      <c r="BS341" s="336">
        <v>43.16</v>
      </c>
      <c r="BU341" s="336">
        <v>23.93</v>
      </c>
      <c r="BY341" s="136">
        <v>6.57</v>
      </c>
      <c r="CL341" s="136">
        <v>0</v>
      </c>
    </row>
    <row r="342" spans="1:91">
      <c r="S342" s="328"/>
      <c r="AA342" s="328"/>
      <c r="AM342" s="328"/>
      <c r="BS342" s="327"/>
    </row>
    <row r="343" spans="1:91">
      <c r="S343" s="328"/>
      <c r="AA343" s="328"/>
      <c r="AM343" s="328"/>
      <c r="BS343" s="327"/>
    </row>
    <row r="344" spans="1:91">
      <c r="S344" s="328"/>
      <c r="AA344" s="328"/>
      <c r="AM344" s="328"/>
      <c r="BS344" s="327"/>
    </row>
    <row r="345" spans="1:91">
      <c r="S345" s="328"/>
      <c r="AA345" s="328"/>
      <c r="AM345" s="328"/>
      <c r="BS345" s="327"/>
    </row>
    <row r="346" spans="1:91">
      <c r="S346" s="328"/>
      <c r="AA346" s="328"/>
      <c r="AM346" s="328"/>
      <c r="BS346" s="327"/>
    </row>
    <row r="347" spans="1:91">
      <c r="S347" s="328"/>
      <c r="AA347" s="328"/>
      <c r="AM347" s="328"/>
      <c r="BS347" s="327"/>
    </row>
    <row r="348" spans="1:91">
      <c r="S348" s="328"/>
      <c r="AA348" s="328"/>
      <c r="AM348" s="328"/>
      <c r="BS348" s="327"/>
    </row>
    <row r="349" spans="1:91">
      <c r="S349" s="328"/>
      <c r="AA349" s="328"/>
      <c r="AM349" s="328"/>
      <c r="BS349" s="327"/>
    </row>
    <row r="350" spans="1:91">
      <c r="S350" s="328"/>
      <c r="AA350" s="328"/>
      <c r="AM350" s="328"/>
      <c r="BS350" s="327"/>
    </row>
    <row r="351" spans="1:91">
      <c r="S351" s="328"/>
      <c r="AA351" s="328"/>
      <c r="AM351" s="328"/>
      <c r="BS351" s="327"/>
    </row>
    <row r="352" spans="1:91">
      <c r="S352" s="328"/>
      <c r="AA352" s="328"/>
      <c r="AM352" s="328"/>
      <c r="BS352" s="327"/>
    </row>
    <row r="353" spans="19:71">
      <c r="S353" s="328"/>
      <c r="AA353" s="328"/>
      <c r="AM353" s="328"/>
      <c r="BS353" s="327"/>
    </row>
    <row r="354" spans="19:71">
      <c r="S354" s="328"/>
      <c r="AA354" s="328"/>
      <c r="AM354" s="328"/>
      <c r="BS354" s="327"/>
    </row>
    <row r="355" spans="19:71">
      <c r="S355" s="328"/>
      <c r="AA355" s="328"/>
      <c r="AM355" s="328"/>
      <c r="BS355" s="327"/>
    </row>
    <row r="356" spans="19:71">
      <c r="S356" s="328"/>
      <c r="AA356" s="328"/>
      <c r="AM356" s="328"/>
      <c r="BS356" s="327"/>
    </row>
    <row r="357" spans="19:71">
      <c r="S357" s="328"/>
      <c r="AA357" s="328"/>
      <c r="AM357" s="328"/>
      <c r="BS357" s="327"/>
    </row>
    <row r="358" spans="19:71">
      <c r="S358" s="328"/>
      <c r="AA358" s="328"/>
      <c r="AM358" s="328"/>
      <c r="BS358" s="327"/>
    </row>
    <row r="359" spans="19:71">
      <c r="S359" s="328"/>
      <c r="AA359" s="328"/>
      <c r="AM359" s="328"/>
      <c r="BS359" s="327"/>
    </row>
    <row r="360" spans="19:71">
      <c r="S360" s="328"/>
      <c r="AA360" s="328"/>
      <c r="AM360" s="328"/>
      <c r="BS360" s="327"/>
    </row>
    <row r="361" spans="19:71">
      <c r="S361" s="328"/>
      <c r="AA361" s="328"/>
      <c r="AM361" s="328"/>
      <c r="BS361" s="327"/>
    </row>
    <row r="362" spans="19:71">
      <c r="S362" s="328"/>
      <c r="AA362" s="328"/>
      <c r="AM362" s="328"/>
      <c r="BS362" s="327"/>
    </row>
    <row r="363" spans="19:71">
      <c r="S363" s="328"/>
      <c r="AA363" s="328"/>
      <c r="AM363" s="328"/>
      <c r="BS363" s="327"/>
    </row>
    <row r="364" spans="19:71">
      <c r="S364" s="328"/>
      <c r="AA364" s="328"/>
      <c r="AM364" s="328"/>
      <c r="BS364" s="327"/>
    </row>
    <row r="365" spans="19:71">
      <c r="S365" s="328"/>
      <c r="AA365" s="328"/>
      <c r="AM365" s="328"/>
      <c r="BS365" s="327"/>
    </row>
    <row r="366" spans="19:71">
      <c r="S366" s="328"/>
      <c r="AA366" s="328"/>
      <c r="AM366" s="328"/>
      <c r="BS366" s="327"/>
    </row>
    <row r="367" spans="19:71">
      <c r="S367" s="328"/>
      <c r="AA367" s="328"/>
      <c r="AM367" s="328"/>
      <c r="BS367" s="327"/>
    </row>
    <row r="368" spans="19:71">
      <c r="S368" s="328"/>
      <c r="AA368" s="328"/>
      <c r="AM368" s="328"/>
      <c r="BS368" s="327"/>
    </row>
    <row r="369" spans="19:71">
      <c r="S369" s="328"/>
      <c r="AA369" s="328"/>
      <c r="AM369" s="328"/>
      <c r="BS369" s="327"/>
    </row>
    <row r="370" spans="19:71">
      <c r="S370" s="328"/>
      <c r="AA370" s="328"/>
      <c r="AM370" s="328"/>
      <c r="BS370" s="327"/>
    </row>
    <row r="371" spans="19:71">
      <c r="S371" s="328"/>
      <c r="AA371" s="328"/>
      <c r="AM371" s="328"/>
      <c r="BS371" s="327"/>
    </row>
    <row r="372" spans="19:71">
      <c r="S372" s="328"/>
      <c r="AA372" s="328"/>
      <c r="AM372" s="328"/>
      <c r="BS372" s="327"/>
    </row>
    <row r="373" spans="19:71">
      <c r="S373" s="328"/>
      <c r="AA373" s="328"/>
      <c r="AM373" s="328"/>
      <c r="BS373" s="327"/>
    </row>
    <row r="374" spans="19:71">
      <c r="S374" s="328"/>
      <c r="AA374" s="328"/>
      <c r="AM374" s="328"/>
      <c r="BS374" s="327"/>
    </row>
    <row r="375" spans="19:71">
      <c r="S375" s="328"/>
      <c r="AA375" s="328"/>
      <c r="AM375" s="328"/>
      <c r="BS375" s="327"/>
    </row>
    <row r="376" spans="19:71">
      <c r="S376" s="328"/>
      <c r="AA376" s="328"/>
      <c r="AM376" s="328"/>
      <c r="BS376" s="327"/>
    </row>
    <row r="377" spans="19:71">
      <c r="S377" s="328"/>
      <c r="AA377" s="328"/>
      <c r="AM377" s="328"/>
      <c r="BS377" s="327"/>
    </row>
    <row r="378" spans="19:71">
      <c r="S378" s="328"/>
      <c r="AA378" s="328"/>
      <c r="AM378" s="328"/>
      <c r="BS378" s="327"/>
    </row>
    <row r="379" spans="19:71">
      <c r="S379" s="328"/>
      <c r="AA379" s="328"/>
      <c r="AM379" s="328"/>
      <c r="BS379" s="327"/>
    </row>
    <row r="380" spans="19:71">
      <c r="S380" s="328"/>
      <c r="AA380" s="328"/>
      <c r="AM380" s="328"/>
      <c r="BS380" s="327"/>
    </row>
    <row r="381" spans="19:71">
      <c r="S381" s="328"/>
      <c r="AA381" s="328"/>
      <c r="AM381" s="328"/>
      <c r="BS381" s="327"/>
    </row>
    <row r="382" spans="19:71">
      <c r="S382" s="328"/>
      <c r="AA382" s="328"/>
      <c r="AM382" s="328"/>
      <c r="BS382" s="327"/>
    </row>
    <row r="383" spans="19:71">
      <c r="S383" s="328"/>
      <c r="AA383" s="328"/>
      <c r="AM383" s="328"/>
      <c r="BS383" s="327"/>
    </row>
    <row r="384" spans="19:71">
      <c r="S384" s="328"/>
      <c r="AA384" s="328"/>
      <c r="AM384" s="328"/>
      <c r="BS384" s="327"/>
    </row>
    <row r="385" spans="19:71">
      <c r="S385" s="328"/>
      <c r="AA385" s="328"/>
      <c r="AM385" s="328"/>
      <c r="BS385" s="327"/>
    </row>
    <row r="386" spans="19:71">
      <c r="S386" s="328"/>
      <c r="AA386" s="328"/>
      <c r="AM386" s="328"/>
      <c r="BS386" s="327"/>
    </row>
    <row r="387" spans="19:71">
      <c r="S387" s="328"/>
      <c r="AA387" s="328"/>
      <c r="AM387" s="328"/>
      <c r="BS387" s="327"/>
    </row>
    <row r="388" spans="19:71">
      <c r="S388" s="328"/>
      <c r="AA388" s="328"/>
      <c r="AM388" s="328"/>
      <c r="BS388" s="327"/>
    </row>
    <row r="389" spans="19:71">
      <c r="S389" s="328"/>
      <c r="AA389" s="328"/>
      <c r="AM389" s="328"/>
      <c r="BS389" s="327"/>
    </row>
    <row r="390" spans="19:71">
      <c r="S390" s="328"/>
      <c r="AA390" s="328"/>
      <c r="AM390" s="328"/>
      <c r="BS390" s="327"/>
    </row>
    <row r="391" spans="19:71">
      <c r="S391" s="328"/>
      <c r="AA391" s="328"/>
      <c r="AM391" s="328"/>
      <c r="BS391" s="327"/>
    </row>
    <row r="392" spans="19:71">
      <c r="S392" s="328"/>
      <c r="AA392" s="328"/>
      <c r="AM392" s="328"/>
      <c r="BS392" s="327"/>
    </row>
    <row r="393" spans="19:71">
      <c r="S393" s="328"/>
      <c r="AA393" s="328"/>
      <c r="AM393" s="328"/>
      <c r="BS393" s="327"/>
    </row>
    <row r="394" spans="19:71">
      <c r="S394" s="328"/>
      <c r="AA394" s="328"/>
      <c r="AM394" s="328"/>
      <c r="BS394" s="327"/>
    </row>
    <row r="395" spans="19:71">
      <c r="S395" s="328"/>
      <c r="AA395" s="328"/>
      <c r="AM395" s="328"/>
      <c r="BS395" s="327"/>
    </row>
    <row r="396" spans="19:71">
      <c r="S396" s="328"/>
      <c r="AA396" s="328"/>
      <c r="AM396" s="328"/>
      <c r="BS396" s="327"/>
    </row>
    <row r="397" spans="19:71">
      <c r="S397" s="328"/>
      <c r="AA397" s="328"/>
      <c r="AM397" s="328"/>
      <c r="BS397" s="327"/>
    </row>
    <row r="398" spans="19:71">
      <c r="S398" s="328"/>
      <c r="AA398" s="328"/>
      <c r="AM398" s="328"/>
      <c r="BS398" s="327"/>
    </row>
    <row r="399" spans="19:71">
      <c r="S399" s="328"/>
      <c r="AA399" s="328"/>
      <c r="AM399" s="328"/>
      <c r="BS399" s="327"/>
    </row>
    <row r="400" spans="19:71">
      <c r="S400" s="328"/>
      <c r="AA400" s="328"/>
      <c r="AM400" s="328"/>
      <c r="BS400" s="327"/>
    </row>
    <row r="401" spans="19:71">
      <c r="S401" s="328"/>
      <c r="AA401" s="328"/>
      <c r="AM401" s="328"/>
      <c r="BS401" s="327"/>
    </row>
    <row r="402" spans="19:71">
      <c r="S402" s="328"/>
      <c r="AA402" s="328"/>
      <c r="AM402" s="328"/>
      <c r="BS402" s="327"/>
    </row>
    <row r="403" spans="19:71">
      <c r="S403" s="328"/>
      <c r="AA403" s="328"/>
      <c r="AM403" s="328"/>
      <c r="BS403" s="327"/>
    </row>
    <row r="404" spans="19:71">
      <c r="S404" s="328"/>
      <c r="AA404" s="328"/>
      <c r="AM404" s="328"/>
      <c r="BS404" s="327"/>
    </row>
    <row r="405" spans="19:71">
      <c r="S405" s="328"/>
      <c r="AA405" s="328"/>
      <c r="AM405" s="328"/>
      <c r="BS405" s="327"/>
    </row>
    <row r="406" spans="19:71">
      <c r="S406" s="328"/>
      <c r="AA406" s="328"/>
      <c r="AM406" s="328"/>
      <c r="BS406" s="327"/>
    </row>
    <row r="407" spans="19:71">
      <c r="S407" s="328"/>
      <c r="AA407" s="328"/>
      <c r="AM407" s="328"/>
      <c r="BS407" s="327"/>
    </row>
    <row r="408" spans="19:71">
      <c r="S408" s="328"/>
      <c r="AA408" s="328"/>
      <c r="AM408" s="328"/>
      <c r="BS408" s="327"/>
    </row>
    <row r="409" spans="19:71">
      <c r="S409" s="328"/>
      <c r="AA409" s="328"/>
      <c r="AM409" s="328"/>
      <c r="BS409" s="327"/>
    </row>
    <row r="410" spans="19:71">
      <c r="S410" s="328"/>
      <c r="AA410" s="328"/>
      <c r="AM410" s="328"/>
      <c r="BS410" s="327"/>
    </row>
    <row r="411" spans="19:71">
      <c r="S411" s="328"/>
      <c r="AA411" s="328"/>
      <c r="AM411" s="328"/>
      <c r="BS411" s="327"/>
    </row>
    <row r="412" spans="19:71">
      <c r="S412" s="328"/>
      <c r="AA412" s="328"/>
      <c r="AM412" s="328"/>
      <c r="BS412" s="327"/>
    </row>
    <row r="413" spans="19:71">
      <c r="S413" s="328"/>
      <c r="AA413" s="328"/>
      <c r="AM413" s="328"/>
      <c r="BS413" s="327"/>
    </row>
    <row r="414" spans="19:71">
      <c r="S414" s="328"/>
      <c r="AA414" s="328"/>
      <c r="AM414" s="328"/>
      <c r="BS414" s="327"/>
    </row>
    <row r="415" spans="19:71">
      <c r="S415" s="328"/>
      <c r="AA415" s="328"/>
      <c r="AM415" s="328"/>
      <c r="BS415" s="327"/>
    </row>
    <row r="416" spans="19:71">
      <c r="S416" s="328"/>
      <c r="AA416" s="328"/>
      <c r="AM416" s="328"/>
      <c r="BS416" s="327"/>
    </row>
    <row r="417" spans="19:71">
      <c r="S417" s="328"/>
      <c r="AA417" s="328"/>
      <c r="AM417" s="328"/>
      <c r="BS417" s="327"/>
    </row>
    <row r="418" spans="19:71">
      <c r="S418" s="328"/>
      <c r="AA418" s="328"/>
      <c r="AM418" s="328"/>
      <c r="BS418" s="327"/>
    </row>
    <row r="419" spans="19:71">
      <c r="S419" s="328"/>
      <c r="AA419" s="328"/>
      <c r="AM419" s="328"/>
      <c r="BS419" s="327"/>
    </row>
    <row r="420" spans="19:71">
      <c r="S420" s="328"/>
      <c r="AA420" s="328"/>
      <c r="AM420" s="328"/>
      <c r="BS420" s="327"/>
    </row>
    <row r="421" spans="19:71">
      <c r="S421" s="328"/>
      <c r="AA421" s="328"/>
      <c r="AM421" s="328"/>
      <c r="BS421" s="327"/>
    </row>
    <row r="422" spans="19:71">
      <c r="S422" s="328"/>
      <c r="AA422" s="328"/>
      <c r="AM422" s="328"/>
      <c r="BS422" s="327"/>
    </row>
    <row r="423" spans="19:71">
      <c r="S423" s="328"/>
      <c r="AA423" s="328"/>
      <c r="AM423" s="328"/>
      <c r="BS423" s="327"/>
    </row>
    <row r="424" spans="19:71">
      <c r="S424" s="328"/>
      <c r="AA424" s="328"/>
      <c r="AM424" s="328"/>
      <c r="BS424" s="327"/>
    </row>
    <row r="425" spans="19:71">
      <c r="S425" s="328"/>
      <c r="AA425" s="328"/>
      <c r="AM425" s="328"/>
      <c r="BS425" s="327"/>
    </row>
    <row r="426" spans="19:71">
      <c r="S426" s="328"/>
      <c r="AA426" s="328"/>
      <c r="AM426" s="328"/>
      <c r="BS426" s="327"/>
    </row>
    <row r="427" spans="19:71">
      <c r="S427" s="328"/>
      <c r="AA427" s="328"/>
      <c r="AM427" s="328"/>
      <c r="BS427" s="327"/>
    </row>
    <row r="428" spans="19:71">
      <c r="S428" s="328"/>
      <c r="AA428" s="328"/>
      <c r="AM428" s="328"/>
      <c r="BS428" s="327"/>
    </row>
    <row r="429" spans="19:71">
      <c r="S429" s="328"/>
      <c r="AA429" s="328"/>
      <c r="AM429" s="328"/>
      <c r="BS429" s="327"/>
    </row>
    <row r="430" spans="19:71">
      <c r="S430" s="328"/>
      <c r="AA430" s="328"/>
      <c r="AM430" s="328"/>
      <c r="BS430" s="327"/>
    </row>
    <row r="431" spans="19:71">
      <c r="S431" s="328"/>
      <c r="AA431" s="328"/>
      <c r="AM431" s="328"/>
      <c r="BS431" s="327"/>
    </row>
    <row r="432" spans="19:71">
      <c r="S432" s="328"/>
      <c r="AA432" s="328"/>
      <c r="AM432" s="328"/>
      <c r="BS432" s="327"/>
    </row>
    <row r="433" spans="19:71">
      <c r="S433" s="328"/>
      <c r="AA433" s="328"/>
      <c r="AM433" s="328"/>
      <c r="BS433" s="327"/>
    </row>
    <row r="434" spans="19:71">
      <c r="S434" s="328"/>
      <c r="AA434" s="328"/>
      <c r="AM434" s="328"/>
      <c r="BS434" s="327"/>
    </row>
    <row r="435" spans="19:71">
      <c r="S435" s="328"/>
      <c r="AA435" s="328"/>
      <c r="AM435" s="328"/>
      <c r="BS435" s="327"/>
    </row>
    <row r="436" spans="19:71">
      <c r="S436" s="328"/>
      <c r="AA436" s="328"/>
      <c r="AM436" s="328"/>
      <c r="BS436" s="327"/>
    </row>
    <row r="437" spans="19:71">
      <c r="S437" s="328"/>
      <c r="AA437" s="328"/>
      <c r="AM437" s="328"/>
      <c r="BS437" s="327"/>
    </row>
    <row r="438" spans="19:71">
      <c r="S438" s="328"/>
      <c r="AA438" s="328"/>
      <c r="AM438" s="328"/>
      <c r="BS438" s="327"/>
    </row>
    <row r="439" spans="19:71">
      <c r="S439" s="328"/>
      <c r="AA439" s="328"/>
      <c r="AM439" s="328"/>
      <c r="BS439" s="327"/>
    </row>
    <row r="440" spans="19:71">
      <c r="S440" s="328"/>
      <c r="AA440" s="328"/>
      <c r="AM440" s="328"/>
      <c r="BS440" s="327"/>
    </row>
    <row r="441" spans="19:71">
      <c r="S441" s="328"/>
      <c r="AA441" s="328"/>
      <c r="AM441" s="328"/>
      <c r="BS441" s="327"/>
    </row>
    <row r="442" spans="19:71">
      <c r="S442" s="328"/>
      <c r="AA442" s="328"/>
      <c r="AM442" s="328"/>
      <c r="BS442" s="327"/>
    </row>
    <row r="443" spans="19:71">
      <c r="S443" s="328"/>
      <c r="AA443" s="328"/>
      <c r="AM443" s="328"/>
      <c r="BS443" s="327"/>
    </row>
    <row r="444" spans="19:71">
      <c r="S444" s="328"/>
      <c r="AA444" s="328"/>
      <c r="AM444" s="328"/>
      <c r="BS444" s="327"/>
    </row>
    <row r="445" spans="19:71">
      <c r="S445" s="328"/>
      <c r="AA445" s="328"/>
      <c r="AM445" s="328"/>
      <c r="BS445" s="327"/>
    </row>
    <row r="446" spans="19:71">
      <c r="S446" s="328"/>
      <c r="AA446" s="328"/>
      <c r="AM446" s="328"/>
      <c r="BS446" s="327"/>
    </row>
    <row r="447" spans="19:71">
      <c r="S447" s="328"/>
      <c r="AA447" s="328"/>
      <c r="AM447" s="328"/>
      <c r="BS447" s="327"/>
    </row>
    <row r="448" spans="19:71">
      <c r="S448" s="328"/>
      <c r="AA448" s="328"/>
      <c r="AM448" s="328"/>
      <c r="BS448" s="327"/>
    </row>
    <row r="449" spans="19:71">
      <c r="S449" s="328"/>
      <c r="AA449" s="328"/>
      <c r="AM449" s="328"/>
      <c r="BS449" s="327"/>
    </row>
    <row r="450" spans="19:71">
      <c r="S450" s="328"/>
      <c r="AA450" s="328"/>
      <c r="AM450" s="328"/>
      <c r="BS450" s="327"/>
    </row>
    <row r="451" spans="19:71">
      <c r="S451" s="328"/>
      <c r="AA451" s="328"/>
      <c r="AM451" s="328"/>
      <c r="BS451" s="327"/>
    </row>
    <row r="452" spans="19:71">
      <c r="S452" s="328"/>
      <c r="AA452" s="328"/>
      <c r="AM452" s="328"/>
      <c r="BS452" s="327"/>
    </row>
    <row r="453" spans="19:71">
      <c r="S453" s="328"/>
      <c r="AA453" s="328"/>
      <c r="AM453" s="328"/>
      <c r="BS453" s="327"/>
    </row>
    <row r="454" spans="19:71">
      <c r="S454" s="328"/>
      <c r="AA454" s="328"/>
      <c r="AM454" s="328"/>
      <c r="BS454" s="327"/>
    </row>
    <row r="455" spans="19:71">
      <c r="S455" s="328"/>
      <c r="AA455" s="328"/>
      <c r="AM455" s="328"/>
      <c r="BS455" s="327"/>
    </row>
    <row r="456" spans="19:71">
      <c r="S456" s="328"/>
      <c r="AA456" s="328"/>
      <c r="AM456" s="328"/>
      <c r="BS456" s="327"/>
    </row>
    <row r="457" spans="19:71">
      <c r="S457" s="328"/>
      <c r="AA457" s="328"/>
      <c r="AM457" s="328"/>
      <c r="BS457" s="327"/>
    </row>
    <row r="458" spans="19:71">
      <c r="S458" s="328"/>
      <c r="AA458" s="328"/>
      <c r="AM458" s="328"/>
      <c r="BS458" s="327"/>
    </row>
    <row r="459" spans="19:71">
      <c r="S459" s="328"/>
      <c r="AA459" s="328"/>
      <c r="AM459" s="328"/>
      <c r="BS459" s="327"/>
    </row>
    <row r="460" spans="19:71">
      <c r="S460" s="328"/>
      <c r="AA460" s="328"/>
      <c r="AM460" s="328"/>
      <c r="BS460" s="327"/>
    </row>
    <row r="461" spans="19:71">
      <c r="S461" s="328"/>
      <c r="AA461" s="328"/>
      <c r="AM461" s="328"/>
      <c r="BS461" s="327"/>
    </row>
    <row r="462" spans="19:71">
      <c r="S462" s="328"/>
      <c r="AA462" s="328"/>
      <c r="AM462" s="328"/>
      <c r="BS462" s="327"/>
    </row>
    <row r="463" spans="19:71">
      <c r="S463" s="328"/>
      <c r="AA463" s="328"/>
      <c r="AM463" s="328"/>
      <c r="BS463" s="327"/>
    </row>
    <row r="464" spans="19:71">
      <c r="S464" s="328"/>
      <c r="AA464" s="328"/>
      <c r="AM464" s="328"/>
      <c r="BS464" s="327"/>
    </row>
    <row r="465" spans="19:71">
      <c r="S465" s="328"/>
      <c r="AA465" s="328"/>
      <c r="AM465" s="328"/>
      <c r="BS465" s="327"/>
    </row>
    <row r="466" spans="19:71">
      <c r="S466" s="328"/>
      <c r="AA466" s="328"/>
      <c r="AM466" s="328"/>
      <c r="BS466" s="327"/>
    </row>
    <row r="467" spans="19:71">
      <c r="S467" s="328"/>
      <c r="AA467" s="328"/>
      <c r="AM467" s="328"/>
      <c r="BS467" s="327"/>
    </row>
    <row r="468" spans="19:71">
      <c r="S468" s="328"/>
      <c r="AA468" s="328"/>
      <c r="AM468" s="328"/>
      <c r="BS468" s="327"/>
    </row>
    <row r="469" spans="19:71">
      <c r="S469" s="328"/>
      <c r="AA469" s="328"/>
      <c r="AM469" s="328"/>
      <c r="BS469" s="327"/>
    </row>
    <row r="470" spans="19:71">
      <c r="S470" s="328"/>
      <c r="AA470" s="328"/>
      <c r="AM470" s="328"/>
      <c r="BS470" s="327"/>
    </row>
    <row r="471" spans="19:71">
      <c r="S471" s="328"/>
      <c r="AA471" s="328"/>
      <c r="AM471" s="328"/>
      <c r="BS471" s="327"/>
    </row>
    <row r="472" spans="19:71">
      <c r="S472" s="328"/>
      <c r="AA472" s="328"/>
      <c r="AM472" s="328"/>
      <c r="BS472" s="327"/>
    </row>
    <row r="473" spans="19:71">
      <c r="S473" s="328"/>
      <c r="AA473" s="328"/>
      <c r="AM473" s="328"/>
      <c r="BS473" s="327"/>
    </row>
    <row r="474" spans="19:71">
      <c r="S474" s="328"/>
      <c r="AA474" s="328"/>
      <c r="AM474" s="328"/>
      <c r="BS474" s="327"/>
    </row>
    <row r="475" spans="19:71">
      <c r="S475" s="328"/>
      <c r="AA475" s="328"/>
      <c r="AM475" s="328"/>
      <c r="BS475" s="327"/>
    </row>
    <row r="476" spans="19:71">
      <c r="S476" s="328"/>
      <c r="AA476" s="328"/>
      <c r="AM476" s="328"/>
      <c r="BS476" s="327"/>
    </row>
    <row r="477" spans="19:71">
      <c r="S477" s="328"/>
      <c r="AA477" s="328"/>
      <c r="AM477" s="328"/>
      <c r="BS477" s="327"/>
    </row>
    <row r="478" spans="19:71">
      <c r="S478" s="328"/>
      <c r="AA478" s="328"/>
      <c r="AM478" s="328"/>
      <c r="BS478" s="327"/>
    </row>
    <row r="479" spans="19:71">
      <c r="S479" s="328"/>
      <c r="AA479" s="328"/>
      <c r="AM479" s="328"/>
      <c r="BS479" s="327"/>
    </row>
    <row r="480" spans="19:71">
      <c r="S480" s="328"/>
      <c r="AA480" s="328"/>
      <c r="AM480" s="328"/>
      <c r="BS480" s="327"/>
    </row>
    <row r="481" spans="19:71">
      <c r="S481" s="328"/>
      <c r="AA481" s="328"/>
      <c r="AM481" s="328"/>
      <c r="BS481" s="327"/>
    </row>
    <row r="482" spans="19:71">
      <c r="S482" s="328"/>
      <c r="AA482" s="328"/>
      <c r="AM482" s="328"/>
      <c r="BS482" s="327"/>
    </row>
    <row r="483" spans="19:71">
      <c r="S483" s="328"/>
      <c r="AA483" s="328"/>
      <c r="AM483" s="328"/>
      <c r="BS483" s="327"/>
    </row>
    <row r="484" spans="19:71">
      <c r="S484" s="328"/>
      <c r="AA484" s="328"/>
      <c r="AM484" s="328"/>
      <c r="BS484" s="327"/>
    </row>
    <row r="485" spans="19:71">
      <c r="S485" s="328"/>
      <c r="AA485" s="328"/>
      <c r="AM485" s="328"/>
      <c r="BS485" s="32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G36" sqref="G36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7702</v>
      </c>
      <c r="B2" s="142" t="s">
        <v>7708</v>
      </c>
      <c r="C2" s="141" t="s">
        <v>7707</v>
      </c>
    </row>
    <row r="3" spans="1:6">
      <c r="A3" s="141" t="s">
        <v>7703</v>
      </c>
      <c r="B3" s="142" t="s">
        <v>7708</v>
      </c>
      <c r="C3" s="141" t="s">
        <v>7707</v>
      </c>
    </row>
    <row r="4" spans="1:6">
      <c r="A4" s="141" t="s">
        <v>7704</v>
      </c>
      <c r="B4" s="142" t="s">
        <v>7708</v>
      </c>
      <c r="C4" s="141" t="s">
        <v>7707</v>
      </c>
    </row>
    <row r="5" spans="1:6">
      <c r="A5" s="141" t="s">
        <v>7705</v>
      </c>
      <c r="B5" s="142" t="s">
        <v>7708</v>
      </c>
      <c r="C5" s="141" t="s">
        <v>7707</v>
      </c>
    </row>
    <row r="6" spans="1:6">
      <c r="A6" s="141" t="s">
        <v>7706</v>
      </c>
      <c r="B6" s="142" t="s">
        <v>7708</v>
      </c>
      <c r="C6" s="141" t="s">
        <v>7707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276</v>
      </c>
      <c r="C1" s="151" t="s">
        <v>149</v>
      </c>
      <c r="D1" s="151" t="s">
        <v>26</v>
      </c>
      <c r="E1" s="151" t="s">
        <v>65</v>
      </c>
    </row>
    <row r="2" spans="1:5">
      <c r="A2" s="151" t="s">
        <v>277</v>
      </c>
      <c r="B2" s="151" t="s">
        <v>278</v>
      </c>
      <c r="C2" s="151" t="s">
        <v>279</v>
      </c>
      <c r="D2" s="151" t="s">
        <v>280</v>
      </c>
      <c r="E2" s="151" t="s">
        <v>281</v>
      </c>
    </row>
    <row r="3" spans="1:5">
      <c r="A3" s="151" t="s">
        <v>282</v>
      </c>
      <c r="B3" s="151" t="s">
        <v>283</v>
      </c>
      <c r="C3" s="151" t="s">
        <v>284</v>
      </c>
      <c r="D3" s="151" t="s">
        <v>285</v>
      </c>
      <c r="E3" s="151" t="s">
        <v>286</v>
      </c>
    </row>
    <row r="4" spans="1:5">
      <c r="A4" s="151" t="s">
        <v>287</v>
      </c>
      <c r="B4" s="151" t="s">
        <v>288</v>
      </c>
      <c r="C4" s="151" t="s">
        <v>289</v>
      </c>
      <c r="D4" s="151" t="s">
        <v>290</v>
      </c>
      <c r="E4" s="151" t="s">
        <v>291</v>
      </c>
    </row>
    <row r="5" spans="1:5">
      <c r="A5" s="151" t="s">
        <v>292</v>
      </c>
      <c r="B5" s="151" t="s">
        <v>293</v>
      </c>
      <c r="C5" s="151" t="s">
        <v>294</v>
      </c>
      <c r="D5" s="151" t="s">
        <v>295</v>
      </c>
      <c r="E5" s="151" t="s">
        <v>296</v>
      </c>
    </row>
    <row r="6" spans="1:5">
      <c r="A6" s="151" t="s">
        <v>297</v>
      </c>
      <c r="B6" s="151" t="s">
        <v>298</v>
      </c>
      <c r="C6" s="151" t="s">
        <v>299</v>
      </c>
      <c r="D6" s="151" t="s">
        <v>300</v>
      </c>
      <c r="E6" s="151" t="s">
        <v>90</v>
      </c>
    </row>
    <row r="7" spans="1:5">
      <c r="A7" s="151" t="s">
        <v>301</v>
      </c>
      <c r="B7" s="151" t="s">
        <v>302</v>
      </c>
      <c r="C7" s="151" t="s">
        <v>303</v>
      </c>
      <c r="D7" s="151" t="s">
        <v>304</v>
      </c>
      <c r="E7" s="151" t="s">
        <v>305</v>
      </c>
    </row>
    <row r="8" spans="1:5">
      <c r="A8" s="151" t="s">
        <v>306</v>
      </c>
      <c r="B8" s="151" t="s">
        <v>307</v>
      </c>
      <c r="C8" s="151" t="s">
        <v>308</v>
      </c>
      <c r="D8" s="151" t="s">
        <v>309</v>
      </c>
      <c r="E8" s="151" t="s">
        <v>310</v>
      </c>
    </row>
    <row r="9" spans="1:5">
      <c r="A9" s="151" t="s">
        <v>311</v>
      </c>
      <c r="B9" s="151" t="s">
        <v>312</v>
      </c>
      <c r="C9" s="151" t="s">
        <v>313</v>
      </c>
      <c r="D9" s="151" t="s">
        <v>314</v>
      </c>
      <c r="E9" s="151" t="s">
        <v>315</v>
      </c>
    </row>
    <row r="10" spans="1:5">
      <c r="A10" s="151" t="s">
        <v>316</v>
      </c>
      <c r="B10" s="151" t="s">
        <v>317</v>
      </c>
      <c r="C10" s="151" t="s">
        <v>318</v>
      </c>
      <c r="D10" s="151" t="s">
        <v>319</v>
      </c>
      <c r="E10" s="151" t="s">
        <v>320</v>
      </c>
    </row>
    <row r="11" spans="1:5">
      <c r="A11" s="151" t="s">
        <v>321</v>
      </c>
      <c r="B11" s="151" t="s">
        <v>322</v>
      </c>
      <c r="C11" s="151" t="s">
        <v>323</v>
      </c>
      <c r="D11" s="151" t="s">
        <v>324</v>
      </c>
      <c r="E11" s="151" t="s">
        <v>325</v>
      </c>
    </row>
    <row r="12" spans="1:5">
      <c r="A12" s="151" t="s">
        <v>326</v>
      </c>
      <c r="B12" s="151" t="s">
        <v>327</v>
      </c>
      <c r="C12" s="151" t="s">
        <v>328</v>
      </c>
      <c r="D12" s="151" t="s">
        <v>329</v>
      </c>
      <c r="E12" s="151" t="s">
        <v>330</v>
      </c>
    </row>
    <row r="13" spans="1:5">
      <c r="A13" s="151" t="s">
        <v>331</v>
      </c>
      <c r="B13" s="151" t="s">
        <v>332</v>
      </c>
      <c r="C13" s="151" t="s">
        <v>333</v>
      </c>
      <c r="D13" s="151" t="s">
        <v>334</v>
      </c>
      <c r="E13" s="151" t="s">
        <v>335</v>
      </c>
    </row>
    <row r="14" spans="1:5">
      <c r="A14" s="151" t="s">
        <v>336</v>
      </c>
      <c r="B14" s="151" t="s">
        <v>337</v>
      </c>
      <c r="C14" s="151" t="s">
        <v>338</v>
      </c>
      <c r="D14" s="151" t="s">
        <v>339</v>
      </c>
      <c r="E14" s="151" t="s">
        <v>340</v>
      </c>
    </row>
    <row r="15" spans="1:5">
      <c r="A15" s="151" t="s">
        <v>341</v>
      </c>
      <c r="B15" s="151" t="s">
        <v>342</v>
      </c>
      <c r="C15" s="151" t="s">
        <v>343</v>
      </c>
      <c r="D15" s="151" t="s">
        <v>344</v>
      </c>
      <c r="E15" s="151" t="s">
        <v>345</v>
      </c>
    </row>
    <row r="16" spans="1:5">
      <c r="A16" s="151" t="s">
        <v>346</v>
      </c>
      <c r="B16" s="151" t="s">
        <v>347</v>
      </c>
      <c r="C16" s="151" t="s">
        <v>348</v>
      </c>
      <c r="D16" s="151" t="s">
        <v>349</v>
      </c>
      <c r="E16" s="151" t="s">
        <v>350</v>
      </c>
    </row>
    <row r="17" spans="1:5">
      <c r="A17" s="151" t="s">
        <v>351</v>
      </c>
      <c r="B17" s="151" t="s">
        <v>352</v>
      </c>
      <c r="C17" s="151" t="s">
        <v>353</v>
      </c>
      <c r="D17" s="151" t="s">
        <v>354</v>
      </c>
      <c r="E17" s="151" t="s">
        <v>355</v>
      </c>
    </row>
    <row r="18" spans="1:5">
      <c r="A18" s="151" t="s">
        <v>356</v>
      </c>
      <c r="B18" s="151" t="s">
        <v>357</v>
      </c>
      <c r="C18" s="151" t="s">
        <v>358</v>
      </c>
      <c r="D18" s="151" t="s">
        <v>359</v>
      </c>
      <c r="E18" s="151" t="s">
        <v>360</v>
      </c>
    </row>
    <row r="19" spans="1:5">
      <c r="A19" s="151" t="s">
        <v>361</v>
      </c>
      <c r="B19" s="151" t="s">
        <v>362</v>
      </c>
      <c r="C19" s="151" t="s">
        <v>363</v>
      </c>
      <c r="D19" s="151" t="s">
        <v>364</v>
      </c>
      <c r="E19" s="151" t="s">
        <v>365</v>
      </c>
    </row>
    <row r="20" spans="1:5">
      <c r="A20" s="151" t="s">
        <v>366</v>
      </c>
      <c r="B20" s="151" t="s">
        <v>367</v>
      </c>
      <c r="C20" s="151" t="s">
        <v>368</v>
      </c>
      <c r="D20" s="151" t="s">
        <v>369</v>
      </c>
      <c r="E20" s="151" t="s">
        <v>370</v>
      </c>
    </row>
    <row r="21" spans="1:5">
      <c r="A21" s="151" t="s">
        <v>371</v>
      </c>
      <c r="B21" s="151" t="s">
        <v>372</v>
      </c>
      <c r="C21" s="151" t="s">
        <v>373</v>
      </c>
      <c r="D21" s="151" t="s">
        <v>374</v>
      </c>
      <c r="E21" s="151" t="s">
        <v>375</v>
      </c>
    </row>
    <row r="22" spans="1:5">
      <c r="A22" s="151" t="s">
        <v>376</v>
      </c>
      <c r="B22" s="151" t="s">
        <v>377</v>
      </c>
      <c r="D22" s="151" t="s">
        <v>378</v>
      </c>
      <c r="E22" s="151" t="s">
        <v>379</v>
      </c>
    </row>
    <row r="23" spans="1:5">
      <c r="A23" s="151" t="s">
        <v>380</v>
      </c>
      <c r="B23" s="151" t="s">
        <v>381</v>
      </c>
      <c r="D23" s="151" t="s">
        <v>382</v>
      </c>
      <c r="E23" s="151" t="s">
        <v>383</v>
      </c>
    </row>
    <row r="24" spans="1:5">
      <c r="A24" s="151" t="s">
        <v>384</v>
      </c>
      <c r="B24" s="151" t="s">
        <v>385</v>
      </c>
      <c r="D24" s="151" t="s">
        <v>386</v>
      </c>
      <c r="E24" s="151" t="s">
        <v>387</v>
      </c>
    </row>
    <row r="25" spans="1:5">
      <c r="A25" s="151" t="s">
        <v>388</v>
      </c>
      <c r="B25" s="151" t="s">
        <v>389</v>
      </c>
      <c r="D25" s="151" t="s">
        <v>390</v>
      </c>
    </row>
    <row r="26" spans="1:5">
      <c r="A26" s="151" t="s">
        <v>391</v>
      </c>
      <c r="B26" s="151" t="s">
        <v>392</v>
      </c>
      <c r="D26" s="151" t="s">
        <v>393</v>
      </c>
    </row>
    <row r="27" spans="1:5">
      <c r="A27" s="151" t="s">
        <v>394</v>
      </c>
      <c r="B27" s="151" t="s">
        <v>395</v>
      </c>
      <c r="D27" s="151" t="s">
        <v>396</v>
      </c>
    </row>
    <row r="28" spans="1:5">
      <c r="A28" s="151" t="s">
        <v>397</v>
      </c>
      <c r="B28" s="151" t="s">
        <v>398</v>
      </c>
      <c r="D28" s="151" t="s">
        <v>399</v>
      </c>
    </row>
    <row r="29" spans="1:5">
      <c r="A29" s="151" t="s">
        <v>400</v>
      </c>
      <c r="B29" s="151" t="s">
        <v>401</v>
      </c>
      <c r="D29" s="151" t="s">
        <v>402</v>
      </c>
    </row>
    <row r="30" spans="1:5">
      <c r="A30" s="151" t="s">
        <v>403</v>
      </c>
      <c r="B30" s="151" t="s">
        <v>404</v>
      </c>
      <c r="D30" s="151" t="s">
        <v>405</v>
      </c>
    </row>
    <row r="31" spans="1:5">
      <c r="A31" s="151" t="s">
        <v>406</v>
      </c>
      <c r="B31" s="151" t="s">
        <v>407</v>
      </c>
      <c r="D31" s="151" t="s">
        <v>408</v>
      </c>
    </row>
    <row r="32" spans="1:5">
      <c r="A32" s="151" t="s">
        <v>409</v>
      </c>
      <c r="B32" s="151" t="s">
        <v>410</v>
      </c>
      <c r="D32" s="151" t="s">
        <v>411</v>
      </c>
    </row>
    <row r="33" spans="1:4">
      <c r="A33" s="151" t="s">
        <v>412</v>
      </c>
      <c r="B33" s="151" t="s">
        <v>413</v>
      </c>
      <c r="D33" s="151" t="s">
        <v>414</v>
      </c>
    </row>
    <row r="34" spans="1:4">
      <c r="A34" s="151" t="s">
        <v>415</v>
      </c>
      <c r="B34" s="151" t="s">
        <v>416</v>
      </c>
      <c r="D34" s="151" t="s">
        <v>417</v>
      </c>
    </row>
    <row r="35" spans="1:4">
      <c r="A35" s="151" t="s">
        <v>418</v>
      </c>
      <c r="B35" s="151" t="s">
        <v>419</v>
      </c>
      <c r="D35" s="151" t="s">
        <v>420</v>
      </c>
    </row>
    <row r="36" spans="1:4">
      <c r="A36" s="151" t="s">
        <v>421</v>
      </c>
      <c r="B36" s="151" t="s">
        <v>422</v>
      </c>
      <c r="D36" s="151" t="s">
        <v>423</v>
      </c>
    </row>
    <row r="37" spans="1:4">
      <c r="A37" s="151" t="s">
        <v>424</v>
      </c>
      <c r="B37" s="151" t="s">
        <v>425</v>
      </c>
      <c r="D37" s="151" t="s">
        <v>426</v>
      </c>
    </row>
    <row r="38" spans="1:4">
      <c r="A38" s="151" t="s">
        <v>427</v>
      </c>
      <c r="B38" s="151" t="s">
        <v>428</v>
      </c>
      <c r="D38" s="151" t="s">
        <v>429</v>
      </c>
    </row>
    <row r="39" spans="1:4">
      <c r="A39" s="151" t="s">
        <v>430</v>
      </c>
      <c r="B39" s="151" t="s">
        <v>431</v>
      </c>
      <c r="D39" s="151" t="s">
        <v>432</v>
      </c>
    </row>
    <row r="40" spans="1:4">
      <c r="A40" s="151" t="s">
        <v>433</v>
      </c>
      <c r="B40" s="151" t="s">
        <v>434</v>
      </c>
      <c r="D40" s="151" t="s">
        <v>435</v>
      </c>
    </row>
    <row r="41" spans="1:4">
      <c r="A41" s="151" t="s">
        <v>436</v>
      </c>
      <c r="B41" s="151" t="s">
        <v>437</v>
      </c>
      <c r="D41" s="151" t="s">
        <v>438</v>
      </c>
    </row>
    <row r="42" spans="1:4">
      <c r="A42" s="151" t="s">
        <v>439</v>
      </c>
      <c r="B42" s="151" t="s">
        <v>440</v>
      </c>
      <c r="D42" s="151" t="s">
        <v>441</v>
      </c>
    </row>
    <row r="43" spans="1:4">
      <c r="A43" s="151" t="s">
        <v>442</v>
      </c>
      <c r="B43" s="151" t="s">
        <v>443</v>
      </c>
      <c r="D43" s="151" t="s">
        <v>444</v>
      </c>
    </row>
    <row r="44" spans="1:4">
      <c r="A44" s="151" t="s">
        <v>445</v>
      </c>
      <c r="B44" s="151" t="s">
        <v>446</v>
      </c>
      <c r="D44" s="151" t="s">
        <v>447</v>
      </c>
    </row>
    <row r="45" spans="1:4">
      <c r="A45" s="151" t="s">
        <v>448</v>
      </c>
      <c r="B45" s="151" t="s">
        <v>449</v>
      </c>
      <c r="D45" s="151" t="s">
        <v>450</v>
      </c>
    </row>
    <row r="46" spans="1:4">
      <c r="A46" s="151" t="s">
        <v>451</v>
      </c>
      <c r="B46" s="151" t="s">
        <v>452</v>
      </c>
      <c r="D46" s="151" t="s">
        <v>453</v>
      </c>
    </row>
    <row r="47" spans="1:4">
      <c r="A47" s="151" t="s">
        <v>454</v>
      </c>
      <c r="B47" s="151" t="s">
        <v>455</v>
      </c>
      <c r="D47" s="151" t="s">
        <v>456</v>
      </c>
    </row>
    <row r="48" spans="1:4">
      <c r="A48" s="151" t="s">
        <v>457</v>
      </c>
      <c r="B48" s="151" t="s">
        <v>458</v>
      </c>
      <c r="D48" s="151" t="s">
        <v>459</v>
      </c>
    </row>
    <row r="49" spans="1:4">
      <c r="A49" s="151" t="s">
        <v>460</v>
      </c>
      <c r="B49" s="151" t="s">
        <v>461</v>
      </c>
      <c r="D49" s="151" t="s">
        <v>462</v>
      </c>
    </row>
    <row r="50" spans="1:4">
      <c r="A50" s="151" t="s">
        <v>463</v>
      </c>
      <c r="B50" s="151" t="s">
        <v>464</v>
      </c>
      <c r="D50" s="151" t="s">
        <v>465</v>
      </c>
    </row>
    <row r="51" spans="1:4">
      <c r="A51" s="151" t="s">
        <v>466</v>
      </c>
      <c r="B51" s="151" t="s">
        <v>467</v>
      </c>
      <c r="D51" s="151" t="s">
        <v>468</v>
      </c>
    </row>
    <row r="52" spans="1:4">
      <c r="A52" s="151" t="s">
        <v>469</v>
      </c>
      <c r="B52" s="151" t="s">
        <v>470</v>
      </c>
      <c r="D52" s="151" t="s">
        <v>471</v>
      </c>
    </row>
    <row r="53" spans="1:4">
      <c r="A53" s="151" t="s">
        <v>472</v>
      </c>
      <c r="B53" s="151" t="s">
        <v>473</v>
      </c>
      <c r="D53" s="151" t="s">
        <v>474</v>
      </c>
    </row>
    <row r="54" spans="1:4">
      <c r="A54" s="151" t="s">
        <v>475</v>
      </c>
      <c r="B54" s="151" t="s">
        <v>476</v>
      </c>
      <c r="D54" s="151" t="s">
        <v>477</v>
      </c>
    </row>
    <row r="55" spans="1:4">
      <c r="A55" s="151" t="s">
        <v>478</v>
      </c>
      <c r="B55" s="151" t="s">
        <v>479</v>
      </c>
      <c r="D55" s="151" t="s">
        <v>480</v>
      </c>
    </row>
    <row r="56" spans="1:4">
      <c r="A56" s="151" t="s">
        <v>481</v>
      </c>
      <c r="B56" s="151" t="s">
        <v>482</v>
      </c>
      <c r="D56" s="151" t="s">
        <v>483</v>
      </c>
    </row>
    <row r="57" spans="1:4">
      <c r="A57" s="151" t="s">
        <v>484</v>
      </c>
      <c r="B57" s="151" t="s">
        <v>485</v>
      </c>
      <c r="D57" s="151" t="s">
        <v>486</v>
      </c>
    </row>
    <row r="58" spans="1:4">
      <c r="A58" s="151" t="s">
        <v>487</v>
      </c>
      <c r="B58" s="151" t="s">
        <v>488</v>
      </c>
      <c r="D58" s="151" t="s">
        <v>489</v>
      </c>
    </row>
    <row r="59" spans="1:4">
      <c r="A59" s="151" t="s">
        <v>490</v>
      </c>
      <c r="B59" s="151" t="s">
        <v>491</v>
      </c>
      <c r="D59" s="151" t="s">
        <v>492</v>
      </c>
    </row>
    <row r="60" spans="1:4">
      <c r="A60" s="151" t="s">
        <v>493</v>
      </c>
      <c r="B60" s="151" t="s">
        <v>494</v>
      </c>
      <c r="D60" s="151" t="s">
        <v>495</v>
      </c>
    </row>
    <row r="61" spans="1:4">
      <c r="A61" s="151" t="s">
        <v>496</v>
      </c>
      <c r="B61" s="151" t="s">
        <v>497</v>
      </c>
      <c r="D61" s="151" t="s">
        <v>498</v>
      </c>
    </row>
    <row r="62" spans="1:4">
      <c r="A62" s="151" t="s">
        <v>499</v>
      </c>
      <c r="B62" s="151" t="s">
        <v>500</v>
      </c>
      <c r="D62" s="151" t="s">
        <v>501</v>
      </c>
    </row>
    <row r="63" spans="1:4">
      <c r="A63" s="151" t="s">
        <v>502</v>
      </c>
      <c r="B63" s="151" t="s">
        <v>503</v>
      </c>
      <c r="D63" s="151" t="s">
        <v>504</v>
      </c>
    </row>
    <row r="64" spans="1:4">
      <c r="A64" s="151" t="s">
        <v>505</v>
      </c>
      <c r="B64" s="151" t="s">
        <v>506</v>
      </c>
      <c r="D64" s="151" t="s">
        <v>507</v>
      </c>
    </row>
    <row r="65" spans="1:4">
      <c r="A65" s="151" t="s">
        <v>508</v>
      </c>
      <c r="B65" s="151" t="s">
        <v>509</v>
      </c>
      <c r="D65" s="151" t="s">
        <v>510</v>
      </c>
    </row>
    <row r="66" spans="1:4">
      <c r="A66" s="151" t="s">
        <v>511</v>
      </c>
      <c r="B66" s="151" t="s">
        <v>512</v>
      </c>
      <c r="D66" s="151" t="s">
        <v>513</v>
      </c>
    </row>
    <row r="67" spans="1:4">
      <c r="A67" s="151" t="s">
        <v>514</v>
      </c>
      <c r="B67" s="151" t="s">
        <v>515</v>
      </c>
      <c r="D67" s="151" t="s">
        <v>516</v>
      </c>
    </row>
    <row r="68" spans="1:4">
      <c r="A68" s="151" t="s">
        <v>517</v>
      </c>
      <c r="B68" s="151" t="s">
        <v>518</v>
      </c>
      <c r="D68" s="151" t="s">
        <v>519</v>
      </c>
    </row>
    <row r="69" spans="1:4">
      <c r="A69" s="151" t="s">
        <v>520</v>
      </c>
      <c r="B69" s="151" t="s">
        <v>521</v>
      </c>
      <c r="D69" s="151" t="s">
        <v>522</v>
      </c>
    </row>
    <row r="70" spans="1:4">
      <c r="A70" s="151" t="s">
        <v>523</v>
      </c>
      <c r="B70" s="151" t="s">
        <v>524</v>
      </c>
      <c r="D70" s="151" t="s">
        <v>525</v>
      </c>
    </row>
    <row r="71" spans="1:4">
      <c r="A71" s="151" t="s">
        <v>526</v>
      </c>
      <c r="B71" s="151" t="s">
        <v>527</v>
      </c>
      <c r="D71" s="151" t="s">
        <v>528</v>
      </c>
    </row>
    <row r="72" spans="1:4">
      <c r="A72" s="151" t="s">
        <v>529</v>
      </c>
      <c r="B72" s="151" t="s">
        <v>530</v>
      </c>
      <c r="D72" s="151" t="s">
        <v>531</v>
      </c>
    </row>
    <row r="73" spans="1:4">
      <c r="A73" s="151" t="s">
        <v>532</v>
      </c>
      <c r="B73" s="151" t="s">
        <v>533</v>
      </c>
      <c r="D73" s="151" t="s">
        <v>534</v>
      </c>
    </row>
    <row r="74" spans="1:4">
      <c r="A74" s="151" t="s">
        <v>535</v>
      </c>
      <c r="B74" s="151" t="s">
        <v>536</v>
      </c>
      <c r="D74" s="151" t="s">
        <v>537</v>
      </c>
    </row>
    <row r="75" spans="1:4">
      <c r="A75" s="151" t="s">
        <v>538</v>
      </c>
      <c r="B75" s="151" t="s">
        <v>539</v>
      </c>
      <c r="D75" s="151" t="s">
        <v>540</v>
      </c>
    </row>
    <row r="76" spans="1:4">
      <c r="A76" s="151" t="s">
        <v>255</v>
      </c>
      <c r="B76" s="151" t="s">
        <v>541</v>
      </c>
      <c r="D76" s="151" t="s">
        <v>542</v>
      </c>
    </row>
    <row r="77" spans="1:4">
      <c r="A77" s="151" t="s">
        <v>543</v>
      </c>
      <c r="B77" s="151" t="s">
        <v>544</v>
      </c>
      <c r="D77" s="151" t="s">
        <v>545</v>
      </c>
    </row>
    <row r="78" spans="1:4">
      <c r="A78" s="151" t="s">
        <v>546</v>
      </c>
      <c r="B78" s="151" t="s">
        <v>547</v>
      </c>
      <c r="D78" s="151" t="s">
        <v>548</v>
      </c>
    </row>
    <row r="79" spans="1:4">
      <c r="A79" s="151" t="s">
        <v>549</v>
      </c>
      <c r="B79" s="151" t="s">
        <v>550</v>
      </c>
      <c r="D79" s="151" t="s">
        <v>551</v>
      </c>
    </row>
    <row r="80" spans="1:4">
      <c r="A80" s="151" t="s">
        <v>552</v>
      </c>
      <c r="B80" s="151" t="s">
        <v>553</v>
      </c>
      <c r="D80" s="151" t="s">
        <v>554</v>
      </c>
    </row>
    <row r="81" spans="1:4">
      <c r="A81" s="151" t="s">
        <v>555</v>
      </c>
      <c r="B81" s="151" t="s">
        <v>556</v>
      </c>
      <c r="D81" s="151" t="s">
        <v>557</v>
      </c>
    </row>
    <row r="82" spans="1:4">
      <c r="A82" s="151" t="s">
        <v>558</v>
      </c>
      <c r="B82" s="151" t="s">
        <v>559</v>
      </c>
      <c r="D82" s="151" t="s">
        <v>560</v>
      </c>
    </row>
    <row r="83" spans="1:4">
      <c r="A83" s="151" t="s">
        <v>561</v>
      </c>
      <c r="B83" s="151" t="s">
        <v>562</v>
      </c>
      <c r="D83" s="151" t="s">
        <v>563</v>
      </c>
    </row>
    <row r="84" spans="1:4">
      <c r="A84" s="151" t="s">
        <v>564</v>
      </c>
      <c r="B84" s="151" t="s">
        <v>565</v>
      </c>
      <c r="D84" s="151" t="s">
        <v>566</v>
      </c>
    </row>
    <row r="85" spans="1:4">
      <c r="A85" s="151" t="s">
        <v>567</v>
      </c>
      <c r="B85" s="151" t="s">
        <v>568</v>
      </c>
      <c r="D85" s="151" t="s">
        <v>569</v>
      </c>
    </row>
    <row r="86" spans="1:4">
      <c r="A86" s="151" t="s">
        <v>570</v>
      </c>
      <c r="B86" s="151" t="s">
        <v>571</v>
      </c>
      <c r="D86" s="151" t="s">
        <v>572</v>
      </c>
    </row>
    <row r="87" spans="1:4">
      <c r="A87" s="151" t="s">
        <v>573</v>
      </c>
      <c r="B87" s="151" t="s">
        <v>574</v>
      </c>
      <c r="D87" s="151" t="s">
        <v>575</v>
      </c>
    </row>
    <row r="88" spans="1:4">
      <c r="A88" s="151" t="s">
        <v>576</v>
      </c>
      <c r="B88" s="151" t="s">
        <v>577</v>
      </c>
      <c r="D88" s="151" t="s">
        <v>578</v>
      </c>
    </row>
    <row r="89" spans="1:4">
      <c r="A89" s="151" t="s">
        <v>579</v>
      </c>
      <c r="B89" s="151" t="s">
        <v>580</v>
      </c>
      <c r="D89" s="151" t="s">
        <v>581</v>
      </c>
    </row>
    <row r="90" spans="1:4">
      <c r="A90" s="151" t="s">
        <v>582</v>
      </c>
      <c r="B90" s="151" t="s">
        <v>583</v>
      </c>
      <c r="D90" s="151" t="s">
        <v>584</v>
      </c>
    </row>
    <row r="91" spans="1:4">
      <c r="A91" s="151" t="s">
        <v>585</v>
      </c>
      <c r="B91" s="151" t="s">
        <v>586</v>
      </c>
      <c r="D91" s="151" t="s">
        <v>587</v>
      </c>
    </row>
    <row r="92" spans="1:4">
      <c r="A92" s="151" t="s">
        <v>588</v>
      </c>
      <c r="B92" s="151" t="s">
        <v>589</v>
      </c>
      <c r="D92" s="151" t="s">
        <v>590</v>
      </c>
    </row>
    <row r="93" spans="1:4">
      <c r="A93" s="151" t="s">
        <v>591</v>
      </c>
      <c r="B93" s="151" t="s">
        <v>592</v>
      </c>
      <c r="D93" s="151" t="s">
        <v>593</v>
      </c>
    </row>
    <row r="94" spans="1:4">
      <c r="A94" s="151" t="s">
        <v>594</v>
      </c>
      <c r="B94" s="151" t="s">
        <v>595</v>
      </c>
      <c r="D94" s="151" t="s">
        <v>596</v>
      </c>
    </row>
    <row r="95" spans="1:4">
      <c r="A95" s="151" t="s">
        <v>597</v>
      </c>
      <c r="B95" s="151" t="s">
        <v>598</v>
      </c>
      <c r="D95" s="151" t="s">
        <v>119</v>
      </c>
    </row>
    <row r="96" spans="1:4">
      <c r="A96" s="151" t="s">
        <v>599</v>
      </c>
      <c r="B96" s="151" t="s">
        <v>600</v>
      </c>
      <c r="D96" s="151" t="s">
        <v>601</v>
      </c>
    </row>
    <row r="97" spans="1:4">
      <c r="A97" s="151" t="s">
        <v>602</v>
      </c>
      <c r="B97" s="151" t="s">
        <v>603</v>
      </c>
      <c r="D97" s="151" t="s">
        <v>604</v>
      </c>
    </row>
    <row r="98" spans="1:4">
      <c r="A98" s="151" t="s">
        <v>605</v>
      </c>
      <c r="B98" s="151" t="s">
        <v>606</v>
      </c>
      <c r="D98" s="151" t="s">
        <v>607</v>
      </c>
    </row>
    <row r="99" spans="1:4">
      <c r="A99" s="151" t="s">
        <v>608</v>
      </c>
      <c r="B99" s="151" t="s">
        <v>609</v>
      </c>
      <c r="D99" s="151" t="s">
        <v>610</v>
      </c>
    </row>
    <row r="100" spans="1:4">
      <c r="A100" s="151" t="s">
        <v>611</v>
      </c>
      <c r="B100" s="151" t="s">
        <v>612</v>
      </c>
      <c r="D100" s="151" t="s">
        <v>613</v>
      </c>
    </row>
    <row r="101" spans="1:4">
      <c r="A101" s="151" t="s">
        <v>614</v>
      </c>
      <c r="B101" s="151" t="s">
        <v>615</v>
      </c>
      <c r="D101" s="151" t="s">
        <v>616</v>
      </c>
    </row>
    <row r="102" spans="1:4">
      <c r="A102" s="151" t="s">
        <v>617</v>
      </c>
      <c r="B102" s="151" t="s">
        <v>618</v>
      </c>
      <c r="D102" s="151" t="s">
        <v>619</v>
      </c>
    </row>
    <row r="103" spans="1:4">
      <c r="A103" s="151" t="s">
        <v>620</v>
      </c>
      <c r="B103" s="151" t="s">
        <v>621</v>
      </c>
      <c r="D103" s="151" t="s">
        <v>622</v>
      </c>
    </row>
    <row r="104" spans="1:4">
      <c r="A104" s="151" t="s">
        <v>623</v>
      </c>
      <c r="B104" s="151" t="s">
        <v>624</v>
      </c>
      <c r="D104" s="151" t="s">
        <v>625</v>
      </c>
    </row>
    <row r="105" spans="1:4">
      <c r="A105" s="151" t="s">
        <v>626</v>
      </c>
      <c r="B105" s="151" t="s">
        <v>627</v>
      </c>
      <c r="D105" s="151" t="s">
        <v>628</v>
      </c>
    </row>
    <row r="106" spans="1:4">
      <c r="A106" s="151" t="s">
        <v>629</v>
      </c>
      <c r="B106" s="151" t="s">
        <v>630</v>
      </c>
      <c r="D106" s="151" t="s">
        <v>631</v>
      </c>
    </row>
    <row r="107" spans="1:4">
      <c r="A107" s="151" t="s">
        <v>632</v>
      </c>
      <c r="B107" s="151" t="s">
        <v>633</v>
      </c>
      <c r="D107" s="151" t="s">
        <v>634</v>
      </c>
    </row>
    <row r="108" spans="1:4">
      <c r="A108" s="151" t="s">
        <v>635</v>
      </c>
      <c r="B108" s="151" t="s">
        <v>636</v>
      </c>
      <c r="D108" s="151" t="s">
        <v>637</v>
      </c>
    </row>
    <row r="109" spans="1:4">
      <c r="A109" s="151" t="s">
        <v>638</v>
      </c>
      <c r="B109" s="151" t="s">
        <v>639</v>
      </c>
      <c r="D109" s="151" t="s">
        <v>640</v>
      </c>
    </row>
    <row r="110" spans="1:4">
      <c r="A110" s="151" t="s">
        <v>641</v>
      </c>
      <c r="B110" s="151" t="s">
        <v>642</v>
      </c>
      <c r="D110" s="151" t="s">
        <v>643</v>
      </c>
    </row>
    <row r="111" spans="1:4">
      <c r="A111" s="151" t="s">
        <v>644</v>
      </c>
      <c r="B111" s="151" t="s">
        <v>645</v>
      </c>
      <c r="D111" s="151" t="s">
        <v>646</v>
      </c>
    </row>
    <row r="112" spans="1:4">
      <c r="A112" s="151" t="s">
        <v>647</v>
      </c>
      <c r="B112" s="151" t="s">
        <v>648</v>
      </c>
      <c r="D112" s="151" t="s">
        <v>649</v>
      </c>
    </row>
    <row r="113" spans="1:4">
      <c r="A113" s="151" t="s">
        <v>650</v>
      </c>
      <c r="B113" s="151" t="s">
        <v>651</v>
      </c>
      <c r="D113" s="151" t="s">
        <v>652</v>
      </c>
    </row>
    <row r="114" spans="1:4">
      <c r="A114" s="151" t="s">
        <v>653</v>
      </c>
      <c r="B114" s="151" t="s">
        <v>654</v>
      </c>
      <c r="D114" s="151" t="s">
        <v>655</v>
      </c>
    </row>
    <row r="115" spans="1:4">
      <c r="A115" s="151" t="s">
        <v>656</v>
      </c>
      <c r="B115" s="151" t="s">
        <v>657</v>
      </c>
      <c r="D115" s="151" t="s">
        <v>658</v>
      </c>
    </row>
    <row r="116" spans="1:4">
      <c r="A116" s="151" t="s">
        <v>659</v>
      </c>
      <c r="B116" s="151" t="s">
        <v>660</v>
      </c>
      <c r="D116" s="151" t="s">
        <v>661</v>
      </c>
    </row>
    <row r="117" spans="1:4">
      <c r="A117" s="151" t="s">
        <v>662</v>
      </c>
      <c r="B117" s="151" t="s">
        <v>663</v>
      </c>
      <c r="D117" s="151" t="s">
        <v>664</v>
      </c>
    </row>
    <row r="118" spans="1:4">
      <c r="A118" s="151" t="s">
        <v>665</v>
      </c>
      <c r="B118" s="151" t="s">
        <v>666</v>
      </c>
      <c r="D118" s="151" t="s">
        <v>667</v>
      </c>
    </row>
    <row r="119" spans="1:4">
      <c r="A119" s="151" t="s">
        <v>668</v>
      </c>
      <c r="B119" s="151" t="s">
        <v>669</v>
      </c>
      <c r="D119" s="151" t="s">
        <v>670</v>
      </c>
    </row>
    <row r="120" spans="1:4">
      <c r="A120" s="151" t="s">
        <v>671</v>
      </c>
      <c r="B120" s="151" t="s">
        <v>672</v>
      </c>
      <c r="D120" s="151" t="s">
        <v>673</v>
      </c>
    </row>
    <row r="121" spans="1:4">
      <c r="A121" s="151" t="s">
        <v>674</v>
      </c>
      <c r="B121" s="151" t="s">
        <v>675</v>
      </c>
      <c r="D121" s="151" t="s">
        <v>676</v>
      </c>
    </row>
    <row r="122" spans="1:4">
      <c r="A122" s="151" t="s">
        <v>677</v>
      </c>
      <c r="B122" s="151" t="s">
        <v>678</v>
      </c>
      <c r="D122" s="151" t="s">
        <v>679</v>
      </c>
    </row>
    <row r="123" spans="1:4">
      <c r="A123" s="151" t="s">
        <v>680</v>
      </c>
      <c r="B123" s="151" t="s">
        <v>681</v>
      </c>
      <c r="D123" s="151" t="s">
        <v>682</v>
      </c>
    </row>
    <row r="124" spans="1:4">
      <c r="A124" s="151" t="s">
        <v>683</v>
      </c>
      <c r="B124" s="151" t="s">
        <v>684</v>
      </c>
      <c r="D124" s="151" t="s">
        <v>685</v>
      </c>
    </row>
    <row r="125" spans="1:4">
      <c r="A125" s="151" t="s">
        <v>686</v>
      </c>
      <c r="B125" s="151" t="s">
        <v>687</v>
      </c>
      <c r="D125" s="151" t="s">
        <v>688</v>
      </c>
    </row>
    <row r="126" spans="1:4">
      <c r="A126" s="151" t="s">
        <v>689</v>
      </c>
      <c r="B126" s="151" t="s">
        <v>690</v>
      </c>
      <c r="D126" s="151" t="s">
        <v>691</v>
      </c>
    </row>
    <row r="127" spans="1:4">
      <c r="A127" s="151" t="s">
        <v>692</v>
      </c>
      <c r="B127" s="151" t="s">
        <v>693</v>
      </c>
      <c r="D127" s="151" t="s">
        <v>694</v>
      </c>
    </row>
    <row r="128" spans="1:4">
      <c r="A128" s="151" t="s">
        <v>695</v>
      </c>
      <c r="B128" s="151" t="s">
        <v>696</v>
      </c>
      <c r="D128" s="151" t="s">
        <v>697</v>
      </c>
    </row>
    <row r="129" spans="1:4">
      <c r="A129" s="151" t="s">
        <v>698</v>
      </c>
      <c r="B129" s="151" t="s">
        <v>699</v>
      </c>
      <c r="D129" s="151" t="s">
        <v>700</v>
      </c>
    </row>
    <row r="130" spans="1:4">
      <c r="A130" s="151" t="s">
        <v>701</v>
      </c>
      <c r="B130" s="151" t="s">
        <v>702</v>
      </c>
      <c r="D130" s="151" t="s">
        <v>703</v>
      </c>
    </row>
    <row r="131" spans="1:4">
      <c r="A131" s="151" t="s">
        <v>704</v>
      </c>
      <c r="B131" s="151" t="s">
        <v>705</v>
      </c>
      <c r="D131" s="151" t="s">
        <v>706</v>
      </c>
    </row>
    <row r="132" spans="1:4">
      <c r="A132" s="151" t="s">
        <v>707</v>
      </c>
      <c r="B132" s="151" t="s">
        <v>708</v>
      </c>
      <c r="D132" s="151" t="s">
        <v>709</v>
      </c>
    </row>
    <row r="133" spans="1:4">
      <c r="A133" s="151" t="s">
        <v>710</v>
      </c>
      <c r="B133" s="151" t="s">
        <v>711</v>
      </c>
      <c r="D133" s="151" t="s">
        <v>712</v>
      </c>
    </row>
    <row r="134" spans="1:4">
      <c r="A134" s="151" t="s">
        <v>713</v>
      </c>
      <c r="B134" s="151" t="s">
        <v>714</v>
      </c>
      <c r="D134" s="151" t="s">
        <v>715</v>
      </c>
    </row>
    <row r="135" spans="1:4">
      <c r="A135" s="151" t="s">
        <v>716</v>
      </c>
      <c r="B135" s="151" t="s">
        <v>717</v>
      </c>
      <c r="D135" s="151" t="s">
        <v>718</v>
      </c>
    </row>
    <row r="136" spans="1:4">
      <c r="A136" s="151" t="s">
        <v>719</v>
      </c>
      <c r="B136" s="151" t="s">
        <v>720</v>
      </c>
      <c r="D136" s="151" t="s">
        <v>721</v>
      </c>
    </row>
    <row r="137" spans="1:4">
      <c r="A137" s="151" t="s">
        <v>722</v>
      </c>
      <c r="B137" s="151" t="s">
        <v>723</v>
      </c>
      <c r="D137" s="151" t="s">
        <v>724</v>
      </c>
    </row>
    <row r="138" spans="1:4">
      <c r="A138" s="151" t="s">
        <v>725</v>
      </c>
      <c r="B138" s="151" t="s">
        <v>726</v>
      </c>
      <c r="D138" s="151" t="s">
        <v>727</v>
      </c>
    </row>
    <row r="139" spans="1:4">
      <c r="A139" s="151" t="s">
        <v>728</v>
      </c>
      <c r="B139" s="151" t="s">
        <v>729</v>
      </c>
      <c r="D139" s="151" t="s">
        <v>730</v>
      </c>
    </row>
    <row r="140" spans="1:4">
      <c r="A140" s="151" t="s">
        <v>731</v>
      </c>
      <c r="B140" s="151" t="s">
        <v>732</v>
      </c>
      <c r="D140" s="151" t="s">
        <v>733</v>
      </c>
    </row>
    <row r="141" spans="1:4">
      <c r="A141" s="151" t="s">
        <v>734</v>
      </c>
      <c r="B141" s="151" t="s">
        <v>735</v>
      </c>
      <c r="D141" s="151" t="s">
        <v>736</v>
      </c>
    </row>
    <row r="142" spans="1:4">
      <c r="A142" s="151" t="s">
        <v>737</v>
      </c>
      <c r="B142" s="151" t="s">
        <v>738</v>
      </c>
      <c r="D142" s="151" t="s">
        <v>739</v>
      </c>
    </row>
    <row r="143" spans="1:4">
      <c r="A143" s="151" t="s">
        <v>740</v>
      </c>
      <c r="B143" s="151" t="s">
        <v>741</v>
      </c>
      <c r="D143" s="151" t="s">
        <v>742</v>
      </c>
    </row>
    <row r="144" spans="1:4">
      <c r="A144" s="151" t="s">
        <v>743</v>
      </c>
      <c r="B144" s="151" t="s">
        <v>744</v>
      </c>
      <c r="D144" s="151" t="s">
        <v>745</v>
      </c>
    </row>
    <row r="145" spans="1:4">
      <c r="A145" s="151" t="s">
        <v>746</v>
      </c>
      <c r="B145" s="151" t="s">
        <v>747</v>
      </c>
      <c r="D145" s="151" t="s">
        <v>748</v>
      </c>
    </row>
    <row r="146" spans="1:4">
      <c r="A146" s="151" t="s">
        <v>749</v>
      </c>
      <c r="B146" s="151" t="s">
        <v>750</v>
      </c>
      <c r="D146" s="151" t="s">
        <v>751</v>
      </c>
    </row>
    <row r="147" spans="1:4">
      <c r="A147" s="151" t="s">
        <v>752</v>
      </c>
      <c r="B147" s="151" t="s">
        <v>753</v>
      </c>
      <c r="D147" s="151" t="s">
        <v>754</v>
      </c>
    </row>
    <row r="148" spans="1:4">
      <c r="A148" s="151" t="s">
        <v>755</v>
      </c>
      <c r="B148" s="151" t="s">
        <v>756</v>
      </c>
      <c r="D148" s="151" t="s">
        <v>757</v>
      </c>
    </row>
    <row r="149" spans="1:4">
      <c r="A149" s="151" t="s">
        <v>758</v>
      </c>
      <c r="B149" s="151" t="s">
        <v>759</v>
      </c>
      <c r="D149" s="151" t="s">
        <v>760</v>
      </c>
    </row>
    <row r="150" spans="1:4">
      <c r="A150" s="151" t="s">
        <v>761</v>
      </c>
      <c r="B150" s="151" t="s">
        <v>762</v>
      </c>
      <c r="D150" s="151" t="s">
        <v>763</v>
      </c>
    </row>
    <row r="151" spans="1:4">
      <c r="A151" s="151" t="s">
        <v>764</v>
      </c>
      <c r="B151" s="151" t="s">
        <v>765</v>
      </c>
      <c r="D151" s="151" t="s">
        <v>766</v>
      </c>
    </row>
    <row r="152" spans="1:4">
      <c r="A152" s="151" t="s">
        <v>767</v>
      </c>
      <c r="B152" s="151" t="s">
        <v>768</v>
      </c>
      <c r="D152" s="151" t="s">
        <v>769</v>
      </c>
    </row>
    <row r="153" spans="1:4">
      <c r="A153" s="151" t="s">
        <v>770</v>
      </c>
      <c r="B153" s="151" t="s">
        <v>771</v>
      </c>
      <c r="D153" s="151" t="s">
        <v>772</v>
      </c>
    </row>
    <row r="154" spans="1:4">
      <c r="A154" s="151" t="s">
        <v>773</v>
      </c>
      <c r="B154" s="151" t="s">
        <v>774</v>
      </c>
      <c r="D154" s="151" t="s">
        <v>775</v>
      </c>
    </row>
    <row r="155" spans="1:4">
      <c r="A155" s="151" t="s">
        <v>776</v>
      </c>
      <c r="B155" s="151" t="s">
        <v>777</v>
      </c>
      <c r="D155" s="151" t="s">
        <v>778</v>
      </c>
    </row>
    <row r="156" spans="1:4">
      <c r="A156" s="151" t="s">
        <v>779</v>
      </c>
      <c r="B156" s="151" t="s">
        <v>780</v>
      </c>
      <c r="D156" s="151" t="s">
        <v>781</v>
      </c>
    </row>
    <row r="157" spans="1:4">
      <c r="A157" s="151" t="s">
        <v>782</v>
      </c>
      <c r="B157" s="151" t="s">
        <v>783</v>
      </c>
      <c r="D157" s="151" t="s">
        <v>784</v>
      </c>
    </row>
    <row r="158" spans="1:4">
      <c r="A158" s="151" t="s">
        <v>785</v>
      </c>
      <c r="B158" s="151" t="s">
        <v>786</v>
      </c>
      <c r="D158" s="151" t="s">
        <v>787</v>
      </c>
    </row>
    <row r="159" spans="1:4">
      <c r="A159" s="151" t="s">
        <v>788</v>
      </c>
      <c r="B159" s="151" t="s">
        <v>789</v>
      </c>
      <c r="D159" s="151" t="s">
        <v>790</v>
      </c>
    </row>
    <row r="160" spans="1:4">
      <c r="A160" s="151" t="s">
        <v>791</v>
      </c>
      <c r="B160" s="151" t="s">
        <v>792</v>
      </c>
      <c r="D160" s="151" t="s">
        <v>793</v>
      </c>
    </row>
    <row r="161" spans="1:4">
      <c r="A161" s="151" t="s">
        <v>794</v>
      </c>
      <c r="B161" s="151" t="s">
        <v>795</v>
      </c>
      <c r="D161" s="151" t="s">
        <v>796</v>
      </c>
    </row>
    <row r="162" spans="1:4">
      <c r="A162" s="151" t="s">
        <v>797</v>
      </c>
      <c r="B162" s="151" t="s">
        <v>798</v>
      </c>
      <c r="D162" s="151" t="s">
        <v>799</v>
      </c>
    </row>
    <row r="163" spans="1:4">
      <c r="A163" s="151" t="s">
        <v>800</v>
      </c>
      <c r="B163" s="151" t="s">
        <v>801</v>
      </c>
      <c r="D163" s="151" t="s">
        <v>802</v>
      </c>
    </row>
    <row r="164" spans="1:4">
      <c r="A164" s="151" t="s">
        <v>803</v>
      </c>
      <c r="B164" s="151" t="s">
        <v>804</v>
      </c>
      <c r="D164" s="151" t="s">
        <v>805</v>
      </c>
    </row>
    <row r="165" spans="1:4">
      <c r="A165" s="151" t="s">
        <v>806</v>
      </c>
      <c r="B165" s="151" t="s">
        <v>807</v>
      </c>
      <c r="D165" s="151" t="s">
        <v>808</v>
      </c>
    </row>
    <row r="166" spans="1:4">
      <c r="A166" s="151" t="s">
        <v>809</v>
      </c>
      <c r="B166" s="151" t="s">
        <v>810</v>
      </c>
      <c r="D166" s="151" t="s">
        <v>811</v>
      </c>
    </row>
    <row r="167" spans="1:4">
      <c r="A167" s="151" t="s">
        <v>812</v>
      </c>
      <c r="B167" s="151" t="s">
        <v>813</v>
      </c>
      <c r="D167" s="151" t="s">
        <v>814</v>
      </c>
    </row>
    <row r="168" spans="1:4">
      <c r="A168" s="151" t="s">
        <v>815</v>
      </c>
      <c r="B168" s="151" t="s">
        <v>816</v>
      </c>
      <c r="D168" s="151" t="s">
        <v>817</v>
      </c>
    </row>
    <row r="169" spans="1:4">
      <c r="A169" s="151" t="s">
        <v>818</v>
      </c>
      <c r="B169" s="151" t="s">
        <v>819</v>
      </c>
      <c r="D169" s="151" t="s">
        <v>820</v>
      </c>
    </row>
    <row r="170" spans="1:4">
      <c r="A170" s="151" t="s">
        <v>821</v>
      </c>
      <c r="B170" s="151" t="s">
        <v>822</v>
      </c>
      <c r="D170" s="151" t="s">
        <v>823</v>
      </c>
    </row>
    <row r="171" spans="1:4">
      <c r="A171" s="151" t="s">
        <v>824</v>
      </c>
      <c r="B171" s="151" t="s">
        <v>825</v>
      </c>
      <c r="D171" s="151" t="s">
        <v>826</v>
      </c>
    </row>
    <row r="172" spans="1:4">
      <c r="A172" s="151" t="s">
        <v>827</v>
      </c>
      <c r="B172" s="151" t="s">
        <v>828</v>
      </c>
      <c r="D172" s="151" t="s">
        <v>829</v>
      </c>
    </row>
    <row r="173" spans="1:4">
      <c r="A173" s="151" t="s">
        <v>830</v>
      </c>
      <c r="B173" s="151" t="s">
        <v>831</v>
      </c>
      <c r="D173" s="151" t="s">
        <v>832</v>
      </c>
    </row>
    <row r="174" spans="1:4">
      <c r="A174" s="151" t="s">
        <v>833</v>
      </c>
      <c r="B174" s="151" t="s">
        <v>834</v>
      </c>
      <c r="D174" s="151" t="s">
        <v>835</v>
      </c>
    </row>
    <row r="175" spans="1:4">
      <c r="A175" s="151" t="s">
        <v>836</v>
      </c>
      <c r="B175" s="151" t="s">
        <v>837</v>
      </c>
      <c r="D175" s="151" t="s">
        <v>838</v>
      </c>
    </row>
    <row r="176" spans="1:4">
      <c r="A176" s="151" t="s">
        <v>839</v>
      </c>
      <c r="B176" s="151" t="s">
        <v>840</v>
      </c>
      <c r="D176" s="151" t="s">
        <v>841</v>
      </c>
    </row>
    <row r="177" spans="1:4">
      <c r="A177" s="151" t="s">
        <v>842</v>
      </c>
      <c r="B177" s="151" t="s">
        <v>843</v>
      </c>
      <c r="D177" s="151" t="s">
        <v>844</v>
      </c>
    </row>
    <row r="178" spans="1:4">
      <c r="A178" s="151" t="s">
        <v>845</v>
      </c>
      <c r="B178" s="151" t="s">
        <v>846</v>
      </c>
      <c r="D178" s="151" t="s">
        <v>847</v>
      </c>
    </row>
    <row r="179" spans="1:4">
      <c r="A179" s="151" t="s">
        <v>848</v>
      </c>
      <c r="B179" s="151" t="s">
        <v>849</v>
      </c>
      <c r="D179" s="151" t="s">
        <v>850</v>
      </c>
    </row>
    <row r="180" spans="1:4">
      <c r="A180" s="151" t="s">
        <v>851</v>
      </c>
      <c r="B180" s="151" t="s">
        <v>852</v>
      </c>
      <c r="D180" s="151" t="s">
        <v>853</v>
      </c>
    </row>
    <row r="181" spans="1:4">
      <c r="A181" s="151" t="s">
        <v>854</v>
      </c>
      <c r="B181" s="151" t="s">
        <v>855</v>
      </c>
      <c r="D181" s="151" t="s">
        <v>856</v>
      </c>
    </row>
    <row r="182" spans="1:4">
      <c r="A182" s="151" t="s">
        <v>857</v>
      </c>
      <c r="B182" s="151" t="s">
        <v>858</v>
      </c>
      <c r="D182" s="151" t="s">
        <v>859</v>
      </c>
    </row>
    <row r="183" spans="1:4">
      <c r="A183" s="151" t="s">
        <v>860</v>
      </c>
      <c r="B183" s="151" t="s">
        <v>861</v>
      </c>
      <c r="D183" s="151" t="s">
        <v>862</v>
      </c>
    </row>
    <row r="184" spans="1:4">
      <c r="A184" s="151" t="s">
        <v>863</v>
      </c>
      <c r="B184" s="151" t="s">
        <v>864</v>
      </c>
      <c r="D184" s="151" t="s">
        <v>865</v>
      </c>
    </row>
    <row r="185" spans="1:4">
      <c r="A185" s="151" t="s">
        <v>866</v>
      </c>
      <c r="B185" s="151" t="s">
        <v>867</v>
      </c>
      <c r="D185" s="151" t="s">
        <v>868</v>
      </c>
    </row>
    <row r="186" spans="1:4">
      <c r="A186" s="151" t="s">
        <v>869</v>
      </c>
      <c r="B186" s="151" t="s">
        <v>870</v>
      </c>
      <c r="D186" s="151" t="s">
        <v>871</v>
      </c>
    </row>
    <row r="187" spans="1:4">
      <c r="A187" s="151" t="s">
        <v>872</v>
      </c>
      <c r="B187" s="151" t="s">
        <v>873</v>
      </c>
      <c r="D187" s="151" t="s">
        <v>874</v>
      </c>
    </row>
    <row r="188" spans="1:4">
      <c r="A188" s="151" t="s">
        <v>875</v>
      </c>
      <c r="B188" s="151" t="s">
        <v>876</v>
      </c>
      <c r="D188" s="151" t="s">
        <v>877</v>
      </c>
    </row>
    <row r="189" spans="1:4">
      <c r="A189" s="151" t="s">
        <v>878</v>
      </c>
      <c r="B189" s="151" t="s">
        <v>879</v>
      </c>
      <c r="D189" s="151" t="s">
        <v>880</v>
      </c>
    </row>
    <row r="190" spans="1:4">
      <c r="A190" s="151" t="s">
        <v>881</v>
      </c>
      <c r="B190" s="151" t="s">
        <v>882</v>
      </c>
      <c r="D190" s="151" t="s">
        <v>883</v>
      </c>
    </row>
    <row r="191" spans="1:4">
      <c r="A191" s="151" t="s">
        <v>884</v>
      </c>
      <c r="B191" s="151" t="s">
        <v>885</v>
      </c>
      <c r="D191" s="151" t="s">
        <v>886</v>
      </c>
    </row>
    <row r="192" spans="1:4">
      <c r="A192" s="151" t="s">
        <v>887</v>
      </c>
      <c r="B192" s="151" t="s">
        <v>888</v>
      </c>
      <c r="D192" s="151" t="s">
        <v>889</v>
      </c>
    </row>
    <row r="193" spans="1:4">
      <c r="A193" s="151" t="s">
        <v>890</v>
      </c>
      <c r="B193" s="151" t="s">
        <v>891</v>
      </c>
      <c r="D193" s="151" t="s">
        <v>892</v>
      </c>
    </row>
    <row r="194" spans="1:4">
      <c r="A194" s="151" t="s">
        <v>893</v>
      </c>
      <c r="B194" s="151" t="s">
        <v>894</v>
      </c>
      <c r="D194" s="151" t="s">
        <v>895</v>
      </c>
    </row>
    <row r="195" spans="1:4">
      <c r="A195" s="151" t="s">
        <v>896</v>
      </c>
      <c r="B195" s="151" t="s">
        <v>897</v>
      </c>
      <c r="D195" s="151" t="s">
        <v>898</v>
      </c>
    </row>
    <row r="196" spans="1:4">
      <c r="A196" s="151" t="s">
        <v>899</v>
      </c>
      <c r="B196" s="151" t="s">
        <v>900</v>
      </c>
      <c r="D196" s="151" t="s">
        <v>901</v>
      </c>
    </row>
    <row r="197" spans="1:4">
      <c r="A197" s="151" t="s">
        <v>902</v>
      </c>
      <c r="B197" s="151" t="s">
        <v>903</v>
      </c>
      <c r="D197" s="151" t="s">
        <v>904</v>
      </c>
    </row>
    <row r="198" spans="1:4">
      <c r="A198" s="151" t="s">
        <v>905</v>
      </c>
      <c r="B198" s="151" t="s">
        <v>906</v>
      </c>
      <c r="D198" s="151" t="s">
        <v>907</v>
      </c>
    </row>
    <row r="199" spans="1:4">
      <c r="A199" s="151" t="s">
        <v>908</v>
      </c>
      <c r="B199" s="151" t="s">
        <v>909</v>
      </c>
      <c r="D199" s="151" t="s">
        <v>910</v>
      </c>
    </row>
    <row r="200" spans="1:4">
      <c r="A200" s="151" t="s">
        <v>911</v>
      </c>
      <c r="B200" s="151" t="s">
        <v>912</v>
      </c>
      <c r="D200" s="151" t="s">
        <v>913</v>
      </c>
    </row>
    <row r="201" spans="1:4">
      <c r="A201" s="151" t="s">
        <v>914</v>
      </c>
      <c r="B201" s="151" t="s">
        <v>915</v>
      </c>
      <c r="D201" s="151" t="s">
        <v>916</v>
      </c>
    </row>
    <row r="202" spans="1:4">
      <c r="A202" s="151" t="s">
        <v>917</v>
      </c>
      <c r="B202" s="151" t="s">
        <v>918</v>
      </c>
      <c r="D202" s="151" t="s">
        <v>919</v>
      </c>
    </row>
    <row r="203" spans="1:4">
      <c r="A203" s="151" t="s">
        <v>920</v>
      </c>
      <c r="B203" s="151" t="s">
        <v>921</v>
      </c>
      <c r="D203" s="151" t="s">
        <v>922</v>
      </c>
    </row>
    <row r="204" spans="1:4">
      <c r="A204" s="151" t="s">
        <v>923</v>
      </c>
      <c r="B204" s="151" t="s">
        <v>924</v>
      </c>
      <c r="D204" s="151" t="s">
        <v>925</v>
      </c>
    </row>
    <row r="205" spans="1:4">
      <c r="A205" s="151" t="s">
        <v>926</v>
      </c>
      <c r="B205" s="151" t="s">
        <v>927</v>
      </c>
      <c r="D205" s="151" t="s">
        <v>928</v>
      </c>
    </row>
    <row r="206" spans="1:4">
      <c r="A206" s="151" t="s">
        <v>929</v>
      </c>
      <c r="B206" s="151" t="s">
        <v>930</v>
      </c>
      <c r="D206" s="151" t="s">
        <v>931</v>
      </c>
    </row>
    <row r="207" spans="1:4">
      <c r="A207" s="151" t="s">
        <v>932</v>
      </c>
      <c r="B207" s="151" t="s">
        <v>933</v>
      </c>
      <c r="D207" s="151" t="s">
        <v>934</v>
      </c>
    </row>
    <row r="208" spans="1:4">
      <c r="A208" s="151" t="s">
        <v>935</v>
      </c>
      <c r="B208" s="151" t="s">
        <v>936</v>
      </c>
      <c r="D208" s="151" t="s">
        <v>937</v>
      </c>
    </row>
    <row r="209" spans="1:4">
      <c r="A209" s="151" t="s">
        <v>938</v>
      </c>
      <c r="B209" s="151" t="s">
        <v>939</v>
      </c>
      <c r="D209" s="151" t="s">
        <v>940</v>
      </c>
    </row>
    <row r="210" spans="1:4">
      <c r="A210" s="151" t="s">
        <v>941</v>
      </c>
      <c r="B210" s="151" t="s">
        <v>942</v>
      </c>
      <c r="D210" s="151" t="s">
        <v>943</v>
      </c>
    </row>
    <row r="211" spans="1:4">
      <c r="A211" s="151" t="s">
        <v>944</v>
      </c>
      <c r="B211" s="151" t="s">
        <v>945</v>
      </c>
      <c r="D211" s="151" t="s">
        <v>946</v>
      </c>
    </row>
    <row r="212" spans="1:4">
      <c r="A212" s="151" t="s">
        <v>947</v>
      </c>
      <c r="B212" s="151" t="s">
        <v>948</v>
      </c>
      <c r="D212" s="151" t="s">
        <v>949</v>
      </c>
    </row>
    <row r="213" spans="1:4">
      <c r="A213" s="151" t="s">
        <v>950</v>
      </c>
      <c r="B213" s="151" t="s">
        <v>951</v>
      </c>
      <c r="D213" s="151" t="s">
        <v>952</v>
      </c>
    </row>
    <row r="214" spans="1:4">
      <c r="A214" s="151" t="s">
        <v>953</v>
      </c>
      <c r="B214" s="151" t="s">
        <v>954</v>
      </c>
      <c r="D214" s="151" t="s">
        <v>955</v>
      </c>
    </row>
    <row r="215" spans="1:4">
      <c r="A215" s="151" t="s">
        <v>956</v>
      </c>
      <c r="B215" s="151" t="s">
        <v>957</v>
      </c>
      <c r="D215" s="151" t="s">
        <v>958</v>
      </c>
    </row>
    <row r="216" spans="1:4">
      <c r="A216" s="151" t="s">
        <v>959</v>
      </c>
      <c r="B216" s="151" t="s">
        <v>960</v>
      </c>
      <c r="D216" s="151" t="s">
        <v>961</v>
      </c>
    </row>
    <row r="217" spans="1:4">
      <c r="A217" s="151" t="s">
        <v>962</v>
      </c>
      <c r="B217" s="151" t="s">
        <v>963</v>
      </c>
      <c r="D217" s="151" t="s">
        <v>964</v>
      </c>
    </row>
    <row r="218" spans="1:4">
      <c r="A218" s="151" t="s">
        <v>965</v>
      </c>
      <c r="B218" s="151" t="s">
        <v>966</v>
      </c>
      <c r="D218" s="151" t="s">
        <v>967</v>
      </c>
    </row>
    <row r="219" spans="1:4">
      <c r="A219" s="151" t="s">
        <v>968</v>
      </c>
      <c r="B219" s="151" t="s">
        <v>969</v>
      </c>
      <c r="D219" s="151" t="s">
        <v>970</v>
      </c>
    </row>
    <row r="220" spans="1:4">
      <c r="A220" s="151" t="s">
        <v>971</v>
      </c>
      <c r="B220" s="151" t="s">
        <v>972</v>
      </c>
      <c r="D220" s="151" t="s">
        <v>973</v>
      </c>
    </row>
    <row r="221" spans="1:4">
      <c r="A221" s="151" t="s">
        <v>974</v>
      </c>
      <c r="B221" s="151" t="s">
        <v>975</v>
      </c>
      <c r="D221" s="151" t="s">
        <v>976</v>
      </c>
    </row>
    <row r="222" spans="1:4">
      <c r="A222" s="151" t="s">
        <v>977</v>
      </c>
      <c r="B222" s="151" t="s">
        <v>978</v>
      </c>
      <c r="D222" s="151" t="s">
        <v>979</v>
      </c>
    </row>
    <row r="223" spans="1:4">
      <c r="A223" s="151" t="s">
        <v>980</v>
      </c>
      <c r="B223" s="151" t="s">
        <v>981</v>
      </c>
      <c r="D223" s="151" t="s">
        <v>982</v>
      </c>
    </row>
    <row r="224" spans="1:4">
      <c r="A224" s="151" t="s">
        <v>983</v>
      </c>
      <c r="B224" s="151" t="s">
        <v>984</v>
      </c>
      <c r="D224" s="151" t="s">
        <v>985</v>
      </c>
    </row>
    <row r="225" spans="1:4">
      <c r="A225" s="151" t="s">
        <v>986</v>
      </c>
      <c r="B225" s="151" t="s">
        <v>987</v>
      </c>
      <c r="D225" s="152" t="s">
        <v>243</v>
      </c>
    </row>
    <row r="226" spans="1:4">
      <c r="A226" s="151" t="s">
        <v>988</v>
      </c>
      <c r="B226" s="151" t="s">
        <v>989</v>
      </c>
      <c r="D226" t="s">
        <v>243</v>
      </c>
    </row>
    <row r="227" spans="1:4">
      <c r="A227" s="151" t="s">
        <v>990</v>
      </c>
      <c r="B227" s="151" t="s">
        <v>991</v>
      </c>
    </row>
    <row r="228" spans="1:4">
      <c r="A228" s="151" t="s">
        <v>992</v>
      </c>
      <c r="B228" s="151" t="s">
        <v>993</v>
      </c>
    </row>
    <row r="229" spans="1:4">
      <c r="A229" s="151" t="s">
        <v>994</v>
      </c>
      <c r="B229" s="151" t="s">
        <v>995</v>
      </c>
    </row>
    <row r="230" spans="1:4">
      <c r="A230" s="151" t="s">
        <v>996</v>
      </c>
      <c r="B230" s="151" t="s">
        <v>997</v>
      </c>
    </row>
    <row r="231" spans="1:4">
      <c r="A231" s="151" t="s">
        <v>998</v>
      </c>
      <c r="B231" s="151" t="s">
        <v>999</v>
      </c>
    </row>
    <row r="232" spans="1:4">
      <c r="A232" s="151" t="s">
        <v>1000</v>
      </c>
      <c r="B232" s="151" t="s">
        <v>1001</v>
      </c>
    </row>
    <row r="233" spans="1:4">
      <c r="A233" s="151" t="s">
        <v>1002</v>
      </c>
      <c r="B233" s="151" t="s">
        <v>1003</v>
      </c>
    </row>
    <row r="234" spans="1:4">
      <c r="A234" s="151" t="s">
        <v>1004</v>
      </c>
      <c r="B234" s="151" t="s">
        <v>1005</v>
      </c>
    </row>
    <row r="235" spans="1:4">
      <c r="A235" s="151" t="s">
        <v>1006</v>
      </c>
      <c r="B235" s="151" t="s">
        <v>1007</v>
      </c>
    </row>
    <row r="236" spans="1:4">
      <c r="A236" s="151" t="s">
        <v>1008</v>
      </c>
      <c r="B236" s="151" t="s">
        <v>1009</v>
      </c>
    </row>
    <row r="237" spans="1:4">
      <c r="A237" s="151" t="s">
        <v>1010</v>
      </c>
      <c r="B237" s="151" t="s">
        <v>1011</v>
      </c>
    </row>
    <row r="238" spans="1:4">
      <c r="A238" s="151" t="s">
        <v>1012</v>
      </c>
      <c r="B238" s="151" t="s">
        <v>1013</v>
      </c>
    </row>
    <row r="239" spans="1:4">
      <c r="A239" s="151" t="s">
        <v>1014</v>
      </c>
      <c r="B239" s="151" t="s">
        <v>1015</v>
      </c>
    </row>
    <row r="240" spans="1:4">
      <c r="A240" s="151" t="s">
        <v>1016</v>
      </c>
      <c r="B240" s="151" t="s">
        <v>1017</v>
      </c>
    </row>
    <row r="241" spans="1:2">
      <c r="A241" s="151" t="s">
        <v>1018</v>
      </c>
      <c r="B241" s="151" t="s">
        <v>1019</v>
      </c>
    </row>
    <row r="242" spans="1:2">
      <c r="A242" s="151" t="s">
        <v>1020</v>
      </c>
      <c r="B242" s="151" t="s">
        <v>1021</v>
      </c>
    </row>
    <row r="243" spans="1:2">
      <c r="A243" s="151" t="s">
        <v>1022</v>
      </c>
      <c r="B243" s="151" t="s">
        <v>1023</v>
      </c>
    </row>
    <row r="244" spans="1:2">
      <c r="A244" s="151" t="s">
        <v>1024</v>
      </c>
      <c r="B244" s="151" t="s">
        <v>1025</v>
      </c>
    </row>
    <row r="245" spans="1:2">
      <c r="A245" s="151" t="s">
        <v>1026</v>
      </c>
      <c r="B245" s="151" t="s">
        <v>1027</v>
      </c>
    </row>
    <row r="246" spans="1:2">
      <c r="A246" s="151" t="s">
        <v>1028</v>
      </c>
      <c r="B246" s="151" t="s">
        <v>1029</v>
      </c>
    </row>
    <row r="247" spans="1:2">
      <c r="A247" s="151" t="s">
        <v>1030</v>
      </c>
      <c r="B247" s="151" t="s">
        <v>1031</v>
      </c>
    </row>
    <row r="248" spans="1:2">
      <c r="A248" s="151" t="s">
        <v>1032</v>
      </c>
      <c r="B248" s="151" t="s">
        <v>1033</v>
      </c>
    </row>
    <row r="249" spans="1:2">
      <c r="A249" s="151" t="s">
        <v>1034</v>
      </c>
      <c r="B249" s="151" t="s">
        <v>1035</v>
      </c>
    </row>
    <row r="250" spans="1:2">
      <c r="A250" s="151" t="s">
        <v>1036</v>
      </c>
      <c r="B250" s="151" t="s">
        <v>1037</v>
      </c>
    </row>
    <row r="251" spans="1:2">
      <c r="A251" s="151" t="s">
        <v>1038</v>
      </c>
      <c r="B251" s="151" t="s">
        <v>1039</v>
      </c>
    </row>
    <row r="252" spans="1:2">
      <c r="A252" s="151" t="s">
        <v>1040</v>
      </c>
      <c r="B252" s="151" t="s">
        <v>1041</v>
      </c>
    </row>
    <row r="253" spans="1:2">
      <c r="A253" s="151" t="s">
        <v>1042</v>
      </c>
      <c r="B253" s="151" t="s">
        <v>1043</v>
      </c>
    </row>
    <row r="254" spans="1:2">
      <c r="A254" s="151" t="s">
        <v>1044</v>
      </c>
      <c r="B254" s="151" t="s">
        <v>1045</v>
      </c>
    </row>
    <row r="255" spans="1:2">
      <c r="A255" s="151" t="s">
        <v>1046</v>
      </c>
      <c r="B255" s="151" t="s">
        <v>1047</v>
      </c>
    </row>
    <row r="256" spans="1:2">
      <c r="A256" s="151" t="s">
        <v>1048</v>
      </c>
      <c r="B256" s="151" t="s">
        <v>1049</v>
      </c>
    </row>
    <row r="257" spans="1:2">
      <c r="A257" s="151" t="s">
        <v>1050</v>
      </c>
      <c r="B257" s="151" t="s">
        <v>1051</v>
      </c>
    </row>
    <row r="258" spans="1:2">
      <c r="A258" s="151" t="s">
        <v>1052</v>
      </c>
      <c r="B258" s="151" t="s">
        <v>1053</v>
      </c>
    </row>
    <row r="259" spans="1:2">
      <c r="A259" s="151" t="s">
        <v>1054</v>
      </c>
      <c r="B259" s="151" t="s">
        <v>1055</v>
      </c>
    </row>
    <row r="260" spans="1:2">
      <c r="A260" s="151" t="s">
        <v>1056</v>
      </c>
      <c r="B260" s="151" t="s">
        <v>1057</v>
      </c>
    </row>
    <row r="261" spans="1:2">
      <c r="A261" s="151" t="s">
        <v>1058</v>
      </c>
      <c r="B261" s="151" t="s">
        <v>1059</v>
      </c>
    </row>
    <row r="262" spans="1:2">
      <c r="A262" s="151" t="s">
        <v>1060</v>
      </c>
      <c r="B262" s="151" t="s">
        <v>1061</v>
      </c>
    </row>
    <row r="263" spans="1:2">
      <c r="A263" s="151" t="s">
        <v>1062</v>
      </c>
      <c r="B263" s="151" t="s">
        <v>1063</v>
      </c>
    </row>
    <row r="264" spans="1:2">
      <c r="A264" s="151" t="s">
        <v>1064</v>
      </c>
      <c r="B264" s="151" t="s">
        <v>1065</v>
      </c>
    </row>
    <row r="265" spans="1:2">
      <c r="A265" s="151" t="s">
        <v>1066</v>
      </c>
      <c r="B265" s="151" t="s">
        <v>1067</v>
      </c>
    </row>
    <row r="266" spans="1:2">
      <c r="A266" s="151" t="s">
        <v>1068</v>
      </c>
      <c r="B266" s="151" t="s">
        <v>1069</v>
      </c>
    </row>
    <row r="267" spans="1:2">
      <c r="A267" s="151" t="s">
        <v>1070</v>
      </c>
      <c r="B267" s="151" t="s">
        <v>1071</v>
      </c>
    </row>
    <row r="268" spans="1:2">
      <c r="A268" s="151" t="s">
        <v>1072</v>
      </c>
      <c r="B268" s="151" t="s">
        <v>1073</v>
      </c>
    </row>
    <row r="269" spans="1:2">
      <c r="A269" s="151" t="s">
        <v>1074</v>
      </c>
      <c r="B269" s="151" t="s">
        <v>1075</v>
      </c>
    </row>
    <row r="270" spans="1:2">
      <c r="A270" s="151" t="s">
        <v>1076</v>
      </c>
      <c r="B270" s="151" t="s">
        <v>1077</v>
      </c>
    </row>
    <row r="271" spans="1:2">
      <c r="A271" s="151" t="s">
        <v>1078</v>
      </c>
      <c r="B271" s="151" t="s">
        <v>1079</v>
      </c>
    </row>
    <row r="272" spans="1:2">
      <c r="A272" s="151" t="s">
        <v>1080</v>
      </c>
      <c r="B272" s="151" t="s">
        <v>1081</v>
      </c>
    </row>
    <row r="273" spans="1:2">
      <c r="A273" s="151" t="s">
        <v>1082</v>
      </c>
      <c r="B273" s="151" t="s">
        <v>1083</v>
      </c>
    </row>
    <row r="274" spans="1:2">
      <c r="A274" s="151" t="s">
        <v>1084</v>
      </c>
      <c r="B274" s="151" t="s">
        <v>1085</v>
      </c>
    </row>
    <row r="275" spans="1:2">
      <c r="A275" s="151" t="s">
        <v>1086</v>
      </c>
      <c r="B275" s="151" t="s">
        <v>1087</v>
      </c>
    </row>
    <row r="276" spans="1:2">
      <c r="A276" s="151" t="s">
        <v>1088</v>
      </c>
      <c r="B276" s="151" t="s">
        <v>1089</v>
      </c>
    </row>
    <row r="277" spans="1:2">
      <c r="A277" s="151" t="s">
        <v>1090</v>
      </c>
      <c r="B277" s="151" t="s">
        <v>1091</v>
      </c>
    </row>
    <row r="278" spans="1:2">
      <c r="A278" s="151" t="s">
        <v>1092</v>
      </c>
      <c r="B278" s="151" t="s">
        <v>1093</v>
      </c>
    </row>
    <row r="279" spans="1:2">
      <c r="A279" s="151" t="s">
        <v>1094</v>
      </c>
      <c r="B279" s="151" t="s">
        <v>1095</v>
      </c>
    </row>
    <row r="280" spans="1:2">
      <c r="A280" s="151" t="s">
        <v>1096</v>
      </c>
      <c r="B280" s="151" t="s">
        <v>279</v>
      </c>
    </row>
    <row r="281" spans="1:2">
      <c r="A281" s="151" t="s">
        <v>1097</v>
      </c>
      <c r="B281" s="151" t="s">
        <v>1098</v>
      </c>
    </row>
    <row r="282" spans="1:2">
      <c r="A282" s="151" t="s">
        <v>1099</v>
      </c>
      <c r="B282" s="151" t="s">
        <v>1100</v>
      </c>
    </row>
    <row r="283" spans="1:2">
      <c r="A283" s="151" t="s">
        <v>1101</v>
      </c>
      <c r="B283" s="151" t="s">
        <v>1102</v>
      </c>
    </row>
    <row r="284" spans="1:2">
      <c r="A284" s="151" t="s">
        <v>1103</v>
      </c>
      <c r="B284" s="151" t="s">
        <v>1104</v>
      </c>
    </row>
    <row r="285" spans="1:2">
      <c r="A285" s="151" t="s">
        <v>1105</v>
      </c>
      <c r="B285" s="151" t="s">
        <v>1106</v>
      </c>
    </row>
    <row r="286" spans="1:2">
      <c r="A286" s="151" t="s">
        <v>1107</v>
      </c>
      <c r="B286" s="151" t="s">
        <v>1108</v>
      </c>
    </row>
    <row r="287" spans="1:2">
      <c r="A287" s="151" t="s">
        <v>1109</v>
      </c>
      <c r="B287" s="151" t="s">
        <v>1110</v>
      </c>
    </row>
    <row r="288" spans="1:2">
      <c r="A288" s="151" t="s">
        <v>1111</v>
      </c>
      <c r="B288" s="151" t="s">
        <v>1112</v>
      </c>
    </row>
    <row r="289" spans="1:2">
      <c r="A289" s="151" t="s">
        <v>1113</v>
      </c>
      <c r="B289" s="151" t="s">
        <v>1114</v>
      </c>
    </row>
    <row r="290" spans="1:2">
      <c r="A290" s="151" t="s">
        <v>1115</v>
      </c>
      <c r="B290" s="151" t="s">
        <v>1116</v>
      </c>
    </row>
    <row r="291" spans="1:2">
      <c r="A291" s="151" t="s">
        <v>1117</v>
      </c>
      <c r="B291" s="151" t="s">
        <v>1118</v>
      </c>
    </row>
    <row r="292" spans="1:2">
      <c r="A292" s="151" t="s">
        <v>1119</v>
      </c>
      <c r="B292" s="151" t="s">
        <v>1120</v>
      </c>
    </row>
    <row r="293" spans="1:2">
      <c r="A293" s="151" t="s">
        <v>1121</v>
      </c>
      <c r="B293" s="151" t="s">
        <v>1122</v>
      </c>
    </row>
    <row r="294" spans="1:2">
      <c r="A294" s="151" t="s">
        <v>1123</v>
      </c>
      <c r="B294" s="151" t="s">
        <v>1124</v>
      </c>
    </row>
    <row r="295" spans="1:2">
      <c r="A295" s="151" t="s">
        <v>1125</v>
      </c>
      <c r="B295" s="151" t="s">
        <v>1126</v>
      </c>
    </row>
    <row r="296" spans="1:2">
      <c r="A296" s="151" t="s">
        <v>1127</v>
      </c>
      <c r="B296" s="151" t="s">
        <v>1128</v>
      </c>
    </row>
    <row r="297" spans="1:2">
      <c r="A297" s="151" t="s">
        <v>1129</v>
      </c>
      <c r="B297" s="151" t="s">
        <v>1130</v>
      </c>
    </row>
    <row r="298" spans="1:2">
      <c r="A298" s="151" t="s">
        <v>1131</v>
      </c>
      <c r="B298" s="151" t="s">
        <v>1132</v>
      </c>
    </row>
    <row r="299" spans="1:2">
      <c r="A299" s="151" t="s">
        <v>1133</v>
      </c>
      <c r="B299" s="151" t="s">
        <v>1134</v>
      </c>
    </row>
    <row r="300" spans="1:2">
      <c r="A300" s="151" t="s">
        <v>1135</v>
      </c>
      <c r="B300" s="151" t="s">
        <v>1136</v>
      </c>
    </row>
    <row r="301" spans="1:2">
      <c r="A301" s="151" t="s">
        <v>1137</v>
      </c>
      <c r="B301" s="151" t="s">
        <v>1138</v>
      </c>
    </row>
    <row r="302" spans="1:2">
      <c r="A302" s="151" t="s">
        <v>1139</v>
      </c>
      <c r="B302" s="151" t="s">
        <v>1140</v>
      </c>
    </row>
    <row r="303" spans="1:2">
      <c r="A303" s="151" t="s">
        <v>1141</v>
      </c>
      <c r="B303" s="151" t="s">
        <v>1142</v>
      </c>
    </row>
    <row r="304" spans="1:2">
      <c r="A304" s="151" t="s">
        <v>1143</v>
      </c>
      <c r="B304" s="151" t="s">
        <v>1144</v>
      </c>
    </row>
    <row r="305" spans="1:2">
      <c r="A305" s="151" t="s">
        <v>1145</v>
      </c>
      <c r="B305" s="151" t="s">
        <v>1146</v>
      </c>
    </row>
    <row r="306" spans="1:2">
      <c r="A306" s="151" t="s">
        <v>1147</v>
      </c>
      <c r="B306" s="151" t="s">
        <v>1148</v>
      </c>
    </row>
    <row r="307" spans="1:2">
      <c r="A307" s="151" t="s">
        <v>1149</v>
      </c>
      <c r="B307" s="151" t="s">
        <v>468</v>
      </c>
    </row>
    <row r="308" spans="1:2">
      <c r="A308" s="151" t="s">
        <v>1150</v>
      </c>
      <c r="B308" s="151" t="s">
        <v>1151</v>
      </c>
    </row>
    <row r="309" spans="1:2">
      <c r="A309" s="151" t="s">
        <v>1152</v>
      </c>
      <c r="B309" s="151" t="s">
        <v>1153</v>
      </c>
    </row>
    <row r="310" spans="1:2">
      <c r="A310" s="151" t="s">
        <v>1154</v>
      </c>
      <c r="B310" s="151" t="s">
        <v>1155</v>
      </c>
    </row>
    <row r="311" spans="1:2">
      <c r="A311" s="151" t="s">
        <v>1156</v>
      </c>
      <c r="B311" s="151" t="s">
        <v>1157</v>
      </c>
    </row>
    <row r="312" spans="1:2">
      <c r="A312" s="151" t="s">
        <v>1158</v>
      </c>
      <c r="B312" s="151" t="s">
        <v>1159</v>
      </c>
    </row>
    <row r="313" spans="1:2">
      <c r="A313" s="151" t="s">
        <v>1160</v>
      </c>
      <c r="B313" s="151" t="s">
        <v>1161</v>
      </c>
    </row>
    <row r="314" spans="1:2">
      <c r="A314" s="151" t="s">
        <v>1162</v>
      </c>
      <c r="B314" s="151" t="s">
        <v>1163</v>
      </c>
    </row>
    <row r="315" spans="1:2">
      <c r="A315" s="151" t="s">
        <v>1164</v>
      </c>
      <c r="B315" s="151" t="s">
        <v>1165</v>
      </c>
    </row>
    <row r="316" spans="1:2">
      <c r="A316" s="151" t="s">
        <v>1166</v>
      </c>
      <c r="B316" s="151" t="s">
        <v>1167</v>
      </c>
    </row>
    <row r="317" spans="1:2">
      <c r="A317" s="151" t="s">
        <v>1168</v>
      </c>
      <c r="B317" s="151" t="s">
        <v>1169</v>
      </c>
    </row>
    <row r="318" spans="1:2">
      <c r="A318" s="151" t="s">
        <v>1170</v>
      </c>
      <c r="B318" s="151" t="s">
        <v>1171</v>
      </c>
    </row>
    <row r="319" spans="1:2">
      <c r="A319" s="151" t="s">
        <v>1172</v>
      </c>
      <c r="B319" s="151" t="s">
        <v>1173</v>
      </c>
    </row>
    <row r="320" spans="1:2">
      <c r="A320" s="151" t="s">
        <v>1174</v>
      </c>
      <c r="B320" s="151" t="s">
        <v>1175</v>
      </c>
    </row>
    <row r="321" spans="1:2">
      <c r="A321" s="151" t="s">
        <v>1176</v>
      </c>
      <c r="B321" s="151" t="s">
        <v>1177</v>
      </c>
    </row>
    <row r="322" spans="1:2">
      <c r="A322" s="151" t="s">
        <v>1178</v>
      </c>
      <c r="B322" s="151" t="s">
        <v>1179</v>
      </c>
    </row>
    <row r="323" spans="1:2">
      <c r="A323" s="151" t="s">
        <v>1180</v>
      </c>
      <c r="B323" s="151" t="s">
        <v>1181</v>
      </c>
    </row>
    <row r="324" spans="1:2">
      <c r="A324" s="151" t="s">
        <v>1182</v>
      </c>
      <c r="B324" s="151" t="s">
        <v>1183</v>
      </c>
    </row>
    <row r="325" spans="1:2">
      <c r="A325" s="151" t="s">
        <v>1184</v>
      </c>
      <c r="B325" s="151" t="s">
        <v>1185</v>
      </c>
    </row>
    <row r="326" spans="1:2">
      <c r="A326" s="151" t="s">
        <v>1186</v>
      </c>
      <c r="B326" s="151" t="s">
        <v>1187</v>
      </c>
    </row>
    <row r="327" spans="1:2">
      <c r="A327" s="151" t="s">
        <v>1188</v>
      </c>
      <c r="B327" s="151" t="s">
        <v>1189</v>
      </c>
    </row>
    <row r="328" spans="1:2">
      <c r="A328" s="151" t="s">
        <v>1190</v>
      </c>
      <c r="B328" s="151" t="s">
        <v>1191</v>
      </c>
    </row>
    <row r="329" spans="1:2">
      <c r="A329" s="151" t="s">
        <v>1192</v>
      </c>
      <c r="B329" s="151" t="s">
        <v>1193</v>
      </c>
    </row>
    <row r="330" spans="1:2">
      <c r="A330" s="151" t="s">
        <v>1194</v>
      </c>
      <c r="B330" s="151" t="s">
        <v>1195</v>
      </c>
    </row>
    <row r="331" spans="1:2">
      <c r="A331" s="151" t="s">
        <v>1196</v>
      </c>
      <c r="B331" s="151" t="s">
        <v>1197</v>
      </c>
    </row>
    <row r="332" spans="1:2">
      <c r="A332" s="151" t="s">
        <v>1198</v>
      </c>
      <c r="B332" s="151" t="s">
        <v>1199</v>
      </c>
    </row>
    <row r="333" spans="1:2">
      <c r="A333" s="151" t="s">
        <v>1200</v>
      </c>
      <c r="B333" s="151" t="s">
        <v>1201</v>
      </c>
    </row>
    <row r="334" spans="1:2">
      <c r="A334" s="151" t="s">
        <v>1202</v>
      </c>
      <c r="B334" s="151" t="s">
        <v>1203</v>
      </c>
    </row>
    <row r="335" spans="1:2">
      <c r="A335" s="151" t="s">
        <v>1204</v>
      </c>
      <c r="B335" s="151" t="s">
        <v>1205</v>
      </c>
    </row>
    <row r="336" spans="1:2">
      <c r="A336" s="151" t="s">
        <v>1206</v>
      </c>
      <c r="B336" s="151" t="s">
        <v>1207</v>
      </c>
    </row>
    <row r="337" spans="1:2">
      <c r="A337" s="151" t="s">
        <v>1208</v>
      </c>
      <c r="B337" s="151" t="s">
        <v>1209</v>
      </c>
    </row>
    <row r="338" spans="1:2">
      <c r="A338" s="151" t="s">
        <v>1210</v>
      </c>
      <c r="B338" s="151" t="s">
        <v>1211</v>
      </c>
    </row>
    <row r="339" spans="1:2">
      <c r="A339" s="151" t="s">
        <v>1212</v>
      </c>
      <c r="B339" s="151" t="s">
        <v>1213</v>
      </c>
    </row>
    <row r="340" spans="1:2">
      <c r="A340" s="151" t="s">
        <v>1214</v>
      </c>
      <c r="B340" s="151" t="s">
        <v>1215</v>
      </c>
    </row>
    <row r="341" spans="1:2">
      <c r="A341" s="151" t="s">
        <v>1216</v>
      </c>
      <c r="B341" s="151" t="s">
        <v>1217</v>
      </c>
    </row>
    <row r="342" spans="1:2">
      <c r="A342" s="151" t="s">
        <v>1218</v>
      </c>
      <c r="B342" s="151" t="s">
        <v>1219</v>
      </c>
    </row>
    <row r="343" spans="1:2">
      <c r="A343" s="151" t="s">
        <v>1220</v>
      </c>
      <c r="B343" s="151" t="s">
        <v>1221</v>
      </c>
    </row>
    <row r="344" spans="1:2">
      <c r="A344" s="151" t="s">
        <v>1222</v>
      </c>
      <c r="B344" s="151" t="s">
        <v>1223</v>
      </c>
    </row>
    <row r="345" spans="1:2">
      <c r="A345" s="151" t="s">
        <v>1224</v>
      </c>
      <c r="B345" s="151" t="s">
        <v>1225</v>
      </c>
    </row>
    <row r="346" spans="1:2">
      <c r="A346" s="151" t="s">
        <v>1226</v>
      </c>
      <c r="B346" s="151" t="s">
        <v>1227</v>
      </c>
    </row>
    <row r="347" spans="1:2">
      <c r="A347" s="151" t="s">
        <v>1228</v>
      </c>
      <c r="B347" s="151" t="s">
        <v>1229</v>
      </c>
    </row>
    <row r="348" spans="1:2">
      <c r="A348" s="151" t="s">
        <v>1230</v>
      </c>
      <c r="B348" s="151" t="s">
        <v>1231</v>
      </c>
    </row>
    <row r="349" spans="1:2">
      <c r="A349" s="151" t="s">
        <v>1232</v>
      </c>
      <c r="B349" s="151" t="s">
        <v>1233</v>
      </c>
    </row>
    <row r="350" spans="1:2">
      <c r="A350" s="151" t="s">
        <v>1234</v>
      </c>
      <c r="B350" s="151" t="s">
        <v>1235</v>
      </c>
    </row>
    <row r="351" spans="1:2">
      <c r="A351" s="151" t="s">
        <v>1236</v>
      </c>
      <c r="B351" s="151" t="s">
        <v>1237</v>
      </c>
    </row>
    <row r="352" spans="1:2">
      <c r="A352" s="151" t="s">
        <v>1238</v>
      </c>
      <c r="B352" s="151" t="s">
        <v>1239</v>
      </c>
    </row>
    <row r="353" spans="1:2">
      <c r="A353" s="151" t="s">
        <v>1240</v>
      </c>
      <c r="B353" s="151" t="s">
        <v>1241</v>
      </c>
    </row>
    <row r="354" spans="1:2">
      <c r="A354" s="151" t="s">
        <v>1242</v>
      </c>
      <c r="B354" s="151" t="s">
        <v>1243</v>
      </c>
    </row>
    <row r="355" spans="1:2">
      <c r="A355" s="151" t="s">
        <v>1244</v>
      </c>
      <c r="B355" s="151" t="s">
        <v>1245</v>
      </c>
    </row>
    <row r="356" spans="1:2">
      <c r="A356" s="151" t="s">
        <v>1246</v>
      </c>
      <c r="B356" s="151" t="s">
        <v>1247</v>
      </c>
    </row>
    <row r="357" spans="1:2">
      <c r="A357" s="151" t="s">
        <v>1248</v>
      </c>
      <c r="B357" s="151" t="s">
        <v>1249</v>
      </c>
    </row>
    <row r="358" spans="1:2">
      <c r="A358" s="151" t="s">
        <v>1250</v>
      </c>
      <c r="B358" s="151" t="s">
        <v>1251</v>
      </c>
    </row>
    <row r="359" spans="1:2">
      <c r="A359" s="151" t="s">
        <v>1252</v>
      </c>
      <c r="B359" s="151" t="s">
        <v>1253</v>
      </c>
    </row>
    <row r="360" spans="1:2">
      <c r="A360" s="151" t="s">
        <v>1254</v>
      </c>
      <c r="B360" s="151" t="s">
        <v>1255</v>
      </c>
    </row>
    <row r="361" spans="1:2">
      <c r="A361" s="151" t="s">
        <v>1256</v>
      </c>
      <c r="B361" s="151" t="s">
        <v>1257</v>
      </c>
    </row>
    <row r="362" spans="1:2">
      <c r="A362" s="151" t="s">
        <v>1258</v>
      </c>
      <c r="B362" s="151" t="s">
        <v>1259</v>
      </c>
    </row>
    <row r="363" spans="1:2">
      <c r="A363" s="151" t="s">
        <v>1260</v>
      </c>
      <c r="B363" s="151" t="s">
        <v>1261</v>
      </c>
    </row>
    <row r="364" spans="1:2">
      <c r="A364" s="151" t="s">
        <v>1262</v>
      </c>
      <c r="B364" s="151" t="s">
        <v>1263</v>
      </c>
    </row>
    <row r="365" spans="1:2">
      <c r="A365" s="151" t="s">
        <v>1264</v>
      </c>
      <c r="B365" s="151" t="s">
        <v>1265</v>
      </c>
    </row>
    <row r="366" spans="1:2">
      <c r="A366" s="151" t="s">
        <v>1266</v>
      </c>
      <c r="B366" s="151" t="s">
        <v>1267</v>
      </c>
    </row>
    <row r="367" spans="1:2">
      <c r="A367" s="151" t="s">
        <v>1268</v>
      </c>
      <c r="B367" s="151" t="s">
        <v>1269</v>
      </c>
    </row>
    <row r="368" spans="1:2">
      <c r="A368" s="151" t="s">
        <v>1270</v>
      </c>
      <c r="B368" s="151" t="s">
        <v>1271</v>
      </c>
    </row>
    <row r="369" spans="1:2">
      <c r="A369" s="151" t="s">
        <v>1272</v>
      </c>
      <c r="B369" s="151" t="s">
        <v>1273</v>
      </c>
    </row>
    <row r="370" spans="1:2">
      <c r="A370" s="151" t="s">
        <v>1274</v>
      </c>
      <c r="B370" s="151" t="s">
        <v>1275</v>
      </c>
    </row>
    <row r="371" spans="1:2">
      <c r="A371" s="151" t="s">
        <v>1276</v>
      </c>
      <c r="B371" s="151" t="s">
        <v>1277</v>
      </c>
    </row>
    <row r="372" spans="1:2">
      <c r="A372" s="151" t="s">
        <v>1278</v>
      </c>
      <c r="B372" s="151" t="s">
        <v>1279</v>
      </c>
    </row>
    <row r="373" spans="1:2">
      <c r="A373" s="151" t="s">
        <v>1280</v>
      </c>
      <c r="B373" s="151" t="s">
        <v>1281</v>
      </c>
    </row>
    <row r="374" spans="1:2">
      <c r="A374" s="151" t="s">
        <v>1282</v>
      </c>
      <c r="B374" s="151" t="s">
        <v>1283</v>
      </c>
    </row>
    <row r="375" spans="1:2">
      <c r="A375" s="151" t="s">
        <v>1284</v>
      </c>
      <c r="B375" s="151" t="s">
        <v>1285</v>
      </c>
    </row>
    <row r="376" spans="1:2">
      <c r="A376" s="151" t="s">
        <v>1286</v>
      </c>
      <c r="B376" s="151" t="s">
        <v>1287</v>
      </c>
    </row>
    <row r="377" spans="1:2">
      <c r="A377" s="151" t="s">
        <v>1288</v>
      </c>
      <c r="B377" s="151" t="s">
        <v>1289</v>
      </c>
    </row>
    <row r="378" spans="1:2">
      <c r="A378" s="151" t="s">
        <v>1290</v>
      </c>
      <c r="B378" s="151" t="s">
        <v>1291</v>
      </c>
    </row>
    <row r="379" spans="1:2">
      <c r="A379" s="151" t="s">
        <v>1292</v>
      </c>
      <c r="B379" s="151" t="s">
        <v>1293</v>
      </c>
    </row>
    <row r="380" spans="1:2">
      <c r="A380" s="151" t="s">
        <v>1294</v>
      </c>
      <c r="B380" s="151" t="s">
        <v>1295</v>
      </c>
    </row>
    <row r="381" spans="1:2">
      <c r="A381" s="151" t="s">
        <v>1296</v>
      </c>
      <c r="B381" s="151" t="s">
        <v>1297</v>
      </c>
    </row>
    <row r="382" spans="1:2">
      <c r="A382" s="151" t="s">
        <v>1298</v>
      </c>
      <c r="B382" s="151" t="s">
        <v>1299</v>
      </c>
    </row>
    <row r="383" spans="1:2">
      <c r="A383" s="151" t="s">
        <v>1300</v>
      </c>
      <c r="B383" s="151" t="s">
        <v>1301</v>
      </c>
    </row>
    <row r="384" spans="1:2">
      <c r="A384" s="151" t="s">
        <v>1302</v>
      </c>
      <c r="B384" s="151" t="s">
        <v>1303</v>
      </c>
    </row>
    <row r="385" spans="1:2">
      <c r="A385" s="151" t="s">
        <v>1304</v>
      </c>
      <c r="B385" s="151" t="s">
        <v>1305</v>
      </c>
    </row>
    <row r="386" spans="1:2">
      <c r="A386" s="151" t="s">
        <v>1306</v>
      </c>
      <c r="B386" s="151" t="s">
        <v>1307</v>
      </c>
    </row>
    <row r="387" spans="1:2">
      <c r="A387" s="151" t="s">
        <v>1308</v>
      </c>
      <c r="B387" s="151" t="s">
        <v>1309</v>
      </c>
    </row>
    <row r="388" spans="1:2">
      <c r="A388" s="151" t="s">
        <v>1310</v>
      </c>
      <c r="B388" s="151" t="s">
        <v>1311</v>
      </c>
    </row>
    <row r="389" spans="1:2">
      <c r="A389" s="151" t="s">
        <v>1312</v>
      </c>
      <c r="B389" s="151" t="s">
        <v>1313</v>
      </c>
    </row>
    <row r="390" spans="1:2">
      <c r="A390" s="151" t="s">
        <v>1314</v>
      </c>
      <c r="B390" s="151" t="s">
        <v>1315</v>
      </c>
    </row>
    <row r="391" spans="1:2">
      <c r="A391" s="151" t="s">
        <v>1316</v>
      </c>
      <c r="B391" s="151" t="s">
        <v>1317</v>
      </c>
    </row>
    <row r="392" spans="1:2">
      <c r="A392" s="151" t="s">
        <v>1318</v>
      </c>
      <c r="B392" s="151" t="s">
        <v>1319</v>
      </c>
    </row>
    <row r="393" spans="1:2">
      <c r="A393" s="151" t="s">
        <v>1320</v>
      </c>
      <c r="B393" s="151" t="s">
        <v>1321</v>
      </c>
    </row>
    <row r="394" spans="1:2">
      <c r="A394" s="151" t="s">
        <v>1322</v>
      </c>
      <c r="B394" s="151" t="s">
        <v>1323</v>
      </c>
    </row>
    <row r="395" spans="1:2">
      <c r="A395" s="151" t="s">
        <v>1324</v>
      </c>
      <c r="B395" s="151" t="s">
        <v>1325</v>
      </c>
    </row>
    <row r="396" spans="1:2">
      <c r="A396" s="151" t="s">
        <v>1326</v>
      </c>
      <c r="B396" s="151" t="s">
        <v>1327</v>
      </c>
    </row>
    <row r="397" spans="1:2">
      <c r="A397" s="151" t="s">
        <v>1328</v>
      </c>
      <c r="B397" s="151" t="s">
        <v>1329</v>
      </c>
    </row>
    <row r="398" spans="1:2">
      <c r="A398" s="151" t="s">
        <v>1330</v>
      </c>
      <c r="B398" s="151" t="s">
        <v>1331</v>
      </c>
    </row>
    <row r="399" spans="1:2">
      <c r="A399" s="151" t="s">
        <v>1332</v>
      </c>
      <c r="B399" s="151" t="s">
        <v>1333</v>
      </c>
    </row>
    <row r="400" spans="1:2">
      <c r="A400" s="151" t="s">
        <v>1334</v>
      </c>
      <c r="B400" s="151" t="s">
        <v>1335</v>
      </c>
    </row>
    <row r="401" spans="1:2">
      <c r="A401" s="151" t="s">
        <v>1336</v>
      </c>
      <c r="B401" s="151" t="s">
        <v>1337</v>
      </c>
    </row>
    <row r="402" spans="1:2">
      <c r="A402" s="151" t="s">
        <v>1338</v>
      </c>
      <c r="B402" s="151" t="s">
        <v>1339</v>
      </c>
    </row>
    <row r="403" spans="1:2">
      <c r="A403" s="151" t="s">
        <v>1340</v>
      </c>
      <c r="B403" s="151" t="s">
        <v>1341</v>
      </c>
    </row>
    <row r="404" spans="1:2">
      <c r="A404" s="151" t="s">
        <v>1342</v>
      </c>
      <c r="B404" s="151" t="s">
        <v>1343</v>
      </c>
    </row>
    <row r="405" spans="1:2">
      <c r="A405" s="151" t="s">
        <v>1344</v>
      </c>
      <c r="B405" s="151" t="s">
        <v>1345</v>
      </c>
    </row>
    <row r="406" spans="1:2">
      <c r="A406" s="151" t="s">
        <v>1346</v>
      </c>
      <c r="B406" s="151" t="s">
        <v>1347</v>
      </c>
    </row>
    <row r="407" spans="1:2">
      <c r="A407" s="151" t="s">
        <v>1348</v>
      </c>
      <c r="B407" s="151" t="s">
        <v>1349</v>
      </c>
    </row>
    <row r="408" spans="1:2">
      <c r="A408" s="151" t="s">
        <v>1350</v>
      </c>
      <c r="B408" s="151" t="s">
        <v>1351</v>
      </c>
    </row>
    <row r="409" spans="1:2">
      <c r="A409" s="151" t="s">
        <v>1352</v>
      </c>
      <c r="B409" s="151" t="s">
        <v>1353</v>
      </c>
    </row>
    <row r="410" spans="1:2">
      <c r="A410" s="151" t="s">
        <v>1354</v>
      </c>
      <c r="B410" s="151" t="s">
        <v>1355</v>
      </c>
    </row>
    <row r="411" spans="1:2">
      <c r="A411" s="151" t="s">
        <v>1356</v>
      </c>
      <c r="B411" s="151" t="s">
        <v>1357</v>
      </c>
    </row>
    <row r="412" spans="1:2">
      <c r="A412" s="151" t="s">
        <v>1358</v>
      </c>
      <c r="B412" s="151" t="s">
        <v>1359</v>
      </c>
    </row>
    <row r="413" spans="1:2">
      <c r="A413" s="151" t="s">
        <v>1360</v>
      </c>
      <c r="B413" s="151" t="s">
        <v>1361</v>
      </c>
    </row>
    <row r="414" spans="1:2">
      <c r="A414" s="151" t="s">
        <v>1362</v>
      </c>
      <c r="B414" s="151" t="s">
        <v>1363</v>
      </c>
    </row>
    <row r="415" spans="1:2">
      <c r="A415" s="151" t="s">
        <v>1364</v>
      </c>
      <c r="B415" s="151" t="s">
        <v>1365</v>
      </c>
    </row>
    <row r="416" spans="1:2">
      <c r="A416" s="151" t="s">
        <v>1366</v>
      </c>
      <c r="B416" s="151" t="s">
        <v>1367</v>
      </c>
    </row>
    <row r="417" spans="1:2">
      <c r="A417" s="151" t="s">
        <v>1368</v>
      </c>
      <c r="B417" s="151" t="s">
        <v>1369</v>
      </c>
    </row>
    <row r="418" spans="1:2">
      <c r="A418" s="151" t="s">
        <v>1370</v>
      </c>
      <c r="B418" s="151" t="s">
        <v>1371</v>
      </c>
    </row>
    <row r="419" spans="1:2">
      <c r="A419" s="151" t="s">
        <v>1372</v>
      </c>
      <c r="B419" s="151" t="s">
        <v>1373</v>
      </c>
    </row>
    <row r="420" spans="1:2">
      <c r="A420" s="151" t="s">
        <v>1374</v>
      </c>
      <c r="B420" s="151" t="s">
        <v>1375</v>
      </c>
    </row>
    <row r="421" spans="1:2">
      <c r="A421" s="151" t="s">
        <v>1376</v>
      </c>
      <c r="B421" s="151" t="s">
        <v>1377</v>
      </c>
    </row>
    <row r="422" spans="1:2">
      <c r="A422" s="151" t="s">
        <v>1378</v>
      </c>
      <c r="B422" s="151" t="s">
        <v>1379</v>
      </c>
    </row>
    <row r="423" spans="1:2">
      <c r="A423" s="151" t="s">
        <v>1380</v>
      </c>
      <c r="B423" s="151" t="s">
        <v>1381</v>
      </c>
    </row>
    <row r="424" spans="1:2">
      <c r="A424" s="151" t="s">
        <v>1382</v>
      </c>
      <c r="B424" s="151" t="s">
        <v>1383</v>
      </c>
    </row>
    <row r="425" spans="1:2">
      <c r="A425" s="151" t="s">
        <v>1384</v>
      </c>
      <c r="B425" s="151" t="s">
        <v>1385</v>
      </c>
    </row>
    <row r="426" spans="1:2">
      <c r="A426" s="151" t="s">
        <v>1386</v>
      </c>
      <c r="B426" s="151" t="s">
        <v>1387</v>
      </c>
    </row>
    <row r="427" spans="1:2">
      <c r="A427" s="151" t="s">
        <v>1388</v>
      </c>
      <c r="B427" s="151" t="s">
        <v>1389</v>
      </c>
    </row>
    <row r="428" spans="1:2">
      <c r="A428" s="151" t="s">
        <v>1390</v>
      </c>
      <c r="B428" s="151" t="s">
        <v>1391</v>
      </c>
    </row>
    <row r="429" spans="1:2">
      <c r="A429" s="151" t="s">
        <v>1392</v>
      </c>
      <c r="B429" s="151" t="s">
        <v>1393</v>
      </c>
    </row>
    <row r="430" spans="1:2">
      <c r="A430" s="151" t="s">
        <v>1394</v>
      </c>
      <c r="B430" s="151" t="s">
        <v>1395</v>
      </c>
    </row>
    <row r="431" spans="1:2">
      <c r="A431" s="151" t="s">
        <v>1396</v>
      </c>
      <c r="B431" s="151" t="s">
        <v>1397</v>
      </c>
    </row>
    <row r="432" spans="1:2">
      <c r="A432" s="151" t="s">
        <v>1398</v>
      </c>
      <c r="B432" s="151" t="s">
        <v>1399</v>
      </c>
    </row>
    <row r="433" spans="1:2">
      <c r="A433" s="151" t="s">
        <v>1400</v>
      </c>
      <c r="B433" s="151" t="s">
        <v>1401</v>
      </c>
    </row>
    <row r="434" spans="1:2">
      <c r="A434" s="151" t="s">
        <v>1402</v>
      </c>
      <c r="B434" s="151" t="s">
        <v>1403</v>
      </c>
    </row>
    <row r="435" spans="1:2">
      <c r="A435" s="151" t="s">
        <v>1404</v>
      </c>
      <c r="B435" s="151" t="s">
        <v>1405</v>
      </c>
    </row>
    <row r="436" spans="1:2">
      <c r="A436" s="151" t="s">
        <v>1406</v>
      </c>
      <c r="B436" s="151" t="s">
        <v>1407</v>
      </c>
    </row>
    <row r="437" spans="1:2">
      <c r="A437" s="151" t="s">
        <v>1408</v>
      </c>
      <c r="B437" s="151" t="s">
        <v>1409</v>
      </c>
    </row>
    <row r="438" spans="1:2">
      <c r="A438" s="151" t="s">
        <v>1410</v>
      </c>
      <c r="B438" s="151" t="s">
        <v>1411</v>
      </c>
    </row>
    <row r="439" spans="1:2">
      <c r="A439" s="151" t="s">
        <v>1412</v>
      </c>
      <c r="B439" s="151" t="s">
        <v>1413</v>
      </c>
    </row>
    <row r="440" spans="1:2">
      <c r="A440" s="151" t="s">
        <v>1414</v>
      </c>
      <c r="B440" s="151" t="s">
        <v>1415</v>
      </c>
    </row>
    <row r="441" spans="1:2">
      <c r="A441" s="151" t="s">
        <v>1416</v>
      </c>
      <c r="B441" s="151" t="s">
        <v>1417</v>
      </c>
    </row>
    <row r="442" spans="1:2">
      <c r="A442" s="151" t="s">
        <v>1418</v>
      </c>
      <c r="B442" s="151" t="s">
        <v>1419</v>
      </c>
    </row>
    <row r="443" spans="1:2">
      <c r="A443" s="151" t="s">
        <v>1420</v>
      </c>
      <c r="B443" s="151" t="s">
        <v>1421</v>
      </c>
    </row>
    <row r="444" spans="1:2">
      <c r="A444" s="151" t="s">
        <v>1422</v>
      </c>
      <c r="B444" s="151" t="s">
        <v>1423</v>
      </c>
    </row>
    <row r="445" spans="1:2">
      <c r="A445" s="151" t="s">
        <v>1424</v>
      </c>
      <c r="B445" s="151" t="s">
        <v>1425</v>
      </c>
    </row>
    <row r="446" spans="1:2">
      <c r="A446" s="151" t="s">
        <v>1426</v>
      </c>
      <c r="B446" s="151" t="s">
        <v>1427</v>
      </c>
    </row>
    <row r="447" spans="1:2">
      <c r="A447" s="151" t="s">
        <v>1428</v>
      </c>
      <c r="B447" s="151" t="s">
        <v>1429</v>
      </c>
    </row>
    <row r="448" spans="1:2">
      <c r="A448" s="151" t="s">
        <v>1430</v>
      </c>
      <c r="B448" s="151" t="s">
        <v>1431</v>
      </c>
    </row>
    <row r="449" spans="1:2">
      <c r="A449" s="151" t="s">
        <v>1432</v>
      </c>
      <c r="B449" s="151" t="s">
        <v>1433</v>
      </c>
    </row>
    <row r="450" spans="1:2">
      <c r="A450" s="151" t="s">
        <v>1434</v>
      </c>
      <c r="B450" s="151" t="s">
        <v>1435</v>
      </c>
    </row>
    <row r="451" spans="1:2">
      <c r="A451" s="151" t="s">
        <v>1436</v>
      </c>
      <c r="B451" s="151" t="s">
        <v>1437</v>
      </c>
    </row>
    <row r="452" spans="1:2">
      <c r="A452" s="151" t="s">
        <v>1438</v>
      </c>
      <c r="B452" s="151" t="s">
        <v>1439</v>
      </c>
    </row>
    <row r="453" spans="1:2">
      <c r="A453" s="151" t="s">
        <v>1440</v>
      </c>
      <c r="B453" s="151" t="s">
        <v>1441</v>
      </c>
    </row>
    <row r="454" spans="1:2">
      <c r="A454" s="151" t="s">
        <v>1442</v>
      </c>
      <c r="B454" s="151" t="s">
        <v>1443</v>
      </c>
    </row>
    <row r="455" spans="1:2">
      <c r="A455" s="151" t="s">
        <v>1444</v>
      </c>
      <c r="B455" s="151" t="s">
        <v>1445</v>
      </c>
    </row>
    <row r="456" spans="1:2">
      <c r="A456" s="151" t="s">
        <v>1446</v>
      </c>
      <c r="B456" s="151" t="s">
        <v>1447</v>
      </c>
    </row>
    <row r="457" spans="1:2">
      <c r="A457" s="151" t="s">
        <v>1448</v>
      </c>
      <c r="B457" s="151" t="s">
        <v>1449</v>
      </c>
    </row>
    <row r="458" spans="1:2">
      <c r="A458" s="151" t="s">
        <v>1450</v>
      </c>
      <c r="B458" s="151" t="s">
        <v>1451</v>
      </c>
    </row>
    <row r="459" spans="1:2">
      <c r="A459" s="151" t="s">
        <v>1452</v>
      </c>
      <c r="B459" s="151" t="s">
        <v>1453</v>
      </c>
    </row>
    <row r="460" spans="1:2">
      <c r="A460" s="151" t="s">
        <v>1454</v>
      </c>
      <c r="B460" s="151" t="s">
        <v>1455</v>
      </c>
    </row>
    <row r="461" spans="1:2">
      <c r="A461" s="151" t="s">
        <v>1456</v>
      </c>
      <c r="B461" s="151" t="s">
        <v>1457</v>
      </c>
    </row>
    <row r="462" spans="1:2">
      <c r="A462" s="151" t="s">
        <v>1458</v>
      </c>
      <c r="B462" s="151" t="s">
        <v>1459</v>
      </c>
    </row>
    <row r="463" spans="1:2">
      <c r="A463" s="151" t="s">
        <v>1460</v>
      </c>
      <c r="B463" s="151" t="s">
        <v>1461</v>
      </c>
    </row>
    <row r="464" spans="1:2">
      <c r="A464" s="151" t="s">
        <v>1462</v>
      </c>
      <c r="B464" s="151" t="s">
        <v>1463</v>
      </c>
    </row>
    <row r="465" spans="1:2">
      <c r="A465" s="151" t="s">
        <v>1464</v>
      </c>
      <c r="B465" s="151" t="s">
        <v>1465</v>
      </c>
    </row>
    <row r="466" spans="1:2">
      <c r="A466" s="151" t="s">
        <v>1466</v>
      </c>
      <c r="B466" s="151" t="s">
        <v>1467</v>
      </c>
    </row>
    <row r="467" spans="1:2">
      <c r="A467" s="151" t="s">
        <v>1468</v>
      </c>
      <c r="B467" s="151" t="s">
        <v>1469</v>
      </c>
    </row>
    <row r="468" spans="1:2">
      <c r="A468" s="151" t="s">
        <v>1470</v>
      </c>
      <c r="B468" s="151" t="s">
        <v>1471</v>
      </c>
    </row>
    <row r="469" spans="1:2">
      <c r="A469" s="151" t="s">
        <v>1472</v>
      </c>
      <c r="B469" s="151" t="s">
        <v>1473</v>
      </c>
    </row>
    <row r="470" spans="1:2">
      <c r="A470" s="151" t="s">
        <v>1474</v>
      </c>
      <c r="B470" s="151" t="s">
        <v>1475</v>
      </c>
    </row>
    <row r="471" spans="1:2">
      <c r="A471" s="151" t="s">
        <v>1476</v>
      </c>
      <c r="B471" s="151" t="s">
        <v>1477</v>
      </c>
    </row>
    <row r="472" spans="1:2">
      <c r="A472" s="151" t="s">
        <v>1478</v>
      </c>
      <c r="B472" s="151" t="s">
        <v>1479</v>
      </c>
    </row>
    <row r="473" spans="1:2">
      <c r="A473" s="151" t="s">
        <v>1480</v>
      </c>
      <c r="B473" s="151" t="s">
        <v>1481</v>
      </c>
    </row>
    <row r="474" spans="1:2">
      <c r="A474" s="151" t="s">
        <v>1482</v>
      </c>
      <c r="B474" s="151" t="s">
        <v>1483</v>
      </c>
    </row>
    <row r="475" spans="1:2">
      <c r="A475" s="151" t="s">
        <v>1484</v>
      </c>
      <c r="B475" s="151" t="s">
        <v>1485</v>
      </c>
    </row>
    <row r="476" spans="1:2">
      <c r="A476" s="151" t="s">
        <v>1486</v>
      </c>
      <c r="B476" s="151" t="s">
        <v>1487</v>
      </c>
    </row>
    <row r="477" spans="1:2">
      <c r="A477" s="151" t="s">
        <v>1488</v>
      </c>
      <c r="B477" s="151" t="s">
        <v>1489</v>
      </c>
    </row>
    <row r="478" spans="1:2">
      <c r="A478" s="151" t="s">
        <v>1490</v>
      </c>
      <c r="B478" s="151" t="s">
        <v>1491</v>
      </c>
    </row>
    <row r="479" spans="1:2">
      <c r="A479" s="151" t="s">
        <v>1492</v>
      </c>
      <c r="B479" s="151" t="s">
        <v>1493</v>
      </c>
    </row>
    <row r="480" spans="1:2">
      <c r="A480" s="151" t="s">
        <v>1494</v>
      </c>
      <c r="B480" s="151" t="s">
        <v>1495</v>
      </c>
    </row>
    <row r="481" spans="1:2">
      <c r="A481" s="151" t="s">
        <v>1496</v>
      </c>
      <c r="B481" s="151" t="s">
        <v>1497</v>
      </c>
    </row>
    <row r="482" spans="1:2">
      <c r="A482" s="151" t="s">
        <v>1498</v>
      </c>
      <c r="B482" s="151" t="s">
        <v>1499</v>
      </c>
    </row>
    <row r="483" spans="1:2">
      <c r="A483" s="151" t="s">
        <v>1500</v>
      </c>
      <c r="B483" s="151" t="s">
        <v>1501</v>
      </c>
    </row>
    <row r="484" spans="1:2">
      <c r="A484" s="151" t="s">
        <v>1502</v>
      </c>
      <c r="B484" s="151" t="s">
        <v>1503</v>
      </c>
    </row>
    <row r="485" spans="1:2">
      <c r="A485" s="151" t="s">
        <v>1504</v>
      </c>
      <c r="B485" s="151" t="s">
        <v>1505</v>
      </c>
    </row>
    <row r="486" spans="1:2">
      <c r="A486" s="151" t="s">
        <v>1506</v>
      </c>
      <c r="B486" s="151" t="s">
        <v>1507</v>
      </c>
    </row>
    <row r="487" spans="1:2">
      <c r="A487" s="151" t="s">
        <v>1508</v>
      </c>
      <c r="B487" s="151" t="s">
        <v>1509</v>
      </c>
    </row>
    <row r="488" spans="1:2">
      <c r="A488" s="151" t="s">
        <v>1510</v>
      </c>
      <c r="B488" s="151" t="s">
        <v>1511</v>
      </c>
    </row>
    <row r="489" spans="1:2">
      <c r="A489" s="151" t="s">
        <v>1512</v>
      </c>
      <c r="B489" s="151" t="s">
        <v>1513</v>
      </c>
    </row>
    <row r="490" spans="1:2">
      <c r="A490" s="151" t="s">
        <v>1514</v>
      </c>
      <c r="B490" s="151" t="s">
        <v>1515</v>
      </c>
    </row>
    <row r="491" spans="1:2">
      <c r="A491" s="151" t="s">
        <v>1516</v>
      </c>
      <c r="B491" s="151" t="s">
        <v>1517</v>
      </c>
    </row>
    <row r="492" spans="1:2">
      <c r="A492" s="151" t="s">
        <v>1518</v>
      </c>
      <c r="B492" s="151" t="s">
        <v>1519</v>
      </c>
    </row>
    <row r="493" spans="1:2">
      <c r="A493" s="151" t="s">
        <v>1520</v>
      </c>
      <c r="B493" s="151" t="s">
        <v>1521</v>
      </c>
    </row>
    <row r="494" spans="1:2">
      <c r="A494" s="151" t="s">
        <v>1522</v>
      </c>
      <c r="B494" s="151" t="s">
        <v>1523</v>
      </c>
    </row>
    <row r="495" spans="1:2">
      <c r="A495" s="151" t="s">
        <v>1524</v>
      </c>
      <c r="B495" s="151" t="s">
        <v>1525</v>
      </c>
    </row>
    <row r="496" spans="1:2">
      <c r="A496" s="151" t="s">
        <v>1526</v>
      </c>
      <c r="B496" s="151" t="s">
        <v>1527</v>
      </c>
    </row>
    <row r="497" spans="1:2">
      <c r="A497" s="151" t="s">
        <v>1528</v>
      </c>
      <c r="B497" s="151" t="s">
        <v>1529</v>
      </c>
    </row>
    <row r="498" spans="1:2">
      <c r="A498" s="151" t="s">
        <v>1530</v>
      </c>
      <c r="B498" s="151" t="s">
        <v>1531</v>
      </c>
    </row>
    <row r="499" spans="1:2">
      <c r="A499" s="151" t="s">
        <v>1532</v>
      </c>
      <c r="B499" s="151" t="s">
        <v>1533</v>
      </c>
    </row>
    <row r="500" spans="1:2">
      <c r="A500" s="151" t="s">
        <v>1534</v>
      </c>
      <c r="B500" s="151" t="s">
        <v>1535</v>
      </c>
    </row>
    <row r="501" spans="1:2">
      <c r="A501" s="151" t="s">
        <v>1536</v>
      </c>
      <c r="B501" s="151" t="s">
        <v>284</v>
      </c>
    </row>
    <row r="502" spans="1:2">
      <c r="A502" s="151" t="s">
        <v>1537</v>
      </c>
      <c r="B502" s="151" t="s">
        <v>1538</v>
      </c>
    </row>
    <row r="503" spans="1:2">
      <c r="A503" s="151" t="s">
        <v>1539</v>
      </c>
      <c r="B503" s="151" t="s">
        <v>1540</v>
      </c>
    </row>
    <row r="504" spans="1:2">
      <c r="A504" s="151" t="s">
        <v>1541</v>
      </c>
      <c r="B504" s="151" t="s">
        <v>1542</v>
      </c>
    </row>
    <row r="505" spans="1:2">
      <c r="A505" s="151" t="s">
        <v>1543</v>
      </c>
      <c r="B505" s="151" t="s">
        <v>1544</v>
      </c>
    </row>
    <row r="506" spans="1:2">
      <c r="A506" s="151" t="s">
        <v>1545</v>
      </c>
      <c r="B506" s="151" t="s">
        <v>1546</v>
      </c>
    </row>
    <row r="507" spans="1:2">
      <c r="A507" s="151" t="s">
        <v>1547</v>
      </c>
      <c r="B507" s="151" t="s">
        <v>1548</v>
      </c>
    </row>
    <row r="508" spans="1:2">
      <c r="A508" s="151" t="s">
        <v>1549</v>
      </c>
      <c r="B508" s="151" t="s">
        <v>1550</v>
      </c>
    </row>
    <row r="509" spans="1:2">
      <c r="A509" s="151" t="s">
        <v>1551</v>
      </c>
      <c r="B509" s="151" t="s">
        <v>1552</v>
      </c>
    </row>
    <row r="510" spans="1:2">
      <c r="A510" s="151" t="s">
        <v>1553</v>
      </c>
      <c r="B510" s="151" t="s">
        <v>1554</v>
      </c>
    </row>
    <row r="511" spans="1:2">
      <c r="A511" s="151" t="s">
        <v>1555</v>
      </c>
      <c r="B511" s="151" t="s">
        <v>1556</v>
      </c>
    </row>
    <row r="512" spans="1:2">
      <c r="A512" s="151" t="s">
        <v>1557</v>
      </c>
      <c r="B512" s="151" t="s">
        <v>1558</v>
      </c>
    </row>
    <row r="513" spans="1:2">
      <c r="A513" s="151" t="s">
        <v>1559</v>
      </c>
      <c r="B513" s="151" t="s">
        <v>1560</v>
      </c>
    </row>
    <row r="514" spans="1:2">
      <c r="A514" s="151" t="s">
        <v>1561</v>
      </c>
      <c r="B514" s="151" t="s">
        <v>1562</v>
      </c>
    </row>
    <row r="515" spans="1:2">
      <c r="A515" s="151" t="s">
        <v>1563</v>
      </c>
      <c r="B515" s="151" t="s">
        <v>1564</v>
      </c>
    </row>
    <row r="516" spans="1:2">
      <c r="A516" s="151" t="s">
        <v>1565</v>
      </c>
      <c r="B516" s="151" t="s">
        <v>1566</v>
      </c>
    </row>
    <row r="517" spans="1:2">
      <c r="A517" s="151" t="s">
        <v>1567</v>
      </c>
      <c r="B517" s="151" t="s">
        <v>1568</v>
      </c>
    </row>
    <row r="518" spans="1:2">
      <c r="A518" s="151" t="s">
        <v>1569</v>
      </c>
      <c r="B518" s="151" t="s">
        <v>1570</v>
      </c>
    </row>
    <row r="519" spans="1:2">
      <c r="A519" s="151" t="s">
        <v>1571</v>
      </c>
      <c r="B519" s="151" t="s">
        <v>1572</v>
      </c>
    </row>
    <row r="520" spans="1:2">
      <c r="A520" s="151" t="s">
        <v>1573</v>
      </c>
      <c r="B520" s="151" t="s">
        <v>1574</v>
      </c>
    </row>
    <row r="521" spans="1:2">
      <c r="A521" s="151" t="s">
        <v>1575</v>
      </c>
      <c r="B521" s="151" t="s">
        <v>1576</v>
      </c>
    </row>
    <row r="522" spans="1:2">
      <c r="A522" s="151" t="s">
        <v>1577</v>
      </c>
      <c r="B522" s="151" t="s">
        <v>1578</v>
      </c>
    </row>
    <row r="523" spans="1:2">
      <c r="A523" s="151" t="s">
        <v>1579</v>
      </c>
      <c r="B523" s="151" t="s">
        <v>1580</v>
      </c>
    </row>
    <row r="524" spans="1:2">
      <c r="A524" s="151" t="s">
        <v>1581</v>
      </c>
      <c r="B524" s="151" t="s">
        <v>1582</v>
      </c>
    </row>
    <row r="525" spans="1:2">
      <c r="A525" s="151" t="s">
        <v>1583</v>
      </c>
      <c r="B525" s="151" t="s">
        <v>1584</v>
      </c>
    </row>
    <row r="526" spans="1:2">
      <c r="A526" s="151" t="s">
        <v>1585</v>
      </c>
      <c r="B526" s="151" t="s">
        <v>1586</v>
      </c>
    </row>
    <row r="527" spans="1:2">
      <c r="A527" s="151" t="s">
        <v>1587</v>
      </c>
      <c r="B527" s="151" t="s">
        <v>1588</v>
      </c>
    </row>
    <row r="528" spans="1:2">
      <c r="A528" s="151" t="s">
        <v>1589</v>
      </c>
      <c r="B528" s="151" t="s">
        <v>1590</v>
      </c>
    </row>
    <row r="529" spans="1:2">
      <c r="A529" s="151" t="s">
        <v>1591</v>
      </c>
      <c r="B529" s="151" t="s">
        <v>1592</v>
      </c>
    </row>
    <row r="530" spans="1:2">
      <c r="A530" s="151" t="s">
        <v>1593</v>
      </c>
      <c r="B530" s="151" t="s">
        <v>1594</v>
      </c>
    </row>
    <row r="531" spans="1:2">
      <c r="A531" s="151" t="s">
        <v>1595</v>
      </c>
      <c r="B531" s="151" t="s">
        <v>1596</v>
      </c>
    </row>
    <row r="532" spans="1:2">
      <c r="A532" s="151" t="s">
        <v>1597</v>
      </c>
      <c r="B532" s="151" t="s">
        <v>1598</v>
      </c>
    </row>
    <row r="533" spans="1:2">
      <c r="A533" s="151" t="s">
        <v>1599</v>
      </c>
      <c r="B533" s="151" t="s">
        <v>1600</v>
      </c>
    </row>
    <row r="534" spans="1:2">
      <c r="A534" s="151" t="s">
        <v>1601</v>
      </c>
      <c r="B534" s="151" t="s">
        <v>1602</v>
      </c>
    </row>
    <row r="535" spans="1:2">
      <c r="A535" s="151" t="s">
        <v>1603</v>
      </c>
      <c r="B535" s="151" t="s">
        <v>1604</v>
      </c>
    </row>
    <row r="536" spans="1:2">
      <c r="A536" s="151" t="s">
        <v>1605</v>
      </c>
      <c r="B536" s="151" t="s">
        <v>1606</v>
      </c>
    </row>
    <row r="537" spans="1:2">
      <c r="A537" s="151" t="s">
        <v>1607</v>
      </c>
      <c r="B537" s="151" t="s">
        <v>1608</v>
      </c>
    </row>
    <row r="538" spans="1:2">
      <c r="A538" s="151" t="s">
        <v>1609</v>
      </c>
      <c r="B538" s="151" t="s">
        <v>1610</v>
      </c>
    </row>
    <row r="539" spans="1:2">
      <c r="A539" s="151" t="s">
        <v>1611</v>
      </c>
      <c r="B539" s="151" t="s">
        <v>1612</v>
      </c>
    </row>
    <row r="540" spans="1:2">
      <c r="A540" s="151" t="s">
        <v>1613</v>
      </c>
      <c r="B540" s="151" t="s">
        <v>1614</v>
      </c>
    </row>
    <row r="541" spans="1:2">
      <c r="A541" s="151" t="s">
        <v>1615</v>
      </c>
      <c r="B541" s="151" t="s">
        <v>1616</v>
      </c>
    </row>
    <row r="542" spans="1:2">
      <c r="A542" s="151" t="s">
        <v>1617</v>
      </c>
      <c r="B542" s="151" t="s">
        <v>1618</v>
      </c>
    </row>
    <row r="543" spans="1:2">
      <c r="A543" s="151" t="s">
        <v>1619</v>
      </c>
      <c r="B543" s="151" t="s">
        <v>1620</v>
      </c>
    </row>
    <row r="544" spans="1:2">
      <c r="A544" s="151" t="s">
        <v>1621</v>
      </c>
      <c r="B544" s="151" t="s">
        <v>1622</v>
      </c>
    </row>
    <row r="545" spans="1:2">
      <c r="A545" s="151" t="s">
        <v>1623</v>
      </c>
      <c r="B545" s="151" t="s">
        <v>1624</v>
      </c>
    </row>
    <row r="546" spans="1:2">
      <c r="A546" s="151" t="s">
        <v>1625</v>
      </c>
      <c r="B546" s="151" t="s">
        <v>1626</v>
      </c>
    </row>
    <row r="547" spans="1:2">
      <c r="A547" s="151" t="s">
        <v>1627</v>
      </c>
      <c r="B547" s="151" t="s">
        <v>1628</v>
      </c>
    </row>
    <row r="548" spans="1:2">
      <c r="A548" s="151" t="s">
        <v>1629</v>
      </c>
      <c r="B548" s="151" t="s">
        <v>1630</v>
      </c>
    </row>
    <row r="549" spans="1:2">
      <c r="A549" s="151" t="s">
        <v>1631</v>
      </c>
      <c r="B549" s="151" t="s">
        <v>1632</v>
      </c>
    </row>
    <row r="550" spans="1:2">
      <c r="A550" s="151" t="s">
        <v>1633</v>
      </c>
      <c r="B550" s="151" t="s">
        <v>1634</v>
      </c>
    </row>
    <row r="551" spans="1:2">
      <c r="A551" s="151" t="s">
        <v>1635</v>
      </c>
      <c r="B551" s="151" t="s">
        <v>1636</v>
      </c>
    </row>
    <row r="552" spans="1:2">
      <c r="A552" s="151" t="s">
        <v>1637</v>
      </c>
      <c r="B552" s="151" t="s">
        <v>1638</v>
      </c>
    </row>
    <row r="553" spans="1:2">
      <c r="A553" s="151" t="s">
        <v>1639</v>
      </c>
      <c r="B553" s="151" t="s">
        <v>1640</v>
      </c>
    </row>
    <row r="554" spans="1:2">
      <c r="A554" s="151" t="s">
        <v>1641</v>
      </c>
      <c r="B554" s="151" t="s">
        <v>1642</v>
      </c>
    </row>
    <row r="555" spans="1:2">
      <c r="A555" s="151" t="s">
        <v>1643</v>
      </c>
      <c r="B555" s="151" t="s">
        <v>1644</v>
      </c>
    </row>
    <row r="556" spans="1:2">
      <c r="A556" s="151" t="s">
        <v>1645</v>
      </c>
      <c r="B556" s="151" t="s">
        <v>1646</v>
      </c>
    </row>
    <row r="557" spans="1:2">
      <c r="A557" s="151" t="s">
        <v>1647</v>
      </c>
      <c r="B557" s="151" t="s">
        <v>1648</v>
      </c>
    </row>
    <row r="558" spans="1:2">
      <c r="A558" s="151" t="s">
        <v>1649</v>
      </c>
      <c r="B558" s="151" t="s">
        <v>1650</v>
      </c>
    </row>
    <row r="559" spans="1:2">
      <c r="A559" s="151" t="s">
        <v>1651</v>
      </c>
      <c r="B559" s="151" t="s">
        <v>1652</v>
      </c>
    </row>
    <row r="560" spans="1:2">
      <c r="A560" s="151" t="s">
        <v>1653</v>
      </c>
      <c r="B560" s="151" t="s">
        <v>1654</v>
      </c>
    </row>
    <row r="561" spans="1:2">
      <c r="A561" s="151" t="s">
        <v>1655</v>
      </c>
      <c r="B561" s="151" t="s">
        <v>1656</v>
      </c>
    </row>
    <row r="562" spans="1:2">
      <c r="A562" s="151" t="s">
        <v>1657</v>
      </c>
      <c r="B562" s="151" t="s">
        <v>1658</v>
      </c>
    </row>
    <row r="563" spans="1:2">
      <c r="A563" s="151" t="s">
        <v>1659</v>
      </c>
      <c r="B563" s="151" t="s">
        <v>1660</v>
      </c>
    </row>
    <row r="564" spans="1:2">
      <c r="A564" s="151" t="s">
        <v>1661</v>
      </c>
      <c r="B564" s="151" t="s">
        <v>1662</v>
      </c>
    </row>
    <row r="565" spans="1:2">
      <c r="A565" s="151" t="s">
        <v>1663</v>
      </c>
      <c r="B565" s="151" t="s">
        <v>1664</v>
      </c>
    </row>
    <row r="566" spans="1:2">
      <c r="A566" s="151" t="s">
        <v>1665</v>
      </c>
      <c r="B566" s="151" t="s">
        <v>1666</v>
      </c>
    </row>
    <row r="567" spans="1:2">
      <c r="A567" s="151" t="s">
        <v>1667</v>
      </c>
      <c r="B567" s="151" t="s">
        <v>1668</v>
      </c>
    </row>
    <row r="568" spans="1:2">
      <c r="A568" s="151" t="s">
        <v>1669</v>
      </c>
      <c r="B568" s="151" t="s">
        <v>1670</v>
      </c>
    </row>
    <row r="569" spans="1:2">
      <c r="A569" s="151" t="s">
        <v>1671</v>
      </c>
      <c r="B569" s="151" t="s">
        <v>1672</v>
      </c>
    </row>
    <row r="570" spans="1:2">
      <c r="A570" s="151" t="s">
        <v>1673</v>
      </c>
      <c r="B570" s="151" t="s">
        <v>1674</v>
      </c>
    </row>
    <row r="571" spans="1:2">
      <c r="A571" s="151" t="s">
        <v>1675</v>
      </c>
      <c r="B571" s="151" t="s">
        <v>1676</v>
      </c>
    </row>
    <row r="572" spans="1:2">
      <c r="A572" s="151" t="s">
        <v>1677</v>
      </c>
      <c r="B572" s="151" t="s">
        <v>1678</v>
      </c>
    </row>
    <row r="573" spans="1:2">
      <c r="A573" s="151" t="s">
        <v>1679</v>
      </c>
      <c r="B573" s="151" t="s">
        <v>1680</v>
      </c>
    </row>
    <row r="574" spans="1:2">
      <c r="A574" s="151" t="s">
        <v>1681</v>
      </c>
      <c r="B574" s="151" t="s">
        <v>1682</v>
      </c>
    </row>
    <row r="575" spans="1:2">
      <c r="A575" s="151" t="s">
        <v>1683</v>
      </c>
      <c r="B575" s="151" t="s">
        <v>1684</v>
      </c>
    </row>
    <row r="576" spans="1:2">
      <c r="A576" s="151" t="s">
        <v>1685</v>
      </c>
      <c r="B576" s="151" t="s">
        <v>1686</v>
      </c>
    </row>
    <row r="577" spans="1:2">
      <c r="A577" s="151" t="s">
        <v>1687</v>
      </c>
      <c r="B577" s="151" t="s">
        <v>1688</v>
      </c>
    </row>
    <row r="578" spans="1:2">
      <c r="A578" s="151" t="s">
        <v>1689</v>
      </c>
      <c r="B578" s="151" t="s">
        <v>1690</v>
      </c>
    </row>
    <row r="579" spans="1:2">
      <c r="A579" s="151" t="s">
        <v>1691</v>
      </c>
      <c r="B579" s="151" t="s">
        <v>1692</v>
      </c>
    </row>
    <row r="580" spans="1:2">
      <c r="A580" s="151" t="s">
        <v>1693</v>
      </c>
      <c r="B580" s="151" t="s">
        <v>1694</v>
      </c>
    </row>
    <row r="581" spans="1:2">
      <c r="A581" s="151" t="s">
        <v>1695</v>
      </c>
      <c r="B581" s="151" t="s">
        <v>1696</v>
      </c>
    </row>
    <row r="582" spans="1:2">
      <c r="A582" s="151" t="s">
        <v>1697</v>
      </c>
      <c r="B582" s="151" t="s">
        <v>1698</v>
      </c>
    </row>
    <row r="583" spans="1:2">
      <c r="A583" s="151" t="s">
        <v>1699</v>
      </c>
      <c r="B583" s="151" t="s">
        <v>1700</v>
      </c>
    </row>
    <row r="584" spans="1:2">
      <c r="A584" s="151" t="s">
        <v>1701</v>
      </c>
      <c r="B584" s="151" t="s">
        <v>1702</v>
      </c>
    </row>
    <row r="585" spans="1:2">
      <c r="A585" s="151" t="s">
        <v>1703</v>
      </c>
      <c r="B585" s="151" t="s">
        <v>1704</v>
      </c>
    </row>
    <row r="586" spans="1:2">
      <c r="A586" s="151" t="s">
        <v>1705</v>
      </c>
      <c r="B586" s="151" t="s">
        <v>1706</v>
      </c>
    </row>
    <row r="587" spans="1:2">
      <c r="A587" s="151" t="s">
        <v>1707</v>
      </c>
      <c r="B587" s="151" t="s">
        <v>1708</v>
      </c>
    </row>
    <row r="588" spans="1:2">
      <c r="A588" s="151" t="s">
        <v>1709</v>
      </c>
      <c r="B588" s="151" t="s">
        <v>119</v>
      </c>
    </row>
    <row r="589" spans="1:2">
      <c r="A589" s="151" t="s">
        <v>1710</v>
      </c>
      <c r="B589" s="151" t="s">
        <v>1711</v>
      </c>
    </row>
    <row r="590" spans="1:2">
      <c r="A590" s="151" t="s">
        <v>1712</v>
      </c>
      <c r="B590" s="151" t="s">
        <v>1713</v>
      </c>
    </row>
    <row r="591" spans="1:2">
      <c r="A591" s="151" t="s">
        <v>1714</v>
      </c>
      <c r="B591" s="151" t="s">
        <v>1715</v>
      </c>
    </row>
    <row r="592" spans="1:2">
      <c r="A592" s="151" t="s">
        <v>1716</v>
      </c>
      <c r="B592" s="151" t="s">
        <v>1717</v>
      </c>
    </row>
    <row r="593" spans="1:2">
      <c r="A593" s="151" t="s">
        <v>1718</v>
      </c>
      <c r="B593" s="151" t="s">
        <v>1719</v>
      </c>
    </row>
    <row r="594" spans="1:2">
      <c r="A594" s="151" t="s">
        <v>1720</v>
      </c>
      <c r="B594" s="151" t="s">
        <v>1721</v>
      </c>
    </row>
    <row r="595" spans="1:2">
      <c r="A595" s="151" t="s">
        <v>1722</v>
      </c>
      <c r="B595" s="151" t="s">
        <v>1723</v>
      </c>
    </row>
    <row r="596" spans="1:2">
      <c r="A596" s="151" t="s">
        <v>1724</v>
      </c>
      <c r="B596" s="151" t="s">
        <v>1725</v>
      </c>
    </row>
    <row r="597" spans="1:2">
      <c r="A597" s="151" t="s">
        <v>1726</v>
      </c>
      <c r="B597" s="151" t="s">
        <v>1727</v>
      </c>
    </row>
    <row r="598" spans="1:2">
      <c r="A598" s="151" t="s">
        <v>1728</v>
      </c>
      <c r="B598" s="151" t="s">
        <v>1729</v>
      </c>
    </row>
    <row r="599" spans="1:2">
      <c r="A599" s="151" t="s">
        <v>1730</v>
      </c>
      <c r="B599" s="151" t="s">
        <v>1731</v>
      </c>
    </row>
    <row r="600" spans="1:2">
      <c r="A600" s="151" t="s">
        <v>1732</v>
      </c>
      <c r="B600" s="151" t="s">
        <v>1733</v>
      </c>
    </row>
    <row r="601" spans="1:2">
      <c r="A601" s="151" t="s">
        <v>1734</v>
      </c>
      <c r="B601" s="151" t="s">
        <v>1735</v>
      </c>
    </row>
    <row r="602" spans="1:2">
      <c r="A602" s="151" t="s">
        <v>1736</v>
      </c>
      <c r="B602" s="151" t="s">
        <v>1737</v>
      </c>
    </row>
    <row r="603" spans="1:2">
      <c r="A603" s="151" t="s">
        <v>1738</v>
      </c>
      <c r="B603" s="151" t="s">
        <v>1739</v>
      </c>
    </row>
    <row r="604" spans="1:2">
      <c r="A604" s="151" t="s">
        <v>1740</v>
      </c>
      <c r="B604" s="151" t="s">
        <v>1741</v>
      </c>
    </row>
    <row r="605" spans="1:2">
      <c r="A605" s="151" t="s">
        <v>1742</v>
      </c>
      <c r="B605" s="151" t="s">
        <v>1743</v>
      </c>
    </row>
    <row r="606" spans="1:2">
      <c r="A606" s="151" t="s">
        <v>1744</v>
      </c>
      <c r="B606" s="151" t="s">
        <v>1745</v>
      </c>
    </row>
    <row r="607" spans="1:2">
      <c r="A607" s="151" t="s">
        <v>1746</v>
      </c>
      <c r="B607" s="151" t="s">
        <v>1747</v>
      </c>
    </row>
    <row r="608" spans="1:2">
      <c r="A608" s="151" t="s">
        <v>1748</v>
      </c>
      <c r="B608" s="151" t="s">
        <v>1749</v>
      </c>
    </row>
    <row r="609" spans="1:2">
      <c r="A609" s="151" t="s">
        <v>1750</v>
      </c>
      <c r="B609" s="151" t="s">
        <v>1751</v>
      </c>
    </row>
    <row r="610" spans="1:2">
      <c r="A610" s="151" t="s">
        <v>1752</v>
      </c>
      <c r="B610" s="151" t="s">
        <v>1753</v>
      </c>
    </row>
    <row r="611" spans="1:2">
      <c r="A611" s="151" t="s">
        <v>1754</v>
      </c>
      <c r="B611" s="151" t="s">
        <v>1755</v>
      </c>
    </row>
    <row r="612" spans="1:2">
      <c r="A612" s="151" t="s">
        <v>1756</v>
      </c>
      <c r="B612" s="151" t="s">
        <v>1757</v>
      </c>
    </row>
    <row r="613" spans="1:2">
      <c r="A613" s="151" t="s">
        <v>1758</v>
      </c>
      <c r="B613" s="151" t="s">
        <v>1759</v>
      </c>
    </row>
    <row r="614" spans="1:2">
      <c r="A614" s="151" t="s">
        <v>1760</v>
      </c>
      <c r="B614" s="151" t="s">
        <v>1761</v>
      </c>
    </row>
    <row r="615" spans="1:2">
      <c r="A615" s="151" t="s">
        <v>1762</v>
      </c>
      <c r="B615" s="151" t="s">
        <v>1763</v>
      </c>
    </row>
    <row r="616" spans="1:2">
      <c r="A616" s="151" t="s">
        <v>1764</v>
      </c>
      <c r="B616" s="151" t="s">
        <v>1765</v>
      </c>
    </row>
    <row r="617" spans="1:2">
      <c r="A617" s="151" t="s">
        <v>1766</v>
      </c>
      <c r="B617" s="151" t="s">
        <v>1767</v>
      </c>
    </row>
    <row r="618" spans="1:2">
      <c r="A618" s="151" t="s">
        <v>1768</v>
      </c>
      <c r="B618" s="151" t="s">
        <v>1769</v>
      </c>
    </row>
    <row r="619" spans="1:2">
      <c r="A619" s="151" t="s">
        <v>1770</v>
      </c>
      <c r="B619" s="151" t="s">
        <v>1771</v>
      </c>
    </row>
    <row r="620" spans="1:2">
      <c r="A620" s="151" t="s">
        <v>1772</v>
      </c>
      <c r="B620" s="151" t="s">
        <v>1773</v>
      </c>
    </row>
    <row r="621" spans="1:2">
      <c r="A621" s="151" t="s">
        <v>1774</v>
      </c>
      <c r="B621" s="151" t="s">
        <v>1775</v>
      </c>
    </row>
    <row r="622" spans="1:2">
      <c r="A622" s="151" t="s">
        <v>1776</v>
      </c>
      <c r="B622" s="151" t="s">
        <v>1777</v>
      </c>
    </row>
    <row r="623" spans="1:2">
      <c r="A623" s="151" t="s">
        <v>1778</v>
      </c>
      <c r="B623" s="151" t="s">
        <v>1779</v>
      </c>
    </row>
    <row r="624" spans="1:2">
      <c r="A624" s="151" t="s">
        <v>1780</v>
      </c>
      <c r="B624" s="151" t="s">
        <v>1781</v>
      </c>
    </row>
    <row r="625" spans="1:2">
      <c r="A625" s="151" t="s">
        <v>1782</v>
      </c>
      <c r="B625" s="151" t="s">
        <v>1783</v>
      </c>
    </row>
    <row r="626" spans="1:2">
      <c r="A626" s="151" t="s">
        <v>1784</v>
      </c>
      <c r="B626" s="151" t="s">
        <v>1785</v>
      </c>
    </row>
    <row r="627" spans="1:2">
      <c r="A627" s="151" t="s">
        <v>1786</v>
      </c>
      <c r="B627" s="151" t="s">
        <v>289</v>
      </c>
    </row>
    <row r="628" spans="1:2">
      <c r="A628" s="151" t="s">
        <v>1787</v>
      </c>
      <c r="B628" s="151" t="s">
        <v>1788</v>
      </c>
    </row>
    <row r="629" spans="1:2">
      <c r="A629" s="151" t="s">
        <v>1789</v>
      </c>
      <c r="B629" s="151" t="s">
        <v>1790</v>
      </c>
    </row>
    <row r="630" spans="1:2">
      <c r="A630" s="151" t="s">
        <v>1791</v>
      </c>
      <c r="B630" s="151" t="s">
        <v>1792</v>
      </c>
    </row>
    <row r="631" spans="1:2">
      <c r="A631" s="151" t="s">
        <v>1793</v>
      </c>
      <c r="B631" s="151" t="s">
        <v>1794</v>
      </c>
    </row>
    <row r="632" spans="1:2">
      <c r="A632" s="151" t="s">
        <v>1795</v>
      </c>
      <c r="B632" s="151" t="s">
        <v>1796</v>
      </c>
    </row>
    <row r="633" spans="1:2">
      <c r="A633" s="151" t="s">
        <v>1797</v>
      </c>
      <c r="B633" s="151" t="s">
        <v>1798</v>
      </c>
    </row>
    <row r="634" spans="1:2">
      <c r="A634" s="151" t="s">
        <v>1799</v>
      </c>
      <c r="B634" s="151" t="s">
        <v>1800</v>
      </c>
    </row>
    <row r="635" spans="1:2">
      <c r="A635" s="151" t="s">
        <v>1801</v>
      </c>
      <c r="B635" s="151" t="s">
        <v>1802</v>
      </c>
    </row>
    <row r="636" spans="1:2">
      <c r="A636" s="151" t="s">
        <v>1803</v>
      </c>
      <c r="B636" s="151" t="s">
        <v>1804</v>
      </c>
    </row>
    <row r="637" spans="1:2">
      <c r="A637" s="151" t="s">
        <v>1805</v>
      </c>
      <c r="B637" s="151" t="s">
        <v>1806</v>
      </c>
    </row>
    <row r="638" spans="1:2">
      <c r="A638" s="151" t="s">
        <v>1807</v>
      </c>
      <c r="B638" s="151" t="s">
        <v>1808</v>
      </c>
    </row>
    <row r="639" spans="1:2">
      <c r="A639" s="151" t="s">
        <v>1809</v>
      </c>
      <c r="B639" s="151" t="s">
        <v>1810</v>
      </c>
    </row>
    <row r="640" spans="1:2">
      <c r="A640" s="151" t="s">
        <v>1811</v>
      </c>
      <c r="B640" s="151" t="s">
        <v>1812</v>
      </c>
    </row>
    <row r="641" spans="1:2">
      <c r="A641" s="151" t="s">
        <v>1813</v>
      </c>
      <c r="B641" s="151" t="s">
        <v>1814</v>
      </c>
    </row>
    <row r="642" spans="1:2">
      <c r="A642" s="151" t="s">
        <v>1815</v>
      </c>
      <c r="B642" s="151" t="s">
        <v>1816</v>
      </c>
    </row>
    <row r="643" spans="1:2">
      <c r="A643" s="151" t="s">
        <v>1817</v>
      </c>
      <c r="B643" s="151" t="s">
        <v>1818</v>
      </c>
    </row>
    <row r="644" spans="1:2">
      <c r="A644" s="151" t="s">
        <v>1819</v>
      </c>
      <c r="B644" s="151" t="s">
        <v>1820</v>
      </c>
    </row>
    <row r="645" spans="1:2">
      <c r="A645" s="151" t="s">
        <v>1821</v>
      </c>
      <c r="B645" s="151" t="s">
        <v>1822</v>
      </c>
    </row>
    <row r="646" spans="1:2">
      <c r="A646" s="151" t="s">
        <v>1823</v>
      </c>
      <c r="B646" s="151" t="s">
        <v>1824</v>
      </c>
    </row>
    <row r="647" spans="1:2">
      <c r="A647" s="151" t="s">
        <v>1825</v>
      </c>
      <c r="B647" s="151" t="s">
        <v>1826</v>
      </c>
    </row>
    <row r="648" spans="1:2">
      <c r="A648" s="151" t="s">
        <v>1827</v>
      </c>
      <c r="B648" s="151" t="s">
        <v>1828</v>
      </c>
    </row>
    <row r="649" spans="1:2">
      <c r="A649" s="151" t="s">
        <v>1829</v>
      </c>
      <c r="B649" s="151" t="s">
        <v>1830</v>
      </c>
    </row>
    <row r="650" spans="1:2">
      <c r="A650" s="151" t="s">
        <v>1831</v>
      </c>
      <c r="B650" s="151" t="s">
        <v>1832</v>
      </c>
    </row>
    <row r="651" spans="1:2">
      <c r="A651" s="151" t="s">
        <v>1833</v>
      </c>
      <c r="B651" s="151" t="s">
        <v>1834</v>
      </c>
    </row>
    <row r="652" spans="1:2">
      <c r="A652" s="151" t="s">
        <v>1835</v>
      </c>
      <c r="B652" s="151" t="s">
        <v>1836</v>
      </c>
    </row>
    <row r="653" spans="1:2">
      <c r="A653" s="151" t="s">
        <v>1837</v>
      </c>
      <c r="B653" s="151" t="s">
        <v>1838</v>
      </c>
    </row>
    <row r="654" spans="1:2">
      <c r="A654" s="151" t="s">
        <v>1839</v>
      </c>
      <c r="B654" s="151" t="s">
        <v>1840</v>
      </c>
    </row>
    <row r="655" spans="1:2">
      <c r="A655" s="151" t="s">
        <v>1841</v>
      </c>
      <c r="B655" s="151" t="s">
        <v>1842</v>
      </c>
    </row>
    <row r="656" spans="1:2">
      <c r="A656" s="151" t="s">
        <v>1843</v>
      </c>
      <c r="B656" s="151" t="s">
        <v>1844</v>
      </c>
    </row>
    <row r="657" spans="1:2">
      <c r="A657" s="151" t="s">
        <v>1845</v>
      </c>
      <c r="B657" s="151" t="s">
        <v>1846</v>
      </c>
    </row>
    <row r="658" spans="1:2">
      <c r="A658" s="151" t="s">
        <v>1847</v>
      </c>
      <c r="B658" s="151" t="s">
        <v>1848</v>
      </c>
    </row>
    <row r="659" spans="1:2">
      <c r="A659" s="151" t="s">
        <v>1849</v>
      </c>
      <c r="B659" s="151" t="s">
        <v>1850</v>
      </c>
    </row>
    <row r="660" spans="1:2">
      <c r="A660" s="151" t="s">
        <v>1851</v>
      </c>
      <c r="B660" s="151" t="s">
        <v>1852</v>
      </c>
    </row>
    <row r="661" spans="1:2">
      <c r="A661" s="151" t="s">
        <v>1853</v>
      </c>
      <c r="B661" s="151" t="s">
        <v>1854</v>
      </c>
    </row>
    <row r="662" spans="1:2">
      <c r="A662" s="151" t="s">
        <v>1855</v>
      </c>
      <c r="B662" s="151" t="s">
        <v>1856</v>
      </c>
    </row>
    <row r="663" spans="1:2">
      <c r="A663" s="151" t="s">
        <v>1857</v>
      </c>
      <c r="B663" s="151" t="s">
        <v>1858</v>
      </c>
    </row>
    <row r="664" spans="1:2">
      <c r="A664" s="151" t="s">
        <v>1859</v>
      </c>
      <c r="B664" s="151" t="s">
        <v>1860</v>
      </c>
    </row>
    <row r="665" spans="1:2">
      <c r="A665" s="151" t="s">
        <v>1861</v>
      </c>
      <c r="B665" s="151" t="s">
        <v>1862</v>
      </c>
    </row>
    <row r="666" spans="1:2">
      <c r="A666" s="151" t="s">
        <v>1863</v>
      </c>
      <c r="B666" s="151" t="s">
        <v>1864</v>
      </c>
    </row>
    <row r="667" spans="1:2">
      <c r="A667" s="151" t="s">
        <v>1865</v>
      </c>
      <c r="B667" s="151" t="s">
        <v>1866</v>
      </c>
    </row>
    <row r="668" spans="1:2">
      <c r="A668" s="151" t="s">
        <v>1867</v>
      </c>
      <c r="B668" s="151" t="s">
        <v>1868</v>
      </c>
    </row>
    <row r="669" spans="1:2">
      <c r="A669" s="151" t="s">
        <v>1869</v>
      </c>
      <c r="B669" s="151" t="s">
        <v>1870</v>
      </c>
    </row>
    <row r="670" spans="1:2">
      <c r="A670" s="151" t="s">
        <v>1871</v>
      </c>
      <c r="B670" s="151" t="s">
        <v>1872</v>
      </c>
    </row>
    <row r="671" spans="1:2">
      <c r="A671" s="151" t="s">
        <v>1873</v>
      </c>
      <c r="B671" s="151" t="s">
        <v>1874</v>
      </c>
    </row>
    <row r="672" spans="1:2">
      <c r="A672" s="151" t="s">
        <v>1875</v>
      </c>
      <c r="B672" s="151" t="s">
        <v>1876</v>
      </c>
    </row>
    <row r="673" spans="1:2">
      <c r="A673" s="151" t="s">
        <v>1877</v>
      </c>
      <c r="B673" s="151" t="s">
        <v>1878</v>
      </c>
    </row>
    <row r="674" spans="1:2">
      <c r="A674" s="151" t="s">
        <v>1879</v>
      </c>
      <c r="B674" s="151" t="s">
        <v>1880</v>
      </c>
    </row>
    <row r="675" spans="1:2">
      <c r="A675" s="151" t="s">
        <v>1881</v>
      </c>
      <c r="B675" s="151" t="s">
        <v>1882</v>
      </c>
    </row>
    <row r="676" spans="1:2">
      <c r="A676" s="151" t="s">
        <v>1883</v>
      </c>
      <c r="B676" s="151" t="s">
        <v>1884</v>
      </c>
    </row>
    <row r="677" spans="1:2">
      <c r="A677" s="151" t="s">
        <v>1885</v>
      </c>
      <c r="B677" s="151" t="s">
        <v>1886</v>
      </c>
    </row>
    <row r="678" spans="1:2">
      <c r="A678" s="151" t="s">
        <v>1887</v>
      </c>
      <c r="B678" s="151" t="s">
        <v>1888</v>
      </c>
    </row>
    <row r="679" spans="1:2">
      <c r="A679" s="151" t="s">
        <v>1889</v>
      </c>
      <c r="B679" s="151" t="s">
        <v>1890</v>
      </c>
    </row>
    <row r="680" spans="1:2">
      <c r="A680" s="151" t="s">
        <v>1891</v>
      </c>
      <c r="B680" s="151" t="s">
        <v>1892</v>
      </c>
    </row>
    <row r="681" spans="1:2">
      <c r="A681" s="151" t="s">
        <v>1893</v>
      </c>
      <c r="B681" s="151" t="s">
        <v>1894</v>
      </c>
    </row>
    <row r="682" spans="1:2">
      <c r="A682" s="151" t="s">
        <v>1895</v>
      </c>
      <c r="B682" s="151" t="s">
        <v>1896</v>
      </c>
    </row>
    <row r="683" spans="1:2">
      <c r="A683" s="151" t="s">
        <v>1897</v>
      </c>
      <c r="B683" s="151" t="s">
        <v>1898</v>
      </c>
    </row>
    <row r="684" spans="1:2">
      <c r="A684" s="151" t="s">
        <v>1899</v>
      </c>
      <c r="B684" s="151" t="s">
        <v>1900</v>
      </c>
    </row>
    <row r="685" spans="1:2">
      <c r="A685" s="151" t="s">
        <v>1901</v>
      </c>
      <c r="B685" s="151" t="s">
        <v>1902</v>
      </c>
    </row>
    <row r="686" spans="1:2">
      <c r="A686" s="151" t="s">
        <v>1903</v>
      </c>
      <c r="B686" s="151" t="s">
        <v>1904</v>
      </c>
    </row>
    <row r="687" spans="1:2">
      <c r="A687" s="151" t="s">
        <v>1905</v>
      </c>
      <c r="B687" s="151" t="s">
        <v>1906</v>
      </c>
    </row>
    <row r="688" spans="1:2">
      <c r="A688" s="151" t="s">
        <v>1907</v>
      </c>
      <c r="B688" s="151" t="s">
        <v>1908</v>
      </c>
    </row>
    <row r="689" spans="1:2">
      <c r="A689" s="151" t="s">
        <v>1909</v>
      </c>
      <c r="B689" s="151" t="s">
        <v>1910</v>
      </c>
    </row>
    <row r="690" spans="1:2">
      <c r="A690" s="151" t="s">
        <v>1911</v>
      </c>
      <c r="B690" s="151" t="s">
        <v>1912</v>
      </c>
    </row>
    <row r="691" spans="1:2">
      <c r="A691" s="151" t="s">
        <v>1913</v>
      </c>
      <c r="B691" s="151" t="s">
        <v>1914</v>
      </c>
    </row>
    <row r="692" spans="1:2">
      <c r="A692" s="151" t="s">
        <v>1915</v>
      </c>
      <c r="B692" s="151" t="s">
        <v>1916</v>
      </c>
    </row>
    <row r="693" spans="1:2">
      <c r="A693" s="151" t="s">
        <v>1917</v>
      </c>
      <c r="B693" s="151" t="s">
        <v>1918</v>
      </c>
    </row>
    <row r="694" spans="1:2">
      <c r="A694" s="151" t="s">
        <v>1919</v>
      </c>
      <c r="B694" s="151" t="s">
        <v>1920</v>
      </c>
    </row>
    <row r="695" spans="1:2">
      <c r="A695" s="151" t="s">
        <v>1921</v>
      </c>
      <c r="B695" s="151" t="s">
        <v>1922</v>
      </c>
    </row>
    <row r="696" spans="1:2">
      <c r="A696" s="151" t="s">
        <v>1923</v>
      </c>
      <c r="B696" s="151" t="s">
        <v>1924</v>
      </c>
    </row>
    <row r="697" spans="1:2">
      <c r="A697" s="151" t="s">
        <v>1925</v>
      </c>
      <c r="B697" s="151" t="s">
        <v>1926</v>
      </c>
    </row>
    <row r="698" spans="1:2">
      <c r="A698" s="151" t="s">
        <v>1927</v>
      </c>
      <c r="B698" s="151" t="s">
        <v>1928</v>
      </c>
    </row>
    <row r="699" spans="1:2">
      <c r="A699" s="151" t="s">
        <v>1929</v>
      </c>
      <c r="B699" s="151" t="s">
        <v>1930</v>
      </c>
    </row>
    <row r="700" spans="1:2">
      <c r="A700" s="151" t="s">
        <v>1931</v>
      </c>
      <c r="B700" s="151" t="s">
        <v>1932</v>
      </c>
    </row>
    <row r="701" spans="1:2">
      <c r="A701" s="151" t="s">
        <v>1933</v>
      </c>
      <c r="B701" s="151" t="s">
        <v>1934</v>
      </c>
    </row>
    <row r="702" spans="1:2">
      <c r="A702" s="151" t="s">
        <v>1935</v>
      </c>
      <c r="B702" s="151" t="s">
        <v>1936</v>
      </c>
    </row>
    <row r="703" spans="1:2">
      <c r="A703" s="151" t="s">
        <v>1937</v>
      </c>
      <c r="B703" s="151" t="s">
        <v>1938</v>
      </c>
    </row>
    <row r="704" spans="1:2">
      <c r="A704" s="151" t="s">
        <v>1939</v>
      </c>
      <c r="B704" s="151" t="s">
        <v>1940</v>
      </c>
    </row>
    <row r="705" spans="1:2">
      <c r="A705" s="151" t="s">
        <v>1941</v>
      </c>
      <c r="B705" s="151" t="s">
        <v>1942</v>
      </c>
    </row>
    <row r="706" spans="1:2">
      <c r="A706" s="151" t="s">
        <v>1943</v>
      </c>
      <c r="B706" s="151" t="s">
        <v>1944</v>
      </c>
    </row>
    <row r="707" spans="1:2">
      <c r="A707" s="151" t="s">
        <v>1945</v>
      </c>
      <c r="B707" s="151" t="s">
        <v>1946</v>
      </c>
    </row>
    <row r="708" spans="1:2">
      <c r="A708" s="151" t="s">
        <v>1947</v>
      </c>
      <c r="B708" s="151" t="s">
        <v>1948</v>
      </c>
    </row>
    <row r="709" spans="1:2">
      <c r="A709" s="151" t="s">
        <v>1949</v>
      </c>
      <c r="B709" s="151" t="s">
        <v>1950</v>
      </c>
    </row>
    <row r="710" spans="1:2">
      <c r="A710" s="151" t="s">
        <v>1951</v>
      </c>
      <c r="B710" s="151" t="s">
        <v>1952</v>
      </c>
    </row>
    <row r="711" spans="1:2">
      <c r="A711" s="151" t="s">
        <v>1953</v>
      </c>
      <c r="B711" s="151" t="s">
        <v>1954</v>
      </c>
    </row>
    <row r="712" spans="1:2">
      <c r="A712" s="151" t="s">
        <v>1955</v>
      </c>
      <c r="B712" s="151" t="s">
        <v>1956</v>
      </c>
    </row>
    <row r="713" spans="1:2">
      <c r="A713" s="151" t="s">
        <v>1957</v>
      </c>
      <c r="B713" s="151" t="s">
        <v>1958</v>
      </c>
    </row>
    <row r="714" spans="1:2">
      <c r="A714" s="151" t="s">
        <v>1959</v>
      </c>
      <c r="B714" s="151" t="s">
        <v>1960</v>
      </c>
    </row>
    <row r="715" spans="1:2">
      <c r="A715" s="151" t="s">
        <v>1961</v>
      </c>
      <c r="B715" s="151" t="s">
        <v>1962</v>
      </c>
    </row>
    <row r="716" spans="1:2">
      <c r="A716" s="151" t="s">
        <v>1963</v>
      </c>
      <c r="B716" s="151" t="s">
        <v>1964</v>
      </c>
    </row>
    <row r="717" spans="1:2">
      <c r="A717" s="151" t="s">
        <v>1965</v>
      </c>
      <c r="B717" s="151" t="s">
        <v>1966</v>
      </c>
    </row>
    <row r="718" spans="1:2">
      <c r="A718" s="151" t="s">
        <v>1967</v>
      </c>
      <c r="B718" s="151" t="s">
        <v>1968</v>
      </c>
    </row>
    <row r="719" spans="1:2">
      <c r="A719" s="151" t="s">
        <v>1969</v>
      </c>
      <c r="B719" s="151" t="s">
        <v>1970</v>
      </c>
    </row>
    <row r="720" spans="1:2">
      <c r="A720" s="151" t="s">
        <v>1971</v>
      </c>
      <c r="B720" s="151" t="s">
        <v>1972</v>
      </c>
    </row>
    <row r="721" spans="1:2">
      <c r="A721" s="151" t="s">
        <v>1973</v>
      </c>
      <c r="B721" s="151" t="s">
        <v>1974</v>
      </c>
    </row>
    <row r="722" spans="1:2">
      <c r="A722" s="151" t="s">
        <v>1975</v>
      </c>
      <c r="B722" s="151" t="s">
        <v>1976</v>
      </c>
    </row>
    <row r="723" spans="1:2">
      <c r="A723" s="151" t="s">
        <v>1977</v>
      </c>
      <c r="B723" s="151" t="s">
        <v>1978</v>
      </c>
    </row>
    <row r="724" spans="1:2">
      <c r="A724" s="151" t="s">
        <v>1979</v>
      </c>
      <c r="B724" s="151" t="s">
        <v>1980</v>
      </c>
    </row>
    <row r="725" spans="1:2">
      <c r="A725" s="151" t="s">
        <v>1981</v>
      </c>
      <c r="B725" s="151" t="s">
        <v>1982</v>
      </c>
    </row>
    <row r="726" spans="1:2">
      <c r="A726" s="151" t="s">
        <v>1983</v>
      </c>
      <c r="B726" s="151" t="s">
        <v>1984</v>
      </c>
    </row>
    <row r="727" spans="1:2">
      <c r="A727" s="151" t="s">
        <v>1985</v>
      </c>
      <c r="B727" s="151" t="s">
        <v>1986</v>
      </c>
    </row>
    <row r="728" spans="1:2">
      <c r="A728" s="151" t="s">
        <v>1987</v>
      </c>
      <c r="B728" s="151" t="s">
        <v>1988</v>
      </c>
    </row>
    <row r="729" spans="1:2">
      <c r="A729" s="151" t="s">
        <v>1989</v>
      </c>
      <c r="B729" s="151" t="s">
        <v>1990</v>
      </c>
    </row>
    <row r="730" spans="1:2">
      <c r="A730" s="151" t="s">
        <v>1991</v>
      </c>
      <c r="B730" s="151" t="s">
        <v>1992</v>
      </c>
    </row>
    <row r="731" spans="1:2">
      <c r="A731" s="151" t="s">
        <v>1993</v>
      </c>
      <c r="B731" s="151" t="s">
        <v>1994</v>
      </c>
    </row>
    <row r="732" spans="1:2">
      <c r="A732" s="151" t="s">
        <v>1995</v>
      </c>
      <c r="B732" s="151" t="s">
        <v>1996</v>
      </c>
    </row>
    <row r="733" spans="1:2">
      <c r="A733" s="151" t="s">
        <v>1997</v>
      </c>
      <c r="B733" s="151" t="s">
        <v>1998</v>
      </c>
    </row>
    <row r="734" spans="1:2">
      <c r="A734" s="151" t="s">
        <v>1999</v>
      </c>
      <c r="B734" s="151" t="s">
        <v>2000</v>
      </c>
    </row>
    <row r="735" spans="1:2">
      <c r="A735" s="151" t="s">
        <v>2001</v>
      </c>
      <c r="B735" s="151" t="s">
        <v>2002</v>
      </c>
    </row>
    <row r="736" spans="1:2">
      <c r="A736" s="151" t="s">
        <v>2003</v>
      </c>
      <c r="B736" s="151" t="s">
        <v>2004</v>
      </c>
    </row>
    <row r="737" spans="1:2">
      <c r="A737" s="151" t="s">
        <v>2005</v>
      </c>
      <c r="B737" s="151" t="s">
        <v>2006</v>
      </c>
    </row>
    <row r="738" spans="1:2">
      <c r="A738" s="151" t="s">
        <v>2007</v>
      </c>
      <c r="B738" s="151" t="s">
        <v>2008</v>
      </c>
    </row>
    <row r="739" spans="1:2">
      <c r="A739" s="151" t="s">
        <v>2009</v>
      </c>
      <c r="B739" s="151" t="s">
        <v>2010</v>
      </c>
    </row>
    <row r="740" spans="1:2">
      <c r="A740" s="151" t="s">
        <v>2011</v>
      </c>
      <c r="B740" s="151" t="s">
        <v>2012</v>
      </c>
    </row>
    <row r="741" spans="1:2">
      <c r="A741" s="151" t="s">
        <v>2013</v>
      </c>
      <c r="B741" s="151" t="s">
        <v>2014</v>
      </c>
    </row>
    <row r="742" spans="1:2">
      <c r="A742" s="151" t="s">
        <v>2015</v>
      </c>
      <c r="B742" s="151" t="s">
        <v>2016</v>
      </c>
    </row>
    <row r="743" spans="1:2">
      <c r="A743" s="151" t="s">
        <v>2017</v>
      </c>
      <c r="B743" s="151" t="s">
        <v>2018</v>
      </c>
    </row>
    <row r="744" spans="1:2">
      <c r="A744" s="151" t="s">
        <v>2019</v>
      </c>
      <c r="B744" s="151" t="s">
        <v>2020</v>
      </c>
    </row>
    <row r="745" spans="1:2">
      <c r="A745" s="151" t="s">
        <v>2021</v>
      </c>
      <c r="B745" s="151" t="s">
        <v>2022</v>
      </c>
    </row>
    <row r="746" spans="1:2">
      <c r="A746" s="151" t="s">
        <v>2023</v>
      </c>
      <c r="B746" s="151" t="s">
        <v>2024</v>
      </c>
    </row>
    <row r="747" spans="1:2">
      <c r="A747" s="151" t="s">
        <v>2025</v>
      </c>
      <c r="B747" s="151" t="s">
        <v>2026</v>
      </c>
    </row>
    <row r="748" spans="1:2">
      <c r="A748" s="151" t="s">
        <v>2027</v>
      </c>
      <c r="B748" s="151" t="s">
        <v>2028</v>
      </c>
    </row>
    <row r="749" spans="1:2">
      <c r="A749" s="151" t="s">
        <v>2029</v>
      </c>
      <c r="B749" s="151" t="s">
        <v>2030</v>
      </c>
    </row>
    <row r="750" spans="1:2">
      <c r="A750" s="151" t="s">
        <v>2031</v>
      </c>
      <c r="B750" s="151" t="s">
        <v>2032</v>
      </c>
    </row>
    <row r="751" spans="1:2">
      <c r="A751" s="151" t="s">
        <v>2033</v>
      </c>
      <c r="B751" s="151" t="s">
        <v>2034</v>
      </c>
    </row>
    <row r="752" spans="1:2">
      <c r="A752" s="151" t="s">
        <v>2035</v>
      </c>
      <c r="B752" s="151" t="s">
        <v>2036</v>
      </c>
    </row>
    <row r="753" spans="1:2">
      <c r="A753" s="151" t="s">
        <v>2037</v>
      </c>
      <c r="B753" s="151" t="s">
        <v>2038</v>
      </c>
    </row>
    <row r="754" spans="1:2">
      <c r="A754" s="151" t="s">
        <v>2039</v>
      </c>
      <c r="B754" s="151" t="s">
        <v>2040</v>
      </c>
    </row>
    <row r="755" spans="1:2">
      <c r="A755" s="151" t="s">
        <v>2041</v>
      </c>
      <c r="B755" s="151" t="s">
        <v>2042</v>
      </c>
    </row>
    <row r="756" spans="1:2">
      <c r="A756" s="151" t="s">
        <v>2043</v>
      </c>
      <c r="B756" s="151" t="s">
        <v>2044</v>
      </c>
    </row>
    <row r="757" spans="1:2">
      <c r="A757" s="151" t="s">
        <v>2045</v>
      </c>
      <c r="B757" s="151" t="s">
        <v>2046</v>
      </c>
    </row>
    <row r="758" spans="1:2">
      <c r="A758" s="151" t="s">
        <v>2047</v>
      </c>
      <c r="B758" s="151" t="s">
        <v>2048</v>
      </c>
    </row>
    <row r="759" spans="1:2">
      <c r="A759" s="151" t="s">
        <v>2049</v>
      </c>
      <c r="B759" s="151" t="s">
        <v>2050</v>
      </c>
    </row>
    <row r="760" spans="1:2">
      <c r="A760" s="151" t="s">
        <v>2051</v>
      </c>
      <c r="B760" s="151" t="s">
        <v>2052</v>
      </c>
    </row>
    <row r="761" spans="1:2">
      <c r="A761" s="151" t="s">
        <v>2053</v>
      </c>
      <c r="B761" s="151" t="s">
        <v>2054</v>
      </c>
    </row>
    <row r="762" spans="1:2">
      <c r="A762" s="151" t="s">
        <v>2055</v>
      </c>
      <c r="B762" s="151" t="s">
        <v>2056</v>
      </c>
    </row>
    <row r="763" spans="1:2">
      <c r="A763" s="151" t="s">
        <v>2057</v>
      </c>
      <c r="B763" s="151" t="s">
        <v>2058</v>
      </c>
    </row>
    <row r="764" spans="1:2">
      <c r="A764" s="151" t="s">
        <v>2059</v>
      </c>
      <c r="B764" s="151" t="s">
        <v>2060</v>
      </c>
    </row>
    <row r="765" spans="1:2">
      <c r="A765" s="151" t="s">
        <v>2061</v>
      </c>
      <c r="B765" s="151" t="s">
        <v>2062</v>
      </c>
    </row>
    <row r="766" spans="1:2">
      <c r="A766" s="151" t="s">
        <v>2063</v>
      </c>
      <c r="B766" s="151" t="s">
        <v>2064</v>
      </c>
    </row>
    <row r="767" spans="1:2">
      <c r="A767" s="151" t="s">
        <v>2065</v>
      </c>
      <c r="B767" s="151" t="s">
        <v>2066</v>
      </c>
    </row>
    <row r="768" spans="1:2">
      <c r="A768" s="151" t="s">
        <v>2067</v>
      </c>
      <c r="B768" s="151" t="s">
        <v>2068</v>
      </c>
    </row>
    <row r="769" spans="1:2">
      <c r="A769" s="151" t="s">
        <v>2069</v>
      </c>
      <c r="B769" s="151" t="s">
        <v>2070</v>
      </c>
    </row>
    <row r="770" spans="1:2">
      <c r="A770" s="151" t="s">
        <v>2071</v>
      </c>
      <c r="B770" s="151" t="s">
        <v>2072</v>
      </c>
    </row>
    <row r="771" spans="1:2">
      <c r="A771" s="151" t="s">
        <v>2073</v>
      </c>
      <c r="B771" s="151" t="s">
        <v>2074</v>
      </c>
    </row>
    <row r="772" spans="1:2">
      <c r="A772" s="151" t="s">
        <v>2075</v>
      </c>
      <c r="B772" s="151" t="s">
        <v>2076</v>
      </c>
    </row>
    <row r="773" spans="1:2">
      <c r="A773" s="151" t="s">
        <v>2077</v>
      </c>
      <c r="B773" s="151" t="s">
        <v>2078</v>
      </c>
    </row>
    <row r="774" spans="1:2">
      <c r="A774" s="151" t="s">
        <v>2079</v>
      </c>
      <c r="B774" s="151" t="s">
        <v>2080</v>
      </c>
    </row>
    <row r="775" spans="1:2">
      <c r="A775" s="151" t="s">
        <v>2081</v>
      </c>
      <c r="B775" s="151" t="s">
        <v>2082</v>
      </c>
    </row>
    <row r="776" spans="1:2">
      <c r="A776" s="151" t="s">
        <v>2083</v>
      </c>
      <c r="B776" s="151" t="s">
        <v>2084</v>
      </c>
    </row>
    <row r="777" spans="1:2">
      <c r="A777" s="151" t="s">
        <v>2085</v>
      </c>
      <c r="B777" s="151" t="s">
        <v>2086</v>
      </c>
    </row>
    <row r="778" spans="1:2">
      <c r="A778" s="151" t="s">
        <v>2087</v>
      </c>
      <c r="B778" s="151" t="s">
        <v>2088</v>
      </c>
    </row>
    <row r="779" spans="1:2">
      <c r="A779" s="151" t="s">
        <v>2089</v>
      </c>
      <c r="B779" s="151" t="s">
        <v>2090</v>
      </c>
    </row>
    <row r="780" spans="1:2">
      <c r="A780" s="151" t="s">
        <v>2091</v>
      </c>
      <c r="B780" s="151" t="s">
        <v>2092</v>
      </c>
    </row>
    <row r="781" spans="1:2">
      <c r="A781" s="151" t="s">
        <v>2093</v>
      </c>
      <c r="B781" s="151" t="s">
        <v>2094</v>
      </c>
    </row>
    <row r="782" spans="1:2">
      <c r="A782" s="151" t="s">
        <v>2095</v>
      </c>
      <c r="B782" s="151" t="s">
        <v>2096</v>
      </c>
    </row>
    <row r="783" spans="1:2">
      <c r="A783" s="151" t="s">
        <v>2097</v>
      </c>
      <c r="B783" s="151" t="s">
        <v>2098</v>
      </c>
    </row>
    <row r="784" spans="1:2">
      <c r="A784" s="151" t="s">
        <v>2099</v>
      </c>
      <c r="B784" s="151" t="s">
        <v>2100</v>
      </c>
    </row>
    <row r="785" spans="1:2">
      <c r="A785" s="151" t="s">
        <v>2101</v>
      </c>
      <c r="B785" s="151" t="s">
        <v>2102</v>
      </c>
    </row>
    <row r="786" spans="1:2">
      <c r="A786" s="151" t="s">
        <v>2103</v>
      </c>
      <c r="B786" s="151" t="s">
        <v>2104</v>
      </c>
    </row>
    <row r="787" spans="1:2">
      <c r="A787" s="151" t="s">
        <v>2105</v>
      </c>
      <c r="B787" s="151" t="s">
        <v>2106</v>
      </c>
    </row>
    <row r="788" spans="1:2">
      <c r="A788" s="151" t="s">
        <v>2107</v>
      </c>
      <c r="B788" s="151" t="s">
        <v>2108</v>
      </c>
    </row>
    <row r="789" spans="1:2">
      <c r="A789" s="151" t="s">
        <v>2109</v>
      </c>
      <c r="B789" s="151" t="s">
        <v>2110</v>
      </c>
    </row>
    <row r="790" spans="1:2">
      <c r="A790" s="151" t="s">
        <v>2111</v>
      </c>
      <c r="B790" s="151" t="s">
        <v>2112</v>
      </c>
    </row>
    <row r="791" spans="1:2">
      <c r="A791" s="151" t="s">
        <v>2113</v>
      </c>
      <c r="B791" s="151" t="s">
        <v>2114</v>
      </c>
    </row>
    <row r="792" spans="1:2">
      <c r="A792" s="151" t="s">
        <v>2115</v>
      </c>
      <c r="B792" s="151" t="s">
        <v>2116</v>
      </c>
    </row>
    <row r="793" spans="1:2">
      <c r="A793" s="151" t="s">
        <v>2117</v>
      </c>
      <c r="B793" s="151" t="s">
        <v>2118</v>
      </c>
    </row>
    <row r="794" spans="1:2">
      <c r="A794" s="151" t="s">
        <v>2119</v>
      </c>
      <c r="B794" s="151" t="s">
        <v>2120</v>
      </c>
    </row>
    <row r="795" spans="1:2">
      <c r="A795" s="151" t="s">
        <v>2121</v>
      </c>
      <c r="B795" s="151" t="s">
        <v>2122</v>
      </c>
    </row>
    <row r="796" spans="1:2">
      <c r="A796" s="151" t="s">
        <v>2123</v>
      </c>
      <c r="B796" s="151" t="s">
        <v>2124</v>
      </c>
    </row>
    <row r="797" spans="1:2">
      <c r="A797" s="151" t="s">
        <v>2125</v>
      </c>
      <c r="B797" s="151" t="s">
        <v>2126</v>
      </c>
    </row>
    <row r="798" spans="1:2">
      <c r="A798" s="151" t="s">
        <v>2127</v>
      </c>
      <c r="B798" s="151" t="s">
        <v>2128</v>
      </c>
    </row>
    <row r="799" spans="1:2">
      <c r="A799" s="151" t="s">
        <v>2129</v>
      </c>
      <c r="B799" s="151" t="s">
        <v>2130</v>
      </c>
    </row>
    <row r="800" spans="1:2">
      <c r="A800" s="151" t="s">
        <v>2131</v>
      </c>
      <c r="B800" s="151" t="s">
        <v>2132</v>
      </c>
    </row>
    <row r="801" spans="1:2">
      <c r="A801" s="151" t="s">
        <v>2133</v>
      </c>
      <c r="B801" s="151" t="s">
        <v>2134</v>
      </c>
    </row>
    <row r="802" spans="1:2">
      <c r="A802" s="151" t="s">
        <v>2135</v>
      </c>
      <c r="B802" s="151" t="s">
        <v>2136</v>
      </c>
    </row>
    <row r="803" spans="1:2">
      <c r="A803" s="151" t="s">
        <v>2137</v>
      </c>
      <c r="B803" s="151" t="s">
        <v>2138</v>
      </c>
    </row>
    <row r="804" spans="1:2">
      <c r="A804" s="151" t="s">
        <v>2139</v>
      </c>
      <c r="B804" s="151" t="s">
        <v>2140</v>
      </c>
    </row>
    <row r="805" spans="1:2">
      <c r="A805" s="151" t="s">
        <v>2141</v>
      </c>
      <c r="B805" s="151" t="s">
        <v>2142</v>
      </c>
    </row>
    <row r="806" spans="1:2">
      <c r="A806" s="151" t="s">
        <v>2143</v>
      </c>
      <c r="B806" s="151" t="s">
        <v>2144</v>
      </c>
    </row>
    <row r="807" spans="1:2">
      <c r="A807" s="151" t="s">
        <v>2145</v>
      </c>
      <c r="B807" s="151" t="s">
        <v>2146</v>
      </c>
    </row>
    <row r="808" spans="1:2">
      <c r="A808" s="151" t="s">
        <v>2147</v>
      </c>
      <c r="B808" s="151" t="s">
        <v>2148</v>
      </c>
    </row>
    <row r="809" spans="1:2">
      <c r="A809" s="151" t="s">
        <v>2149</v>
      </c>
      <c r="B809" s="151" t="s">
        <v>2150</v>
      </c>
    </row>
    <row r="810" spans="1:2">
      <c r="A810" s="151" t="s">
        <v>2151</v>
      </c>
      <c r="B810" s="151" t="s">
        <v>2152</v>
      </c>
    </row>
    <row r="811" spans="1:2">
      <c r="A811" s="151" t="s">
        <v>2153</v>
      </c>
      <c r="B811" s="151" t="s">
        <v>2154</v>
      </c>
    </row>
    <row r="812" spans="1:2">
      <c r="A812" s="151" t="s">
        <v>2155</v>
      </c>
      <c r="B812" s="151" t="s">
        <v>2156</v>
      </c>
    </row>
    <row r="813" spans="1:2">
      <c r="A813" s="151" t="s">
        <v>2157</v>
      </c>
      <c r="B813" s="151" t="s">
        <v>2158</v>
      </c>
    </row>
    <row r="814" spans="1:2">
      <c r="A814" s="151" t="s">
        <v>2159</v>
      </c>
      <c r="B814" s="151" t="s">
        <v>2160</v>
      </c>
    </row>
    <row r="815" spans="1:2">
      <c r="A815" s="151" t="s">
        <v>2161</v>
      </c>
      <c r="B815" s="151" t="s">
        <v>2162</v>
      </c>
    </row>
    <row r="816" spans="1:2">
      <c r="A816" s="151" t="s">
        <v>2163</v>
      </c>
      <c r="B816" s="151" t="s">
        <v>2164</v>
      </c>
    </row>
    <row r="817" spans="1:2">
      <c r="A817" s="151" t="s">
        <v>2165</v>
      </c>
      <c r="B817" s="151" t="s">
        <v>2166</v>
      </c>
    </row>
    <row r="818" spans="1:2">
      <c r="A818" s="151" t="s">
        <v>2167</v>
      </c>
      <c r="B818" s="151" t="s">
        <v>2168</v>
      </c>
    </row>
    <row r="819" spans="1:2">
      <c r="A819" s="151" t="s">
        <v>2169</v>
      </c>
      <c r="B819" s="151" t="s">
        <v>2170</v>
      </c>
    </row>
    <row r="820" spans="1:2">
      <c r="A820" s="151" t="s">
        <v>2171</v>
      </c>
      <c r="B820" s="151" t="s">
        <v>2172</v>
      </c>
    </row>
    <row r="821" spans="1:2">
      <c r="A821" s="151" t="s">
        <v>2173</v>
      </c>
      <c r="B821" s="151" t="s">
        <v>2174</v>
      </c>
    </row>
    <row r="822" spans="1:2">
      <c r="A822" s="151" t="s">
        <v>2175</v>
      </c>
      <c r="B822" s="151" t="s">
        <v>2176</v>
      </c>
    </row>
    <row r="823" spans="1:2">
      <c r="A823" s="151" t="s">
        <v>2177</v>
      </c>
      <c r="B823" s="151" t="s">
        <v>2178</v>
      </c>
    </row>
    <row r="824" spans="1:2">
      <c r="A824" s="151" t="s">
        <v>2179</v>
      </c>
      <c r="B824" s="151" t="s">
        <v>2180</v>
      </c>
    </row>
    <row r="825" spans="1:2">
      <c r="A825" s="151" t="s">
        <v>2181</v>
      </c>
      <c r="B825" s="151" t="s">
        <v>2182</v>
      </c>
    </row>
    <row r="826" spans="1:2">
      <c r="A826" s="151" t="s">
        <v>2183</v>
      </c>
      <c r="B826" s="151" t="s">
        <v>2184</v>
      </c>
    </row>
    <row r="827" spans="1:2">
      <c r="A827" s="151" t="s">
        <v>2185</v>
      </c>
      <c r="B827" s="151" t="s">
        <v>2186</v>
      </c>
    </row>
    <row r="828" spans="1:2">
      <c r="A828" s="151" t="s">
        <v>2187</v>
      </c>
      <c r="B828" s="151" t="s">
        <v>2188</v>
      </c>
    </row>
    <row r="829" spans="1:2">
      <c r="A829" s="151" t="s">
        <v>2189</v>
      </c>
      <c r="B829" s="151" t="s">
        <v>2190</v>
      </c>
    </row>
    <row r="830" spans="1:2">
      <c r="A830" s="151" t="s">
        <v>2191</v>
      </c>
      <c r="B830" s="151" t="s">
        <v>2192</v>
      </c>
    </row>
    <row r="831" spans="1:2">
      <c r="A831" s="151" t="s">
        <v>2193</v>
      </c>
      <c r="B831" s="151" t="s">
        <v>2194</v>
      </c>
    </row>
    <row r="832" spans="1:2">
      <c r="A832" s="151" t="s">
        <v>2195</v>
      </c>
      <c r="B832" s="151" t="s">
        <v>2196</v>
      </c>
    </row>
    <row r="833" spans="1:2">
      <c r="A833" s="151" t="s">
        <v>2197</v>
      </c>
      <c r="B833" s="151" t="s">
        <v>2198</v>
      </c>
    </row>
    <row r="834" spans="1:2">
      <c r="A834" s="151" t="s">
        <v>2199</v>
      </c>
      <c r="B834" s="151" t="s">
        <v>2200</v>
      </c>
    </row>
    <row r="835" spans="1:2">
      <c r="A835" s="151" t="s">
        <v>2201</v>
      </c>
      <c r="B835" s="151" t="s">
        <v>2202</v>
      </c>
    </row>
    <row r="836" spans="1:2">
      <c r="A836" s="151" t="s">
        <v>2203</v>
      </c>
      <c r="B836" s="151" t="s">
        <v>2204</v>
      </c>
    </row>
    <row r="837" spans="1:2">
      <c r="A837" s="151" t="s">
        <v>2205</v>
      </c>
      <c r="B837" s="151" t="s">
        <v>2206</v>
      </c>
    </row>
    <row r="838" spans="1:2">
      <c r="A838" s="151" t="s">
        <v>2207</v>
      </c>
      <c r="B838" s="151" t="s">
        <v>2208</v>
      </c>
    </row>
    <row r="839" spans="1:2">
      <c r="A839" s="151" t="s">
        <v>2209</v>
      </c>
      <c r="B839" s="151" t="s">
        <v>2210</v>
      </c>
    </row>
    <row r="840" spans="1:2">
      <c r="A840" s="151" t="s">
        <v>2211</v>
      </c>
      <c r="B840" s="151" t="s">
        <v>2212</v>
      </c>
    </row>
    <row r="841" spans="1:2">
      <c r="A841" s="151" t="s">
        <v>2213</v>
      </c>
      <c r="B841" s="151" t="s">
        <v>2214</v>
      </c>
    </row>
    <row r="842" spans="1:2">
      <c r="A842" s="151" t="s">
        <v>2215</v>
      </c>
      <c r="B842" s="151" t="s">
        <v>2216</v>
      </c>
    </row>
    <row r="843" spans="1:2">
      <c r="A843" s="151" t="s">
        <v>156</v>
      </c>
      <c r="B843" s="151" t="s">
        <v>2217</v>
      </c>
    </row>
    <row r="844" spans="1:2">
      <c r="A844" s="151" t="s">
        <v>2218</v>
      </c>
      <c r="B844" s="151" t="s">
        <v>2219</v>
      </c>
    </row>
    <row r="845" spans="1:2">
      <c r="A845" s="151" t="s">
        <v>2220</v>
      </c>
      <c r="B845" s="151" t="s">
        <v>2221</v>
      </c>
    </row>
    <row r="846" spans="1:2">
      <c r="A846" s="151" t="s">
        <v>2222</v>
      </c>
      <c r="B846" s="151" t="s">
        <v>2223</v>
      </c>
    </row>
    <row r="847" spans="1:2">
      <c r="A847" s="151" t="s">
        <v>2224</v>
      </c>
      <c r="B847" s="151" t="s">
        <v>2225</v>
      </c>
    </row>
    <row r="848" spans="1:2">
      <c r="A848" s="151" t="s">
        <v>2226</v>
      </c>
      <c r="B848" s="151" t="s">
        <v>2227</v>
      </c>
    </row>
    <row r="849" spans="1:2">
      <c r="A849" s="151" t="s">
        <v>2228</v>
      </c>
      <c r="B849" s="151" t="s">
        <v>2229</v>
      </c>
    </row>
    <row r="850" spans="1:2">
      <c r="A850" s="151" t="s">
        <v>2230</v>
      </c>
      <c r="B850" s="151" t="s">
        <v>2231</v>
      </c>
    </row>
    <row r="851" spans="1:2">
      <c r="A851" s="151" t="s">
        <v>2232</v>
      </c>
      <c r="B851" s="151" t="s">
        <v>2233</v>
      </c>
    </row>
    <row r="852" spans="1:2">
      <c r="A852" s="151" t="s">
        <v>2234</v>
      </c>
      <c r="B852" s="151" t="s">
        <v>2235</v>
      </c>
    </row>
    <row r="853" spans="1:2">
      <c r="A853" s="151" t="s">
        <v>2236</v>
      </c>
      <c r="B853" s="151" t="s">
        <v>2237</v>
      </c>
    </row>
    <row r="854" spans="1:2">
      <c r="A854" s="151" t="s">
        <v>2238</v>
      </c>
      <c r="B854" s="151" t="s">
        <v>2239</v>
      </c>
    </row>
    <row r="855" spans="1:2">
      <c r="A855" s="151" t="s">
        <v>2240</v>
      </c>
      <c r="B855" s="151" t="s">
        <v>2241</v>
      </c>
    </row>
    <row r="856" spans="1:2">
      <c r="A856" s="151" t="s">
        <v>2242</v>
      </c>
      <c r="B856" s="151" t="s">
        <v>2243</v>
      </c>
    </row>
    <row r="857" spans="1:2">
      <c r="A857" s="151" t="s">
        <v>2244</v>
      </c>
      <c r="B857" s="151" t="s">
        <v>2245</v>
      </c>
    </row>
    <row r="858" spans="1:2">
      <c r="A858" s="151" t="s">
        <v>2246</v>
      </c>
      <c r="B858" s="151" t="s">
        <v>2247</v>
      </c>
    </row>
    <row r="859" spans="1:2">
      <c r="A859" s="151" t="s">
        <v>2248</v>
      </c>
      <c r="B859" s="151" t="s">
        <v>2249</v>
      </c>
    </row>
    <row r="860" spans="1:2">
      <c r="A860" s="151" t="s">
        <v>2250</v>
      </c>
      <c r="B860" s="151" t="s">
        <v>2251</v>
      </c>
    </row>
    <row r="861" spans="1:2">
      <c r="A861" s="151" t="s">
        <v>2252</v>
      </c>
      <c r="B861" s="151" t="s">
        <v>2253</v>
      </c>
    </row>
    <row r="862" spans="1:2">
      <c r="A862" s="151" t="s">
        <v>2254</v>
      </c>
      <c r="B862" s="151" t="s">
        <v>2255</v>
      </c>
    </row>
    <row r="863" spans="1:2">
      <c r="A863" s="151" t="s">
        <v>2256</v>
      </c>
      <c r="B863" s="151" t="s">
        <v>2257</v>
      </c>
    </row>
    <row r="864" spans="1:2">
      <c r="A864" s="151" t="s">
        <v>2258</v>
      </c>
      <c r="B864" s="151" t="s">
        <v>2259</v>
      </c>
    </row>
    <row r="865" spans="1:2">
      <c r="A865" s="151" t="s">
        <v>2260</v>
      </c>
      <c r="B865" s="151" t="s">
        <v>2261</v>
      </c>
    </row>
    <row r="866" spans="1:2">
      <c r="A866" s="151" t="s">
        <v>2262</v>
      </c>
      <c r="B866" s="151" t="s">
        <v>2263</v>
      </c>
    </row>
    <row r="867" spans="1:2">
      <c r="A867" s="151" t="s">
        <v>2264</v>
      </c>
      <c r="B867" s="151" t="s">
        <v>2265</v>
      </c>
    </row>
    <row r="868" spans="1:2">
      <c r="A868" s="151" t="s">
        <v>2266</v>
      </c>
      <c r="B868" s="151" t="s">
        <v>2267</v>
      </c>
    </row>
    <row r="869" spans="1:2">
      <c r="A869" s="151" t="s">
        <v>2268</v>
      </c>
      <c r="B869" s="151" t="s">
        <v>2269</v>
      </c>
    </row>
    <row r="870" spans="1:2">
      <c r="A870" s="151" t="s">
        <v>2270</v>
      </c>
      <c r="B870" s="151" t="s">
        <v>2271</v>
      </c>
    </row>
    <row r="871" spans="1:2">
      <c r="A871" s="151" t="s">
        <v>2272</v>
      </c>
      <c r="B871" s="151" t="s">
        <v>2273</v>
      </c>
    </row>
    <row r="872" spans="1:2">
      <c r="A872" s="151" t="s">
        <v>2274</v>
      </c>
      <c r="B872" s="151" t="s">
        <v>365</v>
      </c>
    </row>
    <row r="873" spans="1:2">
      <c r="A873" s="151" t="s">
        <v>2275</v>
      </c>
      <c r="B873" s="151" t="s">
        <v>2276</v>
      </c>
    </row>
    <row r="874" spans="1:2">
      <c r="A874" s="151" t="s">
        <v>2277</v>
      </c>
      <c r="B874" s="151" t="s">
        <v>2278</v>
      </c>
    </row>
    <row r="875" spans="1:2">
      <c r="A875" s="151" t="s">
        <v>2279</v>
      </c>
      <c r="B875" s="151" t="s">
        <v>2280</v>
      </c>
    </row>
    <row r="876" spans="1:2">
      <c r="A876" s="151" t="s">
        <v>2281</v>
      </c>
      <c r="B876" s="151" t="s">
        <v>2282</v>
      </c>
    </row>
    <row r="877" spans="1:2">
      <c r="A877" s="151" t="s">
        <v>2283</v>
      </c>
      <c r="B877" s="151" t="s">
        <v>2284</v>
      </c>
    </row>
    <row r="878" spans="1:2">
      <c r="A878" s="151" t="s">
        <v>2285</v>
      </c>
      <c r="B878" s="151" t="s">
        <v>2286</v>
      </c>
    </row>
    <row r="879" spans="1:2">
      <c r="A879" s="151" t="s">
        <v>2287</v>
      </c>
      <c r="B879" s="151" t="s">
        <v>2288</v>
      </c>
    </row>
    <row r="880" spans="1:2">
      <c r="A880" s="151" t="s">
        <v>2289</v>
      </c>
      <c r="B880" s="151" t="s">
        <v>2290</v>
      </c>
    </row>
    <row r="881" spans="1:2">
      <c r="A881" s="151" t="s">
        <v>2291</v>
      </c>
      <c r="B881" s="151" t="s">
        <v>2292</v>
      </c>
    </row>
    <row r="882" spans="1:2">
      <c r="A882" s="151" t="s">
        <v>2293</v>
      </c>
      <c r="B882" s="151" t="s">
        <v>2294</v>
      </c>
    </row>
    <row r="883" spans="1:2">
      <c r="A883" s="151" t="s">
        <v>2295</v>
      </c>
      <c r="B883" s="151" t="s">
        <v>2296</v>
      </c>
    </row>
    <row r="884" spans="1:2">
      <c r="A884" s="151" t="s">
        <v>2297</v>
      </c>
      <c r="B884" s="151" t="s">
        <v>2298</v>
      </c>
    </row>
    <row r="885" spans="1:2">
      <c r="A885" s="151" t="s">
        <v>2299</v>
      </c>
      <c r="B885" s="151" t="s">
        <v>2300</v>
      </c>
    </row>
    <row r="886" spans="1:2">
      <c r="A886" s="151" t="s">
        <v>2301</v>
      </c>
      <c r="B886" s="151" t="s">
        <v>2302</v>
      </c>
    </row>
    <row r="887" spans="1:2">
      <c r="A887" s="151" t="s">
        <v>2303</v>
      </c>
      <c r="B887" s="151" t="s">
        <v>2304</v>
      </c>
    </row>
    <row r="888" spans="1:2">
      <c r="A888" s="151" t="s">
        <v>2305</v>
      </c>
      <c r="B888" s="151" t="s">
        <v>2306</v>
      </c>
    </row>
    <row r="889" spans="1:2">
      <c r="A889" s="151" t="s">
        <v>2307</v>
      </c>
      <c r="B889" s="151" t="s">
        <v>2308</v>
      </c>
    </row>
    <row r="890" spans="1:2">
      <c r="A890" s="151" t="s">
        <v>2309</v>
      </c>
      <c r="B890" s="151" t="s">
        <v>2310</v>
      </c>
    </row>
    <row r="891" spans="1:2">
      <c r="A891" s="151" t="s">
        <v>2311</v>
      </c>
      <c r="B891" s="151" t="s">
        <v>2312</v>
      </c>
    </row>
    <row r="892" spans="1:2">
      <c r="A892" s="151" t="s">
        <v>2313</v>
      </c>
      <c r="B892" s="151" t="s">
        <v>2314</v>
      </c>
    </row>
    <row r="893" spans="1:2">
      <c r="A893" s="151" t="s">
        <v>2315</v>
      </c>
      <c r="B893" s="151" t="s">
        <v>2316</v>
      </c>
    </row>
    <row r="894" spans="1:2">
      <c r="A894" s="151" t="s">
        <v>2317</v>
      </c>
      <c r="B894" s="151" t="s">
        <v>2318</v>
      </c>
    </row>
    <row r="895" spans="1:2">
      <c r="A895" s="151" t="s">
        <v>2319</v>
      </c>
      <c r="B895" s="151" t="s">
        <v>2320</v>
      </c>
    </row>
    <row r="896" spans="1:2">
      <c r="A896" s="151" t="s">
        <v>2321</v>
      </c>
      <c r="B896" s="151" t="s">
        <v>2322</v>
      </c>
    </row>
    <row r="897" spans="1:2">
      <c r="A897" s="151" t="s">
        <v>2323</v>
      </c>
      <c r="B897" s="151" t="s">
        <v>2324</v>
      </c>
    </row>
    <row r="898" spans="1:2">
      <c r="A898" s="151" t="s">
        <v>2325</v>
      </c>
      <c r="B898" s="151" t="s">
        <v>2326</v>
      </c>
    </row>
    <row r="899" spans="1:2">
      <c r="A899" s="151" t="s">
        <v>2327</v>
      </c>
      <c r="B899" s="151" t="s">
        <v>2328</v>
      </c>
    </row>
    <row r="900" spans="1:2">
      <c r="A900" s="151" t="s">
        <v>2329</v>
      </c>
      <c r="B900" s="151" t="s">
        <v>2330</v>
      </c>
    </row>
    <row r="901" spans="1:2">
      <c r="A901" s="151" t="s">
        <v>2331</v>
      </c>
      <c r="B901" s="151" t="s">
        <v>2332</v>
      </c>
    </row>
    <row r="902" spans="1:2">
      <c r="A902" s="151" t="s">
        <v>2333</v>
      </c>
      <c r="B902" s="151" t="s">
        <v>2334</v>
      </c>
    </row>
    <row r="903" spans="1:2">
      <c r="A903" s="151" t="s">
        <v>2335</v>
      </c>
      <c r="B903" s="151" t="s">
        <v>2336</v>
      </c>
    </row>
    <row r="904" spans="1:2">
      <c r="A904" s="151" t="s">
        <v>2337</v>
      </c>
      <c r="B904" s="151" t="s">
        <v>2338</v>
      </c>
    </row>
    <row r="905" spans="1:2">
      <c r="A905" s="151" t="s">
        <v>2339</v>
      </c>
      <c r="B905" s="151" t="s">
        <v>2340</v>
      </c>
    </row>
    <row r="906" spans="1:2">
      <c r="A906" s="151" t="s">
        <v>2341</v>
      </c>
      <c r="B906" s="151" t="s">
        <v>2342</v>
      </c>
    </row>
    <row r="907" spans="1:2">
      <c r="A907" s="151" t="s">
        <v>2343</v>
      </c>
      <c r="B907" s="151" t="s">
        <v>2344</v>
      </c>
    </row>
    <row r="908" spans="1:2">
      <c r="A908" s="151" t="s">
        <v>2345</v>
      </c>
      <c r="B908" s="151" t="s">
        <v>2346</v>
      </c>
    </row>
    <row r="909" spans="1:2">
      <c r="A909" s="151" t="s">
        <v>2347</v>
      </c>
      <c r="B909" s="151" t="s">
        <v>2348</v>
      </c>
    </row>
    <row r="910" spans="1:2">
      <c r="A910" s="151" t="s">
        <v>2349</v>
      </c>
      <c r="B910" s="151" t="s">
        <v>2350</v>
      </c>
    </row>
    <row r="911" spans="1:2">
      <c r="A911" s="151" t="s">
        <v>2351</v>
      </c>
      <c r="B911" s="151" t="s">
        <v>2352</v>
      </c>
    </row>
    <row r="912" spans="1:2">
      <c r="A912" s="151" t="s">
        <v>2353</v>
      </c>
      <c r="B912" s="151" t="s">
        <v>2354</v>
      </c>
    </row>
    <row r="913" spans="1:2">
      <c r="A913" s="151" t="s">
        <v>2355</v>
      </c>
      <c r="B913" s="151" t="s">
        <v>2356</v>
      </c>
    </row>
    <row r="914" spans="1:2">
      <c r="A914" s="151" t="s">
        <v>2357</v>
      </c>
      <c r="B914" s="151" t="s">
        <v>2358</v>
      </c>
    </row>
    <row r="915" spans="1:2">
      <c r="A915" s="151" t="s">
        <v>2359</v>
      </c>
      <c r="B915" s="151" t="s">
        <v>2360</v>
      </c>
    </row>
    <row r="916" spans="1:2">
      <c r="A916" s="151" t="s">
        <v>2361</v>
      </c>
      <c r="B916" s="151" t="s">
        <v>2362</v>
      </c>
    </row>
    <row r="917" spans="1:2">
      <c r="A917" s="151" t="s">
        <v>2363</v>
      </c>
      <c r="B917" s="151" t="s">
        <v>2364</v>
      </c>
    </row>
    <row r="918" spans="1:2">
      <c r="A918" s="151" t="s">
        <v>2365</v>
      </c>
      <c r="B918" s="151" t="s">
        <v>2366</v>
      </c>
    </row>
    <row r="919" spans="1:2">
      <c r="A919" s="151" t="s">
        <v>2367</v>
      </c>
      <c r="B919" s="151" t="s">
        <v>2368</v>
      </c>
    </row>
    <row r="920" spans="1:2">
      <c r="A920" s="151" t="s">
        <v>2369</v>
      </c>
      <c r="B920" s="151" t="s">
        <v>2370</v>
      </c>
    </row>
    <row r="921" spans="1:2">
      <c r="A921" s="151" t="s">
        <v>2371</v>
      </c>
      <c r="B921" s="151" t="s">
        <v>2372</v>
      </c>
    </row>
    <row r="922" spans="1:2">
      <c r="A922" s="151" t="s">
        <v>2373</v>
      </c>
      <c r="B922" s="151" t="s">
        <v>2374</v>
      </c>
    </row>
    <row r="923" spans="1:2">
      <c r="A923" s="151" t="s">
        <v>2375</v>
      </c>
      <c r="B923" s="151" t="s">
        <v>2376</v>
      </c>
    </row>
    <row r="924" spans="1:2">
      <c r="A924" s="151" t="s">
        <v>2377</v>
      </c>
      <c r="B924" s="151" t="s">
        <v>2378</v>
      </c>
    </row>
    <row r="925" spans="1:2">
      <c r="A925" s="151" t="s">
        <v>2379</v>
      </c>
      <c r="B925" s="151" t="s">
        <v>2380</v>
      </c>
    </row>
    <row r="926" spans="1:2">
      <c r="A926" s="151" t="s">
        <v>2381</v>
      </c>
      <c r="B926" s="151" t="s">
        <v>2382</v>
      </c>
    </row>
    <row r="927" spans="1:2">
      <c r="A927" s="151" t="s">
        <v>2383</v>
      </c>
      <c r="B927" s="151" t="s">
        <v>2384</v>
      </c>
    </row>
    <row r="928" spans="1:2">
      <c r="A928" s="151" t="s">
        <v>2385</v>
      </c>
      <c r="B928" s="151" t="s">
        <v>2386</v>
      </c>
    </row>
    <row r="929" spans="1:2">
      <c r="A929" s="151" t="s">
        <v>2387</v>
      </c>
      <c r="B929" s="151" t="s">
        <v>2388</v>
      </c>
    </row>
    <row r="930" spans="1:2">
      <c r="A930" s="151" t="s">
        <v>2389</v>
      </c>
      <c r="B930" s="151" t="s">
        <v>2390</v>
      </c>
    </row>
    <row r="931" spans="1:2">
      <c r="A931" s="151" t="s">
        <v>2391</v>
      </c>
      <c r="B931" s="151" t="s">
        <v>2392</v>
      </c>
    </row>
    <row r="932" spans="1:2">
      <c r="A932" s="151" t="s">
        <v>2393</v>
      </c>
      <c r="B932" s="151" t="s">
        <v>2394</v>
      </c>
    </row>
    <row r="933" spans="1:2">
      <c r="A933" s="151" t="s">
        <v>2395</v>
      </c>
      <c r="B933" s="151" t="s">
        <v>2396</v>
      </c>
    </row>
    <row r="934" spans="1:2">
      <c r="A934" s="151" t="s">
        <v>2397</v>
      </c>
      <c r="B934" s="151" t="s">
        <v>2398</v>
      </c>
    </row>
    <row r="935" spans="1:2">
      <c r="A935" s="151" t="s">
        <v>2399</v>
      </c>
      <c r="B935" s="151" t="s">
        <v>2400</v>
      </c>
    </row>
    <row r="936" spans="1:2">
      <c r="A936" s="151" t="s">
        <v>2401</v>
      </c>
      <c r="B936" s="151" t="s">
        <v>2402</v>
      </c>
    </row>
    <row r="937" spans="1:2">
      <c r="A937" s="151" t="s">
        <v>2403</v>
      </c>
      <c r="B937" s="151" t="s">
        <v>2404</v>
      </c>
    </row>
    <row r="938" spans="1:2">
      <c r="A938" s="151" t="s">
        <v>2405</v>
      </c>
      <c r="B938" s="151" t="s">
        <v>2406</v>
      </c>
    </row>
    <row r="939" spans="1:2">
      <c r="A939" s="151" t="s">
        <v>2407</v>
      </c>
      <c r="B939" s="151" t="s">
        <v>2408</v>
      </c>
    </row>
    <row r="940" spans="1:2">
      <c r="A940" s="151" t="s">
        <v>2409</v>
      </c>
      <c r="B940" s="151" t="s">
        <v>2410</v>
      </c>
    </row>
    <row r="941" spans="1:2">
      <c r="A941" s="151" t="s">
        <v>2411</v>
      </c>
      <c r="B941" s="151" t="s">
        <v>2412</v>
      </c>
    </row>
    <row r="942" spans="1:2">
      <c r="A942" s="151" t="s">
        <v>2413</v>
      </c>
      <c r="B942" s="151" t="s">
        <v>2414</v>
      </c>
    </row>
    <row r="943" spans="1:2">
      <c r="A943" s="151" t="s">
        <v>2415</v>
      </c>
      <c r="B943" s="151" t="s">
        <v>2416</v>
      </c>
    </row>
    <row r="944" spans="1:2">
      <c r="A944" s="151" t="s">
        <v>2417</v>
      </c>
      <c r="B944" s="151" t="s">
        <v>2418</v>
      </c>
    </row>
    <row r="945" spans="1:2">
      <c r="A945" s="151" t="s">
        <v>2419</v>
      </c>
      <c r="B945" s="151" t="s">
        <v>2420</v>
      </c>
    </row>
    <row r="946" spans="1:2">
      <c r="A946" s="151" t="s">
        <v>2421</v>
      </c>
      <c r="B946" s="151" t="s">
        <v>2422</v>
      </c>
    </row>
    <row r="947" spans="1:2">
      <c r="A947" s="151" t="s">
        <v>2423</v>
      </c>
      <c r="B947" s="151" t="s">
        <v>2424</v>
      </c>
    </row>
    <row r="948" spans="1:2">
      <c r="A948" s="151" t="s">
        <v>2425</v>
      </c>
      <c r="B948" s="151" t="s">
        <v>2426</v>
      </c>
    </row>
    <row r="949" spans="1:2">
      <c r="A949" s="151" t="s">
        <v>2427</v>
      </c>
      <c r="B949" s="151" t="s">
        <v>2428</v>
      </c>
    </row>
    <row r="950" spans="1:2">
      <c r="A950" s="151" t="s">
        <v>2429</v>
      </c>
      <c r="B950" s="151" t="s">
        <v>2430</v>
      </c>
    </row>
    <row r="951" spans="1:2">
      <c r="A951" s="151" t="s">
        <v>2431</v>
      </c>
      <c r="B951" s="151" t="s">
        <v>2432</v>
      </c>
    </row>
    <row r="952" spans="1:2">
      <c r="A952" s="151" t="s">
        <v>2433</v>
      </c>
      <c r="B952" s="151" t="s">
        <v>2434</v>
      </c>
    </row>
    <row r="953" spans="1:2">
      <c r="A953" s="151" t="s">
        <v>2435</v>
      </c>
      <c r="B953" s="151" t="s">
        <v>2436</v>
      </c>
    </row>
    <row r="954" spans="1:2">
      <c r="A954" s="151" t="s">
        <v>2437</v>
      </c>
      <c r="B954" s="151" t="s">
        <v>2438</v>
      </c>
    </row>
    <row r="955" spans="1:2">
      <c r="A955" s="151" t="s">
        <v>2439</v>
      </c>
      <c r="B955" s="151" t="s">
        <v>2440</v>
      </c>
    </row>
    <row r="956" spans="1:2">
      <c r="A956" s="151" t="s">
        <v>2441</v>
      </c>
      <c r="B956" s="151" t="s">
        <v>2442</v>
      </c>
    </row>
    <row r="957" spans="1:2">
      <c r="A957" s="151" t="s">
        <v>2443</v>
      </c>
      <c r="B957" s="151" t="s">
        <v>2444</v>
      </c>
    </row>
    <row r="958" spans="1:2">
      <c r="A958" s="151" t="s">
        <v>2445</v>
      </c>
      <c r="B958" s="151" t="s">
        <v>2446</v>
      </c>
    </row>
    <row r="959" spans="1:2">
      <c r="A959" s="151" t="s">
        <v>2447</v>
      </c>
      <c r="B959" s="151" t="s">
        <v>2448</v>
      </c>
    </row>
    <row r="960" spans="1:2">
      <c r="A960" s="151" t="s">
        <v>2449</v>
      </c>
      <c r="B960" s="151" t="s">
        <v>2450</v>
      </c>
    </row>
    <row r="961" spans="1:2">
      <c r="A961" s="151" t="s">
        <v>2451</v>
      </c>
      <c r="B961" s="151" t="s">
        <v>2452</v>
      </c>
    </row>
    <row r="962" spans="1:2">
      <c r="A962" s="151" t="s">
        <v>2453</v>
      </c>
      <c r="B962" s="151" t="s">
        <v>2454</v>
      </c>
    </row>
    <row r="963" spans="1:2">
      <c r="A963" s="151" t="s">
        <v>2455</v>
      </c>
      <c r="B963" s="151" t="s">
        <v>2456</v>
      </c>
    </row>
    <row r="964" spans="1:2">
      <c r="A964" s="151" t="s">
        <v>2457</v>
      </c>
      <c r="B964" s="151" t="s">
        <v>2458</v>
      </c>
    </row>
    <row r="965" spans="1:2">
      <c r="A965" s="151" t="s">
        <v>2459</v>
      </c>
      <c r="B965" s="151" t="s">
        <v>2460</v>
      </c>
    </row>
    <row r="966" spans="1:2">
      <c r="A966" s="151" t="s">
        <v>2461</v>
      </c>
      <c r="B966" s="151" t="s">
        <v>294</v>
      </c>
    </row>
    <row r="967" spans="1:2">
      <c r="A967" s="151" t="s">
        <v>2462</v>
      </c>
      <c r="B967" s="151" t="s">
        <v>2463</v>
      </c>
    </row>
    <row r="968" spans="1:2">
      <c r="A968" s="151" t="s">
        <v>2464</v>
      </c>
      <c r="B968" s="151" t="s">
        <v>2465</v>
      </c>
    </row>
    <row r="969" spans="1:2">
      <c r="A969" s="151" t="s">
        <v>2466</v>
      </c>
      <c r="B969" s="151" t="s">
        <v>2467</v>
      </c>
    </row>
    <row r="970" spans="1:2">
      <c r="A970" s="151" t="s">
        <v>2468</v>
      </c>
      <c r="B970" s="151" t="s">
        <v>2469</v>
      </c>
    </row>
    <row r="971" spans="1:2">
      <c r="A971" s="151" t="s">
        <v>2470</v>
      </c>
      <c r="B971" s="151" t="s">
        <v>2471</v>
      </c>
    </row>
    <row r="972" spans="1:2">
      <c r="A972" s="151" t="s">
        <v>2472</v>
      </c>
      <c r="B972" s="151" t="s">
        <v>2473</v>
      </c>
    </row>
    <row r="973" spans="1:2">
      <c r="A973" s="151" t="s">
        <v>2474</v>
      </c>
      <c r="B973" s="151" t="s">
        <v>2475</v>
      </c>
    </row>
    <row r="974" spans="1:2">
      <c r="A974" s="151" t="s">
        <v>2476</v>
      </c>
      <c r="B974" s="151" t="s">
        <v>2477</v>
      </c>
    </row>
    <row r="975" spans="1:2">
      <c r="A975" s="151" t="s">
        <v>2478</v>
      </c>
      <c r="B975" s="151" t="s">
        <v>2479</v>
      </c>
    </row>
    <row r="976" spans="1:2">
      <c r="A976" s="151" t="s">
        <v>2480</v>
      </c>
      <c r="B976" s="151" t="s">
        <v>2481</v>
      </c>
    </row>
    <row r="977" spans="1:2">
      <c r="A977" s="151" t="s">
        <v>2482</v>
      </c>
      <c r="B977" s="151" t="s">
        <v>2483</v>
      </c>
    </row>
    <row r="978" spans="1:2">
      <c r="A978" s="151" t="s">
        <v>2484</v>
      </c>
      <c r="B978" s="151" t="s">
        <v>2485</v>
      </c>
    </row>
    <row r="979" spans="1:2">
      <c r="A979" s="151" t="s">
        <v>2486</v>
      </c>
      <c r="B979" s="151" t="s">
        <v>2487</v>
      </c>
    </row>
    <row r="980" spans="1:2">
      <c r="A980" s="151" t="s">
        <v>2488</v>
      </c>
      <c r="B980" s="151" t="s">
        <v>2489</v>
      </c>
    </row>
    <row r="981" spans="1:2">
      <c r="A981" s="151" t="s">
        <v>2490</v>
      </c>
      <c r="B981" s="151" t="s">
        <v>2491</v>
      </c>
    </row>
    <row r="982" spans="1:2">
      <c r="A982" s="151" t="s">
        <v>2492</v>
      </c>
      <c r="B982" s="151" t="s">
        <v>2493</v>
      </c>
    </row>
    <row r="983" spans="1:2">
      <c r="A983" s="151" t="s">
        <v>2494</v>
      </c>
      <c r="B983" s="151" t="s">
        <v>2495</v>
      </c>
    </row>
    <row r="984" spans="1:2">
      <c r="A984" s="151" t="s">
        <v>2496</v>
      </c>
      <c r="B984" s="151" t="s">
        <v>2497</v>
      </c>
    </row>
    <row r="985" spans="1:2">
      <c r="A985" s="151" t="s">
        <v>2498</v>
      </c>
      <c r="B985" s="151" t="s">
        <v>2499</v>
      </c>
    </row>
    <row r="986" spans="1:2">
      <c r="A986" s="151" t="s">
        <v>2500</v>
      </c>
      <c r="B986" s="151" t="s">
        <v>2501</v>
      </c>
    </row>
    <row r="987" spans="1:2">
      <c r="A987" s="151" t="s">
        <v>2502</v>
      </c>
      <c r="B987" s="151" t="s">
        <v>2503</v>
      </c>
    </row>
    <row r="988" spans="1:2">
      <c r="A988" s="151" t="s">
        <v>2504</v>
      </c>
      <c r="B988" s="151" t="s">
        <v>2505</v>
      </c>
    </row>
    <row r="989" spans="1:2">
      <c r="A989" s="151" t="s">
        <v>2506</v>
      </c>
      <c r="B989" s="151" t="s">
        <v>2507</v>
      </c>
    </row>
    <row r="990" spans="1:2">
      <c r="A990" s="151" t="s">
        <v>2508</v>
      </c>
      <c r="B990" s="151" t="s">
        <v>2509</v>
      </c>
    </row>
    <row r="991" spans="1:2">
      <c r="A991" s="151" t="s">
        <v>2510</v>
      </c>
      <c r="B991" s="151" t="s">
        <v>299</v>
      </c>
    </row>
    <row r="992" spans="1:2">
      <c r="A992" s="151" t="s">
        <v>2511</v>
      </c>
      <c r="B992" s="151" t="s">
        <v>2512</v>
      </c>
    </row>
    <row r="993" spans="1:2">
      <c r="A993" s="151" t="s">
        <v>2513</v>
      </c>
      <c r="B993" s="151" t="s">
        <v>2514</v>
      </c>
    </row>
    <row r="994" spans="1:2">
      <c r="A994" s="151" t="s">
        <v>2515</v>
      </c>
      <c r="B994" s="151" t="s">
        <v>2516</v>
      </c>
    </row>
    <row r="995" spans="1:2">
      <c r="A995" s="151" t="s">
        <v>2517</v>
      </c>
      <c r="B995" s="151" t="s">
        <v>2518</v>
      </c>
    </row>
    <row r="996" spans="1:2">
      <c r="A996" s="151" t="s">
        <v>2519</v>
      </c>
      <c r="B996" s="151" t="s">
        <v>2520</v>
      </c>
    </row>
    <row r="997" spans="1:2">
      <c r="A997" s="151" t="s">
        <v>2521</v>
      </c>
      <c r="B997" s="151" t="s">
        <v>2522</v>
      </c>
    </row>
    <row r="998" spans="1:2">
      <c r="A998" s="151" t="s">
        <v>2523</v>
      </c>
      <c r="B998" s="151" t="s">
        <v>2524</v>
      </c>
    </row>
    <row r="999" spans="1:2">
      <c r="A999" s="151" t="s">
        <v>2525</v>
      </c>
      <c r="B999" s="151" t="s">
        <v>2526</v>
      </c>
    </row>
    <row r="1000" spans="1:2">
      <c r="A1000" s="151" t="s">
        <v>2527</v>
      </c>
      <c r="B1000" s="151" t="s">
        <v>2528</v>
      </c>
    </row>
    <row r="1001" spans="1:2">
      <c r="A1001" s="151" t="s">
        <v>2529</v>
      </c>
      <c r="B1001" s="151" t="s">
        <v>2530</v>
      </c>
    </row>
    <row r="1002" spans="1:2">
      <c r="A1002" s="151" t="s">
        <v>2531</v>
      </c>
      <c r="B1002" s="151" t="s">
        <v>2532</v>
      </c>
    </row>
    <row r="1003" spans="1:2">
      <c r="A1003" s="151" t="s">
        <v>2533</v>
      </c>
      <c r="B1003" s="151" t="s">
        <v>2534</v>
      </c>
    </row>
    <row r="1004" spans="1:2">
      <c r="A1004" s="151" t="s">
        <v>2535</v>
      </c>
      <c r="B1004" s="151" t="s">
        <v>2536</v>
      </c>
    </row>
    <row r="1005" spans="1:2">
      <c r="A1005" s="151" t="s">
        <v>2537</v>
      </c>
      <c r="B1005" s="151" t="s">
        <v>2538</v>
      </c>
    </row>
    <row r="1006" spans="1:2">
      <c r="A1006" s="151" t="s">
        <v>2539</v>
      </c>
      <c r="B1006" s="151" t="s">
        <v>2540</v>
      </c>
    </row>
    <row r="1007" spans="1:2">
      <c r="A1007" s="151" t="s">
        <v>2541</v>
      </c>
      <c r="B1007" s="151" t="s">
        <v>2542</v>
      </c>
    </row>
    <row r="1008" spans="1:2">
      <c r="A1008" s="151" t="s">
        <v>2543</v>
      </c>
      <c r="B1008" s="151" t="s">
        <v>2544</v>
      </c>
    </row>
    <row r="1009" spans="1:2">
      <c r="A1009" s="151" t="s">
        <v>2545</v>
      </c>
      <c r="B1009" s="151" t="s">
        <v>2546</v>
      </c>
    </row>
    <row r="1010" spans="1:2">
      <c r="A1010" s="151" t="s">
        <v>2547</v>
      </c>
      <c r="B1010" s="151" t="s">
        <v>2548</v>
      </c>
    </row>
    <row r="1011" spans="1:2">
      <c r="A1011" s="151" t="s">
        <v>2549</v>
      </c>
      <c r="B1011" s="151" t="s">
        <v>2550</v>
      </c>
    </row>
    <row r="1012" spans="1:2">
      <c r="A1012" s="151" t="s">
        <v>2551</v>
      </c>
      <c r="B1012" s="151" t="s">
        <v>2552</v>
      </c>
    </row>
    <row r="1013" spans="1:2">
      <c r="A1013" s="151" t="s">
        <v>2553</v>
      </c>
      <c r="B1013" s="151" t="s">
        <v>2554</v>
      </c>
    </row>
    <row r="1014" spans="1:2">
      <c r="A1014" s="151" t="s">
        <v>2555</v>
      </c>
      <c r="B1014" s="151" t="s">
        <v>2556</v>
      </c>
    </row>
    <row r="1015" spans="1:2">
      <c r="A1015" s="151" t="s">
        <v>2557</v>
      </c>
      <c r="B1015" s="151" t="s">
        <v>2558</v>
      </c>
    </row>
    <row r="1016" spans="1:2">
      <c r="A1016" s="151" t="s">
        <v>2559</v>
      </c>
      <c r="B1016" s="151" t="s">
        <v>2560</v>
      </c>
    </row>
    <row r="1017" spans="1:2">
      <c r="A1017" s="151" t="s">
        <v>2561</v>
      </c>
      <c r="B1017" s="151" t="s">
        <v>2562</v>
      </c>
    </row>
    <row r="1018" spans="1:2">
      <c r="A1018" s="151" t="s">
        <v>2563</v>
      </c>
      <c r="B1018" s="151" t="s">
        <v>2564</v>
      </c>
    </row>
    <row r="1019" spans="1:2">
      <c r="A1019" s="151" t="s">
        <v>2565</v>
      </c>
      <c r="B1019" s="151" t="s">
        <v>2566</v>
      </c>
    </row>
    <row r="1020" spans="1:2">
      <c r="A1020" s="151" t="s">
        <v>2567</v>
      </c>
      <c r="B1020" s="151" t="s">
        <v>2568</v>
      </c>
    </row>
    <row r="1021" spans="1:2">
      <c r="A1021" s="151" t="s">
        <v>2569</v>
      </c>
      <c r="B1021" s="151" t="s">
        <v>2570</v>
      </c>
    </row>
    <row r="1022" spans="1:2">
      <c r="A1022" s="151" t="s">
        <v>2571</v>
      </c>
      <c r="B1022" s="151" t="s">
        <v>2572</v>
      </c>
    </row>
    <row r="1023" spans="1:2">
      <c r="A1023" s="151" t="s">
        <v>2573</v>
      </c>
      <c r="B1023" s="151" t="s">
        <v>2574</v>
      </c>
    </row>
    <row r="1024" spans="1:2">
      <c r="A1024" s="151" t="s">
        <v>2575</v>
      </c>
      <c r="B1024" s="151" t="s">
        <v>2576</v>
      </c>
    </row>
    <row r="1025" spans="1:2">
      <c r="A1025" s="151" t="s">
        <v>2577</v>
      </c>
      <c r="B1025" s="151" t="s">
        <v>2578</v>
      </c>
    </row>
    <row r="1026" spans="1:2">
      <c r="A1026" s="151" t="s">
        <v>2579</v>
      </c>
      <c r="B1026" s="151" t="s">
        <v>2580</v>
      </c>
    </row>
    <row r="1027" spans="1:2">
      <c r="A1027" s="151" t="s">
        <v>2581</v>
      </c>
      <c r="B1027" s="151" t="s">
        <v>2582</v>
      </c>
    </row>
    <row r="1028" spans="1:2">
      <c r="A1028" s="151" t="s">
        <v>2583</v>
      </c>
      <c r="B1028" s="151" t="s">
        <v>2584</v>
      </c>
    </row>
    <row r="1029" spans="1:2">
      <c r="A1029" s="151" t="s">
        <v>2585</v>
      </c>
      <c r="B1029" s="151" t="s">
        <v>2586</v>
      </c>
    </row>
    <row r="1030" spans="1:2">
      <c r="A1030" s="151" t="s">
        <v>2587</v>
      </c>
      <c r="B1030" s="151" t="s">
        <v>2588</v>
      </c>
    </row>
    <row r="1031" spans="1:2">
      <c r="A1031" s="151" t="s">
        <v>2589</v>
      </c>
      <c r="B1031" s="151" t="s">
        <v>2590</v>
      </c>
    </row>
    <row r="1032" spans="1:2">
      <c r="A1032" s="151" t="s">
        <v>2591</v>
      </c>
      <c r="B1032" s="151" t="s">
        <v>2592</v>
      </c>
    </row>
    <row r="1033" spans="1:2">
      <c r="A1033" s="151" t="s">
        <v>2593</v>
      </c>
      <c r="B1033" s="151" t="s">
        <v>2594</v>
      </c>
    </row>
    <row r="1034" spans="1:2">
      <c r="A1034" s="151" t="s">
        <v>2595</v>
      </c>
      <c r="B1034" s="151" t="s">
        <v>2596</v>
      </c>
    </row>
    <row r="1035" spans="1:2">
      <c r="A1035" s="151" t="s">
        <v>2597</v>
      </c>
      <c r="B1035" s="151" t="s">
        <v>2598</v>
      </c>
    </row>
    <row r="1036" spans="1:2">
      <c r="A1036" s="151" t="s">
        <v>2599</v>
      </c>
      <c r="B1036" s="151" t="s">
        <v>2600</v>
      </c>
    </row>
    <row r="1037" spans="1:2">
      <c r="A1037" s="151" t="s">
        <v>2601</v>
      </c>
      <c r="B1037" s="151" t="s">
        <v>2602</v>
      </c>
    </row>
    <row r="1038" spans="1:2">
      <c r="A1038" s="151" t="s">
        <v>2603</v>
      </c>
      <c r="B1038" s="151" t="s">
        <v>2604</v>
      </c>
    </row>
    <row r="1039" spans="1:2">
      <c r="A1039" s="151" t="s">
        <v>2605</v>
      </c>
      <c r="B1039" s="151" t="s">
        <v>2606</v>
      </c>
    </row>
    <row r="1040" spans="1:2">
      <c r="A1040" s="151" t="s">
        <v>2607</v>
      </c>
      <c r="B1040" s="151" t="s">
        <v>2608</v>
      </c>
    </row>
    <row r="1041" spans="1:2">
      <c r="A1041" s="151" t="s">
        <v>2609</v>
      </c>
      <c r="B1041" s="151" t="s">
        <v>2610</v>
      </c>
    </row>
    <row r="1042" spans="1:2">
      <c r="A1042" s="151" t="s">
        <v>2611</v>
      </c>
      <c r="B1042" s="151" t="s">
        <v>2612</v>
      </c>
    </row>
    <row r="1043" spans="1:2">
      <c r="A1043" s="151" t="s">
        <v>2613</v>
      </c>
      <c r="B1043" s="151" t="s">
        <v>2614</v>
      </c>
    </row>
    <row r="1044" spans="1:2">
      <c r="A1044" s="151" t="s">
        <v>2615</v>
      </c>
      <c r="B1044" s="151" t="s">
        <v>2616</v>
      </c>
    </row>
    <row r="1045" spans="1:2">
      <c r="A1045" s="151" t="s">
        <v>2617</v>
      </c>
      <c r="B1045" s="151" t="s">
        <v>2618</v>
      </c>
    </row>
    <row r="1046" spans="1:2">
      <c r="A1046" s="151" t="s">
        <v>2619</v>
      </c>
      <c r="B1046" s="151" t="s">
        <v>2620</v>
      </c>
    </row>
    <row r="1047" spans="1:2">
      <c r="A1047" s="151" t="s">
        <v>2621</v>
      </c>
      <c r="B1047" s="151" t="s">
        <v>2622</v>
      </c>
    </row>
    <row r="1048" spans="1:2">
      <c r="A1048" s="151" t="s">
        <v>2623</v>
      </c>
      <c r="B1048" s="151" t="s">
        <v>2624</v>
      </c>
    </row>
    <row r="1049" spans="1:2">
      <c r="A1049" s="151" t="s">
        <v>2625</v>
      </c>
      <c r="B1049" s="151" t="s">
        <v>2626</v>
      </c>
    </row>
    <row r="1050" spans="1:2">
      <c r="A1050" s="151" t="s">
        <v>2627</v>
      </c>
      <c r="B1050" s="151" t="s">
        <v>2628</v>
      </c>
    </row>
    <row r="1051" spans="1:2">
      <c r="A1051" s="151" t="s">
        <v>2629</v>
      </c>
      <c r="B1051" s="151" t="s">
        <v>2630</v>
      </c>
    </row>
    <row r="1052" spans="1:2">
      <c r="A1052" s="151" t="s">
        <v>2631</v>
      </c>
      <c r="B1052" s="151" t="s">
        <v>2632</v>
      </c>
    </row>
    <row r="1053" spans="1:2">
      <c r="A1053" s="151" t="s">
        <v>2633</v>
      </c>
      <c r="B1053" s="151" t="s">
        <v>2634</v>
      </c>
    </row>
    <row r="1054" spans="1:2">
      <c r="A1054" s="151" t="s">
        <v>2635</v>
      </c>
      <c r="B1054" s="151" t="s">
        <v>2636</v>
      </c>
    </row>
    <row r="1055" spans="1:2">
      <c r="A1055" s="151" t="s">
        <v>2637</v>
      </c>
      <c r="B1055" s="151" t="s">
        <v>2638</v>
      </c>
    </row>
    <row r="1056" spans="1:2">
      <c r="A1056" s="151" t="s">
        <v>2639</v>
      </c>
      <c r="B1056" s="151" t="s">
        <v>2640</v>
      </c>
    </row>
    <row r="1057" spans="1:2">
      <c r="A1057" s="151" t="s">
        <v>2641</v>
      </c>
      <c r="B1057" s="151" t="s">
        <v>2642</v>
      </c>
    </row>
    <row r="1058" spans="1:2">
      <c r="A1058" s="151" t="s">
        <v>2643</v>
      </c>
      <c r="B1058" s="151" t="s">
        <v>2644</v>
      </c>
    </row>
    <row r="1059" spans="1:2">
      <c r="A1059" s="151" t="s">
        <v>2645</v>
      </c>
      <c r="B1059" s="151" t="s">
        <v>2646</v>
      </c>
    </row>
    <row r="1060" spans="1:2">
      <c r="A1060" s="151" t="s">
        <v>2647</v>
      </c>
      <c r="B1060" s="151" t="s">
        <v>2648</v>
      </c>
    </row>
    <row r="1061" spans="1:2">
      <c r="A1061" s="151" t="s">
        <v>2649</v>
      </c>
      <c r="B1061" s="151" t="s">
        <v>2650</v>
      </c>
    </row>
    <row r="1062" spans="1:2">
      <c r="A1062" s="151" t="s">
        <v>2651</v>
      </c>
      <c r="B1062" s="151" t="s">
        <v>2652</v>
      </c>
    </row>
    <row r="1063" spans="1:2">
      <c r="A1063" s="151" t="s">
        <v>2653</v>
      </c>
      <c r="B1063" s="151" t="s">
        <v>2654</v>
      </c>
    </row>
    <row r="1064" spans="1:2">
      <c r="A1064" s="151" t="s">
        <v>2655</v>
      </c>
      <c r="B1064" s="151" t="s">
        <v>2656</v>
      </c>
    </row>
    <row r="1065" spans="1:2">
      <c r="A1065" s="151" t="s">
        <v>2657</v>
      </c>
      <c r="B1065" s="151" t="s">
        <v>2658</v>
      </c>
    </row>
    <row r="1066" spans="1:2">
      <c r="A1066" s="151" t="s">
        <v>2659</v>
      </c>
      <c r="B1066" s="151" t="s">
        <v>2660</v>
      </c>
    </row>
    <row r="1067" spans="1:2">
      <c r="A1067" s="151" t="s">
        <v>2661</v>
      </c>
      <c r="B1067" s="151" t="s">
        <v>2662</v>
      </c>
    </row>
    <row r="1068" spans="1:2">
      <c r="A1068" s="151" t="s">
        <v>2663</v>
      </c>
      <c r="B1068" s="151" t="s">
        <v>2664</v>
      </c>
    </row>
    <row r="1069" spans="1:2">
      <c r="A1069" s="151" t="s">
        <v>2665</v>
      </c>
      <c r="B1069" s="151" t="s">
        <v>2666</v>
      </c>
    </row>
    <row r="1070" spans="1:2">
      <c r="A1070" s="151" t="s">
        <v>2667</v>
      </c>
      <c r="B1070" s="151" t="s">
        <v>2668</v>
      </c>
    </row>
    <row r="1071" spans="1:2">
      <c r="A1071" s="151" t="s">
        <v>2669</v>
      </c>
      <c r="B1071" s="151" t="s">
        <v>2670</v>
      </c>
    </row>
    <row r="1072" spans="1:2">
      <c r="A1072" s="151" t="s">
        <v>2671</v>
      </c>
      <c r="B1072" s="151" t="s">
        <v>2672</v>
      </c>
    </row>
    <row r="1073" spans="1:2">
      <c r="A1073" s="151" t="s">
        <v>2673</v>
      </c>
      <c r="B1073" s="151" t="s">
        <v>2674</v>
      </c>
    </row>
    <row r="1074" spans="1:2">
      <c r="A1074" s="151" t="s">
        <v>2675</v>
      </c>
      <c r="B1074" s="151" t="s">
        <v>2676</v>
      </c>
    </row>
    <row r="1075" spans="1:2">
      <c r="A1075" s="151" t="s">
        <v>2677</v>
      </c>
      <c r="B1075" s="151" t="s">
        <v>2678</v>
      </c>
    </row>
    <row r="1076" spans="1:2">
      <c r="A1076" s="151" t="s">
        <v>2679</v>
      </c>
      <c r="B1076" s="151" t="s">
        <v>2680</v>
      </c>
    </row>
    <row r="1077" spans="1:2">
      <c r="A1077" s="151" t="s">
        <v>2681</v>
      </c>
      <c r="B1077" s="151" t="s">
        <v>2682</v>
      </c>
    </row>
    <row r="1078" spans="1:2">
      <c r="A1078" s="151" t="s">
        <v>2683</v>
      </c>
      <c r="B1078" s="151" t="s">
        <v>2684</v>
      </c>
    </row>
    <row r="1079" spans="1:2">
      <c r="A1079" s="151" t="s">
        <v>2685</v>
      </c>
      <c r="B1079" s="151" t="s">
        <v>2686</v>
      </c>
    </row>
    <row r="1080" spans="1:2">
      <c r="A1080" s="151" t="s">
        <v>2687</v>
      </c>
      <c r="B1080" s="151" t="s">
        <v>2688</v>
      </c>
    </row>
    <row r="1081" spans="1:2">
      <c r="A1081" s="151" t="s">
        <v>2689</v>
      </c>
      <c r="B1081" s="151" t="s">
        <v>2690</v>
      </c>
    </row>
    <row r="1082" spans="1:2">
      <c r="A1082" s="151" t="s">
        <v>2691</v>
      </c>
      <c r="B1082" s="151" t="s">
        <v>2692</v>
      </c>
    </row>
    <row r="1083" spans="1:2">
      <c r="A1083" s="151" t="s">
        <v>2693</v>
      </c>
      <c r="B1083" s="151" t="s">
        <v>2694</v>
      </c>
    </row>
    <row r="1084" spans="1:2">
      <c r="A1084" s="151" t="s">
        <v>2695</v>
      </c>
      <c r="B1084" s="151" t="s">
        <v>2696</v>
      </c>
    </row>
    <row r="1085" spans="1:2">
      <c r="A1085" s="151" t="s">
        <v>2697</v>
      </c>
      <c r="B1085" s="151" t="s">
        <v>2698</v>
      </c>
    </row>
    <row r="1086" spans="1:2">
      <c r="A1086" s="151" t="s">
        <v>2699</v>
      </c>
      <c r="B1086" s="151" t="s">
        <v>2700</v>
      </c>
    </row>
    <row r="1087" spans="1:2">
      <c r="A1087" s="151" t="s">
        <v>2701</v>
      </c>
      <c r="B1087" s="151" t="s">
        <v>2702</v>
      </c>
    </row>
    <row r="1088" spans="1:2">
      <c r="A1088" s="151" t="s">
        <v>2703</v>
      </c>
      <c r="B1088" s="151" t="s">
        <v>2704</v>
      </c>
    </row>
    <row r="1089" spans="1:2">
      <c r="A1089" s="151" t="s">
        <v>2705</v>
      </c>
      <c r="B1089" s="151" t="s">
        <v>2706</v>
      </c>
    </row>
    <row r="1090" spans="1:2">
      <c r="A1090" s="151" t="s">
        <v>2707</v>
      </c>
      <c r="B1090" s="151" t="s">
        <v>2708</v>
      </c>
    </row>
    <row r="1091" spans="1:2">
      <c r="A1091" s="151" t="s">
        <v>2709</v>
      </c>
      <c r="B1091" s="151" t="s">
        <v>2710</v>
      </c>
    </row>
    <row r="1092" spans="1:2">
      <c r="A1092" s="151" t="s">
        <v>2711</v>
      </c>
      <c r="B1092" s="151" t="s">
        <v>2712</v>
      </c>
    </row>
    <row r="1093" spans="1:2">
      <c r="A1093" s="151" t="s">
        <v>2713</v>
      </c>
      <c r="B1093" s="151" t="s">
        <v>2714</v>
      </c>
    </row>
    <row r="1094" spans="1:2">
      <c r="A1094" s="151" t="s">
        <v>2715</v>
      </c>
      <c r="B1094" s="151" t="s">
        <v>2716</v>
      </c>
    </row>
    <row r="1095" spans="1:2">
      <c r="A1095" s="151" t="s">
        <v>2717</v>
      </c>
      <c r="B1095" s="151" t="s">
        <v>2718</v>
      </c>
    </row>
    <row r="1096" spans="1:2">
      <c r="A1096" s="151" t="s">
        <v>2719</v>
      </c>
      <c r="B1096" s="151" t="s">
        <v>2720</v>
      </c>
    </row>
    <row r="1097" spans="1:2">
      <c r="A1097" s="151" t="s">
        <v>2721</v>
      </c>
      <c r="B1097" s="151" t="s">
        <v>2722</v>
      </c>
    </row>
    <row r="1098" spans="1:2">
      <c r="A1098" s="151" t="s">
        <v>2723</v>
      </c>
      <c r="B1098" s="151" t="s">
        <v>2724</v>
      </c>
    </row>
    <row r="1099" spans="1:2">
      <c r="A1099" s="151" t="s">
        <v>2725</v>
      </c>
      <c r="B1099" s="151" t="s">
        <v>2726</v>
      </c>
    </row>
    <row r="1100" spans="1:2">
      <c r="A1100" s="151" t="s">
        <v>2727</v>
      </c>
      <c r="B1100" s="151" t="s">
        <v>2728</v>
      </c>
    </row>
    <row r="1101" spans="1:2">
      <c r="A1101" s="151" t="s">
        <v>2729</v>
      </c>
      <c r="B1101" s="151" t="s">
        <v>2730</v>
      </c>
    </row>
    <row r="1102" spans="1:2">
      <c r="A1102" s="151" t="s">
        <v>2731</v>
      </c>
      <c r="B1102" s="151" t="s">
        <v>2732</v>
      </c>
    </row>
    <row r="1103" spans="1:2">
      <c r="A1103" s="151" t="s">
        <v>2733</v>
      </c>
      <c r="B1103" s="151" t="s">
        <v>2734</v>
      </c>
    </row>
    <row r="1104" spans="1:2">
      <c r="A1104" s="151" t="s">
        <v>2735</v>
      </c>
      <c r="B1104" s="151" t="s">
        <v>2736</v>
      </c>
    </row>
    <row r="1105" spans="1:2">
      <c r="A1105" s="151" t="s">
        <v>2737</v>
      </c>
      <c r="B1105" s="151" t="s">
        <v>2738</v>
      </c>
    </row>
    <row r="1106" spans="1:2">
      <c r="A1106" s="151" t="s">
        <v>2739</v>
      </c>
      <c r="B1106" s="151" t="s">
        <v>2740</v>
      </c>
    </row>
    <row r="1107" spans="1:2">
      <c r="A1107" s="151" t="s">
        <v>2741</v>
      </c>
      <c r="B1107" s="151" t="s">
        <v>2742</v>
      </c>
    </row>
    <row r="1108" spans="1:2">
      <c r="A1108" s="151" t="s">
        <v>2743</v>
      </c>
      <c r="B1108" s="151" t="s">
        <v>2744</v>
      </c>
    </row>
    <row r="1109" spans="1:2">
      <c r="A1109" s="151" t="s">
        <v>2745</v>
      </c>
      <c r="B1109" s="151" t="s">
        <v>2746</v>
      </c>
    </row>
    <row r="1110" spans="1:2">
      <c r="A1110" s="151" t="s">
        <v>2747</v>
      </c>
      <c r="B1110" s="151" t="s">
        <v>2748</v>
      </c>
    </row>
    <row r="1111" spans="1:2">
      <c r="A1111" s="151" t="s">
        <v>2749</v>
      </c>
      <c r="B1111" s="151" t="s">
        <v>2750</v>
      </c>
    </row>
    <row r="1112" spans="1:2">
      <c r="A1112" s="151" t="s">
        <v>2751</v>
      </c>
      <c r="B1112" s="151" t="s">
        <v>2752</v>
      </c>
    </row>
    <row r="1113" spans="1:2">
      <c r="A1113" s="151" t="s">
        <v>2753</v>
      </c>
      <c r="B1113" s="151" t="s">
        <v>2754</v>
      </c>
    </row>
    <row r="1114" spans="1:2">
      <c r="A1114" s="151" t="s">
        <v>2755</v>
      </c>
      <c r="B1114" s="151" t="s">
        <v>2756</v>
      </c>
    </row>
    <row r="1115" spans="1:2">
      <c r="A1115" s="151" t="s">
        <v>2757</v>
      </c>
      <c r="B1115" s="151" t="s">
        <v>2758</v>
      </c>
    </row>
    <row r="1116" spans="1:2">
      <c r="A1116" s="151" t="s">
        <v>2759</v>
      </c>
      <c r="B1116" s="151" t="s">
        <v>2760</v>
      </c>
    </row>
    <row r="1117" spans="1:2">
      <c r="A1117" s="151" t="s">
        <v>2761</v>
      </c>
      <c r="B1117" s="151" t="s">
        <v>2762</v>
      </c>
    </row>
    <row r="1118" spans="1:2">
      <c r="A1118" s="151" t="s">
        <v>2763</v>
      </c>
      <c r="B1118" s="151" t="s">
        <v>2764</v>
      </c>
    </row>
    <row r="1119" spans="1:2">
      <c r="A1119" s="151" t="s">
        <v>2765</v>
      </c>
      <c r="B1119" s="151" t="s">
        <v>2766</v>
      </c>
    </row>
    <row r="1120" spans="1:2">
      <c r="A1120" s="151" t="s">
        <v>2767</v>
      </c>
      <c r="B1120" s="151" t="s">
        <v>2768</v>
      </c>
    </row>
    <row r="1121" spans="1:2">
      <c r="A1121" s="151" t="s">
        <v>2769</v>
      </c>
      <c r="B1121" s="151" t="s">
        <v>2770</v>
      </c>
    </row>
    <row r="1122" spans="1:2">
      <c r="A1122" s="151" t="s">
        <v>2771</v>
      </c>
      <c r="B1122" s="151" t="s">
        <v>2772</v>
      </c>
    </row>
    <row r="1123" spans="1:2">
      <c r="A1123" s="151" t="s">
        <v>2773</v>
      </c>
      <c r="B1123" s="151" t="s">
        <v>2774</v>
      </c>
    </row>
    <row r="1124" spans="1:2">
      <c r="A1124" s="151" t="s">
        <v>2775</v>
      </c>
      <c r="B1124" s="151" t="s">
        <v>2776</v>
      </c>
    </row>
    <row r="1125" spans="1:2">
      <c r="A1125" s="151" t="s">
        <v>2777</v>
      </c>
      <c r="B1125" s="151" t="s">
        <v>2778</v>
      </c>
    </row>
    <row r="1126" spans="1:2">
      <c r="A1126" s="151" t="s">
        <v>2779</v>
      </c>
      <c r="B1126" s="151" t="s">
        <v>2780</v>
      </c>
    </row>
    <row r="1127" spans="1:2">
      <c r="A1127" s="151" t="s">
        <v>2781</v>
      </c>
      <c r="B1127" s="151" t="s">
        <v>2782</v>
      </c>
    </row>
    <row r="1128" spans="1:2">
      <c r="A1128" s="151" t="s">
        <v>2783</v>
      </c>
      <c r="B1128" s="151" t="s">
        <v>2784</v>
      </c>
    </row>
    <row r="1129" spans="1:2">
      <c r="A1129" s="151" t="s">
        <v>2785</v>
      </c>
      <c r="B1129" s="151" t="s">
        <v>2786</v>
      </c>
    </row>
    <row r="1130" spans="1:2">
      <c r="A1130" s="151" t="s">
        <v>2787</v>
      </c>
      <c r="B1130" s="151" t="s">
        <v>2788</v>
      </c>
    </row>
    <row r="1131" spans="1:2">
      <c r="A1131" s="151" t="s">
        <v>2789</v>
      </c>
      <c r="B1131" s="151" t="s">
        <v>2790</v>
      </c>
    </row>
    <row r="1132" spans="1:2">
      <c r="A1132" s="151" t="s">
        <v>2791</v>
      </c>
      <c r="B1132" s="151" t="s">
        <v>2792</v>
      </c>
    </row>
    <row r="1133" spans="1:2">
      <c r="A1133" s="151" t="s">
        <v>2793</v>
      </c>
      <c r="B1133" s="151" t="s">
        <v>2794</v>
      </c>
    </row>
    <row r="1134" spans="1:2">
      <c r="A1134" s="151" t="s">
        <v>2795</v>
      </c>
      <c r="B1134" s="151" t="s">
        <v>2796</v>
      </c>
    </row>
    <row r="1135" spans="1:2">
      <c r="A1135" s="151" t="s">
        <v>2797</v>
      </c>
      <c r="B1135" s="151" t="s">
        <v>2798</v>
      </c>
    </row>
    <row r="1136" spans="1:2">
      <c r="A1136" s="151" t="s">
        <v>2799</v>
      </c>
      <c r="B1136" s="151" t="s">
        <v>2800</v>
      </c>
    </row>
    <row r="1137" spans="1:2">
      <c r="A1137" s="151" t="s">
        <v>2801</v>
      </c>
      <c r="B1137" s="151" t="s">
        <v>2802</v>
      </c>
    </row>
    <row r="1138" spans="1:2">
      <c r="A1138" s="151" t="s">
        <v>2803</v>
      </c>
      <c r="B1138" s="151" t="s">
        <v>2804</v>
      </c>
    </row>
    <row r="1139" spans="1:2">
      <c r="A1139" s="151" t="s">
        <v>2805</v>
      </c>
      <c r="B1139" s="151" t="s">
        <v>2806</v>
      </c>
    </row>
    <row r="1140" spans="1:2">
      <c r="A1140" s="151" t="s">
        <v>2807</v>
      </c>
      <c r="B1140" s="151" t="s">
        <v>2808</v>
      </c>
    </row>
    <row r="1141" spans="1:2">
      <c r="A1141" s="151" t="s">
        <v>2809</v>
      </c>
      <c r="B1141" s="151" t="s">
        <v>2810</v>
      </c>
    </row>
    <row r="1142" spans="1:2">
      <c r="A1142" s="151" t="s">
        <v>2811</v>
      </c>
      <c r="B1142" s="151" t="s">
        <v>2812</v>
      </c>
    </row>
    <row r="1143" spans="1:2">
      <c r="A1143" s="151" t="s">
        <v>2813</v>
      </c>
      <c r="B1143" s="151" t="s">
        <v>2814</v>
      </c>
    </row>
    <row r="1144" spans="1:2">
      <c r="A1144" s="151" t="s">
        <v>2815</v>
      </c>
      <c r="B1144" s="151" t="s">
        <v>2816</v>
      </c>
    </row>
    <row r="1145" spans="1:2">
      <c r="A1145" s="151" t="s">
        <v>2817</v>
      </c>
      <c r="B1145" s="151" t="s">
        <v>2818</v>
      </c>
    </row>
    <row r="1146" spans="1:2">
      <c r="A1146" s="151" t="s">
        <v>2819</v>
      </c>
      <c r="B1146" s="151" t="s">
        <v>2820</v>
      </c>
    </row>
    <row r="1147" spans="1:2">
      <c r="A1147" s="151" t="s">
        <v>2821</v>
      </c>
      <c r="B1147" s="151" t="s">
        <v>2822</v>
      </c>
    </row>
    <row r="1148" spans="1:2">
      <c r="A1148" s="151" t="s">
        <v>2823</v>
      </c>
      <c r="B1148" s="151" t="s">
        <v>2824</v>
      </c>
    </row>
    <row r="1149" spans="1:2">
      <c r="A1149" s="151" t="s">
        <v>2825</v>
      </c>
      <c r="B1149" s="151" t="s">
        <v>2826</v>
      </c>
    </row>
    <row r="1150" spans="1:2">
      <c r="A1150" s="151" t="s">
        <v>2827</v>
      </c>
      <c r="B1150" s="151" t="s">
        <v>2828</v>
      </c>
    </row>
    <row r="1151" spans="1:2">
      <c r="A1151" s="151" t="s">
        <v>2829</v>
      </c>
      <c r="B1151" s="151" t="s">
        <v>2830</v>
      </c>
    </row>
    <row r="1152" spans="1:2">
      <c r="A1152" s="151" t="s">
        <v>2831</v>
      </c>
      <c r="B1152" s="151" t="s">
        <v>2832</v>
      </c>
    </row>
    <row r="1153" spans="1:2">
      <c r="A1153" s="151" t="s">
        <v>2833</v>
      </c>
      <c r="B1153" s="151" t="s">
        <v>2834</v>
      </c>
    </row>
    <row r="1154" spans="1:2">
      <c r="A1154" s="151" t="s">
        <v>2835</v>
      </c>
      <c r="B1154" s="151" t="s">
        <v>2836</v>
      </c>
    </row>
    <row r="1155" spans="1:2">
      <c r="A1155" s="151" t="s">
        <v>2837</v>
      </c>
      <c r="B1155" s="151" t="s">
        <v>2838</v>
      </c>
    </row>
    <row r="1156" spans="1:2">
      <c r="A1156" s="151" t="s">
        <v>2839</v>
      </c>
      <c r="B1156" s="151" t="s">
        <v>2840</v>
      </c>
    </row>
    <row r="1157" spans="1:2">
      <c r="A1157" s="151" t="s">
        <v>2841</v>
      </c>
      <c r="B1157" s="151" t="s">
        <v>2842</v>
      </c>
    </row>
    <row r="1158" spans="1:2">
      <c r="A1158" s="151" t="s">
        <v>2843</v>
      </c>
      <c r="B1158" s="151" t="s">
        <v>2844</v>
      </c>
    </row>
    <row r="1159" spans="1:2">
      <c r="A1159" s="151" t="s">
        <v>2845</v>
      </c>
      <c r="B1159" s="151" t="s">
        <v>2846</v>
      </c>
    </row>
    <row r="1160" spans="1:2">
      <c r="A1160" s="151" t="s">
        <v>2847</v>
      </c>
      <c r="B1160" s="151" t="s">
        <v>2848</v>
      </c>
    </row>
    <row r="1161" spans="1:2">
      <c r="A1161" s="151" t="s">
        <v>2849</v>
      </c>
      <c r="B1161" s="151" t="s">
        <v>2850</v>
      </c>
    </row>
    <row r="1162" spans="1:2">
      <c r="A1162" s="151" t="s">
        <v>2851</v>
      </c>
      <c r="B1162" s="151" t="s">
        <v>2852</v>
      </c>
    </row>
    <row r="1163" spans="1:2">
      <c r="A1163" s="151" t="s">
        <v>2853</v>
      </c>
      <c r="B1163" s="151" t="s">
        <v>2854</v>
      </c>
    </row>
    <row r="1164" spans="1:2">
      <c r="A1164" s="151" t="s">
        <v>2855</v>
      </c>
      <c r="B1164" s="151" t="s">
        <v>2856</v>
      </c>
    </row>
    <row r="1165" spans="1:2">
      <c r="A1165" s="151" t="s">
        <v>2857</v>
      </c>
      <c r="B1165" s="151" t="s">
        <v>2858</v>
      </c>
    </row>
    <row r="1166" spans="1:2">
      <c r="A1166" s="151" t="s">
        <v>2859</v>
      </c>
      <c r="B1166" s="151" t="s">
        <v>2860</v>
      </c>
    </row>
    <row r="1167" spans="1:2">
      <c r="A1167" s="151" t="s">
        <v>2861</v>
      </c>
      <c r="B1167" s="151" t="s">
        <v>2862</v>
      </c>
    </row>
    <row r="1168" spans="1:2">
      <c r="A1168" s="151" t="s">
        <v>2863</v>
      </c>
      <c r="B1168" s="151" t="s">
        <v>2864</v>
      </c>
    </row>
    <row r="1169" spans="1:2">
      <c r="A1169" s="151" t="s">
        <v>2865</v>
      </c>
      <c r="B1169" s="151" t="s">
        <v>2866</v>
      </c>
    </row>
    <row r="1170" spans="1:2">
      <c r="A1170" s="151" t="s">
        <v>2867</v>
      </c>
      <c r="B1170" s="151" t="s">
        <v>2868</v>
      </c>
    </row>
    <row r="1171" spans="1:2">
      <c r="A1171" s="151" t="s">
        <v>2869</v>
      </c>
      <c r="B1171" s="151" t="s">
        <v>2870</v>
      </c>
    </row>
    <row r="1172" spans="1:2">
      <c r="A1172" s="151" t="s">
        <v>2871</v>
      </c>
      <c r="B1172" s="151" t="s">
        <v>2872</v>
      </c>
    </row>
    <row r="1173" spans="1:2">
      <c r="A1173" s="151" t="s">
        <v>2873</v>
      </c>
      <c r="B1173" s="151" t="s">
        <v>2874</v>
      </c>
    </row>
    <row r="1174" spans="1:2">
      <c r="A1174" s="151" t="s">
        <v>2875</v>
      </c>
      <c r="B1174" s="151" t="s">
        <v>2876</v>
      </c>
    </row>
    <row r="1175" spans="1:2">
      <c r="A1175" s="151" t="s">
        <v>2877</v>
      </c>
      <c r="B1175" s="151" t="s">
        <v>2878</v>
      </c>
    </row>
    <row r="1176" spans="1:2">
      <c r="A1176" s="151" t="s">
        <v>2879</v>
      </c>
      <c r="B1176" s="151" t="s">
        <v>2880</v>
      </c>
    </row>
    <row r="1177" spans="1:2">
      <c r="A1177" s="151" t="s">
        <v>2881</v>
      </c>
      <c r="B1177" s="151" t="s">
        <v>2882</v>
      </c>
    </row>
    <row r="1178" spans="1:2">
      <c r="A1178" s="151" t="s">
        <v>2883</v>
      </c>
      <c r="B1178" s="151" t="s">
        <v>2884</v>
      </c>
    </row>
    <row r="1179" spans="1:2">
      <c r="A1179" s="151" t="s">
        <v>2885</v>
      </c>
      <c r="B1179" s="151" t="s">
        <v>2886</v>
      </c>
    </row>
    <row r="1180" spans="1:2">
      <c r="A1180" s="151" t="s">
        <v>2887</v>
      </c>
      <c r="B1180" s="151" t="s">
        <v>2888</v>
      </c>
    </row>
    <row r="1181" spans="1:2">
      <c r="A1181" s="151" t="s">
        <v>2889</v>
      </c>
      <c r="B1181" s="151" t="s">
        <v>2890</v>
      </c>
    </row>
    <row r="1182" spans="1:2">
      <c r="A1182" s="151" t="s">
        <v>2891</v>
      </c>
      <c r="B1182" s="151" t="s">
        <v>2892</v>
      </c>
    </row>
    <row r="1183" spans="1:2">
      <c r="A1183" s="151" t="s">
        <v>2893</v>
      </c>
      <c r="B1183" s="151" t="s">
        <v>2894</v>
      </c>
    </row>
    <row r="1184" spans="1:2">
      <c r="A1184" s="151" t="s">
        <v>2895</v>
      </c>
      <c r="B1184" s="151" t="s">
        <v>2896</v>
      </c>
    </row>
    <row r="1185" spans="1:2">
      <c r="A1185" s="151" t="s">
        <v>2897</v>
      </c>
      <c r="B1185" s="151" t="s">
        <v>2898</v>
      </c>
    </row>
    <row r="1186" spans="1:2">
      <c r="A1186" s="151" t="s">
        <v>2899</v>
      </c>
      <c r="B1186" s="151" t="s">
        <v>2900</v>
      </c>
    </row>
    <row r="1187" spans="1:2">
      <c r="A1187" s="151" t="s">
        <v>2901</v>
      </c>
      <c r="B1187" s="151" t="s">
        <v>2902</v>
      </c>
    </row>
    <row r="1188" spans="1:2">
      <c r="A1188" s="151" t="s">
        <v>2903</v>
      </c>
      <c r="B1188" s="151" t="s">
        <v>2904</v>
      </c>
    </row>
    <row r="1189" spans="1:2">
      <c r="A1189" s="151" t="s">
        <v>2905</v>
      </c>
      <c r="B1189" s="151" t="s">
        <v>2906</v>
      </c>
    </row>
    <row r="1190" spans="1:2">
      <c r="A1190" s="151" t="s">
        <v>2907</v>
      </c>
      <c r="B1190" s="151" t="s">
        <v>2908</v>
      </c>
    </row>
    <row r="1191" spans="1:2">
      <c r="A1191" s="151" t="s">
        <v>2909</v>
      </c>
      <c r="B1191" s="151" t="s">
        <v>2910</v>
      </c>
    </row>
    <row r="1192" spans="1:2">
      <c r="A1192" s="151" t="s">
        <v>2911</v>
      </c>
      <c r="B1192" s="151" t="s">
        <v>2912</v>
      </c>
    </row>
    <row r="1193" spans="1:2">
      <c r="A1193" s="151" t="s">
        <v>2913</v>
      </c>
      <c r="B1193" s="151" t="s">
        <v>2914</v>
      </c>
    </row>
    <row r="1194" spans="1:2">
      <c r="A1194" s="151" t="s">
        <v>2915</v>
      </c>
      <c r="B1194" s="151" t="s">
        <v>2916</v>
      </c>
    </row>
    <row r="1195" spans="1:2">
      <c r="A1195" s="151" t="s">
        <v>2917</v>
      </c>
      <c r="B1195" s="151" t="s">
        <v>2918</v>
      </c>
    </row>
    <row r="1196" spans="1:2">
      <c r="A1196" s="151" t="s">
        <v>2919</v>
      </c>
      <c r="B1196" s="151" t="s">
        <v>2920</v>
      </c>
    </row>
    <row r="1197" spans="1:2">
      <c r="A1197" s="151" t="s">
        <v>2921</v>
      </c>
      <c r="B1197" s="151" t="s">
        <v>2922</v>
      </c>
    </row>
    <row r="1198" spans="1:2">
      <c r="A1198" s="151" t="s">
        <v>2923</v>
      </c>
      <c r="B1198" s="151" t="s">
        <v>2924</v>
      </c>
    </row>
    <row r="1199" spans="1:2">
      <c r="A1199" s="151" t="s">
        <v>2925</v>
      </c>
      <c r="B1199" s="151" t="s">
        <v>2926</v>
      </c>
    </row>
    <row r="1200" spans="1:2">
      <c r="A1200" s="151" t="s">
        <v>2927</v>
      </c>
      <c r="B1200" s="151" t="s">
        <v>2928</v>
      </c>
    </row>
    <row r="1201" spans="1:2">
      <c r="A1201" s="151" t="s">
        <v>2929</v>
      </c>
      <c r="B1201" s="151" t="s">
        <v>2930</v>
      </c>
    </row>
    <row r="1202" spans="1:2">
      <c r="A1202" s="151" t="s">
        <v>2931</v>
      </c>
      <c r="B1202" s="151" t="s">
        <v>2932</v>
      </c>
    </row>
    <row r="1203" spans="1:2">
      <c r="A1203" s="151" t="s">
        <v>2933</v>
      </c>
      <c r="B1203" s="151" t="s">
        <v>2934</v>
      </c>
    </row>
    <row r="1204" spans="1:2">
      <c r="A1204" s="151" t="s">
        <v>2935</v>
      </c>
      <c r="B1204" s="151" t="s">
        <v>2936</v>
      </c>
    </row>
    <row r="1205" spans="1:2">
      <c r="A1205" s="151" t="s">
        <v>2937</v>
      </c>
      <c r="B1205" s="151" t="s">
        <v>2938</v>
      </c>
    </row>
    <row r="1206" spans="1:2">
      <c r="A1206" s="151" t="s">
        <v>2939</v>
      </c>
      <c r="B1206" s="151" t="s">
        <v>2940</v>
      </c>
    </row>
    <row r="1207" spans="1:2">
      <c r="A1207" s="151" t="s">
        <v>2941</v>
      </c>
      <c r="B1207" s="151" t="s">
        <v>2942</v>
      </c>
    </row>
    <row r="1208" spans="1:2">
      <c r="A1208" s="151" t="s">
        <v>2943</v>
      </c>
      <c r="B1208" s="151" t="s">
        <v>2944</v>
      </c>
    </row>
    <row r="1209" spans="1:2">
      <c r="A1209" s="151" t="s">
        <v>2945</v>
      </c>
      <c r="B1209" s="151" t="s">
        <v>2946</v>
      </c>
    </row>
    <row r="1210" spans="1:2">
      <c r="A1210" s="151" t="s">
        <v>2947</v>
      </c>
      <c r="B1210" s="151" t="s">
        <v>2948</v>
      </c>
    </row>
    <row r="1211" spans="1:2">
      <c r="A1211" s="151" t="s">
        <v>2949</v>
      </c>
      <c r="B1211" s="151" t="s">
        <v>2950</v>
      </c>
    </row>
    <row r="1212" spans="1:2">
      <c r="A1212" s="151" t="s">
        <v>2951</v>
      </c>
      <c r="B1212" s="151" t="s">
        <v>2952</v>
      </c>
    </row>
    <row r="1213" spans="1:2">
      <c r="A1213" s="151" t="s">
        <v>2953</v>
      </c>
      <c r="B1213" s="151" t="s">
        <v>2954</v>
      </c>
    </row>
    <row r="1214" spans="1:2">
      <c r="A1214" s="151" t="s">
        <v>2955</v>
      </c>
      <c r="B1214" s="151" t="s">
        <v>2956</v>
      </c>
    </row>
    <row r="1215" spans="1:2">
      <c r="A1215" s="151" t="s">
        <v>2957</v>
      </c>
      <c r="B1215" s="151" t="s">
        <v>2958</v>
      </c>
    </row>
    <row r="1216" spans="1:2">
      <c r="A1216" s="151" t="s">
        <v>2959</v>
      </c>
      <c r="B1216" s="151" t="s">
        <v>2960</v>
      </c>
    </row>
    <row r="1217" spans="1:2">
      <c r="A1217" s="151" t="s">
        <v>2961</v>
      </c>
      <c r="B1217" s="151" t="s">
        <v>2962</v>
      </c>
    </row>
    <row r="1218" spans="1:2">
      <c r="A1218" s="151" t="s">
        <v>2963</v>
      </c>
      <c r="B1218" s="151" t="s">
        <v>2964</v>
      </c>
    </row>
    <row r="1219" spans="1:2">
      <c r="A1219" s="151" t="s">
        <v>2965</v>
      </c>
      <c r="B1219" s="151" t="s">
        <v>2966</v>
      </c>
    </row>
    <row r="1220" spans="1:2">
      <c r="A1220" s="151" t="s">
        <v>2967</v>
      </c>
      <c r="B1220" s="151" t="s">
        <v>2968</v>
      </c>
    </row>
    <row r="1221" spans="1:2">
      <c r="A1221" s="151" t="s">
        <v>2969</v>
      </c>
      <c r="B1221" s="151" t="s">
        <v>2970</v>
      </c>
    </row>
    <row r="1222" spans="1:2">
      <c r="A1222" s="151" t="s">
        <v>2971</v>
      </c>
      <c r="B1222" s="151" t="s">
        <v>2972</v>
      </c>
    </row>
    <row r="1223" spans="1:2">
      <c r="A1223" s="151" t="s">
        <v>2973</v>
      </c>
      <c r="B1223" s="151" t="s">
        <v>2974</v>
      </c>
    </row>
    <row r="1224" spans="1:2">
      <c r="A1224" s="151" t="s">
        <v>2975</v>
      </c>
      <c r="B1224" s="151" t="s">
        <v>2976</v>
      </c>
    </row>
    <row r="1225" spans="1:2">
      <c r="A1225" s="151" t="s">
        <v>2977</v>
      </c>
      <c r="B1225" s="151" t="s">
        <v>2978</v>
      </c>
    </row>
    <row r="1226" spans="1:2">
      <c r="A1226" s="151" t="s">
        <v>2979</v>
      </c>
      <c r="B1226" s="151" t="s">
        <v>2980</v>
      </c>
    </row>
    <row r="1227" spans="1:2">
      <c r="A1227" s="151" t="s">
        <v>2981</v>
      </c>
      <c r="B1227" s="151" t="s">
        <v>2982</v>
      </c>
    </row>
    <row r="1228" spans="1:2">
      <c r="A1228" s="151" t="s">
        <v>2983</v>
      </c>
      <c r="B1228" s="151" t="s">
        <v>2984</v>
      </c>
    </row>
    <row r="1229" spans="1:2">
      <c r="A1229" s="151" t="s">
        <v>2985</v>
      </c>
      <c r="B1229" s="151" t="s">
        <v>2986</v>
      </c>
    </row>
    <row r="1230" spans="1:2">
      <c r="A1230" s="151" t="s">
        <v>2987</v>
      </c>
      <c r="B1230" s="151" t="s">
        <v>2988</v>
      </c>
    </row>
    <row r="1231" spans="1:2">
      <c r="A1231" s="151" t="s">
        <v>2989</v>
      </c>
      <c r="B1231" s="151" t="s">
        <v>2990</v>
      </c>
    </row>
    <row r="1232" spans="1:2">
      <c r="A1232" s="151" t="s">
        <v>2991</v>
      </c>
      <c r="B1232" s="151" t="s">
        <v>2992</v>
      </c>
    </row>
    <row r="1233" spans="1:2">
      <c r="A1233" s="151" t="s">
        <v>2993</v>
      </c>
      <c r="B1233" s="151" t="s">
        <v>2994</v>
      </c>
    </row>
    <row r="1234" spans="1:2">
      <c r="A1234" s="151" t="s">
        <v>2995</v>
      </c>
      <c r="B1234" s="151" t="s">
        <v>2996</v>
      </c>
    </row>
    <row r="1235" spans="1:2">
      <c r="A1235" s="151" t="s">
        <v>2997</v>
      </c>
      <c r="B1235" s="151" t="s">
        <v>2998</v>
      </c>
    </row>
    <row r="1236" spans="1:2">
      <c r="A1236" s="151" t="s">
        <v>2999</v>
      </c>
      <c r="B1236" s="151" t="s">
        <v>3000</v>
      </c>
    </row>
    <row r="1237" spans="1:2">
      <c r="A1237" s="151" t="s">
        <v>3001</v>
      </c>
      <c r="B1237" s="151" t="s">
        <v>3002</v>
      </c>
    </row>
    <row r="1238" spans="1:2">
      <c r="A1238" s="151" t="s">
        <v>3003</v>
      </c>
      <c r="B1238" s="151" t="s">
        <v>3004</v>
      </c>
    </row>
    <row r="1239" spans="1:2">
      <c r="A1239" s="151" t="s">
        <v>3005</v>
      </c>
      <c r="B1239" s="151" t="s">
        <v>3006</v>
      </c>
    </row>
    <row r="1240" spans="1:2">
      <c r="A1240" s="151" t="s">
        <v>3007</v>
      </c>
      <c r="B1240" s="151" t="s">
        <v>3008</v>
      </c>
    </row>
    <row r="1241" spans="1:2">
      <c r="A1241" s="151" t="s">
        <v>3009</v>
      </c>
      <c r="B1241" s="151" t="s">
        <v>3010</v>
      </c>
    </row>
    <row r="1242" spans="1:2">
      <c r="A1242" s="151" t="s">
        <v>3011</v>
      </c>
      <c r="B1242" s="151" t="s">
        <v>3012</v>
      </c>
    </row>
    <row r="1243" spans="1:2">
      <c r="A1243" s="151" t="s">
        <v>3013</v>
      </c>
      <c r="B1243" s="151" t="s">
        <v>3014</v>
      </c>
    </row>
    <row r="1244" spans="1:2">
      <c r="A1244" s="151" t="s">
        <v>3015</v>
      </c>
      <c r="B1244" s="151" t="s">
        <v>3016</v>
      </c>
    </row>
    <row r="1245" spans="1:2">
      <c r="A1245" s="151" t="s">
        <v>3017</v>
      </c>
      <c r="B1245" s="151" t="s">
        <v>3018</v>
      </c>
    </row>
    <row r="1246" spans="1:2">
      <c r="A1246" s="151" t="s">
        <v>3019</v>
      </c>
      <c r="B1246" s="151" t="s">
        <v>3020</v>
      </c>
    </row>
    <row r="1247" spans="1:2">
      <c r="A1247" s="151" t="s">
        <v>3021</v>
      </c>
      <c r="B1247" s="151" t="s">
        <v>3022</v>
      </c>
    </row>
    <row r="1248" spans="1:2">
      <c r="A1248" s="151" t="s">
        <v>3023</v>
      </c>
      <c r="B1248" s="151" t="s">
        <v>3024</v>
      </c>
    </row>
    <row r="1249" spans="1:2">
      <c r="A1249" s="151" t="s">
        <v>3025</v>
      </c>
      <c r="B1249" s="151" t="s">
        <v>3026</v>
      </c>
    </row>
    <row r="1250" spans="1:2">
      <c r="A1250" s="151" t="s">
        <v>3027</v>
      </c>
      <c r="B1250" s="151" t="s">
        <v>3028</v>
      </c>
    </row>
    <row r="1251" spans="1:2">
      <c r="A1251" s="151" t="s">
        <v>3029</v>
      </c>
      <c r="B1251" s="151" t="s">
        <v>3030</v>
      </c>
    </row>
    <row r="1252" spans="1:2">
      <c r="A1252" s="151" t="s">
        <v>3031</v>
      </c>
      <c r="B1252" s="151" t="s">
        <v>3032</v>
      </c>
    </row>
    <row r="1253" spans="1:2">
      <c r="A1253" s="151" t="s">
        <v>3033</v>
      </c>
      <c r="B1253" s="151" t="s">
        <v>3034</v>
      </c>
    </row>
    <row r="1254" spans="1:2">
      <c r="A1254" s="151" t="s">
        <v>3035</v>
      </c>
      <c r="B1254" s="151" t="s">
        <v>3036</v>
      </c>
    </row>
    <row r="1255" spans="1:2">
      <c r="A1255" s="151" t="s">
        <v>3037</v>
      </c>
      <c r="B1255" s="151" t="s">
        <v>3038</v>
      </c>
    </row>
    <row r="1256" spans="1:2">
      <c r="A1256" s="151" t="s">
        <v>3039</v>
      </c>
      <c r="B1256" s="151" t="s">
        <v>3040</v>
      </c>
    </row>
    <row r="1257" spans="1:2">
      <c r="A1257" s="151" t="s">
        <v>3041</v>
      </c>
      <c r="B1257" s="151" t="s">
        <v>3042</v>
      </c>
    </row>
    <row r="1258" spans="1:2">
      <c r="A1258" s="151" t="s">
        <v>3043</v>
      </c>
      <c r="B1258" s="151" t="s">
        <v>3044</v>
      </c>
    </row>
    <row r="1259" spans="1:2">
      <c r="A1259" s="151" t="s">
        <v>3045</v>
      </c>
      <c r="B1259" s="151" t="s">
        <v>3046</v>
      </c>
    </row>
    <row r="1260" spans="1:2">
      <c r="A1260" s="151" t="s">
        <v>3047</v>
      </c>
      <c r="B1260" s="151" t="s">
        <v>3048</v>
      </c>
    </row>
    <row r="1261" spans="1:2">
      <c r="A1261" s="151" t="s">
        <v>3049</v>
      </c>
      <c r="B1261" s="151" t="s">
        <v>3050</v>
      </c>
    </row>
    <row r="1262" spans="1:2">
      <c r="A1262" s="151" t="s">
        <v>3051</v>
      </c>
      <c r="B1262" s="151" t="s">
        <v>303</v>
      </c>
    </row>
    <row r="1263" spans="1:2">
      <c r="A1263" s="151" t="s">
        <v>3052</v>
      </c>
      <c r="B1263" s="151" t="s">
        <v>3053</v>
      </c>
    </row>
    <row r="1264" spans="1:2">
      <c r="A1264" s="151" t="s">
        <v>3054</v>
      </c>
      <c r="B1264" s="151" t="s">
        <v>3055</v>
      </c>
    </row>
    <row r="1265" spans="1:2">
      <c r="A1265" s="151" t="s">
        <v>3056</v>
      </c>
      <c r="B1265" s="151" t="s">
        <v>3057</v>
      </c>
    </row>
    <row r="1266" spans="1:2">
      <c r="A1266" s="151" t="s">
        <v>3058</v>
      </c>
      <c r="B1266" s="151" t="s">
        <v>3059</v>
      </c>
    </row>
    <row r="1267" spans="1:2">
      <c r="A1267" s="151" t="s">
        <v>3060</v>
      </c>
      <c r="B1267" s="151" t="s">
        <v>3061</v>
      </c>
    </row>
    <row r="1268" spans="1:2">
      <c r="A1268" s="151" t="s">
        <v>3062</v>
      </c>
      <c r="B1268" s="151" t="s">
        <v>3063</v>
      </c>
    </row>
    <row r="1269" spans="1:2">
      <c r="A1269" s="151" t="s">
        <v>3064</v>
      </c>
      <c r="B1269" s="151" t="s">
        <v>308</v>
      </c>
    </row>
    <row r="1270" spans="1:2">
      <c r="A1270" s="151" t="s">
        <v>3065</v>
      </c>
      <c r="B1270" s="151" t="s">
        <v>3066</v>
      </c>
    </row>
    <row r="1271" spans="1:2">
      <c r="A1271" s="151" t="s">
        <v>3067</v>
      </c>
      <c r="B1271" s="151" t="s">
        <v>3068</v>
      </c>
    </row>
    <row r="1272" spans="1:2">
      <c r="A1272" s="151" t="s">
        <v>3069</v>
      </c>
      <c r="B1272" s="151" t="s">
        <v>3070</v>
      </c>
    </row>
    <row r="1273" spans="1:2">
      <c r="A1273" s="151" t="s">
        <v>3071</v>
      </c>
      <c r="B1273" s="151" t="s">
        <v>3072</v>
      </c>
    </row>
    <row r="1274" spans="1:2">
      <c r="A1274" s="151" t="s">
        <v>3073</v>
      </c>
      <c r="B1274" s="151" t="s">
        <v>3074</v>
      </c>
    </row>
    <row r="1275" spans="1:2">
      <c r="A1275" s="151" t="s">
        <v>3075</v>
      </c>
      <c r="B1275" s="151" t="s">
        <v>3076</v>
      </c>
    </row>
    <row r="1276" spans="1:2">
      <c r="A1276" s="151" t="s">
        <v>3077</v>
      </c>
      <c r="B1276" s="151" t="s">
        <v>3078</v>
      </c>
    </row>
    <row r="1277" spans="1:2">
      <c r="A1277" s="151" t="s">
        <v>3079</v>
      </c>
      <c r="B1277" s="151" t="s">
        <v>3080</v>
      </c>
    </row>
    <row r="1278" spans="1:2">
      <c r="A1278" s="151" t="s">
        <v>3081</v>
      </c>
      <c r="B1278" s="151" t="s">
        <v>3082</v>
      </c>
    </row>
    <row r="1279" spans="1:2">
      <c r="A1279" s="151" t="s">
        <v>3083</v>
      </c>
      <c r="B1279" s="151" t="s">
        <v>313</v>
      </c>
    </row>
    <row r="1280" spans="1:2">
      <c r="A1280" s="151" t="s">
        <v>3084</v>
      </c>
      <c r="B1280" s="151" t="s">
        <v>3085</v>
      </c>
    </row>
    <row r="1281" spans="1:2">
      <c r="A1281" s="151" t="s">
        <v>3086</v>
      </c>
      <c r="B1281" s="151" t="s">
        <v>3087</v>
      </c>
    </row>
    <row r="1282" spans="1:2">
      <c r="A1282" s="151" t="s">
        <v>3088</v>
      </c>
      <c r="B1282" s="151" t="s">
        <v>3089</v>
      </c>
    </row>
    <row r="1283" spans="1:2">
      <c r="A1283" s="151" t="s">
        <v>3090</v>
      </c>
      <c r="B1283" s="151" t="s">
        <v>318</v>
      </c>
    </row>
    <row r="1284" spans="1:2">
      <c r="A1284" s="151" t="s">
        <v>3091</v>
      </c>
      <c r="B1284" s="151" t="s">
        <v>323</v>
      </c>
    </row>
    <row r="1285" spans="1:2">
      <c r="A1285" s="151" t="s">
        <v>3092</v>
      </c>
      <c r="B1285" s="151" t="s">
        <v>328</v>
      </c>
    </row>
    <row r="1286" spans="1:2">
      <c r="A1286" s="151" t="s">
        <v>3093</v>
      </c>
      <c r="B1286" s="151" t="s">
        <v>3094</v>
      </c>
    </row>
    <row r="1287" spans="1:2">
      <c r="A1287" s="151" t="s">
        <v>3095</v>
      </c>
      <c r="B1287" s="151" t="s">
        <v>3096</v>
      </c>
    </row>
    <row r="1288" spans="1:2">
      <c r="A1288" s="151" t="s">
        <v>3097</v>
      </c>
      <c r="B1288" s="151" t="s">
        <v>3098</v>
      </c>
    </row>
    <row r="1289" spans="1:2">
      <c r="A1289" s="151" t="s">
        <v>3099</v>
      </c>
      <c r="B1289" s="151" t="s">
        <v>3100</v>
      </c>
    </row>
    <row r="1290" spans="1:2">
      <c r="A1290" s="151" t="s">
        <v>3101</v>
      </c>
      <c r="B1290" s="151" t="s">
        <v>3102</v>
      </c>
    </row>
    <row r="1291" spans="1:2">
      <c r="A1291" s="151" t="s">
        <v>3103</v>
      </c>
      <c r="B1291" s="151" t="s">
        <v>3104</v>
      </c>
    </row>
    <row r="1292" spans="1:2">
      <c r="A1292" s="151" t="s">
        <v>3105</v>
      </c>
      <c r="B1292" s="151" t="s">
        <v>3106</v>
      </c>
    </row>
    <row r="1293" spans="1:2">
      <c r="A1293" s="151" t="s">
        <v>3107</v>
      </c>
      <c r="B1293" s="151" t="s">
        <v>3108</v>
      </c>
    </row>
    <row r="1294" spans="1:2">
      <c r="A1294" s="151" t="s">
        <v>3109</v>
      </c>
      <c r="B1294" s="151" t="s">
        <v>3110</v>
      </c>
    </row>
    <row r="1295" spans="1:2">
      <c r="A1295" s="151" t="s">
        <v>3111</v>
      </c>
      <c r="B1295" s="151" t="s">
        <v>3112</v>
      </c>
    </row>
    <row r="1296" spans="1:2">
      <c r="A1296" s="151" t="s">
        <v>3113</v>
      </c>
      <c r="B1296" s="151" t="s">
        <v>3114</v>
      </c>
    </row>
    <row r="1297" spans="1:2">
      <c r="A1297" s="151" t="s">
        <v>3115</v>
      </c>
      <c r="B1297" s="151" t="s">
        <v>3116</v>
      </c>
    </row>
    <row r="1298" spans="1:2">
      <c r="A1298" s="151" t="s">
        <v>3117</v>
      </c>
      <c r="B1298" s="151" t="s">
        <v>3118</v>
      </c>
    </row>
    <row r="1299" spans="1:2">
      <c r="A1299" s="151" t="s">
        <v>3119</v>
      </c>
      <c r="B1299" s="151" t="s">
        <v>3120</v>
      </c>
    </row>
    <row r="1300" spans="1:2">
      <c r="A1300" s="151" t="s">
        <v>3121</v>
      </c>
      <c r="B1300" s="151" t="s">
        <v>333</v>
      </c>
    </row>
    <row r="1301" spans="1:2">
      <c r="A1301" s="151" t="s">
        <v>3122</v>
      </c>
      <c r="B1301" s="151" t="s">
        <v>3123</v>
      </c>
    </row>
    <row r="1302" spans="1:2">
      <c r="A1302" s="151" t="s">
        <v>3124</v>
      </c>
      <c r="B1302" s="151" t="s">
        <v>3125</v>
      </c>
    </row>
    <row r="1303" spans="1:2">
      <c r="A1303" s="151" t="s">
        <v>3126</v>
      </c>
      <c r="B1303" s="151" t="s">
        <v>338</v>
      </c>
    </row>
    <row r="1304" spans="1:2">
      <c r="A1304" s="151" t="s">
        <v>3127</v>
      </c>
      <c r="B1304" s="151" t="s">
        <v>3128</v>
      </c>
    </row>
    <row r="1305" spans="1:2">
      <c r="A1305" s="151" t="s">
        <v>3129</v>
      </c>
      <c r="B1305" s="151" t="s">
        <v>3130</v>
      </c>
    </row>
    <row r="1306" spans="1:2">
      <c r="A1306" s="151" t="s">
        <v>3131</v>
      </c>
      <c r="B1306" s="151" t="s">
        <v>3132</v>
      </c>
    </row>
    <row r="1307" spans="1:2">
      <c r="A1307" s="151" t="s">
        <v>3133</v>
      </c>
      <c r="B1307" s="151" t="s">
        <v>3134</v>
      </c>
    </row>
    <row r="1308" spans="1:2">
      <c r="A1308" s="151" t="s">
        <v>3135</v>
      </c>
      <c r="B1308" s="151" t="s">
        <v>3136</v>
      </c>
    </row>
    <row r="1309" spans="1:2">
      <c r="A1309" s="151" t="s">
        <v>3137</v>
      </c>
      <c r="B1309" s="151" t="s">
        <v>3138</v>
      </c>
    </row>
    <row r="1310" spans="1:2">
      <c r="A1310" s="151" t="s">
        <v>3139</v>
      </c>
      <c r="B1310" s="151" t="s">
        <v>3140</v>
      </c>
    </row>
    <row r="1311" spans="1:2">
      <c r="A1311" s="151" t="s">
        <v>3141</v>
      </c>
      <c r="B1311" s="151" t="s">
        <v>3142</v>
      </c>
    </row>
    <row r="1312" spans="1:2">
      <c r="A1312" s="151" t="s">
        <v>3143</v>
      </c>
      <c r="B1312" s="151" t="s">
        <v>3144</v>
      </c>
    </row>
    <row r="1313" spans="1:2">
      <c r="A1313" s="151" t="s">
        <v>3145</v>
      </c>
      <c r="B1313" s="151" t="s">
        <v>3146</v>
      </c>
    </row>
    <row r="1314" spans="1:2">
      <c r="A1314" s="151" t="s">
        <v>3147</v>
      </c>
      <c r="B1314" s="151" t="s">
        <v>3148</v>
      </c>
    </row>
    <row r="1315" spans="1:2">
      <c r="A1315" s="151" t="s">
        <v>3149</v>
      </c>
      <c r="B1315" s="151" t="s">
        <v>3150</v>
      </c>
    </row>
    <row r="1316" spans="1:2">
      <c r="A1316" s="151" t="s">
        <v>3151</v>
      </c>
      <c r="B1316" s="151" t="s">
        <v>3152</v>
      </c>
    </row>
    <row r="1317" spans="1:2">
      <c r="A1317" s="151" t="s">
        <v>3153</v>
      </c>
      <c r="B1317" s="151" t="s">
        <v>3154</v>
      </c>
    </row>
    <row r="1318" spans="1:2">
      <c r="A1318" s="151" t="s">
        <v>3155</v>
      </c>
      <c r="B1318" s="151" t="s">
        <v>3156</v>
      </c>
    </row>
    <row r="1319" spans="1:2">
      <c r="A1319" s="151" t="s">
        <v>3157</v>
      </c>
      <c r="B1319" s="151" t="s">
        <v>3158</v>
      </c>
    </row>
    <row r="1320" spans="1:2">
      <c r="A1320" s="151" t="s">
        <v>3159</v>
      </c>
      <c r="B1320" s="151" t="s">
        <v>3160</v>
      </c>
    </row>
    <row r="1321" spans="1:2">
      <c r="A1321" s="151" t="s">
        <v>3161</v>
      </c>
      <c r="B1321" s="151" t="s">
        <v>3162</v>
      </c>
    </row>
    <row r="1322" spans="1:2">
      <c r="A1322" s="151" t="s">
        <v>3163</v>
      </c>
      <c r="B1322" s="151" t="s">
        <v>3164</v>
      </c>
    </row>
    <row r="1323" spans="1:2">
      <c r="A1323" s="151" t="s">
        <v>3165</v>
      </c>
      <c r="B1323" s="151" t="s">
        <v>3166</v>
      </c>
    </row>
    <row r="1324" spans="1:2">
      <c r="A1324" s="151" t="s">
        <v>3167</v>
      </c>
      <c r="B1324" s="151" t="s">
        <v>3168</v>
      </c>
    </row>
    <row r="1325" spans="1:2">
      <c r="A1325" s="151" t="s">
        <v>3169</v>
      </c>
      <c r="B1325" s="151" t="s">
        <v>3170</v>
      </c>
    </row>
    <row r="1326" spans="1:2">
      <c r="A1326" s="151" t="s">
        <v>3171</v>
      </c>
      <c r="B1326" s="151" t="s">
        <v>3172</v>
      </c>
    </row>
    <row r="1327" spans="1:2">
      <c r="A1327" s="151" t="s">
        <v>3173</v>
      </c>
      <c r="B1327" s="151" t="s">
        <v>3174</v>
      </c>
    </row>
    <row r="1328" spans="1:2">
      <c r="A1328" s="151" t="s">
        <v>3175</v>
      </c>
      <c r="B1328" s="151" t="s">
        <v>3176</v>
      </c>
    </row>
    <row r="1329" spans="1:2">
      <c r="A1329" s="151" t="s">
        <v>3177</v>
      </c>
      <c r="B1329" s="151" t="s">
        <v>3178</v>
      </c>
    </row>
    <row r="1330" spans="1:2">
      <c r="A1330" s="151" t="s">
        <v>3179</v>
      </c>
      <c r="B1330" s="151" t="s">
        <v>3180</v>
      </c>
    </row>
    <row r="1331" spans="1:2">
      <c r="A1331" s="151" t="s">
        <v>3181</v>
      </c>
      <c r="B1331" s="151" t="s">
        <v>3182</v>
      </c>
    </row>
    <row r="1332" spans="1:2">
      <c r="A1332" s="151" t="s">
        <v>3183</v>
      </c>
      <c r="B1332" s="151" t="s">
        <v>3184</v>
      </c>
    </row>
    <row r="1333" spans="1:2">
      <c r="A1333" s="151" t="s">
        <v>3185</v>
      </c>
      <c r="B1333" s="151" t="s">
        <v>3186</v>
      </c>
    </row>
    <row r="1334" spans="1:2">
      <c r="A1334" s="151" t="s">
        <v>3187</v>
      </c>
      <c r="B1334" s="151" t="s">
        <v>3188</v>
      </c>
    </row>
    <row r="1335" spans="1:2">
      <c r="A1335" s="151" t="s">
        <v>3189</v>
      </c>
      <c r="B1335" s="151" t="s">
        <v>3190</v>
      </c>
    </row>
    <row r="1336" spans="1:2">
      <c r="A1336" s="151" t="s">
        <v>3191</v>
      </c>
      <c r="B1336" s="151" t="s">
        <v>3192</v>
      </c>
    </row>
    <row r="1337" spans="1:2">
      <c r="A1337" s="151" t="s">
        <v>3193</v>
      </c>
      <c r="B1337" s="151" t="s">
        <v>3194</v>
      </c>
    </row>
    <row r="1338" spans="1:2">
      <c r="A1338" s="151" t="s">
        <v>3195</v>
      </c>
      <c r="B1338" s="151" t="s">
        <v>3196</v>
      </c>
    </row>
    <row r="1339" spans="1:2">
      <c r="A1339" s="151" t="s">
        <v>3197</v>
      </c>
      <c r="B1339" s="151" t="s">
        <v>3198</v>
      </c>
    </row>
    <row r="1340" spans="1:2">
      <c r="A1340" s="151" t="s">
        <v>3199</v>
      </c>
      <c r="B1340" s="151" t="s">
        <v>3200</v>
      </c>
    </row>
    <row r="1341" spans="1:2">
      <c r="A1341" s="151" t="s">
        <v>3201</v>
      </c>
      <c r="B1341" s="151" t="s">
        <v>3202</v>
      </c>
    </row>
    <row r="1342" spans="1:2">
      <c r="A1342" s="151" t="s">
        <v>3203</v>
      </c>
      <c r="B1342" s="151" t="s">
        <v>3204</v>
      </c>
    </row>
    <row r="1343" spans="1:2">
      <c r="A1343" s="151" t="s">
        <v>3205</v>
      </c>
      <c r="B1343" s="151" t="s">
        <v>3206</v>
      </c>
    </row>
    <row r="1344" spans="1:2">
      <c r="A1344" s="151" t="s">
        <v>3207</v>
      </c>
      <c r="B1344" s="151" t="s">
        <v>3208</v>
      </c>
    </row>
    <row r="1345" spans="1:2">
      <c r="A1345" s="151" t="s">
        <v>3209</v>
      </c>
      <c r="B1345" s="151" t="s">
        <v>3210</v>
      </c>
    </row>
    <row r="1346" spans="1:2">
      <c r="A1346" s="151" t="s">
        <v>3211</v>
      </c>
      <c r="B1346" s="151" t="s">
        <v>3212</v>
      </c>
    </row>
    <row r="1347" spans="1:2">
      <c r="A1347" s="151" t="s">
        <v>3213</v>
      </c>
      <c r="B1347" s="151" t="s">
        <v>3214</v>
      </c>
    </row>
    <row r="1348" spans="1:2">
      <c r="A1348" s="151" t="s">
        <v>3215</v>
      </c>
      <c r="B1348" s="151" t="s">
        <v>3216</v>
      </c>
    </row>
    <row r="1349" spans="1:2">
      <c r="A1349" s="151" t="s">
        <v>3217</v>
      </c>
      <c r="B1349" s="151" t="s">
        <v>3218</v>
      </c>
    </row>
    <row r="1350" spans="1:2">
      <c r="A1350" s="151" t="s">
        <v>3219</v>
      </c>
      <c r="B1350" s="151" t="s">
        <v>3220</v>
      </c>
    </row>
    <row r="1351" spans="1:2">
      <c r="A1351" s="151" t="s">
        <v>3221</v>
      </c>
      <c r="B1351" s="151" t="s">
        <v>3222</v>
      </c>
    </row>
    <row r="1352" spans="1:2">
      <c r="A1352" s="151" t="s">
        <v>3223</v>
      </c>
      <c r="B1352" s="151" t="s">
        <v>3224</v>
      </c>
    </row>
    <row r="1353" spans="1:2">
      <c r="A1353" s="151" t="s">
        <v>3225</v>
      </c>
      <c r="B1353" s="151" t="s">
        <v>3226</v>
      </c>
    </row>
    <row r="1354" spans="1:2">
      <c r="A1354" s="151" t="s">
        <v>3227</v>
      </c>
      <c r="B1354" s="151" t="s">
        <v>3228</v>
      </c>
    </row>
    <row r="1355" spans="1:2">
      <c r="A1355" s="151" t="s">
        <v>3229</v>
      </c>
      <c r="B1355" s="151" t="s">
        <v>343</v>
      </c>
    </row>
    <row r="1356" spans="1:2">
      <c r="A1356" s="151" t="s">
        <v>3230</v>
      </c>
      <c r="B1356" s="151" t="s">
        <v>3231</v>
      </c>
    </row>
    <row r="1357" spans="1:2">
      <c r="A1357" s="151" t="s">
        <v>3232</v>
      </c>
      <c r="B1357" s="151" t="s">
        <v>348</v>
      </c>
    </row>
    <row r="1358" spans="1:2">
      <c r="A1358" s="151" t="s">
        <v>3233</v>
      </c>
      <c r="B1358" s="151" t="s">
        <v>3234</v>
      </c>
    </row>
    <row r="1359" spans="1:2">
      <c r="A1359" s="151" t="s">
        <v>3235</v>
      </c>
      <c r="B1359" s="151" t="s">
        <v>3236</v>
      </c>
    </row>
    <row r="1360" spans="1:2">
      <c r="A1360" s="151" t="s">
        <v>3237</v>
      </c>
      <c r="B1360" s="151" t="s">
        <v>3238</v>
      </c>
    </row>
    <row r="1361" spans="1:2">
      <c r="A1361" s="151" t="s">
        <v>3239</v>
      </c>
      <c r="B1361" s="151" t="s">
        <v>3240</v>
      </c>
    </row>
    <row r="1362" spans="1:2">
      <c r="A1362" s="151" t="s">
        <v>3241</v>
      </c>
      <c r="B1362" s="151" t="s">
        <v>3242</v>
      </c>
    </row>
    <row r="1363" spans="1:2">
      <c r="A1363" s="151" t="s">
        <v>3243</v>
      </c>
      <c r="B1363" s="151" t="s">
        <v>3244</v>
      </c>
    </row>
    <row r="1364" spans="1:2">
      <c r="A1364" s="151" t="s">
        <v>3245</v>
      </c>
      <c r="B1364" s="151" t="s">
        <v>3246</v>
      </c>
    </row>
    <row r="1365" spans="1:2">
      <c r="A1365" s="151" t="s">
        <v>3247</v>
      </c>
      <c r="B1365" s="151" t="s">
        <v>3248</v>
      </c>
    </row>
    <row r="1366" spans="1:2">
      <c r="A1366" s="151" t="s">
        <v>3249</v>
      </c>
      <c r="B1366" s="151" t="s">
        <v>3250</v>
      </c>
    </row>
    <row r="1367" spans="1:2">
      <c r="A1367" s="151" t="s">
        <v>3251</v>
      </c>
      <c r="B1367" s="151" t="s">
        <v>3252</v>
      </c>
    </row>
    <row r="1368" spans="1:2">
      <c r="A1368" s="151" t="s">
        <v>3253</v>
      </c>
      <c r="B1368" s="151" t="s">
        <v>3254</v>
      </c>
    </row>
    <row r="1369" spans="1:2">
      <c r="A1369" s="151" t="s">
        <v>3255</v>
      </c>
      <c r="B1369" s="151" t="s">
        <v>3256</v>
      </c>
    </row>
    <row r="1370" spans="1:2">
      <c r="A1370" s="151" t="s">
        <v>3257</v>
      </c>
      <c r="B1370" s="151" t="s">
        <v>3258</v>
      </c>
    </row>
    <row r="1371" spans="1:2">
      <c r="A1371" s="151" t="s">
        <v>3259</v>
      </c>
      <c r="B1371" s="151" t="s">
        <v>3260</v>
      </c>
    </row>
    <row r="1372" spans="1:2">
      <c r="A1372" s="151" t="s">
        <v>3261</v>
      </c>
      <c r="B1372" s="151" t="s">
        <v>3262</v>
      </c>
    </row>
    <row r="1373" spans="1:2">
      <c r="A1373" s="151" t="s">
        <v>3263</v>
      </c>
      <c r="B1373" s="151" t="s">
        <v>3264</v>
      </c>
    </row>
    <row r="1374" spans="1:2">
      <c r="A1374" s="151" t="s">
        <v>3265</v>
      </c>
      <c r="B1374" s="151" t="s">
        <v>3266</v>
      </c>
    </row>
    <row r="1375" spans="1:2">
      <c r="A1375" s="151" t="s">
        <v>3267</v>
      </c>
      <c r="B1375" s="151" t="s">
        <v>3268</v>
      </c>
    </row>
    <row r="1376" spans="1:2">
      <c r="A1376" s="151" t="s">
        <v>3269</v>
      </c>
      <c r="B1376" s="151" t="s">
        <v>3270</v>
      </c>
    </row>
    <row r="1377" spans="1:2">
      <c r="A1377" s="151" t="s">
        <v>3271</v>
      </c>
      <c r="B1377" s="151" t="s">
        <v>3272</v>
      </c>
    </row>
    <row r="1378" spans="1:2">
      <c r="A1378" s="151" t="s">
        <v>3273</v>
      </c>
      <c r="B1378" s="151" t="s">
        <v>3274</v>
      </c>
    </row>
    <row r="1379" spans="1:2">
      <c r="A1379" s="151" t="s">
        <v>3275</v>
      </c>
      <c r="B1379" s="151" t="s">
        <v>3276</v>
      </c>
    </row>
    <row r="1380" spans="1:2">
      <c r="A1380" s="151" t="s">
        <v>3277</v>
      </c>
      <c r="B1380" s="151" t="s">
        <v>3278</v>
      </c>
    </row>
    <row r="1381" spans="1:2">
      <c r="A1381" s="151" t="s">
        <v>3279</v>
      </c>
      <c r="B1381" s="151" t="s">
        <v>3280</v>
      </c>
    </row>
    <row r="1382" spans="1:2">
      <c r="A1382" s="151" t="s">
        <v>3281</v>
      </c>
      <c r="B1382" s="151" t="s">
        <v>3282</v>
      </c>
    </row>
    <row r="1383" spans="1:2">
      <c r="A1383" s="151" t="s">
        <v>3283</v>
      </c>
      <c r="B1383" s="151" t="s">
        <v>3284</v>
      </c>
    </row>
    <row r="1384" spans="1:2">
      <c r="A1384" s="151" t="s">
        <v>3285</v>
      </c>
      <c r="B1384" s="151" t="s">
        <v>3286</v>
      </c>
    </row>
    <row r="1385" spans="1:2">
      <c r="A1385" s="151" t="s">
        <v>3287</v>
      </c>
      <c r="B1385" s="151" t="s">
        <v>910</v>
      </c>
    </row>
    <row r="1386" spans="1:2">
      <c r="A1386" s="151" t="s">
        <v>3288</v>
      </c>
      <c r="B1386" s="151" t="s">
        <v>3289</v>
      </c>
    </row>
    <row r="1387" spans="1:2">
      <c r="A1387" s="151" t="s">
        <v>3290</v>
      </c>
      <c r="B1387" s="151" t="s">
        <v>353</v>
      </c>
    </row>
    <row r="1388" spans="1:2">
      <c r="A1388" s="151" t="s">
        <v>3291</v>
      </c>
      <c r="B1388" s="151" t="s">
        <v>3292</v>
      </c>
    </row>
    <row r="1389" spans="1:2">
      <c r="A1389" s="151" t="s">
        <v>3293</v>
      </c>
      <c r="B1389" s="151" t="s">
        <v>358</v>
      </c>
    </row>
    <row r="1390" spans="1:2">
      <c r="A1390" s="151" t="s">
        <v>3294</v>
      </c>
      <c r="B1390" s="151" t="s">
        <v>3295</v>
      </c>
    </row>
    <row r="1391" spans="1:2">
      <c r="A1391" s="151" t="s">
        <v>3296</v>
      </c>
      <c r="B1391" s="151" t="s">
        <v>363</v>
      </c>
    </row>
    <row r="1392" spans="1:2">
      <c r="A1392" s="151" t="s">
        <v>3297</v>
      </c>
      <c r="B1392" s="151" t="s">
        <v>368</v>
      </c>
    </row>
    <row r="1393" spans="1:2">
      <c r="A1393" s="151" t="s">
        <v>3298</v>
      </c>
      <c r="B1393" s="151" t="s">
        <v>120</v>
      </c>
    </row>
    <row r="1394" spans="1:2">
      <c r="A1394" s="151" t="s">
        <v>3299</v>
      </c>
      <c r="B1394" s="151" t="s">
        <v>3300</v>
      </c>
    </row>
    <row r="1395" spans="1:2">
      <c r="A1395" s="151" t="s">
        <v>3301</v>
      </c>
      <c r="B1395" s="151" t="s">
        <v>3302</v>
      </c>
    </row>
    <row r="1396" spans="1:2">
      <c r="A1396" s="151" t="s">
        <v>3303</v>
      </c>
      <c r="B1396" s="151" t="s">
        <v>3304</v>
      </c>
    </row>
    <row r="1397" spans="1:2">
      <c r="A1397" s="151" t="s">
        <v>3305</v>
      </c>
      <c r="B1397" s="151" t="s">
        <v>373</v>
      </c>
    </row>
    <row r="1398" spans="1:2">
      <c r="A1398" s="151" t="s">
        <v>3306</v>
      </c>
      <c r="B1398" s="151" t="s">
        <v>3307</v>
      </c>
    </row>
    <row r="1399" spans="1:2">
      <c r="A1399" s="151" t="s">
        <v>3308</v>
      </c>
      <c r="B1399" s="151" t="s">
        <v>3309</v>
      </c>
    </row>
    <row r="1400" spans="1:2">
      <c r="A1400" s="151" t="s">
        <v>3310</v>
      </c>
      <c r="B1400" s="151" t="s">
        <v>3311</v>
      </c>
    </row>
    <row r="1401" spans="1:2">
      <c r="A1401" s="151" t="s">
        <v>3312</v>
      </c>
      <c r="B1401" s="151" t="s">
        <v>3313</v>
      </c>
    </row>
    <row r="1402" spans="1:2">
      <c r="A1402" s="151" t="s">
        <v>3314</v>
      </c>
      <c r="B1402" s="151" t="s">
        <v>3315</v>
      </c>
    </row>
    <row r="1403" spans="1:2">
      <c r="A1403" s="151" t="s">
        <v>3316</v>
      </c>
      <c r="B1403" s="151" t="s">
        <v>3317</v>
      </c>
    </row>
    <row r="1404" spans="1:2">
      <c r="A1404" s="151" t="s">
        <v>3318</v>
      </c>
      <c r="B1404" s="151" t="s">
        <v>3319</v>
      </c>
    </row>
    <row r="1405" spans="1:2">
      <c r="A1405" s="151" t="s">
        <v>3320</v>
      </c>
      <c r="B1405" s="151" t="s">
        <v>3321</v>
      </c>
    </row>
    <row r="1406" spans="1:2">
      <c r="A1406" s="151" t="s">
        <v>3322</v>
      </c>
      <c r="B1406" s="151" t="s">
        <v>3323</v>
      </c>
    </row>
    <row r="1407" spans="1:2">
      <c r="A1407" s="151" t="s">
        <v>3324</v>
      </c>
      <c r="B1407" s="151" t="s">
        <v>3325</v>
      </c>
    </row>
    <row r="1408" spans="1:2">
      <c r="A1408" s="151" t="s">
        <v>3326</v>
      </c>
      <c r="B1408" s="151" t="s">
        <v>3327</v>
      </c>
    </row>
    <row r="1409" spans="1:2">
      <c r="A1409" s="151" t="s">
        <v>3328</v>
      </c>
      <c r="B1409" s="151" t="s">
        <v>3329</v>
      </c>
    </row>
    <row r="1410" spans="1:2">
      <c r="A1410" s="151" t="s">
        <v>3330</v>
      </c>
      <c r="B1410" s="151" t="s">
        <v>3331</v>
      </c>
    </row>
    <row r="1411" spans="1:2">
      <c r="A1411" s="151" t="s">
        <v>3332</v>
      </c>
      <c r="B1411" s="151" t="s">
        <v>3333</v>
      </c>
    </row>
    <row r="1412" spans="1:2">
      <c r="A1412" s="151" t="s">
        <v>3334</v>
      </c>
      <c r="B1412" s="151" t="s">
        <v>3335</v>
      </c>
    </row>
    <row r="1413" spans="1:2">
      <c r="A1413" s="151" t="s">
        <v>3336</v>
      </c>
      <c r="B1413" s="151" t="s">
        <v>3337</v>
      </c>
    </row>
    <row r="1414" spans="1:2">
      <c r="A1414" s="151" t="s">
        <v>3338</v>
      </c>
      <c r="B1414" s="151" t="s">
        <v>3339</v>
      </c>
    </row>
    <row r="1415" spans="1:2">
      <c r="A1415" s="151" t="s">
        <v>3340</v>
      </c>
      <c r="B1415" s="151" t="s">
        <v>3341</v>
      </c>
    </row>
    <row r="1416" spans="1:2">
      <c r="A1416" s="151" t="s">
        <v>3342</v>
      </c>
      <c r="B1416" s="151" t="s">
        <v>3343</v>
      </c>
    </row>
    <row r="1417" spans="1:2">
      <c r="A1417" s="151" t="s">
        <v>3344</v>
      </c>
      <c r="B1417" s="151" t="s">
        <v>3345</v>
      </c>
    </row>
    <row r="1418" spans="1:2">
      <c r="A1418" s="151" t="s">
        <v>3346</v>
      </c>
      <c r="B1418" s="151" t="s">
        <v>3347</v>
      </c>
    </row>
    <row r="1419" spans="1:2">
      <c r="A1419" s="151" t="s">
        <v>3348</v>
      </c>
      <c r="B1419" s="151" t="s">
        <v>3349</v>
      </c>
    </row>
    <row r="1420" spans="1:2">
      <c r="A1420" s="151" t="s">
        <v>3350</v>
      </c>
      <c r="B1420" s="151" t="s">
        <v>3351</v>
      </c>
    </row>
    <row r="1421" spans="1:2">
      <c r="A1421" s="151" t="s">
        <v>3352</v>
      </c>
      <c r="B1421" s="151" t="s">
        <v>3353</v>
      </c>
    </row>
    <row r="1422" spans="1:2">
      <c r="A1422" s="151" t="s">
        <v>3354</v>
      </c>
      <c r="B1422" s="151" t="s">
        <v>3355</v>
      </c>
    </row>
    <row r="1423" spans="1:2">
      <c r="A1423" s="151" t="s">
        <v>3356</v>
      </c>
      <c r="B1423" s="151" t="s">
        <v>3357</v>
      </c>
    </row>
    <row r="1424" spans="1:2">
      <c r="A1424" s="151" t="s">
        <v>3358</v>
      </c>
      <c r="B1424" s="151" t="s">
        <v>3359</v>
      </c>
    </row>
    <row r="1425" spans="1:2">
      <c r="A1425" s="151" t="s">
        <v>3360</v>
      </c>
      <c r="B1425" s="151" t="s">
        <v>3361</v>
      </c>
    </row>
    <row r="1426" spans="1:2">
      <c r="A1426" s="151" t="s">
        <v>3362</v>
      </c>
      <c r="B1426" s="151" t="s">
        <v>3363</v>
      </c>
    </row>
    <row r="1427" spans="1:2">
      <c r="A1427" s="151" t="s">
        <v>3364</v>
      </c>
      <c r="B1427" s="151" t="s">
        <v>3365</v>
      </c>
    </row>
    <row r="1428" spans="1:2">
      <c r="A1428" s="151" t="s">
        <v>3366</v>
      </c>
      <c r="B1428" s="151" t="s">
        <v>3367</v>
      </c>
    </row>
    <row r="1429" spans="1:2">
      <c r="A1429" s="151" t="s">
        <v>3368</v>
      </c>
      <c r="B1429" s="151" t="s">
        <v>3369</v>
      </c>
    </row>
    <row r="1430" spans="1:2">
      <c r="A1430" s="151" t="s">
        <v>3370</v>
      </c>
      <c r="B1430" s="151" t="s">
        <v>3371</v>
      </c>
    </row>
    <row r="1431" spans="1:2">
      <c r="A1431" s="151" t="s">
        <v>3372</v>
      </c>
      <c r="B1431" s="151" t="s">
        <v>3373</v>
      </c>
    </row>
    <row r="1432" spans="1:2">
      <c r="A1432" s="151" t="s">
        <v>3374</v>
      </c>
      <c r="B1432" s="151" t="s">
        <v>3375</v>
      </c>
    </row>
    <row r="1433" spans="1:2">
      <c r="A1433" s="151" t="s">
        <v>3376</v>
      </c>
      <c r="B1433" s="151" t="s">
        <v>3377</v>
      </c>
    </row>
    <row r="1434" spans="1:2">
      <c r="A1434" s="151" t="s">
        <v>3378</v>
      </c>
      <c r="B1434" s="151" t="s">
        <v>3379</v>
      </c>
    </row>
    <row r="1435" spans="1:2">
      <c r="A1435" s="151" t="s">
        <v>3380</v>
      </c>
      <c r="B1435" s="151" t="s">
        <v>3381</v>
      </c>
    </row>
    <row r="1436" spans="1:2">
      <c r="A1436" s="151" t="s">
        <v>3382</v>
      </c>
      <c r="B1436" s="151" t="s">
        <v>3383</v>
      </c>
    </row>
    <row r="1437" spans="1:2">
      <c r="A1437" s="151" t="s">
        <v>3384</v>
      </c>
      <c r="B1437" s="151" t="s">
        <v>3385</v>
      </c>
    </row>
    <row r="1438" spans="1:2">
      <c r="A1438" s="151" t="s">
        <v>3386</v>
      </c>
      <c r="B1438" s="151" t="s">
        <v>3387</v>
      </c>
    </row>
    <row r="1439" spans="1:2">
      <c r="A1439" s="151" t="s">
        <v>3388</v>
      </c>
      <c r="B1439" s="151" t="s">
        <v>3389</v>
      </c>
    </row>
    <row r="1440" spans="1:2">
      <c r="A1440" s="151" t="s">
        <v>3390</v>
      </c>
      <c r="B1440" s="151" t="s">
        <v>3391</v>
      </c>
    </row>
    <row r="1441" spans="1:2">
      <c r="A1441" s="151" t="s">
        <v>3392</v>
      </c>
      <c r="B1441" s="151" t="s">
        <v>3393</v>
      </c>
    </row>
    <row r="1442" spans="1:2">
      <c r="A1442" s="151" t="s">
        <v>3394</v>
      </c>
      <c r="B1442" s="151" t="s">
        <v>3395</v>
      </c>
    </row>
    <row r="1443" spans="1:2">
      <c r="A1443" s="151" t="s">
        <v>3396</v>
      </c>
      <c r="B1443" s="151" t="s">
        <v>3397</v>
      </c>
    </row>
    <row r="1444" spans="1:2">
      <c r="A1444" s="151" t="s">
        <v>3398</v>
      </c>
      <c r="B1444" s="151" t="s">
        <v>3399</v>
      </c>
    </row>
    <row r="1445" spans="1:2">
      <c r="A1445" s="151" t="s">
        <v>3400</v>
      </c>
      <c r="B1445" s="151" t="s">
        <v>3401</v>
      </c>
    </row>
    <row r="1446" spans="1:2">
      <c r="A1446" s="151" t="s">
        <v>3402</v>
      </c>
      <c r="B1446" s="151" t="s">
        <v>3403</v>
      </c>
    </row>
    <row r="1447" spans="1:2">
      <c r="A1447" s="151" t="s">
        <v>3404</v>
      </c>
      <c r="B1447" s="151" t="s">
        <v>3405</v>
      </c>
    </row>
    <row r="1448" spans="1:2">
      <c r="A1448" s="151" t="s">
        <v>3406</v>
      </c>
      <c r="B1448" s="151" t="s">
        <v>3407</v>
      </c>
    </row>
    <row r="1449" spans="1:2">
      <c r="A1449" s="151" t="s">
        <v>3408</v>
      </c>
      <c r="B1449" s="151" t="s">
        <v>3409</v>
      </c>
    </row>
    <row r="1450" spans="1:2">
      <c r="A1450" s="151" t="s">
        <v>3410</v>
      </c>
      <c r="B1450" s="151" t="s">
        <v>3411</v>
      </c>
    </row>
    <row r="1451" spans="1:2">
      <c r="A1451" s="151" t="s">
        <v>3412</v>
      </c>
      <c r="B1451" s="151" t="s">
        <v>3413</v>
      </c>
    </row>
    <row r="1452" spans="1:2">
      <c r="A1452" s="151" t="s">
        <v>3414</v>
      </c>
      <c r="B1452" s="151" t="s">
        <v>3415</v>
      </c>
    </row>
    <row r="1453" spans="1:2">
      <c r="A1453" s="151" t="s">
        <v>3416</v>
      </c>
      <c r="B1453" s="151" t="s">
        <v>3417</v>
      </c>
    </row>
    <row r="1454" spans="1:2">
      <c r="A1454" s="151" t="s">
        <v>3418</v>
      </c>
      <c r="B1454" s="151" t="s">
        <v>3419</v>
      </c>
    </row>
    <row r="1455" spans="1:2">
      <c r="A1455" s="151" t="s">
        <v>3420</v>
      </c>
      <c r="B1455" s="151" t="s">
        <v>3421</v>
      </c>
    </row>
    <row r="1456" spans="1:2">
      <c r="A1456" s="151" t="s">
        <v>3422</v>
      </c>
      <c r="B1456" s="151" t="s">
        <v>3423</v>
      </c>
    </row>
    <row r="1457" spans="1:2">
      <c r="A1457" s="151" t="s">
        <v>3424</v>
      </c>
      <c r="B1457" s="151" t="s">
        <v>3425</v>
      </c>
    </row>
    <row r="1458" spans="1:2">
      <c r="A1458" s="151" t="s">
        <v>3426</v>
      </c>
    </row>
    <row r="1459" spans="1:2">
      <c r="A1459" s="151" t="s">
        <v>3427</v>
      </c>
    </row>
    <row r="1460" spans="1:2">
      <c r="A1460" s="151" t="s">
        <v>3428</v>
      </c>
    </row>
    <row r="1461" spans="1:2">
      <c r="A1461" s="151" t="s">
        <v>3429</v>
      </c>
    </row>
    <row r="1462" spans="1:2">
      <c r="A1462" s="151" t="s">
        <v>3430</v>
      </c>
    </row>
    <row r="1463" spans="1:2">
      <c r="A1463" s="151" t="s">
        <v>3431</v>
      </c>
    </row>
    <row r="1464" spans="1:2">
      <c r="A1464" s="151" t="s">
        <v>3432</v>
      </c>
    </row>
    <row r="1465" spans="1:2">
      <c r="A1465" s="151" t="s">
        <v>3433</v>
      </c>
    </row>
    <row r="1466" spans="1:2">
      <c r="A1466" s="151" t="s">
        <v>3434</v>
      </c>
    </row>
    <row r="1467" spans="1:2">
      <c r="A1467" s="151" t="s">
        <v>3435</v>
      </c>
    </row>
    <row r="1468" spans="1:2">
      <c r="A1468" s="151" t="s">
        <v>3436</v>
      </c>
    </row>
    <row r="1469" spans="1:2">
      <c r="A1469" s="151" t="s">
        <v>3437</v>
      </c>
    </row>
    <row r="1470" spans="1:2">
      <c r="A1470" s="151" t="s">
        <v>3438</v>
      </c>
    </row>
    <row r="1471" spans="1:2">
      <c r="A1471" s="151" t="s">
        <v>3439</v>
      </c>
    </row>
    <row r="1472" spans="1:2">
      <c r="A1472" s="151" t="s">
        <v>3440</v>
      </c>
    </row>
    <row r="1473" spans="1:1">
      <c r="A1473" s="151" t="s">
        <v>3441</v>
      </c>
    </row>
    <row r="1474" spans="1:1">
      <c r="A1474" s="151" t="s">
        <v>3442</v>
      </c>
    </row>
    <row r="1475" spans="1:1">
      <c r="A1475" s="151" t="s">
        <v>3443</v>
      </c>
    </row>
    <row r="1476" spans="1:1">
      <c r="A1476" s="151" t="s">
        <v>3444</v>
      </c>
    </row>
    <row r="1477" spans="1:1">
      <c r="A1477" s="151" t="s">
        <v>3445</v>
      </c>
    </row>
    <row r="1478" spans="1:1">
      <c r="A1478" s="151" t="s">
        <v>3446</v>
      </c>
    </row>
    <row r="1479" spans="1:1">
      <c r="A1479" s="151" t="s">
        <v>3447</v>
      </c>
    </row>
    <row r="1480" spans="1:1">
      <c r="A1480" s="151" t="s">
        <v>3448</v>
      </c>
    </row>
    <row r="1481" spans="1:1">
      <c r="A1481" s="151" t="s">
        <v>3449</v>
      </c>
    </row>
    <row r="1482" spans="1:1">
      <c r="A1482" s="151" t="s">
        <v>3450</v>
      </c>
    </row>
    <row r="1483" spans="1:1">
      <c r="A1483" s="151" t="s">
        <v>3451</v>
      </c>
    </row>
    <row r="1484" spans="1:1">
      <c r="A1484" s="151" t="s">
        <v>3452</v>
      </c>
    </row>
    <row r="1485" spans="1:1">
      <c r="A1485" s="151" t="s">
        <v>3453</v>
      </c>
    </row>
    <row r="1486" spans="1:1">
      <c r="A1486" s="151" t="s">
        <v>3454</v>
      </c>
    </row>
    <row r="1487" spans="1:1">
      <c r="A1487" s="151" t="s">
        <v>3455</v>
      </c>
    </row>
    <row r="1488" spans="1:1">
      <c r="A1488" s="151" t="s">
        <v>3456</v>
      </c>
    </row>
    <row r="1489" spans="1:1">
      <c r="A1489" s="151" t="s">
        <v>3457</v>
      </c>
    </row>
    <row r="1490" spans="1:1">
      <c r="A1490" s="151" t="s">
        <v>3458</v>
      </c>
    </row>
    <row r="1491" spans="1:1">
      <c r="A1491" s="151" t="s">
        <v>3459</v>
      </c>
    </row>
    <row r="1492" spans="1:1">
      <c r="A1492" s="151" t="s">
        <v>3460</v>
      </c>
    </row>
    <row r="1493" spans="1:1">
      <c r="A1493" s="151" t="s">
        <v>3461</v>
      </c>
    </row>
    <row r="1494" spans="1:1">
      <c r="A1494" s="151" t="s">
        <v>3462</v>
      </c>
    </row>
    <row r="1495" spans="1:1">
      <c r="A1495" s="151" t="s">
        <v>3463</v>
      </c>
    </row>
    <row r="1496" spans="1:1">
      <c r="A1496" s="151" t="s">
        <v>3464</v>
      </c>
    </row>
    <row r="1497" spans="1:1">
      <c r="A1497" s="151" t="s">
        <v>3465</v>
      </c>
    </row>
    <row r="1498" spans="1:1">
      <c r="A1498" s="151" t="s">
        <v>3466</v>
      </c>
    </row>
    <row r="1499" spans="1:1">
      <c r="A1499" s="151" t="s">
        <v>3467</v>
      </c>
    </row>
    <row r="1500" spans="1:1">
      <c r="A1500" s="151" t="s">
        <v>3468</v>
      </c>
    </row>
    <row r="1501" spans="1:1">
      <c r="A1501" s="151" t="s">
        <v>3469</v>
      </c>
    </row>
    <row r="1502" spans="1:1">
      <c r="A1502" s="151" t="s">
        <v>3470</v>
      </c>
    </row>
    <row r="1503" spans="1:1">
      <c r="A1503" s="151" t="s">
        <v>3471</v>
      </c>
    </row>
    <row r="1504" spans="1:1">
      <c r="A1504" s="151" t="s">
        <v>3472</v>
      </c>
    </row>
    <row r="1505" spans="1:1">
      <c r="A1505" s="151" t="s">
        <v>3473</v>
      </c>
    </row>
    <row r="1506" spans="1:1">
      <c r="A1506" s="151" t="s">
        <v>3474</v>
      </c>
    </row>
    <row r="1507" spans="1:1">
      <c r="A1507" s="151" t="s">
        <v>3475</v>
      </c>
    </row>
    <row r="1508" spans="1:1">
      <c r="A1508" s="151" t="s">
        <v>3476</v>
      </c>
    </row>
    <row r="1509" spans="1:1">
      <c r="A1509" s="151" t="s">
        <v>3477</v>
      </c>
    </row>
    <row r="1510" spans="1:1">
      <c r="A1510" s="151" t="s">
        <v>3478</v>
      </c>
    </row>
    <row r="1511" spans="1:1">
      <c r="A1511" s="151" t="s">
        <v>3479</v>
      </c>
    </row>
    <row r="1512" spans="1:1">
      <c r="A1512" s="151" t="s">
        <v>3480</v>
      </c>
    </row>
    <row r="1513" spans="1:1">
      <c r="A1513" s="151" t="s">
        <v>3481</v>
      </c>
    </row>
    <row r="1514" spans="1:1">
      <c r="A1514" s="151" t="s">
        <v>3482</v>
      </c>
    </row>
    <row r="1515" spans="1:1">
      <c r="A1515" s="151" t="s">
        <v>3483</v>
      </c>
    </row>
    <row r="1516" spans="1:1">
      <c r="A1516" s="151" t="s">
        <v>3484</v>
      </c>
    </row>
    <row r="1517" spans="1:1">
      <c r="A1517" s="151" t="s">
        <v>3485</v>
      </c>
    </row>
    <row r="1518" spans="1:1">
      <c r="A1518" s="151" t="s">
        <v>3486</v>
      </c>
    </row>
    <row r="1519" spans="1:1">
      <c r="A1519" s="151" t="s">
        <v>3487</v>
      </c>
    </row>
    <row r="1520" spans="1:1">
      <c r="A1520" s="151" t="s">
        <v>3488</v>
      </c>
    </row>
    <row r="1521" spans="1:1">
      <c r="A1521" s="151" t="s">
        <v>3489</v>
      </c>
    </row>
    <row r="1522" spans="1:1">
      <c r="A1522" s="151" t="s">
        <v>3490</v>
      </c>
    </row>
    <row r="1523" spans="1:1">
      <c r="A1523" s="151" t="s">
        <v>3491</v>
      </c>
    </row>
    <row r="1524" spans="1:1">
      <c r="A1524" s="151" t="s">
        <v>3492</v>
      </c>
    </row>
    <row r="1525" spans="1:1">
      <c r="A1525" s="151" t="s">
        <v>3493</v>
      </c>
    </row>
    <row r="1526" spans="1:1">
      <c r="A1526" s="151" t="s">
        <v>3494</v>
      </c>
    </row>
    <row r="1527" spans="1:1">
      <c r="A1527" s="151" t="s">
        <v>3495</v>
      </c>
    </row>
    <row r="1528" spans="1:1">
      <c r="A1528" s="151" t="s">
        <v>3496</v>
      </c>
    </row>
    <row r="1529" spans="1:1">
      <c r="A1529" s="151" t="s">
        <v>3497</v>
      </c>
    </row>
    <row r="1530" spans="1:1">
      <c r="A1530" s="151" t="s">
        <v>3498</v>
      </c>
    </row>
    <row r="1531" spans="1:1">
      <c r="A1531" s="151" t="s">
        <v>3499</v>
      </c>
    </row>
    <row r="1532" spans="1:1">
      <c r="A1532" s="151" t="s">
        <v>3500</v>
      </c>
    </row>
    <row r="1533" spans="1:1">
      <c r="A1533" s="151" t="s">
        <v>3501</v>
      </c>
    </row>
    <row r="1534" spans="1:1">
      <c r="A1534" s="151" t="s">
        <v>3502</v>
      </c>
    </row>
    <row r="1535" spans="1:1">
      <c r="A1535" s="151" t="s">
        <v>3503</v>
      </c>
    </row>
    <row r="1536" spans="1:1">
      <c r="A1536" s="151" t="s">
        <v>3504</v>
      </c>
    </row>
    <row r="1537" spans="1:1">
      <c r="A1537" s="151" t="s">
        <v>3505</v>
      </c>
    </row>
    <row r="1538" spans="1:1">
      <c r="A1538" s="151" t="s">
        <v>3506</v>
      </c>
    </row>
    <row r="1539" spans="1:1">
      <c r="A1539" s="151" t="s">
        <v>3507</v>
      </c>
    </row>
    <row r="1540" spans="1:1">
      <c r="A1540" s="151" t="s">
        <v>3508</v>
      </c>
    </row>
    <row r="1541" spans="1:1">
      <c r="A1541" s="151" t="s">
        <v>3509</v>
      </c>
    </row>
    <row r="1542" spans="1:1">
      <c r="A1542" s="151" t="s">
        <v>3510</v>
      </c>
    </row>
    <row r="1543" spans="1:1">
      <c r="A1543" s="151" t="s">
        <v>3511</v>
      </c>
    </row>
    <row r="1544" spans="1:1">
      <c r="A1544" s="151" t="s">
        <v>3512</v>
      </c>
    </row>
    <row r="1545" spans="1:1">
      <c r="A1545" s="151" t="s">
        <v>3513</v>
      </c>
    </row>
    <row r="1546" spans="1:1">
      <c r="A1546" s="151" t="s">
        <v>3514</v>
      </c>
    </row>
    <row r="1547" spans="1:1">
      <c r="A1547" s="151" t="s">
        <v>3515</v>
      </c>
    </row>
    <row r="1548" spans="1:1">
      <c r="A1548" s="151" t="s">
        <v>3516</v>
      </c>
    </row>
    <row r="1549" spans="1:1">
      <c r="A1549" s="151" t="s">
        <v>3517</v>
      </c>
    </row>
    <row r="1550" spans="1:1">
      <c r="A1550" s="151" t="s">
        <v>3518</v>
      </c>
    </row>
    <row r="1551" spans="1:1">
      <c r="A1551" s="151" t="s">
        <v>3519</v>
      </c>
    </row>
    <row r="1552" spans="1:1">
      <c r="A1552" s="151" t="s">
        <v>3520</v>
      </c>
    </row>
    <row r="1553" spans="1:1">
      <c r="A1553" s="151" t="s">
        <v>3521</v>
      </c>
    </row>
    <row r="1554" spans="1:1">
      <c r="A1554" s="151" t="s">
        <v>3522</v>
      </c>
    </row>
    <row r="1555" spans="1:1">
      <c r="A1555" s="151" t="s">
        <v>3523</v>
      </c>
    </row>
    <row r="1556" spans="1:1">
      <c r="A1556" s="151" t="s">
        <v>3524</v>
      </c>
    </row>
    <row r="1557" spans="1:1">
      <c r="A1557" s="151" t="s">
        <v>3525</v>
      </c>
    </row>
    <row r="1558" spans="1:1">
      <c r="A1558" s="151" t="s">
        <v>3526</v>
      </c>
    </row>
    <row r="1559" spans="1:1">
      <c r="A1559" s="151" t="s">
        <v>3527</v>
      </c>
    </row>
    <row r="1560" spans="1:1">
      <c r="A1560" s="151" t="s">
        <v>3528</v>
      </c>
    </row>
    <row r="1561" spans="1:1">
      <c r="A1561" s="151" t="s">
        <v>3529</v>
      </c>
    </row>
    <row r="1562" spans="1:1">
      <c r="A1562" s="151" t="s">
        <v>3530</v>
      </c>
    </row>
    <row r="1563" spans="1:1">
      <c r="A1563" s="151" t="s">
        <v>3531</v>
      </c>
    </row>
    <row r="1564" spans="1:1">
      <c r="A1564" s="151" t="s">
        <v>3532</v>
      </c>
    </row>
    <row r="1565" spans="1:1">
      <c r="A1565" s="151" t="s">
        <v>3533</v>
      </c>
    </row>
    <row r="1566" spans="1:1">
      <c r="A1566" s="151" t="s">
        <v>3534</v>
      </c>
    </row>
    <row r="1567" spans="1:1">
      <c r="A1567" s="151" t="s">
        <v>3535</v>
      </c>
    </row>
    <row r="1568" spans="1:1">
      <c r="A1568" s="151" t="s">
        <v>3536</v>
      </c>
    </row>
    <row r="1569" spans="1:1">
      <c r="A1569" s="151" t="s">
        <v>3537</v>
      </c>
    </row>
    <row r="1570" spans="1:1">
      <c r="A1570" s="151" t="s">
        <v>3538</v>
      </c>
    </row>
    <row r="1571" spans="1:1">
      <c r="A1571" s="151" t="s">
        <v>3539</v>
      </c>
    </row>
    <row r="1572" spans="1:1">
      <c r="A1572" s="151" t="s">
        <v>3540</v>
      </c>
    </row>
    <row r="1573" spans="1:1">
      <c r="A1573" s="151" t="s">
        <v>3541</v>
      </c>
    </row>
    <row r="1574" spans="1:1">
      <c r="A1574" s="151" t="s">
        <v>3542</v>
      </c>
    </row>
    <row r="1575" spans="1:1">
      <c r="A1575" s="151" t="s">
        <v>3543</v>
      </c>
    </row>
    <row r="1576" spans="1:1">
      <c r="A1576" s="151" t="s">
        <v>3544</v>
      </c>
    </row>
    <row r="1577" spans="1:1">
      <c r="A1577" s="151" t="s">
        <v>3545</v>
      </c>
    </row>
    <row r="1578" spans="1:1">
      <c r="A1578" s="151" t="s">
        <v>3546</v>
      </c>
    </row>
    <row r="1579" spans="1:1">
      <c r="A1579" s="151" t="s">
        <v>3547</v>
      </c>
    </row>
    <row r="1580" spans="1:1">
      <c r="A1580" s="151" t="s">
        <v>3548</v>
      </c>
    </row>
    <row r="1581" spans="1:1">
      <c r="A1581" s="151" t="s">
        <v>3549</v>
      </c>
    </row>
    <row r="1582" spans="1:1">
      <c r="A1582" s="151" t="s">
        <v>3550</v>
      </c>
    </row>
    <row r="1583" spans="1:1">
      <c r="A1583" s="151" t="s">
        <v>3551</v>
      </c>
    </row>
    <row r="1584" spans="1:1">
      <c r="A1584" s="151" t="s">
        <v>3552</v>
      </c>
    </row>
    <row r="1585" spans="1:1">
      <c r="A1585" s="151" t="s">
        <v>3553</v>
      </c>
    </row>
    <row r="1586" spans="1:1">
      <c r="A1586" s="151" t="s">
        <v>3554</v>
      </c>
    </row>
    <row r="1587" spans="1:1">
      <c r="A1587" s="151" t="s">
        <v>3555</v>
      </c>
    </row>
    <row r="1588" spans="1:1">
      <c r="A1588" s="151" t="s">
        <v>3556</v>
      </c>
    </row>
    <row r="1589" spans="1:1">
      <c r="A1589" s="151" t="s">
        <v>3557</v>
      </c>
    </row>
    <row r="1590" spans="1:1">
      <c r="A1590" s="151" t="s">
        <v>3558</v>
      </c>
    </row>
    <row r="1591" spans="1:1">
      <c r="A1591" s="151" t="s">
        <v>3559</v>
      </c>
    </row>
    <row r="1592" spans="1:1">
      <c r="A1592" s="151" t="s">
        <v>3560</v>
      </c>
    </row>
    <row r="1593" spans="1:1">
      <c r="A1593" s="151" t="s">
        <v>3561</v>
      </c>
    </row>
    <row r="1594" spans="1:1">
      <c r="A1594" s="151" t="s">
        <v>3562</v>
      </c>
    </row>
    <row r="1595" spans="1:1">
      <c r="A1595" s="151" t="s">
        <v>3563</v>
      </c>
    </row>
    <row r="1596" spans="1:1">
      <c r="A1596" s="151" t="s">
        <v>3564</v>
      </c>
    </row>
    <row r="1597" spans="1:1">
      <c r="A1597" s="151" t="s">
        <v>3565</v>
      </c>
    </row>
    <row r="1598" spans="1:1">
      <c r="A1598" s="151" t="s">
        <v>3566</v>
      </c>
    </row>
    <row r="1599" spans="1:1">
      <c r="A1599" s="151" t="s">
        <v>3567</v>
      </c>
    </row>
    <row r="1600" spans="1:1">
      <c r="A1600" s="151" t="s">
        <v>3568</v>
      </c>
    </row>
    <row r="1601" spans="1:1">
      <c r="A1601" s="151" t="s">
        <v>3569</v>
      </c>
    </row>
    <row r="1602" spans="1:1">
      <c r="A1602" s="151" t="s">
        <v>3570</v>
      </c>
    </row>
    <row r="1603" spans="1:1">
      <c r="A1603" s="151" t="s">
        <v>3571</v>
      </c>
    </row>
    <row r="1604" spans="1:1">
      <c r="A1604" s="151" t="s">
        <v>3572</v>
      </c>
    </row>
    <row r="1605" spans="1:1">
      <c r="A1605" s="151" t="s">
        <v>3573</v>
      </c>
    </row>
    <row r="1606" spans="1:1">
      <c r="A1606" s="151" t="s">
        <v>3574</v>
      </c>
    </row>
    <row r="1607" spans="1:1">
      <c r="A1607" s="151" t="s">
        <v>3575</v>
      </c>
    </row>
    <row r="1608" spans="1:1">
      <c r="A1608" s="151" t="s">
        <v>3576</v>
      </c>
    </row>
    <row r="1609" spans="1:1">
      <c r="A1609" s="151" t="s">
        <v>3577</v>
      </c>
    </row>
    <row r="1610" spans="1:1">
      <c r="A1610" s="151" t="s">
        <v>3578</v>
      </c>
    </row>
    <row r="1611" spans="1:1">
      <c r="A1611" s="151" t="s">
        <v>3579</v>
      </c>
    </row>
    <row r="1612" spans="1:1">
      <c r="A1612" s="151" t="s">
        <v>3580</v>
      </c>
    </row>
    <row r="1613" spans="1:1">
      <c r="A1613" s="151" t="s">
        <v>3581</v>
      </c>
    </row>
    <row r="1614" spans="1:1">
      <c r="A1614" s="151" t="s">
        <v>3582</v>
      </c>
    </row>
    <row r="1615" spans="1:1">
      <c r="A1615" s="151" t="s">
        <v>3583</v>
      </c>
    </row>
    <row r="1616" spans="1:1">
      <c r="A1616" s="151" t="s">
        <v>3584</v>
      </c>
    </row>
    <row r="1617" spans="1:1">
      <c r="A1617" s="151" t="s">
        <v>3585</v>
      </c>
    </row>
    <row r="1618" spans="1:1">
      <c r="A1618" s="151" t="s">
        <v>3586</v>
      </c>
    </row>
    <row r="1619" spans="1:1">
      <c r="A1619" s="151" t="s">
        <v>3587</v>
      </c>
    </row>
    <row r="1620" spans="1:1">
      <c r="A1620" s="151" t="s">
        <v>3588</v>
      </c>
    </row>
    <row r="1621" spans="1:1">
      <c r="A1621" s="151" t="s">
        <v>3589</v>
      </c>
    </row>
    <row r="1622" spans="1:1">
      <c r="A1622" s="151" t="s">
        <v>3590</v>
      </c>
    </row>
    <row r="1623" spans="1:1">
      <c r="A1623" s="151" t="s">
        <v>3591</v>
      </c>
    </row>
    <row r="1624" spans="1:1">
      <c r="A1624" s="151" t="s">
        <v>3592</v>
      </c>
    </row>
    <row r="1625" spans="1:1">
      <c r="A1625" s="151" t="s">
        <v>3593</v>
      </c>
    </row>
    <row r="1626" spans="1:1">
      <c r="A1626" s="151" t="s">
        <v>3594</v>
      </c>
    </row>
    <row r="1627" spans="1:1">
      <c r="A1627" s="151" t="s">
        <v>3595</v>
      </c>
    </row>
    <row r="1628" spans="1:1">
      <c r="A1628" s="151" t="s">
        <v>3596</v>
      </c>
    </row>
    <row r="1629" spans="1:1">
      <c r="A1629" s="151" t="s">
        <v>3597</v>
      </c>
    </row>
    <row r="1630" spans="1:1">
      <c r="A1630" s="151" t="s">
        <v>3598</v>
      </c>
    </row>
    <row r="1631" spans="1:1">
      <c r="A1631" s="151" t="s">
        <v>3599</v>
      </c>
    </row>
    <row r="1632" spans="1:1">
      <c r="A1632" s="151" t="s">
        <v>3600</v>
      </c>
    </row>
    <row r="1633" spans="1:1">
      <c r="A1633" s="151" t="s">
        <v>3601</v>
      </c>
    </row>
    <row r="1634" spans="1:1">
      <c r="A1634" s="151" t="s">
        <v>3602</v>
      </c>
    </row>
    <row r="1635" spans="1:1">
      <c r="A1635" s="151" t="s">
        <v>3603</v>
      </c>
    </row>
    <row r="1636" spans="1:1">
      <c r="A1636" s="151" t="s">
        <v>3604</v>
      </c>
    </row>
    <row r="1637" spans="1:1">
      <c r="A1637" s="151" t="s">
        <v>3605</v>
      </c>
    </row>
    <row r="1638" spans="1:1">
      <c r="A1638" s="151" t="s">
        <v>3606</v>
      </c>
    </row>
    <row r="1639" spans="1:1">
      <c r="A1639" s="151" t="s">
        <v>3607</v>
      </c>
    </row>
    <row r="1640" spans="1:1">
      <c r="A1640" s="151" t="s">
        <v>3608</v>
      </c>
    </row>
    <row r="1641" spans="1:1">
      <c r="A1641" s="151" t="s">
        <v>3609</v>
      </c>
    </row>
    <row r="1642" spans="1:1">
      <c r="A1642" s="151" t="s">
        <v>3610</v>
      </c>
    </row>
    <row r="1643" spans="1:1">
      <c r="A1643" s="151" t="s">
        <v>3611</v>
      </c>
    </row>
    <row r="1644" spans="1:1">
      <c r="A1644" s="151" t="s">
        <v>3612</v>
      </c>
    </row>
    <row r="1645" spans="1:1">
      <c r="A1645" s="151" t="s">
        <v>3613</v>
      </c>
    </row>
    <row r="1646" spans="1:1">
      <c r="A1646" s="151" t="s">
        <v>3614</v>
      </c>
    </row>
    <row r="1647" spans="1:1">
      <c r="A1647" s="151" t="s">
        <v>3615</v>
      </c>
    </row>
    <row r="1648" spans="1:1">
      <c r="A1648" s="151" t="s">
        <v>3616</v>
      </c>
    </row>
    <row r="1649" spans="1:1">
      <c r="A1649" s="151" t="s">
        <v>3617</v>
      </c>
    </row>
    <row r="1650" spans="1:1">
      <c r="A1650" s="151" t="s">
        <v>3618</v>
      </c>
    </row>
    <row r="1651" spans="1:1">
      <c r="A1651" s="151" t="s">
        <v>3619</v>
      </c>
    </row>
    <row r="1652" spans="1:1">
      <c r="A1652" s="151" t="s">
        <v>3620</v>
      </c>
    </row>
    <row r="1653" spans="1:1">
      <c r="A1653" s="151" t="s">
        <v>3621</v>
      </c>
    </row>
    <row r="1654" spans="1:1">
      <c r="A1654" s="151" t="s">
        <v>3622</v>
      </c>
    </row>
    <row r="1655" spans="1:1">
      <c r="A1655" s="151" t="s">
        <v>3623</v>
      </c>
    </row>
    <row r="1656" spans="1:1">
      <c r="A1656" s="151" t="s">
        <v>3624</v>
      </c>
    </row>
    <row r="1657" spans="1:1">
      <c r="A1657" s="151" t="s">
        <v>3625</v>
      </c>
    </row>
    <row r="1658" spans="1:1">
      <c r="A1658" s="151" t="s">
        <v>3626</v>
      </c>
    </row>
    <row r="1659" spans="1:1">
      <c r="A1659" s="151" t="s">
        <v>3627</v>
      </c>
    </row>
    <row r="1660" spans="1:1">
      <c r="A1660" s="151" t="s">
        <v>3628</v>
      </c>
    </row>
    <row r="1661" spans="1:1">
      <c r="A1661" s="151" t="s">
        <v>3629</v>
      </c>
    </row>
    <row r="1662" spans="1:1">
      <c r="A1662" s="151" t="s">
        <v>3630</v>
      </c>
    </row>
    <row r="1663" spans="1:1">
      <c r="A1663" s="151" t="s">
        <v>3631</v>
      </c>
    </row>
    <row r="1664" spans="1:1">
      <c r="A1664" s="151" t="s">
        <v>3632</v>
      </c>
    </row>
    <row r="1665" spans="1:1">
      <c r="A1665" s="151" t="s">
        <v>3633</v>
      </c>
    </row>
    <row r="1666" spans="1:1">
      <c r="A1666" s="151" t="s">
        <v>3634</v>
      </c>
    </row>
    <row r="1667" spans="1:1">
      <c r="A1667" s="151" t="s">
        <v>3635</v>
      </c>
    </row>
    <row r="1668" spans="1:1">
      <c r="A1668" s="151" t="s">
        <v>3636</v>
      </c>
    </row>
    <row r="1669" spans="1:1">
      <c r="A1669" s="151" t="s">
        <v>3637</v>
      </c>
    </row>
    <row r="1670" spans="1:1">
      <c r="A1670" s="151" t="s">
        <v>3638</v>
      </c>
    </row>
    <row r="1671" spans="1:1">
      <c r="A1671" s="151" t="s">
        <v>3639</v>
      </c>
    </row>
    <row r="1672" spans="1:1">
      <c r="A1672" s="151" t="s">
        <v>3640</v>
      </c>
    </row>
    <row r="1673" spans="1:1">
      <c r="A1673" s="151" t="s">
        <v>3641</v>
      </c>
    </row>
    <row r="1674" spans="1:1">
      <c r="A1674" s="151" t="s">
        <v>3642</v>
      </c>
    </row>
    <row r="1675" spans="1:1">
      <c r="A1675" s="151" t="s">
        <v>3643</v>
      </c>
    </row>
    <row r="1676" spans="1:1">
      <c r="A1676" s="151" t="s">
        <v>3644</v>
      </c>
    </row>
    <row r="1677" spans="1:1">
      <c r="A1677" s="151" t="s">
        <v>3645</v>
      </c>
    </row>
    <row r="1678" spans="1:1">
      <c r="A1678" s="151" t="s">
        <v>3646</v>
      </c>
    </row>
    <row r="1679" spans="1:1">
      <c r="A1679" s="151" t="s">
        <v>3647</v>
      </c>
    </row>
    <row r="1680" spans="1:1">
      <c r="A1680" s="151" t="s">
        <v>3648</v>
      </c>
    </row>
    <row r="1681" spans="1:1">
      <c r="A1681" s="151" t="s">
        <v>3649</v>
      </c>
    </row>
    <row r="1682" spans="1:1">
      <c r="A1682" s="151" t="s">
        <v>3650</v>
      </c>
    </row>
    <row r="1683" spans="1:1">
      <c r="A1683" s="151" t="s">
        <v>3651</v>
      </c>
    </row>
    <row r="1684" spans="1:1">
      <c r="A1684" s="151" t="s">
        <v>3652</v>
      </c>
    </row>
    <row r="1685" spans="1:1">
      <c r="A1685" s="151" t="s">
        <v>3653</v>
      </c>
    </row>
    <row r="1686" spans="1:1">
      <c r="A1686" s="151" t="s">
        <v>3654</v>
      </c>
    </row>
    <row r="1687" spans="1:1">
      <c r="A1687" s="151" t="s">
        <v>3655</v>
      </c>
    </row>
    <row r="1688" spans="1:1">
      <c r="A1688" s="151" t="s">
        <v>3656</v>
      </c>
    </row>
    <row r="1689" spans="1:1">
      <c r="A1689" s="151" t="s">
        <v>3657</v>
      </c>
    </row>
    <row r="1690" spans="1:1">
      <c r="A1690" s="151" t="s">
        <v>3658</v>
      </c>
    </row>
    <row r="1691" spans="1:1">
      <c r="A1691" s="151" t="s">
        <v>3659</v>
      </c>
    </row>
    <row r="1692" spans="1:1">
      <c r="A1692" s="151" t="s">
        <v>3660</v>
      </c>
    </row>
    <row r="1693" spans="1:1">
      <c r="A1693" s="151" t="s">
        <v>3661</v>
      </c>
    </row>
    <row r="1694" spans="1:1">
      <c r="A1694" s="151" t="s">
        <v>3662</v>
      </c>
    </row>
    <row r="1695" spans="1:1">
      <c r="A1695" s="151" t="s">
        <v>3663</v>
      </c>
    </row>
    <row r="1696" spans="1:1">
      <c r="A1696" s="151" t="s">
        <v>3664</v>
      </c>
    </row>
    <row r="1697" spans="1:1">
      <c r="A1697" s="151" t="s">
        <v>3665</v>
      </c>
    </row>
    <row r="1698" spans="1:1">
      <c r="A1698" s="151" t="s">
        <v>3666</v>
      </c>
    </row>
    <row r="1699" spans="1:1">
      <c r="A1699" s="151" t="s">
        <v>3667</v>
      </c>
    </row>
    <row r="1700" spans="1:1">
      <c r="A1700" s="151" t="s">
        <v>3668</v>
      </c>
    </row>
    <row r="1701" spans="1:1">
      <c r="A1701" s="151" t="s">
        <v>3669</v>
      </c>
    </row>
    <row r="1702" spans="1:1">
      <c r="A1702" s="151" t="s">
        <v>3670</v>
      </c>
    </row>
    <row r="1703" spans="1:1">
      <c r="A1703" s="151" t="s">
        <v>3671</v>
      </c>
    </row>
    <row r="1704" spans="1:1">
      <c r="A1704" s="151" t="s">
        <v>3672</v>
      </c>
    </row>
    <row r="1705" spans="1:1">
      <c r="A1705" s="151" t="s">
        <v>3673</v>
      </c>
    </row>
    <row r="1706" spans="1:1">
      <c r="A1706" s="151" t="s">
        <v>3674</v>
      </c>
    </row>
    <row r="1707" spans="1:1">
      <c r="A1707" s="151" t="s">
        <v>3675</v>
      </c>
    </row>
    <row r="1708" spans="1:1">
      <c r="A1708" s="151" t="s">
        <v>3676</v>
      </c>
    </row>
    <row r="1709" spans="1:1">
      <c r="A1709" s="151" t="s">
        <v>3677</v>
      </c>
    </row>
    <row r="1710" spans="1:1">
      <c r="A1710" s="151" t="s">
        <v>3678</v>
      </c>
    </row>
    <row r="1711" spans="1:1">
      <c r="A1711" s="151" t="s">
        <v>3679</v>
      </c>
    </row>
    <row r="1712" spans="1:1">
      <c r="A1712" s="151" t="s">
        <v>3680</v>
      </c>
    </row>
    <row r="1713" spans="1:1">
      <c r="A1713" s="151" t="s">
        <v>3681</v>
      </c>
    </row>
    <row r="1714" spans="1:1">
      <c r="A1714" s="151" t="s">
        <v>3682</v>
      </c>
    </row>
    <row r="1715" spans="1:1">
      <c r="A1715" s="151" t="s">
        <v>3683</v>
      </c>
    </row>
    <row r="1716" spans="1:1">
      <c r="A1716" s="151" t="s">
        <v>3684</v>
      </c>
    </row>
    <row r="1717" spans="1:1">
      <c r="A1717" s="151" t="s">
        <v>3685</v>
      </c>
    </row>
    <row r="1718" spans="1:1">
      <c r="A1718" s="151" t="s">
        <v>3686</v>
      </c>
    </row>
    <row r="1719" spans="1:1">
      <c r="A1719" s="151" t="s">
        <v>3687</v>
      </c>
    </row>
    <row r="1720" spans="1:1">
      <c r="A1720" s="151" t="s">
        <v>3688</v>
      </c>
    </row>
    <row r="1721" spans="1:1">
      <c r="A1721" s="151" t="s">
        <v>3689</v>
      </c>
    </row>
    <row r="1722" spans="1:1">
      <c r="A1722" s="151" t="s">
        <v>3690</v>
      </c>
    </row>
    <row r="1723" spans="1:1">
      <c r="A1723" s="151" t="s">
        <v>3691</v>
      </c>
    </row>
    <row r="1724" spans="1:1">
      <c r="A1724" s="151" t="s">
        <v>3692</v>
      </c>
    </row>
    <row r="1725" spans="1:1">
      <c r="A1725" s="151" t="s">
        <v>3693</v>
      </c>
    </row>
    <row r="1726" spans="1:1">
      <c r="A1726" s="151" t="s">
        <v>3694</v>
      </c>
    </row>
    <row r="1727" spans="1:1">
      <c r="A1727" s="151" t="s">
        <v>3695</v>
      </c>
    </row>
    <row r="1728" spans="1:1">
      <c r="A1728" s="151" t="s">
        <v>3696</v>
      </c>
    </row>
    <row r="1729" spans="1:1">
      <c r="A1729" s="151" t="s">
        <v>3697</v>
      </c>
    </row>
    <row r="1730" spans="1:1">
      <c r="A1730" s="151" t="s">
        <v>3698</v>
      </c>
    </row>
    <row r="1731" spans="1:1">
      <c r="A1731" s="151" t="s">
        <v>3699</v>
      </c>
    </row>
    <row r="1732" spans="1:1">
      <c r="A1732" s="151" t="s">
        <v>3700</v>
      </c>
    </row>
    <row r="1733" spans="1:1">
      <c r="A1733" s="151" t="s">
        <v>3701</v>
      </c>
    </row>
    <row r="1734" spans="1:1">
      <c r="A1734" s="151" t="s">
        <v>3702</v>
      </c>
    </row>
    <row r="1735" spans="1:1">
      <c r="A1735" s="151" t="s">
        <v>3703</v>
      </c>
    </row>
    <row r="1736" spans="1:1">
      <c r="A1736" s="151" t="s">
        <v>3704</v>
      </c>
    </row>
    <row r="1737" spans="1:1">
      <c r="A1737" s="151" t="s">
        <v>3705</v>
      </c>
    </row>
    <row r="1738" spans="1:1">
      <c r="A1738" s="151" t="s">
        <v>3706</v>
      </c>
    </row>
    <row r="1739" spans="1:1">
      <c r="A1739" s="151" t="s">
        <v>3707</v>
      </c>
    </row>
    <row r="1740" spans="1:1">
      <c r="A1740" s="151" t="s">
        <v>3708</v>
      </c>
    </row>
    <row r="1741" spans="1:1">
      <c r="A1741" s="151" t="s">
        <v>3709</v>
      </c>
    </row>
    <row r="1742" spans="1:1">
      <c r="A1742" s="151" t="s">
        <v>3710</v>
      </c>
    </row>
    <row r="1743" spans="1:1">
      <c r="A1743" s="151" t="s">
        <v>3711</v>
      </c>
    </row>
    <row r="1744" spans="1:1">
      <c r="A1744" s="151" t="s">
        <v>3712</v>
      </c>
    </row>
    <row r="1745" spans="1:1">
      <c r="A1745" s="151" t="s">
        <v>3713</v>
      </c>
    </row>
    <row r="1746" spans="1:1">
      <c r="A1746" s="151" t="s">
        <v>3714</v>
      </c>
    </row>
    <row r="1747" spans="1:1">
      <c r="A1747" s="151" t="s">
        <v>3715</v>
      </c>
    </row>
    <row r="1748" spans="1:1">
      <c r="A1748" s="151" t="s">
        <v>3716</v>
      </c>
    </row>
    <row r="1749" spans="1:1">
      <c r="A1749" s="151" t="s">
        <v>3717</v>
      </c>
    </row>
    <row r="1750" spans="1:1">
      <c r="A1750" s="151" t="s">
        <v>3718</v>
      </c>
    </row>
    <row r="1751" spans="1:1">
      <c r="A1751" s="151" t="s">
        <v>3719</v>
      </c>
    </row>
    <row r="1752" spans="1:1">
      <c r="A1752" s="151" t="s">
        <v>3720</v>
      </c>
    </row>
    <row r="1753" spans="1:1">
      <c r="A1753" s="151" t="s">
        <v>3721</v>
      </c>
    </row>
    <row r="1754" spans="1:1">
      <c r="A1754" s="151" t="s">
        <v>3722</v>
      </c>
    </row>
    <row r="1755" spans="1:1">
      <c r="A1755" s="151" t="s">
        <v>3723</v>
      </c>
    </row>
    <row r="1756" spans="1:1">
      <c r="A1756" s="151" t="s">
        <v>3724</v>
      </c>
    </row>
    <row r="1757" spans="1:1">
      <c r="A1757" s="151" t="s">
        <v>3725</v>
      </c>
    </row>
    <row r="1758" spans="1:1">
      <c r="A1758" s="151" t="s">
        <v>3726</v>
      </c>
    </row>
    <row r="1759" spans="1:1">
      <c r="A1759" s="151" t="s">
        <v>3727</v>
      </c>
    </row>
    <row r="1760" spans="1:1">
      <c r="A1760" s="151" t="s">
        <v>3728</v>
      </c>
    </row>
    <row r="1761" spans="1:1">
      <c r="A1761" s="151" t="s">
        <v>3729</v>
      </c>
    </row>
    <row r="1762" spans="1:1">
      <c r="A1762" s="151" t="s">
        <v>3730</v>
      </c>
    </row>
    <row r="1763" spans="1:1">
      <c r="A1763" s="151" t="s">
        <v>3731</v>
      </c>
    </row>
    <row r="1764" spans="1:1">
      <c r="A1764" s="151" t="s">
        <v>3732</v>
      </c>
    </row>
    <row r="1765" spans="1:1">
      <c r="A1765" s="151" t="s">
        <v>3733</v>
      </c>
    </row>
    <row r="1766" spans="1:1">
      <c r="A1766" s="151" t="s">
        <v>3734</v>
      </c>
    </row>
    <row r="1767" spans="1:1">
      <c r="A1767" s="151" t="s">
        <v>3735</v>
      </c>
    </row>
    <row r="1768" spans="1:1">
      <c r="A1768" s="151" t="s">
        <v>3736</v>
      </c>
    </row>
    <row r="1769" spans="1:1">
      <c r="A1769" s="151" t="s">
        <v>3737</v>
      </c>
    </row>
    <row r="1770" spans="1:1">
      <c r="A1770" s="151" t="s">
        <v>3738</v>
      </c>
    </row>
    <row r="1771" spans="1:1">
      <c r="A1771" s="151" t="s">
        <v>3739</v>
      </c>
    </row>
    <row r="1772" spans="1:1">
      <c r="A1772" s="151" t="s">
        <v>3740</v>
      </c>
    </row>
    <row r="1773" spans="1:1">
      <c r="A1773" s="151" t="s">
        <v>3741</v>
      </c>
    </row>
    <row r="1774" spans="1:1">
      <c r="A1774" s="151" t="s">
        <v>3742</v>
      </c>
    </row>
    <row r="1775" spans="1:1">
      <c r="A1775" s="151" t="s">
        <v>3743</v>
      </c>
    </row>
    <row r="1776" spans="1:1">
      <c r="A1776" s="151" t="s">
        <v>3744</v>
      </c>
    </row>
    <row r="1777" spans="1:1">
      <c r="A1777" s="151" t="s">
        <v>3745</v>
      </c>
    </row>
    <row r="1778" spans="1:1">
      <c r="A1778" s="151" t="s">
        <v>3746</v>
      </c>
    </row>
    <row r="1779" spans="1:1">
      <c r="A1779" s="151" t="s">
        <v>3747</v>
      </c>
    </row>
    <row r="1780" spans="1:1">
      <c r="A1780" s="151" t="s">
        <v>3748</v>
      </c>
    </row>
    <row r="1781" spans="1:1">
      <c r="A1781" s="151" t="s">
        <v>3749</v>
      </c>
    </row>
    <row r="1782" spans="1:1">
      <c r="A1782" s="151" t="s">
        <v>3750</v>
      </c>
    </row>
    <row r="1783" spans="1:1">
      <c r="A1783" s="151" t="s">
        <v>3751</v>
      </c>
    </row>
    <row r="1784" spans="1:1">
      <c r="A1784" s="151" t="s">
        <v>3752</v>
      </c>
    </row>
    <row r="1785" spans="1:1">
      <c r="A1785" s="151" t="s">
        <v>3753</v>
      </c>
    </row>
    <row r="1786" spans="1:1">
      <c r="A1786" s="151" t="s">
        <v>3754</v>
      </c>
    </row>
    <row r="1787" spans="1:1">
      <c r="A1787" s="151" t="s">
        <v>3755</v>
      </c>
    </row>
    <row r="1788" spans="1:1">
      <c r="A1788" s="151" t="s">
        <v>3756</v>
      </c>
    </row>
    <row r="1789" spans="1:1">
      <c r="A1789" s="151" t="s">
        <v>3757</v>
      </c>
    </row>
    <row r="1790" spans="1:1">
      <c r="A1790" s="151" t="s">
        <v>3758</v>
      </c>
    </row>
    <row r="1791" spans="1:1">
      <c r="A1791" s="151" t="s">
        <v>3759</v>
      </c>
    </row>
    <row r="1792" spans="1:1">
      <c r="A1792" s="151" t="s">
        <v>3760</v>
      </c>
    </row>
    <row r="1793" spans="1:1">
      <c r="A1793" s="151" t="s">
        <v>3761</v>
      </c>
    </row>
    <row r="1794" spans="1:1">
      <c r="A1794" s="151" t="s">
        <v>3762</v>
      </c>
    </row>
    <row r="1795" spans="1:1">
      <c r="A1795" s="151" t="s">
        <v>3763</v>
      </c>
    </row>
    <row r="1796" spans="1:1">
      <c r="A1796" s="151" t="s">
        <v>3764</v>
      </c>
    </row>
    <row r="1797" spans="1:1">
      <c r="A1797" s="151" t="s">
        <v>3765</v>
      </c>
    </row>
    <row r="1798" spans="1:1">
      <c r="A1798" s="151" t="s">
        <v>3766</v>
      </c>
    </row>
    <row r="1799" spans="1:1">
      <c r="A1799" s="151" t="s">
        <v>3767</v>
      </c>
    </row>
    <row r="1800" spans="1:1">
      <c r="A1800" s="151" t="s">
        <v>3768</v>
      </c>
    </row>
    <row r="1801" spans="1:1">
      <c r="A1801" s="151" t="s">
        <v>3769</v>
      </c>
    </row>
    <row r="1802" spans="1:1">
      <c r="A1802" s="151" t="s">
        <v>3770</v>
      </c>
    </row>
    <row r="1803" spans="1:1">
      <c r="A1803" s="151" t="s">
        <v>3771</v>
      </c>
    </row>
    <row r="1804" spans="1:1">
      <c r="A1804" s="151" t="s">
        <v>3772</v>
      </c>
    </row>
    <row r="1805" spans="1:1">
      <c r="A1805" s="151" t="s">
        <v>3773</v>
      </c>
    </row>
    <row r="1806" spans="1:1">
      <c r="A1806" s="151" t="s">
        <v>3774</v>
      </c>
    </row>
    <row r="1807" spans="1:1">
      <c r="A1807" s="151" t="s">
        <v>3775</v>
      </c>
    </row>
    <row r="1808" spans="1:1">
      <c r="A1808" s="151" t="s">
        <v>3776</v>
      </c>
    </row>
    <row r="1809" spans="1:1">
      <c r="A1809" s="151" t="s">
        <v>3777</v>
      </c>
    </row>
    <row r="1810" spans="1:1">
      <c r="A1810" s="151" t="s">
        <v>3778</v>
      </c>
    </row>
    <row r="1811" spans="1:1">
      <c r="A1811" s="151" t="s">
        <v>3779</v>
      </c>
    </row>
    <row r="1812" spans="1:1">
      <c r="A1812" s="151" t="s">
        <v>3780</v>
      </c>
    </row>
    <row r="1813" spans="1:1">
      <c r="A1813" s="151" t="s">
        <v>3781</v>
      </c>
    </row>
    <row r="1814" spans="1:1">
      <c r="A1814" s="151" t="s">
        <v>3782</v>
      </c>
    </row>
    <row r="1815" spans="1:1">
      <c r="A1815" s="151" t="s">
        <v>3783</v>
      </c>
    </row>
    <row r="1816" spans="1:1">
      <c r="A1816" s="151" t="s">
        <v>3784</v>
      </c>
    </row>
    <row r="1817" spans="1:1">
      <c r="A1817" s="151" t="s">
        <v>3785</v>
      </c>
    </row>
    <row r="1818" spans="1:1">
      <c r="A1818" s="151" t="s">
        <v>3786</v>
      </c>
    </row>
    <row r="1819" spans="1:1">
      <c r="A1819" s="151" t="s">
        <v>3787</v>
      </c>
    </row>
    <row r="1820" spans="1:1">
      <c r="A1820" s="151" t="s">
        <v>3788</v>
      </c>
    </row>
    <row r="1821" spans="1:1">
      <c r="A1821" s="151" t="s">
        <v>3789</v>
      </c>
    </row>
    <row r="1822" spans="1:1">
      <c r="A1822" s="151" t="s">
        <v>3790</v>
      </c>
    </row>
    <row r="1823" spans="1:1">
      <c r="A1823" s="151" t="s">
        <v>3791</v>
      </c>
    </row>
    <row r="1824" spans="1:1">
      <c r="A1824" s="151" t="s">
        <v>3792</v>
      </c>
    </row>
    <row r="1825" spans="1:1">
      <c r="A1825" s="151" t="s">
        <v>3793</v>
      </c>
    </row>
    <row r="1826" spans="1:1">
      <c r="A1826" s="151" t="s">
        <v>3794</v>
      </c>
    </row>
    <row r="1827" spans="1:1">
      <c r="A1827" s="151" t="s">
        <v>3795</v>
      </c>
    </row>
    <row r="1828" spans="1:1">
      <c r="A1828" s="151" t="s">
        <v>3796</v>
      </c>
    </row>
    <row r="1829" spans="1:1">
      <c r="A1829" s="151" t="s">
        <v>3797</v>
      </c>
    </row>
    <row r="1830" spans="1:1">
      <c r="A1830" s="151" t="s">
        <v>3798</v>
      </c>
    </row>
    <row r="1831" spans="1:1">
      <c r="A1831" s="151" t="s">
        <v>3799</v>
      </c>
    </row>
    <row r="1832" spans="1:1">
      <c r="A1832" s="151" t="s">
        <v>3800</v>
      </c>
    </row>
    <row r="1833" spans="1:1">
      <c r="A1833" s="151" t="s">
        <v>3801</v>
      </c>
    </row>
    <row r="1834" spans="1:1">
      <c r="A1834" s="151" t="s">
        <v>3802</v>
      </c>
    </row>
    <row r="1835" spans="1:1">
      <c r="A1835" s="151" t="s">
        <v>3803</v>
      </c>
    </row>
    <row r="1836" spans="1:1">
      <c r="A1836" s="151" t="s">
        <v>3804</v>
      </c>
    </row>
    <row r="1837" spans="1:1">
      <c r="A1837" s="151" t="s">
        <v>3805</v>
      </c>
    </row>
    <row r="1838" spans="1:1">
      <c r="A1838" s="151" t="s">
        <v>3806</v>
      </c>
    </row>
    <row r="1839" spans="1:1">
      <c r="A1839" s="151" t="s">
        <v>3807</v>
      </c>
    </row>
    <row r="1840" spans="1:1">
      <c r="A1840" s="151" t="s">
        <v>3808</v>
      </c>
    </row>
    <row r="1841" spans="1:1">
      <c r="A1841" s="151" t="s">
        <v>3809</v>
      </c>
    </row>
    <row r="1842" spans="1:1">
      <c r="A1842" s="151" t="s">
        <v>3810</v>
      </c>
    </row>
    <row r="1843" spans="1:1">
      <c r="A1843" s="151" t="s">
        <v>3811</v>
      </c>
    </row>
    <row r="1844" spans="1:1">
      <c r="A1844" s="151" t="s">
        <v>3812</v>
      </c>
    </row>
    <row r="1845" spans="1:1">
      <c r="A1845" s="151" t="s">
        <v>3813</v>
      </c>
    </row>
    <row r="1846" spans="1:1">
      <c r="A1846" s="151" t="s">
        <v>3814</v>
      </c>
    </row>
    <row r="1847" spans="1:1">
      <c r="A1847" s="151" t="s">
        <v>3815</v>
      </c>
    </row>
    <row r="1848" spans="1:1">
      <c r="A1848" s="151" t="s">
        <v>3816</v>
      </c>
    </row>
    <row r="1849" spans="1:1">
      <c r="A1849" s="151" t="s">
        <v>3817</v>
      </c>
    </row>
    <row r="1850" spans="1:1">
      <c r="A1850" s="151" t="s">
        <v>3818</v>
      </c>
    </row>
    <row r="1851" spans="1:1">
      <c r="A1851" s="151" t="s">
        <v>3819</v>
      </c>
    </row>
    <row r="1852" spans="1:1">
      <c r="A1852" s="151" t="s">
        <v>3820</v>
      </c>
    </row>
    <row r="1853" spans="1:1">
      <c r="A1853" s="151" t="s">
        <v>3821</v>
      </c>
    </row>
    <row r="1854" spans="1:1">
      <c r="A1854" s="151" t="s">
        <v>3822</v>
      </c>
    </row>
    <row r="1855" spans="1:1">
      <c r="A1855" s="151" t="s">
        <v>3823</v>
      </c>
    </row>
    <row r="1856" spans="1:1">
      <c r="A1856" s="151" t="s">
        <v>3824</v>
      </c>
    </row>
    <row r="1857" spans="1:1">
      <c r="A1857" s="151" t="s">
        <v>3825</v>
      </c>
    </row>
    <row r="1858" spans="1:1">
      <c r="A1858" s="151" t="s">
        <v>3826</v>
      </c>
    </row>
    <row r="1859" spans="1:1">
      <c r="A1859" s="151" t="s">
        <v>3827</v>
      </c>
    </row>
    <row r="1860" spans="1:1">
      <c r="A1860" s="151" t="s">
        <v>3828</v>
      </c>
    </row>
    <row r="1861" spans="1:1">
      <c r="A1861" s="151" t="s">
        <v>3829</v>
      </c>
    </row>
    <row r="1862" spans="1:1">
      <c r="A1862" s="151" t="s">
        <v>3830</v>
      </c>
    </row>
    <row r="1863" spans="1:1">
      <c r="A1863" s="151" t="s">
        <v>3831</v>
      </c>
    </row>
    <row r="1864" spans="1:1">
      <c r="A1864" s="151" t="s">
        <v>3832</v>
      </c>
    </row>
    <row r="1865" spans="1:1">
      <c r="A1865" s="151" t="s">
        <v>3833</v>
      </c>
    </row>
    <row r="1866" spans="1:1">
      <c r="A1866" s="151" t="s">
        <v>3834</v>
      </c>
    </row>
    <row r="1867" spans="1:1">
      <c r="A1867" s="151" t="s">
        <v>3835</v>
      </c>
    </row>
    <row r="1868" spans="1:1">
      <c r="A1868" s="151" t="s">
        <v>3836</v>
      </c>
    </row>
    <row r="1869" spans="1:1">
      <c r="A1869" s="151" t="s">
        <v>3837</v>
      </c>
    </row>
    <row r="1870" spans="1:1">
      <c r="A1870" s="151" t="s">
        <v>3838</v>
      </c>
    </row>
    <row r="1871" spans="1:1">
      <c r="A1871" s="151" t="s">
        <v>3839</v>
      </c>
    </row>
    <row r="1872" spans="1:1">
      <c r="A1872" s="151" t="s">
        <v>3840</v>
      </c>
    </row>
    <row r="1873" spans="1:1">
      <c r="A1873" s="151" t="s">
        <v>3841</v>
      </c>
    </row>
    <row r="1874" spans="1:1">
      <c r="A1874" s="151" t="s">
        <v>3842</v>
      </c>
    </row>
    <row r="1875" spans="1:1">
      <c r="A1875" s="151" t="s">
        <v>3843</v>
      </c>
    </row>
    <row r="1876" spans="1:1">
      <c r="A1876" s="151" t="s">
        <v>3844</v>
      </c>
    </row>
    <row r="1877" spans="1:1">
      <c r="A1877" s="151" t="s">
        <v>3845</v>
      </c>
    </row>
    <row r="1878" spans="1:1">
      <c r="A1878" s="151" t="s">
        <v>3846</v>
      </c>
    </row>
    <row r="1879" spans="1:1">
      <c r="A1879" s="151" t="s">
        <v>3847</v>
      </c>
    </row>
    <row r="1880" spans="1:1">
      <c r="A1880" s="151" t="s">
        <v>3848</v>
      </c>
    </row>
    <row r="1881" spans="1:1">
      <c r="A1881" s="151" t="s">
        <v>3849</v>
      </c>
    </row>
    <row r="1882" spans="1:1">
      <c r="A1882" s="151" t="s">
        <v>3850</v>
      </c>
    </row>
    <row r="1883" spans="1:1">
      <c r="A1883" s="151" t="s">
        <v>3851</v>
      </c>
    </row>
    <row r="1884" spans="1:1">
      <c r="A1884" s="151" t="s">
        <v>3852</v>
      </c>
    </row>
    <row r="1885" spans="1:1">
      <c r="A1885" s="151" t="s">
        <v>3853</v>
      </c>
    </row>
    <row r="1886" spans="1:1">
      <c r="A1886" s="151" t="s">
        <v>3854</v>
      </c>
    </row>
    <row r="1887" spans="1:1">
      <c r="A1887" s="151" t="s">
        <v>3855</v>
      </c>
    </row>
    <row r="1888" spans="1:1">
      <c r="A1888" s="151" t="s">
        <v>3856</v>
      </c>
    </row>
    <row r="1889" spans="1:1">
      <c r="A1889" s="151" t="s">
        <v>3857</v>
      </c>
    </row>
    <row r="1890" spans="1:1">
      <c r="A1890" s="151" t="s">
        <v>3858</v>
      </c>
    </row>
    <row r="1891" spans="1:1">
      <c r="A1891" s="151" t="s">
        <v>3859</v>
      </c>
    </row>
    <row r="1892" spans="1:1">
      <c r="A1892" s="151" t="s">
        <v>3860</v>
      </c>
    </row>
    <row r="1893" spans="1:1">
      <c r="A1893" s="151" t="s">
        <v>3861</v>
      </c>
    </row>
    <row r="1894" spans="1:1">
      <c r="A1894" s="151" t="s">
        <v>3862</v>
      </c>
    </row>
    <row r="1895" spans="1:1">
      <c r="A1895" s="151" t="s">
        <v>3863</v>
      </c>
    </row>
    <row r="1896" spans="1:1">
      <c r="A1896" s="151" t="s">
        <v>3864</v>
      </c>
    </row>
    <row r="1897" spans="1:1">
      <c r="A1897" s="151" t="s">
        <v>3865</v>
      </c>
    </row>
    <row r="1898" spans="1:1">
      <c r="A1898" s="151" t="s">
        <v>3866</v>
      </c>
    </row>
    <row r="1899" spans="1:1">
      <c r="A1899" s="151" t="s">
        <v>3867</v>
      </c>
    </row>
    <row r="1900" spans="1:1">
      <c r="A1900" s="151" t="s">
        <v>3868</v>
      </c>
    </row>
    <row r="1901" spans="1:1">
      <c r="A1901" s="151" t="s">
        <v>3869</v>
      </c>
    </row>
    <row r="1902" spans="1:1">
      <c r="A1902" s="151" t="s">
        <v>3870</v>
      </c>
    </row>
    <row r="1903" spans="1:1">
      <c r="A1903" s="151" t="s">
        <v>3871</v>
      </c>
    </row>
    <row r="1904" spans="1:1">
      <c r="A1904" s="151" t="s">
        <v>3872</v>
      </c>
    </row>
    <row r="1905" spans="1:1">
      <c r="A1905" s="151" t="s">
        <v>3873</v>
      </c>
    </row>
    <row r="1906" spans="1:1">
      <c r="A1906" s="151" t="s">
        <v>3874</v>
      </c>
    </row>
    <row r="1907" spans="1:1">
      <c r="A1907" s="151" t="s">
        <v>3875</v>
      </c>
    </row>
    <row r="1908" spans="1:1">
      <c r="A1908" s="151" t="s">
        <v>3876</v>
      </c>
    </row>
    <row r="1909" spans="1:1">
      <c r="A1909" s="151" t="s">
        <v>3877</v>
      </c>
    </row>
    <row r="1910" spans="1:1">
      <c r="A1910" s="151" t="s">
        <v>3878</v>
      </c>
    </row>
    <row r="1911" spans="1:1">
      <c r="A1911" s="151" t="s">
        <v>3879</v>
      </c>
    </row>
    <row r="1912" spans="1:1">
      <c r="A1912" s="151" t="s">
        <v>3880</v>
      </c>
    </row>
    <row r="1913" spans="1:1">
      <c r="A1913" s="151" t="s">
        <v>3881</v>
      </c>
    </row>
    <row r="1914" spans="1:1">
      <c r="A1914" s="151" t="s">
        <v>3882</v>
      </c>
    </row>
    <row r="1915" spans="1:1">
      <c r="A1915" s="151" t="s">
        <v>3883</v>
      </c>
    </row>
    <row r="1916" spans="1:1">
      <c r="A1916" s="151" t="s">
        <v>3884</v>
      </c>
    </row>
    <row r="1917" spans="1:1">
      <c r="A1917" s="151" t="s">
        <v>3885</v>
      </c>
    </row>
    <row r="1918" spans="1:1">
      <c r="A1918" s="151" t="s">
        <v>3886</v>
      </c>
    </row>
    <row r="1919" spans="1:1">
      <c r="A1919" s="151" t="s">
        <v>3887</v>
      </c>
    </row>
    <row r="1920" spans="1:1">
      <c r="A1920" s="151" t="s">
        <v>3888</v>
      </c>
    </row>
    <row r="1921" spans="1:1">
      <c r="A1921" s="151" t="s">
        <v>3889</v>
      </c>
    </row>
    <row r="1922" spans="1:1">
      <c r="A1922" s="151" t="s">
        <v>3890</v>
      </c>
    </row>
    <row r="1923" spans="1:1">
      <c r="A1923" s="151" t="s">
        <v>3891</v>
      </c>
    </row>
    <row r="1924" spans="1:1">
      <c r="A1924" s="151" t="s">
        <v>3892</v>
      </c>
    </row>
    <row r="1925" spans="1:1">
      <c r="A1925" s="151" t="s">
        <v>3893</v>
      </c>
    </row>
    <row r="1926" spans="1:1">
      <c r="A1926" s="151" t="s">
        <v>3894</v>
      </c>
    </row>
    <row r="1927" spans="1:1">
      <c r="A1927" s="151" t="s">
        <v>3895</v>
      </c>
    </row>
    <row r="1928" spans="1:1">
      <c r="A1928" s="151" t="s">
        <v>3896</v>
      </c>
    </row>
    <row r="1929" spans="1:1">
      <c r="A1929" s="151" t="s">
        <v>3897</v>
      </c>
    </row>
    <row r="1930" spans="1:1">
      <c r="A1930" s="151" t="s">
        <v>3898</v>
      </c>
    </row>
    <row r="1931" spans="1:1">
      <c r="A1931" s="151" t="s">
        <v>3899</v>
      </c>
    </row>
    <row r="1932" spans="1:1">
      <c r="A1932" s="151" t="s">
        <v>3900</v>
      </c>
    </row>
    <row r="1933" spans="1:1">
      <c r="A1933" s="151" t="s">
        <v>3901</v>
      </c>
    </row>
    <row r="1934" spans="1:1">
      <c r="A1934" s="151" t="s">
        <v>3902</v>
      </c>
    </row>
    <row r="1935" spans="1:1">
      <c r="A1935" s="151" t="s">
        <v>3903</v>
      </c>
    </row>
    <row r="1936" spans="1:1">
      <c r="A1936" s="151" t="s">
        <v>3904</v>
      </c>
    </row>
    <row r="1937" spans="1:1">
      <c r="A1937" s="151" t="s">
        <v>3905</v>
      </c>
    </row>
    <row r="1938" spans="1:1">
      <c r="A1938" s="151" t="s">
        <v>3906</v>
      </c>
    </row>
    <row r="1939" spans="1:1">
      <c r="A1939" s="151" t="s">
        <v>3907</v>
      </c>
    </row>
    <row r="1940" spans="1:1">
      <c r="A1940" s="151" t="s">
        <v>3908</v>
      </c>
    </row>
    <row r="1941" spans="1:1">
      <c r="A1941" s="151" t="s">
        <v>3909</v>
      </c>
    </row>
    <row r="1942" spans="1:1">
      <c r="A1942" s="151" t="s">
        <v>3910</v>
      </c>
    </row>
    <row r="1943" spans="1:1">
      <c r="A1943" s="151" t="s">
        <v>3911</v>
      </c>
    </row>
    <row r="1944" spans="1:1">
      <c r="A1944" s="151" t="s">
        <v>3912</v>
      </c>
    </row>
    <row r="1945" spans="1:1">
      <c r="A1945" s="151" t="s">
        <v>3913</v>
      </c>
    </row>
    <row r="1946" spans="1:1">
      <c r="A1946" s="151" t="s">
        <v>3914</v>
      </c>
    </row>
    <row r="1947" spans="1:1">
      <c r="A1947" s="151" t="s">
        <v>3915</v>
      </c>
    </row>
    <row r="1948" spans="1:1">
      <c r="A1948" s="151" t="s">
        <v>3916</v>
      </c>
    </row>
    <row r="1949" spans="1:1">
      <c r="A1949" s="151" t="s">
        <v>3917</v>
      </c>
    </row>
    <row r="1950" spans="1:1">
      <c r="A1950" s="151" t="s">
        <v>3918</v>
      </c>
    </row>
    <row r="1951" spans="1:1">
      <c r="A1951" s="151" t="s">
        <v>3919</v>
      </c>
    </row>
    <row r="1952" spans="1:1">
      <c r="A1952" s="151" t="s">
        <v>3920</v>
      </c>
    </row>
    <row r="1953" spans="1:1">
      <c r="A1953" s="151" t="s">
        <v>3921</v>
      </c>
    </row>
    <row r="1954" spans="1:1">
      <c r="A1954" s="151" t="s">
        <v>3922</v>
      </c>
    </row>
    <row r="1955" spans="1:1">
      <c r="A1955" s="151" t="s">
        <v>3923</v>
      </c>
    </row>
    <row r="1956" spans="1:1">
      <c r="A1956" s="151" t="s">
        <v>3924</v>
      </c>
    </row>
    <row r="1957" spans="1:1">
      <c r="A1957" s="151" t="s">
        <v>3925</v>
      </c>
    </row>
    <row r="1958" spans="1:1">
      <c r="A1958" s="151" t="s">
        <v>3926</v>
      </c>
    </row>
    <row r="1959" spans="1:1">
      <c r="A1959" s="151" t="s">
        <v>3927</v>
      </c>
    </row>
    <row r="1960" spans="1:1">
      <c r="A1960" s="151" t="s">
        <v>3928</v>
      </c>
    </row>
    <row r="1961" spans="1:1">
      <c r="A1961" s="151" t="s">
        <v>3929</v>
      </c>
    </row>
    <row r="1962" spans="1:1">
      <c r="A1962" s="151" t="s">
        <v>3930</v>
      </c>
    </row>
    <row r="1963" spans="1:1">
      <c r="A1963" s="151" t="s">
        <v>3931</v>
      </c>
    </row>
    <row r="1964" spans="1:1">
      <c r="A1964" s="151" t="s">
        <v>3932</v>
      </c>
    </row>
    <row r="1965" spans="1:1">
      <c r="A1965" s="151" t="s">
        <v>3933</v>
      </c>
    </row>
    <row r="1966" spans="1:1">
      <c r="A1966" s="151" t="s">
        <v>3934</v>
      </c>
    </row>
    <row r="1967" spans="1:1">
      <c r="A1967" s="151" t="s">
        <v>3935</v>
      </c>
    </row>
    <row r="1968" spans="1:1">
      <c r="A1968" s="151" t="s">
        <v>3936</v>
      </c>
    </row>
    <row r="1969" spans="1:1">
      <c r="A1969" s="151" t="s">
        <v>3937</v>
      </c>
    </row>
    <row r="1970" spans="1:1">
      <c r="A1970" s="151" t="s">
        <v>3938</v>
      </c>
    </row>
    <row r="1971" spans="1:1">
      <c r="A1971" s="151" t="s">
        <v>3939</v>
      </c>
    </row>
    <row r="1972" spans="1:1">
      <c r="A1972" s="151" t="s">
        <v>3940</v>
      </c>
    </row>
    <row r="1973" spans="1:1">
      <c r="A1973" s="151" t="s">
        <v>3941</v>
      </c>
    </row>
    <row r="1974" spans="1:1">
      <c r="A1974" s="151" t="s">
        <v>3942</v>
      </c>
    </row>
    <row r="1975" spans="1:1">
      <c r="A1975" s="151" t="s">
        <v>3943</v>
      </c>
    </row>
    <row r="1976" spans="1:1">
      <c r="A1976" s="151" t="s">
        <v>3944</v>
      </c>
    </row>
    <row r="1977" spans="1:1">
      <c r="A1977" s="151" t="s">
        <v>3945</v>
      </c>
    </row>
    <row r="1978" spans="1:1">
      <c r="A1978" s="151" t="s">
        <v>3946</v>
      </c>
    </row>
    <row r="1979" spans="1:1">
      <c r="A1979" s="151" t="s">
        <v>3947</v>
      </c>
    </row>
    <row r="1980" spans="1:1">
      <c r="A1980" s="151" t="s">
        <v>3948</v>
      </c>
    </row>
    <row r="1981" spans="1:1">
      <c r="A1981" s="151" t="s">
        <v>3949</v>
      </c>
    </row>
    <row r="1982" spans="1:1">
      <c r="A1982" s="151" t="s">
        <v>3950</v>
      </c>
    </row>
    <row r="1983" spans="1:1">
      <c r="A1983" s="151" t="s">
        <v>3951</v>
      </c>
    </row>
    <row r="1984" spans="1:1">
      <c r="A1984" s="151" t="s">
        <v>3952</v>
      </c>
    </row>
    <row r="1985" spans="1:1">
      <c r="A1985" s="151" t="s">
        <v>3953</v>
      </c>
    </row>
    <row r="1986" spans="1:1">
      <c r="A1986" s="151" t="s">
        <v>3954</v>
      </c>
    </row>
    <row r="1987" spans="1:1">
      <c r="A1987" s="151" t="s">
        <v>3955</v>
      </c>
    </row>
    <row r="1988" spans="1:1">
      <c r="A1988" s="151" t="s">
        <v>3956</v>
      </c>
    </row>
    <row r="1989" spans="1:1">
      <c r="A1989" s="151" t="s">
        <v>3957</v>
      </c>
    </row>
    <row r="1990" spans="1:1">
      <c r="A1990" s="151" t="s">
        <v>3958</v>
      </c>
    </row>
    <row r="1991" spans="1:1">
      <c r="A1991" s="151" t="s">
        <v>3959</v>
      </c>
    </row>
    <row r="1992" spans="1:1">
      <c r="A1992" s="151" t="s">
        <v>3960</v>
      </c>
    </row>
    <row r="1993" spans="1:1">
      <c r="A1993" s="151" t="s">
        <v>3961</v>
      </c>
    </row>
    <row r="1994" spans="1:1">
      <c r="A1994" s="151" t="s">
        <v>3962</v>
      </c>
    </row>
    <row r="1995" spans="1:1">
      <c r="A1995" s="151" t="s">
        <v>3963</v>
      </c>
    </row>
    <row r="1996" spans="1:1">
      <c r="A1996" s="151" t="s">
        <v>3964</v>
      </c>
    </row>
    <row r="1997" spans="1:1">
      <c r="A1997" s="151" t="s">
        <v>3965</v>
      </c>
    </row>
    <row r="1998" spans="1:1">
      <c r="A1998" s="151" t="s">
        <v>3966</v>
      </c>
    </row>
    <row r="1999" spans="1:1">
      <c r="A1999" s="151" t="s">
        <v>3967</v>
      </c>
    </row>
    <row r="2000" spans="1:1">
      <c r="A2000" s="151" t="s">
        <v>3968</v>
      </c>
    </row>
    <row r="2001" spans="1:1">
      <c r="A2001" s="151" t="s">
        <v>3969</v>
      </c>
    </row>
    <row r="2002" spans="1:1">
      <c r="A2002" s="151" t="s">
        <v>3970</v>
      </c>
    </row>
    <row r="2003" spans="1:1">
      <c r="A2003" s="151" t="s">
        <v>3971</v>
      </c>
    </row>
    <row r="2004" spans="1:1">
      <c r="A2004" s="151" t="s">
        <v>3972</v>
      </c>
    </row>
    <row r="2005" spans="1:1">
      <c r="A2005" s="151" t="s">
        <v>3973</v>
      </c>
    </row>
    <row r="2006" spans="1:1">
      <c r="A2006" s="151" t="s">
        <v>3974</v>
      </c>
    </row>
    <row r="2007" spans="1:1">
      <c r="A2007" s="151" t="s">
        <v>3975</v>
      </c>
    </row>
    <row r="2008" spans="1:1">
      <c r="A2008" s="151" t="s">
        <v>3976</v>
      </c>
    </row>
    <row r="2009" spans="1:1">
      <c r="A2009" s="151" t="s">
        <v>3977</v>
      </c>
    </row>
    <row r="2010" spans="1:1">
      <c r="A2010" s="151" t="s">
        <v>3978</v>
      </c>
    </row>
    <row r="2011" spans="1:1">
      <c r="A2011" s="151" t="s">
        <v>3979</v>
      </c>
    </row>
    <row r="2012" spans="1:1">
      <c r="A2012" s="151" t="s">
        <v>3980</v>
      </c>
    </row>
    <row r="2013" spans="1:1">
      <c r="A2013" s="151" t="s">
        <v>3981</v>
      </c>
    </row>
    <row r="2014" spans="1:1">
      <c r="A2014" s="151" t="s">
        <v>3982</v>
      </c>
    </row>
    <row r="2015" spans="1:1">
      <c r="A2015" s="151" t="s">
        <v>3983</v>
      </c>
    </row>
    <row r="2016" spans="1:1">
      <c r="A2016" s="151" t="s">
        <v>3984</v>
      </c>
    </row>
    <row r="2017" spans="1:1">
      <c r="A2017" s="151" t="s">
        <v>3985</v>
      </c>
    </row>
    <row r="2018" spans="1:1">
      <c r="A2018" s="151" t="s">
        <v>3986</v>
      </c>
    </row>
    <row r="2019" spans="1:1">
      <c r="A2019" s="151" t="s">
        <v>3987</v>
      </c>
    </row>
    <row r="2020" spans="1:1">
      <c r="A2020" s="151" t="s">
        <v>3988</v>
      </c>
    </row>
    <row r="2021" spans="1:1">
      <c r="A2021" s="151" t="s">
        <v>3989</v>
      </c>
    </row>
    <row r="2022" spans="1:1">
      <c r="A2022" s="151" t="s">
        <v>3990</v>
      </c>
    </row>
    <row r="2023" spans="1:1">
      <c r="A2023" s="151" t="s">
        <v>3991</v>
      </c>
    </row>
    <row r="2024" spans="1:1">
      <c r="A2024" s="151" t="s">
        <v>3992</v>
      </c>
    </row>
    <row r="2025" spans="1:1">
      <c r="A2025" s="151" t="s">
        <v>3993</v>
      </c>
    </row>
    <row r="2026" spans="1:1">
      <c r="A2026" s="151" t="s">
        <v>3994</v>
      </c>
    </row>
    <row r="2027" spans="1:1">
      <c r="A2027" s="151" t="s">
        <v>3995</v>
      </c>
    </row>
    <row r="2028" spans="1:1">
      <c r="A2028" s="151" t="s">
        <v>3996</v>
      </c>
    </row>
    <row r="2029" spans="1:1">
      <c r="A2029" s="151" t="s">
        <v>3997</v>
      </c>
    </row>
    <row r="2030" spans="1:1">
      <c r="A2030" s="151" t="s">
        <v>3998</v>
      </c>
    </row>
    <row r="2031" spans="1:1">
      <c r="A2031" s="151" t="s">
        <v>3999</v>
      </c>
    </row>
    <row r="2032" spans="1:1">
      <c r="A2032" s="151" t="s">
        <v>4000</v>
      </c>
    </row>
    <row r="2033" spans="1:1">
      <c r="A2033" s="151" t="s">
        <v>4001</v>
      </c>
    </row>
    <row r="2034" spans="1:1">
      <c r="A2034" s="151" t="s">
        <v>4002</v>
      </c>
    </row>
    <row r="2035" spans="1:1">
      <c r="A2035" s="151" t="s">
        <v>4003</v>
      </c>
    </row>
    <row r="2036" spans="1:1">
      <c r="A2036" s="151" t="s">
        <v>4004</v>
      </c>
    </row>
    <row r="2037" spans="1:1">
      <c r="A2037" s="151" t="s">
        <v>4005</v>
      </c>
    </row>
    <row r="2038" spans="1:1">
      <c r="A2038" s="151" t="s">
        <v>4006</v>
      </c>
    </row>
    <row r="2039" spans="1:1">
      <c r="A2039" s="151" t="s">
        <v>4007</v>
      </c>
    </row>
    <row r="2040" spans="1:1">
      <c r="A2040" s="151" t="s">
        <v>4008</v>
      </c>
    </row>
    <row r="2041" spans="1:1">
      <c r="A2041" s="151" t="s">
        <v>4009</v>
      </c>
    </row>
    <row r="2042" spans="1:1">
      <c r="A2042" s="151" t="s">
        <v>4010</v>
      </c>
    </row>
    <row r="2043" spans="1:1">
      <c r="A2043" s="151" t="s">
        <v>4011</v>
      </c>
    </row>
    <row r="2044" spans="1:1">
      <c r="A2044" s="151" t="s">
        <v>4012</v>
      </c>
    </row>
    <row r="2045" spans="1:1">
      <c r="A2045" s="151" t="s">
        <v>4013</v>
      </c>
    </row>
    <row r="2046" spans="1:1">
      <c r="A2046" s="151" t="s">
        <v>4014</v>
      </c>
    </row>
    <row r="2047" spans="1:1">
      <c r="A2047" s="151" t="s">
        <v>4015</v>
      </c>
    </row>
    <row r="2048" spans="1:1">
      <c r="A2048" s="151" t="s">
        <v>4016</v>
      </c>
    </row>
    <row r="2049" spans="1:1">
      <c r="A2049" s="151" t="s">
        <v>4017</v>
      </c>
    </row>
    <row r="2050" spans="1:1">
      <c r="A2050" s="151" t="s">
        <v>4018</v>
      </c>
    </row>
    <row r="2051" spans="1:1">
      <c r="A2051" s="151" t="s">
        <v>4019</v>
      </c>
    </row>
    <row r="2052" spans="1:1">
      <c r="A2052" s="151" t="s">
        <v>4020</v>
      </c>
    </row>
    <row r="2053" spans="1:1">
      <c r="A2053" s="151" t="s">
        <v>4021</v>
      </c>
    </row>
    <row r="2054" spans="1:1">
      <c r="A2054" s="151" t="s">
        <v>4022</v>
      </c>
    </row>
    <row r="2055" spans="1:1">
      <c r="A2055" s="151" t="s">
        <v>4023</v>
      </c>
    </row>
    <row r="2056" spans="1:1">
      <c r="A2056" s="151" t="s">
        <v>4024</v>
      </c>
    </row>
    <row r="2057" spans="1:1">
      <c r="A2057" s="151" t="s">
        <v>4025</v>
      </c>
    </row>
    <row r="2058" spans="1:1">
      <c r="A2058" s="151" t="s">
        <v>4026</v>
      </c>
    </row>
    <row r="2059" spans="1:1">
      <c r="A2059" s="151" t="s">
        <v>4027</v>
      </c>
    </row>
    <row r="2060" spans="1:1">
      <c r="A2060" s="151" t="s">
        <v>4028</v>
      </c>
    </row>
    <row r="2061" spans="1:1">
      <c r="A2061" s="151" t="s">
        <v>4029</v>
      </c>
    </row>
    <row r="2062" spans="1:1">
      <c r="A2062" s="151" t="s">
        <v>4030</v>
      </c>
    </row>
    <row r="2063" spans="1:1">
      <c r="A2063" s="151" t="s">
        <v>4031</v>
      </c>
    </row>
    <row r="2064" spans="1:1">
      <c r="A2064" s="151" t="s">
        <v>4032</v>
      </c>
    </row>
    <row r="2065" spans="1:1">
      <c r="A2065" s="151" t="s">
        <v>4033</v>
      </c>
    </row>
    <row r="2066" spans="1:1">
      <c r="A2066" s="151" t="s">
        <v>4034</v>
      </c>
    </row>
    <row r="2067" spans="1:1">
      <c r="A2067" s="151" t="s">
        <v>4035</v>
      </c>
    </row>
    <row r="2068" spans="1:1">
      <c r="A2068" s="151" t="s">
        <v>4036</v>
      </c>
    </row>
    <row r="2069" spans="1:1">
      <c r="A2069" s="151" t="s">
        <v>4037</v>
      </c>
    </row>
    <row r="2070" spans="1:1">
      <c r="A2070" s="151" t="s">
        <v>4038</v>
      </c>
    </row>
    <row r="2071" spans="1:1">
      <c r="A2071" s="151" t="s">
        <v>4039</v>
      </c>
    </row>
    <row r="2072" spans="1:1">
      <c r="A2072" s="151" t="s">
        <v>4040</v>
      </c>
    </row>
    <row r="2073" spans="1:1">
      <c r="A2073" s="151" t="s">
        <v>4041</v>
      </c>
    </row>
    <row r="2074" spans="1:1">
      <c r="A2074" s="151" t="s">
        <v>4042</v>
      </c>
    </row>
    <row r="2075" spans="1:1">
      <c r="A2075" s="151" t="s">
        <v>4043</v>
      </c>
    </row>
    <row r="2076" spans="1:1">
      <c r="A2076" s="151" t="s">
        <v>4044</v>
      </c>
    </row>
    <row r="2077" spans="1:1">
      <c r="A2077" s="151" t="s">
        <v>4045</v>
      </c>
    </row>
    <row r="2078" spans="1:1">
      <c r="A2078" s="151" t="s">
        <v>4046</v>
      </c>
    </row>
    <row r="2079" spans="1:1">
      <c r="A2079" s="151" t="s">
        <v>4047</v>
      </c>
    </row>
    <row r="2080" spans="1:1">
      <c r="A2080" s="151" t="s">
        <v>4048</v>
      </c>
    </row>
    <row r="2081" spans="1:1">
      <c r="A2081" s="151" t="s">
        <v>4049</v>
      </c>
    </row>
    <row r="2082" spans="1:1">
      <c r="A2082" s="151" t="s">
        <v>4050</v>
      </c>
    </row>
    <row r="2083" spans="1:1">
      <c r="A2083" s="151" t="s">
        <v>4051</v>
      </c>
    </row>
    <row r="2084" spans="1:1">
      <c r="A2084" s="151" t="s">
        <v>4052</v>
      </c>
    </row>
    <row r="2085" spans="1:1">
      <c r="A2085" s="151" t="s">
        <v>4053</v>
      </c>
    </row>
    <row r="2086" spans="1:1">
      <c r="A2086" s="151" t="s">
        <v>4054</v>
      </c>
    </row>
    <row r="2087" spans="1:1">
      <c r="A2087" s="151" t="s">
        <v>4055</v>
      </c>
    </row>
    <row r="2088" spans="1:1">
      <c r="A2088" s="151" t="s">
        <v>4056</v>
      </c>
    </row>
    <row r="2089" spans="1:1">
      <c r="A2089" s="151" t="s">
        <v>4057</v>
      </c>
    </row>
    <row r="2090" spans="1:1">
      <c r="A2090" s="151" t="s">
        <v>4058</v>
      </c>
    </row>
    <row r="2091" spans="1:1">
      <c r="A2091" s="151" t="s">
        <v>4059</v>
      </c>
    </row>
    <row r="2092" spans="1:1">
      <c r="A2092" s="151" t="s">
        <v>4060</v>
      </c>
    </row>
    <row r="2093" spans="1:1">
      <c r="A2093" s="151" t="s">
        <v>4061</v>
      </c>
    </row>
    <row r="2094" spans="1:1">
      <c r="A2094" s="151" t="s">
        <v>4062</v>
      </c>
    </row>
    <row r="2095" spans="1:1">
      <c r="A2095" s="151" t="s">
        <v>4063</v>
      </c>
    </row>
    <row r="2096" spans="1:1">
      <c r="A2096" s="151" t="s">
        <v>4064</v>
      </c>
    </row>
    <row r="2097" spans="1:1">
      <c r="A2097" s="151" t="s">
        <v>4065</v>
      </c>
    </row>
    <row r="2098" spans="1:1">
      <c r="A2098" s="151" t="s">
        <v>4066</v>
      </c>
    </row>
    <row r="2099" spans="1:1">
      <c r="A2099" s="151" t="s">
        <v>4067</v>
      </c>
    </row>
    <row r="2100" spans="1:1">
      <c r="A2100" s="151" t="s">
        <v>4068</v>
      </c>
    </row>
    <row r="2101" spans="1:1">
      <c r="A2101" s="151" t="s">
        <v>4069</v>
      </c>
    </row>
    <row r="2102" spans="1:1">
      <c r="A2102" s="151" t="s">
        <v>4070</v>
      </c>
    </row>
    <row r="2103" spans="1:1">
      <c r="A2103" s="151" t="s">
        <v>4071</v>
      </c>
    </row>
    <row r="2104" spans="1:1">
      <c r="A2104" s="151" t="s">
        <v>4072</v>
      </c>
    </row>
    <row r="2105" spans="1:1">
      <c r="A2105" s="151" t="s">
        <v>4073</v>
      </c>
    </row>
    <row r="2106" spans="1:1">
      <c r="A2106" s="151" t="s">
        <v>4074</v>
      </c>
    </row>
    <row r="2107" spans="1:1">
      <c r="A2107" s="151" t="s">
        <v>4075</v>
      </c>
    </row>
    <row r="2108" spans="1:1">
      <c r="A2108" s="151" t="s">
        <v>4076</v>
      </c>
    </row>
    <row r="2109" spans="1:1">
      <c r="A2109" s="151" t="s">
        <v>4077</v>
      </c>
    </row>
    <row r="2110" spans="1:1">
      <c r="A2110" s="151" t="s">
        <v>4078</v>
      </c>
    </row>
    <row r="2111" spans="1:1">
      <c r="A2111" s="151" t="s">
        <v>4079</v>
      </c>
    </row>
    <row r="2112" spans="1:1">
      <c r="A2112" s="151" t="s">
        <v>4080</v>
      </c>
    </row>
    <row r="2113" spans="1:1">
      <c r="A2113" s="151" t="s">
        <v>4081</v>
      </c>
    </row>
    <row r="2114" spans="1:1">
      <c r="A2114" s="151" t="s">
        <v>4082</v>
      </c>
    </row>
    <row r="2115" spans="1:1">
      <c r="A2115" s="151" t="s">
        <v>4083</v>
      </c>
    </row>
    <row r="2116" spans="1:1">
      <c r="A2116" s="151" t="s">
        <v>4084</v>
      </c>
    </row>
    <row r="2117" spans="1:1">
      <c r="A2117" s="151" t="s">
        <v>4085</v>
      </c>
    </row>
    <row r="2118" spans="1:1">
      <c r="A2118" s="151" t="s">
        <v>4086</v>
      </c>
    </row>
    <row r="2119" spans="1:1">
      <c r="A2119" s="151" t="s">
        <v>4087</v>
      </c>
    </row>
    <row r="2120" spans="1:1">
      <c r="A2120" s="151" t="s">
        <v>4088</v>
      </c>
    </row>
    <row r="2121" spans="1:1">
      <c r="A2121" s="151" t="s">
        <v>4089</v>
      </c>
    </row>
    <row r="2122" spans="1:1">
      <c r="A2122" s="151" t="s">
        <v>4090</v>
      </c>
    </row>
    <row r="2123" spans="1:1">
      <c r="A2123" s="151" t="s">
        <v>4091</v>
      </c>
    </row>
    <row r="2124" spans="1:1">
      <c r="A2124" s="151" t="s">
        <v>4092</v>
      </c>
    </row>
    <row r="2125" spans="1:1">
      <c r="A2125" s="151" t="s">
        <v>4093</v>
      </c>
    </row>
    <row r="2126" spans="1:1">
      <c r="A2126" s="151" t="s">
        <v>4094</v>
      </c>
    </row>
    <row r="2127" spans="1:1">
      <c r="A2127" s="151" t="s">
        <v>4095</v>
      </c>
    </row>
    <row r="2128" spans="1:1">
      <c r="A2128" s="151" t="s">
        <v>4096</v>
      </c>
    </row>
    <row r="2129" spans="1:1">
      <c r="A2129" s="151" t="s">
        <v>4097</v>
      </c>
    </row>
    <row r="2130" spans="1:1">
      <c r="A2130" s="151" t="s">
        <v>4098</v>
      </c>
    </row>
    <row r="2131" spans="1:1">
      <c r="A2131" s="151" t="s">
        <v>4099</v>
      </c>
    </row>
    <row r="2132" spans="1:1">
      <c r="A2132" s="151" t="s">
        <v>4100</v>
      </c>
    </row>
    <row r="2133" spans="1:1">
      <c r="A2133" s="151" t="s">
        <v>4101</v>
      </c>
    </row>
    <row r="2134" spans="1:1">
      <c r="A2134" s="151" t="s">
        <v>4102</v>
      </c>
    </row>
    <row r="2135" spans="1:1">
      <c r="A2135" s="151" t="s">
        <v>4103</v>
      </c>
    </row>
    <row r="2136" spans="1:1">
      <c r="A2136" s="151" t="s">
        <v>4104</v>
      </c>
    </row>
    <row r="2137" spans="1:1">
      <c r="A2137" s="151" t="s">
        <v>4105</v>
      </c>
    </row>
    <row r="2138" spans="1:1">
      <c r="A2138" s="151" t="s">
        <v>4106</v>
      </c>
    </row>
    <row r="2139" spans="1:1">
      <c r="A2139" s="151" t="s">
        <v>4107</v>
      </c>
    </row>
    <row r="2140" spans="1:1">
      <c r="A2140" s="151" t="s">
        <v>4108</v>
      </c>
    </row>
    <row r="2141" spans="1:1">
      <c r="A2141" s="151" t="s">
        <v>4109</v>
      </c>
    </row>
    <row r="2142" spans="1:1">
      <c r="A2142" s="151" t="s">
        <v>4110</v>
      </c>
    </row>
    <row r="2143" spans="1:1">
      <c r="A2143" s="151" t="s">
        <v>4111</v>
      </c>
    </row>
    <row r="2144" spans="1:1">
      <c r="A2144" s="151" t="s">
        <v>4112</v>
      </c>
    </row>
    <row r="2145" spans="1:1">
      <c r="A2145" s="151" t="s">
        <v>4113</v>
      </c>
    </row>
    <row r="2146" spans="1:1">
      <c r="A2146" s="151" t="s">
        <v>4114</v>
      </c>
    </row>
    <row r="2147" spans="1:1">
      <c r="A2147" s="151" t="s">
        <v>4115</v>
      </c>
    </row>
    <row r="2148" spans="1:1">
      <c r="A2148" s="151" t="s">
        <v>4116</v>
      </c>
    </row>
    <row r="2149" spans="1:1">
      <c r="A2149" s="151" t="s">
        <v>4117</v>
      </c>
    </row>
    <row r="2150" spans="1:1">
      <c r="A2150" s="151" t="s">
        <v>4118</v>
      </c>
    </row>
    <row r="2151" spans="1:1">
      <c r="A2151" s="151" t="s">
        <v>4119</v>
      </c>
    </row>
    <row r="2152" spans="1:1">
      <c r="A2152" s="151" t="s">
        <v>4120</v>
      </c>
    </row>
    <row r="2153" spans="1:1">
      <c r="A2153" s="151" t="s">
        <v>4121</v>
      </c>
    </row>
    <row r="2154" spans="1:1">
      <c r="A2154" s="151" t="s">
        <v>4122</v>
      </c>
    </row>
    <row r="2155" spans="1:1">
      <c r="A2155" s="151" t="s">
        <v>4123</v>
      </c>
    </row>
    <row r="2156" spans="1:1">
      <c r="A2156" s="151" t="s">
        <v>4124</v>
      </c>
    </row>
    <row r="2157" spans="1:1">
      <c r="A2157" s="151" t="s">
        <v>4125</v>
      </c>
    </row>
    <row r="2158" spans="1:1">
      <c r="A2158" s="151" t="s">
        <v>4126</v>
      </c>
    </row>
    <row r="2159" spans="1:1">
      <c r="A2159" s="151" t="s">
        <v>4127</v>
      </c>
    </row>
    <row r="2160" spans="1:1">
      <c r="A2160" s="151" t="s">
        <v>4128</v>
      </c>
    </row>
    <row r="2161" spans="1:1">
      <c r="A2161" s="151" t="s">
        <v>4129</v>
      </c>
    </row>
    <row r="2162" spans="1:1">
      <c r="A2162" s="151" t="s">
        <v>4130</v>
      </c>
    </row>
    <row r="2163" spans="1:1">
      <c r="A2163" s="151" t="s">
        <v>4131</v>
      </c>
    </row>
    <row r="2164" spans="1:1">
      <c r="A2164" s="151" t="s">
        <v>4132</v>
      </c>
    </row>
    <row r="2165" spans="1:1">
      <c r="A2165" s="151" t="s">
        <v>4133</v>
      </c>
    </row>
    <row r="2166" spans="1:1">
      <c r="A2166" s="151" t="s">
        <v>4134</v>
      </c>
    </row>
    <row r="2167" spans="1:1">
      <c r="A2167" s="151" t="s">
        <v>4135</v>
      </c>
    </row>
    <row r="2168" spans="1:1">
      <c r="A2168" s="151" t="s">
        <v>4136</v>
      </c>
    </row>
    <row r="2169" spans="1:1">
      <c r="A2169" s="151" t="s">
        <v>4137</v>
      </c>
    </row>
    <row r="2170" spans="1:1">
      <c r="A2170" s="151" t="s">
        <v>4138</v>
      </c>
    </row>
    <row r="2171" spans="1:1">
      <c r="A2171" s="151" t="s">
        <v>4139</v>
      </c>
    </row>
    <row r="2172" spans="1:1">
      <c r="A2172" s="151" t="s">
        <v>4140</v>
      </c>
    </row>
    <row r="2173" spans="1:1">
      <c r="A2173" s="151" t="s">
        <v>4141</v>
      </c>
    </row>
    <row r="2174" spans="1:1">
      <c r="A2174" s="151" t="s">
        <v>4142</v>
      </c>
    </row>
    <row r="2175" spans="1:1">
      <c r="A2175" s="151" t="s">
        <v>4143</v>
      </c>
    </row>
    <row r="2176" spans="1:1">
      <c r="A2176" s="151" t="s">
        <v>4144</v>
      </c>
    </row>
    <row r="2177" spans="1:1">
      <c r="A2177" s="151" t="s">
        <v>4145</v>
      </c>
    </row>
    <row r="2178" spans="1:1">
      <c r="A2178" s="151" t="s">
        <v>4146</v>
      </c>
    </row>
    <row r="2179" spans="1:1">
      <c r="A2179" s="151" t="s">
        <v>4147</v>
      </c>
    </row>
    <row r="2180" spans="1:1">
      <c r="A2180" s="151" t="s">
        <v>4148</v>
      </c>
    </row>
    <row r="2181" spans="1:1">
      <c r="A2181" s="151" t="s">
        <v>4149</v>
      </c>
    </row>
    <row r="2182" spans="1:1">
      <c r="A2182" s="151" t="s">
        <v>4150</v>
      </c>
    </row>
    <row r="2183" spans="1:1">
      <c r="A2183" s="151" t="s">
        <v>4151</v>
      </c>
    </row>
    <row r="2184" spans="1:1">
      <c r="A2184" s="151" t="s">
        <v>4152</v>
      </c>
    </row>
    <row r="2185" spans="1:1">
      <c r="A2185" s="151" t="s">
        <v>4153</v>
      </c>
    </row>
    <row r="2186" spans="1:1">
      <c r="A2186" s="151" t="s">
        <v>4154</v>
      </c>
    </row>
    <row r="2187" spans="1:1">
      <c r="A2187" s="151" t="s">
        <v>4155</v>
      </c>
    </row>
    <row r="2188" spans="1:1">
      <c r="A2188" s="151" t="s">
        <v>4156</v>
      </c>
    </row>
    <row r="2189" spans="1:1">
      <c r="A2189" s="151" t="s">
        <v>4157</v>
      </c>
    </row>
    <row r="2190" spans="1:1">
      <c r="A2190" s="151" t="s">
        <v>4158</v>
      </c>
    </row>
    <row r="2191" spans="1:1">
      <c r="A2191" s="151" t="s">
        <v>4159</v>
      </c>
    </row>
    <row r="2192" spans="1:1">
      <c r="A2192" s="151" t="s">
        <v>4160</v>
      </c>
    </row>
    <row r="2193" spans="1:1">
      <c r="A2193" s="151" t="s">
        <v>4161</v>
      </c>
    </row>
    <row r="2194" spans="1:1">
      <c r="A2194" s="151" t="s">
        <v>4162</v>
      </c>
    </row>
    <row r="2195" spans="1:1">
      <c r="A2195" s="151" t="s">
        <v>4163</v>
      </c>
    </row>
    <row r="2196" spans="1:1">
      <c r="A2196" s="151" t="s">
        <v>4164</v>
      </c>
    </row>
    <row r="2197" spans="1:1">
      <c r="A2197" s="151" t="s">
        <v>4165</v>
      </c>
    </row>
    <row r="2198" spans="1:1">
      <c r="A2198" s="151" t="s">
        <v>4166</v>
      </c>
    </row>
    <row r="2199" spans="1:1">
      <c r="A2199" s="151" t="s">
        <v>4167</v>
      </c>
    </row>
    <row r="2200" spans="1:1">
      <c r="A2200" s="151" t="s">
        <v>4168</v>
      </c>
    </row>
    <row r="2201" spans="1:1">
      <c r="A2201" s="151" t="s">
        <v>4169</v>
      </c>
    </row>
    <row r="2202" spans="1:1">
      <c r="A2202" s="151" t="s">
        <v>4170</v>
      </c>
    </row>
    <row r="2203" spans="1:1">
      <c r="A2203" s="151" t="s">
        <v>4171</v>
      </c>
    </row>
    <row r="2204" spans="1:1">
      <c r="A2204" s="151" t="s">
        <v>4172</v>
      </c>
    </row>
    <row r="2205" spans="1:1">
      <c r="A2205" s="151" t="s">
        <v>4173</v>
      </c>
    </row>
    <row r="2206" spans="1:1">
      <c r="A2206" s="151" t="s">
        <v>4174</v>
      </c>
    </row>
    <row r="2207" spans="1:1">
      <c r="A2207" s="151" t="s">
        <v>4175</v>
      </c>
    </row>
    <row r="2208" spans="1:1">
      <c r="A2208" s="151" t="s">
        <v>4176</v>
      </c>
    </row>
    <row r="2209" spans="1:1">
      <c r="A2209" s="151" t="s">
        <v>4177</v>
      </c>
    </row>
    <row r="2210" spans="1:1">
      <c r="A2210" s="151" t="s">
        <v>4178</v>
      </c>
    </row>
    <row r="2211" spans="1:1">
      <c r="A2211" s="151" t="s">
        <v>4179</v>
      </c>
    </row>
    <row r="2212" spans="1:1">
      <c r="A2212" s="151" t="s">
        <v>4180</v>
      </c>
    </row>
    <row r="2213" spans="1:1">
      <c r="A2213" s="151" t="s">
        <v>4181</v>
      </c>
    </row>
    <row r="2214" spans="1:1">
      <c r="A2214" s="151" t="s">
        <v>4182</v>
      </c>
    </row>
    <row r="2215" spans="1:1">
      <c r="A2215" s="151" t="s">
        <v>4183</v>
      </c>
    </row>
    <row r="2216" spans="1:1">
      <c r="A2216" s="151" t="s">
        <v>4184</v>
      </c>
    </row>
    <row r="2217" spans="1:1">
      <c r="A2217" s="151" t="s">
        <v>4185</v>
      </c>
    </row>
    <row r="2218" spans="1:1">
      <c r="A2218" s="151" t="s">
        <v>4186</v>
      </c>
    </row>
    <row r="2219" spans="1:1">
      <c r="A2219" s="151" t="s">
        <v>4187</v>
      </c>
    </row>
    <row r="2220" spans="1:1">
      <c r="A2220" s="151" t="s">
        <v>4188</v>
      </c>
    </row>
    <row r="2221" spans="1:1">
      <c r="A2221" s="151" t="s">
        <v>4189</v>
      </c>
    </row>
    <row r="2222" spans="1:1">
      <c r="A2222" s="151" t="s">
        <v>4190</v>
      </c>
    </row>
    <row r="2223" spans="1:1">
      <c r="A2223" s="151" t="s">
        <v>4191</v>
      </c>
    </row>
    <row r="2224" spans="1:1">
      <c r="A2224" s="151" t="s">
        <v>4192</v>
      </c>
    </row>
    <row r="2225" spans="1:1">
      <c r="A2225" s="151" t="s">
        <v>4193</v>
      </c>
    </row>
    <row r="2226" spans="1:1">
      <c r="A2226" s="151" t="s">
        <v>4194</v>
      </c>
    </row>
    <row r="2227" spans="1:1">
      <c r="A2227" s="151" t="s">
        <v>4195</v>
      </c>
    </row>
    <row r="2228" spans="1:1">
      <c r="A2228" s="151" t="s">
        <v>4196</v>
      </c>
    </row>
    <row r="2229" spans="1:1">
      <c r="A2229" s="151" t="s">
        <v>4197</v>
      </c>
    </row>
    <row r="2230" spans="1:1">
      <c r="A2230" s="151" t="s">
        <v>4198</v>
      </c>
    </row>
    <row r="2231" spans="1:1">
      <c r="A2231" s="151" t="s">
        <v>4199</v>
      </c>
    </row>
    <row r="2232" spans="1:1">
      <c r="A2232" s="151" t="s">
        <v>4200</v>
      </c>
    </row>
    <row r="2233" spans="1:1">
      <c r="A2233" s="151" t="s">
        <v>4201</v>
      </c>
    </row>
    <row r="2234" spans="1:1">
      <c r="A2234" s="151" t="s">
        <v>4202</v>
      </c>
    </row>
    <row r="2235" spans="1:1">
      <c r="A2235" s="151" t="s">
        <v>4203</v>
      </c>
    </row>
    <row r="2236" spans="1:1">
      <c r="A2236" s="151" t="s">
        <v>4204</v>
      </c>
    </row>
    <row r="2237" spans="1:1">
      <c r="A2237" s="151" t="s">
        <v>4205</v>
      </c>
    </row>
    <row r="2238" spans="1:1">
      <c r="A2238" s="151" t="s">
        <v>4206</v>
      </c>
    </row>
    <row r="2239" spans="1:1">
      <c r="A2239" s="151" t="s">
        <v>4207</v>
      </c>
    </row>
    <row r="2240" spans="1:1">
      <c r="A2240" s="151" t="s">
        <v>4208</v>
      </c>
    </row>
    <row r="2241" spans="1:1">
      <c r="A2241" s="151" t="s">
        <v>4209</v>
      </c>
    </row>
    <row r="2242" spans="1:1">
      <c r="A2242" s="151" t="s">
        <v>4210</v>
      </c>
    </row>
    <row r="2243" spans="1:1">
      <c r="A2243" s="151" t="s">
        <v>4211</v>
      </c>
    </row>
    <row r="2244" spans="1:1">
      <c r="A2244" s="151" t="s">
        <v>4212</v>
      </c>
    </row>
    <row r="2245" spans="1:1">
      <c r="A2245" s="151" t="s">
        <v>4213</v>
      </c>
    </row>
    <row r="2246" spans="1:1">
      <c r="A2246" s="151" t="s">
        <v>4214</v>
      </c>
    </row>
    <row r="2247" spans="1:1">
      <c r="A2247" s="151" t="s">
        <v>4215</v>
      </c>
    </row>
    <row r="2248" spans="1:1">
      <c r="A2248" s="151" t="s">
        <v>4216</v>
      </c>
    </row>
    <row r="2249" spans="1:1">
      <c r="A2249" s="151" t="s">
        <v>4217</v>
      </c>
    </row>
    <row r="2250" spans="1:1">
      <c r="A2250" s="151" t="s">
        <v>4218</v>
      </c>
    </row>
    <row r="2251" spans="1:1">
      <c r="A2251" s="151" t="s">
        <v>4219</v>
      </c>
    </row>
    <row r="2252" spans="1:1">
      <c r="A2252" s="151" t="s">
        <v>4220</v>
      </c>
    </row>
    <row r="2253" spans="1:1">
      <c r="A2253" s="151" t="s">
        <v>4221</v>
      </c>
    </row>
    <row r="2254" spans="1:1">
      <c r="A2254" s="151" t="s">
        <v>4222</v>
      </c>
    </row>
    <row r="2255" spans="1:1">
      <c r="A2255" s="151" t="s">
        <v>4223</v>
      </c>
    </row>
    <row r="2256" spans="1:1">
      <c r="A2256" s="151" t="s">
        <v>4224</v>
      </c>
    </row>
    <row r="2257" spans="1:1">
      <c r="A2257" s="151" t="s">
        <v>4225</v>
      </c>
    </row>
    <row r="2258" spans="1:1">
      <c r="A2258" s="151" t="s">
        <v>4226</v>
      </c>
    </row>
    <row r="2259" spans="1:1">
      <c r="A2259" s="151" t="s">
        <v>4227</v>
      </c>
    </row>
    <row r="2260" spans="1:1">
      <c r="A2260" s="151" t="s">
        <v>4228</v>
      </c>
    </row>
    <row r="2261" spans="1:1">
      <c r="A2261" s="151" t="s">
        <v>4229</v>
      </c>
    </row>
    <row r="2262" spans="1:1">
      <c r="A2262" s="151" t="s">
        <v>4230</v>
      </c>
    </row>
    <row r="2263" spans="1:1">
      <c r="A2263" s="151" t="s">
        <v>4231</v>
      </c>
    </row>
    <row r="2264" spans="1:1">
      <c r="A2264" s="151" t="s">
        <v>4232</v>
      </c>
    </row>
    <row r="2265" spans="1:1">
      <c r="A2265" s="151" t="s">
        <v>4233</v>
      </c>
    </row>
    <row r="2266" spans="1:1">
      <c r="A2266" s="151" t="s">
        <v>4234</v>
      </c>
    </row>
    <row r="2267" spans="1:1">
      <c r="A2267" s="151" t="s">
        <v>4235</v>
      </c>
    </row>
    <row r="2268" spans="1:1">
      <c r="A2268" s="151" t="s">
        <v>4236</v>
      </c>
    </row>
    <row r="2269" spans="1:1">
      <c r="A2269" s="151" t="s">
        <v>4237</v>
      </c>
    </row>
    <row r="2270" spans="1:1">
      <c r="A2270" s="151" t="s">
        <v>4238</v>
      </c>
    </row>
    <row r="2271" spans="1:1">
      <c r="A2271" s="151" t="s">
        <v>4239</v>
      </c>
    </row>
    <row r="2272" spans="1:1">
      <c r="A2272" s="151" t="s">
        <v>4240</v>
      </c>
    </row>
    <row r="2273" spans="1:1">
      <c r="A2273" s="151" t="s">
        <v>4241</v>
      </c>
    </row>
    <row r="2274" spans="1:1">
      <c r="A2274" s="151" t="s">
        <v>4242</v>
      </c>
    </row>
    <row r="2275" spans="1:1">
      <c r="A2275" s="151" t="s">
        <v>4243</v>
      </c>
    </row>
    <row r="2276" spans="1:1">
      <c r="A2276" s="151" t="s">
        <v>4244</v>
      </c>
    </row>
    <row r="2277" spans="1:1">
      <c r="A2277" s="151" t="s">
        <v>4245</v>
      </c>
    </row>
    <row r="2278" spans="1:1">
      <c r="A2278" s="151" t="s">
        <v>4246</v>
      </c>
    </row>
    <row r="2279" spans="1:1">
      <c r="A2279" s="151" t="s">
        <v>4247</v>
      </c>
    </row>
    <row r="2280" spans="1:1">
      <c r="A2280" s="151" t="s">
        <v>4248</v>
      </c>
    </row>
    <row r="2281" spans="1:1">
      <c r="A2281" s="151" t="s">
        <v>4249</v>
      </c>
    </row>
    <row r="2282" spans="1:1">
      <c r="A2282" s="151" t="s">
        <v>4250</v>
      </c>
    </row>
    <row r="2283" spans="1:1">
      <c r="A2283" s="151" t="s">
        <v>4251</v>
      </c>
    </row>
    <row r="2284" spans="1:1">
      <c r="A2284" s="151" t="s">
        <v>4252</v>
      </c>
    </row>
    <row r="2285" spans="1:1">
      <c r="A2285" s="151" t="s">
        <v>4253</v>
      </c>
    </row>
    <row r="2286" spans="1:1">
      <c r="A2286" s="151" t="s">
        <v>4254</v>
      </c>
    </row>
    <row r="2287" spans="1:1">
      <c r="A2287" s="151" t="s">
        <v>4255</v>
      </c>
    </row>
    <row r="2288" spans="1:1">
      <c r="A2288" s="151" t="s">
        <v>4256</v>
      </c>
    </row>
    <row r="2289" spans="1:1">
      <c r="A2289" s="151" t="s">
        <v>4257</v>
      </c>
    </row>
    <row r="2290" spans="1:1">
      <c r="A2290" s="151" t="s">
        <v>4258</v>
      </c>
    </row>
    <row r="2291" spans="1:1">
      <c r="A2291" s="151" t="s">
        <v>4259</v>
      </c>
    </row>
    <row r="2292" spans="1:1">
      <c r="A2292" s="151" t="s">
        <v>4260</v>
      </c>
    </row>
    <row r="2293" spans="1:1">
      <c r="A2293" s="151" t="s">
        <v>4261</v>
      </c>
    </row>
    <row r="2294" spans="1:1">
      <c r="A2294" s="151" t="s">
        <v>4262</v>
      </c>
    </row>
    <row r="2295" spans="1:1">
      <c r="A2295" s="151" t="s">
        <v>4263</v>
      </c>
    </row>
    <row r="2296" spans="1:1">
      <c r="A2296" s="151" t="s">
        <v>4264</v>
      </c>
    </row>
    <row r="2297" spans="1:1">
      <c r="A2297" s="151" t="s">
        <v>4265</v>
      </c>
    </row>
    <row r="2298" spans="1:1">
      <c r="A2298" s="151" t="s">
        <v>4266</v>
      </c>
    </row>
    <row r="2299" spans="1:1">
      <c r="A2299" s="151" t="s">
        <v>4267</v>
      </c>
    </row>
    <row r="2300" spans="1:1">
      <c r="A2300" s="151" t="s">
        <v>4268</v>
      </c>
    </row>
    <row r="2301" spans="1:1">
      <c r="A2301" s="151" t="s">
        <v>4269</v>
      </c>
    </row>
    <row r="2302" spans="1:1">
      <c r="A2302" s="151" t="s">
        <v>4270</v>
      </c>
    </row>
    <row r="2303" spans="1:1">
      <c r="A2303" s="151" t="s">
        <v>4271</v>
      </c>
    </row>
    <row r="2304" spans="1:1">
      <c r="A2304" s="151" t="s">
        <v>4272</v>
      </c>
    </row>
    <row r="2305" spans="1:1">
      <c r="A2305" s="151" t="s">
        <v>4273</v>
      </c>
    </row>
    <row r="2306" spans="1:1">
      <c r="A2306" s="151" t="s">
        <v>4274</v>
      </c>
    </row>
    <row r="2307" spans="1:1">
      <c r="A2307" s="151" t="s">
        <v>4275</v>
      </c>
    </row>
    <row r="2308" spans="1:1">
      <c r="A2308" s="151" t="s">
        <v>4276</v>
      </c>
    </row>
    <row r="2309" spans="1:1">
      <c r="A2309" s="151" t="s">
        <v>4277</v>
      </c>
    </row>
    <row r="2310" spans="1:1">
      <c r="A2310" s="151" t="s">
        <v>4278</v>
      </c>
    </row>
    <row r="2311" spans="1:1">
      <c r="A2311" s="151" t="s">
        <v>4279</v>
      </c>
    </row>
    <row r="2312" spans="1:1">
      <c r="A2312" s="151" t="s">
        <v>4280</v>
      </c>
    </row>
    <row r="2313" spans="1:1">
      <c r="A2313" s="151" t="s">
        <v>4281</v>
      </c>
    </row>
    <row r="2314" spans="1:1">
      <c r="A2314" s="151" t="s">
        <v>4282</v>
      </c>
    </row>
    <row r="2315" spans="1:1">
      <c r="A2315" s="151" t="s">
        <v>4283</v>
      </c>
    </row>
    <row r="2316" spans="1:1">
      <c r="A2316" s="151" t="s">
        <v>4284</v>
      </c>
    </row>
    <row r="2317" spans="1:1">
      <c r="A2317" s="151" t="s">
        <v>4285</v>
      </c>
    </row>
    <row r="2318" spans="1:1">
      <c r="A2318" s="151" t="s">
        <v>4286</v>
      </c>
    </row>
    <row r="2319" spans="1:1">
      <c r="A2319" s="151" t="s">
        <v>4287</v>
      </c>
    </row>
    <row r="2320" spans="1:1">
      <c r="A2320" s="151" t="s">
        <v>4288</v>
      </c>
    </row>
    <row r="2321" spans="1:1">
      <c r="A2321" s="151" t="s">
        <v>4289</v>
      </c>
    </row>
    <row r="2322" spans="1:1">
      <c r="A2322" s="151" t="s">
        <v>4290</v>
      </c>
    </row>
    <row r="2323" spans="1:1">
      <c r="A2323" s="151" t="s">
        <v>4291</v>
      </c>
    </row>
    <row r="2324" spans="1:1">
      <c r="A2324" s="151" t="s">
        <v>4292</v>
      </c>
    </row>
    <row r="2325" spans="1:1">
      <c r="A2325" s="151" t="s">
        <v>4293</v>
      </c>
    </row>
    <row r="2326" spans="1:1">
      <c r="A2326" s="151" t="s">
        <v>4294</v>
      </c>
    </row>
    <row r="2327" spans="1:1">
      <c r="A2327" s="151" t="s">
        <v>4295</v>
      </c>
    </row>
    <row r="2328" spans="1:1">
      <c r="A2328" s="151" t="s">
        <v>4296</v>
      </c>
    </row>
    <row r="2329" spans="1:1">
      <c r="A2329" s="151" t="s">
        <v>4297</v>
      </c>
    </row>
    <row r="2330" spans="1:1">
      <c r="A2330" s="151" t="s">
        <v>4298</v>
      </c>
    </row>
    <row r="2331" spans="1:1">
      <c r="A2331" s="151" t="s">
        <v>4299</v>
      </c>
    </row>
    <row r="2332" spans="1:1">
      <c r="A2332" s="151" t="s">
        <v>4300</v>
      </c>
    </row>
    <row r="2333" spans="1:1">
      <c r="A2333" s="151" t="s">
        <v>4301</v>
      </c>
    </row>
    <row r="2334" spans="1:1">
      <c r="A2334" s="151" t="s">
        <v>4302</v>
      </c>
    </row>
    <row r="2335" spans="1:1">
      <c r="A2335" s="151" t="s">
        <v>4303</v>
      </c>
    </row>
    <row r="2336" spans="1:1">
      <c r="A2336" s="151" t="s">
        <v>4304</v>
      </c>
    </row>
    <row r="2337" spans="1:1">
      <c r="A2337" s="151" t="s">
        <v>4305</v>
      </c>
    </row>
    <row r="2338" spans="1:1">
      <c r="A2338" s="151" t="s">
        <v>4306</v>
      </c>
    </row>
    <row r="2339" spans="1:1">
      <c r="A2339" s="151" t="s">
        <v>4307</v>
      </c>
    </row>
    <row r="2340" spans="1:1">
      <c r="A2340" s="151" t="s">
        <v>4308</v>
      </c>
    </row>
    <row r="2341" spans="1:1">
      <c r="A2341" s="151" t="s">
        <v>4309</v>
      </c>
    </row>
    <row r="2342" spans="1:1">
      <c r="A2342" s="151" t="s">
        <v>4310</v>
      </c>
    </row>
    <row r="2343" spans="1:1">
      <c r="A2343" s="151" t="s">
        <v>4311</v>
      </c>
    </row>
    <row r="2344" spans="1:1">
      <c r="A2344" s="151" t="s">
        <v>4312</v>
      </c>
    </row>
    <row r="2345" spans="1:1">
      <c r="A2345" s="151" t="s">
        <v>4313</v>
      </c>
    </row>
    <row r="2346" spans="1:1">
      <c r="A2346" s="151" t="s">
        <v>4314</v>
      </c>
    </row>
    <row r="2347" spans="1:1">
      <c r="A2347" s="151" t="s">
        <v>4315</v>
      </c>
    </row>
    <row r="2348" spans="1:1">
      <c r="A2348" s="151" t="s">
        <v>4316</v>
      </c>
    </row>
    <row r="2349" spans="1:1">
      <c r="A2349" s="151" t="s">
        <v>4317</v>
      </c>
    </row>
    <row r="2350" spans="1:1">
      <c r="A2350" s="151" t="s">
        <v>4318</v>
      </c>
    </row>
    <row r="2351" spans="1:1">
      <c r="A2351" s="151" t="s">
        <v>4319</v>
      </c>
    </row>
    <row r="2352" spans="1:1">
      <c r="A2352" s="151" t="s">
        <v>4320</v>
      </c>
    </row>
    <row r="2353" spans="1:1">
      <c r="A2353" s="151" t="s">
        <v>4321</v>
      </c>
    </row>
    <row r="2354" spans="1:1">
      <c r="A2354" s="151" t="s">
        <v>4322</v>
      </c>
    </row>
    <row r="2355" spans="1:1">
      <c r="A2355" s="151" t="s">
        <v>4323</v>
      </c>
    </row>
    <row r="2356" spans="1:1">
      <c r="A2356" s="151" t="s">
        <v>4324</v>
      </c>
    </row>
    <row r="2357" spans="1:1">
      <c r="A2357" s="151" t="s">
        <v>4325</v>
      </c>
    </row>
    <row r="2358" spans="1:1">
      <c r="A2358" s="151" t="s">
        <v>4326</v>
      </c>
    </row>
    <row r="2359" spans="1:1">
      <c r="A2359" s="151" t="s">
        <v>4327</v>
      </c>
    </row>
    <row r="2360" spans="1:1">
      <c r="A2360" s="151" t="s">
        <v>4328</v>
      </c>
    </row>
    <row r="2361" spans="1:1">
      <c r="A2361" s="151" t="s">
        <v>4329</v>
      </c>
    </row>
    <row r="2362" spans="1:1">
      <c r="A2362" s="151" t="s">
        <v>4330</v>
      </c>
    </row>
    <row r="2363" spans="1:1">
      <c r="A2363" s="151" t="s">
        <v>4331</v>
      </c>
    </row>
    <row r="2364" spans="1:1">
      <c r="A2364" s="151" t="s">
        <v>4332</v>
      </c>
    </row>
    <row r="2365" spans="1:1">
      <c r="A2365" s="151" t="s">
        <v>4333</v>
      </c>
    </row>
    <row r="2366" spans="1:1">
      <c r="A2366" s="151" t="s">
        <v>4334</v>
      </c>
    </row>
    <row r="2367" spans="1:1">
      <c r="A2367" s="151" t="s">
        <v>4335</v>
      </c>
    </row>
    <row r="2368" spans="1:1">
      <c r="A2368" s="151" t="s">
        <v>4336</v>
      </c>
    </row>
    <row r="2369" spans="1:1">
      <c r="A2369" s="151" t="s">
        <v>4337</v>
      </c>
    </row>
    <row r="2370" spans="1:1">
      <c r="A2370" s="151" t="s">
        <v>4338</v>
      </c>
    </row>
    <row r="2371" spans="1:1">
      <c r="A2371" s="151" t="s">
        <v>4339</v>
      </c>
    </row>
    <row r="2372" spans="1:1">
      <c r="A2372" s="151" t="s">
        <v>4340</v>
      </c>
    </row>
    <row r="2373" spans="1:1">
      <c r="A2373" s="151" t="s">
        <v>4341</v>
      </c>
    </row>
    <row r="2374" spans="1:1">
      <c r="A2374" s="151" t="s">
        <v>4342</v>
      </c>
    </row>
    <row r="2375" spans="1:1">
      <c r="A2375" s="151" t="s">
        <v>4343</v>
      </c>
    </row>
    <row r="2376" spans="1:1">
      <c r="A2376" s="151" t="s">
        <v>4344</v>
      </c>
    </row>
    <row r="2377" spans="1:1">
      <c r="A2377" s="151" t="s">
        <v>4345</v>
      </c>
    </row>
    <row r="2378" spans="1:1">
      <c r="A2378" s="151" t="s">
        <v>4346</v>
      </c>
    </row>
    <row r="2379" spans="1:1">
      <c r="A2379" s="151" t="s">
        <v>4347</v>
      </c>
    </row>
    <row r="2380" spans="1:1">
      <c r="A2380" s="151" t="s">
        <v>4348</v>
      </c>
    </row>
    <row r="2381" spans="1:1">
      <c r="A2381" s="151" t="s">
        <v>4349</v>
      </c>
    </row>
    <row r="2382" spans="1:1">
      <c r="A2382" s="151" t="s">
        <v>4350</v>
      </c>
    </row>
    <row r="2383" spans="1:1">
      <c r="A2383" s="151" t="s">
        <v>4351</v>
      </c>
    </row>
    <row r="2384" spans="1:1">
      <c r="A2384" s="151" t="s">
        <v>4352</v>
      </c>
    </row>
    <row r="2385" spans="1:1">
      <c r="A2385" s="151" t="s">
        <v>4353</v>
      </c>
    </row>
    <row r="2386" spans="1:1">
      <c r="A2386" s="151" t="s">
        <v>4354</v>
      </c>
    </row>
    <row r="2387" spans="1:1">
      <c r="A2387" s="151" t="s">
        <v>4355</v>
      </c>
    </row>
    <row r="2388" spans="1:1">
      <c r="A2388" s="151" t="s">
        <v>4356</v>
      </c>
    </row>
    <row r="2389" spans="1:1">
      <c r="A2389" s="151" t="s">
        <v>4357</v>
      </c>
    </row>
    <row r="2390" spans="1:1">
      <c r="A2390" s="151" t="s">
        <v>4358</v>
      </c>
    </row>
    <row r="2391" spans="1:1">
      <c r="A2391" s="151" t="s">
        <v>4359</v>
      </c>
    </row>
    <row r="2392" spans="1:1">
      <c r="A2392" s="151" t="s">
        <v>4360</v>
      </c>
    </row>
    <row r="2393" spans="1:1">
      <c r="A2393" s="151" t="s">
        <v>4361</v>
      </c>
    </row>
    <row r="2394" spans="1:1">
      <c r="A2394" s="151" t="s">
        <v>4362</v>
      </c>
    </row>
    <row r="2395" spans="1:1">
      <c r="A2395" s="151" t="s">
        <v>4363</v>
      </c>
    </row>
    <row r="2396" spans="1:1">
      <c r="A2396" s="151" t="s">
        <v>4364</v>
      </c>
    </row>
    <row r="2397" spans="1:1">
      <c r="A2397" s="151" t="s">
        <v>4365</v>
      </c>
    </row>
    <row r="2398" spans="1:1">
      <c r="A2398" s="151" t="s">
        <v>4366</v>
      </c>
    </row>
    <row r="2399" spans="1:1">
      <c r="A2399" s="151" t="s">
        <v>4367</v>
      </c>
    </row>
    <row r="2400" spans="1:1">
      <c r="A2400" s="151" t="s">
        <v>4368</v>
      </c>
    </row>
    <row r="2401" spans="1:1">
      <c r="A2401" s="151" t="s">
        <v>4369</v>
      </c>
    </row>
    <row r="2402" spans="1:1">
      <c r="A2402" s="151" t="s">
        <v>4370</v>
      </c>
    </row>
    <row r="2403" spans="1:1">
      <c r="A2403" s="151" t="s">
        <v>4371</v>
      </c>
    </row>
    <row r="2404" spans="1:1">
      <c r="A2404" s="151" t="s">
        <v>4372</v>
      </c>
    </row>
    <row r="2405" spans="1:1">
      <c r="A2405" s="151" t="s">
        <v>4373</v>
      </c>
    </row>
    <row r="2406" spans="1:1">
      <c r="A2406" s="151" t="s">
        <v>4374</v>
      </c>
    </row>
    <row r="2407" spans="1:1">
      <c r="A2407" s="151" t="s">
        <v>4375</v>
      </c>
    </row>
    <row r="2408" spans="1:1">
      <c r="A2408" s="151" t="s">
        <v>4376</v>
      </c>
    </row>
    <row r="2409" spans="1:1">
      <c r="A2409" s="151" t="s">
        <v>4377</v>
      </c>
    </row>
    <row r="2410" spans="1:1">
      <c r="A2410" s="151" t="s">
        <v>4378</v>
      </c>
    </row>
    <row r="2411" spans="1:1">
      <c r="A2411" s="151" t="s">
        <v>4379</v>
      </c>
    </row>
    <row r="2412" spans="1:1">
      <c r="A2412" s="151" t="s">
        <v>4380</v>
      </c>
    </row>
    <row r="2413" spans="1:1">
      <c r="A2413" s="151" t="s">
        <v>4381</v>
      </c>
    </row>
    <row r="2414" spans="1:1">
      <c r="A2414" s="151" t="s">
        <v>4382</v>
      </c>
    </row>
    <row r="2415" spans="1:1">
      <c r="A2415" s="151" t="s">
        <v>4383</v>
      </c>
    </row>
    <row r="2416" spans="1:1">
      <c r="A2416" s="151" t="s">
        <v>4384</v>
      </c>
    </row>
    <row r="2417" spans="1:1">
      <c r="A2417" s="151" t="s">
        <v>4385</v>
      </c>
    </row>
    <row r="2418" spans="1:1">
      <c r="A2418" s="151" t="s">
        <v>4386</v>
      </c>
    </row>
    <row r="2419" spans="1:1">
      <c r="A2419" s="151" t="s">
        <v>4387</v>
      </c>
    </row>
    <row r="2420" spans="1:1">
      <c r="A2420" s="151" t="s">
        <v>4388</v>
      </c>
    </row>
    <row r="2421" spans="1:1">
      <c r="A2421" s="151" t="s">
        <v>4389</v>
      </c>
    </row>
    <row r="2422" spans="1:1">
      <c r="A2422" s="151" t="s">
        <v>4390</v>
      </c>
    </row>
    <row r="2423" spans="1:1">
      <c r="A2423" s="151" t="s">
        <v>4391</v>
      </c>
    </row>
    <row r="2424" spans="1:1">
      <c r="A2424" s="151" t="s">
        <v>4392</v>
      </c>
    </row>
    <row r="2425" spans="1:1">
      <c r="A2425" s="151" t="s">
        <v>4393</v>
      </c>
    </row>
    <row r="2426" spans="1:1">
      <c r="A2426" s="151" t="s">
        <v>4394</v>
      </c>
    </row>
    <row r="2427" spans="1:1">
      <c r="A2427" s="151" t="s">
        <v>4395</v>
      </c>
    </row>
    <row r="2428" spans="1:1">
      <c r="A2428" s="151" t="s">
        <v>4396</v>
      </c>
    </row>
    <row r="2429" spans="1:1">
      <c r="A2429" s="151" t="s">
        <v>4397</v>
      </c>
    </row>
    <row r="2430" spans="1:1">
      <c r="A2430" s="151" t="s">
        <v>4398</v>
      </c>
    </row>
    <row r="2431" spans="1:1">
      <c r="A2431" s="151" t="s">
        <v>4399</v>
      </c>
    </row>
    <row r="2432" spans="1:1">
      <c r="A2432" s="151" t="s">
        <v>4400</v>
      </c>
    </row>
    <row r="2433" spans="1:1">
      <c r="A2433" s="151" t="s">
        <v>4401</v>
      </c>
    </row>
    <row r="2434" spans="1:1">
      <c r="A2434" s="151" t="s">
        <v>4402</v>
      </c>
    </row>
    <row r="2435" spans="1:1">
      <c r="A2435" s="151" t="s">
        <v>4403</v>
      </c>
    </row>
    <row r="2436" spans="1:1">
      <c r="A2436" s="151" t="s">
        <v>4404</v>
      </c>
    </row>
    <row r="2437" spans="1:1">
      <c r="A2437" s="151" t="s">
        <v>4405</v>
      </c>
    </row>
    <row r="2438" spans="1:1">
      <c r="A2438" s="151" t="s">
        <v>4406</v>
      </c>
    </row>
    <row r="2439" spans="1:1">
      <c r="A2439" s="151" t="s">
        <v>4407</v>
      </c>
    </row>
    <row r="2440" spans="1:1">
      <c r="A2440" s="151" t="s">
        <v>4408</v>
      </c>
    </row>
    <row r="2441" spans="1:1">
      <c r="A2441" s="151" t="s">
        <v>4409</v>
      </c>
    </row>
    <row r="2442" spans="1:1">
      <c r="A2442" s="151" t="s">
        <v>4410</v>
      </c>
    </row>
    <row r="2443" spans="1:1">
      <c r="A2443" s="151" t="s">
        <v>4411</v>
      </c>
    </row>
    <row r="2444" spans="1:1">
      <c r="A2444" s="151" t="s">
        <v>4412</v>
      </c>
    </row>
    <row r="2445" spans="1:1">
      <c r="A2445" s="151" t="s">
        <v>4413</v>
      </c>
    </row>
    <row r="2446" spans="1:1">
      <c r="A2446" s="151" t="s">
        <v>4414</v>
      </c>
    </row>
    <row r="2447" spans="1:1">
      <c r="A2447" s="151" t="s">
        <v>4415</v>
      </c>
    </row>
    <row r="2448" spans="1:1">
      <c r="A2448" s="151" t="s">
        <v>4416</v>
      </c>
    </row>
    <row r="2449" spans="1:1">
      <c r="A2449" s="151" t="s">
        <v>4417</v>
      </c>
    </row>
    <row r="2450" spans="1:1">
      <c r="A2450" s="151" t="s">
        <v>4418</v>
      </c>
    </row>
    <row r="2451" spans="1:1">
      <c r="A2451" s="151" t="s">
        <v>4419</v>
      </c>
    </row>
    <row r="2452" spans="1:1">
      <c r="A2452" s="151" t="s">
        <v>4420</v>
      </c>
    </row>
    <row r="2453" spans="1:1">
      <c r="A2453" s="151" t="s">
        <v>4421</v>
      </c>
    </row>
    <row r="2454" spans="1:1">
      <c r="A2454" s="151" t="s">
        <v>4422</v>
      </c>
    </row>
    <row r="2455" spans="1:1">
      <c r="A2455" s="151" t="s">
        <v>4423</v>
      </c>
    </row>
    <row r="2456" spans="1:1">
      <c r="A2456" s="151" t="s">
        <v>4424</v>
      </c>
    </row>
    <row r="2457" spans="1:1">
      <c r="A2457" s="151" t="s">
        <v>4425</v>
      </c>
    </row>
    <row r="2458" spans="1:1">
      <c r="A2458" s="151" t="s">
        <v>4426</v>
      </c>
    </row>
    <row r="2459" spans="1:1">
      <c r="A2459" s="151" t="s">
        <v>4427</v>
      </c>
    </row>
    <row r="2460" spans="1:1">
      <c r="A2460" s="151" t="s">
        <v>4428</v>
      </c>
    </row>
    <row r="2461" spans="1:1">
      <c r="A2461" s="151" t="s">
        <v>4429</v>
      </c>
    </row>
    <row r="2462" spans="1:1">
      <c r="A2462" s="151" t="s">
        <v>4430</v>
      </c>
    </row>
    <row r="2463" spans="1:1">
      <c r="A2463" s="151" t="s">
        <v>4431</v>
      </c>
    </row>
    <row r="2464" spans="1:1">
      <c r="A2464" s="151" t="s">
        <v>4432</v>
      </c>
    </row>
    <row r="2465" spans="1:1">
      <c r="A2465" s="151" t="s">
        <v>4433</v>
      </c>
    </row>
    <row r="2466" spans="1:1">
      <c r="A2466" s="151" t="s">
        <v>4434</v>
      </c>
    </row>
    <row r="2467" spans="1:1">
      <c r="A2467" s="151" t="s">
        <v>4435</v>
      </c>
    </row>
    <row r="2468" spans="1:1">
      <c r="A2468" s="151" t="s">
        <v>4436</v>
      </c>
    </row>
    <row r="2469" spans="1:1">
      <c r="A2469" s="151" t="s">
        <v>4437</v>
      </c>
    </row>
    <row r="2470" spans="1:1">
      <c r="A2470" s="151" t="s">
        <v>4438</v>
      </c>
    </row>
    <row r="2471" spans="1:1">
      <c r="A2471" s="151" t="s">
        <v>4439</v>
      </c>
    </row>
    <row r="2472" spans="1:1">
      <c r="A2472" s="151" t="s">
        <v>4440</v>
      </c>
    </row>
    <row r="2473" spans="1:1">
      <c r="A2473" s="151" t="s">
        <v>4441</v>
      </c>
    </row>
    <row r="2474" spans="1:1">
      <c r="A2474" s="151" t="s">
        <v>4442</v>
      </c>
    </row>
    <row r="2475" spans="1:1">
      <c r="A2475" s="151" t="s">
        <v>4443</v>
      </c>
    </row>
    <row r="2476" spans="1:1">
      <c r="A2476" s="151" t="s">
        <v>4444</v>
      </c>
    </row>
    <row r="2477" spans="1:1">
      <c r="A2477" s="151" t="s">
        <v>4445</v>
      </c>
    </row>
    <row r="2478" spans="1:1">
      <c r="A2478" s="151" t="s">
        <v>4446</v>
      </c>
    </row>
    <row r="2479" spans="1:1">
      <c r="A2479" s="151" t="s">
        <v>4447</v>
      </c>
    </row>
    <row r="2480" spans="1:1">
      <c r="A2480" s="151" t="s">
        <v>4448</v>
      </c>
    </row>
    <row r="2481" spans="1:1">
      <c r="A2481" s="151" t="s">
        <v>4449</v>
      </c>
    </row>
    <row r="2482" spans="1:1">
      <c r="A2482" s="151" t="s">
        <v>4450</v>
      </c>
    </row>
    <row r="2483" spans="1:1">
      <c r="A2483" s="151" t="s">
        <v>4451</v>
      </c>
    </row>
    <row r="2484" spans="1:1">
      <c r="A2484" s="151" t="s">
        <v>4452</v>
      </c>
    </row>
    <row r="2485" spans="1:1">
      <c r="A2485" s="151" t="s">
        <v>4453</v>
      </c>
    </row>
    <row r="2486" spans="1:1">
      <c r="A2486" s="151" t="s">
        <v>4454</v>
      </c>
    </row>
    <row r="2487" spans="1:1">
      <c r="A2487" s="151" t="s">
        <v>4455</v>
      </c>
    </row>
    <row r="2488" spans="1:1">
      <c r="A2488" s="151" t="s">
        <v>4456</v>
      </c>
    </row>
    <row r="2489" spans="1:1">
      <c r="A2489" s="151" t="s">
        <v>4457</v>
      </c>
    </row>
    <row r="2490" spans="1:1">
      <c r="A2490" s="151" t="s">
        <v>4458</v>
      </c>
    </row>
    <row r="2491" spans="1:1">
      <c r="A2491" s="151" t="s">
        <v>4459</v>
      </c>
    </row>
    <row r="2492" spans="1:1">
      <c r="A2492" s="151" t="s">
        <v>4460</v>
      </c>
    </row>
    <row r="2493" spans="1:1">
      <c r="A2493" s="151" t="s">
        <v>4461</v>
      </c>
    </row>
    <row r="2494" spans="1:1">
      <c r="A2494" s="151" t="s">
        <v>4462</v>
      </c>
    </row>
    <row r="2495" spans="1:1">
      <c r="A2495" s="151" t="s">
        <v>4463</v>
      </c>
    </row>
    <row r="2496" spans="1:1">
      <c r="A2496" s="151" t="s">
        <v>4464</v>
      </c>
    </row>
    <row r="2497" spans="1:1">
      <c r="A2497" s="151" t="s">
        <v>4465</v>
      </c>
    </row>
    <row r="2498" spans="1:1">
      <c r="A2498" s="151" t="s">
        <v>4466</v>
      </c>
    </row>
    <row r="2499" spans="1:1">
      <c r="A2499" s="151" t="s">
        <v>4467</v>
      </c>
    </row>
    <row r="2500" spans="1:1">
      <c r="A2500" s="151" t="s">
        <v>4468</v>
      </c>
    </row>
    <row r="2501" spans="1:1">
      <c r="A2501" s="151" t="s">
        <v>4469</v>
      </c>
    </row>
    <row r="2502" spans="1:1">
      <c r="A2502" s="151" t="s">
        <v>4470</v>
      </c>
    </row>
    <row r="2503" spans="1:1">
      <c r="A2503" s="151" t="s">
        <v>4471</v>
      </c>
    </row>
    <row r="2504" spans="1:1">
      <c r="A2504" s="151" t="s">
        <v>4472</v>
      </c>
    </row>
    <row r="2505" spans="1:1">
      <c r="A2505" s="151" t="s">
        <v>4473</v>
      </c>
    </row>
    <row r="2506" spans="1:1">
      <c r="A2506" s="151" t="s">
        <v>4474</v>
      </c>
    </row>
    <row r="2507" spans="1:1">
      <c r="A2507" s="151" t="s">
        <v>4475</v>
      </c>
    </row>
    <row r="2508" spans="1:1">
      <c r="A2508" s="151" t="s">
        <v>4476</v>
      </c>
    </row>
    <row r="2509" spans="1:1">
      <c r="A2509" s="151" t="s">
        <v>4477</v>
      </c>
    </row>
    <row r="2510" spans="1:1">
      <c r="A2510" s="151" t="s">
        <v>4478</v>
      </c>
    </row>
    <row r="2511" spans="1:1">
      <c r="A2511" s="151" t="s">
        <v>4479</v>
      </c>
    </row>
    <row r="2512" spans="1:1">
      <c r="A2512" s="151" t="s">
        <v>4480</v>
      </c>
    </row>
    <row r="2513" spans="1:1">
      <c r="A2513" s="151" t="s">
        <v>4481</v>
      </c>
    </row>
    <row r="2514" spans="1:1">
      <c r="A2514" s="151" t="s">
        <v>4482</v>
      </c>
    </row>
    <row r="2515" spans="1:1">
      <c r="A2515" s="151" t="s">
        <v>4483</v>
      </c>
    </row>
    <row r="2516" spans="1:1">
      <c r="A2516" s="151" t="s">
        <v>4484</v>
      </c>
    </row>
    <row r="2517" spans="1:1">
      <c r="A2517" s="151" t="s">
        <v>4485</v>
      </c>
    </row>
    <row r="2518" spans="1:1">
      <c r="A2518" s="151" t="s">
        <v>4486</v>
      </c>
    </row>
    <row r="2519" spans="1:1">
      <c r="A2519" s="151" t="s">
        <v>4487</v>
      </c>
    </row>
    <row r="2520" spans="1:1">
      <c r="A2520" s="151" t="s">
        <v>4488</v>
      </c>
    </row>
    <row r="2521" spans="1:1">
      <c r="A2521" s="151" t="s">
        <v>4489</v>
      </c>
    </row>
    <row r="2522" spans="1:1">
      <c r="A2522" s="151" t="s">
        <v>4490</v>
      </c>
    </row>
    <row r="2523" spans="1:1">
      <c r="A2523" s="151" t="s">
        <v>4491</v>
      </c>
    </row>
    <row r="2524" spans="1:1">
      <c r="A2524" s="151" t="s">
        <v>4492</v>
      </c>
    </row>
    <row r="2525" spans="1:1">
      <c r="A2525" s="151" t="s">
        <v>4493</v>
      </c>
    </row>
    <row r="2526" spans="1:1">
      <c r="A2526" s="151" t="s">
        <v>4494</v>
      </c>
    </row>
    <row r="2527" spans="1:1">
      <c r="A2527" s="151" t="s">
        <v>4495</v>
      </c>
    </row>
    <row r="2528" spans="1:1">
      <c r="A2528" s="151" t="s">
        <v>4496</v>
      </c>
    </row>
    <row r="2529" spans="1:1">
      <c r="A2529" s="151" t="s">
        <v>4497</v>
      </c>
    </row>
    <row r="2530" spans="1:1">
      <c r="A2530" s="151" t="s">
        <v>4498</v>
      </c>
    </row>
    <row r="2531" spans="1:1">
      <c r="A2531" s="151" t="s">
        <v>4499</v>
      </c>
    </row>
    <row r="2532" spans="1:1">
      <c r="A2532" s="151" t="s">
        <v>4500</v>
      </c>
    </row>
    <row r="2533" spans="1:1">
      <c r="A2533" s="151" t="s">
        <v>4501</v>
      </c>
    </row>
    <row r="2534" spans="1:1">
      <c r="A2534" s="151" t="s">
        <v>4502</v>
      </c>
    </row>
    <row r="2535" spans="1:1">
      <c r="A2535" s="151" t="s">
        <v>4503</v>
      </c>
    </row>
    <row r="2536" spans="1:1">
      <c r="A2536" s="151" t="s">
        <v>4504</v>
      </c>
    </row>
    <row r="2537" spans="1:1">
      <c r="A2537" s="151" t="s">
        <v>4505</v>
      </c>
    </row>
    <row r="2538" spans="1:1">
      <c r="A2538" s="151" t="s">
        <v>4506</v>
      </c>
    </row>
    <row r="2539" spans="1:1">
      <c r="A2539" s="151" t="s">
        <v>4507</v>
      </c>
    </row>
    <row r="2540" spans="1:1">
      <c r="A2540" s="151" t="s">
        <v>4508</v>
      </c>
    </row>
    <row r="2541" spans="1:1">
      <c r="A2541" s="151" t="s">
        <v>4509</v>
      </c>
    </row>
    <row r="2542" spans="1:1">
      <c r="A2542" s="151" t="s">
        <v>4510</v>
      </c>
    </row>
    <row r="2543" spans="1:1">
      <c r="A2543" s="151" t="s">
        <v>4511</v>
      </c>
    </row>
    <row r="2544" spans="1:1">
      <c r="A2544" s="151" t="s">
        <v>4512</v>
      </c>
    </row>
    <row r="2545" spans="1:1">
      <c r="A2545" s="151" t="s">
        <v>4513</v>
      </c>
    </row>
    <row r="2546" spans="1:1">
      <c r="A2546" s="151" t="s">
        <v>4514</v>
      </c>
    </row>
    <row r="2547" spans="1:1">
      <c r="A2547" s="151" t="s">
        <v>4515</v>
      </c>
    </row>
    <row r="2548" spans="1:1">
      <c r="A2548" s="151" t="s">
        <v>4516</v>
      </c>
    </row>
    <row r="2549" spans="1:1">
      <c r="A2549" s="151" t="s">
        <v>4517</v>
      </c>
    </row>
    <row r="2550" spans="1:1">
      <c r="A2550" s="151" t="s">
        <v>4518</v>
      </c>
    </row>
    <row r="2551" spans="1:1">
      <c r="A2551" s="151" t="s">
        <v>4519</v>
      </c>
    </row>
    <row r="2552" spans="1:1">
      <c r="A2552" s="151" t="s">
        <v>4520</v>
      </c>
    </row>
    <row r="2553" spans="1:1">
      <c r="A2553" s="151" t="s">
        <v>4521</v>
      </c>
    </row>
    <row r="2554" spans="1:1">
      <c r="A2554" s="151" t="s">
        <v>4522</v>
      </c>
    </row>
    <row r="2555" spans="1:1">
      <c r="A2555" s="151" t="s">
        <v>4523</v>
      </c>
    </row>
    <row r="2556" spans="1:1">
      <c r="A2556" s="151" t="s">
        <v>4524</v>
      </c>
    </row>
    <row r="2557" spans="1:1">
      <c r="A2557" s="151" t="s">
        <v>4525</v>
      </c>
    </row>
    <row r="2558" spans="1:1">
      <c r="A2558" s="151" t="s">
        <v>4526</v>
      </c>
    </row>
    <row r="2559" spans="1:1">
      <c r="A2559" s="151" t="s">
        <v>4527</v>
      </c>
    </row>
    <row r="2560" spans="1:1">
      <c r="A2560" s="151" t="s">
        <v>4528</v>
      </c>
    </row>
    <row r="2561" spans="1:1">
      <c r="A2561" s="151" t="s">
        <v>4529</v>
      </c>
    </row>
    <row r="2562" spans="1:1">
      <c r="A2562" s="151" t="s">
        <v>4530</v>
      </c>
    </row>
    <row r="2563" spans="1:1">
      <c r="A2563" s="151" t="s">
        <v>4531</v>
      </c>
    </row>
    <row r="2564" spans="1:1">
      <c r="A2564" s="151" t="s">
        <v>4532</v>
      </c>
    </row>
    <row r="2565" spans="1:1">
      <c r="A2565" s="151" t="s">
        <v>4533</v>
      </c>
    </row>
    <row r="2566" spans="1:1">
      <c r="A2566" s="151" t="s">
        <v>4534</v>
      </c>
    </row>
    <row r="2567" spans="1:1">
      <c r="A2567" s="151" t="s">
        <v>4535</v>
      </c>
    </row>
    <row r="2568" spans="1:1">
      <c r="A2568" s="151" t="s">
        <v>4536</v>
      </c>
    </row>
    <row r="2569" spans="1:1">
      <c r="A2569" s="151" t="s">
        <v>4537</v>
      </c>
    </row>
    <row r="2570" spans="1:1">
      <c r="A2570" s="151" t="s">
        <v>4538</v>
      </c>
    </row>
    <row r="2571" spans="1:1">
      <c r="A2571" s="151" t="s">
        <v>4539</v>
      </c>
    </row>
    <row r="2572" spans="1:1">
      <c r="A2572" s="151" t="s">
        <v>4540</v>
      </c>
    </row>
    <row r="2573" spans="1:1">
      <c r="A2573" s="151" t="s">
        <v>4541</v>
      </c>
    </row>
    <row r="2574" spans="1:1">
      <c r="A2574" s="151" t="s">
        <v>4542</v>
      </c>
    </row>
    <row r="2575" spans="1:1">
      <c r="A2575" s="151" t="s">
        <v>4543</v>
      </c>
    </row>
    <row r="2576" spans="1:1">
      <c r="A2576" s="151" t="s">
        <v>4544</v>
      </c>
    </row>
    <row r="2577" spans="1:1">
      <c r="A2577" s="151" t="s">
        <v>4545</v>
      </c>
    </row>
    <row r="2578" spans="1:1">
      <c r="A2578" s="151" t="s">
        <v>4546</v>
      </c>
    </row>
    <row r="2579" spans="1:1">
      <c r="A2579" s="151" t="s">
        <v>4547</v>
      </c>
    </row>
    <row r="2580" spans="1:1">
      <c r="A2580" s="151" t="s">
        <v>4548</v>
      </c>
    </row>
    <row r="2581" spans="1:1">
      <c r="A2581" s="151" t="s">
        <v>4549</v>
      </c>
    </row>
    <row r="2582" spans="1:1">
      <c r="A2582" s="151" t="s">
        <v>4550</v>
      </c>
    </row>
    <row r="2583" spans="1:1">
      <c r="A2583" s="151" t="s">
        <v>4551</v>
      </c>
    </row>
    <row r="2584" spans="1:1">
      <c r="A2584" s="151" t="s">
        <v>4552</v>
      </c>
    </row>
    <row r="2585" spans="1:1">
      <c r="A2585" s="151" t="s">
        <v>4553</v>
      </c>
    </row>
    <row r="2586" spans="1:1">
      <c r="A2586" s="151" t="s">
        <v>4554</v>
      </c>
    </row>
    <row r="2587" spans="1:1">
      <c r="A2587" s="151" t="s">
        <v>4555</v>
      </c>
    </row>
    <row r="2588" spans="1:1">
      <c r="A2588" s="151" t="s">
        <v>4556</v>
      </c>
    </row>
    <row r="2589" spans="1:1">
      <c r="A2589" s="151" t="s">
        <v>4557</v>
      </c>
    </row>
    <row r="2590" spans="1:1">
      <c r="A2590" s="151" t="s">
        <v>4558</v>
      </c>
    </row>
    <row r="2591" spans="1:1">
      <c r="A2591" s="151" t="s">
        <v>4559</v>
      </c>
    </row>
    <row r="2592" spans="1:1">
      <c r="A2592" s="151" t="s">
        <v>4560</v>
      </c>
    </row>
    <row r="2593" spans="1:1">
      <c r="A2593" s="151" t="s">
        <v>4561</v>
      </c>
    </row>
    <row r="2594" spans="1:1">
      <c r="A2594" s="151" t="s">
        <v>4562</v>
      </c>
    </row>
    <row r="2595" spans="1:1">
      <c r="A2595" s="151" t="s">
        <v>4563</v>
      </c>
    </row>
    <row r="2596" spans="1:1">
      <c r="A2596" s="151" t="s">
        <v>4564</v>
      </c>
    </row>
    <row r="2597" spans="1:1">
      <c r="A2597" s="151" t="s">
        <v>4565</v>
      </c>
    </row>
    <row r="2598" spans="1:1">
      <c r="A2598" s="151" t="s">
        <v>4566</v>
      </c>
    </row>
    <row r="2599" spans="1:1">
      <c r="A2599" s="151" t="s">
        <v>4567</v>
      </c>
    </row>
    <row r="2600" spans="1:1">
      <c r="A2600" s="151" t="s">
        <v>4568</v>
      </c>
    </row>
    <row r="2601" spans="1:1">
      <c r="A2601" s="151" t="s">
        <v>4569</v>
      </c>
    </row>
    <row r="2602" spans="1:1">
      <c r="A2602" s="151" t="s">
        <v>4570</v>
      </c>
    </row>
    <row r="2603" spans="1:1">
      <c r="A2603" s="151" t="s">
        <v>4571</v>
      </c>
    </row>
    <row r="2604" spans="1:1">
      <c r="A2604" s="151" t="s">
        <v>4572</v>
      </c>
    </row>
    <row r="2605" spans="1:1">
      <c r="A2605" s="151" t="s">
        <v>4573</v>
      </c>
    </row>
    <row r="2606" spans="1:1">
      <c r="A2606" s="151" t="s">
        <v>4574</v>
      </c>
    </row>
    <row r="2607" spans="1:1">
      <c r="A2607" s="151" t="s">
        <v>4575</v>
      </c>
    </row>
    <row r="2608" spans="1:1">
      <c r="A2608" s="151" t="s">
        <v>4576</v>
      </c>
    </row>
    <row r="2609" spans="1:1">
      <c r="A2609" s="151" t="s">
        <v>4577</v>
      </c>
    </row>
    <row r="2610" spans="1:1">
      <c r="A2610" s="151" t="s">
        <v>4578</v>
      </c>
    </row>
    <row r="2611" spans="1:1">
      <c r="A2611" s="151" t="s">
        <v>4579</v>
      </c>
    </row>
    <row r="2612" spans="1:1">
      <c r="A2612" s="151" t="s">
        <v>4580</v>
      </c>
    </row>
    <row r="2613" spans="1:1">
      <c r="A2613" s="151" t="s">
        <v>4581</v>
      </c>
    </row>
    <row r="2614" spans="1:1">
      <c r="A2614" s="151" t="s">
        <v>4582</v>
      </c>
    </row>
    <row r="2615" spans="1:1">
      <c r="A2615" s="151" t="s">
        <v>4583</v>
      </c>
    </row>
    <row r="2616" spans="1:1">
      <c r="A2616" s="151" t="s">
        <v>4584</v>
      </c>
    </row>
    <row r="2617" spans="1:1">
      <c r="A2617" s="151" t="s">
        <v>4585</v>
      </c>
    </row>
    <row r="2618" spans="1:1">
      <c r="A2618" s="151" t="s">
        <v>4586</v>
      </c>
    </row>
    <row r="2619" spans="1:1">
      <c r="A2619" s="151" t="s">
        <v>4587</v>
      </c>
    </row>
    <row r="2620" spans="1:1">
      <c r="A2620" s="151" t="s">
        <v>4588</v>
      </c>
    </row>
    <row r="2621" spans="1:1">
      <c r="A2621" s="151" t="s">
        <v>4589</v>
      </c>
    </row>
    <row r="2622" spans="1:1">
      <c r="A2622" s="151" t="s">
        <v>4590</v>
      </c>
    </row>
    <row r="2623" spans="1:1">
      <c r="A2623" s="151" t="s">
        <v>4591</v>
      </c>
    </row>
    <row r="2624" spans="1:1">
      <c r="A2624" s="151" t="s">
        <v>4592</v>
      </c>
    </row>
    <row r="2625" spans="1:1">
      <c r="A2625" s="151" t="s">
        <v>4593</v>
      </c>
    </row>
    <row r="2626" spans="1:1">
      <c r="A2626" s="151" t="s">
        <v>4594</v>
      </c>
    </row>
    <row r="2627" spans="1:1">
      <c r="A2627" s="151" t="s">
        <v>4595</v>
      </c>
    </row>
    <row r="2628" spans="1:1">
      <c r="A2628" s="151" t="s">
        <v>4596</v>
      </c>
    </row>
    <row r="2629" spans="1:1">
      <c r="A2629" s="151" t="s">
        <v>4597</v>
      </c>
    </row>
    <row r="2630" spans="1:1">
      <c r="A2630" s="151" t="s">
        <v>4598</v>
      </c>
    </row>
    <row r="2631" spans="1:1">
      <c r="A2631" s="151" t="s">
        <v>4599</v>
      </c>
    </row>
    <row r="2632" spans="1:1">
      <c r="A2632" s="151" t="s">
        <v>4600</v>
      </c>
    </row>
    <row r="2633" spans="1:1">
      <c r="A2633" s="151" t="s">
        <v>4601</v>
      </c>
    </row>
    <row r="2634" spans="1:1">
      <c r="A2634" s="151" t="s">
        <v>4602</v>
      </c>
    </row>
    <row r="2635" spans="1:1">
      <c r="A2635" s="151" t="s">
        <v>4603</v>
      </c>
    </row>
    <row r="2636" spans="1:1">
      <c r="A2636" s="151" t="s">
        <v>4604</v>
      </c>
    </row>
    <row r="2637" spans="1:1">
      <c r="A2637" s="151" t="s">
        <v>4605</v>
      </c>
    </row>
    <row r="2638" spans="1:1">
      <c r="A2638" s="151" t="s">
        <v>4606</v>
      </c>
    </row>
    <row r="2639" spans="1:1">
      <c r="A2639" s="151" t="s">
        <v>4607</v>
      </c>
    </row>
    <row r="2640" spans="1:1">
      <c r="A2640" s="151" t="s">
        <v>4608</v>
      </c>
    </row>
    <row r="2641" spans="1:1">
      <c r="A2641" s="151" t="s">
        <v>4609</v>
      </c>
    </row>
    <row r="2642" spans="1:1">
      <c r="A2642" s="151" t="s">
        <v>4610</v>
      </c>
    </row>
    <row r="2643" spans="1:1">
      <c r="A2643" s="151" t="s">
        <v>4611</v>
      </c>
    </row>
    <row r="2644" spans="1:1">
      <c r="A2644" s="151" t="s">
        <v>4612</v>
      </c>
    </row>
    <row r="2645" spans="1:1">
      <c r="A2645" s="151" t="s">
        <v>4613</v>
      </c>
    </row>
    <row r="2646" spans="1:1">
      <c r="A2646" s="151" t="s">
        <v>4614</v>
      </c>
    </row>
    <row r="2647" spans="1:1">
      <c r="A2647" s="151" t="s">
        <v>4615</v>
      </c>
    </row>
    <row r="2648" spans="1:1">
      <c r="A2648" s="151" t="s">
        <v>4616</v>
      </c>
    </row>
    <row r="2649" spans="1:1">
      <c r="A2649" s="151" t="s">
        <v>4617</v>
      </c>
    </row>
    <row r="2650" spans="1:1">
      <c r="A2650" s="151" t="s">
        <v>4618</v>
      </c>
    </row>
    <row r="2651" spans="1:1">
      <c r="A2651" s="151" t="s">
        <v>4619</v>
      </c>
    </row>
    <row r="2652" spans="1:1">
      <c r="A2652" s="151" t="s">
        <v>4620</v>
      </c>
    </row>
    <row r="2653" spans="1:1">
      <c r="A2653" s="151" t="s">
        <v>4621</v>
      </c>
    </row>
    <row r="2654" spans="1:1">
      <c r="A2654" s="151" t="s">
        <v>4622</v>
      </c>
    </row>
    <row r="2655" spans="1:1">
      <c r="A2655" s="151" t="s">
        <v>4623</v>
      </c>
    </row>
    <row r="2656" spans="1:1">
      <c r="A2656" s="151" t="s">
        <v>4624</v>
      </c>
    </row>
    <row r="2657" spans="1:1">
      <c r="A2657" s="151" t="s">
        <v>4625</v>
      </c>
    </row>
    <row r="2658" spans="1:1">
      <c r="A2658" s="151" t="s">
        <v>4626</v>
      </c>
    </row>
    <row r="2659" spans="1:1">
      <c r="A2659" s="151" t="s">
        <v>4627</v>
      </c>
    </row>
    <row r="2660" spans="1:1">
      <c r="A2660" s="151" t="s">
        <v>4628</v>
      </c>
    </row>
    <row r="2661" spans="1:1">
      <c r="A2661" s="151" t="s">
        <v>4629</v>
      </c>
    </row>
    <row r="2662" spans="1:1">
      <c r="A2662" s="151" t="s">
        <v>4630</v>
      </c>
    </row>
    <row r="2663" spans="1:1">
      <c r="A2663" s="151" t="s">
        <v>4631</v>
      </c>
    </row>
    <row r="2664" spans="1:1">
      <c r="A2664" s="151" t="s">
        <v>4632</v>
      </c>
    </row>
    <row r="2665" spans="1:1">
      <c r="A2665" s="151" t="s">
        <v>4633</v>
      </c>
    </row>
    <row r="2666" spans="1:1">
      <c r="A2666" s="151" t="s">
        <v>4634</v>
      </c>
    </row>
    <row r="2667" spans="1:1">
      <c r="A2667" s="151" t="s">
        <v>4635</v>
      </c>
    </row>
    <row r="2668" spans="1:1">
      <c r="A2668" s="151" t="s">
        <v>4636</v>
      </c>
    </row>
    <row r="2669" spans="1:1">
      <c r="A2669" s="151" t="s">
        <v>4637</v>
      </c>
    </row>
    <row r="2670" spans="1:1">
      <c r="A2670" s="151" t="s">
        <v>4638</v>
      </c>
    </row>
    <row r="2671" spans="1:1">
      <c r="A2671" s="151" t="s">
        <v>4639</v>
      </c>
    </row>
    <row r="2672" spans="1:1">
      <c r="A2672" s="151" t="s">
        <v>4640</v>
      </c>
    </row>
    <row r="2673" spans="1:1">
      <c r="A2673" s="151" t="s">
        <v>4641</v>
      </c>
    </row>
    <row r="2674" spans="1:1">
      <c r="A2674" s="151" t="s">
        <v>4642</v>
      </c>
    </row>
    <row r="2675" spans="1:1">
      <c r="A2675" s="151" t="s">
        <v>4643</v>
      </c>
    </row>
    <row r="2676" spans="1:1">
      <c r="A2676" s="151" t="s">
        <v>4644</v>
      </c>
    </row>
    <row r="2677" spans="1:1">
      <c r="A2677" s="151" t="s">
        <v>4645</v>
      </c>
    </row>
    <row r="2678" spans="1:1">
      <c r="A2678" s="151" t="s">
        <v>4646</v>
      </c>
    </row>
    <row r="2679" spans="1:1">
      <c r="A2679" s="151" t="s">
        <v>4647</v>
      </c>
    </row>
    <row r="2680" spans="1:1">
      <c r="A2680" s="151" t="s">
        <v>4648</v>
      </c>
    </row>
    <row r="2681" spans="1:1">
      <c r="A2681" s="151" t="s">
        <v>4649</v>
      </c>
    </row>
    <row r="2682" spans="1:1">
      <c r="A2682" s="151" t="s">
        <v>4650</v>
      </c>
    </row>
    <row r="2683" spans="1:1">
      <c r="A2683" s="151" t="s">
        <v>4651</v>
      </c>
    </row>
    <row r="2684" spans="1:1">
      <c r="A2684" s="151" t="s">
        <v>4652</v>
      </c>
    </row>
    <row r="2685" spans="1:1">
      <c r="A2685" s="151" t="s">
        <v>4653</v>
      </c>
    </row>
    <row r="2686" spans="1:1">
      <c r="A2686" s="151" t="s">
        <v>4654</v>
      </c>
    </row>
    <row r="2687" spans="1:1">
      <c r="A2687" s="151" t="s">
        <v>4655</v>
      </c>
    </row>
    <row r="2688" spans="1:1">
      <c r="A2688" s="151" t="s">
        <v>4656</v>
      </c>
    </row>
    <row r="2689" spans="1:1">
      <c r="A2689" s="151" t="s">
        <v>4657</v>
      </c>
    </row>
    <row r="2690" spans="1:1">
      <c r="A2690" s="151" t="s">
        <v>4658</v>
      </c>
    </row>
    <row r="2691" spans="1:1">
      <c r="A2691" s="151" t="s">
        <v>4659</v>
      </c>
    </row>
    <row r="2692" spans="1:1">
      <c r="A2692" s="151" t="s">
        <v>4660</v>
      </c>
    </row>
    <row r="2693" spans="1:1">
      <c r="A2693" s="151" t="s">
        <v>4661</v>
      </c>
    </row>
    <row r="2694" spans="1:1">
      <c r="A2694" s="151" t="s">
        <v>4662</v>
      </c>
    </row>
    <row r="2695" spans="1:1">
      <c r="A2695" s="151" t="s">
        <v>4663</v>
      </c>
    </row>
    <row r="2696" spans="1:1">
      <c r="A2696" s="151" t="s">
        <v>4664</v>
      </c>
    </row>
    <row r="2697" spans="1:1">
      <c r="A2697" s="151" t="s">
        <v>4665</v>
      </c>
    </row>
    <row r="2698" spans="1:1">
      <c r="A2698" s="151" t="s">
        <v>4666</v>
      </c>
    </row>
    <row r="2699" spans="1:1">
      <c r="A2699" s="151" t="s">
        <v>4667</v>
      </c>
    </row>
    <row r="2700" spans="1:1">
      <c r="A2700" s="151" t="s">
        <v>4668</v>
      </c>
    </row>
    <row r="2701" spans="1:1">
      <c r="A2701" s="151" t="s">
        <v>4669</v>
      </c>
    </row>
    <row r="2702" spans="1:1">
      <c r="A2702" s="151" t="s">
        <v>4670</v>
      </c>
    </row>
    <row r="2703" spans="1:1">
      <c r="A2703" s="151" t="s">
        <v>4671</v>
      </c>
    </row>
    <row r="2704" spans="1:1">
      <c r="A2704" s="151" t="s">
        <v>4672</v>
      </c>
    </row>
    <row r="2705" spans="1:1">
      <c r="A2705" s="151" t="s">
        <v>4673</v>
      </c>
    </row>
    <row r="2706" spans="1:1">
      <c r="A2706" s="151" t="s">
        <v>4674</v>
      </c>
    </row>
    <row r="2707" spans="1:1">
      <c r="A2707" s="151" t="s">
        <v>4675</v>
      </c>
    </row>
    <row r="2708" spans="1:1">
      <c r="A2708" s="151" t="s">
        <v>4676</v>
      </c>
    </row>
    <row r="2709" spans="1:1">
      <c r="A2709" s="151" t="s">
        <v>4677</v>
      </c>
    </row>
    <row r="2710" spans="1:1">
      <c r="A2710" s="151" t="s">
        <v>4678</v>
      </c>
    </row>
    <row r="2711" spans="1:1">
      <c r="A2711" s="151" t="s">
        <v>4679</v>
      </c>
    </row>
    <row r="2712" spans="1:1">
      <c r="A2712" s="151" t="s">
        <v>4680</v>
      </c>
    </row>
    <row r="2713" spans="1:1">
      <c r="A2713" s="151" t="s">
        <v>4681</v>
      </c>
    </row>
    <row r="2714" spans="1:1">
      <c r="A2714" s="151" t="s">
        <v>4682</v>
      </c>
    </row>
    <row r="2715" spans="1:1">
      <c r="A2715" s="151" t="s">
        <v>4683</v>
      </c>
    </row>
    <row r="2716" spans="1:1">
      <c r="A2716" s="151" t="s">
        <v>4684</v>
      </c>
    </row>
    <row r="2717" spans="1:1">
      <c r="A2717" s="151" t="s">
        <v>4685</v>
      </c>
    </row>
    <row r="2718" spans="1:1">
      <c r="A2718" s="151" t="s">
        <v>4686</v>
      </c>
    </row>
    <row r="2719" spans="1:1">
      <c r="A2719" s="151" t="s">
        <v>4687</v>
      </c>
    </row>
    <row r="2720" spans="1:1">
      <c r="A2720" s="151" t="s">
        <v>4688</v>
      </c>
    </row>
    <row r="2721" spans="1:1">
      <c r="A2721" s="151" t="s">
        <v>4689</v>
      </c>
    </row>
    <row r="2722" spans="1:1">
      <c r="A2722" s="151" t="s">
        <v>4690</v>
      </c>
    </row>
    <row r="2723" spans="1:1">
      <c r="A2723" s="151" t="s">
        <v>4691</v>
      </c>
    </row>
    <row r="2724" spans="1:1">
      <c r="A2724" s="151" t="s">
        <v>4692</v>
      </c>
    </row>
    <row r="2725" spans="1:1">
      <c r="A2725" s="151" t="s">
        <v>4693</v>
      </c>
    </row>
    <row r="2726" spans="1:1">
      <c r="A2726" s="151" t="s">
        <v>4694</v>
      </c>
    </row>
    <row r="2727" spans="1:1">
      <c r="A2727" s="151" t="s">
        <v>4695</v>
      </c>
    </row>
    <row r="2728" spans="1:1">
      <c r="A2728" s="151" t="s">
        <v>4696</v>
      </c>
    </row>
    <row r="2729" spans="1:1">
      <c r="A2729" s="151" t="s">
        <v>4697</v>
      </c>
    </row>
    <row r="2730" spans="1:1">
      <c r="A2730" s="151" t="s">
        <v>4698</v>
      </c>
    </row>
    <row r="2731" spans="1:1">
      <c r="A2731" s="151" t="s">
        <v>4699</v>
      </c>
    </row>
    <row r="2732" spans="1:1">
      <c r="A2732" s="151" t="s">
        <v>4700</v>
      </c>
    </row>
    <row r="2733" spans="1:1">
      <c r="A2733" s="151" t="s">
        <v>4701</v>
      </c>
    </row>
    <row r="2734" spans="1:1">
      <c r="A2734" s="151" t="s">
        <v>4702</v>
      </c>
    </row>
    <row r="2735" spans="1:1">
      <c r="A2735" s="151" t="s">
        <v>4703</v>
      </c>
    </row>
    <row r="2736" spans="1:1">
      <c r="A2736" s="151" t="s">
        <v>4704</v>
      </c>
    </row>
    <row r="2737" spans="1:1">
      <c r="A2737" s="151" t="s">
        <v>4705</v>
      </c>
    </row>
    <row r="2738" spans="1:1">
      <c r="A2738" s="151" t="s">
        <v>4706</v>
      </c>
    </row>
    <row r="2739" spans="1:1">
      <c r="A2739" s="151" t="s">
        <v>4707</v>
      </c>
    </row>
    <row r="2740" spans="1:1">
      <c r="A2740" s="151" t="s">
        <v>4708</v>
      </c>
    </row>
    <row r="2741" spans="1:1">
      <c r="A2741" s="151" t="s">
        <v>4709</v>
      </c>
    </row>
    <row r="2742" spans="1:1">
      <c r="A2742" s="151" t="s">
        <v>4710</v>
      </c>
    </row>
    <row r="2743" spans="1:1">
      <c r="A2743" s="151" t="s">
        <v>4711</v>
      </c>
    </row>
    <row r="2744" spans="1:1">
      <c r="A2744" s="151" t="s">
        <v>4712</v>
      </c>
    </row>
    <row r="2745" spans="1:1">
      <c r="A2745" s="151" t="s">
        <v>4713</v>
      </c>
    </row>
    <row r="2746" spans="1:1">
      <c r="A2746" s="151" t="s">
        <v>4714</v>
      </c>
    </row>
    <row r="2747" spans="1:1">
      <c r="A2747" s="151" t="s">
        <v>4715</v>
      </c>
    </row>
    <row r="2748" spans="1:1">
      <c r="A2748" s="151" t="s">
        <v>4716</v>
      </c>
    </row>
    <row r="2749" spans="1:1">
      <c r="A2749" s="151" t="s">
        <v>4717</v>
      </c>
    </row>
    <row r="2750" spans="1:1">
      <c r="A2750" s="151" t="s">
        <v>4718</v>
      </c>
    </row>
    <row r="2751" spans="1:1">
      <c r="A2751" s="151" t="s">
        <v>4719</v>
      </c>
    </row>
    <row r="2752" spans="1:1">
      <c r="A2752" s="151" t="s">
        <v>4720</v>
      </c>
    </row>
    <row r="2753" spans="1:1">
      <c r="A2753" s="151" t="s">
        <v>4721</v>
      </c>
    </row>
    <row r="2754" spans="1:1">
      <c r="A2754" s="151" t="s">
        <v>4722</v>
      </c>
    </row>
    <row r="2755" spans="1:1">
      <c r="A2755" s="151" t="s">
        <v>4723</v>
      </c>
    </row>
    <row r="2756" spans="1:1">
      <c r="A2756" s="151" t="s">
        <v>4724</v>
      </c>
    </row>
    <row r="2757" spans="1:1">
      <c r="A2757" s="151" t="s">
        <v>4725</v>
      </c>
    </row>
    <row r="2758" spans="1:1">
      <c r="A2758" s="151" t="s">
        <v>4726</v>
      </c>
    </row>
    <row r="2759" spans="1:1">
      <c r="A2759" s="151" t="s">
        <v>4727</v>
      </c>
    </row>
    <row r="2760" spans="1:1">
      <c r="A2760" s="151" t="s">
        <v>4728</v>
      </c>
    </row>
    <row r="2761" spans="1:1">
      <c r="A2761" s="151" t="s">
        <v>4729</v>
      </c>
    </row>
    <row r="2762" spans="1:1">
      <c r="A2762" s="151" t="s">
        <v>4730</v>
      </c>
    </row>
    <row r="2763" spans="1:1">
      <c r="A2763" s="151" t="s">
        <v>4731</v>
      </c>
    </row>
    <row r="2764" spans="1:1">
      <c r="A2764" s="151" t="s">
        <v>4732</v>
      </c>
    </row>
    <row r="2765" spans="1:1">
      <c r="A2765" s="151" t="s">
        <v>4733</v>
      </c>
    </row>
    <row r="2766" spans="1:1">
      <c r="A2766" s="151" t="s">
        <v>4734</v>
      </c>
    </row>
    <row r="2767" spans="1:1">
      <c r="A2767" s="151" t="s">
        <v>4735</v>
      </c>
    </row>
    <row r="2768" spans="1:1">
      <c r="A2768" s="151" t="s">
        <v>4736</v>
      </c>
    </row>
    <row r="2769" spans="1:1">
      <c r="A2769" s="151" t="s">
        <v>4737</v>
      </c>
    </row>
    <row r="2770" spans="1:1">
      <c r="A2770" s="151" t="s">
        <v>4738</v>
      </c>
    </row>
    <row r="2771" spans="1:1">
      <c r="A2771" s="151" t="s">
        <v>4739</v>
      </c>
    </row>
    <row r="2772" spans="1:1">
      <c r="A2772" s="151" t="s">
        <v>4740</v>
      </c>
    </row>
    <row r="2773" spans="1:1">
      <c r="A2773" s="151" t="s">
        <v>4741</v>
      </c>
    </row>
    <row r="2774" spans="1:1">
      <c r="A2774" s="151" t="s">
        <v>4742</v>
      </c>
    </row>
    <row r="2775" spans="1:1">
      <c r="A2775" s="151" t="s">
        <v>4743</v>
      </c>
    </row>
    <row r="2776" spans="1:1">
      <c r="A2776" s="151" t="s">
        <v>4744</v>
      </c>
    </row>
    <row r="2777" spans="1:1">
      <c r="A2777" s="151" t="s">
        <v>4745</v>
      </c>
    </row>
    <row r="2778" spans="1:1">
      <c r="A2778" s="151" t="s">
        <v>4746</v>
      </c>
    </row>
    <row r="2779" spans="1:1">
      <c r="A2779" s="151" t="s">
        <v>4747</v>
      </c>
    </row>
    <row r="2780" spans="1:1">
      <c r="A2780" s="151" t="s">
        <v>4748</v>
      </c>
    </row>
    <row r="2781" spans="1:1">
      <c r="A2781" s="151" t="s">
        <v>4749</v>
      </c>
    </row>
    <row r="2782" spans="1:1">
      <c r="A2782" s="151" t="s">
        <v>4750</v>
      </c>
    </row>
    <row r="2783" spans="1:1">
      <c r="A2783" s="151" t="s">
        <v>4751</v>
      </c>
    </row>
    <row r="2784" spans="1:1">
      <c r="A2784" s="151" t="s">
        <v>4752</v>
      </c>
    </row>
    <row r="2785" spans="1:1">
      <c r="A2785" s="151" t="s">
        <v>4753</v>
      </c>
    </row>
    <row r="2786" spans="1:1">
      <c r="A2786" s="151" t="s">
        <v>4754</v>
      </c>
    </row>
    <row r="2787" spans="1:1">
      <c r="A2787" s="151" t="s">
        <v>4755</v>
      </c>
    </row>
    <row r="2788" spans="1:1">
      <c r="A2788" s="151" t="s">
        <v>4756</v>
      </c>
    </row>
    <row r="2789" spans="1:1">
      <c r="A2789" s="151" t="s">
        <v>4757</v>
      </c>
    </row>
    <row r="2790" spans="1:1">
      <c r="A2790" s="151" t="s">
        <v>4758</v>
      </c>
    </row>
    <row r="2791" spans="1:1">
      <c r="A2791" s="151" t="s">
        <v>4759</v>
      </c>
    </row>
    <row r="2792" spans="1:1">
      <c r="A2792" s="151" t="s">
        <v>4760</v>
      </c>
    </row>
    <row r="2793" spans="1:1">
      <c r="A2793" s="151" t="s">
        <v>4761</v>
      </c>
    </row>
    <row r="2794" spans="1:1">
      <c r="A2794" s="151" t="s">
        <v>4762</v>
      </c>
    </row>
    <row r="2795" spans="1:1">
      <c r="A2795" s="151" t="s">
        <v>4763</v>
      </c>
    </row>
    <row r="2796" spans="1:1">
      <c r="A2796" s="151" t="s">
        <v>4764</v>
      </c>
    </row>
    <row r="2797" spans="1:1">
      <c r="A2797" s="151" t="s">
        <v>4765</v>
      </c>
    </row>
    <row r="2798" spans="1:1">
      <c r="A2798" s="151" t="s">
        <v>4766</v>
      </c>
    </row>
    <row r="2799" spans="1:1">
      <c r="A2799" s="151" t="s">
        <v>4767</v>
      </c>
    </row>
    <row r="2800" spans="1:1">
      <c r="A2800" s="151" t="s">
        <v>4768</v>
      </c>
    </row>
    <row r="2801" spans="1:1">
      <c r="A2801" s="151" t="s">
        <v>4769</v>
      </c>
    </row>
    <row r="2802" spans="1:1">
      <c r="A2802" s="151" t="s">
        <v>4770</v>
      </c>
    </row>
    <row r="2803" spans="1:1">
      <c r="A2803" s="151" t="s">
        <v>4771</v>
      </c>
    </row>
    <row r="2804" spans="1:1">
      <c r="A2804" s="151" t="s">
        <v>4772</v>
      </c>
    </row>
    <row r="2805" spans="1:1">
      <c r="A2805" s="151" t="s">
        <v>4773</v>
      </c>
    </row>
    <row r="2806" spans="1:1">
      <c r="A2806" s="151" t="s">
        <v>4774</v>
      </c>
    </row>
    <row r="2807" spans="1:1">
      <c r="A2807" s="151" t="s">
        <v>4775</v>
      </c>
    </row>
    <row r="2808" spans="1:1">
      <c r="A2808" s="151" t="s">
        <v>4776</v>
      </c>
    </row>
    <row r="2809" spans="1:1">
      <c r="A2809" s="151" t="s">
        <v>4777</v>
      </c>
    </row>
    <row r="2810" spans="1:1">
      <c r="A2810" s="151" t="s">
        <v>4778</v>
      </c>
    </row>
    <row r="2811" spans="1:1">
      <c r="A2811" s="151" t="s">
        <v>4779</v>
      </c>
    </row>
    <row r="2812" spans="1:1">
      <c r="A2812" s="151" t="s">
        <v>4780</v>
      </c>
    </row>
    <row r="2813" spans="1:1">
      <c r="A2813" s="151" t="s">
        <v>4781</v>
      </c>
    </row>
    <row r="2814" spans="1:1">
      <c r="A2814" s="151" t="s">
        <v>4782</v>
      </c>
    </row>
    <row r="2815" spans="1:1">
      <c r="A2815" s="151" t="s">
        <v>4783</v>
      </c>
    </row>
    <row r="2816" spans="1:1">
      <c r="A2816" s="151" t="s">
        <v>4784</v>
      </c>
    </row>
    <row r="2817" spans="1:1">
      <c r="A2817" s="151" t="s">
        <v>4785</v>
      </c>
    </row>
    <row r="2818" spans="1:1">
      <c r="A2818" s="151" t="s">
        <v>4786</v>
      </c>
    </row>
    <row r="2819" spans="1:1">
      <c r="A2819" s="151" t="s">
        <v>4787</v>
      </c>
    </row>
    <row r="2820" spans="1:1">
      <c r="A2820" s="151" t="s">
        <v>4788</v>
      </c>
    </row>
    <row r="2821" spans="1:1">
      <c r="A2821" s="151" t="s">
        <v>4789</v>
      </c>
    </row>
    <row r="2822" spans="1:1">
      <c r="A2822" s="151" t="s">
        <v>4790</v>
      </c>
    </row>
    <row r="2823" spans="1:1">
      <c r="A2823" s="151" t="s">
        <v>4791</v>
      </c>
    </row>
    <row r="2824" spans="1:1">
      <c r="A2824" s="151" t="s">
        <v>4792</v>
      </c>
    </row>
    <row r="2825" spans="1:1">
      <c r="A2825" s="151" t="s">
        <v>4793</v>
      </c>
    </row>
    <row r="2826" spans="1:1">
      <c r="A2826" s="151" t="s">
        <v>4794</v>
      </c>
    </row>
    <row r="2827" spans="1:1">
      <c r="A2827" s="151" t="s">
        <v>4795</v>
      </c>
    </row>
    <row r="2828" spans="1:1">
      <c r="A2828" s="151" t="s">
        <v>4796</v>
      </c>
    </row>
    <row r="2829" spans="1:1">
      <c r="A2829" s="151" t="s">
        <v>4797</v>
      </c>
    </row>
    <row r="2830" spans="1:1">
      <c r="A2830" s="151" t="s">
        <v>4798</v>
      </c>
    </row>
    <row r="2831" spans="1:1">
      <c r="A2831" s="151" t="s">
        <v>4799</v>
      </c>
    </row>
    <row r="2832" spans="1:1">
      <c r="A2832" s="151" t="s">
        <v>4800</v>
      </c>
    </row>
    <row r="2833" spans="1:1">
      <c r="A2833" s="151" t="s">
        <v>4801</v>
      </c>
    </row>
    <row r="2834" spans="1:1">
      <c r="A2834" s="151" t="s">
        <v>4802</v>
      </c>
    </row>
    <row r="2835" spans="1:1">
      <c r="A2835" s="151" t="s">
        <v>4803</v>
      </c>
    </row>
    <row r="2836" spans="1:1">
      <c r="A2836" s="151" t="s">
        <v>4804</v>
      </c>
    </row>
    <row r="2837" spans="1:1">
      <c r="A2837" s="151" t="s">
        <v>4805</v>
      </c>
    </row>
    <row r="2838" spans="1:1">
      <c r="A2838" s="151" t="s">
        <v>4806</v>
      </c>
    </row>
    <row r="2839" spans="1:1">
      <c r="A2839" s="151" t="s">
        <v>4807</v>
      </c>
    </row>
    <row r="2840" spans="1:1">
      <c r="A2840" s="151" t="s">
        <v>4808</v>
      </c>
    </row>
    <row r="2841" spans="1:1">
      <c r="A2841" s="151" t="s">
        <v>4809</v>
      </c>
    </row>
    <row r="2842" spans="1:1">
      <c r="A2842" s="151" t="s">
        <v>4810</v>
      </c>
    </row>
    <row r="2843" spans="1:1">
      <c r="A2843" s="151" t="s">
        <v>4811</v>
      </c>
    </row>
    <row r="2844" spans="1:1">
      <c r="A2844" s="151" t="s">
        <v>4812</v>
      </c>
    </row>
    <row r="2845" spans="1:1">
      <c r="A2845" s="151" t="s">
        <v>4813</v>
      </c>
    </row>
    <row r="2846" spans="1:1">
      <c r="A2846" s="151" t="s">
        <v>4814</v>
      </c>
    </row>
    <row r="2847" spans="1:1">
      <c r="A2847" s="151" t="s">
        <v>4815</v>
      </c>
    </row>
    <row r="2848" spans="1:1">
      <c r="A2848" s="151" t="s">
        <v>4816</v>
      </c>
    </row>
    <row r="2849" spans="1:1">
      <c r="A2849" s="151" t="s">
        <v>4817</v>
      </c>
    </row>
    <row r="2850" spans="1:1">
      <c r="A2850" s="151" t="s">
        <v>4818</v>
      </c>
    </row>
    <row r="2851" spans="1:1">
      <c r="A2851" s="151" t="s">
        <v>4819</v>
      </c>
    </row>
    <row r="2852" spans="1:1">
      <c r="A2852" s="151" t="s">
        <v>4820</v>
      </c>
    </row>
    <row r="2853" spans="1:1">
      <c r="A2853" s="151" t="s">
        <v>4821</v>
      </c>
    </row>
    <row r="2854" spans="1:1">
      <c r="A2854" s="151" t="s">
        <v>4822</v>
      </c>
    </row>
    <row r="2855" spans="1:1">
      <c r="A2855" s="151" t="s">
        <v>4823</v>
      </c>
    </row>
    <row r="2856" spans="1:1">
      <c r="A2856" s="151" t="s">
        <v>4824</v>
      </c>
    </row>
    <row r="2857" spans="1:1">
      <c r="A2857" s="151" t="s">
        <v>4825</v>
      </c>
    </row>
    <row r="2858" spans="1:1">
      <c r="A2858" s="151" t="s">
        <v>4826</v>
      </c>
    </row>
    <row r="2859" spans="1:1">
      <c r="A2859" s="151" t="s">
        <v>4827</v>
      </c>
    </row>
    <row r="2860" spans="1:1">
      <c r="A2860" s="151" t="s">
        <v>4828</v>
      </c>
    </row>
    <row r="2861" spans="1:1">
      <c r="A2861" s="151" t="s">
        <v>4829</v>
      </c>
    </row>
    <row r="2862" spans="1:1">
      <c r="A2862" s="151" t="s">
        <v>4830</v>
      </c>
    </row>
    <row r="2863" spans="1:1">
      <c r="A2863" s="151" t="s">
        <v>4831</v>
      </c>
    </row>
    <row r="2864" spans="1:1">
      <c r="A2864" s="151" t="s">
        <v>4832</v>
      </c>
    </row>
    <row r="2865" spans="1:1">
      <c r="A2865" s="151" t="s">
        <v>4833</v>
      </c>
    </row>
    <row r="2866" spans="1:1">
      <c r="A2866" s="151" t="s">
        <v>4834</v>
      </c>
    </row>
    <row r="2867" spans="1:1">
      <c r="A2867" s="151" t="s">
        <v>4835</v>
      </c>
    </row>
    <row r="2868" spans="1:1">
      <c r="A2868" s="151" t="s">
        <v>4836</v>
      </c>
    </row>
    <row r="2869" spans="1:1">
      <c r="A2869" s="151" t="s">
        <v>4837</v>
      </c>
    </row>
    <row r="2870" spans="1:1">
      <c r="A2870" s="151" t="s">
        <v>4838</v>
      </c>
    </row>
    <row r="2871" spans="1:1">
      <c r="A2871" s="151" t="s">
        <v>4839</v>
      </c>
    </row>
    <row r="2872" spans="1:1">
      <c r="A2872" s="151" t="s">
        <v>4840</v>
      </c>
    </row>
    <row r="2873" spans="1:1">
      <c r="A2873" s="151" t="s">
        <v>4841</v>
      </c>
    </row>
    <row r="2874" spans="1:1">
      <c r="A2874" s="151" t="s">
        <v>4842</v>
      </c>
    </row>
    <row r="2875" spans="1:1">
      <c r="A2875" s="151" t="s">
        <v>4843</v>
      </c>
    </row>
    <row r="2876" spans="1:1">
      <c r="A2876" s="151" t="s">
        <v>4844</v>
      </c>
    </row>
    <row r="2877" spans="1:1">
      <c r="A2877" s="151" t="s">
        <v>4845</v>
      </c>
    </row>
    <row r="2878" spans="1:1">
      <c r="A2878" s="151" t="s">
        <v>4846</v>
      </c>
    </row>
    <row r="2879" spans="1:1">
      <c r="A2879" s="151" t="s">
        <v>4847</v>
      </c>
    </row>
    <row r="2880" spans="1:1">
      <c r="A2880" s="151" t="s">
        <v>4848</v>
      </c>
    </row>
    <row r="2881" spans="1:1">
      <c r="A2881" s="151" t="s">
        <v>4849</v>
      </c>
    </row>
    <row r="2882" spans="1:1">
      <c r="A2882" s="151" t="s">
        <v>4850</v>
      </c>
    </row>
    <row r="2883" spans="1:1">
      <c r="A2883" s="151" t="s">
        <v>4851</v>
      </c>
    </row>
    <row r="2884" spans="1:1">
      <c r="A2884" s="151" t="s">
        <v>4852</v>
      </c>
    </row>
    <row r="2885" spans="1:1">
      <c r="A2885" s="151" t="s">
        <v>4853</v>
      </c>
    </row>
    <row r="2886" spans="1:1">
      <c r="A2886" s="151" t="s">
        <v>4854</v>
      </c>
    </row>
    <row r="2887" spans="1:1">
      <c r="A2887" s="151" t="s">
        <v>4855</v>
      </c>
    </row>
    <row r="2888" spans="1:1">
      <c r="A2888" s="151" t="s">
        <v>4856</v>
      </c>
    </row>
    <row r="2889" spans="1:1">
      <c r="A2889" s="151" t="s">
        <v>4857</v>
      </c>
    </row>
    <row r="2890" spans="1:1">
      <c r="A2890" s="151" t="s">
        <v>4858</v>
      </c>
    </row>
    <row r="2891" spans="1:1">
      <c r="A2891" s="151" t="s">
        <v>4859</v>
      </c>
    </row>
    <row r="2892" spans="1:1">
      <c r="A2892" s="151" t="s">
        <v>4860</v>
      </c>
    </row>
    <row r="2893" spans="1:1">
      <c r="A2893" s="151" t="s">
        <v>4861</v>
      </c>
    </row>
    <row r="2894" spans="1:1">
      <c r="A2894" s="151" t="s">
        <v>4862</v>
      </c>
    </row>
    <row r="2895" spans="1:1">
      <c r="A2895" s="151" t="s">
        <v>4863</v>
      </c>
    </row>
    <row r="2896" spans="1:1">
      <c r="A2896" s="151" t="s">
        <v>4864</v>
      </c>
    </row>
    <row r="2897" spans="1:1">
      <c r="A2897" s="151" t="s">
        <v>4865</v>
      </c>
    </row>
    <row r="2898" spans="1:1">
      <c r="A2898" s="151" t="s">
        <v>4866</v>
      </c>
    </row>
    <row r="2899" spans="1:1">
      <c r="A2899" s="151" t="s">
        <v>4867</v>
      </c>
    </row>
    <row r="2900" spans="1:1">
      <c r="A2900" s="151" t="s">
        <v>4868</v>
      </c>
    </row>
    <row r="2901" spans="1:1">
      <c r="A2901" s="151" t="s">
        <v>4869</v>
      </c>
    </row>
    <row r="2902" spans="1:1">
      <c r="A2902" s="151" t="s">
        <v>4870</v>
      </c>
    </row>
    <row r="2903" spans="1:1">
      <c r="A2903" s="151" t="s">
        <v>4871</v>
      </c>
    </row>
    <row r="2904" spans="1:1">
      <c r="A2904" s="151" t="s">
        <v>4872</v>
      </c>
    </row>
    <row r="2905" spans="1:1">
      <c r="A2905" s="151" t="s">
        <v>4873</v>
      </c>
    </row>
    <row r="2906" spans="1:1">
      <c r="A2906" s="151" t="s">
        <v>4874</v>
      </c>
    </row>
    <row r="2907" spans="1:1">
      <c r="A2907" s="151" t="s">
        <v>4875</v>
      </c>
    </row>
    <row r="2908" spans="1:1">
      <c r="A2908" s="151" t="s">
        <v>4876</v>
      </c>
    </row>
    <row r="2909" spans="1:1">
      <c r="A2909" s="151" t="s">
        <v>4877</v>
      </c>
    </row>
    <row r="2910" spans="1:1">
      <c r="A2910" s="151" t="s">
        <v>4878</v>
      </c>
    </row>
    <row r="2911" spans="1:1">
      <c r="A2911" s="151" t="s">
        <v>4879</v>
      </c>
    </row>
    <row r="2912" spans="1:1">
      <c r="A2912" s="151" t="s">
        <v>4880</v>
      </c>
    </row>
    <row r="2913" spans="1:1">
      <c r="A2913" s="151" t="s">
        <v>4881</v>
      </c>
    </row>
    <row r="2914" spans="1:1">
      <c r="A2914" s="151" t="s">
        <v>4882</v>
      </c>
    </row>
    <row r="2915" spans="1:1">
      <c r="A2915" s="151" t="s">
        <v>4883</v>
      </c>
    </row>
    <row r="2916" spans="1:1">
      <c r="A2916" s="151" t="s">
        <v>4884</v>
      </c>
    </row>
    <row r="2917" spans="1:1">
      <c r="A2917" s="151" t="s">
        <v>4885</v>
      </c>
    </row>
    <row r="2918" spans="1:1">
      <c r="A2918" s="151" t="s">
        <v>4886</v>
      </c>
    </row>
    <row r="2919" spans="1:1">
      <c r="A2919" s="151" t="s">
        <v>4887</v>
      </c>
    </row>
    <row r="2920" spans="1:1">
      <c r="A2920" s="151" t="s">
        <v>4888</v>
      </c>
    </row>
    <row r="2921" spans="1:1">
      <c r="A2921" s="151" t="s">
        <v>4889</v>
      </c>
    </row>
    <row r="2922" spans="1:1">
      <c r="A2922" s="151" t="s">
        <v>4890</v>
      </c>
    </row>
    <row r="2923" spans="1:1">
      <c r="A2923" s="151" t="s">
        <v>4891</v>
      </c>
    </row>
    <row r="2924" spans="1:1">
      <c r="A2924" s="151" t="s">
        <v>4892</v>
      </c>
    </row>
    <row r="2925" spans="1:1">
      <c r="A2925" s="151" t="s">
        <v>4893</v>
      </c>
    </row>
    <row r="2926" spans="1:1">
      <c r="A2926" s="151" t="s">
        <v>4894</v>
      </c>
    </row>
    <row r="2927" spans="1:1">
      <c r="A2927" s="151" t="s">
        <v>4895</v>
      </c>
    </row>
    <row r="2928" spans="1:1">
      <c r="A2928" s="151" t="s">
        <v>4896</v>
      </c>
    </row>
    <row r="2929" spans="1:1">
      <c r="A2929" s="151" t="s">
        <v>4897</v>
      </c>
    </row>
    <row r="2930" spans="1:1">
      <c r="A2930" s="151" t="s">
        <v>4898</v>
      </c>
    </row>
    <row r="2931" spans="1:1">
      <c r="A2931" s="151" t="s">
        <v>4899</v>
      </c>
    </row>
    <row r="2932" spans="1:1">
      <c r="A2932" s="151" t="s">
        <v>4900</v>
      </c>
    </row>
    <row r="2933" spans="1:1">
      <c r="A2933" s="151" t="s">
        <v>4901</v>
      </c>
    </row>
    <row r="2934" spans="1:1">
      <c r="A2934" s="151" t="s">
        <v>4902</v>
      </c>
    </row>
    <row r="2935" spans="1:1">
      <c r="A2935" s="151" t="s">
        <v>4903</v>
      </c>
    </row>
    <row r="2936" spans="1:1">
      <c r="A2936" s="151" t="s">
        <v>4904</v>
      </c>
    </row>
    <row r="2937" spans="1:1">
      <c r="A2937" s="151" t="s">
        <v>4905</v>
      </c>
    </row>
    <row r="2938" spans="1:1">
      <c r="A2938" s="151" t="s">
        <v>4906</v>
      </c>
    </row>
    <row r="2939" spans="1:1">
      <c r="A2939" s="151" t="s">
        <v>4907</v>
      </c>
    </row>
    <row r="2940" spans="1:1">
      <c r="A2940" s="151" t="s">
        <v>4908</v>
      </c>
    </row>
    <row r="2941" spans="1:1">
      <c r="A2941" s="151" t="s">
        <v>4909</v>
      </c>
    </row>
    <row r="2942" spans="1:1">
      <c r="A2942" s="151" t="s">
        <v>4910</v>
      </c>
    </row>
    <row r="2943" spans="1:1">
      <c r="A2943" s="151" t="s">
        <v>4911</v>
      </c>
    </row>
    <row r="2944" spans="1:1">
      <c r="A2944" s="151" t="s">
        <v>4912</v>
      </c>
    </row>
    <row r="2945" spans="1:1">
      <c r="A2945" s="151" t="s">
        <v>4913</v>
      </c>
    </row>
    <row r="2946" spans="1:1">
      <c r="A2946" s="151" t="s">
        <v>4914</v>
      </c>
    </row>
    <row r="2947" spans="1:1">
      <c r="A2947" s="151" t="s">
        <v>4915</v>
      </c>
    </row>
    <row r="2948" spans="1:1">
      <c r="A2948" s="151" t="s">
        <v>4916</v>
      </c>
    </row>
    <row r="2949" spans="1:1">
      <c r="A2949" s="151" t="s">
        <v>4917</v>
      </c>
    </row>
    <row r="2950" spans="1:1">
      <c r="A2950" s="151" t="s">
        <v>4918</v>
      </c>
    </row>
    <row r="2951" spans="1:1">
      <c r="A2951" s="151" t="s">
        <v>4919</v>
      </c>
    </row>
    <row r="2952" spans="1:1">
      <c r="A2952" s="151" t="s">
        <v>4920</v>
      </c>
    </row>
    <row r="2953" spans="1:1">
      <c r="A2953" s="151" t="s">
        <v>4921</v>
      </c>
    </row>
    <row r="2954" spans="1:1">
      <c r="A2954" s="151" t="s">
        <v>4922</v>
      </c>
    </row>
    <row r="2955" spans="1:1">
      <c r="A2955" s="151" t="s">
        <v>4923</v>
      </c>
    </row>
    <row r="2956" spans="1:1">
      <c r="A2956" s="151" t="s">
        <v>4924</v>
      </c>
    </row>
    <row r="2957" spans="1:1">
      <c r="A2957" s="151" t="s">
        <v>4925</v>
      </c>
    </row>
    <row r="2958" spans="1:1">
      <c r="A2958" s="151" t="s">
        <v>4926</v>
      </c>
    </row>
    <row r="2959" spans="1:1">
      <c r="A2959" s="151" t="s">
        <v>4927</v>
      </c>
    </row>
    <row r="2960" spans="1:1">
      <c r="A2960" s="151" t="s">
        <v>4928</v>
      </c>
    </row>
    <row r="2961" spans="1:1">
      <c r="A2961" s="151" t="s">
        <v>4929</v>
      </c>
    </row>
    <row r="2962" spans="1:1">
      <c r="A2962" s="151" t="s">
        <v>4930</v>
      </c>
    </row>
    <row r="2963" spans="1:1">
      <c r="A2963" s="151" t="s">
        <v>4931</v>
      </c>
    </row>
    <row r="2964" spans="1:1">
      <c r="A2964" s="151" t="s">
        <v>4932</v>
      </c>
    </row>
    <row r="2965" spans="1:1">
      <c r="A2965" s="151" t="s">
        <v>4933</v>
      </c>
    </row>
    <row r="2966" spans="1:1">
      <c r="A2966" s="151" t="s">
        <v>4934</v>
      </c>
    </row>
    <row r="2967" spans="1:1">
      <c r="A2967" s="151" t="s">
        <v>4935</v>
      </c>
    </row>
    <row r="2968" spans="1:1">
      <c r="A2968" s="151" t="s">
        <v>4936</v>
      </c>
    </row>
    <row r="2969" spans="1:1">
      <c r="A2969" s="151" t="s">
        <v>4937</v>
      </c>
    </row>
    <row r="2970" spans="1:1">
      <c r="A2970" s="151" t="s">
        <v>4938</v>
      </c>
    </row>
    <row r="2971" spans="1:1">
      <c r="A2971" s="151" t="s">
        <v>4939</v>
      </c>
    </row>
    <row r="2972" spans="1:1">
      <c r="A2972" s="151" t="s">
        <v>4940</v>
      </c>
    </row>
    <row r="2973" spans="1:1">
      <c r="A2973" s="151" t="s">
        <v>4941</v>
      </c>
    </row>
    <row r="2974" spans="1:1">
      <c r="A2974" s="151" t="s">
        <v>4942</v>
      </c>
    </row>
    <row r="2975" spans="1:1">
      <c r="A2975" s="151" t="s">
        <v>4943</v>
      </c>
    </row>
    <row r="2976" spans="1:1">
      <c r="A2976" s="151" t="s">
        <v>4944</v>
      </c>
    </row>
    <row r="2977" spans="1:1">
      <c r="A2977" s="151" t="s">
        <v>4945</v>
      </c>
    </row>
    <row r="2978" spans="1:1">
      <c r="A2978" s="151" t="s">
        <v>4946</v>
      </c>
    </row>
    <row r="2979" spans="1:1">
      <c r="A2979" s="151" t="s">
        <v>4947</v>
      </c>
    </row>
    <row r="2980" spans="1:1">
      <c r="A2980" s="151" t="s">
        <v>4948</v>
      </c>
    </row>
    <row r="2981" spans="1:1">
      <c r="A2981" s="151" t="s">
        <v>4949</v>
      </c>
    </row>
    <row r="2982" spans="1:1">
      <c r="A2982" s="151" t="s">
        <v>4950</v>
      </c>
    </row>
    <row r="2983" spans="1:1">
      <c r="A2983" s="151" t="s">
        <v>4951</v>
      </c>
    </row>
    <row r="2984" spans="1:1">
      <c r="A2984" s="151" t="s">
        <v>4952</v>
      </c>
    </row>
    <row r="2985" spans="1:1">
      <c r="A2985" s="151" t="s">
        <v>4953</v>
      </c>
    </row>
    <row r="2986" spans="1:1">
      <c r="A2986" s="151" t="s">
        <v>4954</v>
      </c>
    </row>
    <row r="2987" spans="1:1">
      <c r="A2987" s="151" t="s">
        <v>4955</v>
      </c>
    </row>
    <row r="2988" spans="1:1">
      <c r="A2988" s="151" t="s">
        <v>4956</v>
      </c>
    </row>
    <row r="2989" spans="1:1">
      <c r="A2989" s="151" t="s">
        <v>4957</v>
      </c>
    </row>
    <row r="2990" spans="1:1">
      <c r="A2990" s="151" t="s">
        <v>4958</v>
      </c>
    </row>
    <row r="2991" spans="1:1">
      <c r="A2991" s="151" t="s">
        <v>4959</v>
      </c>
    </row>
    <row r="2992" spans="1:1">
      <c r="A2992" s="151" t="s">
        <v>4960</v>
      </c>
    </row>
    <row r="2993" spans="1:1">
      <c r="A2993" s="151" t="s">
        <v>4961</v>
      </c>
    </row>
    <row r="2994" spans="1:1">
      <c r="A2994" s="151" t="s">
        <v>4962</v>
      </c>
    </row>
    <row r="2995" spans="1:1">
      <c r="A2995" s="151" t="s">
        <v>4963</v>
      </c>
    </row>
    <row r="2996" spans="1:1">
      <c r="A2996" s="151" t="s">
        <v>4964</v>
      </c>
    </row>
    <row r="2997" spans="1:1">
      <c r="A2997" s="151" t="s">
        <v>4965</v>
      </c>
    </row>
    <row r="2998" spans="1:1">
      <c r="A2998" s="151" t="s">
        <v>4966</v>
      </c>
    </row>
    <row r="2999" spans="1:1">
      <c r="A2999" s="151" t="s">
        <v>4967</v>
      </c>
    </row>
    <row r="3000" spans="1:1">
      <c r="A3000" s="151" t="s">
        <v>4968</v>
      </c>
    </row>
    <row r="3001" spans="1:1">
      <c r="A3001" s="151" t="s">
        <v>4969</v>
      </c>
    </row>
    <row r="3002" spans="1:1">
      <c r="A3002" s="151" t="s">
        <v>4970</v>
      </c>
    </row>
    <row r="3003" spans="1:1">
      <c r="A3003" s="151" t="s">
        <v>4971</v>
      </c>
    </row>
    <row r="3004" spans="1:1">
      <c r="A3004" s="151" t="s">
        <v>4972</v>
      </c>
    </row>
    <row r="3005" spans="1:1">
      <c r="A3005" s="151" t="s">
        <v>4973</v>
      </c>
    </row>
    <row r="3006" spans="1:1">
      <c r="A3006" s="151" t="s">
        <v>4974</v>
      </c>
    </row>
    <row r="3007" spans="1:1">
      <c r="A3007" s="151" t="s">
        <v>4975</v>
      </c>
    </row>
    <row r="3008" spans="1:1">
      <c r="A3008" s="151" t="s">
        <v>4976</v>
      </c>
    </row>
    <row r="3009" spans="1:1">
      <c r="A3009" s="151" t="s">
        <v>4977</v>
      </c>
    </row>
    <row r="3010" spans="1:1">
      <c r="A3010" s="151" t="s">
        <v>4978</v>
      </c>
    </row>
    <row r="3011" spans="1:1">
      <c r="A3011" s="151" t="s">
        <v>4979</v>
      </c>
    </row>
    <row r="3012" spans="1:1">
      <c r="A3012" s="151" t="s">
        <v>4980</v>
      </c>
    </row>
    <row r="3013" spans="1:1">
      <c r="A3013" s="151" t="s">
        <v>4981</v>
      </c>
    </row>
    <row r="3014" spans="1:1">
      <c r="A3014" s="151" t="s">
        <v>4982</v>
      </c>
    </row>
    <row r="3015" spans="1:1">
      <c r="A3015" s="151" t="s">
        <v>4983</v>
      </c>
    </row>
    <row r="3016" spans="1:1">
      <c r="A3016" s="151" t="s">
        <v>4984</v>
      </c>
    </row>
    <row r="3017" spans="1:1">
      <c r="A3017" s="151" t="s">
        <v>4985</v>
      </c>
    </row>
    <row r="3018" spans="1:1">
      <c r="A3018" s="151" t="s">
        <v>4986</v>
      </c>
    </row>
    <row r="3019" spans="1:1">
      <c r="A3019" s="151" t="s">
        <v>4987</v>
      </c>
    </row>
    <row r="3020" spans="1:1">
      <c r="A3020" s="151" t="s">
        <v>4988</v>
      </c>
    </row>
    <row r="3021" spans="1:1">
      <c r="A3021" s="151" t="s">
        <v>4989</v>
      </c>
    </row>
    <row r="3022" spans="1:1">
      <c r="A3022" s="151" t="s">
        <v>4990</v>
      </c>
    </row>
    <row r="3023" spans="1:1">
      <c r="A3023" s="151" t="s">
        <v>4991</v>
      </c>
    </row>
    <row r="3024" spans="1:1">
      <c r="A3024" s="151" t="s">
        <v>4992</v>
      </c>
    </row>
    <row r="3025" spans="1:1">
      <c r="A3025" s="151" t="s">
        <v>4993</v>
      </c>
    </row>
    <row r="3026" spans="1:1">
      <c r="A3026" s="151" t="s">
        <v>4994</v>
      </c>
    </row>
    <row r="3027" spans="1:1">
      <c r="A3027" s="151" t="s">
        <v>4995</v>
      </c>
    </row>
    <row r="3028" spans="1:1">
      <c r="A3028" s="151" t="s">
        <v>4996</v>
      </c>
    </row>
    <row r="3029" spans="1:1">
      <c r="A3029" s="151" t="s">
        <v>4997</v>
      </c>
    </row>
    <row r="3030" spans="1:1">
      <c r="A3030" s="151" t="s">
        <v>4998</v>
      </c>
    </row>
    <row r="3031" spans="1:1">
      <c r="A3031" s="151" t="s">
        <v>4999</v>
      </c>
    </row>
    <row r="3032" spans="1:1">
      <c r="A3032" s="151" t="s">
        <v>5000</v>
      </c>
    </row>
    <row r="3033" spans="1:1">
      <c r="A3033" s="151" t="s">
        <v>5001</v>
      </c>
    </row>
    <row r="3034" spans="1:1">
      <c r="A3034" s="151" t="s">
        <v>5002</v>
      </c>
    </row>
    <row r="3035" spans="1:1">
      <c r="A3035" s="151" t="s">
        <v>5003</v>
      </c>
    </row>
    <row r="3036" spans="1:1">
      <c r="A3036" s="151" t="s">
        <v>5004</v>
      </c>
    </row>
    <row r="3037" spans="1:1">
      <c r="A3037" s="151" t="s">
        <v>5005</v>
      </c>
    </row>
    <row r="3038" spans="1:1">
      <c r="A3038" s="151" t="s">
        <v>5006</v>
      </c>
    </row>
    <row r="3039" spans="1:1">
      <c r="A3039" s="151" t="s">
        <v>5007</v>
      </c>
    </row>
    <row r="3040" spans="1:1">
      <c r="A3040" s="151" t="s">
        <v>5008</v>
      </c>
    </row>
    <row r="3041" spans="1:1">
      <c r="A3041" s="151" t="s">
        <v>5009</v>
      </c>
    </row>
    <row r="3042" spans="1:1">
      <c r="A3042" s="151" t="s">
        <v>5010</v>
      </c>
    </row>
    <row r="3043" spans="1:1">
      <c r="A3043" s="151" t="s">
        <v>5011</v>
      </c>
    </row>
    <row r="3044" spans="1:1">
      <c r="A3044" s="151" t="s">
        <v>5012</v>
      </c>
    </row>
    <row r="3045" spans="1:1">
      <c r="A3045" s="151" t="s">
        <v>5013</v>
      </c>
    </row>
    <row r="3046" spans="1:1">
      <c r="A3046" s="151" t="s">
        <v>5014</v>
      </c>
    </row>
    <row r="3047" spans="1:1">
      <c r="A3047" s="151" t="s">
        <v>5015</v>
      </c>
    </row>
    <row r="3048" spans="1:1">
      <c r="A3048" s="151" t="s">
        <v>5016</v>
      </c>
    </row>
    <row r="3049" spans="1:1">
      <c r="A3049" s="151" t="s">
        <v>5017</v>
      </c>
    </row>
    <row r="3050" spans="1:1">
      <c r="A3050" s="151" t="s">
        <v>5018</v>
      </c>
    </row>
    <row r="3051" spans="1:1">
      <c r="A3051" s="151" t="s">
        <v>5019</v>
      </c>
    </row>
    <row r="3052" spans="1:1">
      <c r="A3052" s="151" t="s">
        <v>5020</v>
      </c>
    </row>
    <row r="3053" spans="1:1">
      <c r="A3053" s="151" t="s">
        <v>5021</v>
      </c>
    </row>
    <row r="3054" spans="1:1">
      <c r="A3054" s="151" t="s">
        <v>5022</v>
      </c>
    </row>
    <row r="3055" spans="1:1">
      <c r="A3055" s="151" t="s">
        <v>5023</v>
      </c>
    </row>
    <row r="3056" spans="1:1">
      <c r="A3056" s="151" t="s">
        <v>5024</v>
      </c>
    </row>
    <row r="3057" spans="1:1">
      <c r="A3057" s="151" t="s">
        <v>5025</v>
      </c>
    </row>
    <row r="3058" spans="1:1">
      <c r="A3058" s="151" t="s">
        <v>5026</v>
      </c>
    </row>
    <row r="3059" spans="1:1">
      <c r="A3059" s="151" t="s">
        <v>5027</v>
      </c>
    </row>
    <row r="3060" spans="1:1">
      <c r="A3060" s="151" t="s">
        <v>5028</v>
      </c>
    </row>
    <row r="3061" spans="1:1">
      <c r="A3061" s="151" t="s">
        <v>5029</v>
      </c>
    </row>
    <row r="3062" spans="1:1">
      <c r="A3062" s="151" t="s">
        <v>5030</v>
      </c>
    </row>
    <row r="3063" spans="1:1">
      <c r="A3063" s="151" t="s">
        <v>5031</v>
      </c>
    </row>
    <row r="3064" spans="1:1">
      <c r="A3064" s="151" t="s">
        <v>5032</v>
      </c>
    </row>
    <row r="3065" spans="1:1">
      <c r="A3065" s="151" t="s">
        <v>5033</v>
      </c>
    </row>
    <row r="3066" spans="1:1">
      <c r="A3066" s="151" t="s">
        <v>5034</v>
      </c>
    </row>
    <row r="3067" spans="1:1">
      <c r="A3067" s="151" t="s">
        <v>5035</v>
      </c>
    </row>
    <row r="3068" spans="1:1">
      <c r="A3068" s="151" t="s">
        <v>5036</v>
      </c>
    </row>
    <row r="3069" spans="1:1">
      <c r="A3069" s="151" t="s">
        <v>5037</v>
      </c>
    </row>
    <row r="3070" spans="1:1">
      <c r="A3070" s="151" t="s">
        <v>5038</v>
      </c>
    </row>
    <row r="3071" spans="1:1">
      <c r="A3071" s="151" t="s">
        <v>5039</v>
      </c>
    </row>
    <row r="3072" spans="1:1">
      <c r="A3072" s="151" t="s">
        <v>5040</v>
      </c>
    </row>
    <row r="3073" spans="1:1">
      <c r="A3073" s="151" t="s">
        <v>5041</v>
      </c>
    </row>
    <row r="3074" spans="1:1">
      <c r="A3074" s="151" t="s">
        <v>5042</v>
      </c>
    </row>
    <row r="3075" spans="1:1">
      <c r="A3075" s="151" t="s">
        <v>5043</v>
      </c>
    </row>
    <row r="3076" spans="1:1">
      <c r="A3076" s="151" t="s">
        <v>5044</v>
      </c>
    </row>
    <row r="3077" spans="1:1">
      <c r="A3077" s="151" t="s">
        <v>5045</v>
      </c>
    </row>
    <row r="3078" spans="1:1">
      <c r="A3078" s="151" t="s">
        <v>5046</v>
      </c>
    </row>
    <row r="3079" spans="1:1">
      <c r="A3079" s="151" t="s">
        <v>5047</v>
      </c>
    </row>
    <row r="3080" spans="1:1">
      <c r="A3080" s="151" t="s">
        <v>5048</v>
      </c>
    </row>
    <row r="3081" spans="1:1">
      <c r="A3081" s="151" t="s">
        <v>5049</v>
      </c>
    </row>
    <row r="3082" spans="1:1">
      <c r="A3082" s="151" t="s">
        <v>5050</v>
      </c>
    </row>
    <row r="3083" spans="1:1">
      <c r="A3083" s="151" t="s">
        <v>5051</v>
      </c>
    </row>
    <row r="3084" spans="1:1">
      <c r="A3084" s="151" t="s">
        <v>5052</v>
      </c>
    </row>
    <row r="3085" spans="1:1">
      <c r="A3085" s="151" t="s">
        <v>5053</v>
      </c>
    </row>
    <row r="3086" spans="1:1">
      <c r="A3086" s="151" t="s">
        <v>5054</v>
      </c>
    </row>
    <row r="3087" spans="1:1">
      <c r="A3087" s="151" t="s">
        <v>5055</v>
      </c>
    </row>
    <row r="3088" spans="1:1">
      <c r="A3088" s="151" t="s">
        <v>5056</v>
      </c>
    </row>
    <row r="3089" spans="1:1">
      <c r="A3089" s="151" t="s">
        <v>5057</v>
      </c>
    </row>
    <row r="3090" spans="1:1">
      <c r="A3090" s="151" t="s">
        <v>5058</v>
      </c>
    </row>
    <row r="3091" spans="1:1">
      <c r="A3091" s="151" t="s">
        <v>5059</v>
      </c>
    </row>
    <row r="3092" spans="1:1">
      <c r="A3092" s="151" t="s">
        <v>5060</v>
      </c>
    </row>
    <row r="3093" spans="1:1">
      <c r="A3093" s="151" t="s">
        <v>5061</v>
      </c>
    </row>
    <row r="3094" spans="1:1">
      <c r="A3094" s="151" t="s">
        <v>5062</v>
      </c>
    </row>
    <row r="3095" spans="1:1">
      <c r="A3095" s="151" t="s">
        <v>5063</v>
      </c>
    </row>
    <row r="3096" spans="1:1">
      <c r="A3096" s="151" t="s">
        <v>5064</v>
      </c>
    </row>
    <row r="3097" spans="1:1">
      <c r="A3097" s="151" t="s">
        <v>5065</v>
      </c>
    </row>
    <row r="3098" spans="1:1">
      <c r="A3098" s="151" t="s">
        <v>5066</v>
      </c>
    </row>
    <row r="3099" spans="1:1">
      <c r="A3099" s="151" t="s">
        <v>5067</v>
      </c>
    </row>
    <row r="3100" spans="1:1">
      <c r="A3100" s="151" t="s">
        <v>5068</v>
      </c>
    </row>
    <row r="3101" spans="1:1">
      <c r="A3101" s="151" t="s">
        <v>5069</v>
      </c>
    </row>
    <row r="3102" spans="1:1">
      <c r="A3102" s="151" t="s">
        <v>5070</v>
      </c>
    </row>
    <row r="3103" spans="1:1">
      <c r="A3103" s="151" t="s">
        <v>5071</v>
      </c>
    </row>
    <row r="3104" spans="1:1">
      <c r="A3104" s="151" t="s">
        <v>5072</v>
      </c>
    </row>
    <row r="3105" spans="1:1">
      <c r="A3105" s="151" t="s">
        <v>5073</v>
      </c>
    </row>
    <row r="3106" spans="1:1">
      <c r="A3106" s="151" t="s">
        <v>5074</v>
      </c>
    </row>
    <row r="3107" spans="1:1">
      <c r="A3107" s="151" t="s">
        <v>5075</v>
      </c>
    </row>
    <row r="3108" spans="1:1">
      <c r="A3108" s="151" t="s">
        <v>5076</v>
      </c>
    </row>
    <row r="3109" spans="1:1">
      <c r="A3109" s="151" t="s">
        <v>5077</v>
      </c>
    </row>
    <row r="3110" spans="1:1">
      <c r="A3110" s="151" t="s">
        <v>5078</v>
      </c>
    </row>
    <row r="3111" spans="1:1">
      <c r="A3111" s="151" t="s">
        <v>5079</v>
      </c>
    </row>
    <row r="3112" spans="1:1">
      <c r="A3112" s="151" t="s">
        <v>5080</v>
      </c>
    </row>
    <row r="3113" spans="1:1">
      <c r="A3113" s="151" t="s">
        <v>5081</v>
      </c>
    </row>
    <row r="3114" spans="1:1">
      <c r="A3114" s="151" t="s">
        <v>5082</v>
      </c>
    </row>
    <row r="3115" spans="1:1">
      <c r="A3115" s="151" t="s">
        <v>5083</v>
      </c>
    </row>
    <row r="3116" spans="1:1">
      <c r="A3116" s="151" t="s">
        <v>5084</v>
      </c>
    </row>
    <row r="3117" spans="1:1">
      <c r="A3117" s="151" t="s">
        <v>5085</v>
      </c>
    </row>
    <row r="3118" spans="1:1">
      <c r="A3118" s="151" t="s">
        <v>5086</v>
      </c>
    </row>
    <row r="3119" spans="1:1">
      <c r="A3119" s="151" t="s">
        <v>5087</v>
      </c>
    </row>
    <row r="3120" spans="1:1">
      <c r="A3120" s="151" t="s">
        <v>5088</v>
      </c>
    </row>
    <row r="3121" spans="1:1">
      <c r="A3121" s="151" t="s">
        <v>5089</v>
      </c>
    </row>
    <row r="3122" spans="1:1">
      <c r="A3122" s="151" t="s">
        <v>5090</v>
      </c>
    </row>
    <row r="3123" spans="1:1">
      <c r="A3123" s="151" t="s">
        <v>5091</v>
      </c>
    </row>
    <row r="3124" spans="1:1">
      <c r="A3124" s="151" t="s">
        <v>5092</v>
      </c>
    </row>
    <row r="3125" spans="1:1">
      <c r="A3125" s="151" t="s">
        <v>5093</v>
      </c>
    </row>
    <row r="3126" spans="1:1">
      <c r="A3126" s="151" t="s">
        <v>5094</v>
      </c>
    </row>
    <row r="3127" spans="1:1">
      <c r="A3127" s="151" t="s">
        <v>5095</v>
      </c>
    </row>
    <row r="3128" spans="1:1">
      <c r="A3128" s="151" t="s">
        <v>5096</v>
      </c>
    </row>
    <row r="3129" spans="1:1">
      <c r="A3129" s="151" t="s">
        <v>5097</v>
      </c>
    </row>
    <row r="3130" spans="1:1">
      <c r="A3130" s="151" t="s">
        <v>5098</v>
      </c>
    </row>
    <row r="3131" spans="1:1">
      <c r="A3131" s="151" t="s">
        <v>5099</v>
      </c>
    </row>
    <row r="3132" spans="1:1">
      <c r="A3132" s="151" t="s">
        <v>5100</v>
      </c>
    </row>
    <row r="3133" spans="1:1">
      <c r="A3133" s="151" t="s">
        <v>5101</v>
      </c>
    </row>
    <row r="3134" spans="1:1">
      <c r="A3134" s="151" t="s">
        <v>5102</v>
      </c>
    </row>
    <row r="3135" spans="1:1">
      <c r="A3135" s="151" t="s">
        <v>5103</v>
      </c>
    </row>
    <row r="3136" spans="1:1">
      <c r="A3136" s="151" t="s">
        <v>5104</v>
      </c>
    </row>
    <row r="3137" spans="1:1">
      <c r="A3137" s="151" t="s">
        <v>5105</v>
      </c>
    </row>
    <row r="3138" spans="1:1">
      <c r="A3138" s="151" t="s">
        <v>5106</v>
      </c>
    </row>
    <row r="3139" spans="1:1">
      <c r="A3139" s="151" t="s">
        <v>5107</v>
      </c>
    </row>
    <row r="3140" spans="1:1">
      <c r="A3140" s="151" t="s">
        <v>5108</v>
      </c>
    </row>
    <row r="3141" spans="1:1">
      <c r="A3141" s="151" t="s">
        <v>5109</v>
      </c>
    </row>
    <row r="3142" spans="1:1">
      <c r="A3142" s="151" t="s">
        <v>5110</v>
      </c>
    </row>
    <row r="3143" spans="1:1">
      <c r="A3143" s="151" t="s">
        <v>5111</v>
      </c>
    </row>
    <row r="3144" spans="1:1">
      <c r="A3144" s="151" t="s">
        <v>5112</v>
      </c>
    </row>
    <row r="3145" spans="1:1">
      <c r="A3145" s="151" t="s">
        <v>5113</v>
      </c>
    </row>
    <row r="3146" spans="1:1">
      <c r="A3146" s="151" t="s">
        <v>5114</v>
      </c>
    </row>
    <row r="3147" spans="1:1">
      <c r="A3147" s="151" t="s">
        <v>5115</v>
      </c>
    </row>
    <row r="3148" spans="1:1">
      <c r="A3148" s="151" t="s">
        <v>5116</v>
      </c>
    </row>
    <row r="3149" spans="1:1">
      <c r="A3149" s="151" t="s">
        <v>5117</v>
      </c>
    </row>
    <row r="3150" spans="1:1">
      <c r="A3150" s="151" t="s">
        <v>5118</v>
      </c>
    </row>
    <row r="3151" spans="1:1">
      <c r="A3151" s="151" t="s">
        <v>5119</v>
      </c>
    </row>
    <row r="3152" spans="1:1">
      <c r="A3152" s="151" t="s">
        <v>5120</v>
      </c>
    </row>
    <row r="3153" spans="1:1">
      <c r="A3153" s="151" t="s">
        <v>5121</v>
      </c>
    </row>
    <row r="3154" spans="1:1">
      <c r="A3154" s="151" t="s">
        <v>5122</v>
      </c>
    </row>
    <row r="3155" spans="1:1">
      <c r="A3155" s="151" t="s">
        <v>5123</v>
      </c>
    </row>
    <row r="3156" spans="1:1">
      <c r="A3156" s="151" t="s">
        <v>5124</v>
      </c>
    </row>
    <row r="3157" spans="1:1">
      <c r="A3157" s="151" t="s">
        <v>5125</v>
      </c>
    </row>
    <row r="3158" spans="1:1">
      <c r="A3158" s="151" t="s">
        <v>5126</v>
      </c>
    </row>
    <row r="3159" spans="1:1">
      <c r="A3159" s="151" t="s">
        <v>5127</v>
      </c>
    </row>
    <row r="3160" spans="1:1">
      <c r="A3160" s="151" t="s">
        <v>5128</v>
      </c>
    </row>
    <row r="3161" spans="1:1">
      <c r="A3161" s="151" t="s">
        <v>5129</v>
      </c>
    </row>
    <row r="3162" spans="1:1">
      <c r="A3162" s="151" t="s">
        <v>5130</v>
      </c>
    </row>
    <row r="3163" spans="1:1">
      <c r="A3163" s="151" t="s">
        <v>5131</v>
      </c>
    </row>
    <row r="3164" spans="1:1">
      <c r="A3164" s="151" t="s">
        <v>5132</v>
      </c>
    </row>
    <row r="3165" spans="1:1">
      <c r="A3165" s="151" t="s">
        <v>5133</v>
      </c>
    </row>
    <row r="3166" spans="1:1">
      <c r="A3166" s="151" t="s">
        <v>5134</v>
      </c>
    </row>
    <row r="3167" spans="1:1">
      <c r="A3167" s="151" t="s">
        <v>5135</v>
      </c>
    </row>
    <row r="3168" spans="1:1">
      <c r="A3168" s="151" t="s">
        <v>5136</v>
      </c>
    </row>
    <row r="3169" spans="1:1">
      <c r="A3169" s="151" t="s">
        <v>5137</v>
      </c>
    </row>
    <row r="3170" spans="1:1">
      <c r="A3170" s="151" t="s">
        <v>5138</v>
      </c>
    </row>
    <row r="3171" spans="1:1">
      <c r="A3171" s="151" t="s">
        <v>5139</v>
      </c>
    </row>
    <row r="3172" spans="1:1">
      <c r="A3172" s="151" t="s">
        <v>5140</v>
      </c>
    </row>
    <row r="3173" spans="1:1">
      <c r="A3173" s="151" t="s">
        <v>5141</v>
      </c>
    </row>
    <row r="3174" spans="1:1">
      <c r="A3174" s="151" t="s">
        <v>5142</v>
      </c>
    </row>
    <row r="3175" spans="1:1">
      <c r="A3175" s="151" t="s">
        <v>5143</v>
      </c>
    </row>
    <row r="3176" spans="1:1">
      <c r="A3176" s="151" t="s">
        <v>5144</v>
      </c>
    </row>
    <row r="3177" spans="1:1">
      <c r="A3177" s="151" t="s">
        <v>5145</v>
      </c>
    </row>
    <row r="3178" spans="1:1">
      <c r="A3178" s="151" t="s">
        <v>5146</v>
      </c>
    </row>
    <row r="3179" spans="1:1">
      <c r="A3179" s="151" t="s">
        <v>5147</v>
      </c>
    </row>
    <row r="3180" spans="1:1">
      <c r="A3180" s="151" t="s">
        <v>5148</v>
      </c>
    </row>
    <row r="3181" spans="1:1">
      <c r="A3181" s="151" t="s">
        <v>5149</v>
      </c>
    </row>
    <row r="3182" spans="1:1">
      <c r="A3182" s="151" t="s">
        <v>5150</v>
      </c>
    </row>
    <row r="3183" spans="1:1">
      <c r="A3183" s="151" t="s">
        <v>5151</v>
      </c>
    </row>
    <row r="3184" spans="1:1">
      <c r="A3184" s="151" t="s">
        <v>5152</v>
      </c>
    </row>
    <row r="3185" spans="1:1">
      <c r="A3185" s="151" t="s">
        <v>5153</v>
      </c>
    </row>
    <row r="3186" spans="1:1">
      <c r="A3186" s="151" t="s">
        <v>5154</v>
      </c>
    </row>
    <row r="3187" spans="1:1">
      <c r="A3187" s="151" t="s">
        <v>5155</v>
      </c>
    </row>
    <row r="3188" spans="1:1">
      <c r="A3188" s="151" t="s">
        <v>5156</v>
      </c>
    </row>
    <row r="3189" spans="1:1">
      <c r="A3189" s="151" t="s">
        <v>5157</v>
      </c>
    </row>
    <row r="3190" spans="1:1">
      <c r="A3190" s="151" t="s">
        <v>5158</v>
      </c>
    </row>
    <row r="3191" spans="1:1">
      <c r="A3191" s="151" t="s">
        <v>5159</v>
      </c>
    </row>
    <row r="3192" spans="1:1">
      <c r="A3192" s="151" t="s">
        <v>5160</v>
      </c>
    </row>
    <row r="3193" spans="1:1">
      <c r="A3193" s="151" t="s">
        <v>5161</v>
      </c>
    </row>
    <row r="3194" spans="1:1">
      <c r="A3194" s="151" t="s">
        <v>5162</v>
      </c>
    </row>
    <row r="3195" spans="1:1">
      <c r="A3195" s="151" t="s">
        <v>5163</v>
      </c>
    </row>
    <row r="3196" spans="1:1">
      <c r="A3196" s="151" t="s">
        <v>5164</v>
      </c>
    </row>
    <row r="3197" spans="1:1">
      <c r="A3197" s="151" t="s">
        <v>5165</v>
      </c>
    </row>
    <row r="3198" spans="1:1">
      <c r="A3198" s="151" t="s">
        <v>5166</v>
      </c>
    </row>
    <row r="3199" spans="1:1">
      <c r="A3199" s="151" t="s">
        <v>5167</v>
      </c>
    </row>
    <row r="3200" spans="1:1">
      <c r="A3200" s="151" t="s">
        <v>5168</v>
      </c>
    </row>
    <row r="3201" spans="1:1">
      <c r="A3201" s="151" t="s">
        <v>5169</v>
      </c>
    </row>
    <row r="3202" spans="1:1">
      <c r="A3202" s="151" t="s">
        <v>5170</v>
      </c>
    </row>
    <row r="3203" spans="1:1">
      <c r="A3203" s="151" t="s">
        <v>5171</v>
      </c>
    </row>
    <row r="3204" spans="1:1">
      <c r="A3204" s="151" t="s">
        <v>5172</v>
      </c>
    </row>
    <row r="3205" spans="1:1">
      <c r="A3205" s="151" t="s">
        <v>5173</v>
      </c>
    </row>
    <row r="3206" spans="1:1">
      <c r="A3206" s="151" t="s">
        <v>5174</v>
      </c>
    </row>
    <row r="3207" spans="1:1">
      <c r="A3207" s="151" t="s">
        <v>5175</v>
      </c>
    </row>
    <row r="3208" spans="1:1">
      <c r="A3208" s="151" t="s">
        <v>5176</v>
      </c>
    </row>
    <row r="3209" spans="1:1">
      <c r="A3209" s="151" t="s">
        <v>5177</v>
      </c>
    </row>
    <row r="3210" spans="1:1">
      <c r="A3210" s="151" t="s">
        <v>5178</v>
      </c>
    </row>
    <row r="3211" spans="1:1">
      <c r="A3211" s="151" t="s">
        <v>5179</v>
      </c>
    </row>
    <row r="3212" spans="1:1">
      <c r="A3212" s="151" t="s">
        <v>5180</v>
      </c>
    </row>
    <row r="3213" spans="1:1">
      <c r="A3213" s="151" t="s">
        <v>5181</v>
      </c>
    </row>
    <row r="3214" spans="1:1">
      <c r="A3214" s="151" t="s">
        <v>5182</v>
      </c>
    </row>
    <row r="3215" spans="1:1">
      <c r="A3215" s="151" t="s">
        <v>5183</v>
      </c>
    </row>
    <row r="3216" spans="1:1">
      <c r="A3216" s="151" t="s">
        <v>5184</v>
      </c>
    </row>
    <row r="3217" spans="1:1">
      <c r="A3217" s="151" t="s">
        <v>5185</v>
      </c>
    </row>
    <row r="3218" spans="1:1">
      <c r="A3218" s="151" t="s">
        <v>5186</v>
      </c>
    </row>
    <row r="3219" spans="1:1">
      <c r="A3219" s="151" t="s">
        <v>5187</v>
      </c>
    </row>
    <row r="3220" spans="1:1">
      <c r="A3220" s="151" t="s">
        <v>5188</v>
      </c>
    </row>
    <row r="3221" spans="1:1">
      <c r="A3221" s="151" t="s">
        <v>5189</v>
      </c>
    </row>
    <row r="3222" spans="1:1">
      <c r="A3222" s="151" t="s">
        <v>5190</v>
      </c>
    </row>
    <row r="3223" spans="1:1">
      <c r="A3223" s="151" t="s">
        <v>5191</v>
      </c>
    </row>
    <row r="3224" spans="1:1">
      <c r="A3224" s="151" t="s">
        <v>5192</v>
      </c>
    </row>
    <row r="3225" spans="1:1">
      <c r="A3225" s="151" t="s">
        <v>5193</v>
      </c>
    </row>
    <row r="3226" spans="1:1">
      <c r="A3226" s="151" t="s">
        <v>5194</v>
      </c>
    </row>
    <row r="3227" spans="1:1">
      <c r="A3227" s="151" t="s">
        <v>5195</v>
      </c>
    </row>
    <row r="3228" spans="1:1">
      <c r="A3228" s="151" t="s">
        <v>5196</v>
      </c>
    </row>
    <row r="3229" spans="1:1">
      <c r="A3229" s="151" t="s">
        <v>5197</v>
      </c>
    </row>
    <row r="3230" spans="1:1">
      <c r="A3230" s="151" t="s">
        <v>5198</v>
      </c>
    </row>
    <row r="3231" spans="1:1">
      <c r="A3231" s="151" t="s">
        <v>5199</v>
      </c>
    </row>
    <row r="3232" spans="1:1">
      <c r="A3232" s="151" t="s">
        <v>5200</v>
      </c>
    </row>
    <row r="3233" spans="1:1">
      <c r="A3233" s="151" t="s">
        <v>5201</v>
      </c>
    </row>
    <row r="3234" spans="1:1">
      <c r="A3234" s="151" t="s">
        <v>5202</v>
      </c>
    </row>
    <row r="3235" spans="1:1">
      <c r="A3235" s="151" t="s">
        <v>5203</v>
      </c>
    </row>
    <row r="3236" spans="1:1">
      <c r="A3236" s="151" t="s">
        <v>5204</v>
      </c>
    </row>
    <row r="3237" spans="1:1">
      <c r="A3237" s="151" t="s">
        <v>5205</v>
      </c>
    </row>
    <row r="3238" spans="1:1">
      <c r="A3238" s="151" t="s">
        <v>5206</v>
      </c>
    </row>
    <row r="3239" spans="1:1">
      <c r="A3239" s="151" t="s">
        <v>5207</v>
      </c>
    </row>
    <row r="3240" spans="1:1">
      <c r="A3240" s="151" t="s">
        <v>5208</v>
      </c>
    </row>
    <row r="3241" spans="1:1">
      <c r="A3241" s="151" t="s">
        <v>5209</v>
      </c>
    </row>
    <row r="3242" spans="1:1">
      <c r="A3242" s="151" t="s">
        <v>5210</v>
      </c>
    </row>
    <row r="3243" spans="1:1">
      <c r="A3243" s="151" t="s">
        <v>5211</v>
      </c>
    </row>
    <row r="3244" spans="1:1">
      <c r="A3244" s="151" t="s">
        <v>5212</v>
      </c>
    </row>
    <row r="3245" spans="1:1">
      <c r="A3245" s="151" t="s">
        <v>5213</v>
      </c>
    </row>
    <row r="3246" spans="1:1">
      <c r="A3246" s="151" t="s">
        <v>5214</v>
      </c>
    </row>
    <row r="3247" spans="1:1">
      <c r="A3247" s="151" t="s">
        <v>5215</v>
      </c>
    </row>
    <row r="3248" spans="1:1">
      <c r="A3248" s="151" t="s">
        <v>5216</v>
      </c>
    </row>
    <row r="3249" spans="1:1">
      <c r="A3249" s="151" t="s">
        <v>5217</v>
      </c>
    </row>
    <row r="3250" spans="1:1">
      <c r="A3250" s="151" t="s">
        <v>5218</v>
      </c>
    </row>
    <row r="3251" spans="1:1">
      <c r="A3251" s="151" t="s">
        <v>5219</v>
      </c>
    </row>
    <row r="3252" spans="1:1">
      <c r="A3252" s="151" t="s">
        <v>5220</v>
      </c>
    </row>
    <row r="3253" spans="1:1">
      <c r="A3253" s="151" t="s">
        <v>5221</v>
      </c>
    </row>
    <row r="3254" spans="1:1">
      <c r="A3254" s="151" t="s">
        <v>5222</v>
      </c>
    </row>
    <row r="3255" spans="1:1">
      <c r="A3255" s="151" t="s">
        <v>5223</v>
      </c>
    </row>
    <row r="3256" spans="1:1">
      <c r="A3256" s="151" t="s">
        <v>5224</v>
      </c>
    </row>
    <row r="3257" spans="1:1">
      <c r="A3257" s="151" t="s">
        <v>5225</v>
      </c>
    </row>
    <row r="3258" spans="1:1">
      <c r="A3258" s="151" t="s">
        <v>5226</v>
      </c>
    </row>
    <row r="3259" spans="1:1">
      <c r="A3259" s="151" t="s">
        <v>5227</v>
      </c>
    </row>
    <row r="3260" spans="1:1">
      <c r="A3260" s="151" t="s">
        <v>5228</v>
      </c>
    </row>
    <row r="3261" spans="1:1">
      <c r="A3261" s="151" t="s">
        <v>5229</v>
      </c>
    </row>
    <row r="3262" spans="1:1">
      <c r="A3262" s="151" t="s">
        <v>5230</v>
      </c>
    </row>
    <row r="3263" spans="1:1">
      <c r="A3263" s="151" t="s">
        <v>5231</v>
      </c>
    </row>
    <row r="3264" spans="1:1">
      <c r="A3264" s="151" t="s">
        <v>5232</v>
      </c>
    </row>
    <row r="3265" spans="1:1">
      <c r="A3265" s="151" t="s">
        <v>5233</v>
      </c>
    </row>
    <row r="3266" spans="1:1">
      <c r="A3266" s="151" t="s">
        <v>5234</v>
      </c>
    </row>
    <row r="3267" spans="1:1">
      <c r="A3267" s="151" t="s">
        <v>5235</v>
      </c>
    </row>
    <row r="3268" spans="1:1">
      <c r="A3268" s="151" t="s">
        <v>5236</v>
      </c>
    </row>
    <row r="3269" spans="1:1">
      <c r="A3269" s="151" t="s">
        <v>5237</v>
      </c>
    </row>
    <row r="3270" spans="1:1">
      <c r="A3270" s="151" t="s">
        <v>5238</v>
      </c>
    </row>
    <row r="3271" spans="1:1">
      <c r="A3271" s="151" t="s">
        <v>5239</v>
      </c>
    </row>
    <row r="3272" spans="1:1">
      <c r="A3272" s="151" t="s">
        <v>5240</v>
      </c>
    </row>
    <row r="3273" spans="1:1">
      <c r="A3273" s="151" t="s">
        <v>5241</v>
      </c>
    </row>
    <row r="3274" spans="1:1">
      <c r="A3274" s="151" t="s">
        <v>5242</v>
      </c>
    </row>
    <row r="3275" spans="1:1">
      <c r="A3275" s="151" t="s">
        <v>5243</v>
      </c>
    </row>
    <row r="3276" spans="1:1">
      <c r="A3276" s="151" t="s">
        <v>5244</v>
      </c>
    </row>
    <row r="3277" spans="1:1">
      <c r="A3277" s="151" t="s">
        <v>5245</v>
      </c>
    </row>
    <row r="3278" spans="1:1">
      <c r="A3278" s="151" t="s">
        <v>5246</v>
      </c>
    </row>
    <row r="3279" spans="1:1">
      <c r="A3279" s="151" t="s">
        <v>5247</v>
      </c>
    </row>
    <row r="3280" spans="1:1">
      <c r="A3280" s="151" t="s">
        <v>5248</v>
      </c>
    </row>
    <row r="3281" spans="1:1">
      <c r="A3281" s="151" t="s">
        <v>5249</v>
      </c>
    </row>
    <row r="3282" spans="1:1">
      <c r="A3282" s="151" t="s">
        <v>5250</v>
      </c>
    </row>
    <row r="3283" spans="1:1">
      <c r="A3283" s="151" t="s">
        <v>5251</v>
      </c>
    </row>
    <row r="3284" spans="1:1">
      <c r="A3284" s="151" t="s">
        <v>5252</v>
      </c>
    </row>
    <row r="3285" spans="1:1">
      <c r="A3285" s="151" t="s">
        <v>5253</v>
      </c>
    </row>
    <row r="3286" spans="1:1">
      <c r="A3286" s="151" t="s">
        <v>5254</v>
      </c>
    </row>
    <row r="3287" spans="1:1">
      <c r="A3287" s="151" t="s">
        <v>5255</v>
      </c>
    </row>
    <row r="3288" spans="1:1">
      <c r="A3288" s="151" t="s">
        <v>5256</v>
      </c>
    </row>
    <row r="3289" spans="1:1">
      <c r="A3289" s="151" t="s">
        <v>5257</v>
      </c>
    </row>
    <row r="3290" spans="1:1">
      <c r="A3290" s="151" t="s">
        <v>5258</v>
      </c>
    </row>
    <row r="3291" spans="1:1">
      <c r="A3291" s="151" t="s">
        <v>5259</v>
      </c>
    </row>
    <row r="3292" spans="1:1">
      <c r="A3292" s="151" t="s">
        <v>5260</v>
      </c>
    </row>
    <row r="3293" spans="1:1">
      <c r="A3293" s="151" t="s">
        <v>5261</v>
      </c>
    </row>
    <row r="3294" spans="1:1">
      <c r="A3294" s="151" t="s">
        <v>5262</v>
      </c>
    </row>
    <row r="3295" spans="1:1">
      <c r="A3295" s="151" t="s">
        <v>5263</v>
      </c>
    </row>
    <row r="3296" spans="1:1">
      <c r="A3296" s="151" t="s">
        <v>5264</v>
      </c>
    </row>
    <row r="3297" spans="1:1">
      <c r="A3297" s="151" t="s">
        <v>5265</v>
      </c>
    </row>
    <row r="3298" spans="1:1">
      <c r="A3298" s="151" t="s">
        <v>5266</v>
      </c>
    </row>
    <row r="3299" spans="1:1">
      <c r="A3299" s="151" t="s">
        <v>5267</v>
      </c>
    </row>
    <row r="3300" spans="1:1">
      <c r="A3300" s="151" t="s">
        <v>5268</v>
      </c>
    </row>
    <row r="3301" spans="1:1">
      <c r="A3301" s="151" t="s">
        <v>5269</v>
      </c>
    </row>
    <row r="3302" spans="1:1">
      <c r="A3302" s="151" t="s">
        <v>5270</v>
      </c>
    </row>
    <row r="3303" spans="1:1">
      <c r="A3303" s="151" t="s">
        <v>5271</v>
      </c>
    </row>
    <row r="3304" spans="1:1">
      <c r="A3304" s="151" t="s">
        <v>5272</v>
      </c>
    </row>
    <row r="3305" spans="1:1">
      <c r="A3305" s="151" t="s">
        <v>5273</v>
      </c>
    </row>
    <row r="3306" spans="1:1">
      <c r="A3306" s="151" t="s">
        <v>5274</v>
      </c>
    </row>
    <row r="3307" spans="1:1">
      <c r="A3307" s="151" t="s">
        <v>5275</v>
      </c>
    </row>
    <row r="3308" spans="1:1">
      <c r="A3308" s="151" t="s">
        <v>5276</v>
      </c>
    </row>
    <row r="3309" spans="1:1">
      <c r="A3309" s="151" t="s">
        <v>5277</v>
      </c>
    </row>
    <row r="3310" spans="1:1">
      <c r="A3310" s="151" t="s">
        <v>5278</v>
      </c>
    </row>
    <row r="3311" spans="1:1">
      <c r="A3311" s="151" t="s">
        <v>5279</v>
      </c>
    </row>
    <row r="3312" spans="1:1">
      <c r="A3312" s="151" t="s">
        <v>5280</v>
      </c>
    </row>
    <row r="3313" spans="1:1">
      <c r="A3313" s="151" t="s">
        <v>5281</v>
      </c>
    </row>
    <row r="3314" spans="1:1">
      <c r="A3314" s="151" t="s">
        <v>5282</v>
      </c>
    </row>
    <row r="3315" spans="1:1">
      <c r="A3315" s="151" t="s">
        <v>5283</v>
      </c>
    </row>
    <row r="3316" spans="1:1">
      <c r="A3316" s="151" t="s">
        <v>5284</v>
      </c>
    </row>
    <row r="3317" spans="1:1">
      <c r="A3317" s="151" t="s">
        <v>5285</v>
      </c>
    </row>
    <row r="3318" spans="1:1">
      <c r="A3318" s="151" t="s">
        <v>5286</v>
      </c>
    </row>
    <row r="3319" spans="1:1">
      <c r="A3319" s="151" t="s">
        <v>5287</v>
      </c>
    </row>
    <row r="3320" spans="1:1">
      <c r="A3320" s="151" t="s">
        <v>5288</v>
      </c>
    </row>
    <row r="3321" spans="1:1">
      <c r="A3321" s="151" t="s">
        <v>5289</v>
      </c>
    </row>
    <row r="3322" spans="1:1">
      <c r="A3322" s="151" t="s">
        <v>5290</v>
      </c>
    </row>
    <row r="3323" spans="1:1">
      <c r="A3323" s="151" t="s">
        <v>5291</v>
      </c>
    </row>
    <row r="3324" spans="1:1">
      <c r="A3324" s="151" t="s">
        <v>5292</v>
      </c>
    </row>
    <row r="3325" spans="1:1">
      <c r="A3325" s="151" t="s">
        <v>5293</v>
      </c>
    </row>
    <row r="3326" spans="1:1">
      <c r="A3326" s="151" t="s">
        <v>5294</v>
      </c>
    </row>
    <row r="3327" spans="1:1">
      <c r="A3327" s="151" t="s">
        <v>5295</v>
      </c>
    </row>
    <row r="3328" spans="1:1">
      <c r="A3328" s="151" t="s">
        <v>5296</v>
      </c>
    </row>
    <row r="3329" spans="1:1">
      <c r="A3329" s="151" t="s">
        <v>5297</v>
      </c>
    </row>
    <row r="3330" spans="1:1">
      <c r="A3330" s="151" t="s">
        <v>5298</v>
      </c>
    </row>
    <row r="3331" spans="1:1">
      <c r="A3331" s="151" t="s">
        <v>5299</v>
      </c>
    </row>
    <row r="3332" spans="1:1">
      <c r="A3332" s="151" t="s">
        <v>5300</v>
      </c>
    </row>
    <row r="3333" spans="1:1">
      <c r="A3333" s="151" t="s">
        <v>5301</v>
      </c>
    </row>
    <row r="3334" spans="1:1">
      <c r="A3334" s="151" t="s">
        <v>5302</v>
      </c>
    </row>
    <row r="3335" spans="1:1">
      <c r="A3335" s="151" t="s">
        <v>5303</v>
      </c>
    </row>
    <row r="3336" spans="1:1">
      <c r="A3336" s="151" t="s">
        <v>5304</v>
      </c>
    </row>
    <row r="3337" spans="1:1">
      <c r="A3337" s="151" t="s">
        <v>5305</v>
      </c>
    </row>
    <row r="3338" spans="1:1">
      <c r="A3338" s="151" t="s">
        <v>5306</v>
      </c>
    </row>
    <row r="3339" spans="1:1">
      <c r="A3339" s="151" t="s">
        <v>5307</v>
      </c>
    </row>
    <row r="3340" spans="1:1">
      <c r="A3340" s="151" t="s">
        <v>5308</v>
      </c>
    </row>
    <row r="3341" spans="1:1">
      <c r="A3341" s="151" t="s">
        <v>5309</v>
      </c>
    </row>
    <row r="3342" spans="1:1">
      <c r="A3342" s="151" t="s">
        <v>5310</v>
      </c>
    </row>
    <row r="3343" spans="1:1">
      <c r="A3343" s="151" t="s">
        <v>5311</v>
      </c>
    </row>
    <row r="3344" spans="1:1">
      <c r="A3344" s="151" t="s">
        <v>5312</v>
      </c>
    </row>
    <row r="3345" spans="1:1">
      <c r="A3345" s="151" t="s">
        <v>5313</v>
      </c>
    </row>
    <row r="3346" spans="1:1">
      <c r="A3346" s="151" t="s">
        <v>5314</v>
      </c>
    </row>
    <row r="3347" spans="1:1">
      <c r="A3347" s="151" t="s">
        <v>5315</v>
      </c>
    </row>
    <row r="3348" spans="1:1">
      <c r="A3348" s="151" t="s">
        <v>5316</v>
      </c>
    </row>
    <row r="3349" spans="1:1">
      <c r="A3349" s="151" t="s">
        <v>5317</v>
      </c>
    </row>
    <row r="3350" spans="1:1">
      <c r="A3350" s="151" t="s">
        <v>5318</v>
      </c>
    </row>
    <row r="3351" spans="1:1">
      <c r="A3351" s="151" t="s">
        <v>5319</v>
      </c>
    </row>
    <row r="3352" spans="1:1">
      <c r="A3352" s="151" t="s">
        <v>5320</v>
      </c>
    </row>
    <row r="3353" spans="1:1">
      <c r="A3353" s="151" t="s">
        <v>5321</v>
      </c>
    </row>
    <row r="3354" spans="1:1">
      <c r="A3354" s="151" t="s">
        <v>5322</v>
      </c>
    </row>
    <row r="3355" spans="1:1">
      <c r="A3355" s="151" t="s">
        <v>5323</v>
      </c>
    </row>
    <row r="3356" spans="1:1">
      <c r="A3356" s="151" t="s">
        <v>5324</v>
      </c>
    </row>
    <row r="3357" spans="1:1">
      <c r="A3357" s="151" t="s">
        <v>5325</v>
      </c>
    </row>
    <row r="3358" spans="1:1">
      <c r="A3358" s="151" t="s">
        <v>5326</v>
      </c>
    </row>
    <row r="3359" spans="1:1">
      <c r="A3359" s="151" t="s">
        <v>5327</v>
      </c>
    </row>
    <row r="3360" spans="1:1">
      <c r="A3360" s="151" t="s">
        <v>5328</v>
      </c>
    </row>
    <row r="3361" spans="1:1">
      <c r="A3361" s="151" t="s">
        <v>5329</v>
      </c>
    </row>
    <row r="3362" spans="1:1">
      <c r="A3362" s="151" t="s">
        <v>5330</v>
      </c>
    </row>
    <row r="3363" spans="1:1">
      <c r="A3363" s="151" t="s">
        <v>5331</v>
      </c>
    </row>
    <row r="3364" spans="1:1">
      <c r="A3364" s="151" t="s">
        <v>5332</v>
      </c>
    </row>
    <row r="3365" spans="1:1">
      <c r="A3365" s="151" t="s">
        <v>5333</v>
      </c>
    </row>
    <row r="3366" spans="1:1">
      <c r="A3366" s="151" t="s">
        <v>5334</v>
      </c>
    </row>
    <row r="3367" spans="1:1">
      <c r="A3367" s="151" t="s">
        <v>5335</v>
      </c>
    </row>
    <row r="3368" spans="1:1">
      <c r="A3368" s="151" t="s">
        <v>5336</v>
      </c>
    </row>
    <row r="3369" spans="1:1">
      <c r="A3369" s="151" t="s">
        <v>5337</v>
      </c>
    </row>
    <row r="3370" spans="1:1">
      <c r="A3370" s="151" t="s">
        <v>5338</v>
      </c>
    </row>
    <row r="3371" spans="1:1">
      <c r="A3371" s="151" t="s">
        <v>5339</v>
      </c>
    </row>
    <row r="3372" spans="1:1">
      <c r="A3372" s="151" t="s">
        <v>5340</v>
      </c>
    </row>
    <row r="3373" spans="1:1">
      <c r="A3373" s="151" t="s">
        <v>5341</v>
      </c>
    </row>
    <row r="3374" spans="1:1">
      <c r="A3374" s="151" t="s">
        <v>5342</v>
      </c>
    </row>
    <row r="3375" spans="1:1">
      <c r="A3375" s="151" t="s">
        <v>5343</v>
      </c>
    </row>
    <row r="3376" spans="1:1">
      <c r="A3376" s="151" t="s">
        <v>5344</v>
      </c>
    </row>
    <row r="3377" spans="1:1">
      <c r="A3377" s="151" t="s">
        <v>5345</v>
      </c>
    </row>
    <row r="3378" spans="1:1">
      <c r="A3378" s="151" t="s">
        <v>5346</v>
      </c>
    </row>
    <row r="3379" spans="1:1">
      <c r="A3379" s="151" t="s">
        <v>5347</v>
      </c>
    </row>
    <row r="3380" spans="1:1">
      <c r="A3380" s="151" t="s">
        <v>5348</v>
      </c>
    </row>
    <row r="3381" spans="1:1">
      <c r="A3381" s="151" t="s">
        <v>5349</v>
      </c>
    </row>
    <row r="3382" spans="1:1">
      <c r="A3382" s="151" t="s">
        <v>5350</v>
      </c>
    </row>
    <row r="3383" spans="1:1">
      <c r="A3383" s="151" t="s">
        <v>5351</v>
      </c>
    </row>
    <row r="3384" spans="1:1">
      <c r="A3384" s="151" t="s">
        <v>5352</v>
      </c>
    </row>
    <row r="3385" spans="1:1">
      <c r="A3385" s="151" t="s">
        <v>5353</v>
      </c>
    </row>
    <row r="3386" spans="1:1">
      <c r="A3386" s="151" t="s">
        <v>5354</v>
      </c>
    </row>
    <row r="3387" spans="1:1">
      <c r="A3387" s="151" t="s">
        <v>5355</v>
      </c>
    </row>
    <row r="3388" spans="1:1">
      <c r="A3388" s="151" t="s">
        <v>5356</v>
      </c>
    </row>
    <row r="3389" spans="1:1">
      <c r="A3389" s="151" t="s">
        <v>5357</v>
      </c>
    </row>
    <row r="3390" spans="1:1">
      <c r="A3390" s="151" t="s">
        <v>5358</v>
      </c>
    </row>
    <row r="3391" spans="1:1">
      <c r="A3391" s="151" t="s">
        <v>5359</v>
      </c>
    </row>
    <row r="3392" spans="1:1">
      <c r="A3392" s="151" t="s">
        <v>5360</v>
      </c>
    </row>
    <row r="3393" spans="1:1">
      <c r="A3393" s="151" t="s">
        <v>5361</v>
      </c>
    </row>
    <row r="3394" spans="1:1">
      <c r="A3394" s="151" t="s">
        <v>5362</v>
      </c>
    </row>
    <row r="3395" spans="1:1">
      <c r="A3395" s="151" t="s">
        <v>5363</v>
      </c>
    </row>
    <row r="3396" spans="1:1">
      <c r="A3396" s="151" t="s">
        <v>5364</v>
      </c>
    </row>
    <row r="3397" spans="1:1">
      <c r="A3397" s="151" t="s">
        <v>5365</v>
      </c>
    </row>
    <row r="3398" spans="1:1">
      <c r="A3398" s="151" t="s">
        <v>5366</v>
      </c>
    </row>
    <row r="3399" spans="1:1">
      <c r="A3399" s="151" t="s">
        <v>5367</v>
      </c>
    </row>
    <row r="3400" spans="1:1">
      <c r="A3400" s="151" t="s">
        <v>5368</v>
      </c>
    </row>
    <row r="3401" spans="1:1">
      <c r="A3401" s="151" t="s">
        <v>5369</v>
      </c>
    </row>
    <row r="3402" spans="1:1">
      <c r="A3402" s="151" t="s">
        <v>5370</v>
      </c>
    </row>
    <row r="3403" spans="1:1">
      <c r="A3403" s="151" t="s">
        <v>5371</v>
      </c>
    </row>
    <row r="3404" spans="1:1">
      <c r="A3404" s="151" t="s">
        <v>5372</v>
      </c>
    </row>
    <row r="3405" spans="1:1">
      <c r="A3405" s="151" t="s">
        <v>5373</v>
      </c>
    </row>
    <row r="3406" spans="1:1">
      <c r="A3406" s="151" t="s">
        <v>5374</v>
      </c>
    </row>
    <row r="3407" spans="1:1">
      <c r="A3407" s="151" t="s">
        <v>5375</v>
      </c>
    </row>
    <row r="3408" spans="1:1">
      <c r="A3408" s="151" t="s">
        <v>5376</v>
      </c>
    </row>
    <row r="3409" spans="1:1">
      <c r="A3409" s="151" t="s">
        <v>5377</v>
      </c>
    </row>
    <row r="3410" spans="1:1">
      <c r="A3410" s="151" t="s">
        <v>5378</v>
      </c>
    </row>
    <row r="3411" spans="1:1">
      <c r="A3411" s="151" t="s">
        <v>5379</v>
      </c>
    </row>
    <row r="3412" spans="1:1">
      <c r="A3412" s="151" t="s">
        <v>5380</v>
      </c>
    </row>
    <row r="3413" spans="1:1">
      <c r="A3413" s="151" t="s">
        <v>5381</v>
      </c>
    </row>
    <row r="3414" spans="1:1">
      <c r="A3414" s="151" t="s">
        <v>5382</v>
      </c>
    </row>
    <row r="3415" spans="1:1">
      <c r="A3415" s="151" t="s">
        <v>5383</v>
      </c>
    </row>
    <row r="3416" spans="1:1">
      <c r="A3416" s="151" t="s">
        <v>5384</v>
      </c>
    </row>
    <row r="3417" spans="1:1">
      <c r="A3417" s="151" t="s">
        <v>5385</v>
      </c>
    </row>
    <row r="3418" spans="1:1">
      <c r="A3418" s="151" t="s">
        <v>5386</v>
      </c>
    </row>
    <row r="3419" spans="1:1">
      <c r="A3419" s="151" t="s">
        <v>5387</v>
      </c>
    </row>
    <row r="3420" spans="1:1">
      <c r="A3420" s="151" t="s">
        <v>5388</v>
      </c>
    </row>
    <row r="3421" spans="1:1">
      <c r="A3421" s="151" t="s">
        <v>5389</v>
      </c>
    </row>
    <row r="3422" spans="1:1">
      <c r="A3422" s="151" t="s">
        <v>5390</v>
      </c>
    </row>
    <row r="3423" spans="1:1">
      <c r="A3423" s="151" t="s">
        <v>5391</v>
      </c>
    </row>
    <row r="3424" spans="1:1">
      <c r="A3424" s="151" t="s">
        <v>5392</v>
      </c>
    </row>
    <row r="3425" spans="1:1">
      <c r="A3425" s="151" t="s">
        <v>5393</v>
      </c>
    </row>
    <row r="3426" spans="1:1">
      <c r="A3426" s="151" t="s">
        <v>5394</v>
      </c>
    </row>
    <row r="3427" spans="1:1">
      <c r="A3427" s="151" t="s">
        <v>5395</v>
      </c>
    </row>
    <row r="3428" spans="1:1">
      <c r="A3428" s="151" t="s">
        <v>5396</v>
      </c>
    </row>
    <row r="3429" spans="1:1">
      <c r="A3429" s="151" t="s">
        <v>5397</v>
      </c>
    </row>
    <row r="3430" spans="1:1">
      <c r="A3430" s="151" t="s">
        <v>5398</v>
      </c>
    </row>
    <row r="3431" spans="1:1">
      <c r="A3431" s="151" t="s">
        <v>5399</v>
      </c>
    </row>
    <row r="3432" spans="1:1">
      <c r="A3432" s="151" t="s">
        <v>5400</v>
      </c>
    </row>
    <row r="3433" spans="1:1">
      <c r="A3433" s="151" t="s">
        <v>5401</v>
      </c>
    </row>
    <row r="3434" spans="1:1">
      <c r="A3434" s="151" t="s">
        <v>5402</v>
      </c>
    </row>
    <row r="3435" spans="1:1">
      <c r="A3435" s="151" t="s">
        <v>5403</v>
      </c>
    </row>
    <row r="3436" spans="1:1">
      <c r="A3436" s="151" t="s">
        <v>5404</v>
      </c>
    </row>
    <row r="3437" spans="1:1">
      <c r="A3437" s="151" t="s">
        <v>5405</v>
      </c>
    </row>
    <row r="3438" spans="1:1">
      <c r="A3438" s="151" t="s">
        <v>5406</v>
      </c>
    </row>
    <row r="3439" spans="1:1">
      <c r="A3439" s="151" t="s">
        <v>5407</v>
      </c>
    </row>
    <row r="3440" spans="1:1">
      <c r="A3440" s="151" t="s">
        <v>5408</v>
      </c>
    </row>
    <row r="3441" spans="1:1">
      <c r="A3441" s="151" t="s">
        <v>5409</v>
      </c>
    </row>
    <row r="3442" spans="1:1">
      <c r="A3442" s="151" t="s">
        <v>5410</v>
      </c>
    </row>
    <row r="3443" spans="1:1">
      <c r="A3443" s="151" t="s">
        <v>5411</v>
      </c>
    </row>
    <row r="3444" spans="1:1">
      <c r="A3444" s="151" t="s">
        <v>5412</v>
      </c>
    </row>
    <row r="3445" spans="1:1">
      <c r="A3445" s="151" t="s">
        <v>5413</v>
      </c>
    </row>
    <row r="3446" spans="1:1">
      <c r="A3446" s="151" t="s">
        <v>5414</v>
      </c>
    </row>
    <row r="3447" spans="1:1">
      <c r="A3447" s="151" t="s">
        <v>5415</v>
      </c>
    </row>
    <row r="3448" spans="1:1">
      <c r="A3448" s="151" t="s">
        <v>5416</v>
      </c>
    </row>
    <row r="3449" spans="1:1">
      <c r="A3449" s="151" t="s">
        <v>5417</v>
      </c>
    </row>
    <row r="3450" spans="1:1">
      <c r="A3450" s="151" t="s">
        <v>5418</v>
      </c>
    </row>
    <row r="3451" spans="1:1">
      <c r="A3451" s="151" t="s">
        <v>5419</v>
      </c>
    </row>
    <row r="3452" spans="1:1">
      <c r="A3452" s="151" t="s">
        <v>5420</v>
      </c>
    </row>
    <row r="3453" spans="1:1">
      <c r="A3453" s="151" t="s">
        <v>5421</v>
      </c>
    </row>
    <row r="3454" spans="1:1">
      <c r="A3454" s="151" t="s">
        <v>5422</v>
      </c>
    </row>
    <row r="3455" spans="1:1">
      <c r="A3455" s="151" t="s">
        <v>5423</v>
      </c>
    </row>
    <row r="3456" spans="1:1">
      <c r="A3456" s="151" t="s">
        <v>5424</v>
      </c>
    </row>
    <row r="3457" spans="1:1">
      <c r="A3457" s="151" t="s">
        <v>5425</v>
      </c>
    </row>
    <row r="3458" spans="1:1">
      <c r="A3458" s="151" t="s">
        <v>5426</v>
      </c>
    </row>
    <row r="3459" spans="1:1">
      <c r="A3459" s="151" t="s">
        <v>5427</v>
      </c>
    </row>
    <row r="3460" spans="1:1">
      <c r="A3460" s="151" t="s">
        <v>5428</v>
      </c>
    </row>
    <row r="3461" spans="1:1">
      <c r="A3461" s="151" t="s">
        <v>5429</v>
      </c>
    </row>
    <row r="3462" spans="1:1">
      <c r="A3462" s="151" t="s">
        <v>5430</v>
      </c>
    </row>
    <row r="3463" spans="1:1">
      <c r="A3463" s="151" t="s">
        <v>5431</v>
      </c>
    </row>
    <row r="3464" spans="1:1">
      <c r="A3464" s="151" t="s">
        <v>5432</v>
      </c>
    </row>
    <row r="3465" spans="1:1">
      <c r="A3465" s="151" t="s">
        <v>5433</v>
      </c>
    </row>
    <row r="3466" spans="1:1">
      <c r="A3466" s="151" t="s">
        <v>5434</v>
      </c>
    </row>
    <row r="3467" spans="1:1">
      <c r="A3467" s="151" t="s">
        <v>5435</v>
      </c>
    </row>
    <row r="3468" spans="1:1">
      <c r="A3468" s="151" t="s">
        <v>5436</v>
      </c>
    </row>
    <row r="3469" spans="1:1">
      <c r="A3469" s="151" t="s">
        <v>5437</v>
      </c>
    </row>
    <row r="3470" spans="1:1">
      <c r="A3470" s="151" t="s">
        <v>5438</v>
      </c>
    </row>
    <row r="3471" spans="1:1">
      <c r="A3471" s="151" t="s">
        <v>5439</v>
      </c>
    </row>
    <row r="3472" spans="1:1">
      <c r="A3472" s="151" t="s">
        <v>5440</v>
      </c>
    </row>
    <row r="3473" spans="1:1">
      <c r="A3473" s="151" t="s">
        <v>5441</v>
      </c>
    </row>
    <row r="3474" spans="1:1">
      <c r="A3474" s="151" t="s">
        <v>5442</v>
      </c>
    </row>
    <row r="3475" spans="1:1">
      <c r="A3475" s="151" t="s">
        <v>5443</v>
      </c>
    </row>
    <row r="3476" spans="1:1">
      <c r="A3476" s="151" t="s">
        <v>5444</v>
      </c>
    </row>
    <row r="3477" spans="1:1">
      <c r="A3477" s="151" t="s">
        <v>5445</v>
      </c>
    </row>
    <row r="3478" spans="1:1">
      <c r="A3478" s="151" t="s">
        <v>5446</v>
      </c>
    </row>
    <row r="3479" spans="1:1">
      <c r="A3479" s="151" t="s">
        <v>5447</v>
      </c>
    </row>
    <row r="3480" spans="1:1">
      <c r="A3480" s="151" t="s">
        <v>5448</v>
      </c>
    </row>
    <row r="3481" spans="1:1">
      <c r="A3481" s="151" t="s">
        <v>5449</v>
      </c>
    </row>
    <row r="3482" spans="1:1">
      <c r="A3482" s="151" t="s">
        <v>5450</v>
      </c>
    </row>
    <row r="3483" spans="1:1">
      <c r="A3483" s="151" t="s">
        <v>5451</v>
      </c>
    </row>
    <row r="3484" spans="1:1">
      <c r="A3484" s="151" t="s">
        <v>5452</v>
      </c>
    </row>
    <row r="3485" spans="1:1">
      <c r="A3485" s="151" t="s">
        <v>5453</v>
      </c>
    </row>
    <row r="3486" spans="1:1">
      <c r="A3486" s="151" t="s">
        <v>5454</v>
      </c>
    </row>
    <row r="3487" spans="1:1">
      <c r="A3487" s="151" t="s">
        <v>5455</v>
      </c>
    </row>
    <row r="3488" spans="1:1">
      <c r="A3488" s="151" t="s">
        <v>5456</v>
      </c>
    </row>
    <row r="3489" spans="1:1">
      <c r="A3489" s="151" t="s">
        <v>5457</v>
      </c>
    </row>
    <row r="3490" spans="1:1">
      <c r="A3490" s="151" t="s">
        <v>5458</v>
      </c>
    </row>
    <row r="3491" spans="1:1">
      <c r="A3491" s="151" t="s">
        <v>5459</v>
      </c>
    </row>
    <row r="3492" spans="1:1">
      <c r="A3492" s="151" t="s">
        <v>5460</v>
      </c>
    </row>
    <row r="3493" spans="1:1">
      <c r="A3493" s="151" t="s">
        <v>5461</v>
      </c>
    </row>
    <row r="3494" spans="1:1">
      <c r="A3494" s="151" t="s">
        <v>5462</v>
      </c>
    </row>
    <row r="3495" spans="1:1">
      <c r="A3495" s="151" t="s">
        <v>5463</v>
      </c>
    </row>
    <row r="3496" spans="1:1">
      <c r="A3496" s="151" t="s">
        <v>5464</v>
      </c>
    </row>
    <row r="3497" spans="1:1">
      <c r="A3497" s="151" t="s">
        <v>5465</v>
      </c>
    </row>
    <row r="3498" spans="1:1">
      <c r="A3498" s="151" t="s">
        <v>5466</v>
      </c>
    </row>
    <row r="3499" spans="1:1">
      <c r="A3499" s="151" t="s">
        <v>5467</v>
      </c>
    </row>
    <row r="3500" spans="1:1">
      <c r="A3500" s="151" t="s">
        <v>5468</v>
      </c>
    </row>
    <row r="3501" spans="1:1">
      <c r="A3501" s="151" t="s">
        <v>5469</v>
      </c>
    </row>
    <row r="3502" spans="1:1">
      <c r="A3502" s="151" t="s">
        <v>5470</v>
      </c>
    </row>
    <row r="3503" spans="1:1">
      <c r="A3503" s="151" t="s">
        <v>5471</v>
      </c>
    </row>
    <row r="3504" spans="1:1">
      <c r="A3504" s="151" t="s">
        <v>5472</v>
      </c>
    </row>
    <row r="3505" spans="1:1">
      <c r="A3505" s="151" t="s">
        <v>5473</v>
      </c>
    </row>
    <row r="3506" spans="1:1">
      <c r="A3506" s="151" t="s">
        <v>5474</v>
      </c>
    </row>
    <row r="3507" spans="1:1">
      <c r="A3507" s="151" t="s">
        <v>5475</v>
      </c>
    </row>
    <row r="3508" spans="1:1">
      <c r="A3508" s="151" t="s">
        <v>5476</v>
      </c>
    </row>
    <row r="3509" spans="1:1">
      <c r="A3509" s="151" t="s">
        <v>5477</v>
      </c>
    </row>
    <row r="3510" spans="1:1">
      <c r="A3510" s="151" t="s">
        <v>5478</v>
      </c>
    </row>
    <row r="3511" spans="1:1">
      <c r="A3511" s="151" t="s">
        <v>5479</v>
      </c>
    </row>
    <row r="3512" spans="1:1">
      <c r="A3512" s="151" t="s">
        <v>5480</v>
      </c>
    </row>
    <row r="3513" spans="1:1">
      <c r="A3513" s="151" t="s">
        <v>5481</v>
      </c>
    </row>
    <row r="3514" spans="1:1">
      <c r="A3514" s="151" t="s">
        <v>5482</v>
      </c>
    </row>
    <row r="3515" spans="1:1">
      <c r="A3515" s="151" t="s">
        <v>5483</v>
      </c>
    </row>
    <row r="3516" spans="1:1">
      <c r="A3516" s="151" t="s">
        <v>5484</v>
      </c>
    </row>
    <row r="3517" spans="1:1">
      <c r="A3517" s="151" t="s">
        <v>5485</v>
      </c>
    </row>
    <row r="3518" spans="1:1">
      <c r="A3518" s="151" t="s">
        <v>5486</v>
      </c>
    </row>
    <row r="3519" spans="1:1">
      <c r="A3519" s="151" t="s">
        <v>5487</v>
      </c>
    </row>
    <row r="3520" spans="1:1">
      <c r="A3520" s="151" t="s">
        <v>5488</v>
      </c>
    </row>
    <row r="3521" spans="1:1">
      <c r="A3521" s="151" t="s">
        <v>5489</v>
      </c>
    </row>
    <row r="3522" spans="1:1">
      <c r="A3522" s="151" t="s">
        <v>5490</v>
      </c>
    </row>
    <row r="3523" spans="1:1">
      <c r="A3523" s="151" t="s">
        <v>5491</v>
      </c>
    </row>
    <row r="3524" spans="1:1">
      <c r="A3524" s="151" t="s">
        <v>5492</v>
      </c>
    </row>
    <row r="3525" spans="1:1">
      <c r="A3525" s="151" t="s">
        <v>5493</v>
      </c>
    </row>
    <row r="3526" spans="1:1">
      <c r="A3526" s="151" t="s">
        <v>5494</v>
      </c>
    </row>
    <row r="3527" spans="1:1">
      <c r="A3527" s="151" t="s">
        <v>5495</v>
      </c>
    </row>
    <row r="3528" spans="1:1">
      <c r="A3528" s="151" t="s">
        <v>5496</v>
      </c>
    </row>
    <row r="3529" spans="1:1">
      <c r="A3529" s="151" t="s">
        <v>5497</v>
      </c>
    </row>
    <row r="3530" spans="1:1">
      <c r="A3530" s="151" t="s">
        <v>5498</v>
      </c>
    </row>
    <row r="3531" spans="1:1">
      <c r="A3531" s="151" t="s">
        <v>5499</v>
      </c>
    </row>
    <row r="3532" spans="1:1">
      <c r="A3532" s="151" t="s">
        <v>5500</v>
      </c>
    </row>
    <row r="3533" spans="1:1">
      <c r="A3533" s="151" t="s">
        <v>5501</v>
      </c>
    </row>
    <row r="3534" spans="1:1">
      <c r="A3534" s="151" t="s">
        <v>5502</v>
      </c>
    </row>
    <row r="3535" spans="1:1">
      <c r="A3535" s="151" t="s">
        <v>5503</v>
      </c>
    </row>
    <row r="3536" spans="1:1">
      <c r="A3536" s="151" t="s">
        <v>5504</v>
      </c>
    </row>
    <row r="3537" spans="1:1">
      <c r="A3537" s="151" t="s">
        <v>5505</v>
      </c>
    </row>
    <row r="3538" spans="1:1">
      <c r="A3538" s="151" t="s">
        <v>5506</v>
      </c>
    </row>
    <row r="3539" spans="1:1">
      <c r="A3539" s="151" t="s">
        <v>5507</v>
      </c>
    </row>
    <row r="3540" spans="1:1">
      <c r="A3540" s="151" t="s">
        <v>5508</v>
      </c>
    </row>
    <row r="3541" spans="1:1">
      <c r="A3541" s="151" t="s">
        <v>5509</v>
      </c>
    </row>
    <row r="3542" spans="1:1">
      <c r="A3542" s="151" t="s">
        <v>5510</v>
      </c>
    </row>
    <row r="3543" spans="1:1">
      <c r="A3543" s="151" t="s">
        <v>5511</v>
      </c>
    </row>
    <row r="3544" spans="1:1">
      <c r="A3544" s="151" t="s">
        <v>5512</v>
      </c>
    </row>
    <row r="3545" spans="1:1">
      <c r="A3545" s="151" t="s">
        <v>5513</v>
      </c>
    </row>
    <row r="3546" spans="1:1">
      <c r="A3546" s="151" t="s">
        <v>5514</v>
      </c>
    </row>
    <row r="3547" spans="1:1">
      <c r="A3547" s="151" t="s">
        <v>5515</v>
      </c>
    </row>
    <row r="3548" spans="1:1">
      <c r="A3548" s="151" t="s">
        <v>5516</v>
      </c>
    </row>
    <row r="3549" spans="1:1">
      <c r="A3549" s="151" t="s">
        <v>5517</v>
      </c>
    </row>
    <row r="3550" spans="1:1">
      <c r="A3550" s="151" t="s">
        <v>5518</v>
      </c>
    </row>
    <row r="3551" spans="1:1">
      <c r="A3551" s="151" t="s">
        <v>5519</v>
      </c>
    </row>
    <row r="3552" spans="1:1">
      <c r="A3552" s="151" t="s">
        <v>5520</v>
      </c>
    </row>
    <row r="3553" spans="1:1">
      <c r="A3553" s="151" t="s">
        <v>5521</v>
      </c>
    </row>
    <row r="3554" spans="1:1">
      <c r="A3554" s="151" t="s">
        <v>5522</v>
      </c>
    </row>
    <row r="3555" spans="1:1">
      <c r="A3555" s="151" t="s">
        <v>5523</v>
      </c>
    </row>
    <row r="3556" spans="1:1">
      <c r="A3556" s="151" t="s">
        <v>5524</v>
      </c>
    </row>
    <row r="3557" spans="1:1">
      <c r="A3557" s="151" t="s">
        <v>5525</v>
      </c>
    </row>
    <row r="3558" spans="1:1">
      <c r="A3558" s="151" t="s">
        <v>5526</v>
      </c>
    </row>
    <row r="3559" spans="1:1">
      <c r="A3559" s="151" t="s">
        <v>5527</v>
      </c>
    </row>
    <row r="3560" spans="1:1">
      <c r="A3560" s="151" t="s">
        <v>5528</v>
      </c>
    </row>
    <row r="3561" spans="1:1">
      <c r="A3561" s="151" t="s">
        <v>5529</v>
      </c>
    </row>
    <row r="3562" spans="1:1">
      <c r="A3562" s="151" t="s">
        <v>5530</v>
      </c>
    </row>
    <row r="3563" spans="1:1">
      <c r="A3563" s="151" t="s">
        <v>5531</v>
      </c>
    </row>
    <row r="3564" spans="1:1">
      <c r="A3564" s="151" t="s">
        <v>5532</v>
      </c>
    </row>
    <row r="3565" spans="1:1">
      <c r="A3565" s="151" t="s">
        <v>5533</v>
      </c>
    </row>
    <row r="3566" spans="1:1">
      <c r="A3566" s="151" t="s">
        <v>5534</v>
      </c>
    </row>
    <row r="3567" spans="1:1">
      <c r="A3567" s="151" t="s">
        <v>5535</v>
      </c>
    </row>
    <row r="3568" spans="1:1">
      <c r="A3568" s="151" t="s">
        <v>5536</v>
      </c>
    </row>
    <row r="3569" spans="1:1">
      <c r="A3569" s="151" t="s">
        <v>5537</v>
      </c>
    </row>
    <row r="3570" spans="1:1">
      <c r="A3570" s="151" t="s">
        <v>5538</v>
      </c>
    </row>
    <row r="3571" spans="1:1">
      <c r="A3571" s="151" t="s">
        <v>5539</v>
      </c>
    </row>
    <row r="3572" spans="1:1">
      <c r="A3572" s="151" t="s">
        <v>5540</v>
      </c>
    </row>
    <row r="3573" spans="1:1">
      <c r="A3573" s="151" t="s">
        <v>5541</v>
      </c>
    </row>
    <row r="3574" spans="1:1">
      <c r="A3574" s="151" t="s">
        <v>5542</v>
      </c>
    </row>
    <row r="3575" spans="1:1">
      <c r="A3575" s="151" t="s">
        <v>5543</v>
      </c>
    </row>
    <row r="3576" spans="1:1">
      <c r="A3576" s="151" t="s">
        <v>5544</v>
      </c>
    </row>
    <row r="3577" spans="1:1">
      <c r="A3577" s="151" t="s">
        <v>5545</v>
      </c>
    </row>
    <row r="3578" spans="1:1">
      <c r="A3578" s="151" t="s">
        <v>5546</v>
      </c>
    </row>
    <row r="3579" spans="1:1">
      <c r="A3579" s="151" t="s">
        <v>5547</v>
      </c>
    </row>
    <row r="3580" spans="1:1">
      <c r="A3580" s="151" t="s">
        <v>5548</v>
      </c>
    </row>
    <row r="3581" spans="1:1">
      <c r="A3581" s="151" t="s">
        <v>5549</v>
      </c>
    </row>
    <row r="3582" spans="1:1">
      <c r="A3582" s="151" t="s">
        <v>5550</v>
      </c>
    </row>
    <row r="3583" spans="1:1">
      <c r="A3583" s="151" t="s">
        <v>5551</v>
      </c>
    </row>
    <row r="3584" spans="1:1">
      <c r="A3584" s="151" t="s">
        <v>5552</v>
      </c>
    </row>
    <row r="3585" spans="1:1">
      <c r="A3585" s="151" t="s">
        <v>5553</v>
      </c>
    </row>
    <row r="3586" spans="1:1">
      <c r="A3586" s="151" t="s">
        <v>5554</v>
      </c>
    </row>
    <row r="3587" spans="1:1">
      <c r="A3587" s="151" t="s">
        <v>5555</v>
      </c>
    </row>
    <row r="3588" spans="1:1">
      <c r="A3588" s="151" t="s">
        <v>5556</v>
      </c>
    </row>
    <row r="3589" spans="1:1">
      <c r="A3589" s="151" t="s">
        <v>5557</v>
      </c>
    </row>
    <row r="3590" spans="1:1">
      <c r="A3590" s="151" t="s">
        <v>5558</v>
      </c>
    </row>
    <row r="3591" spans="1:1">
      <c r="A3591" s="151" t="s">
        <v>5559</v>
      </c>
    </row>
    <row r="3592" spans="1:1">
      <c r="A3592" s="151" t="s">
        <v>5560</v>
      </c>
    </row>
    <row r="3593" spans="1:1">
      <c r="A3593" s="151" t="s">
        <v>5561</v>
      </c>
    </row>
    <row r="3594" spans="1:1">
      <c r="A3594" s="151" t="s">
        <v>5562</v>
      </c>
    </row>
    <row r="3595" spans="1:1">
      <c r="A3595" s="151" t="s">
        <v>5563</v>
      </c>
    </row>
    <row r="3596" spans="1:1">
      <c r="A3596" s="151" t="s">
        <v>5564</v>
      </c>
    </row>
    <row r="3597" spans="1:1">
      <c r="A3597" s="151" t="s">
        <v>5565</v>
      </c>
    </row>
    <row r="3598" spans="1:1">
      <c r="A3598" s="151" t="s">
        <v>5566</v>
      </c>
    </row>
    <row r="3599" spans="1:1">
      <c r="A3599" s="151" t="s">
        <v>5567</v>
      </c>
    </row>
    <row r="3600" spans="1:1">
      <c r="A3600" s="151" t="s">
        <v>5568</v>
      </c>
    </row>
    <row r="3601" spans="1:1">
      <c r="A3601" s="151" t="s">
        <v>5569</v>
      </c>
    </row>
    <row r="3602" spans="1:1">
      <c r="A3602" s="151" t="s">
        <v>5570</v>
      </c>
    </row>
    <row r="3603" spans="1:1">
      <c r="A3603" s="151" t="s">
        <v>5571</v>
      </c>
    </row>
    <row r="3604" spans="1:1">
      <c r="A3604" s="151" t="s">
        <v>5572</v>
      </c>
    </row>
    <row r="3605" spans="1:1">
      <c r="A3605" s="151" t="s">
        <v>5573</v>
      </c>
    </row>
    <row r="3606" spans="1:1">
      <c r="A3606" s="151" t="s">
        <v>5574</v>
      </c>
    </row>
    <row r="3607" spans="1:1">
      <c r="A3607" s="151" t="s">
        <v>5575</v>
      </c>
    </row>
    <row r="3608" spans="1:1">
      <c r="A3608" s="151" t="s">
        <v>5576</v>
      </c>
    </row>
    <row r="3609" spans="1:1">
      <c r="A3609" s="151" t="s">
        <v>5577</v>
      </c>
    </row>
    <row r="3610" spans="1:1">
      <c r="A3610" s="151" t="s">
        <v>5578</v>
      </c>
    </row>
    <row r="3611" spans="1:1">
      <c r="A3611" s="151" t="s">
        <v>5579</v>
      </c>
    </row>
    <row r="3612" spans="1:1">
      <c r="A3612" s="151" t="s">
        <v>5580</v>
      </c>
    </row>
    <row r="3613" spans="1:1">
      <c r="A3613" s="151" t="s">
        <v>5581</v>
      </c>
    </row>
    <row r="3614" spans="1:1">
      <c r="A3614" s="151" t="s">
        <v>5582</v>
      </c>
    </row>
    <row r="3615" spans="1:1">
      <c r="A3615" s="151" t="s">
        <v>5583</v>
      </c>
    </row>
    <row r="3616" spans="1:1">
      <c r="A3616" s="151" t="s">
        <v>5584</v>
      </c>
    </row>
    <row r="3617" spans="1:1">
      <c r="A3617" s="151" t="s">
        <v>5585</v>
      </c>
    </row>
    <row r="3618" spans="1:1">
      <c r="A3618" s="151" t="s">
        <v>5586</v>
      </c>
    </row>
    <row r="3619" spans="1:1">
      <c r="A3619" s="151" t="s">
        <v>5587</v>
      </c>
    </row>
    <row r="3620" spans="1:1">
      <c r="A3620" s="151" t="s">
        <v>5588</v>
      </c>
    </row>
    <row r="3621" spans="1:1">
      <c r="A3621" s="151" t="s">
        <v>5589</v>
      </c>
    </row>
    <row r="3622" spans="1:1">
      <c r="A3622" s="151" t="s">
        <v>5590</v>
      </c>
    </row>
    <row r="3623" spans="1:1">
      <c r="A3623" s="151" t="s">
        <v>5591</v>
      </c>
    </row>
    <row r="3624" spans="1:1">
      <c r="A3624" s="151" t="s">
        <v>5592</v>
      </c>
    </row>
    <row r="3625" spans="1:1">
      <c r="A3625" s="151" t="s">
        <v>5593</v>
      </c>
    </row>
    <row r="3626" spans="1:1">
      <c r="A3626" s="151" t="s">
        <v>5594</v>
      </c>
    </row>
    <row r="3627" spans="1:1">
      <c r="A3627" s="151" t="s">
        <v>5595</v>
      </c>
    </row>
    <row r="3628" spans="1:1">
      <c r="A3628" s="151" t="s">
        <v>5596</v>
      </c>
    </row>
    <row r="3629" spans="1:1">
      <c r="A3629" s="151" t="s">
        <v>5597</v>
      </c>
    </row>
    <row r="3630" spans="1:1">
      <c r="A3630" s="151" t="s">
        <v>5598</v>
      </c>
    </row>
    <row r="3631" spans="1:1">
      <c r="A3631" s="151" t="s">
        <v>5599</v>
      </c>
    </row>
    <row r="3632" spans="1:1">
      <c r="A3632" s="151" t="s">
        <v>5600</v>
      </c>
    </row>
    <row r="3633" spans="1:1">
      <c r="A3633" s="151" t="s">
        <v>5601</v>
      </c>
    </row>
    <row r="3634" spans="1:1">
      <c r="A3634" s="151" t="s">
        <v>5602</v>
      </c>
    </row>
    <row r="3635" spans="1:1">
      <c r="A3635" s="151" t="s">
        <v>5603</v>
      </c>
    </row>
    <row r="3636" spans="1:1">
      <c r="A3636" s="151" t="s">
        <v>5604</v>
      </c>
    </row>
    <row r="3637" spans="1:1">
      <c r="A3637" s="151" t="s">
        <v>5605</v>
      </c>
    </row>
    <row r="3638" spans="1:1">
      <c r="A3638" s="151" t="s">
        <v>5606</v>
      </c>
    </row>
    <row r="3639" spans="1:1">
      <c r="A3639" s="151" t="s">
        <v>5607</v>
      </c>
    </row>
    <row r="3640" spans="1:1">
      <c r="A3640" s="151" t="s">
        <v>5608</v>
      </c>
    </row>
    <row r="3641" spans="1:1">
      <c r="A3641" s="151" t="s">
        <v>5609</v>
      </c>
    </row>
    <row r="3642" spans="1:1">
      <c r="A3642" s="151" t="s">
        <v>5610</v>
      </c>
    </row>
    <row r="3643" spans="1:1">
      <c r="A3643" s="151" t="s">
        <v>5611</v>
      </c>
    </row>
    <row r="3644" spans="1:1">
      <c r="A3644" s="151" t="s">
        <v>5612</v>
      </c>
    </row>
    <row r="3645" spans="1:1">
      <c r="A3645" s="151" t="s">
        <v>5613</v>
      </c>
    </row>
    <row r="3646" spans="1:1">
      <c r="A3646" s="151" t="s">
        <v>5614</v>
      </c>
    </row>
    <row r="3647" spans="1:1">
      <c r="A3647" s="151" t="s">
        <v>5615</v>
      </c>
    </row>
    <row r="3648" spans="1:1">
      <c r="A3648" s="151" t="s">
        <v>5616</v>
      </c>
    </row>
    <row r="3649" spans="1:1">
      <c r="A3649" s="151" t="s">
        <v>5617</v>
      </c>
    </row>
    <row r="3650" spans="1:1">
      <c r="A3650" s="151" t="s">
        <v>5618</v>
      </c>
    </row>
    <row r="3651" spans="1:1">
      <c r="A3651" s="151" t="s">
        <v>5619</v>
      </c>
    </row>
    <row r="3652" spans="1:1">
      <c r="A3652" s="151" t="s">
        <v>5620</v>
      </c>
    </row>
    <row r="3653" spans="1:1">
      <c r="A3653" s="151" t="s">
        <v>5621</v>
      </c>
    </row>
    <row r="3654" spans="1:1">
      <c r="A3654" s="151" t="s">
        <v>5622</v>
      </c>
    </row>
    <row r="3655" spans="1:1">
      <c r="A3655" s="151" t="s">
        <v>5623</v>
      </c>
    </row>
    <row r="3656" spans="1:1">
      <c r="A3656" s="151" t="s">
        <v>5624</v>
      </c>
    </row>
    <row r="3657" spans="1:1">
      <c r="A3657" s="151" t="s">
        <v>5625</v>
      </c>
    </row>
    <row r="3658" spans="1:1">
      <c r="A3658" s="151" t="s">
        <v>5626</v>
      </c>
    </row>
    <row r="3659" spans="1:1">
      <c r="A3659" s="151" t="s">
        <v>5627</v>
      </c>
    </row>
    <row r="3660" spans="1:1">
      <c r="A3660" s="151" t="s">
        <v>5628</v>
      </c>
    </row>
    <row r="3661" spans="1:1">
      <c r="A3661" s="151" t="s">
        <v>5629</v>
      </c>
    </row>
    <row r="3662" spans="1:1">
      <c r="A3662" s="151" t="s">
        <v>5630</v>
      </c>
    </row>
    <row r="3663" spans="1:1">
      <c r="A3663" s="151" t="s">
        <v>5631</v>
      </c>
    </row>
    <row r="3664" spans="1:1">
      <c r="A3664" s="151" t="s">
        <v>5632</v>
      </c>
    </row>
    <row r="3665" spans="1:1">
      <c r="A3665" s="151" t="s">
        <v>5633</v>
      </c>
    </row>
    <row r="3666" spans="1:1">
      <c r="A3666" s="151" t="s">
        <v>5634</v>
      </c>
    </row>
    <row r="3667" spans="1:1">
      <c r="A3667" s="151" t="s">
        <v>5635</v>
      </c>
    </row>
    <row r="3668" spans="1:1">
      <c r="A3668" s="151" t="s">
        <v>5636</v>
      </c>
    </row>
    <row r="3669" spans="1:1">
      <c r="A3669" s="151" t="s">
        <v>5637</v>
      </c>
    </row>
    <row r="3670" spans="1:1">
      <c r="A3670" s="151" t="s">
        <v>5638</v>
      </c>
    </row>
    <row r="3671" spans="1:1">
      <c r="A3671" s="151" t="s">
        <v>5639</v>
      </c>
    </row>
    <row r="3672" spans="1:1">
      <c r="A3672" s="151" t="s">
        <v>5640</v>
      </c>
    </row>
    <row r="3673" spans="1:1">
      <c r="A3673" s="151" t="s">
        <v>5641</v>
      </c>
    </row>
    <row r="3674" spans="1:1">
      <c r="A3674" s="151" t="s">
        <v>5642</v>
      </c>
    </row>
    <row r="3675" spans="1:1">
      <c r="A3675" s="151" t="s">
        <v>5643</v>
      </c>
    </row>
    <row r="3676" spans="1:1">
      <c r="A3676" s="151" t="s">
        <v>5644</v>
      </c>
    </row>
    <row r="3677" spans="1:1">
      <c r="A3677" s="151" t="s">
        <v>5645</v>
      </c>
    </row>
    <row r="3678" spans="1:1">
      <c r="A3678" s="151" t="s">
        <v>5646</v>
      </c>
    </row>
    <row r="3679" spans="1:1">
      <c r="A3679" s="151" t="s">
        <v>5647</v>
      </c>
    </row>
    <row r="3680" spans="1:1">
      <c r="A3680" s="151" t="s">
        <v>5648</v>
      </c>
    </row>
    <row r="3681" spans="1:1">
      <c r="A3681" s="151" t="s">
        <v>5649</v>
      </c>
    </row>
    <row r="3682" spans="1:1">
      <c r="A3682" s="151" t="s">
        <v>5650</v>
      </c>
    </row>
    <row r="3683" spans="1:1">
      <c r="A3683" s="151" t="s">
        <v>5651</v>
      </c>
    </row>
    <row r="3684" spans="1:1">
      <c r="A3684" s="151" t="s">
        <v>5652</v>
      </c>
    </row>
    <row r="3685" spans="1:1">
      <c r="A3685" s="151" t="s">
        <v>5653</v>
      </c>
    </row>
    <row r="3686" spans="1:1">
      <c r="A3686" s="151" t="s">
        <v>5654</v>
      </c>
    </row>
    <row r="3687" spans="1:1">
      <c r="A3687" s="151" t="s">
        <v>5655</v>
      </c>
    </row>
    <row r="3688" spans="1:1">
      <c r="A3688" s="151" t="s">
        <v>5656</v>
      </c>
    </row>
    <row r="3689" spans="1:1">
      <c r="A3689" s="151" t="s">
        <v>5657</v>
      </c>
    </row>
    <row r="3690" spans="1:1">
      <c r="A3690" s="151" t="s">
        <v>5658</v>
      </c>
    </row>
    <row r="3691" spans="1:1">
      <c r="A3691" s="151" t="s">
        <v>5659</v>
      </c>
    </row>
    <row r="3692" spans="1:1">
      <c r="A3692" s="151" t="s">
        <v>5660</v>
      </c>
    </row>
    <row r="3693" spans="1:1">
      <c r="A3693" s="151" t="s">
        <v>5661</v>
      </c>
    </row>
    <row r="3694" spans="1:1">
      <c r="A3694" s="151" t="s">
        <v>5662</v>
      </c>
    </row>
    <row r="3695" spans="1:1">
      <c r="A3695" s="151" t="s">
        <v>5663</v>
      </c>
    </row>
    <row r="3696" spans="1:1">
      <c r="A3696" s="151" t="s">
        <v>5664</v>
      </c>
    </row>
    <row r="3697" spans="1:1">
      <c r="A3697" s="151" t="s">
        <v>5665</v>
      </c>
    </row>
    <row r="3698" spans="1:1">
      <c r="A3698" s="151" t="s">
        <v>5666</v>
      </c>
    </row>
    <row r="3699" spans="1:1">
      <c r="A3699" s="151" t="s">
        <v>5667</v>
      </c>
    </row>
    <row r="3700" spans="1:1">
      <c r="A3700" s="151" t="s">
        <v>5668</v>
      </c>
    </row>
    <row r="3701" spans="1:1">
      <c r="A3701" s="151" t="s">
        <v>5669</v>
      </c>
    </row>
    <row r="3702" spans="1:1">
      <c r="A3702" s="151" t="s">
        <v>5670</v>
      </c>
    </row>
    <row r="3703" spans="1:1">
      <c r="A3703" s="151" t="s">
        <v>5671</v>
      </c>
    </row>
    <row r="3704" spans="1:1">
      <c r="A3704" s="151" t="s">
        <v>5672</v>
      </c>
    </row>
    <row r="3705" spans="1:1">
      <c r="A3705" s="151" t="s">
        <v>5673</v>
      </c>
    </row>
    <row r="3706" spans="1:1">
      <c r="A3706" s="151" t="s">
        <v>5674</v>
      </c>
    </row>
    <row r="3707" spans="1:1">
      <c r="A3707" s="151" t="s">
        <v>5675</v>
      </c>
    </row>
    <row r="3708" spans="1:1">
      <c r="A3708" s="151" t="s">
        <v>5676</v>
      </c>
    </row>
    <row r="3709" spans="1:1">
      <c r="A3709" s="151" t="s">
        <v>5677</v>
      </c>
    </row>
    <row r="3710" spans="1:1">
      <c r="A3710" s="151" t="s">
        <v>5678</v>
      </c>
    </row>
    <row r="3711" spans="1:1">
      <c r="A3711" s="151" t="s">
        <v>5679</v>
      </c>
    </row>
    <row r="3712" spans="1:1">
      <c r="A3712" s="151" t="s">
        <v>5680</v>
      </c>
    </row>
    <row r="3713" spans="1:1">
      <c r="A3713" s="151" t="s">
        <v>5681</v>
      </c>
    </row>
    <row r="3714" spans="1:1">
      <c r="A3714" s="151" t="s">
        <v>5682</v>
      </c>
    </row>
    <row r="3715" spans="1:1">
      <c r="A3715" s="151" t="s">
        <v>5683</v>
      </c>
    </row>
    <row r="3716" spans="1:1">
      <c r="A3716" s="151" t="s">
        <v>5684</v>
      </c>
    </row>
    <row r="3717" spans="1:1">
      <c r="A3717" s="151" t="s">
        <v>5685</v>
      </c>
    </row>
    <row r="3718" spans="1:1">
      <c r="A3718" s="151" t="s">
        <v>5686</v>
      </c>
    </row>
    <row r="3719" spans="1:1">
      <c r="A3719" s="151" t="s">
        <v>5687</v>
      </c>
    </row>
    <row r="3720" spans="1:1">
      <c r="A3720" s="151" t="s">
        <v>5688</v>
      </c>
    </row>
    <row r="3721" spans="1:1">
      <c r="A3721" s="151" t="s">
        <v>5689</v>
      </c>
    </row>
    <row r="3722" spans="1:1">
      <c r="A3722" s="151" t="s">
        <v>5690</v>
      </c>
    </row>
    <row r="3723" spans="1:1">
      <c r="A3723" s="151" t="s">
        <v>5691</v>
      </c>
    </row>
    <row r="3724" spans="1:1">
      <c r="A3724" s="151" t="s">
        <v>5692</v>
      </c>
    </row>
    <row r="3725" spans="1:1">
      <c r="A3725" s="151" t="s">
        <v>5693</v>
      </c>
    </row>
    <row r="3726" spans="1:1">
      <c r="A3726" s="151" t="s">
        <v>5694</v>
      </c>
    </row>
    <row r="3727" spans="1:1">
      <c r="A3727" s="151" t="s">
        <v>5695</v>
      </c>
    </row>
    <row r="3728" spans="1:1">
      <c r="A3728" s="151" t="s">
        <v>5696</v>
      </c>
    </row>
    <row r="3729" spans="1:1">
      <c r="A3729" s="151" t="s">
        <v>5697</v>
      </c>
    </row>
    <row r="3730" spans="1:1">
      <c r="A3730" s="151" t="s">
        <v>5698</v>
      </c>
    </row>
    <row r="3731" spans="1:1">
      <c r="A3731" s="151" t="s">
        <v>5699</v>
      </c>
    </row>
    <row r="3732" spans="1:1">
      <c r="A3732" s="151" t="s">
        <v>5700</v>
      </c>
    </row>
    <row r="3733" spans="1:1">
      <c r="A3733" s="151" t="s">
        <v>5701</v>
      </c>
    </row>
    <row r="3734" spans="1:1">
      <c r="A3734" s="151" t="s">
        <v>5702</v>
      </c>
    </row>
    <row r="3735" spans="1:1">
      <c r="A3735" s="151" t="s">
        <v>5703</v>
      </c>
    </row>
    <row r="3736" spans="1:1">
      <c r="A3736" s="151" t="s">
        <v>5704</v>
      </c>
    </row>
    <row r="3737" spans="1:1">
      <c r="A3737" s="151" t="s">
        <v>5705</v>
      </c>
    </row>
    <row r="3738" spans="1:1">
      <c r="A3738" s="151" t="s">
        <v>5706</v>
      </c>
    </row>
    <row r="3739" spans="1:1">
      <c r="A3739" s="151" t="s">
        <v>5707</v>
      </c>
    </row>
    <row r="3740" spans="1:1">
      <c r="A3740" s="151" t="s">
        <v>5708</v>
      </c>
    </row>
    <row r="3741" spans="1:1">
      <c r="A3741" s="151" t="s">
        <v>5709</v>
      </c>
    </row>
    <row r="3742" spans="1:1">
      <c r="A3742" s="151" t="s">
        <v>5710</v>
      </c>
    </row>
    <row r="3743" spans="1:1">
      <c r="A3743" s="151" t="s">
        <v>5711</v>
      </c>
    </row>
    <row r="3744" spans="1:1">
      <c r="A3744" s="151" t="s">
        <v>5712</v>
      </c>
    </row>
    <row r="3745" spans="1:1">
      <c r="A3745" s="151" t="s">
        <v>5713</v>
      </c>
    </row>
    <row r="3746" spans="1:1">
      <c r="A3746" s="151" t="s">
        <v>5714</v>
      </c>
    </row>
    <row r="3747" spans="1:1">
      <c r="A3747" s="151" t="s">
        <v>5715</v>
      </c>
    </row>
    <row r="3748" spans="1:1">
      <c r="A3748" s="151" t="s">
        <v>5716</v>
      </c>
    </row>
    <row r="3749" spans="1:1">
      <c r="A3749" s="151" t="s">
        <v>5717</v>
      </c>
    </row>
    <row r="3750" spans="1:1">
      <c r="A3750" s="151" t="s">
        <v>5718</v>
      </c>
    </row>
    <row r="3751" spans="1:1">
      <c r="A3751" s="151" t="s">
        <v>5719</v>
      </c>
    </row>
    <row r="3752" spans="1:1">
      <c r="A3752" s="151" t="s">
        <v>5720</v>
      </c>
    </row>
    <row r="3753" spans="1:1">
      <c r="A3753" s="151" t="s">
        <v>5721</v>
      </c>
    </row>
    <row r="3754" spans="1:1">
      <c r="A3754" s="151" t="s">
        <v>5722</v>
      </c>
    </row>
    <row r="3755" spans="1:1">
      <c r="A3755" s="151" t="s">
        <v>5723</v>
      </c>
    </row>
    <row r="3756" spans="1:1">
      <c r="A3756" s="151" t="s">
        <v>5724</v>
      </c>
    </row>
    <row r="3757" spans="1:1">
      <c r="A3757" s="151" t="s">
        <v>5725</v>
      </c>
    </row>
    <row r="3758" spans="1:1">
      <c r="A3758" s="151" t="s">
        <v>5726</v>
      </c>
    </row>
    <row r="3759" spans="1:1">
      <c r="A3759" s="151" t="s">
        <v>5727</v>
      </c>
    </row>
    <row r="3760" spans="1:1">
      <c r="A3760" s="151" t="s">
        <v>5728</v>
      </c>
    </row>
    <row r="3761" spans="1:1">
      <c r="A3761" s="151" t="s">
        <v>5729</v>
      </c>
    </row>
    <row r="3762" spans="1:1">
      <c r="A3762" s="151" t="s">
        <v>5730</v>
      </c>
    </row>
    <row r="3763" spans="1:1">
      <c r="A3763" s="151" t="s">
        <v>5731</v>
      </c>
    </row>
    <row r="3764" spans="1:1">
      <c r="A3764" s="151" t="s">
        <v>5732</v>
      </c>
    </row>
    <row r="3765" spans="1:1">
      <c r="A3765" s="151" t="s">
        <v>5733</v>
      </c>
    </row>
    <row r="3766" spans="1:1">
      <c r="A3766" s="151" t="s">
        <v>5734</v>
      </c>
    </row>
    <row r="3767" spans="1:1">
      <c r="A3767" s="151" t="s">
        <v>5735</v>
      </c>
    </row>
    <row r="3768" spans="1:1">
      <c r="A3768" s="151" t="s">
        <v>5736</v>
      </c>
    </row>
    <row r="3769" spans="1:1">
      <c r="A3769" s="151" t="s">
        <v>5737</v>
      </c>
    </row>
    <row r="3770" spans="1:1">
      <c r="A3770" s="151" t="s">
        <v>5738</v>
      </c>
    </row>
    <row r="3771" spans="1:1">
      <c r="A3771" s="151" t="s">
        <v>5739</v>
      </c>
    </row>
    <row r="3772" spans="1:1">
      <c r="A3772" s="151" t="s">
        <v>5740</v>
      </c>
    </row>
    <row r="3773" spans="1:1">
      <c r="A3773" s="151" t="s">
        <v>5741</v>
      </c>
    </row>
    <row r="3774" spans="1:1">
      <c r="A3774" s="151" t="s">
        <v>5742</v>
      </c>
    </row>
    <row r="3775" spans="1:1">
      <c r="A3775" s="151" t="s">
        <v>5743</v>
      </c>
    </row>
    <row r="3776" spans="1:1">
      <c r="A3776" s="151" t="s">
        <v>5744</v>
      </c>
    </row>
    <row r="3777" spans="1:1">
      <c r="A3777" s="151" t="s">
        <v>5745</v>
      </c>
    </row>
    <row r="3778" spans="1:1">
      <c r="A3778" s="151" t="s">
        <v>5746</v>
      </c>
    </row>
    <row r="3779" spans="1:1">
      <c r="A3779" s="151" t="s">
        <v>5747</v>
      </c>
    </row>
    <row r="3780" spans="1:1">
      <c r="A3780" s="151" t="s">
        <v>5748</v>
      </c>
    </row>
    <row r="3781" spans="1:1">
      <c r="A3781" s="151" t="s">
        <v>5749</v>
      </c>
    </row>
    <row r="3782" spans="1:1">
      <c r="A3782" s="151" t="s">
        <v>5750</v>
      </c>
    </row>
    <row r="3783" spans="1:1">
      <c r="A3783" s="151" t="s">
        <v>5751</v>
      </c>
    </row>
    <row r="3784" spans="1:1">
      <c r="A3784" s="151" t="s">
        <v>5752</v>
      </c>
    </row>
    <row r="3785" spans="1:1">
      <c r="A3785" s="151" t="s">
        <v>5753</v>
      </c>
    </row>
    <row r="3786" spans="1:1">
      <c r="A3786" s="151" t="s">
        <v>5754</v>
      </c>
    </row>
    <row r="3787" spans="1:1">
      <c r="A3787" s="151" t="s">
        <v>5755</v>
      </c>
    </row>
    <row r="3788" spans="1:1">
      <c r="A3788" s="151" t="s">
        <v>5756</v>
      </c>
    </row>
    <row r="3789" spans="1:1">
      <c r="A3789" s="151" t="s">
        <v>5757</v>
      </c>
    </row>
    <row r="3790" spans="1:1">
      <c r="A3790" s="151" t="s">
        <v>5758</v>
      </c>
    </row>
    <row r="3791" spans="1:1">
      <c r="A3791" s="151" t="s">
        <v>5759</v>
      </c>
    </row>
    <row r="3792" spans="1:1">
      <c r="A3792" s="151" t="s">
        <v>5760</v>
      </c>
    </row>
    <row r="3793" spans="1:1">
      <c r="A3793" s="151" t="s">
        <v>5761</v>
      </c>
    </row>
    <row r="3794" spans="1:1">
      <c r="A3794" s="151" t="s">
        <v>5762</v>
      </c>
    </row>
    <row r="3795" spans="1:1">
      <c r="A3795" s="151" t="s">
        <v>5763</v>
      </c>
    </row>
    <row r="3796" spans="1:1">
      <c r="A3796" s="151" t="s">
        <v>5764</v>
      </c>
    </row>
    <row r="3797" spans="1:1">
      <c r="A3797" s="151" t="s">
        <v>5765</v>
      </c>
    </row>
    <row r="3798" spans="1:1">
      <c r="A3798" s="151" t="s">
        <v>5766</v>
      </c>
    </row>
    <row r="3799" spans="1:1">
      <c r="A3799" s="151" t="s">
        <v>5767</v>
      </c>
    </row>
    <row r="3800" spans="1:1">
      <c r="A3800" s="151" t="s">
        <v>5768</v>
      </c>
    </row>
    <row r="3801" spans="1:1">
      <c r="A3801" s="151" t="s">
        <v>5769</v>
      </c>
    </row>
    <row r="3802" spans="1:1">
      <c r="A3802" s="151" t="s">
        <v>5770</v>
      </c>
    </row>
    <row r="3803" spans="1:1">
      <c r="A3803" s="151" t="s">
        <v>5771</v>
      </c>
    </row>
    <row r="3804" spans="1:1">
      <c r="A3804" s="151" t="s">
        <v>5772</v>
      </c>
    </row>
    <row r="3805" spans="1:1">
      <c r="A3805" s="151" t="s">
        <v>5773</v>
      </c>
    </row>
    <row r="3806" spans="1:1">
      <c r="A3806" s="151" t="s">
        <v>5774</v>
      </c>
    </row>
    <row r="3807" spans="1:1">
      <c r="A3807" s="151" t="s">
        <v>5775</v>
      </c>
    </row>
    <row r="3808" spans="1:1">
      <c r="A3808" s="151" t="s">
        <v>5776</v>
      </c>
    </row>
    <row r="3809" spans="1:1">
      <c r="A3809" s="151" t="s">
        <v>5777</v>
      </c>
    </row>
    <row r="3810" spans="1:1">
      <c r="A3810" s="151" t="s">
        <v>5778</v>
      </c>
    </row>
    <row r="3811" spans="1:1">
      <c r="A3811" s="151" t="s">
        <v>5779</v>
      </c>
    </row>
    <row r="3812" spans="1:1">
      <c r="A3812" s="151" t="s">
        <v>5780</v>
      </c>
    </row>
    <row r="3813" spans="1:1">
      <c r="A3813" s="151" t="s">
        <v>5781</v>
      </c>
    </row>
    <row r="3814" spans="1:1">
      <c r="A3814" s="151" t="s">
        <v>5782</v>
      </c>
    </row>
    <row r="3815" spans="1:1">
      <c r="A3815" s="151" t="s">
        <v>5783</v>
      </c>
    </row>
    <row r="3816" spans="1:1">
      <c r="A3816" s="151" t="s">
        <v>5784</v>
      </c>
    </row>
    <row r="3817" spans="1:1">
      <c r="A3817" s="151" t="s">
        <v>5785</v>
      </c>
    </row>
    <row r="3818" spans="1:1">
      <c r="A3818" s="151" t="s">
        <v>5786</v>
      </c>
    </row>
    <row r="3819" spans="1:1">
      <c r="A3819" s="151" t="s">
        <v>5787</v>
      </c>
    </row>
    <row r="3820" spans="1:1">
      <c r="A3820" s="151" t="s">
        <v>5788</v>
      </c>
    </row>
    <row r="3821" spans="1:1">
      <c r="A3821" s="151" t="s">
        <v>5789</v>
      </c>
    </row>
    <row r="3822" spans="1:1">
      <c r="A3822" s="151" t="s">
        <v>5790</v>
      </c>
    </row>
    <row r="3823" spans="1:1">
      <c r="A3823" s="151" t="s">
        <v>5791</v>
      </c>
    </row>
    <row r="3824" spans="1:1">
      <c r="A3824" s="151" t="s">
        <v>5792</v>
      </c>
    </row>
    <row r="3825" spans="1:1">
      <c r="A3825" s="151" t="s">
        <v>5793</v>
      </c>
    </row>
    <row r="3826" spans="1:1">
      <c r="A3826" s="151" t="s">
        <v>5794</v>
      </c>
    </row>
    <row r="3827" spans="1:1">
      <c r="A3827" s="151" t="s">
        <v>5795</v>
      </c>
    </row>
    <row r="3828" spans="1:1">
      <c r="A3828" s="151" t="s">
        <v>5796</v>
      </c>
    </row>
    <row r="3829" spans="1:1">
      <c r="A3829" s="151" t="s">
        <v>5797</v>
      </c>
    </row>
    <row r="3830" spans="1:1">
      <c r="A3830" s="151" t="s">
        <v>5798</v>
      </c>
    </row>
    <row r="3831" spans="1:1">
      <c r="A3831" s="151" t="s">
        <v>5799</v>
      </c>
    </row>
    <row r="3832" spans="1:1">
      <c r="A3832" s="151" t="s">
        <v>5800</v>
      </c>
    </row>
    <row r="3833" spans="1:1">
      <c r="A3833" s="151" t="s">
        <v>5801</v>
      </c>
    </row>
    <row r="3834" spans="1:1">
      <c r="A3834" s="151" t="s">
        <v>5802</v>
      </c>
    </row>
    <row r="3835" spans="1:1">
      <c r="A3835" s="151" t="s">
        <v>5803</v>
      </c>
    </row>
    <row r="3836" spans="1:1">
      <c r="A3836" s="151" t="s">
        <v>5804</v>
      </c>
    </row>
    <row r="3837" spans="1:1">
      <c r="A3837" s="151" t="s">
        <v>5805</v>
      </c>
    </row>
    <row r="3838" spans="1:1">
      <c r="A3838" s="151" t="s">
        <v>5806</v>
      </c>
    </row>
    <row r="3839" spans="1:1">
      <c r="A3839" s="151" t="s">
        <v>5807</v>
      </c>
    </row>
    <row r="3840" spans="1:1">
      <c r="A3840" s="151" t="s">
        <v>5808</v>
      </c>
    </row>
    <row r="3841" spans="1:1">
      <c r="A3841" s="151" t="s">
        <v>5809</v>
      </c>
    </row>
    <row r="3842" spans="1:1">
      <c r="A3842" s="151" t="s">
        <v>5810</v>
      </c>
    </row>
    <row r="3843" spans="1:1">
      <c r="A3843" s="151" t="s">
        <v>5811</v>
      </c>
    </row>
    <row r="3844" spans="1:1">
      <c r="A3844" s="151" t="s">
        <v>5812</v>
      </c>
    </row>
    <row r="3845" spans="1:1">
      <c r="A3845" s="151" t="s">
        <v>5813</v>
      </c>
    </row>
    <row r="3846" spans="1:1">
      <c r="A3846" s="151" t="s">
        <v>5814</v>
      </c>
    </row>
    <row r="3847" spans="1:1">
      <c r="A3847" s="151" t="s">
        <v>5815</v>
      </c>
    </row>
    <row r="3848" spans="1:1">
      <c r="A3848" s="151" t="s">
        <v>5816</v>
      </c>
    </row>
    <row r="3849" spans="1:1">
      <c r="A3849" s="151" t="s">
        <v>5817</v>
      </c>
    </row>
    <row r="3850" spans="1:1">
      <c r="A3850" s="151" t="s">
        <v>5818</v>
      </c>
    </row>
    <row r="3851" spans="1:1">
      <c r="A3851" s="151" t="s">
        <v>5819</v>
      </c>
    </row>
    <row r="3852" spans="1:1">
      <c r="A3852" s="151" t="s">
        <v>5820</v>
      </c>
    </row>
    <row r="3853" spans="1:1">
      <c r="A3853" s="151" t="s">
        <v>5821</v>
      </c>
    </row>
    <row r="3854" spans="1:1">
      <c r="A3854" s="151" t="s">
        <v>5822</v>
      </c>
    </row>
    <row r="3855" spans="1:1">
      <c r="A3855" s="151" t="s">
        <v>5823</v>
      </c>
    </row>
    <row r="3856" spans="1:1">
      <c r="A3856" s="151" t="s">
        <v>5824</v>
      </c>
    </row>
    <row r="3857" spans="1:1">
      <c r="A3857" s="151" t="s">
        <v>5825</v>
      </c>
    </row>
    <row r="3858" spans="1:1">
      <c r="A3858" s="151" t="s">
        <v>5826</v>
      </c>
    </row>
    <row r="3859" spans="1:1">
      <c r="A3859" s="151" t="s">
        <v>5827</v>
      </c>
    </row>
    <row r="3860" spans="1:1">
      <c r="A3860" s="151" t="s">
        <v>5828</v>
      </c>
    </row>
    <row r="3861" spans="1:1">
      <c r="A3861" s="151" t="s">
        <v>5829</v>
      </c>
    </row>
    <row r="3862" spans="1:1">
      <c r="A3862" s="151" t="s">
        <v>5830</v>
      </c>
    </row>
    <row r="3863" spans="1:1">
      <c r="A3863" s="151" t="s">
        <v>5831</v>
      </c>
    </row>
    <row r="3864" spans="1:1">
      <c r="A3864" s="151" t="s">
        <v>5832</v>
      </c>
    </row>
    <row r="3865" spans="1:1">
      <c r="A3865" s="151" t="s">
        <v>5833</v>
      </c>
    </row>
    <row r="3866" spans="1:1">
      <c r="A3866" s="151" t="s">
        <v>5834</v>
      </c>
    </row>
    <row r="3867" spans="1:1">
      <c r="A3867" s="151" t="s">
        <v>5835</v>
      </c>
    </row>
    <row r="3868" spans="1:1">
      <c r="A3868" s="151" t="s">
        <v>5836</v>
      </c>
    </row>
    <row r="3869" spans="1:1">
      <c r="A3869" s="151" t="s">
        <v>5837</v>
      </c>
    </row>
    <row r="3870" spans="1:1">
      <c r="A3870" s="151" t="s">
        <v>5838</v>
      </c>
    </row>
    <row r="3871" spans="1:1">
      <c r="A3871" s="151" t="s">
        <v>5839</v>
      </c>
    </row>
    <row r="3872" spans="1:1">
      <c r="A3872" s="151" t="s">
        <v>5840</v>
      </c>
    </row>
    <row r="3873" spans="1:1">
      <c r="A3873" s="151" t="s">
        <v>5841</v>
      </c>
    </row>
    <row r="3874" spans="1:1">
      <c r="A3874" s="151" t="s">
        <v>5842</v>
      </c>
    </row>
    <row r="3875" spans="1:1">
      <c r="A3875" s="151" t="s">
        <v>5843</v>
      </c>
    </row>
    <row r="3876" spans="1:1">
      <c r="A3876" s="151" t="s">
        <v>5844</v>
      </c>
    </row>
    <row r="3877" spans="1:1">
      <c r="A3877" s="151" t="s">
        <v>5845</v>
      </c>
    </row>
    <row r="3878" spans="1:1">
      <c r="A3878" s="151" t="s">
        <v>5846</v>
      </c>
    </row>
    <row r="3879" spans="1:1">
      <c r="A3879" s="151" t="s">
        <v>5847</v>
      </c>
    </row>
    <row r="3880" spans="1:1">
      <c r="A3880" s="151" t="s">
        <v>5848</v>
      </c>
    </row>
    <row r="3881" spans="1:1">
      <c r="A3881" s="151" t="s">
        <v>5849</v>
      </c>
    </row>
    <row r="3882" spans="1:1">
      <c r="A3882" s="151" t="s">
        <v>5850</v>
      </c>
    </row>
    <row r="3883" spans="1:1">
      <c r="A3883" s="151" t="s">
        <v>5851</v>
      </c>
    </row>
    <row r="3884" spans="1:1">
      <c r="A3884" s="151" t="s">
        <v>5852</v>
      </c>
    </row>
    <row r="3885" spans="1:1">
      <c r="A3885" s="151" t="s">
        <v>5853</v>
      </c>
    </row>
    <row r="3886" spans="1:1">
      <c r="A3886" s="151" t="s">
        <v>5854</v>
      </c>
    </row>
    <row r="3887" spans="1:1">
      <c r="A3887" s="151" t="s">
        <v>5855</v>
      </c>
    </row>
    <row r="3888" spans="1:1">
      <c r="A3888" s="151" t="s">
        <v>5856</v>
      </c>
    </row>
    <row r="3889" spans="1:1">
      <c r="A3889" s="151" t="s">
        <v>5857</v>
      </c>
    </row>
    <row r="3890" spans="1:1">
      <c r="A3890" s="151" t="s">
        <v>5858</v>
      </c>
    </row>
    <row r="3891" spans="1:1">
      <c r="A3891" s="151" t="s">
        <v>5859</v>
      </c>
    </row>
    <row r="3892" spans="1:1">
      <c r="A3892" s="151" t="s">
        <v>5860</v>
      </c>
    </row>
    <row r="3893" spans="1:1">
      <c r="A3893" s="151" t="s">
        <v>5861</v>
      </c>
    </row>
    <row r="3894" spans="1:1">
      <c r="A3894" s="151" t="s">
        <v>5862</v>
      </c>
    </row>
    <row r="3895" spans="1:1">
      <c r="A3895" s="151" t="s">
        <v>5863</v>
      </c>
    </row>
    <row r="3896" spans="1:1">
      <c r="A3896" s="151" t="s">
        <v>5864</v>
      </c>
    </row>
    <row r="3897" spans="1:1">
      <c r="A3897" s="151" t="s">
        <v>5865</v>
      </c>
    </row>
    <row r="3898" spans="1:1">
      <c r="A3898" s="151" t="s">
        <v>5866</v>
      </c>
    </row>
    <row r="3899" spans="1:1">
      <c r="A3899" s="151" t="s">
        <v>5867</v>
      </c>
    </row>
    <row r="3900" spans="1:1">
      <c r="A3900" s="151" t="s">
        <v>5868</v>
      </c>
    </row>
    <row r="3901" spans="1:1">
      <c r="A3901" s="151" t="s">
        <v>5869</v>
      </c>
    </row>
    <row r="3902" spans="1:1">
      <c r="A3902" s="151" t="s">
        <v>5870</v>
      </c>
    </row>
    <row r="3903" spans="1:1">
      <c r="A3903" s="151" t="s">
        <v>5871</v>
      </c>
    </row>
    <row r="3904" spans="1:1">
      <c r="A3904" s="151" t="s">
        <v>5872</v>
      </c>
    </row>
    <row r="3905" spans="1:1">
      <c r="A3905" s="151" t="s">
        <v>5873</v>
      </c>
    </row>
    <row r="3906" spans="1:1">
      <c r="A3906" s="151" t="s">
        <v>5874</v>
      </c>
    </row>
    <row r="3907" spans="1:1">
      <c r="A3907" s="151" t="s">
        <v>5875</v>
      </c>
    </row>
    <row r="3908" spans="1:1">
      <c r="A3908" s="151" t="s">
        <v>5876</v>
      </c>
    </row>
    <row r="3909" spans="1:1">
      <c r="A3909" s="151" t="s">
        <v>5877</v>
      </c>
    </row>
    <row r="3910" spans="1:1">
      <c r="A3910" s="151" t="s">
        <v>5878</v>
      </c>
    </row>
    <row r="3911" spans="1:1">
      <c r="A3911" s="151" t="s">
        <v>5879</v>
      </c>
    </row>
    <row r="3912" spans="1:1">
      <c r="A3912" s="151" t="s">
        <v>5880</v>
      </c>
    </row>
    <row r="3913" spans="1:1">
      <c r="A3913" s="151" t="s">
        <v>5881</v>
      </c>
    </row>
    <row r="3914" spans="1:1">
      <c r="A3914" s="151" t="s">
        <v>5882</v>
      </c>
    </row>
    <row r="3915" spans="1:1">
      <c r="A3915" s="151" t="s">
        <v>5883</v>
      </c>
    </row>
    <row r="3916" spans="1:1">
      <c r="A3916" s="151" t="s">
        <v>5884</v>
      </c>
    </row>
    <row r="3917" spans="1:1">
      <c r="A3917" s="151" t="s">
        <v>5885</v>
      </c>
    </row>
    <row r="3918" spans="1:1">
      <c r="A3918" s="151" t="s">
        <v>5886</v>
      </c>
    </row>
    <row r="3919" spans="1:1">
      <c r="A3919" s="151" t="s">
        <v>5887</v>
      </c>
    </row>
    <row r="3920" spans="1:1">
      <c r="A3920" s="151" t="s">
        <v>5888</v>
      </c>
    </row>
    <row r="3921" spans="1:1">
      <c r="A3921" s="151" t="s">
        <v>5889</v>
      </c>
    </row>
    <row r="3922" spans="1:1">
      <c r="A3922" s="151" t="s">
        <v>5890</v>
      </c>
    </row>
    <row r="3923" spans="1:1">
      <c r="A3923" s="151" t="s">
        <v>5891</v>
      </c>
    </row>
    <row r="3924" spans="1:1">
      <c r="A3924" s="151" t="s">
        <v>5892</v>
      </c>
    </row>
    <row r="3925" spans="1:1">
      <c r="A3925" s="151" t="s">
        <v>5893</v>
      </c>
    </row>
    <row r="3926" spans="1:1">
      <c r="A3926" s="151" t="s">
        <v>5894</v>
      </c>
    </row>
    <row r="3927" spans="1:1">
      <c r="A3927" s="151" t="s">
        <v>5895</v>
      </c>
    </row>
    <row r="3928" spans="1:1">
      <c r="A3928" s="151" t="s">
        <v>5896</v>
      </c>
    </row>
    <row r="3929" spans="1:1">
      <c r="A3929" s="151" t="s">
        <v>5897</v>
      </c>
    </row>
    <row r="3930" spans="1:1">
      <c r="A3930" s="151" t="s">
        <v>5898</v>
      </c>
    </row>
    <row r="3931" spans="1:1">
      <c r="A3931" s="151" t="s">
        <v>5899</v>
      </c>
    </row>
    <row r="3932" spans="1:1">
      <c r="A3932" s="151" t="s">
        <v>5900</v>
      </c>
    </row>
    <row r="3933" spans="1:1">
      <c r="A3933" s="151" t="s">
        <v>5901</v>
      </c>
    </row>
    <row r="3934" spans="1:1">
      <c r="A3934" s="151" t="s">
        <v>5902</v>
      </c>
    </row>
    <row r="3935" spans="1:1">
      <c r="A3935" s="151" t="s">
        <v>5903</v>
      </c>
    </row>
    <row r="3936" spans="1:1">
      <c r="A3936" s="151" t="s">
        <v>5904</v>
      </c>
    </row>
    <row r="3937" spans="1:1">
      <c r="A3937" s="151" t="s">
        <v>5905</v>
      </c>
    </row>
    <row r="3938" spans="1:1">
      <c r="A3938" s="151" t="s">
        <v>5906</v>
      </c>
    </row>
    <row r="3939" spans="1:1">
      <c r="A3939" s="151" t="s">
        <v>5907</v>
      </c>
    </row>
    <row r="3940" spans="1:1">
      <c r="A3940" s="151" t="s">
        <v>5908</v>
      </c>
    </row>
    <row r="3941" spans="1:1">
      <c r="A3941" s="151" t="s">
        <v>5909</v>
      </c>
    </row>
    <row r="3942" spans="1:1">
      <c r="A3942" s="151" t="s">
        <v>5910</v>
      </c>
    </row>
    <row r="3943" spans="1:1">
      <c r="A3943" s="151" t="s">
        <v>5911</v>
      </c>
    </row>
    <row r="3944" spans="1:1">
      <c r="A3944" s="151" t="s">
        <v>5912</v>
      </c>
    </row>
    <row r="3945" spans="1:1">
      <c r="A3945" s="151" t="s">
        <v>5913</v>
      </c>
    </row>
    <row r="3946" spans="1:1">
      <c r="A3946" s="151" t="s">
        <v>5914</v>
      </c>
    </row>
    <row r="3947" spans="1:1">
      <c r="A3947" s="151" t="s">
        <v>5915</v>
      </c>
    </row>
    <row r="3948" spans="1:1">
      <c r="A3948" s="151" t="s">
        <v>5916</v>
      </c>
    </row>
    <row r="3949" spans="1:1">
      <c r="A3949" s="151" t="s">
        <v>5917</v>
      </c>
    </row>
    <row r="3950" spans="1:1">
      <c r="A3950" s="151" t="s">
        <v>5918</v>
      </c>
    </row>
    <row r="3951" spans="1:1">
      <c r="A3951" s="151" t="s">
        <v>5919</v>
      </c>
    </row>
    <row r="3952" spans="1:1">
      <c r="A3952" s="151" t="s">
        <v>5920</v>
      </c>
    </row>
    <row r="3953" spans="1:1">
      <c r="A3953" s="151" t="s">
        <v>5921</v>
      </c>
    </row>
    <row r="3954" spans="1:1">
      <c r="A3954" s="151" t="s">
        <v>5922</v>
      </c>
    </row>
    <row r="3955" spans="1:1">
      <c r="A3955" s="151" t="s">
        <v>5923</v>
      </c>
    </row>
    <row r="3956" spans="1:1">
      <c r="A3956" s="151" t="s">
        <v>5924</v>
      </c>
    </row>
    <row r="3957" spans="1:1">
      <c r="A3957" s="151" t="s">
        <v>5925</v>
      </c>
    </row>
    <row r="3958" spans="1:1">
      <c r="A3958" s="151" t="s">
        <v>5926</v>
      </c>
    </row>
    <row r="3959" spans="1:1">
      <c r="A3959" s="151" t="s">
        <v>5927</v>
      </c>
    </row>
    <row r="3960" spans="1:1">
      <c r="A3960" s="151" t="s">
        <v>5928</v>
      </c>
    </row>
    <row r="3961" spans="1:1">
      <c r="A3961" s="151" t="s">
        <v>5929</v>
      </c>
    </row>
    <row r="3962" spans="1:1">
      <c r="A3962" s="151" t="s">
        <v>5930</v>
      </c>
    </row>
    <row r="3963" spans="1:1">
      <c r="A3963" s="151" t="s">
        <v>5931</v>
      </c>
    </row>
    <row r="3964" spans="1:1">
      <c r="A3964" s="151" t="s">
        <v>5932</v>
      </c>
    </row>
    <row r="3965" spans="1:1">
      <c r="A3965" s="151" t="s">
        <v>5933</v>
      </c>
    </row>
    <row r="3966" spans="1:1">
      <c r="A3966" s="151" t="s">
        <v>5934</v>
      </c>
    </row>
    <row r="3967" spans="1:1">
      <c r="A3967" s="151" t="s">
        <v>5935</v>
      </c>
    </row>
    <row r="3968" spans="1:1">
      <c r="A3968" s="151" t="s">
        <v>5936</v>
      </c>
    </row>
    <row r="3969" spans="1:1">
      <c r="A3969" s="151" t="s">
        <v>5937</v>
      </c>
    </row>
    <row r="3970" spans="1:1">
      <c r="A3970" s="151" t="s">
        <v>5938</v>
      </c>
    </row>
    <row r="3971" spans="1:1">
      <c r="A3971" s="151" t="s">
        <v>5939</v>
      </c>
    </row>
    <row r="3972" spans="1:1">
      <c r="A3972" s="151" t="s">
        <v>5940</v>
      </c>
    </row>
    <row r="3973" spans="1:1">
      <c r="A3973" s="151" t="s">
        <v>5941</v>
      </c>
    </row>
    <row r="3974" spans="1:1">
      <c r="A3974" s="151" t="s">
        <v>5942</v>
      </c>
    </row>
    <row r="3975" spans="1:1">
      <c r="A3975" s="151" t="s">
        <v>5943</v>
      </c>
    </row>
    <row r="3976" spans="1:1">
      <c r="A3976" s="151" t="s">
        <v>5944</v>
      </c>
    </row>
    <row r="3977" spans="1:1">
      <c r="A3977" s="151" t="s">
        <v>5945</v>
      </c>
    </row>
    <row r="3978" spans="1:1">
      <c r="A3978" s="151" t="s">
        <v>5946</v>
      </c>
    </row>
    <row r="3979" spans="1:1">
      <c r="A3979" s="151" t="s">
        <v>5947</v>
      </c>
    </row>
    <row r="3980" spans="1:1">
      <c r="A3980" s="151" t="s">
        <v>5948</v>
      </c>
    </row>
    <row r="3981" spans="1:1">
      <c r="A3981" s="151" t="s">
        <v>5949</v>
      </c>
    </row>
    <row r="3982" spans="1:1">
      <c r="A3982" s="151" t="s">
        <v>5950</v>
      </c>
    </row>
    <row r="3983" spans="1:1">
      <c r="A3983" s="151" t="s">
        <v>5951</v>
      </c>
    </row>
    <row r="3984" spans="1:1">
      <c r="A3984" s="151" t="s">
        <v>5952</v>
      </c>
    </row>
    <row r="3985" spans="1:1">
      <c r="A3985" s="151" t="s">
        <v>5953</v>
      </c>
    </row>
    <row r="3986" spans="1:1">
      <c r="A3986" s="151" t="s">
        <v>5954</v>
      </c>
    </row>
    <row r="3987" spans="1:1">
      <c r="A3987" s="151" t="s">
        <v>5955</v>
      </c>
    </row>
    <row r="3988" spans="1:1">
      <c r="A3988" s="151" t="s">
        <v>5956</v>
      </c>
    </row>
    <row r="3989" spans="1:1">
      <c r="A3989" s="151" t="s">
        <v>5957</v>
      </c>
    </row>
    <row r="3990" spans="1:1">
      <c r="A3990" s="151" t="s">
        <v>5958</v>
      </c>
    </row>
    <row r="3991" spans="1:1">
      <c r="A3991" s="151" t="s">
        <v>5959</v>
      </c>
    </row>
    <row r="3992" spans="1:1">
      <c r="A3992" s="151" t="s">
        <v>5960</v>
      </c>
    </row>
    <row r="3993" spans="1:1">
      <c r="A3993" s="151" t="s">
        <v>5961</v>
      </c>
    </row>
    <row r="3994" spans="1:1">
      <c r="A3994" s="151" t="s">
        <v>5962</v>
      </c>
    </row>
    <row r="3995" spans="1:1">
      <c r="A3995" s="151" t="s">
        <v>5963</v>
      </c>
    </row>
    <row r="3996" spans="1:1">
      <c r="A3996" s="151" t="s">
        <v>5964</v>
      </c>
    </row>
    <row r="3997" spans="1:1">
      <c r="A3997" s="151" t="s">
        <v>5965</v>
      </c>
    </row>
    <row r="3998" spans="1:1">
      <c r="A3998" s="151" t="s">
        <v>5966</v>
      </c>
    </row>
    <row r="3999" spans="1:1">
      <c r="A3999" s="151" t="s">
        <v>5967</v>
      </c>
    </row>
    <row r="4000" spans="1:1">
      <c r="A4000" s="151" t="s">
        <v>5968</v>
      </c>
    </row>
    <row r="4001" spans="1:1">
      <c r="A4001" s="151" t="s">
        <v>5969</v>
      </c>
    </row>
    <row r="4002" spans="1:1">
      <c r="A4002" s="151" t="s">
        <v>5970</v>
      </c>
    </row>
    <row r="4003" spans="1:1">
      <c r="A4003" s="151" t="s">
        <v>5971</v>
      </c>
    </row>
    <row r="4004" spans="1:1">
      <c r="A4004" s="151" t="s">
        <v>5972</v>
      </c>
    </row>
    <row r="4005" spans="1:1">
      <c r="A4005" s="151" t="s">
        <v>5973</v>
      </c>
    </row>
    <row r="4006" spans="1:1">
      <c r="A4006" s="151" t="s">
        <v>5974</v>
      </c>
    </row>
    <row r="4007" spans="1:1">
      <c r="A4007" s="151" t="s">
        <v>5975</v>
      </c>
    </row>
    <row r="4008" spans="1:1">
      <c r="A4008" s="151" t="s">
        <v>5976</v>
      </c>
    </row>
    <row r="4009" spans="1:1">
      <c r="A4009" s="151" t="s">
        <v>5977</v>
      </c>
    </row>
    <row r="4010" spans="1:1">
      <c r="A4010" s="151" t="s">
        <v>5978</v>
      </c>
    </row>
    <row r="4011" spans="1:1">
      <c r="A4011" s="151" t="s">
        <v>5979</v>
      </c>
    </row>
    <row r="4012" spans="1:1">
      <c r="A4012" s="151" t="s">
        <v>5980</v>
      </c>
    </row>
    <row r="4013" spans="1:1">
      <c r="A4013" s="151" t="s">
        <v>5981</v>
      </c>
    </row>
    <row r="4014" spans="1:1">
      <c r="A4014" s="151" t="s">
        <v>5982</v>
      </c>
    </row>
    <row r="4015" spans="1:1">
      <c r="A4015" s="151" t="s">
        <v>5983</v>
      </c>
    </row>
    <row r="4016" spans="1:1">
      <c r="A4016" s="151" t="s">
        <v>5984</v>
      </c>
    </row>
    <row r="4017" spans="1:1">
      <c r="A4017" s="151" t="s">
        <v>5985</v>
      </c>
    </row>
    <row r="4018" spans="1:1">
      <c r="A4018" s="151" t="s">
        <v>5986</v>
      </c>
    </row>
    <row r="4019" spans="1:1">
      <c r="A4019" s="151" t="s">
        <v>5987</v>
      </c>
    </row>
    <row r="4020" spans="1:1">
      <c r="A4020" s="151" t="s">
        <v>5988</v>
      </c>
    </row>
    <row r="4021" spans="1:1">
      <c r="A4021" s="151" t="s">
        <v>5989</v>
      </c>
    </row>
    <row r="4022" spans="1:1">
      <c r="A4022" s="151" t="s">
        <v>5990</v>
      </c>
    </row>
    <row r="4023" spans="1:1">
      <c r="A4023" s="151" t="s">
        <v>5991</v>
      </c>
    </row>
    <row r="4024" spans="1:1">
      <c r="A4024" s="151" t="s">
        <v>5992</v>
      </c>
    </row>
    <row r="4025" spans="1:1">
      <c r="A4025" s="151" t="s">
        <v>5993</v>
      </c>
    </row>
    <row r="4026" spans="1:1">
      <c r="A4026" s="151" t="s">
        <v>5994</v>
      </c>
    </row>
    <row r="4027" spans="1:1">
      <c r="A4027" s="151" t="s">
        <v>5995</v>
      </c>
    </row>
    <row r="4028" spans="1:1">
      <c r="A4028" s="151" t="s">
        <v>5996</v>
      </c>
    </row>
    <row r="4029" spans="1:1">
      <c r="A4029" s="151" t="s">
        <v>5997</v>
      </c>
    </row>
    <row r="4030" spans="1:1">
      <c r="A4030" s="151" t="s">
        <v>5998</v>
      </c>
    </row>
    <row r="4031" spans="1:1">
      <c r="A4031" s="151" t="s">
        <v>5999</v>
      </c>
    </row>
    <row r="4032" spans="1:1">
      <c r="A4032" s="151" t="s">
        <v>6000</v>
      </c>
    </row>
    <row r="4033" spans="1:1">
      <c r="A4033" s="151" t="s">
        <v>6001</v>
      </c>
    </row>
    <row r="4034" spans="1:1">
      <c r="A4034" s="151" t="s">
        <v>6002</v>
      </c>
    </row>
    <row r="4035" spans="1:1">
      <c r="A4035" s="151" t="s">
        <v>6003</v>
      </c>
    </row>
    <row r="4036" spans="1:1">
      <c r="A4036" s="151" t="s">
        <v>6004</v>
      </c>
    </row>
    <row r="4037" spans="1:1">
      <c r="A4037" s="151" t="s">
        <v>6005</v>
      </c>
    </row>
    <row r="4038" spans="1:1">
      <c r="A4038" s="151" t="s">
        <v>6006</v>
      </c>
    </row>
    <row r="4039" spans="1:1">
      <c r="A4039" s="151" t="s">
        <v>6007</v>
      </c>
    </row>
    <row r="4040" spans="1:1">
      <c r="A4040" s="151" t="s">
        <v>6008</v>
      </c>
    </row>
    <row r="4041" spans="1:1">
      <c r="A4041" s="151" t="s">
        <v>6009</v>
      </c>
    </row>
    <row r="4042" spans="1:1">
      <c r="A4042" s="151" t="s">
        <v>6010</v>
      </c>
    </row>
    <row r="4043" spans="1:1">
      <c r="A4043" s="151" t="s">
        <v>6011</v>
      </c>
    </row>
    <row r="4044" spans="1:1">
      <c r="A4044" s="151" t="s">
        <v>6012</v>
      </c>
    </row>
    <row r="4045" spans="1:1">
      <c r="A4045" s="151" t="s">
        <v>6013</v>
      </c>
    </row>
    <row r="4046" spans="1:1">
      <c r="A4046" s="151" t="s">
        <v>6014</v>
      </c>
    </row>
    <row r="4047" spans="1:1">
      <c r="A4047" s="151" t="s">
        <v>6015</v>
      </c>
    </row>
    <row r="4048" spans="1:1">
      <c r="A4048" s="151" t="s">
        <v>6016</v>
      </c>
    </row>
    <row r="4049" spans="1:1">
      <c r="A4049" s="151" t="s">
        <v>6017</v>
      </c>
    </row>
    <row r="4050" spans="1:1">
      <c r="A4050" s="151" t="s">
        <v>6018</v>
      </c>
    </row>
    <row r="4051" spans="1:1">
      <c r="A4051" s="151" t="s">
        <v>6019</v>
      </c>
    </row>
    <row r="4052" spans="1:1">
      <c r="A4052" s="151" t="s">
        <v>6020</v>
      </c>
    </row>
    <row r="4053" spans="1:1">
      <c r="A4053" s="151" t="s">
        <v>6021</v>
      </c>
    </row>
    <row r="4054" spans="1:1">
      <c r="A4054" s="151" t="s">
        <v>6022</v>
      </c>
    </row>
    <row r="4055" spans="1:1">
      <c r="A4055" s="151" t="s">
        <v>6023</v>
      </c>
    </row>
    <row r="4056" spans="1:1">
      <c r="A4056" s="151" t="s">
        <v>6024</v>
      </c>
    </row>
    <row r="4057" spans="1:1">
      <c r="A4057" s="151" t="s">
        <v>6025</v>
      </c>
    </row>
    <row r="4058" spans="1:1">
      <c r="A4058" s="151" t="s">
        <v>6026</v>
      </c>
    </row>
    <row r="4059" spans="1:1">
      <c r="A4059" s="151" t="s">
        <v>6027</v>
      </c>
    </row>
    <row r="4060" spans="1:1">
      <c r="A4060" s="151" t="s">
        <v>6028</v>
      </c>
    </row>
    <row r="4061" spans="1:1">
      <c r="A4061" s="151" t="s">
        <v>6029</v>
      </c>
    </row>
    <row r="4062" spans="1:1">
      <c r="A4062" s="151" t="s">
        <v>6030</v>
      </c>
    </row>
    <row r="4063" spans="1:1">
      <c r="A4063" s="151" t="s">
        <v>6031</v>
      </c>
    </row>
    <row r="4064" spans="1:1">
      <c r="A4064" s="151" t="s">
        <v>6032</v>
      </c>
    </row>
    <row r="4065" spans="1:1">
      <c r="A4065" s="151" t="s">
        <v>6033</v>
      </c>
    </row>
    <row r="4066" spans="1:1">
      <c r="A4066" s="151" t="s">
        <v>6034</v>
      </c>
    </row>
    <row r="4067" spans="1:1">
      <c r="A4067" s="151" t="s">
        <v>6035</v>
      </c>
    </row>
    <row r="4068" spans="1:1">
      <c r="A4068" s="151" t="s">
        <v>6036</v>
      </c>
    </row>
    <row r="4069" spans="1:1">
      <c r="A4069" s="151" t="s">
        <v>6037</v>
      </c>
    </row>
    <row r="4070" spans="1:1">
      <c r="A4070" s="151" t="s">
        <v>6038</v>
      </c>
    </row>
    <row r="4071" spans="1:1">
      <c r="A4071" s="151" t="s">
        <v>6039</v>
      </c>
    </row>
    <row r="4072" spans="1:1">
      <c r="A4072" s="151" t="s">
        <v>6040</v>
      </c>
    </row>
    <row r="4073" spans="1:1">
      <c r="A4073" s="151" t="s">
        <v>6041</v>
      </c>
    </row>
    <row r="4074" spans="1:1">
      <c r="A4074" s="151" t="s">
        <v>6042</v>
      </c>
    </row>
    <row r="4075" spans="1:1">
      <c r="A4075" s="151" t="s">
        <v>6043</v>
      </c>
    </row>
    <row r="4076" spans="1:1">
      <c r="A4076" s="151" t="s">
        <v>6044</v>
      </c>
    </row>
    <row r="4077" spans="1:1">
      <c r="A4077" s="151" t="s">
        <v>6045</v>
      </c>
    </row>
    <row r="4078" spans="1:1">
      <c r="A4078" s="151" t="s">
        <v>6046</v>
      </c>
    </row>
    <row r="4079" spans="1:1">
      <c r="A4079" s="151" t="s">
        <v>6047</v>
      </c>
    </row>
    <row r="4080" spans="1:1">
      <c r="A4080" s="151" t="s">
        <v>6048</v>
      </c>
    </row>
    <row r="4081" spans="1:1">
      <c r="A4081" s="151" t="s">
        <v>6049</v>
      </c>
    </row>
    <row r="4082" spans="1:1">
      <c r="A4082" s="151" t="s">
        <v>6050</v>
      </c>
    </row>
    <row r="4083" spans="1:1">
      <c r="A4083" s="151" t="s">
        <v>6051</v>
      </c>
    </row>
    <row r="4084" spans="1:1">
      <c r="A4084" s="151" t="s">
        <v>6052</v>
      </c>
    </row>
    <row r="4085" spans="1:1">
      <c r="A4085" s="151" t="s">
        <v>6053</v>
      </c>
    </row>
    <row r="4086" spans="1:1">
      <c r="A4086" s="151" t="s">
        <v>6054</v>
      </c>
    </row>
    <row r="4087" spans="1:1">
      <c r="A4087" s="151" t="s">
        <v>6055</v>
      </c>
    </row>
    <row r="4088" spans="1:1">
      <c r="A4088" s="151" t="s">
        <v>6056</v>
      </c>
    </row>
    <row r="4089" spans="1:1">
      <c r="A4089" s="151" t="s">
        <v>6057</v>
      </c>
    </row>
    <row r="4090" spans="1:1">
      <c r="A4090" s="151" t="s">
        <v>6058</v>
      </c>
    </row>
    <row r="4091" spans="1:1">
      <c r="A4091" s="151" t="s">
        <v>6059</v>
      </c>
    </row>
    <row r="4092" spans="1:1">
      <c r="A4092" s="151" t="s">
        <v>6060</v>
      </c>
    </row>
    <row r="4093" spans="1:1">
      <c r="A4093" s="151" t="s">
        <v>6061</v>
      </c>
    </row>
    <row r="4094" spans="1:1">
      <c r="A4094" s="151" t="s">
        <v>6062</v>
      </c>
    </row>
    <row r="4095" spans="1:1">
      <c r="A4095" s="151" t="s">
        <v>6063</v>
      </c>
    </row>
    <row r="4096" spans="1:1">
      <c r="A4096" s="151" t="s">
        <v>6064</v>
      </c>
    </row>
    <row r="4097" spans="1:1">
      <c r="A4097" s="151" t="s">
        <v>6065</v>
      </c>
    </row>
    <row r="4098" spans="1:1">
      <c r="A4098" s="151" t="s">
        <v>6066</v>
      </c>
    </row>
    <row r="4099" spans="1:1">
      <c r="A4099" s="151" t="s">
        <v>6067</v>
      </c>
    </row>
    <row r="4100" spans="1:1">
      <c r="A4100" s="151" t="s">
        <v>6068</v>
      </c>
    </row>
    <row r="4101" spans="1:1">
      <c r="A4101" s="151" t="s">
        <v>6069</v>
      </c>
    </row>
    <row r="4102" spans="1:1">
      <c r="A4102" s="151" t="s">
        <v>6070</v>
      </c>
    </row>
    <row r="4103" spans="1:1">
      <c r="A4103" s="151" t="s">
        <v>6071</v>
      </c>
    </row>
    <row r="4104" spans="1:1">
      <c r="A4104" s="151" t="s">
        <v>6072</v>
      </c>
    </row>
    <row r="4105" spans="1:1">
      <c r="A4105" s="151" t="s">
        <v>6073</v>
      </c>
    </row>
    <row r="4106" spans="1:1">
      <c r="A4106" s="151" t="s">
        <v>6074</v>
      </c>
    </row>
    <row r="4107" spans="1:1">
      <c r="A4107" s="151" t="s">
        <v>6075</v>
      </c>
    </row>
    <row r="4108" spans="1:1">
      <c r="A4108" s="151" t="s">
        <v>6076</v>
      </c>
    </row>
    <row r="4109" spans="1:1">
      <c r="A4109" s="151" t="s">
        <v>6077</v>
      </c>
    </row>
    <row r="4110" spans="1:1">
      <c r="A4110" s="151" t="s">
        <v>6078</v>
      </c>
    </row>
    <row r="4111" spans="1:1">
      <c r="A4111" s="151" t="s">
        <v>6079</v>
      </c>
    </row>
    <row r="4112" spans="1:1">
      <c r="A4112" s="151" t="s">
        <v>6080</v>
      </c>
    </row>
    <row r="4113" spans="1:1">
      <c r="A4113" s="151" t="s">
        <v>6081</v>
      </c>
    </row>
    <row r="4114" spans="1:1">
      <c r="A4114" s="151" t="s">
        <v>6082</v>
      </c>
    </row>
    <row r="4115" spans="1:1">
      <c r="A4115" s="151" t="s">
        <v>6083</v>
      </c>
    </row>
    <row r="4116" spans="1:1">
      <c r="A4116" s="151" t="s">
        <v>6084</v>
      </c>
    </row>
    <row r="4117" spans="1:1">
      <c r="A4117" s="151" t="s">
        <v>6085</v>
      </c>
    </row>
    <row r="4118" spans="1:1">
      <c r="A4118" s="151" t="s">
        <v>6086</v>
      </c>
    </row>
    <row r="4119" spans="1:1">
      <c r="A4119" s="151" t="s">
        <v>6087</v>
      </c>
    </row>
    <row r="4120" spans="1:1">
      <c r="A4120" s="151" t="s">
        <v>6088</v>
      </c>
    </row>
    <row r="4121" spans="1:1">
      <c r="A4121" s="151" t="s">
        <v>6089</v>
      </c>
    </row>
    <row r="4122" spans="1:1">
      <c r="A4122" s="151" t="s">
        <v>6090</v>
      </c>
    </row>
    <row r="4123" spans="1:1">
      <c r="A4123" s="151" t="s">
        <v>6091</v>
      </c>
    </row>
    <row r="4124" spans="1:1">
      <c r="A4124" s="151" t="s">
        <v>6092</v>
      </c>
    </row>
    <row r="4125" spans="1:1">
      <c r="A4125" s="151" t="s">
        <v>6093</v>
      </c>
    </row>
    <row r="4126" spans="1:1">
      <c r="A4126" s="151" t="s">
        <v>6094</v>
      </c>
    </row>
    <row r="4127" spans="1:1">
      <c r="A4127" s="151" t="s">
        <v>6095</v>
      </c>
    </row>
    <row r="4128" spans="1:1">
      <c r="A4128" s="151" t="s">
        <v>6096</v>
      </c>
    </row>
    <row r="4129" spans="1:1">
      <c r="A4129" s="151" t="s">
        <v>6097</v>
      </c>
    </row>
    <row r="4130" spans="1:1">
      <c r="A4130" s="151" t="s">
        <v>6098</v>
      </c>
    </row>
    <row r="4131" spans="1:1">
      <c r="A4131" s="151" t="s">
        <v>6099</v>
      </c>
    </row>
    <row r="4132" spans="1:1">
      <c r="A4132" s="151" t="s">
        <v>6100</v>
      </c>
    </row>
    <row r="4133" spans="1:1">
      <c r="A4133" s="151" t="s">
        <v>6101</v>
      </c>
    </row>
    <row r="4134" spans="1:1">
      <c r="A4134" s="151" t="s">
        <v>6102</v>
      </c>
    </row>
    <row r="4135" spans="1:1">
      <c r="A4135" s="151" t="s">
        <v>6103</v>
      </c>
    </row>
    <row r="4136" spans="1:1">
      <c r="A4136" s="151" t="s">
        <v>6104</v>
      </c>
    </row>
    <row r="4137" spans="1:1">
      <c r="A4137" s="151" t="s">
        <v>6105</v>
      </c>
    </row>
    <row r="4138" spans="1:1">
      <c r="A4138" s="151" t="s">
        <v>6106</v>
      </c>
    </row>
    <row r="4139" spans="1:1">
      <c r="A4139" s="151" t="s">
        <v>6107</v>
      </c>
    </row>
    <row r="4140" spans="1:1">
      <c r="A4140" s="151" t="s">
        <v>6108</v>
      </c>
    </row>
    <row r="4141" spans="1:1">
      <c r="A4141" s="151" t="s">
        <v>6109</v>
      </c>
    </row>
    <row r="4142" spans="1:1">
      <c r="A4142" s="151" t="s">
        <v>6110</v>
      </c>
    </row>
    <row r="4143" spans="1:1">
      <c r="A4143" s="151" t="s">
        <v>6111</v>
      </c>
    </row>
    <row r="4144" spans="1:1">
      <c r="A4144" s="151" t="s">
        <v>6112</v>
      </c>
    </row>
    <row r="4145" spans="1:1">
      <c r="A4145" s="151" t="s">
        <v>6113</v>
      </c>
    </row>
    <row r="4146" spans="1:1">
      <c r="A4146" s="151" t="s">
        <v>6114</v>
      </c>
    </row>
    <row r="4147" spans="1:1">
      <c r="A4147" s="151" t="s">
        <v>6115</v>
      </c>
    </row>
    <row r="4148" spans="1:1">
      <c r="A4148" s="151" t="s">
        <v>6116</v>
      </c>
    </row>
    <row r="4149" spans="1:1">
      <c r="A4149" s="151" t="s">
        <v>6117</v>
      </c>
    </row>
    <row r="4150" spans="1:1">
      <c r="A4150" s="151" t="s">
        <v>6118</v>
      </c>
    </row>
    <row r="4151" spans="1:1">
      <c r="A4151" s="151" t="s">
        <v>6119</v>
      </c>
    </row>
    <row r="4152" spans="1:1">
      <c r="A4152" s="151" t="s">
        <v>6120</v>
      </c>
    </row>
    <row r="4153" spans="1:1">
      <c r="A4153" s="151" t="s">
        <v>6121</v>
      </c>
    </row>
    <row r="4154" spans="1:1">
      <c r="A4154" s="151" t="s">
        <v>6122</v>
      </c>
    </row>
    <row r="4155" spans="1:1">
      <c r="A4155" s="151" t="s">
        <v>6123</v>
      </c>
    </row>
    <row r="4156" spans="1:1">
      <c r="A4156" s="151" t="s">
        <v>6124</v>
      </c>
    </row>
    <row r="4157" spans="1:1">
      <c r="A4157" s="151" t="s">
        <v>6125</v>
      </c>
    </row>
    <row r="4158" spans="1:1">
      <c r="A4158" s="151" t="s">
        <v>6126</v>
      </c>
    </row>
    <row r="4159" spans="1:1">
      <c r="A4159" s="151" t="s">
        <v>6127</v>
      </c>
    </row>
    <row r="4160" spans="1:1">
      <c r="A4160" s="151" t="s">
        <v>6128</v>
      </c>
    </row>
    <row r="4161" spans="1:1">
      <c r="A4161" s="151" t="s">
        <v>6129</v>
      </c>
    </row>
    <row r="4162" spans="1:1">
      <c r="A4162" s="151" t="s">
        <v>6130</v>
      </c>
    </row>
    <row r="4163" spans="1:1">
      <c r="A4163" s="151" t="s">
        <v>6131</v>
      </c>
    </row>
    <row r="4164" spans="1:1">
      <c r="A4164" s="151" t="s">
        <v>6132</v>
      </c>
    </row>
    <row r="4165" spans="1:1">
      <c r="A4165" s="151" t="s">
        <v>6133</v>
      </c>
    </row>
    <row r="4166" spans="1:1">
      <c r="A4166" s="151" t="s">
        <v>6134</v>
      </c>
    </row>
    <row r="4167" spans="1:1">
      <c r="A4167" s="151" t="s">
        <v>6135</v>
      </c>
    </row>
    <row r="4168" spans="1:1">
      <c r="A4168" s="151" t="s">
        <v>6136</v>
      </c>
    </row>
    <row r="4169" spans="1:1">
      <c r="A4169" s="151" t="s">
        <v>6137</v>
      </c>
    </row>
    <row r="4170" spans="1:1">
      <c r="A4170" s="151" t="s">
        <v>6138</v>
      </c>
    </row>
    <row r="4171" spans="1:1">
      <c r="A4171" s="151" t="s">
        <v>6139</v>
      </c>
    </row>
    <row r="4172" spans="1:1">
      <c r="A4172" s="151" t="s">
        <v>6140</v>
      </c>
    </row>
    <row r="4173" spans="1:1">
      <c r="A4173" s="151" t="s">
        <v>6141</v>
      </c>
    </row>
    <row r="4174" spans="1:1">
      <c r="A4174" s="151" t="s">
        <v>6142</v>
      </c>
    </row>
    <row r="4175" spans="1:1">
      <c r="A4175" s="151" t="s">
        <v>6143</v>
      </c>
    </row>
    <row r="4176" spans="1:1">
      <c r="A4176" s="151" t="s">
        <v>6144</v>
      </c>
    </row>
    <row r="4177" spans="1:1">
      <c r="A4177" s="151" t="s">
        <v>6145</v>
      </c>
    </row>
    <row r="4178" spans="1:1">
      <c r="A4178" s="151" t="s">
        <v>6146</v>
      </c>
    </row>
    <row r="4179" spans="1:1">
      <c r="A4179" s="151" t="s">
        <v>6147</v>
      </c>
    </row>
    <row r="4180" spans="1:1">
      <c r="A4180" s="151" t="s">
        <v>6148</v>
      </c>
    </row>
    <row r="4181" spans="1:1">
      <c r="A4181" s="151" t="s">
        <v>6149</v>
      </c>
    </row>
    <row r="4182" spans="1:1">
      <c r="A4182" s="151" t="s">
        <v>6150</v>
      </c>
    </row>
    <row r="4183" spans="1:1">
      <c r="A4183" s="151" t="s">
        <v>6151</v>
      </c>
    </row>
    <row r="4184" spans="1:1">
      <c r="A4184" s="151" t="s">
        <v>6152</v>
      </c>
    </row>
    <row r="4185" spans="1:1">
      <c r="A4185" s="151" t="s">
        <v>6153</v>
      </c>
    </row>
    <row r="4186" spans="1:1">
      <c r="A4186" s="151" t="s">
        <v>6154</v>
      </c>
    </row>
    <row r="4187" spans="1:1">
      <c r="A4187" s="151" t="s">
        <v>6155</v>
      </c>
    </row>
    <row r="4188" spans="1:1">
      <c r="A4188" s="151" t="s">
        <v>6156</v>
      </c>
    </row>
    <row r="4189" spans="1:1">
      <c r="A4189" s="151" t="s">
        <v>6157</v>
      </c>
    </row>
    <row r="4190" spans="1:1">
      <c r="A4190" s="151" t="s">
        <v>6158</v>
      </c>
    </row>
    <row r="4191" spans="1:1">
      <c r="A4191" s="151" t="s">
        <v>6159</v>
      </c>
    </row>
    <row r="4192" spans="1:1">
      <c r="A4192" s="151" t="s">
        <v>6160</v>
      </c>
    </row>
    <row r="4193" spans="1:1">
      <c r="A4193" s="151" t="s">
        <v>6161</v>
      </c>
    </row>
    <row r="4194" spans="1:1">
      <c r="A4194" s="151" t="s">
        <v>6162</v>
      </c>
    </row>
    <row r="4195" spans="1:1">
      <c r="A4195" s="151" t="s">
        <v>6163</v>
      </c>
    </row>
    <row r="4196" spans="1:1">
      <c r="A4196" s="151" t="s">
        <v>6164</v>
      </c>
    </row>
    <row r="4197" spans="1:1">
      <c r="A4197" s="151" t="s">
        <v>6165</v>
      </c>
    </row>
    <row r="4198" spans="1:1">
      <c r="A4198" s="151" t="s">
        <v>6166</v>
      </c>
    </row>
    <row r="4199" spans="1:1">
      <c r="A4199" s="151" t="s">
        <v>6167</v>
      </c>
    </row>
    <row r="4200" spans="1:1">
      <c r="A4200" s="151" t="s">
        <v>6168</v>
      </c>
    </row>
    <row r="4201" spans="1:1">
      <c r="A4201" s="151" t="s">
        <v>6169</v>
      </c>
    </row>
    <row r="4202" spans="1:1">
      <c r="A4202" s="151" t="s">
        <v>6170</v>
      </c>
    </row>
    <row r="4203" spans="1:1">
      <c r="A4203" s="151" t="s">
        <v>6171</v>
      </c>
    </row>
    <row r="4204" spans="1:1">
      <c r="A4204" s="151" t="s">
        <v>6172</v>
      </c>
    </row>
    <row r="4205" spans="1:1">
      <c r="A4205" s="151" t="s">
        <v>6173</v>
      </c>
    </row>
    <row r="4206" spans="1:1">
      <c r="A4206" s="151" t="s">
        <v>6174</v>
      </c>
    </row>
    <row r="4207" spans="1:1">
      <c r="A4207" s="151" t="s">
        <v>6175</v>
      </c>
    </row>
    <row r="4208" spans="1:1">
      <c r="A4208" s="151" t="s">
        <v>6176</v>
      </c>
    </row>
    <row r="4209" spans="1:1">
      <c r="A4209" s="151" t="s">
        <v>6177</v>
      </c>
    </row>
    <row r="4210" spans="1:1">
      <c r="A4210" s="151" t="s">
        <v>6178</v>
      </c>
    </row>
    <row r="4211" spans="1:1">
      <c r="A4211" s="151" t="s">
        <v>6179</v>
      </c>
    </row>
    <row r="4212" spans="1:1">
      <c r="A4212" s="151" t="s">
        <v>6180</v>
      </c>
    </row>
    <row r="4213" spans="1:1">
      <c r="A4213" s="151" t="s">
        <v>6181</v>
      </c>
    </row>
    <row r="4214" spans="1:1">
      <c r="A4214" s="151" t="s">
        <v>6182</v>
      </c>
    </row>
    <row r="4215" spans="1:1">
      <c r="A4215" s="151" t="s">
        <v>6183</v>
      </c>
    </row>
    <row r="4216" spans="1:1">
      <c r="A4216" s="151" t="s">
        <v>6184</v>
      </c>
    </row>
    <row r="4217" spans="1:1">
      <c r="A4217" s="151" t="s">
        <v>6185</v>
      </c>
    </row>
    <row r="4218" spans="1:1">
      <c r="A4218" s="151" t="s">
        <v>6186</v>
      </c>
    </row>
    <row r="4219" spans="1:1">
      <c r="A4219" s="151" t="s">
        <v>6187</v>
      </c>
    </row>
    <row r="4220" spans="1:1">
      <c r="A4220" s="151" t="s">
        <v>6188</v>
      </c>
    </row>
    <row r="4221" spans="1:1">
      <c r="A4221" s="151" t="s">
        <v>6189</v>
      </c>
    </row>
    <row r="4222" spans="1:1">
      <c r="A4222" s="151" t="s">
        <v>6190</v>
      </c>
    </row>
    <row r="4223" spans="1:1">
      <c r="A4223" s="151" t="s">
        <v>6191</v>
      </c>
    </row>
    <row r="4224" spans="1:1">
      <c r="A4224" s="151" t="s">
        <v>6192</v>
      </c>
    </row>
    <row r="4225" spans="1:1">
      <c r="A4225" s="151" t="s">
        <v>6193</v>
      </c>
    </row>
    <row r="4226" spans="1:1">
      <c r="A4226" s="151" t="s">
        <v>6194</v>
      </c>
    </row>
    <row r="4227" spans="1:1">
      <c r="A4227" s="151" t="s">
        <v>6195</v>
      </c>
    </row>
    <row r="4228" spans="1:1">
      <c r="A4228" s="151" t="s">
        <v>6196</v>
      </c>
    </row>
    <row r="4229" spans="1:1">
      <c r="A4229" s="151" t="s">
        <v>6197</v>
      </c>
    </row>
    <row r="4230" spans="1:1">
      <c r="A4230" s="151" t="s">
        <v>6198</v>
      </c>
    </row>
    <row r="4231" spans="1:1">
      <c r="A4231" s="151" t="s">
        <v>6199</v>
      </c>
    </row>
    <row r="4232" spans="1:1">
      <c r="A4232" s="151" t="s">
        <v>6200</v>
      </c>
    </row>
    <row r="4233" spans="1:1">
      <c r="A4233" s="151" t="s">
        <v>6201</v>
      </c>
    </row>
    <row r="4234" spans="1:1">
      <c r="A4234" s="151" t="s">
        <v>6202</v>
      </c>
    </row>
    <row r="4235" spans="1:1">
      <c r="A4235" s="151" t="s">
        <v>6203</v>
      </c>
    </row>
    <row r="4236" spans="1:1">
      <c r="A4236" s="151" t="s">
        <v>6204</v>
      </c>
    </row>
    <row r="4237" spans="1:1">
      <c r="A4237" s="151" t="s">
        <v>6205</v>
      </c>
    </row>
    <row r="4238" spans="1:1">
      <c r="A4238" s="151" t="s">
        <v>6206</v>
      </c>
    </row>
    <row r="4239" spans="1:1">
      <c r="A4239" s="151" t="s">
        <v>6207</v>
      </c>
    </row>
    <row r="4240" spans="1:1">
      <c r="A4240" s="151" t="s">
        <v>6208</v>
      </c>
    </row>
    <row r="4241" spans="1:1">
      <c r="A4241" s="151" t="s">
        <v>6209</v>
      </c>
    </row>
    <row r="4242" spans="1:1">
      <c r="A4242" s="151" t="s">
        <v>6210</v>
      </c>
    </row>
    <row r="4243" spans="1:1">
      <c r="A4243" s="151" t="s">
        <v>6211</v>
      </c>
    </row>
    <row r="4244" spans="1:1">
      <c r="A4244" s="151" t="s">
        <v>6212</v>
      </c>
    </row>
    <row r="4245" spans="1:1">
      <c r="A4245" s="151" t="s">
        <v>6213</v>
      </c>
    </row>
    <row r="4246" spans="1:1">
      <c r="A4246" s="151" t="s">
        <v>6214</v>
      </c>
    </row>
    <row r="4247" spans="1:1">
      <c r="A4247" s="151" t="s">
        <v>6215</v>
      </c>
    </row>
    <row r="4248" spans="1:1">
      <c r="A4248" s="151" t="s">
        <v>6216</v>
      </c>
    </row>
    <row r="4249" spans="1:1">
      <c r="A4249" s="151" t="s">
        <v>6217</v>
      </c>
    </row>
    <row r="4250" spans="1:1">
      <c r="A4250" s="151" t="s">
        <v>6218</v>
      </c>
    </row>
    <row r="4251" spans="1:1">
      <c r="A4251" s="151" t="s">
        <v>6219</v>
      </c>
    </row>
    <row r="4252" spans="1:1">
      <c r="A4252" s="151" t="s">
        <v>6220</v>
      </c>
    </row>
    <row r="4253" spans="1:1">
      <c r="A4253" s="151" t="s">
        <v>6221</v>
      </c>
    </row>
    <row r="4254" spans="1:1">
      <c r="A4254" s="151" t="s">
        <v>6222</v>
      </c>
    </row>
    <row r="4255" spans="1:1">
      <c r="A4255" s="151" t="s">
        <v>6223</v>
      </c>
    </row>
    <row r="4256" spans="1:1">
      <c r="A4256" s="151" t="s">
        <v>6224</v>
      </c>
    </row>
    <row r="4257" spans="1:1">
      <c r="A4257" s="151" t="s">
        <v>6225</v>
      </c>
    </row>
    <row r="4258" spans="1:1">
      <c r="A4258" s="151" t="s">
        <v>6226</v>
      </c>
    </row>
    <row r="4259" spans="1:1">
      <c r="A4259" s="151" t="s">
        <v>6227</v>
      </c>
    </row>
    <row r="4260" spans="1:1">
      <c r="A4260" s="151" t="s">
        <v>6228</v>
      </c>
    </row>
    <row r="4261" spans="1:1">
      <c r="A4261" s="151" t="s">
        <v>6229</v>
      </c>
    </row>
    <row r="4262" spans="1:1">
      <c r="A4262" s="151" t="s">
        <v>6230</v>
      </c>
    </row>
    <row r="4263" spans="1:1">
      <c r="A4263" s="151" t="s">
        <v>6231</v>
      </c>
    </row>
    <row r="4264" spans="1:1">
      <c r="A4264" s="151" t="s">
        <v>6232</v>
      </c>
    </row>
    <row r="4265" spans="1:1">
      <c r="A4265" s="151" t="s">
        <v>6233</v>
      </c>
    </row>
    <row r="4266" spans="1:1">
      <c r="A4266" s="151" t="s">
        <v>6234</v>
      </c>
    </row>
    <row r="4267" spans="1:1">
      <c r="A4267" s="151" t="s">
        <v>6235</v>
      </c>
    </row>
    <row r="4268" spans="1:1">
      <c r="A4268" s="151" t="s">
        <v>6236</v>
      </c>
    </row>
    <row r="4269" spans="1:1">
      <c r="A4269" s="151" t="s">
        <v>6237</v>
      </c>
    </row>
    <row r="4270" spans="1:1">
      <c r="A4270" s="151" t="s">
        <v>6238</v>
      </c>
    </row>
    <row r="4271" spans="1:1">
      <c r="A4271" s="151" t="s">
        <v>6239</v>
      </c>
    </row>
    <row r="4272" spans="1:1">
      <c r="A4272" s="151" t="s">
        <v>6240</v>
      </c>
    </row>
    <row r="4273" spans="1:1">
      <c r="A4273" s="151" t="s">
        <v>6241</v>
      </c>
    </row>
    <row r="4274" spans="1:1">
      <c r="A4274" s="151" t="s">
        <v>6242</v>
      </c>
    </row>
    <row r="4275" spans="1:1">
      <c r="A4275" s="151" t="s">
        <v>6243</v>
      </c>
    </row>
    <row r="4276" spans="1:1">
      <c r="A4276" s="151" t="s">
        <v>6244</v>
      </c>
    </row>
    <row r="4277" spans="1:1">
      <c r="A4277" s="151" t="s">
        <v>6245</v>
      </c>
    </row>
    <row r="4278" spans="1:1">
      <c r="A4278" s="151" t="s">
        <v>6246</v>
      </c>
    </row>
    <row r="4279" spans="1:1">
      <c r="A4279" s="151" t="s">
        <v>6247</v>
      </c>
    </row>
    <row r="4280" spans="1:1">
      <c r="A4280" s="151" t="s">
        <v>6248</v>
      </c>
    </row>
    <row r="4281" spans="1:1">
      <c r="A4281" s="151" t="s">
        <v>6249</v>
      </c>
    </row>
    <row r="4282" spans="1:1">
      <c r="A4282" s="151" t="s">
        <v>6250</v>
      </c>
    </row>
    <row r="4283" spans="1:1">
      <c r="A4283" s="151" t="s">
        <v>6251</v>
      </c>
    </row>
    <row r="4284" spans="1:1">
      <c r="A4284" s="151" t="s">
        <v>6252</v>
      </c>
    </row>
    <row r="4285" spans="1:1">
      <c r="A4285" s="151" t="s">
        <v>6253</v>
      </c>
    </row>
    <row r="4286" spans="1:1">
      <c r="A4286" s="151" t="s">
        <v>6254</v>
      </c>
    </row>
    <row r="4287" spans="1:1">
      <c r="A4287" s="151" t="s">
        <v>6255</v>
      </c>
    </row>
    <row r="4288" spans="1:1">
      <c r="A4288" s="151" t="s">
        <v>6256</v>
      </c>
    </row>
    <row r="4289" spans="1:1">
      <c r="A4289" s="151" t="s">
        <v>6257</v>
      </c>
    </row>
    <row r="4290" spans="1:1">
      <c r="A4290" s="151" t="s">
        <v>6258</v>
      </c>
    </row>
    <row r="4291" spans="1:1">
      <c r="A4291" s="151" t="s">
        <v>6259</v>
      </c>
    </row>
    <row r="4292" spans="1:1">
      <c r="A4292" s="151" t="s">
        <v>6260</v>
      </c>
    </row>
    <row r="4293" spans="1:1">
      <c r="A4293" s="151" t="s">
        <v>6261</v>
      </c>
    </row>
    <row r="4294" spans="1:1">
      <c r="A4294" s="151" t="s">
        <v>6262</v>
      </c>
    </row>
    <row r="4295" spans="1:1">
      <c r="A4295" s="151" t="s">
        <v>6263</v>
      </c>
    </row>
    <row r="4296" spans="1:1">
      <c r="A4296" s="151" t="s">
        <v>6264</v>
      </c>
    </row>
    <row r="4297" spans="1:1">
      <c r="A4297" s="151" t="s">
        <v>6265</v>
      </c>
    </row>
    <row r="4298" spans="1:1">
      <c r="A4298" s="151" t="s">
        <v>6266</v>
      </c>
    </row>
    <row r="4299" spans="1:1">
      <c r="A4299" s="151" t="s">
        <v>6267</v>
      </c>
    </row>
    <row r="4300" spans="1:1">
      <c r="A4300" s="151" t="s">
        <v>6268</v>
      </c>
    </row>
    <row r="4301" spans="1:1">
      <c r="A4301" s="151" t="s">
        <v>6269</v>
      </c>
    </row>
    <row r="4302" spans="1:1">
      <c r="A4302" s="151" t="s">
        <v>6270</v>
      </c>
    </row>
    <row r="4303" spans="1:1">
      <c r="A4303" s="151" t="s">
        <v>6271</v>
      </c>
    </row>
    <row r="4304" spans="1:1">
      <c r="A4304" s="151" t="s">
        <v>6272</v>
      </c>
    </row>
    <row r="4305" spans="1:1">
      <c r="A4305" s="151" t="s">
        <v>6273</v>
      </c>
    </row>
    <row r="4306" spans="1:1">
      <c r="A4306" s="151" t="s">
        <v>6274</v>
      </c>
    </row>
    <row r="4307" spans="1:1">
      <c r="A4307" s="151" t="s">
        <v>6275</v>
      </c>
    </row>
    <row r="4308" spans="1:1">
      <c r="A4308" s="151" t="s">
        <v>6276</v>
      </c>
    </row>
    <row r="4309" spans="1:1">
      <c r="A4309" s="151" t="s">
        <v>6277</v>
      </c>
    </row>
    <row r="4310" spans="1:1">
      <c r="A4310" s="151" t="s">
        <v>6278</v>
      </c>
    </row>
    <row r="4311" spans="1:1">
      <c r="A4311" s="151" t="s">
        <v>6279</v>
      </c>
    </row>
    <row r="4312" spans="1:1">
      <c r="A4312" s="151" t="s">
        <v>6280</v>
      </c>
    </row>
    <row r="4313" spans="1:1">
      <c r="A4313" s="151" t="s">
        <v>6281</v>
      </c>
    </row>
    <row r="4314" spans="1:1">
      <c r="A4314" s="151" t="s">
        <v>6282</v>
      </c>
    </row>
    <row r="4315" spans="1:1">
      <c r="A4315" s="151" t="s">
        <v>6283</v>
      </c>
    </row>
    <row r="4316" spans="1:1">
      <c r="A4316" s="151" t="s">
        <v>6284</v>
      </c>
    </row>
    <row r="4317" spans="1:1">
      <c r="A4317" s="151" t="s">
        <v>6285</v>
      </c>
    </row>
    <row r="4318" spans="1:1">
      <c r="A4318" s="151" t="s">
        <v>6286</v>
      </c>
    </row>
    <row r="4319" spans="1:1">
      <c r="A4319" s="151" t="s">
        <v>6287</v>
      </c>
    </row>
    <row r="4320" spans="1:1">
      <c r="A4320" s="151" t="s">
        <v>6288</v>
      </c>
    </row>
    <row r="4321" spans="1:1">
      <c r="A4321" s="151" t="s">
        <v>6289</v>
      </c>
    </row>
    <row r="4322" spans="1:1">
      <c r="A4322" s="151" t="s">
        <v>6290</v>
      </c>
    </row>
    <row r="4323" spans="1:1">
      <c r="A4323" s="151" t="s">
        <v>6291</v>
      </c>
    </row>
    <row r="4324" spans="1:1">
      <c r="A4324" s="151" t="s">
        <v>6292</v>
      </c>
    </row>
    <row r="4325" spans="1:1">
      <c r="A4325" s="151" t="s">
        <v>6293</v>
      </c>
    </row>
    <row r="4326" spans="1:1">
      <c r="A4326" s="151" t="s">
        <v>6294</v>
      </c>
    </row>
    <row r="4327" spans="1:1">
      <c r="A4327" s="151" t="s">
        <v>6295</v>
      </c>
    </row>
    <row r="4328" spans="1:1">
      <c r="A4328" s="151" t="s">
        <v>6296</v>
      </c>
    </row>
    <row r="4329" spans="1:1">
      <c r="A4329" s="151" t="s">
        <v>6297</v>
      </c>
    </row>
    <row r="4330" spans="1:1">
      <c r="A4330" s="151" t="s">
        <v>6298</v>
      </c>
    </row>
    <row r="4331" spans="1:1">
      <c r="A4331" s="151" t="s">
        <v>6299</v>
      </c>
    </row>
    <row r="4332" spans="1:1">
      <c r="A4332" s="151" t="s">
        <v>6300</v>
      </c>
    </row>
    <row r="4333" spans="1:1">
      <c r="A4333" s="151" t="s">
        <v>6301</v>
      </c>
    </row>
    <row r="4334" spans="1:1">
      <c r="A4334" s="151" t="s">
        <v>6302</v>
      </c>
    </row>
    <row r="4335" spans="1:1">
      <c r="A4335" s="151" t="s">
        <v>6303</v>
      </c>
    </row>
    <row r="4336" spans="1:1">
      <c r="A4336" s="151" t="s">
        <v>6304</v>
      </c>
    </row>
    <row r="4337" spans="1:1">
      <c r="A4337" s="151" t="s">
        <v>6305</v>
      </c>
    </row>
    <row r="4338" spans="1:1">
      <c r="A4338" s="151" t="s">
        <v>6306</v>
      </c>
    </row>
    <row r="4339" spans="1:1">
      <c r="A4339" s="151" t="s">
        <v>6307</v>
      </c>
    </row>
    <row r="4340" spans="1:1">
      <c r="A4340" s="151" t="s">
        <v>6308</v>
      </c>
    </row>
    <row r="4341" spans="1:1">
      <c r="A4341" s="151" t="s">
        <v>6309</v>
      </c>
    </row>
    <row r="4342" spans="1:1">
      <c r="A4342" s="151" t="s">
        <v>6310</v>
      </c>
    </row>
    <row r="4343" spans="1:1">
      <c r="A4343" s="151" t="s">
        <v>6311</v>
      </c>
    </row>
    <row r="4344" spans="1:1">
      <c r="A4344" s="151" t="s">
        <v>6312</v>
      </c>
    </row>
    <row r="4345" spans="1:1">
      <c r="A4345" s="151" t="s">
        <v>6313</v>
      </c>
    </row>
    <row r="4346" spans="1:1">
      <c r="A4346" s="151" t="s">
        <v>6314</v>
      </c>
    </row>
    <row r="4347" spans="1:1">
      <c r="A4347" s="151" t="s">
        <v>6315</v>
      </c>
    </row>
    <row r="4348" spans="1:1">
      <c r="A4348" s="151" t="s">
        <v>6316</v>
      </c>
    </row>
    <row r="4349" spans="1:1">
      <c r="A4349" s="151" t="s">
        <v>6317</v>
      </c>
    </row>
    <row r="4350" spans="1:1">
      <c r="A4350" s="151" t="s">
        <v>6318</v>
      </c>
    </row>
    <row r="4351" spans="1:1">
      <c r="A4351" s="151" t="s">
        <v>6319</v>
      </c>
    </row>
    <row r="4352" spans="1:1">
      <c r="A4352" s="151" t="s">
        <v>6320</v>
      </c>
    </row>
    <row r="4353" spans="1:1">
      <c r="A4353" s="151" t="s">
        <v>6321</v>
      </c>
    </row>
    <row r="4354" spans="1:1">
      <c r="A4354" s="151" t="s">
        <v>6322</v>
      </c>
    </row>
    <row r="4355" spans="1:1">
      <c r="A4355" s="151" t="s">
        <v>6323</v>
      </c>
    </row>
    <row r="4356" spans="1:1">
      <c r="A4356" s="151" t="s">
        <v>6324</v>
      </c>
    </row>
    <row r="4357" spans="1:1">
      <c r="A4357" s="151" t="s">
        <v>6325</v>
      </c>
    </row>
    <row r="4358" spans="1:1">
      <c r="A4358" s="151" t="s">
        <v>6326</v>
      </c>
    </row>
    <row r="4359" spans="1:1">
      <c r="A4359" s="151" t="s">
        <v>6327</v>
      </c>
    </row>
    <row r="4360" spans="1:1">
      <c r="A4360" s="151" t="s">
        <v>6328</v>
      </c>
    </row>
    <row r="4361" spans="1:1">
      <c r="A4361" s="151" t="s">
        <v>6329</v>
      </c>
    </row>
    <row r="4362" spans="1:1">
      <c r="A4362" s="151" t="s">
        <v>6330</v>
      </c>
    </row>
    <row r="4363" spans="1:1">
      <c r="A4363" s="151" t="s">
        <v>6331</v>
      </c>
    </row>
    <row r="4364" spans="1:1">
      <c r="A4364" s="151" t="s">
        <v>6332</v>
      </c>
    </row>
    <row r="4365" spans="1:1">
      <c r="A4365" s="151" t="s">
        <v>6333</v>
      </c>
    </row>
    <row r="4366" spans="1:1">
      <c r="A4366" s="151" t="s">
        <v>6334</v>
      </c>
    </row>
    <row r="4367" spans="1:1">
      <c r="A4367" s="151" t="s">
        <v>6335</v>
      </c>
    </row>
    <row r="4368" spans="1:1">
      <c r="A4368" s="151" t="s">
        <v>6336</v>
      </c>
    </row>
    <row r="4369" spans="1:1">
      <c r="A4369" s="151" t="s">
        <v>6337</v>
      </c>
    </row>
    <row r="4370" spans="1:1">
      <c r="A4370" s="151" t="s">
        <v>6338</v>
      </c>
    </row>
    <row r="4371" spans="1:1">
      <c r="A4371" s="151" t="s">
        <v>6339</v>
      </c>
    </row>
    <row r="4372" spans="1:1">
      <c r="A4372" s="151" t="s">
        <v>6340</v>
      </c>
    </row>
    <row r="4373" spans="1:1">
      <c r="A4373" s="151" t="s">
        <v>6341</v>
      </c>
    </row>
    <row r="4374" spans="1:1">
      <c r="A4374" s="151" t="s">
        <v>6342</v>
      </c>
    </row>
    <row r="4375" spans="1:1">
      <c r="A4375" s="151" t="s">
        <v>6343</v>
      </c>
    </row>
    <row r="4376" spans="1:1">
      <c r="A4376" s="151" t="s">
        <v>6344</v>
      </c>
    </row>
    <row r="4377" spans="1:1">
      <c r="A4377" s="151" t="s">
        <v>6345</v>
      </c>
    </row>
    <row r="4378" spans="1:1">
      <c r="A4378" s="151" t="s">
        <v>6346</v>
      </c>
    </row>
    <row r="4379" spans="1:1">
      <c r="A4379" s="151" t="s">
        <v>6347</v>
      </c>
    </row>
    <row r="4380" spans="1:1">
      <c r="A4380" s="151" t="s">
        <v>6348</v>
      </c>
    </row>
    <row r="4381" spans="1:1">
      <c r="A4381" s="151" t="s">
        <v>6349</v>
      </c>
    </row>
    <row r="4382" spans="1:1">
      <c r="A4382" s="151" t="s">
        <v>6350</v>
      </c>
    </row>
    <row r="4383" spans="1:1">
      <c r="A4383" s="151" t="s">
        <v>6351</v>
      </c>
    </row>
    <row r="4384" spans="1:1">
      <c r="A4384" s="151" t="s">
        <v>6352</v>
      </c>
    </row>
    <row r="4385" spans="1:1">
      <c r="A4385" s="151" t="s">
        <v>6353</v>
      </c>
    </row>
    <row r="4386" spans="1:1">
      <c r="A4386" s="151" t="s">
        <v>6354</v>
      </c>
    </row>
    <row r="4387" spans="1:1">
      <c r="A4387" s="151" t="s">
        <v>6355</v>
      </c>
    </row>
    <row r="4388" spans="1:1">
      <c r="A4388" s="151" t="s">
        <v>6356</v>
      </c>
    </row>
    <row r="4389" spans="1:1">
      <c r="A4389" s="151" t="s">
        <v>6357</v>
      </c>
    </row>
    <row r="4390" spans="1:1">
      <c r="A4390" s="151" t="s">
        <v>6358</v>
      </c>
    </row>
    <row r="4391" spans="1:1">
      <c r="A4391" s="151" t="s">
        <v>6359</v>
      </c>
    </row>
    <row r="4392" spans="1:1">
      <c r="A4392" s="151" t="s">
        <v>6360</v>
      </c>
    </row>
    <row r="4393" spans="1:1">
      <c r="A4393" s="151" t="s">
        <v>6361</v>
      </c>
    </row>
    <row r="4394" spans="1:1">
      <c r="A4394" s="151" t="s">
        <v>6362</v>
      </c>
    </row>
    <row r="4395" spans="1:1">
      <c r="A4395" s="151" t="s">
        <v>6363</v>
      </c>
    </row>
    <row r="4396" spans="1:1">
      <c r="A4396" s="151" t="s">
        <v>6364</v>
      </c>
    </row>
    <row r="4397" spans="1:1">
      <c r="A4397" s="151" t="s">
        <v>6365</v>
      </c>
    </row>
    <row r="4398" spans="1:1">
      <c r="A4398" s="151" t="s">
        <v>6366</v>
      </c>
    </row>
    <row r="4399" spans="1:1">
      <c r="A4399" s="151" t="s">
        <v>6367</v>
      </c>
    </row>
    <row r="4400" spans="1:1">
      <c r="A4400" s="151" t="s">
        <v>6368</v>
      </c>
    </row>
    <row r="4401" spans="1:1">
      <c r="A4401" s="151" t="s">
        <v>6369</v>
      </c>
    </row>
    <row r="4402" spans="1:1">
      <c r="A4402" s="151" t="s">
        <v>6370</v>
      </c>
    </row>
    <row r="4403" spans="1:1">
      <c r="A4403" s="151" t="s">
        <v>6371</v>
      </c>
    </row>
    <row r="4404" spans="1:1">
      <c r="A4404" s="151" t="s">
        <v>6372</v>
      </c>
    </row>
    <row r="4405" spans="1:1">
      <c r="A4405" s="151" t="s">
        <v>6373</v>
      </c>
    </row>
    <row r="4406" spans="1:1">
      <c r="A4406" s="151" t="s">
        <v>6374</v>
      </c>
    </row>
    <row r="4407" spans="1:1">
      <c r="A4407" s="151" t="s">
        <v>6375</v>
      </c>
    </row>
    <row r="4408" spans="1:1">
      <c r="A4408" s="151" t="s">
        <v>6376</v>
      </c>
    </row>
    <row r="4409" spans="1:1">
      <c r="A4409" s="151" t="s">
        <v>6377</v>
      </c>
    </row>
    <row r="4410" spans="1:1">
      <c r="A4410" s="151" t="s">
        <v>6378</v>
      </c>
    </row>
    <row r="4411" spans="1:1">
      <c r="A4411" s="151" t="s">
        <v>6379</v>
      </c>
    </row>
    <row r="4412" spans="1:1">
      <c r="A4412" s="151" t="s">
        <v>6380</v>
      </c>
    </row>
    <row r="4413" spans="1:1">
      <c r="A4413" s="151" t="s">
        <v>6381</v>
      </c>
    </row>
    <row r="4414" spans="1:1">
      <c r="A4414" s="151" t="s">
        <v>6382</v>
      </c>
    </row>
    <row r="4415" spans="1:1">
      <c r="A4415" s="151" t="s">
        <v>6383</v>
      </c>
    </row>
    <row r="4416" spans="1:1">
      <c r="A4416" s="151" t="s">
        <v>6384</v>
      </c>
    </row>
    <row r="4417" spans="1:1">
      <c r="A4417" s="151" t="s">
        <v>6385</v>
      </c>
    </row>
    <row r="4418" spans="1:1">
      <c r="A4418" s="151" t="s">
        <v>6386</v>
      </c>
    </row>
    <row r="4419" spans="1:1">
      <c r="A4419" s="151" t="s">
        <v>6387</v>
      </c>
    </row>
    <row r="4420" spans="1:1">
      <c r="A4420" s="151" t="s">
        <v>6388</v>
      </c>
    </row>
    <row r="4421" spans="1:1">
      <c r="A4421" s="151" t="s">
        <v>6389</v>
      </c>
    </row>
    <row r="4422" spans="1:1">
      <c r="A4422" s="151" t="s">
        <v>6390</v>
      </c>
    </row>
    <row r="4423" spans="1:1">
      <c r="A4423" s="151" t="s">
        <v>6391</v>
      </c>
    </row>
    <row r="4424" spans="1:1">
      <c r="A4424" s="151" t="s">
        <v>6392</v>
      </c>
    </row>
    <row r="4425" spans="1:1">
      <c r="A4425" s="151" t="s">
        <v>6393</v>
      </c>
    </row>
    <row r="4426" spans="1:1">
      <c r="A4426" s="151" t="s">
        <v>6394</v>
      </c>
    </row>
    <row r="4427" spans="1:1">
      <c r="A4427" s="151" t="s">
        <v>6395</v>
      </c>
    </row>
    <row r="4428" spans="1:1">
      <c r="A4428" s="151" t="s">
        <v>6396</v>
      </c>
    </row>
    <row r="4429" spans="1:1">
      <c r="A4429" s="151" t="s">
        <v>6397</v>
      </c>
    </row>
    <row r="4430" spans="1:1">
      <c r="A4430" s="151" t="s">
        <v>6398</v>
      </c>
    </row>
    <row r="4431" spans="1:1">
      <c r="A4431" s="151" t="s">
        <v>6399</v>
      </c>
    </row>
    <row r="4432" spans="1:1">
      <c r="A4432" s="151" t="s">
        <v>6400</v>
      </c>
    </row>
    <row r="4433" spans="1:1">
      <c r="A4433" s="151" t="s">
        <v>6401</v>
      </c>
    </row>
    <row r="4434" spans="1:1">
      <c r="A4434" s="151" t="s">
        <v>6402</v>
      </c>
    </row>
    <row r="4435" spans="1:1">
      <c r="A4435" s="151" t="s">
        <v>6403</v>
      </c>
    </row>
    <row r="4436" spans="1:1">
      <c r="A4436" s="151" t="s">
        <v>6404</v>
      </c>
    </row>
    <row r="4437" spans="1:1">
      <c r="A4437" s="151" t="s">
        <v>6405</v>
      </c>
    </row>
    <row r="4438" spans="1:1">
      <c r="A4438" s="151" t="s">
        <v>6406</v>
      </c>
    </row>
    <row r="4439" spans="1:1">
      <c r="A4439" s="151" t="s">
        <v>6407</v>
      </c>
    </row>
    <row r="4440" spans="1:1">
      <c r="A4440" s="151" t="s">
        <v>6408</v>
      </c>
    </row>
    <row r="4441" spans="1:1">
      <c r="A4441" s="151" t="s">
        <v>6409</v>
      </c>
    </row>
    <row r="4442" spans="1:1">
      <c r="A4442" s="151" t="s">
        <v>6410</v>
      </c>
    </row>
    <row r="4443" spans="1:1">
      <c r="A4443" s="151" t="s">
        <v>6411</v>
      </c>
    </row>
    <row r="4444" spans="1:1">
      <c r="A4444" s="151" t="s">
        <v>6412</v>
      </c>
    </row>
    <row r="4445" spans="1:1">
      <c r="A4445" s="151" t="s">
        <v>6413</v>
      </c>
    </row>
    <row r="4446" spans="1:1">
      <c r="A4446" s="151" t="s">
        <v>6414</v>
      </c>
    </row>
    <row r="4447" spans="1:1">
      <c r="A4447" s="151" t="s">
        <v>6415</v>
      </c>
    </row>
    <row r="4448" spans="1:1">
      <c r="A4448" s="151" t="s">
        <v>6416</v>
      </c>
    </row>
    <row r="4449" spans="1:1">
      <c r="A4449" s="151" t="s">
        <v>6417</v>
      </c>
    </row>
    <row r="4450" spans="1:1">
      <c r="A4450" s="151" t="s">
        <v>6418</v>
      </c>
    </row>
    <row r="4451" spans="1:1">
      <c r="A4451" s="151" t="s">
        <v>6419</v>
      </c>
    </row>
    <row r="4452" spans="1:1">
      <c r="A4452" s="151" t="s">
        <v>6420</v>
      </c>
    </row>
    <row r="4453" spans="1:1">
      <c r="A4453" s="151" t="s">
        <v>6421</v>
      </c>
    </row>
    <row r="4454" spans="1:1">
      <c r="A4454" s="151" t="s">
        <v>6422</v>
      </c>
    </row>
    <row r="4455" spans="1:1">
      <c r="A4455" s="151" t="s">
        <v>6423</v>
      </c>
    </row>
    <row r="4456" spans="1:1">
      <c r="A4456" s="151" t="s">
        <v>6424</v>
      </c>
    </row>
    <row r="4457" spans="1:1">
      <c r="A4457" s="151" t="s">
        <v>6425</v>
      </c>
    </row>
    <row r="4458" spans="1:1">
      <c r="A4458" s="151" t="s">
        <v>6426</v>
      </c>
    </row>
    <row r="4459" spans="1:1">
      <c r="A4459" s="151" t="s">
        <v>6427</v>
      </c>
    </row>
    <row r="4460" spans="1:1">
      <c r="A4460" s="151" t="s">
        <v>6428</v>
      </c>
    </row>
    <row r="4461" spans="1:1">
      <c r="A4461" s="151" t="s">
        <v>6429</v>
      </c>
    </row>
    <row r="4462" spans="1:1">
      <c r="A4462" s="151" t="s">
        <v>6430</v>
      </c>
    </row>
    <row r="4463" spans="1:1">
      <c r="A4463" s="151" t="s">
        <v>6431</v>
      </c>
    </row>
    <row r="4464" spans="1:1">
      <c r="A4464" s="151" t="s">
        <v>6432</v>
      </c>
    </row>
    <row r="4465" spans="1:1">
      <c r="A4465" s="151" t="s">
        <v>6433</v>
      </c>
    </row>
    <row r="4466" spans="1:1">
      <c r="A4466" s="151" t="s">
        <v>6434</v>
      </c>
    </row>
    <row r="4467" spans="1:1">
      <c r="A4467" s="151" t="s">
        <v>6435</v>
      </c>
    </row>
    <row r="4468" spans="1:1">
      <c r="A4468" s="151" t="s">
        <v>6436</v>
      </c>
    </row>
    <row r="4469" spans="1:1">
      <c r="A4469" s="151" t="s">
        <v>6437</v>
      </c>
    </row>
    <row r="4470" spans="1:1">
      <c r="A4470" s="151" t="s">
        <v>6438</v>
      </c>
    </row>
    <row r="4471" spans="1:1">
      <c r="A4471" s="151" t="s">
        <v>6439</v>
      </c>
    </row>
    <row r="4472" spans="1:1">
      <c r="A4472" s="151" t="s">
        <v>6440</v>
      </c>
    </row>
    <row r="4473" spans="1:1">
      <c r="A4473" s="151" t="s">
        <v>6441</v>
      </c>
    </row>
    <row r="4474" spans="1:1">
      <c r="A4474" s="151" t="s">
        <v>6442</v>
      </c>
    </row>
    <row r="4475" spans="1:1">
      <c r="A4475" s="151" t="s">
        <v>6443</v>
      </c>
    </row>
    <row r="4476" spans="1:1">
      <c r="A4476" s="151" t="s">
        <v>6444</v>
      </c>
    </row>
    <row r="4477" spans="1:1">
      <c r="A4477" s="151" t="s">
        <v>6445</v>
      </c>
    </row>
    <row r="4478" spans="1:1">
      <c r="A4478" s="151" t="s">
        <v>6446</v>
      </c>
    </row>
    <row r="4479" spans="1:1">
      <c r="A4479" s="151" t="s">
        <v>6447</v>
      </c>
    </row>
    <row r="4480" spans="1:1">
      <c r="A4480" s="151" t="s">
        <v>6448</v>
      </c>
    </row>
    <row r="4481" spans="1:1">
      <c r="A4481" s="151" t="s">
        <v>6449</v>
      </c>
    </row>
    <row r="4482" spans="1:1">
      <c r="A4482" s="151" t="s">
        <v>6450</v>
      </c>
    </row>
    <row r="4483" spans="1:1">
      <c r="A4483" s="151" t="s">
        <v>6451</v>
      </c>
    </row>
    <row r="4484" spans="1:1">
      <c r="A4484" s="151" t="s">
        <v>6452</v>
      </c>
    </row>
    <row r="4485" spans="1:1">
      <c r="A4485" s="151" t="s">
        <v>6453</v>
      </c>
    </row>
    <row r="4486" spans="1:1">
      <c r="A4486" s="151" t="s">
        <v>6454</v>
      </c>
    </row>
    <row r="4487" spans="1:1">
      <c r="A4487" s="151" t="s">
        <v>6455</v>
      </c>
    </row>
    <row r="4488" spans="1:1">
      <c r="A4488" s="151" t="s">
        <v>6456</v>
      </c>
    </row>
    <row r="4489" spans="1:1">
      <c r="A4489" s="151" t="s">
        <v>6457</v>
      </c>
    </row>
    <row r="4490" spans="1:1">
      <c r="A4490" s="151" t="s">
        <v>6458</v>
      </c>
    </row>
    <row r="4491" spans="1:1">
      <c r="A4491" s="151" t="s">
        <v>6459</v>
      </c>
    </row>
    <row r="4492" spans="1:1">
      <c r="A4492" s="151" t="s">
        <v>6460</v>
      </c>
    </row>
    <row r="4493" spans="1:1">
      <c r="A4493" s="151" t="s">
        <v>6461</v>
      </c>
    </row>
    <row r="4494" spans="1:1">
      <c r="A4494" s="151" t="s">
        <v>6462</v>
      </c>
    </row>
    <row r="4495" spans="1:1">
      <c r="A4495" s="151" t="s">
        <v>6463</v>
      </c>
    </row>
    <row r="4496" spans="1:1">
      <c r="A4496" s="151" t="s">
        <v>6464</v>
      </c>
    </row>
    <row r="4497" spans="1:1">
      <c r="A4497" s="151" t="s">
        <v>6465</v>
      </c>
    </row>
    <row r="4498" spans="1:1">
      <c r="A4498" s="151" t="s">
        <v>6466</v>
      </c>
    </row>
    <row r="4499" spans="1:1">
      <c r="A4499" s="151" t="s">
        <v>6467</v>
      </c>
    </row>
    <row r="4500" spans="1:1">
      <c r="A4500" s="151" t="s">
        <v>6468</v>
      </c>
    </row>
    <row r="4501" spans="1:1">
      <c r="A4501" s="151" t="s">
        <v>6469</v>
      </c>
    </row>
    <row r="4502" spans="1:1">
      <c r="A4502" s="151" t="s">
        <v>6470</v>
      </c>
    </row>
    <row r="4503" spans="1:1">
      <c r="A4503" s="151" t="s">
        <v>6471</v>
      </c>
    </row>
    <row r="4504" spans="1:1">
      <c r="A4504" s="151" t="s">
        <v>6472</v>
      </c>
    </row>
    <row r="4505" spans="1:1">
      <c r="A4505" s="151" t="s">
        <v>6473</v>
      </c>
    </row>
    <row r="4506" spans="1:1">
      <c r="A4506" s="151" t="s">
        <v>6474</v>
      </c>
    </row>
    <row r="4507" spans="1:1">
      <c r="A4507" s="151" t="s">
        <v>6475</v>
      </c>
    </row>
    <row r="4508" spans="1:1">
      <c r="A4508" s="151" t="s">
        <v>6476</v>
      </c>
    </row>
    <row r="4509" spans="1:1">
      <c r="A4509" s="151" t="s">
        <v>6477</v>
      </c>
    </row>
    <row r="4510" spans="1:1">
      <c r="A4510" s="151" t="s">
        <v>6478</v>
      </c>
    </row>
    <row r="4511" spans="1:1">
      <c r="A4511" s="151" t="s">
        <v>6479</v>
      </c>
    </row>
    <row r="4512" spans="1:1">
      <c r="A4512" s="151" t="s">
        <v>6480</v>
      </c>
    </row>
    <row r="4513" spans="1:1">
      <c r="A4513" s="151" t="s">
        <v>6481</v>
      </c>
    </row>
    <row r="4514" spans="1:1">
      <c r="A4514" s="151" t="s">
        <v>6482</v>
      </c>
    </row>
    <row r="4515" spans="1:1">
      <c r="A4515" s="151" t="s">
        <v>6483</v>
      </c>
    </row>
    <row r="4516" spans="1:1">
      <c r="A4516" s="151" t="s">
        <v>6484</v>
      </c>
    </row>
    <row r="4517" spans="1:1">
      <c r="A4517" s="151" t="s">
        <v>6485</v>
      </c>
    </row>
    <row r="4518" spans="1:1">
      <c r="A4518" s="151" t="s">
        <v>6486</v>
      </c>
    </row>
    <row r="4519" spans="1:1">
      <c r="A4519" s="151" t="s">
        <v>6487</v>
      </c>
    </row>
    <row r="4520" spans="1:1">
      <c r="A4520" s="151" t="s">
        <v>6488</v>
      </c>
    </row>
    <row r="4521" spans="1:1">
      <c r="A4521" s="151" t="s">
        <v>6489</v>
      </c>
    </row>
    <row r="4522" spans="1:1">
      <c r="A4522" s="151" t="s">
        <v>6490</v>
      </c>
    </row>
    <row r="4523" spans="1:1">
      <c r="A4523" s="151" t="s">
        <v>6491</v>
      </c>
    </row>
    <row r="4524" spans="1:1">
      <c r="A4524" s="151" t="s">
        <v>6492</v>
      </c>
    </row>
    <row r="4525" spans="1:1">
      <c r="A4525" s="151" t="s">
        <v>6493</v>
      </c>
    </row>
    <row r="4526" spans="1:1">
      <c r="A4526" s="151" t="s">
        <v>6494</v>
      </c>
    </row>
    <row r="4527" spans="1:1">
      <c r="A4527" s="151" t="s">
        <v>6495</v>
      </c>
    </row>
    <row r="4528" spans="1:1">
      <c r="A4528" s="151" t="s">
        <v>6496</v>
      </c>
    </row>
    <row r="4529" spans="1:1">
      <c r="A4529" s="151" t="s">
        <v>6497</v>
      </c>
    </row>
    <row r="4530" spans="1:1">
      <c r="A4530" s="151" t="s">
        <v>6498</v>
      </c>
    </row>
    <row r="4531" spans="1:1">
      <c r="A4531" s="151" t="s">
        <v>6499</v>
      </c>
    </row>
    <row r="4532" spans="1:1">
      <c r="A4532" s="151" t="s">
        <v>6500</v>
      </c>
    </row>
    <row r="4533" spans="1:1">
      <c r="A4533" s="151" t="s">
        <v>6501</v>
      </c>
    </row>
    <row r="4534" spans="1:1">
      <c r="A4534" s="151" t="s">
        <v>6502</v>
      </c>
    </row>
    <row r="4535" spans="1:1">
      <c r="A4535" s="151" t="s">
        <v>6503</v>
      </c>
    </row>
    <row r="4536" spans="1:1">
      <c r="A4536" s="151" t="s">
        <v>6504</v>
      </c>
    </row>
    <row r="4537" spans="1:1">
      <c r="A4537" s="151" t="s">
        <v>6505</v>
      </c>
    </row>
    <row r="4538" spans="1:1">
      <c r="A4538" s="151" t="s">
        <v>6506</v>
      </c>
    </row>
    <row r="4539" spans="1:1">
      <c r="A4539" s="151" t="s">
        <v>6507</v>
      </c>
    </row>
    <row r="4540" spans="1:1">
      <c r="A4540" s="151" t="s">
        <v>6508</v>
      </c>
    </row>
    <row r="4541" spans="1:1">
      <c r="A4541" s="151" t="s">
        <v>6509</v>
      </c>
    </row>
    <row r="4542" spans="1:1">
      <c r="A4542" s="151" t="s">
        <v>6510</v>
      </c>
    </row>
    <row r="4543" spans="1:1">
      <c r="A4543" s="151" t="s">
        <v>6511</v>
      </c>
    </row>
    <row r="4544" spans="1:1">
      <c r="A4544" s="151" t="s">
        <v>6512</v>
      </c>
    </row>
    <row r="4545" spans="1:1">
      <c r="A4545" s="151" t="s">
        <v>6513</v>
      </c>
    </row>
    <row r="4546" spans="1:1">
      <c r="A4546" s="151" t="s">
        <v>6514</v>
      </c>
    </row>
    <row r="4547" spans="1:1">
      <c r="A4547" s="151" t="s">
        <v>6515</v>
      </c>
    </row>
    <row r="4548" spans="1:1">
      <c r="A4548" s="151" t="s">
        <v>6516</v>
      </c>
    </row>
    <row r="4549" spans="1:1">
      <c r="A4549" s="151" t="s">
        <v>6517</v>
      </c>
    </row>
    <row r="4550" spans="1:1">
      <c r="A4550" s="151" t="s">
        <v>6518</v>
      </c>
    </row>
    <row r="4551" spans="1:1">
      <c r="A4551" s="151" t="s">
        <v>6519</v>
      </c>
    </row>
    <row r="4552" spans="1:1">
      <c r="A4552" s="151" t="s">
        <v>6520</v>
      </c>
    </row>
    <row r="4553" spans="1:1">
      <c r="A4553" s="151" t="s">
        <v>6521</v>
      </c>
    </row>
    <row r="4554" spans="1:1">
      <c r="A4554" s="151" t="s">
        <v>6522</v>
      </c>
    </row>
    <row r="4555" spans="1:1">
      <c r="A4555" s="151" t="s">
        <v>6523</v>
      </c>
    </row>
    <row r="4556" spans="1:1">
      <c r="A4556" s="151" t="s">
        <v>6524</v>
      </c>
    </row>
    <row r="4557" spans="1:1">
      <c r="A4557" s="151" t="s">
        <v>6525</v>
      </c>
    </row>
    <row r="4558" spans="1:1">
      <c r="A4558" s="151" t="s">
        <v>6526</v>
      </c>
    </row>
    <row r="4559" spans="1:1">
      <c r="A4559" s="151" t="s">
        <v>6527</v>
      </c>
    </row>
    <row r="4560" spans="1:1">
      <c r="A4560" s="151" t="s">
        <v>6528</v>
      </c>
    </row>
    <row r="4561" spans="1:1">
      <c r="A4561" s="151" t="s">
        <v>6529</v>
      </c>
    </row>
    <row r="4562" spans="1:1">
      <c r="A4562" s="151" t="s">
        <v>6530</v>
      </c>
    </row>
    <row r="4563" spans="1:1">
      <c r="A4563" s="151" t="s">
        <v>6531</v>
      </c>
    </row>
    <row r="4564" spans="1:1">
      <c r="A4564" s="151" t="s">
        <v>6532</v>
      </c>
    </row>
    <row r="4565" spans="1:1">
      <c r="A4565" s="151" t="s">
        <v>6533</v>
      </c>
    </row>
    <row r="4566" spans="1:1">
      <c r="A4566" s="151" t="s">
        <v>6534</v>
      </c>
    </row>
    <row r="4567" spans="1:1">
      <c r="A4567" s="151" t="s">
        <v>6535</v>
      </c>
    </row>
    <row r="4568" spans="1:1">
      <c r="A4568" s="151" t="s">
        <v>6536</v>
      </c>
    </row>
    <row r="4569" spans="1:1">
      <c r="A4569" s="151" t="s">
        <v>6537</v>
      </c>
    </row>
    <row r="4570" spans="1:1">
      <c r="A4570" s="151" t="s">
        <v>6538</v>
      </c>
    </row>
    <row r="4571" spans="1:1">
      <c r="A4571" s="151" t="s">
        <v>6539</v>
      </c>
    </row>
    <row r="4572" spans="1:1">
      <c r="A4572" s="151" t="s">
        <v>6540</v>
      </c>
    </row>
    <row r="4573" spans="1:1">
      <c r="A4573" s="151" t="s">
        <v>6541</v>
      </c>
    </row>
    <row r="4574" spans="1:1">
      <c r="A4574" s="151" t="s">
        <v>6542</v>
      </c>
    </row>
    <row r="4575" spans="1:1">
      <c r="A4575" s="151" t="s">
        <v>6543</v>
      </c>
    </row>
    <row r="4576" spans="1:1">
      <c r="A4576" s="151" t="s">
        <v>6544</v>
      </c>
    </row>
    <row r="4577" spans="1:1">
      <c r="A4577" s="151" t="s">
        <v>6545</v>
      </c>
    </row>
    <row r="4578" spans="1:1">
      <c r="A4578" s="151" t="s">
        <v>6546</v>
      </c>
    </row>
    <row r="4579" spans="1:1">
      <c r="A4579" s="151" t="s">
        <v>6547</v>
      </c>
    </row>
    <row r="4580" spans="1:1">
      <c r="A4580" s="151" t="s">
        <v>6548</v>
      </c>
    </row>
    <row r="4581" spans="1:1">
      <c r="A4581" s="151" t="s">
        <v>6549</v>
      </c>
    </row>
    <row r="4582" spans="1:1">
      <c r="A4582" s="151" t="s">
        <v>6550</v>
      </c>
    </row>
    <row r="4583" spans="1:1">
      <c r="A4583" s="151" t="s">
        <v>6551</v>
      </c>
    </row>
    <row r="4584" spans="1:1">
      <c r="A4584" s="151" t="s">
        <v>6552</v>
      </c>
    </row>
    <row r="4585" spans="1:1">
      <c r="A4585" s="151" t="s">
        <v>6553</v>
      </c>
    </row>
    <row r="4586" spans="1:1">
      <c r="A4586" s="151" t="s">
        <v>6554</v>
      </c>
    </row>
    <row r="4587" spans="1:1">
      <c r="A4587" s="151" t="s">
        <v>6555</v>
      </c>
    </row>
    <row r="4588" spans="1:1">
      <c r="A4588" s="151" t="s">
        <v>6556</v>
      </c>
    </row>
    <row r="4589" spans="1:1">
      <c r="A4589" s="151" t="s">
        <v>6557</v>
      </c>
    </row>
    <row r="4590" spans="1:1">
      <c r="A4590" s="151" t="s">
        <v>6558</v>
      </c>
    </row>
    <row r="4591" spans="1:1">
      <c r="A4591" s="151" t="s">
        <v>6559</v>
      </c>
    </row>
    <row r="4592" spans="1:1">
      <c r="A4592" s="151" t="s">
        <v>6560</v>
      </c>
    </row>
    <row r="4593" spans="1:1">
      <c r="A4593" s="151" t="s">
        <v>6561</v>
      </c>
    </row>
    <row r="4594" spans="1:1">
      <c r="A4594" s="151" t="s">
        <v>6562</v>
      </c>
    </row>
    <row r="4595" spans="1:1">
      <c r="A4595" s="151" t="s">
        <v>6563</v>
      </c>
    </row>
    <row r="4596" spans="1:1">
      <c r="A4596" s="151" t="s">
        <v>6564</v>
      </c>
    </row>
    <row r="4597" spans="1:1">
      <c r="A4597" s="151" t="s">
        <v>6565</v>
      </c>
    </row>
    <row r="4598" spans="1:1">
      <c r="A4598" s="151" t="s">
        <v>6566</v>
      </c>
    </row>
    <row r="4599" spans="1:1">
      <c r="A4599" s="151" t="s">
        <v>6567</v>
      </c>
    </row>
    <row r="4600" spans="1:1">
      <c r="A4600" s="151" t="s">
        <v>6568</v>
      </c>
    </row>
    <row r="4601" spans="1:1">
      <c r="A4601" s="151" t="s">
        <v>6569</v>
      </c>
    </row>
    <row r="4602" spans="1:1">
      <c r="A4602" s="151" t="s">
        <v>6570</v>
      </c>
    </row>
    <row r="4603" spans="1:1">
      <c r="A4603" s="151" t="s">
        <v>6571</v>
      </c>
    </row>
    <row r="4604" spans="1:1">
      <c r="A4604" s="151" t="s">
        <v>6572</v>
      </c>
    </row>
    <row r="4605" spans="1:1">
      <c r="A4605" s="151" t="s">
        <v>6573</v>
      </c>
    </row>
    <row r="4606" spans="1:1">
      <c r="A4606" s="151" t="s">
        <v>6574</v>
      </c>
    </row>
    <row r="4607" spans="1:1">
      <c r="A4607" s="151" t="s">
        <v>6575</v>
      </c>
    </row>
    <row r="4608" spans="1:1">
      <c r="A4608" s="151" t="s">
        <v>6576</v>
      </c>
    </row>
    <row r="4609" spans="1:1">
      <c r="A4609" s="151" t="s">
        <v>6577</v>
      </c>
    </row>
    <row r="4610" spans="1:1">
      <c r="A4610" s="151" t="s">
        <v>6578</v>
      </c>
    </row>
    <row r="4611" spans="1:1">
      <c r="A4611" s="151" t="s">
        <v>6579</v>
      </c>
    </row>
    <row r="4612" spans="1:1">
      <c r="A4612" s="151" t="s">
        <v>6580</v>
      </c>
    </row>
    <row r="4613" spans="1:1">
      <c r="A4613" s="151" t="s">
        <v>6581</v>
      </c>
    </row>
    <row r="4614" spans="1:1">
      <c r="A4614" s="151" t="s">
        <v>6582</v>
      </c>
    </row>
    <row r="4615" spans="1:1">
      <c r="A4615" s="151" t="s">
        <v>6583</v>
      </c>
    </row>
    <row r="4616" spans="1:1">
      <c r="A4616" s="151" t="s">
        <v>6584</v>
      </c>
    </row>
    <row r="4617" spans="1:1">
      <c r="A4617" s="151" t="s">
        <v>6585</v>
      </c>
    </row>
    <row r="4618" spans="1:1">
      <c r="A4618" s="151" t="s">
        <v>6586</v>
      </c>
    </row>
    <row r="4619" spans="1:1">
      <c r="A4619" s="151" t="s">
        <v>6587</v>
      </c>
    </row>
    <row r="4620" spans="1:1">
      <c r="A4620" s="151" t="s">
        <v>6588</v>
      </c>
    </row>
    <row r="4621" spans="1:1">
      <c r="A4621" s="151" t="s">
        <v>6589</v>
      </c>
    </row>
    <row r="4622" spans="1:1">
      <c r="A4622" s="151" t="s">
        <v>6590</v>
      </c>
    </row>
    <row r="4623" spans="1:1">
      <c r="A4623" s="151" t="s">
        <v>6591</v>
      </c>
    </row>
    <row r="4624" spans="1:1">
      <c r="A4624" s="151" t="s">
        <v>6592</v>
      </c>
    </row>
    <row r="4625" spans="1:1">
      <c r="A4625" s="151" t="s">
        <v>6593</v>
      </c>
    </row>
    <row r="4626" spans="1:1">
      <c r="A4626" s="151" t="s">
        <v>6594</v>
      </c>
    </row>
    <row r="4627" spans="1:1">
      <c r="A4627" s="151" t="s">
        <v>6595</v>
      </c>
    </row>
    <row r="4628" spans="1:1">
      <c r="A4628" s="151" t="s">
        <v>6596</v>
      </c>
    </row>
    <row r="4629" spans="1:1">
      <c r="A4629" s="151" t="s">
        <v>6597</v>
      </c>
    </row>
    <row r="4630" spans="1:1">
      <c r="A4630" s="151" t="s">
        <v>6598</v>
      </c>
    </row>
    <row r="4631" spans="1:1">
      <c r="A4631" s="151" t="s">
        <v>6599</v>
      </c>
    </row>
    <row r="4632" spans="1:1">
      <c r="A4632" s="151" t="s">
        <v>6600</v>
      </c>
    </row>
    <row r="4633" spans="1:1">
      <c r="A4633" s="151" t="s">
        <v>6601</v>
      </c>
    </row>
    <row r="4634" spans="1:1">
      <c r="A4634" s="151" t="s">
        <v>6602</v>
      </c>
    </row>
    <row r="4635" spans="1:1">
      <c r="A4635" s="151" t="s">
        <v>6603</v>
      </c>
    </row>
    <row r="4636" spans="1:1">
      <c r="A4636" s="151" t="s">
        <v>6604</v>
      </c>
    </row>
    <row r="4637" spans="1:1">
      <c r="A4637" s="151" t="s">
        <v>6605</v>
      </c>
    </row>
    <row r="4638" spans="1:1">
      <c r="A4638" s="151" t="s">
        <v>6606</v>
      </c>
    </row>
    <row r="4639" spans="1:1">
      <c r="A4639" s="151" t="s">
        <v>6607</v>
      </c>
    </row>
    <row r="4640" spans="1:1">
      <c r="A4640" s="151" t="s">
        <v>6608</v>
      </c>
    </row>
    <row r="4641" spans="1:1">
      <c r="A4641" s="151" t="s">
        <v>6609</v>
      </c>
    </row>
    <row r="4642" spans="1:1">
      <c r="A4642" s="151" t="s">
        <v>6610</v>
      </c>
    </row>
    <row r="4643" spans="1:1">
      <c r="A4643" s="151" t="s">
        <v>6611</v>
      </c>
    </row>
    <row r="4644" spans="1:1">
      <c r="A4644" s="151" t="s">
        <v>6612</v>
      </c>
    </row>
    <row r="4645" spans="1:1">
      <c r="A4645" s="151" t="s">
        <v>6613</v>
      </c>
    </row>
    <row r="4646" spans="1:1">
      <c r="A4646" s="151" t="s">
        <v>6614</v>
      </c>
    </row>
    <row r="4647" spans="1:1">
      <c r="A4647" s="151" t="s">
        <v>6615</v>
      </c>
    </row>
    <row r="4648" spans="1:1">
      <c r="A4648" s="151" t="s">
        <v>6616</v>
      </c>
    </row>
    <row r="4649" spans="1:1">
      <c r="A4649" s="151" t="s">
        <v>6617</v>
      </c>
    </row>
    <row r="4650" spans="1:1">
      <c r="A4650" s="151" t="s">
        <v>6618</v>
      </c>
    </row>
    <row r="4651" spans="1:1">
      <c r="A4651" s="151" t="s">
        <v>6619</v>
      </c>
    </row>
    <row r="4652" spans="1:1">
      <c r="A4652" s="151" t="s">
        <v>6620</v>
      </c>
    </row>
    <row r="4653" spans="1:1">
      <c r="A4653" s="151" t="s">
        <v>6621</v>
      </c>
    </row>
    <row r="4654" spans="1:1">
      <c r="A4654" s="151" t="s">
        <v>6622</v>
      </c>
    </row>
    <row r="4655" spans="1:1">
      <c r="A4655" s="151" t="s">
        <v>6623</v>
      </c>
    </row>
    <row r="4656" spans="1:1">
      <c r="A4656" s="151" t="s">
        <v>6624</v>
      </c>
    </row>
    <row r="4657" spans="1:1">
      <c r="A4657" s="151" t="s">
        <v>6625</v>
      </c>
    </row>
    <row r="4658" spans="1:1">
      <c r="A4658" s="151" t="s">
        <v>6626</v>
      </c>
    </row>
    <row r="4659" spans="1:1">
      <c r="A4659" s="151" t="s">
        <v>6627</v>
      </c>
    </row>
    <row r="4660" spans="1:1">
      <c r="A4660" s="151" t="s">
        <v>6628</v>
      </c>
    </row>
    <row r="4661" spans="1:1">
      <c r="A4661" s="151" t="s">
        <v>6629</v>
      </c>
    </row>
    <row r="4662" spans="1:1">
      <c r="A4662" s="151" t="s">
        <v>6630</v>
      </c>
    </row>
    <row r="4663" spans="1:1">
      <c r="A4663" s="151" t="s">
        <v>6631</v>
      </c>
    </row>
    <row r="4664" spans="1:1">
      <c r="A4664" s="151" t="s">
        <v>6632</v>
      </c>
    </row>
    <row r="4665" spans="1:1">
      <c r="A4665" s="151" t="s">
        <v>6633</v>
      </c>
    </row>
    <row r="4666" spans="1:1">
      <c r="A4666" s="151" t="s">
        <v>6634</v>
      </c>
    </row>
    <row r="4667" spans="1:1">
      <c r="A4667" s="151" t="s">
        <v>6635</v>
      </c>
    </row>
    <row r="4668" spans="1:1">
      <c r="A4668" s="151" t="s">
        <v>6636</v>
      </c>
    </row>
    <row r="4669" spans="1:1">
      <c r="A4669" s="151" t="s">
        <v>6637</v>
      </c>
    </row>
    <row r="4670" spans="1:1">
      <c r="A4670" s="151" t="s">
        <v>6638</v>
      </c>
    </row>
    <row r="4671" spans="1:1">
      <c r="A4671" s="151" t="s">
        <v>6639</v>
      </c>
    </row>
    <row r="4672" spans="1:1">
      <c r="A4672" s="151" t="s">
        <v>6640</v>
      </c>
    </row>
    <row r="4673" spans="1:1">
      <c r="A4673" s="151" t="s">
        <v>6641</v>
      </c>
    </row>
    <row r="4674" spans="1:1">
      <c r="A4674" s="151" t="s">
        <v>6642</v>
      </c>
    </row>
    <row r="4675" spans="1:1">
      <c r="A4675" s="151" t="s">
        <v>6643</v>
      </c>
    </row>
    <row r="4676" spans="1:1">
      <c r="A4676" s="151" t="s">
        <v>6644</v>
      </c>
    </row>
    <row r="4677" spans="1:1">
      <c r="A4677" s="151" t="s">
        <v>6645</v>
      </c>
    </row>
    <row r="4678" spans="1:1">
      <c r="A4678" s="151" t="s">
        <v>6646</v>
      </c>
    </row>
    <row r="4679" spans="1:1">
      <c r="A4679" s="151" t="s">
        <v>6647</v>
      </c>
    </row>
    <row r="4680" spans="1:1">
      <c r="A4680" s="151" t="s">
        <v>6648</v>
      </c>
    </row>
    <row r="4681" spans="1:1">
      <c r="A4681" s="151" t="s">
        <v>6649</v>
      </c>
    </row>
    <row r="4682" spans="1:1">
      <c r="A4682" s="151" t="s">
        <v>6650</v>
      </c>
    </row>
    <row r="4683" spans="1:1">
      <c r="A4683" s="151" t="s">
        <v>6651</v>
      </c>
    </row>
    <row r="4684" spans="1:1">
      <c r="A4684" s="151" t="s">
        <v>6652</v>
      </c>
    </row>
    <row r="4685" spans="1:1">
      <c r="A4685" s="151" t="s">
        <v>6653</v>
      </c>
    </row>
    <row r="4686" spans="1:1">
      <c r="A4686" s="151" t="s">
        <v>6654</v>
      </c>
    </row>
    <row r="4687" spans="1:1">
      <c r="A4687" s="151" t="s">
        <v>6655</v>
      </c>
    </row>
    <row r="4688" spans="1:1">
      <c r="A4688" s="151" t="s">
        <v>6656</v>
      </c>
    </row>
    <row r="4689" spans="1:1">
      <c r="A4689" s="151" t="s">
        <v>6657</v>
      </c>
    </row>
    <row r="4690" spans="1:1">
      <c r="A4690" s="151" t="s">
        <v>6658</v>
      </c>
    </row>
    <row r="4691" spans="1:1">
      <c r="A4691" s="151" t="s">
        <v>6659</v>
      </c>
    </row>
    <row r="4692" spans="1:1">
      <c r="A4692" s="151" t="s">
        <v>6660</v>
      </c>
    </row>
    <row r="4693" spans="1:1">
      <c r="A4693" s="151" t="s">
        <v>6661</v>
      </c>
    </row>
    <row r="4694" spans="1:1">
      <c r="A4694" s="151" t="s">
        <v>6662</v>
      </c>
    </row>
    <row r="4695" spans="1:1">
      <c r="A4695" s="151" t="s">
        <v>6663</v>
      </c>
    </row>
    <row r="4696" spans="1:1">
      <c r="A4696" s="151" t="s">
        <v>6664</v>
      </c>
    </row>
    <row r="4697" spans="1:1">
      <c r="A4697" s="151" t="s">
        <v>6665</v>
      </c>
    </row>
    <row r="4698" spans="1:1">
      <c r="A4698" s="151" t="s">
        <v>6666</v>
      </c>
    </row>
    <row r="4699" spans="1:1">
      <c r="A4699" s="151" t="s">
        <v>6667</v>
      </c>
    </row>
    <row r="4700" spans="1:1">
      <c r="A4700" s="151" t="s">
        <v>6668</v>
      </c>
    </row>
    <row r="4701" spans="1:1">
      <c r="A4701" s="151" t="s">
        <v>6669</v>
      </c>
    </row>
    <row r="4702" spans="1:1">
      <c r="A4702" s="151" t="s">
        <v>6670</v>
      </c>
    </row>
    <row r="4703" spans="1:1">
      <c r="A4703" s="151" t="s">
        <v>6671</v>
      </c>
    </row>
    <row r="4704" spans="1:1">
      <c r="A4704" s="151" t="s">
        <v>6672</v>
      </c>
    </row>
    <row r="4705" spans="1:1">
      <c r="A4705" s="151" t="s">
        <v>6673</v>
      </c>
    </row>
    <row r="4706" spans="1:1">
      <c r="A4706" s="151" t="s">
        <v>6674</v>
      </c>
    </row>
    <row r="4707" spans="1:1">
      <c r="A4707" s="151" t="s">
        <v>6675</v>
      </c>
    </row>
    <row r="4708" spans="1:1">
      <c r="A4708" s="151" t="s">
        <v>6676</v>
      </c>
    </row>
    <row r="4709" spans="1:1">
      <c r="A4709" s="151" t="s">
        <v>6677</v>
      </c>
    </row>
    <row r="4710" spans="1:1">
      <c r="A4710" s="151" t="s">
        <v>6678</v>
      </c>
    </row>
    <row r="4711" spans="1:1">
      <c r="A4711" s="151" t="s">
        <v>6679</v>
      </c>
    </row>
    <row r="4712" spans="1:1">
      <c r="A4712" s="151" t="s">
        <v>6680</v>
      </c>
    </row>
    <row r="4713" spans="1:1">
      <c r="A4713" s="151" t="s">
        <v>6681</v>
      </c>
    </row>
    <row r="4714" spans="1:1">
      <c r="A4714" s="151" t="s">
        <v>6682</v>
      </c>
    </row>
    <row r="4715" spans="1:1">
      <c r="A4715" s="151" t="s">
        <v>6683</v>
      </c>
    </row>
    <row r="4716" spans="1:1">
      <c r="A4716" s="151" t="s">
        <v>6684</v>
      </c>
    </row>
    <row r="4717" spans="1:1">
      <c r="A4717" s="151" t="s">
        <v>6685</v>
      </c>
    </row>
    <row r="4718" spans="1:1">
      <c r="A4718" s="151" t="s">
        <v>6686</v>
      </c>
    </row>
    <row r="4719" spans="1:1">
      <c r="A4719" s="151" t="s">
        <v>6687</v>
      </c>
    </row>
    <row r="4720" spans="1:1">
      <c r="A4720" s="151" t="s">
        <v>6688</v>
      </c>
    </row>
    <row r="4721" spans="1:1">
      <c r="A4721" s="151" t="s">
        <v>6689</v>
      </c>
    </row>
    <row r="4722" spans="1:1">
      <c r="A4722" s="151" t="s">
        <v>6690</v>
      </c>
    </row>
    <row r="4723" spans="1:1">
      <c r="A4723" s="151" t="s">
        <v>6691</v>
      </c>
    </row>
    <row r="4724" spans="1:1">
      <c r="A4724" s="151" t="s">
        <v>6692</v>
      </c>
    </row>
    <row r="4725" spans="1:1">
      <c r="A4725" s="151" t="s">
        <v>6693</v>
      </c>
    </row>
    <row r="4726" spans="1:1">
      <c r="A4726" s="151" t="s">
        <v>6694</v>
      </c>
    </row>
    <row r="4727" spans="1:1">
      <c r="A4727" s="151" t="s">
        <v>6695</v>
      </c>
    </row>
    <row r="4728" spans="1:1">
      <c r="A4728" s="151" t="s">
        <v>6696</v>
      </c>
    </row>
    <row r="4729" spans="1:1">
      <c r="A4729" s="151" t="s">
        <v>6697</v>
      </c>
    </row>
    <row r="4730" spans="1:1">
      <c r="A4730" s="151" t="s">
        <v>6698</v>
      </c>
    </row>
    <row r="4731" spans="1:1">
      <c r="A4731" s="151" t="s">
        <v>6699</v>
      </c>
    </row>
    <row r="4732" spans="1:1">
      <c r="A4732" s="151" t="s">
        <v>6700</v>
      </c>
    </row>
    <row r="4733" spans="1:1">
      <c r="A4733" s="151" t="s">
        <v>6701</v>
      </c>
    </row>
    <row r="4734" spans="1:1">
      <c r="A4734" s="151" t="s">
        <v>6702</v>
      </c>
    </row>
    <row r="4735" spans="1:1">
      <c r="A4735" s="151" t="s">
        <v>6703</v>
      </c>
    </row>
    <row r="4736" spans="1:1">
      <c r="A4736" s="151" t="s">
        <v>6704</v>
      </c>
    </row>
    <row r="4737" spans="1:1">
      <c r="A4737" s="151" t="s">
        <v>6705</v>
      </c>
    </row>
    <row r="4738" spans="1:1">
      <c r="A4738" s="151" t="s">
        <v>6706</v>
      </c>
    </row>
    <row r="4739" spans="1:1">
      <c r="A4739" s="151" t="s">
        <v>6707</v>
      </c>
    </row>
    <row r="4740" spans="1:1">
      <c r="A4740" s="151" t="s">
        <v>6708</v>
      </c>
    </row>
    <row r="4741" spans="1:1">
      <c r="A4741" s="151" t="s">
        <v>6709</v>
      </c>
    </row>
    <row r="4742" spans="1:1">
      <c r="A4742" s="151" t="s">
        <v>6710</v>
      </c>
    </row>
    <row r="4743" spans="1:1">
      <c r="A4743" s="151" t="s">
        <v>6711</v>
      </c>
    </row>
    <row r="4744" spans="1:1">
      <c r="A4744" s="151" t="s">
        <v>6712</v>
      </c>
    </row>
    <row r="4745" spans="1:1">
      <c r="A4745" s="151" t="s">
        <v>6713</v>
      </c>
    </row>
    <row r="4746" spans="1:1">
      <c r="A4746" s="151" t="s">
        <v>6714</v>
      </c>
    </row>
    <row r="4747" spans="1:1">
      <c r="A4747" s="151" t="s">
        <v>6715</v>
      </c>
    </row>
    <row r="4748" spans="1:1">
      <c r="A4748" s="151" t="s">
        <v>6716</v>
      </c>
    </row>
    <row r="4749" spans="1:1">
      <c r="A4749" s="151" t="s">
        <v>6717</v>
      </c>
    </row>
    <row r="4750" spans="1:1">
      <c r="A4750" s="151" t="s">
        <v>6718</v>
      </c>
    </row>
    <row r="4751" spans="1:1">
      <c r="A4751" s="151" t="s">
        <v>6719</v>
      </c>
    </row>
    <row r="4752" spans="1:1">
      <c r="A4752" s="151" t="s">
        <v>6720</v>
      </c>
    </row>
    <row r="4753" spans="1:1">
      <c r="A4753" s="151" t="s">
        <v>6721</v>
      </c>
    </row>
    <row r="4754" spans="1:1">
      <c r="A4754" s="151" t="s">
        <v>6722</v>
      </c>
    </row>
    <row r="4755" spans="1:1">
      <c r="A4755" s="151" t="s">
        <v>6723</v>
      </c>
    </row>
    <row r="4756" spans="1:1">
      <c r="A4756" s="151" t="s">
        <v>6724</v>
      </c>
    </row>
    <row r="4757" spans="1:1">
      <c r="A4757" s="151" t="s">
        <v>6725</v>
      </c>
    </row>
    <row r="4758" spans="1:1">
      <c r="A4758" s="151" t="s">
        <v>6726</v>
      </c>
    </row>
    <row r="4759" spans="1:1">
      <c r="A4759" s="151" t="s">
        <v>6727</v>
      </c>
    </row>
    <row r="4760" spans="1:1">
      <c r="A4760" s="151" t="s">
        <v>6728</v>
      </c>
    </row>
    <row r="4761" spans="1:1">
      <c r="A4761" s="151" t="s">
        <v>6729</v>
      </c>
    </row>
    <row r="4762" spans="1:1">
      <c r="A4762" s="151" t="s">
        <v>6730</v>
      </c>
    </row>
    <row r="4763" spans="1:1">
      <c r="A4763" s="151" t="s">
        <v>6731</v>
      </c>
    </row>
    <row r="4764" spans="1:1">
      <c r="A4764" s="151" t="s">
        <v>6732</v>
      </c>
    </row>
    <row r="4765" spans="1:1">
      <c r="A4765" s="151" t="s">
        <v>6733</v>
      </c>
    </row>
    <row r="4766" spans="1:1">
      <c r="A4766" s="151" t="s">
        <v>6734</v>
      </c>
    </row>
    <row r="4767" spans="1:1">
      <c r="A4767" s="151" t="s">
        <v>6735</v>
      </c>
    </row>
    <row r="4768" spans="1:1">
      <c r="A4768" s="151" t="s">
        <v>6736</v>
      </c>
    </row>
    <row r="4769" spans="1:1">
      <c r="A4769" s="151" t="s">
        <v>6737</v>
      </c>
    </row>
    <row r="4770" spans="1:1">
      <c r="A4770" s="151" t="s">
        <v>6738</v>
      </c>
    </row>
    <row r="4771" spans="1:1">
      <c r="A4771" s="151" t="s">
        <v>6739</v>
      </c>
    </row>
    <row r="4772" spans="1:1">
      <c r="A4772" s="151" t="s">
        <v>6740</v>
      </c>
    </row>
    <row r="4773" spans="1:1">
      <c r="A4773" s="151" t="s">
        <v>6741</v>
      </c>
    </row>
    <row r="4774" spans="1:1">
      <c r="A4774" s="151" t="s">
        <v>6742</v>
      </c>
    </row>
    <row r="4775" spans="1:1">
      <c r="A4775" s="151" t="s">
        <v>6743</v>
      </c>
    </row>
    <row r="4776" spans="1:1">
      <c r="A4776" s="151" t="s">
        <v>6744</v>
      </c>
    </row>
    <row r="4777" spans="1:1">
      <c r="A4777" s="151" t="s">
        <v>6745</v>
      </c>
    </row>
    <row r="4778" spans="1:1">
      <c r="A4778" s="151" t="s">
        <v>6746</v>
      </c>
    </row>
    <row r="4779" spans="1:1">
      <c r="A4779" s="151" t="s">
        <v>6747</v>
      </c>
    </row>
    <row r="4780" spans="1:1">
      <c r="A4780" s="151" t="s">
        <v>6748</v>
      </c>
    </row>
    <row r="4781" spans="1:1">
      <c r="A4781" s="151" t="s">
        <v>6749</v>
      </c>
    </row>
    <row r="4782" spans="1:1">
      <c r="A4782" s="151" t="s">
        <v>6750</v>
      </c>
    </row>
    <row r="4783" spans="1:1">
      <c r="A4783" s="151" t="s">
        <v>6751</v>
      </c>
    </row>
    <row r="4784" spans="1:1">
      <c r="A4784" s="151" t="s">
        <v>6752</v>
      </c>
    </row>
    <row r="4785" spans="1:1">
      <c r="A4785" s="151" t="s">
        <v>6753</v>
      </c>
    </row>
    <row r="4786" spans="1:1">
      <c r="A4786" s="151" t="s">
        <v>6754</v>
      </c>
    </row>
    <row r="4787" spans="1:1">
      <c r="A4787" s="151" t="s">
        <v>6755</v>
      </c>
    </row>
    <row r="4788" spans="1:1">
      <c r="A4788" s="151" t="s">
        <v>6756</v>
      </c>
    </row>
    <row r="4789" spans="1:1">
      <c r="A4789" s="151" t="s">
        <v>6757</v>
      </c>
    </row>
    <row r="4790" spans="1:1">
      <c r="A4790" s="151" t="s">
        <v>6758</v>
      </c>
    </row>
    <row r="4791" spans="1:1">
      <c r="A4791" s="151" t="s">
        <v>6759</v>
      </c>
    </row>
    <row r="4792" spans="1:1">
      <c r="A4792" s="151" t="s">
        <v>6760</v>
      </c>
    </row>
    <row r="4793" spans="1:1">
      <c r="A4793" s="151" t="s">
        <v>6761</v>
      </c>
    </row>
    <row r="4794" spans="1:1">
      <c r="A4794" s="151" t="s">
        <v>6762</v>
      </c>
    </row>
    <row r="4795" spans="1:1">
      <c r="A4795" s="151" t="s">
        <v>6763</v>
      </c>
    </row>
    <row r="4796" spans="1:1">
      <c r="A4796" s="151" t="s">
        <v>6764</v>
      </c>
    </row>
    <row r="4797" spans="1:1">
      <c r="A4797" s="151" t="s">
        <v>6765</v>
      </c>
    </row>
    <row r="4798" spans="1:1">
      <c r="A4798" s="151" t="s">
        <v>6766</v>
      </c>
    </row>
    <row r="4799" spans="1:1">
      <c r="A4799" s="151" t="s">
        <v>6767</v>
      </c>
    </row>
    <row r="4800" spans="1:1">
      <c r="A4800" s="151" t="s">
        <v>6768</v>
      </c>
    </row>
    <row r="4801" spans="1:1">
      <c r="A4801" s="151" t="s">
        <v>6769</v>
      </c>
    </row>
    <row r="4802" spans="1:1">
      <c r="A4802" s="151" t="s">
        <v>6770</v>
      </c>
    </row>
    <row r="4803" spans="1:1">
      <c r="A4803" s="151" t="s">
        <v>6771</v>
      </c>
    </row>
    <row r="4804" spans="1:1">
      <c r="A4804" s="151" t="s">
        <v>6772</v>
      </c>
    </row>
    <row r="4805" spans="1:1">
      <c r="A4805" s="151" t="s">
        <v>6773</v>
      </c>
    </row>
    <row r="4806" spans="1:1">
      <c r="A4806" s="151" t="s">
        <v>6774</v>
      </c>
    </row>
    <row r="4807" spans="1:1">
      <c r="A4807" s="151" t="s">
        <v>6775</v>
      </c>
    </row>
    <row r="4808" spans="1:1">
      <c r="A4808" s="151" t="s">
        <v>6776</v>
      </c>
    </row>
    <row r="4809" spans="1:1">
      <c r="A4809" s="151" t="s">
        <v>6777</v>
      </c>
    </row>
    <row r="4810" spans="1:1">
      <c r="A4810" s="151" t="s">
        <v>6778</v>
      </c>
    </row>
    <row r="4811" spans="1:1">
      <c r="A4811" s="151" t="s">
        <v>6779</v>
      </c>
    </row>
    <row r="4812" spans="1:1">
      <c r="A4812" s="151" t="s">
        <v>6780</v>
      </c>
    </row>
    <row r="4813" spans="1:1">
      <c r="A4813" s="151" t="s">
        <v>6781</v>
      </c>
    </row>
    <row r="4814" spans="1:1">
      <c r="A4814" s="151" t="s">
        <v>6782</v>
      </c>
    </row>
    <row r="4815" spans="1:1">
      <c r="A4815" s="151" t="s">
        <v>6783</v>
      </c>
    </row>
    <row r="4816" spans="1:1">
      <c r="A4816" s="151" t="s">
        <v>6784</v>
      </c>
    </row>
    <row r="4817" spans="1:1">
      <c r="A4817" s="151" t="s">
        <v>6785</v>
      </c>
    </row>
    <row r="4818" spans="1:1">
      <c r="A4818" s="151" t="s">
        <v>6786</v>
      </c>
    </row>
    <row r="4819" spans="1:1">
      <c r="A4819" s="151" t="s">
        <v>6787</v>
      </c>
    </row>
    <row r="4820" spans="1:1">
      <c r="A4820" s="151" t="s">
        <v>6788</v>
      </c>
    </row>
    <row r="4821" spans="1:1">
      <c r="A4821" s="151" t="s">
        <v>6789</v>
      </c>
    </row>
    <row r="4822" spans="1:1">
      <c r="A4822" s="151" t="s">
        <v>6790</v>
      </c>
    </row>
    <row r="4823" spans="1:1">
      <c r="A4823" s="151" t="s">
        <v>6791</v>
      </c>
    </row>
    <row r="4824" spans="1:1">
      <c r="A4824" s="151" t="s">
        <v>6792</v>
      </c>
    </row>
    <row r="4825" spans="1:1">
      <c r="A4825" s="151" t="s">
        <v>6793</v>
      </c>
    </row>
    <row r="4826" spans="1:1">
      <c r="A4826" s="151" t="s">
        <v>6794</v>
      </c>
    </row>
    <row r="4827" spans="1:1">
      <c r="A4827" s="151" t="s">
        <v>6795</v>
      </c>
    </row>
    <row r="4828" spans="1:1">
      <c r="A4828" s="151" t="s">
        <v>6796</v>
      </c>
    </row>
    <row r="4829" spans="1:1">
      <c r="A4829" s="151" t="s">
        <v>6797</v>
      </c>
    </row>
    <row r="4830" spans="1:1">
      <c r="A4830" s="151" t="s">
        <v>6798</v>
      </c>
    </row>
    <row r="4831" spans="1:1">
      <c r="A4831" s="151" t="s">
        <v>6799</v>
      </c>
    </row>
    <row r="4832" spans="1:1">
      <c r="A4832" s="151" t="s">
        <v>6800</v>
      </c>
    </row>
    <row r="4833" spans="1:1">
      <c r="A4833" s="151" t="s">
        <v>6801</v>
      </c>
    </row>
    <row r="4834" spans="1:1">
      <c r="A4834" s="151" t="s">
        <v>6802</v>
      </c>
    </row>
    <row r="4835" spans="1:1">
      <c r="A4835" s="151" t="s">
        <v>6803</v>
      </c>
    </row>
    <row r="4836" spans="1:1">
      <c r="A4836" s="151" t="s">
        <v>6804</v>
      </c>
    </row>
    <row r="4837" spans="1:1">
      <c r="A4837" s="151" t="s">
        <v>6805</v>
      </c>
    </row>
    <row r="4838" spans="1:1">
      <c r="A4838" s="151" t="s">
        <v>6806</v>
      </c>
    </row>
    <row r="4839" spans="1:1">
      <c r="A4839" s="151" t="s">
        <v>6807</v>
      </c>
    </row>
    <row r="4840" spans="1:1">
      <c r="A4840" s="151" t="s">
        <v>6808</v>
      </c>
    </row>
    <row r="4841" spans="1:1">
      <c r="A4841" s="151" t="s">
        <v>6809</v>
      </c>
    </row>
    <row r="4842" spans="1:1">
      <c r="A4842" s="151" t="s">
        <v>6810</v>
      </c>
    </row>
    <row r="4843" spans="1:1">
      <c r="A4843" s="151" t="s">
        <v>6811</v>
      </c>
    </row>
    <row r="4844" spans="1:1">
      <c r="A4844" s="151" t="s">
        <v>6812</v>
      </c>
    </row>
    <row r="4845" spans="1:1">
      <c r="A4845" s="151" t="s">
        <v>6813</v>
      </c>
    </row>
    <row r="4846" spans="1:1">
      <c r="A4846" s="151" t="s">
        <v>6814</v>
      </c>
    </row>
    <row r="4847" spans="1:1">
      <c r="A4847" s="151" t="s">
        <v>6815</v>
      </c>
    </row>
    <row r="4848" spans="1:1">
      <c r="A4848" s="151" t="s">
        <v>6816</v>
      </c>
    </row>
    <row r="4849" spans="1:1">
      <c r="A4849" s="151" t="s">
        <v>6817</v>
      </c>
    </row>
    <row r="4850" spans="1:1">
      <c r="A4850" s="151" t="s">
        <v>6818</v>
      </c>
    </row>
    <row r="4851" spans="1:1">
      <c r="A4851" s="151" t="s">
        <v>6819</v>
      </c>
    </row>
    <row r="4852" spans="1:1">
      <c r="A4852" s="151" t="s">
        <v>6820</v>
      </c>
    </row>
    <row r="4853" spans="1:1">
      <c r="A4853" s="151" t="s">
        <v>6821</v>
      </c>
    </row>
    <row r="4854" spans="1:1">
      <c r="A4854" s="151" t="s">
        <v>6822</v>
      </c>
    </row>
    <row r="4855" spans="1:1">
      <c r="A4855" s="151" t="s">
        <v>6823</v>
      </c>
    </row>
    <row r="4856" spans="1:1">
      <c r="A4856" s="151" t="s">
        <v>6824</v>
      </c>
    </row>
    <row r="4857" spans="1:1">
      <c r="A4857" s="151" t="s">
        <v>6825</v>
      </c>
    </row>
    <row r="4858" spans="1:1">
      <c r="A4858" s="151" t="s">
        <v>6826</v>
      </c>
    </row>
    <row r="4859" spans="1:1">
      <c r="A4859" s="151" t="s">
        <v>6827</v>
      </c>
    </row>
    <row r="4860" spans="1:1">
      <c r="A4860" s="151" t="s">
        <v>6828</v>
      </c>
    </row>
    <row r="4861" spans="1:1">
      <c r="A4861" s="151" t="s">
        <v>6829</v>
      </c>
    </row>
    <row r="4862" spans="1:1">
      <c r="A4862" s="151" t="s">
        <v>6830</v>
      </c>
    </row>
    <row r="4863" spans="1:1">
      <c r="A4863" s="151" t="s">
        <v>6831</v>
      </c>
    </row>
    <row r="4864" spans="1:1">
      <c r="A4864" s="151" t="s">
        <v>6832</v>
      </c>
    </row>
    <row r="4865" spans="1:1">
      <c r="A4865" s="151" t="s">
        <v>6833</v>
      </c>
    </row>
    <row r="4866" spans="1:1">
      <c r="A4866" s="151" t="s">
        <v>6834</v>
      </c>
    </row>
    <row r="4867" spans="1:1">
      <c r="A4867" s="151" t="s">
        <v>6835</v>
      </c>
    </row>
    <row r="4868" spans="1:1">
      <c r="A4868" s="151" t="s">
        <v>6836</v>
      </c>
    </row>
    <row r="4869" spans="1:1">
      <c r="A4869" s="151" t="s">
        <v>6837</v>
      </c>
    </row>
    <row r="4870" spans="1:1">
      <c r="A4870" s="151" t="s">
        <v>6838</v>
      </c>
    </row>
    <row r="4871" spans="1:1">
      <c r="A4871" s="151" t="s">
        <v>6839</v>
      </c>
    </row>
    <row r="4872" spans="1:1">
      <c r="A4872" s="151" t="s">
        <v>6840</v>
      </c>
    </row>
    <row r="4873" spans="1:1">
      <c r="A4873" s="151" t="s">
        <v>6841</v>
      </c>
    </row>
    <row r="4874" spans="1:1">
      <c r="A4874" s="151" t="s">
        <v>6842</v>
      </c>
    </row>
    <row r="4875" spans="1:1">
      <c r="A4875" s="151" t="s">
        <v>6843</v>
      </c>
    </row>
    <row r="4876" spans="1:1">
      <c r="A4876" s="151" t="s">
        <v>6844</v>
      </c>
    </row>
    <row r="4877" spans="1:1">
      <c r="A4877" s="151" t="s">
        <v>6845</v>
      </c>
    </row>
    <row r="4878" spans="1:1">
      <c r="A4878" s="151" t="s">
        <v>6846</v>
      </c>
    </row>
    <row r="4879" spans="1:1">
      <c r="A4879" s="151" t="s">
        <v>6847</v>
      </c>
    </row>
    <row r="4880" spans="1:1">
      <c r="A4880" s="151" t="s">
        <v>6848</v>
      </c>
    </row>
    <row r="4881" spans="1:1">
      <c r="A4881" s="151" t="s">
        <v>6849</v>
      </c>
    </row>
    <row r="4882" spans="1:1">
      <c r="A4882" s="151" t="s">
        <v>6850</v>
      </c>
    </row>
    <row r="4883" spans="1:1">
      <c r="A4883" s="151" t="s">
        <v>6851</v>
      </c>
    </row>
    <row r="4884" spans="1:1">
      <c r="A4884" s="151" t="s">
        <v>6852</v>
      </c>
    </row>
    <row r="4885" spans="1:1">
      <c r="A4885" s="151" t="s">
        <v>6853</v>
      </c>
    </row>
    <row r="4886" spans="1:1">
      <c r="A4886" s="151" t="s">
        <v>6854</v>
      </c>
    </row>
    <row r="4887" spans="1:1">
      <c r="A4887" s="151" t="s">
        <v>6855</v>
      </c>
    </row>
    <row r="4888" spans="1:1">
      <c r="A4888" s="151" t="s">
        <v>6856</v>
      </c>
    </row>
    <row r="4889" spans="1:1">
      <c r="A4889" s="151" t="s">
        <v>6857</v>
      </c>
    </row>
    <row r="4890" spans="1:1">
      <c r="A4890" s="151" t="s">
        <v>6858</v>
      </c>
    </row>
    <row r="4891" spans="1:1">
      <c r="A4891" s="151" t="s">
        <v>6859</v>
      </c>
    </row>
    <row r="4892" spans="1:1">
      <c r="A4892" s="151" t="s">
        <v>6860</v>
      </c>
    </row>
    <row r="4893" spans="1:1">
      <c r="A4893" s="151" t="s">
        <v>6861</v>
      </c>
    </row>
    <row r="4894" spans="1:1">
      <c r="A4894" s="151" t="s">
        <v>6862</v>
      </c>
    </row>
    <row r="4895" spans="1:1">
      <c r="A4895" s="151" t="s">
        <v>6863</v>
      </c>
    </row>
    <row r="4896" spans="1:1">
      <c r="A4896" s="151" t="s">
        <v>6864</v>
      </c>
    </row>
    <row r="4897" spans="1:1">
      <c r="A4897" s="151" t="s">
        <v>6865</v>
      </c>
    </row>
    <row r="4898" spans="1:1">
      <c r="A4898" s="151" t="s">
        <v>6866</v>
      </c>
    </row>
    <row r="4899" spans="1:1">
      <c r="A4899" s="151" t="s">
        <v>6867</v>
      </c>
    </row>
    <row r="4900" spans="1:1">
      <c r="A4900" s="151" t="s">
        <v>6868</v>
      </c>
    </row>
    <row r="4901" spans="1:1">
      <c r="A4901" s="151" t="s">
        <v>6869</v>
      </c>
    </row>
    <row r="4902" spans="1:1">
      <c r="A4902" s="151" t="s">
        <v>6870</v>
      </c>
    </row>
    <row r="4903" spans="1:1">
      <c r="A4903" s="151" t="s">
        <v>6871</v>
      </c>
    </row>
    <row r="4904" spans="1:1">
      <c r="A4904" s="151" t="s">
        <v>6872</v>
      </c>
    </row>
    <row r="4905" spans="1:1">
      <c r="A4905" s="151" t="s">
        <v>6873</v>
      </c>
    </row>
    <row r="4906" spans="1:1">
      <c r="A4906" s="151" t="s">
        <v>6874</v>
      </c>
    </row>
    <row r="4907" spans="1:1">
      <c r="A4907" s="151" t="s">
        <v>6875</v>
      </c>
    </row>
    <row r="4908" spans="1:1">
      <c r="A4908" s="151" t="s">
        <v>6876</v>
      </c>
    </row>
    <row r="4909" spans="1:1">
      <c r="A4909" s="151" t="s">
        <v>6877</v>
      </c>
    </row>
    <row r="4910" spans="1:1">
      <c r="A4910" s="151" t="s">
        <v>6878</v>
      </c>
    </row>
    <row r="4911" spans="1:1">
      <c r="A4911" s="151" t="s">
        <v>6879</v>
      </c>
    </row>
    <row r="4912" spans="1:1">
      <c r="A4912" s="151" t="s">
        <v>6880</v>
      </c>
    </row>
    <row r="4913" spans="1:1">
      <c r="A4913" s="151" t="s">
        <v>6881</v>
      </c>
    </row>
    <row r="4914" spans="1:1">
      <c r="A4914" s="151" t="s">
        <v>6882</v>
      </c>
    </row>
    <row r="4915" spans="1:1">
      <c r="A4915" s="151" t="s">
        <v>6883</v>
      </c>
    </row>
    <row r="4916" spans="1:1">
      <c r="A4916" s="151" t="s">
        <v>6884</v>
      </c>
    </row>
    <row r="4917" spans="1:1">
      <c r="A4917" s="151" t="s">
        <v>6885</v>
      </c>
    </row>
    <row r="4918" spans="1:1">
      <c r="A4918" s="151" t="s">
        <v>6886</v>
      </c>
    </row>
    <row r="4919" spans="1:1">
      <c r="A4919" s="151" t="s">
        <v>6887</v>
      </c>
    </row>
    <row r="4920" spans="1:1">
      <c r="A4920" s="151" t="s">
        <v>6888</v>
      </c>
    </row>
    <row r="4921" spans="1:1">
      <c r="A4921" s="151" t="s">
        <v>6889</v>
      </c>
    </row>
    <row r="4922" spans="1:1">
      <c r="A4922" s="151" t="s">
        <v>6890</v>
      </c>
    </row>
    <row r="4923" spans="1:1">
      <c r="A4923" s="151" t="s">
        <v>6891</v>
      </c>
    </row>
    <row r="4924" spans="1:1">
      <c r="A4924" s="151" t="s">
        <v>6892</v>
      </c>
    </row>
    <row r="4925" spans="1:1">
      <c r="A4925" s="151" t="s">
        <v>6893</v>
      </c>
    </row>
    <row r="4926" spans="1:1">
      <c r="A4926" s="151" t="s">
        <v>6894</v>
      </c>
    </row>
    <row r="4927" spans="1:1">
      <c r="A4927" s="151" t="s">
        <v>6895</v>
      </c>
    </row>
    <row r="4928" spans="1:1">
      <c r="A4928" s="151" t="s">
        <v>6896</v>
      </c>
    </row>
    <row r="4929" spans="1:1">
      <c r="A4929" s="151" t="s">
        <v>6897</v>
      </c>
    </row>
    <row r="4930" spans="1:1">
      <c r="A4930" s="151" t="s">
        <v>6898</v>
      </c>
    </row>
    <row r="4931" spans="1:1">
      <c r="A4931" s="151" t="s">
        <v>6899</v>
      </c>
    </row>
    <row r="4932" spans="1:1">
      <c r="A4932" s="151" t="s">
        <v>6900</v>
      </c>
    </row>
    <row r="4933" spans="1:1">
      <c r="A4933" s="151" t="s">
        <v>6901</v>
      </c>
    </row>
    <row r="4934" spans="1:1">
      <c r="A4934" s="151" t="s">
        <v>6902</v>
      </c>
    </row>
    <row r="4935" spans="1:1">
      <c r="A4935" s="151" t="s">
        <v>6903</v>
      </c>
    </row>
    <row r="4936" spans="1:1">
      <c r="A4936" s="151" t="s">
        <v>6904</v>
      </c>
    </row>
    <row r="4937" spans="1:1">
      <c r="A4937" s="151" t="s">
        <v>6905</v>
      </c>
    </row>
    <row r="4938" spans="1:1">
      <c r="A4938" s="151" t="s">
        <v>6906</v>
      </c>
    </row>
    <row r="4939" spans="1:1">
      <c r="A4939" s="151" t="s">
        <v>6907</v>
      </c>
    </row>
    <row r="4940" spans="1:1">
      <c r="A4940" s="151" t="s">
        <v>6908</v>
      </c>
    </row>
    <row r="4941" spans="1:1">
      <c r="A4941" s="151" t="s">
        <v>6909</v>
      </c>
    </row>
    <row r="4942" spans="1:1">
      <c r="A4942" s="151" t="s">
        <v>6910</v>
      </c>
    </row>
    <row r="4943" spans="1:1">
      <c r="A4943" s="151" t="s">
        <v>6911</v>
      </c>
    </row>
    <row r="4944" spans="1:1">
      <c r="A4944" s="151" t="s">
        <v>6912</v>
      </c>
    </row>
    <row r="4945" spans="1:1">
      <c r="A4945" s="151" t="s">
        <v>6913</v>
      </c>
    </row>
    <row r="4946" spans="1:1">
      <c r="A4946" s="151" t="s">
        <v>6914</v>
      </c>
    </row>
    <row r="4947" spans="1:1">
      <c r="A4947" s="151" t="s">
        <v>6915</v>
      </c>
    </row>
    <row r="4948" spans="1:1">
      <c r="A4948" s="151" t="s">
        <v>6916</v>
      </c>
    </row>
    <row r="4949" spans="1:1">
      <c r="A4949" s="151" t="s">
        <v>6917</v>
      </c>
    </row>
    <row r="4950" spans="1:1">
      <c r="A4950" s="151" t="s">
        <v>6918</v>
      </c>
    </row>
    <row r="4951" spans="1:1">
      <c r="A4951" s="151" t="s">
        <v>6919</v>
      </c>
    </row>
    <row r="4952" spans="1:1">
      <c r="A4952" s="151" t="s">
        <v>6920</v>
      </c>
    </row>
    <row r="4953" spans="1:1">
      <c r="A4953" s="151" t="s">
        <v>6921</v>
      </c>
    </row>
    <row r="4954" spans="1:1">
      <c r="A4954" s="151" t="s">
        <v>6922</v>
      </c>
    </row>
    <row r="4955" spans="1:1">
      <c r="A4955" s="151" t="s">
        <v>6923</v>
      </c>
    </row>
    <row r="4956" spans="1:1">
      <c r="A4956" s="151" t="s">
        <v>6924</v>
      </c>
    </row>
    <row r="4957" spans="1:1">
      <c r="A4957" s="151" t="s">
        <v>6925</v>
      </c>
    </row>
    <row r="4958" spans="1:1">
      <c r="A4958" s="151" t="s">
        <v>6926</v>
      </c>
    </row>
    <row r="4959" spans="1:1">
      <c r="A4959" s="151" t="s">
        <v>6927</v>
      </c>
    </row>
    <row r="4960" spans="1:1">
      <c r="A4960" s="151" t="s">
        <v>6928</v>
      </c>
    </row>
    <row r="4961" spans="1:1">
      <c r="A4961" s="151" t="s">
        <v>6929</v>
      </c>
    </row>
    <row r="4962" spans="1:1">
      <c r="A4962" s="151" t="s">
        <v>6930</v>
      </c>
    </row>
    <row r="4963" spans="1:1">
      <c r="A4963" s="151" t="s">
        <v>6931</v>
      </c>
    </row>
    <row r="4964" spans="1:1">
      <c r="A4964" s="151" t="s">
        <v>6932</v>
      </c>
    </row>
    <row r="4965" spans="1:1">
      <c r="A4965" s="151" t="s">
        <v>6933</v>
      </c>
    </row>
    <row r="4966" spans="1:1">
      <c r="A4966" s="151" t="s">
        <v>6934</v>
      </c>
    </row>
    <row r="4967" spans="1:1">
      <c r="A4967" s="151" t="s">
        <v>6935</v>
      </c>
    </row>
    <row r="4968" spans="1:1">
      <c r="A4968" s="151" t="s">
        <v>6936</v>
      </c>
    </row>
    <row r="4969" spans="1:1">
      <c r="A4969" s="151" t="s">
        <v>6937</v>
      </c>
    </row>
    <row r="4970" spans="1:1">
      <c r="A4970" s="151" t="s">
        <v>6938</v>
      </c>
    </row>
    <row r="4971" spans="1:1">
      <c r="A4971" s="151" t="s">
        <v>6939</v>
      </c>
    </row>
    <row r="4972" spans="1:1">
      <c r="A4972" s="151" t="s">
        <v>6940</v>
      </c>
    </row>
    <row r="4973" spans="1:1">
      <c r="A4973" s="151" t="s">
        <v>6941</v>
      </c>
    </row>
    <row r="4974" spans="1:1">
      <c r="A4974" s="151" t="s">
        <v>6942</v>
      </c>
    </row>
    <row r="4975" spans="1:1">
      <c r="A4975" s="151" t="s">
        <v>6943</v>
      </c>
    </row>
    <row r="4976" spans="1:1">
      <c r="A4976" s="151" t="s">
        <v>6944</v>
      </c>
    </row>
    <row r="4977" spans="1:1">
      <c r="A4977" s="151" t="s">
        <v>6945</v>
      </c>
    </row>
    <row r="4978" spans="1:1">
      <c r="A4978" s="151" t="s">
        <v>6946</v>
      </c>
    </row>
    <row r="4979" spans="1:1">
      <c r="A4979" s="151" t="s">
        <v>6947</v>
      </c>
    </row>
    <row r="4980" spans="1:1">
      <c r="A4980" s="151" t="s">
        <v>6948</v>
      </c>
    </row>
    <row r="4981" spans="1:1">
      <c r="A4981" s="151" t="s">
        <v>6949</v>
      </c>
    </row>
    <row r="4982" spans="1:1">
      <c r="A4982" s="151" t="s">
        <v>6950</v>
      </c>
    </row>
    <row r="4983" spans="1:1">
      <c r="A4983" s="151" t="s">
        <v>6951</v>
      </c>
    </row>
    <row r="4984" spans="1:1">
      <c r="A4984" s="151" t="s">
        <v>6952</v>
      </c>
    </row>
    <row r="4985" spans="1:1">
      <c r="A4985" s="151" t="s">
        <v>6953</v>
      </c>
    </row>
    <row r="4986" spans="1:1">
      <c r="A4986" s="151" t="s">
        <v>6954</v>
      </c>
    </row>
    <row r="4987" spans="1:1">
      <c r="A4987" s="151" t="s">
        <v>6955</v>
      </c>
    </row>
    <row r="4988" spans="1:1">
      <c r="A4988" s="151" t="s">
        <v>6956</v>
      </c>
    </row>
    <row r="4989" spans="1:1">
      <c r="A4989" s="151" t="s">
        <v>6957</v>
      </c>
    </row>
    <row r="4990" spans="1:1">
      <c r="A4990" s="151" t="s">
        <v>6958</v>
      </c>
    </row>
    <row r="4991" spans="1:1">
      <c r="A4991" s="151" t="s">
        <v>6959</v>
      </c>
    </row>
    <row r="4992" spans="1:1">
      <c r="A4992" s="151" t="s">
        <v>6960</v>
      </c>
    </row>
    <row r="4993" spans="1:1">
      <c r="A4993" s="151" t="s">
        <v>6961</v>
      </c>
    </row>
    <row r="4994" spans="1:1">
      <c r="A4994" s="151" t="s">
        <v>6962</v>
      </c>
    </row>
    <row r="4995" spans="1:1">
      <c r="A4995" s="151" t="s">
        <v>6963</v>
      </c>
    </row>
    <row r="4996" spans="1:1">
      <c r="A4996" s="151" t="s">
        <v>6964</v>
      </c>
    </row>
    <row r="4997" spans="1:1">
      <c r="A4997" s="151" t="s">
        <v>6965</v>
      </c>
    </row>
    <row r="4998" spans="1:1">
      <c r="A4998" s="151" t="s">
        <v>6966</v>
      </c>
    </row>
    <row r="4999" spans="1:1">
      <c r="A4999" s="151" t="s">
        <v>6967</v>
      </c>
    </row>
    <row r="5000" spans="1:1">
      <c r="A5000" s="151" t="s">
        <v>6968</v>
      </c>
    </row>
    <row r="5001" spans="1:1">
      <c r="A5001" s="151" t="s">
        <v>6969</v>
      </c>
    </row>
    <row r="5002" spans="1:1">
      <c r="A5002" s="151" t="s">
        <v>6970</v>
      </c>
    </row>
    <row r="5003" spans="1:1">
      <c r="A5003" s="151" t="s">
        <v>6971</v>
      </c>
    </row>
    <row r="5004" spans="1:1">
      <c r="A5004" s="151" t="s">
        <v>6972</v>
      </c>
    </row>
    <row r="5005" spans="1:1">
      <c r="A5005" s="151" t="s">
        <v>6973</v>
      </c>
    </row>
    <row r="5006" spans="1:1">
      <c r="A5006" s="151" t="s">
        <v>6974</v>
      </c>
    </row>
    <row r="5007" spans="1:1">
      <c r="A5007" s="151" t="s">
        <v>6975</v>
      </c>
    </row>
    <row r="5008" spans="1:1">
      <c r="A5008" s="151" t="s">
        <v>6976</v>
      </c>
    </row>
    <row r="5009" spans="1:1">
      <c r="A5009" s="151" t="s">
        <v>6977</v>
      </c>
    </row>
    <row r="5010" spans="1:1">
      <c r="A5010" s="151" t="s">
        <v>6978</v>
      </c>
    </row>
    <row r="5011" spans="1:1">
      <c r="A5011" s="151" t="s">
        <v>6979</v>
      </c>
    </row>
    <row r="5012" spans="1:1">
      <c r="A5012" s="151" t="s">
        <v>6980</v>
      </c>
    </row>
    <row r="5013" spans="1:1">
      <c r="A5013" s="151" t="s">
        <v>6981</v>
      </c>
    </row>
    <row r="5014" spans="1:1">
      <c r="A5014" s="151" t="s">
        <v>6982</v>
      </c>
    </row>
    <row r="5015" spans="1:1">
      <c r="A5015" s="151" t="s">
        <v>6983</v>
      </c>
    </row>
    <row r="5016" spans="1:1">
      <c r="A5016" s="151" t="s">
        <v>6984</v>
      </c>
    </row>
    <row r="5017" spans="1:1">
      <c r="A5017" s="151" t="s">
        <v>6985</v>
      </c>
    </row>
    <row r="5018" spans="1:1">
      <c r="A5018" s="151" t="s">
        <v>6986</v>
      </c>
    </row>
    <row r="5019" spans="1:1">
      <c r="A5019" s="151" t="s">
        <v>6987</v>
      </c>
    </row>
    <row r="5020" spans="1:1">
      <c r="A5020" s="151" t="s">
        <v>6988</v>
      </c>
    </row>
    <row r="5021" spans="1:1">
      <c r="A5021" s="151" t="s">
        <v>6989</v>
      </c>
    </row>
    <row r="5022" spans="1:1">
      <c r="A5022" s="151" t="s">
        <v>6990</v>
      </c>
    </row>
    <row r="5023" spans="1:1">
      <c r="A5023" s="151" t="s">
        <v>6991</v>
      </c>
    </row>
    <row r="5024" spans="1:1">
      <c r="A5024" s="151" t="s">
        <v>6992</v>
      </c>
    </row>
    <row r="5025" spans="1:1">
      <c r="A5025" s="151" t="s">
        <v>6993</v>
      </c>
    </row>
    <row r="5026" spans="1:1">
      <c r="A5026" s="151" t="s">
        <v>6994</v>
      </c>
    </row>
    <row r="5027" spans="1:1">
      <c r="A5027" s="151" t="s">
        <v>6995</v>
      </c>
    </row>
    <row r="5028" spans="1:1">
      <c r="A5028" s="151" t="s">
        <v>6996</v>
      </c>
    </row>
    <row r="5029" spans="1:1">
      <c r="A5029" s="151" t="s">
        <v>6997</v>
      </c>
    </row>
    <row r="5030" spans="1:1">
      <c r="A5030" s="151" t="s">
        <v>6998</v>
      </c>
    </row>
    <row r="5031" spans="1:1">
      <c r="A5031" s="151" t="s">
        <v>6999</v>
      </c>
    </row>
    <row r="5032" spans="1:1">
      <c r="A5032" s="151" t="s">
        <v>7000</v>
      </c>
    </row>
    <row r="5033" spans="1:1">
      <c r="A5033" s="151" t="s">
        <v>7001</v>
      </c>
    </row>
    <row r="5034" spans="1:1">
      <c r="A5034" s="151" t="s">
        <v>7002</v>
      </c>
    </row>
    <row r="5035" spans="1:1">
      <c r="A5035" s="151" t="s">
        <v>7003</v>
      </c>
    </row>
    <row r="5036" spans="1:1">
      <c r="A5036" s="151" t="s">
        <v>7004</v>
      </c>
    </row>
    <row r="5037" spans="1:1">
      <c r="A5037" s="151" t="s">
        <v>7005</v>
      </c>
    </row>
    <row r="5038" spans="1:1">
      <c r="A5038" s="151" t="s">
        <v>7006</v>
      </c>
    </row>
    <row r="5039" spans="1:1">
      <c r="A5039" s="151" t="s">
        <v>7007</v>
      </c>
    </row>
    <row r="5040" spans="1:1">
      <c r="A5040" s="151" t="s">
        <v>7008</v>
      </c>
    </row>
    <row r="5041" spans="1:1">
      <c r="A5041" s="151" t="s">
        <v>7009</v>
      </c>
    </row>
    <row r="5042" spans="1:1">
      <c r="A5042" s="151" t="s">
        <v>7010</v>
      </c>
    </row>
    <row r="5043" spans="1:1">
      <c r="A5043" s="151" t="s">
        <v>7011</v>
      </c>
    </row>
    <row r="5044" spans="1:1">
      <c r="A5044" s="151" t="s">
        <v>7012</v>
      </c>
    </row>
    <row r="5045" spans="1:1">
      <c r="A5045" s="151" t="s">
        <v>7013</v>
      </c>
    </row>
    <row r="5046" spans="1:1">
      <c r="A5046" s="151" t="s">
        <v>7014</v>
      </c>
    </row>
    <row r="5047" spans="1:1">
      <c r="A5047" s="151" t="s">
        <v>7015</v>
      </c>
    </row>
    <row r="5048" spans="1:1">
      <c r="A5048" s="151" t="s">
        <v>7016</v>
      </c>
    </row>
    <row r="5049" spans="1:1">
      <c r="A5049" s="151" t="s">
        <v>7017</v>
      </c>
    </row>
    <row r="5050" spans="1:1">
      <c r="A5050" s="151" t="s">
        <v>7018</v>
      </c>
    </row>
    <row r="5051" spans="1:1">
      <c r="A5051" s="151" t="s">
        <v>7019</v>
      </c>
    </row>
    <row r="5052" spans="1:1">
      <c r="A5052" s="151" t="s">
        <v>7020</v>
      </c>
    </row>
    <row r="5053" spans="1:1">
      <c r="A5053" s="151" t="s">
        <v>7021</v>
      </c>
    </row>
    <row r="5054" spans="1:1">
      <c r="A5054" s="151" t="s">
        <v>7022</v>
      </c>
    </row>
    <row r="5055" spans="1:1">
      <c r="A5055" s="151" t="s">
        <v>7023</v>
      </c>
    </row>
    <row r="5056" spans="1:1">
      <c r="A5056" s="151" t="s">
        <v>7024</v>
      </c>
    </row>
    <row r="5057" spans="1:1">
      <c r="A5057" s="151" t="s">
        <v>7025</v>
      </c>
    </row>
    <row r="5058" spans="1:1">
      <c r="A5058" s="151" t="s">
        <v>7026</v>
      </c>
    </row>
    <row r="5059" spans="1:1">
      <c r="A5059" s="151" t="s">
        <v>7027</v>
      </c>
    </row>
    <row r="5060" spans="1:1">
      <c r="A5060" s="151" t="s">
        <v>7028</v>
      </c>
    </row>
    <row r="5061" spans="1:1">
      <c r="A5061" s="151" t="s">
        <v>7029</v>
      </c>
    </row>
    <row r="5062" spans="1:1">
      <c r="A5062" s="151" t="s">
        <v>7030</v>
      </c>
    </row>
    <row r="5063" spans="1:1">
      <c r="A5063" s="151" t="s">
        <v>7031</v>
      </c>
    </row>
    <row r="5064" spans="1:1">
      <c r="A5064" s="151" t="s">
        <v>7032</v>
      </c>
    </row>
    <row r="5065" spans="1:1">
      <c r="A5065" s="151" t="s">
        <v>7033</v>
      </c>
    </row>
    <row r="5066" spans="1:1">
      <c r="A5066" s="151" t="s">
        <v>7034</v>
      </c>
    </row>
    <row r="5067" spans="1:1">
      <c r="A5067" s="151" t="s">
        <v>7035</v>
      </c>
    </row>
    <row r="5068" spans="1:1">
      <c r="A5068" s="151" t="s">
        <v>7036</v>
      </c>
    </row>
    <row r="5069" spans="1:1">
      <c r="A5069" s="151" t="s">
        <v>7037</v>
      </c>
    </row>
    <row r="5070" spans="1:1">
      <c r="A5070" s="151" t="s">
        <v>7038</v>
      </c>
    </row>
    <row r="5071" spans="1:1">
      <c r="A5071" s="151" t="s">
        <v>7039</v>
      </c>
    </row>
    <row r="5072" spans="1:1">
      <c r="A5072" s="151" t="s">
        <v>7040</v>
      </c>
    </row>
    <row r="5073" spans="1:1">
      <c r="A5073" s="151" t="s">
        <v>7041</v>
      </c>
    </row>
    <row r="5074" spans="1:1">
      <c r="A5074" s="151" t="s">
        <v>7042</v>
      </c>
    </row>
    <row r="5075" spans="1:1">
      <c r="A5075" s="151" t="s">
        <v>7043</v>
      </c>
    </row>
    <row r="5076" spans="1:1">
      <c r="A5076" s="151" t="s">
        <v>7044</v>
      </c>
    </row>
    <row r="5077" spans="1:1">
      <c r="A5077" s="151" t="s">
        <v>7045</v>
      </c>
    </row>
    <row r="5078" spans="1:1">
      <c r="A5078" s="151" t="s">
        <v>7046</v>
      </c>
    </row>
    <row r="5079" spans="1:1">
      <c r="A5079" s="151" t="s">
        <v>7047</v>
      </c>
    </row>
    <row r="5080" spans="1:1">
      <c r="A5080" s="151" t="s">
        <v>7048</v>
      </c>
    </row>
    <row r="5081" spans="1:1">
      <c r="A5081" s="151" t="s">
        <v>7049</v>
      </c>
    </row>
    <row r="5082" spans="1:1">
      <c r="A5082" s="151" t="s">
        <v>7050</v>
      </c>
    </row>
    <row r="5083" spans="1:1">
      <c r="A5083" s="151" t="s">
        <v>7051</v>
      </c>
    </row>
    <row r="5084" spans="1:1">
      <c r="A5084" s="151" t="s">
        <v>7052</v>
      </c>
    </row>
    <row r="5085" spans="1:1">
      <c r="A5085" s="151" t="s">
        <v>7053</v>
      </c>
    </row>
    <row r="5086" spans="1:1">
      <c r="A5086" s="151" t="s">
        <v>7054</v>
      </c>
    </row>
    <row r="5087" spans="1:1">
      <c r="A5087" s="151" t="s">
        <v>7055</v>
      </c>
    </row>
    <row r="5088" spans="1:1">
      <c r="A5088" s="151" t="s">
        <v>7056</v>
      </c>
    </row>
    <row r="5089" spans="1:1">
      <c r="A5089" s="151" t="s">
        <v>7057</v>
      </c>
    </row>
    <row r="5090" spans="1:1">
      <c r="A5090" s="151" t="s">
        <v>7058</v>
      </c>
    </row>
    <row r="5091" spans="1:1">
      <c r="A5091" s="151" t="s">
        <v>7059</v>
      </c>
    </row>
    <row r="5092" spans="1:1">
      <c r="A5092" s="151" t="s">
        <v>7060</v>
      </c>
    </row>
    <row r="5093" spans="1:1">
      <c r="A5093" s="151" t="s">
        <v>7061</v>
      </c>
    </row>
    <row r="5094" spans="1:1">
      <c r="A5094" s="151" t="s">
        <v>7062</v>
      </c>
    </row>
    <row r="5095" spans="1:1">
      <c r="A5095" s="151" t="s">
        <v>7063</v>
      </c>
    </row>
    <row r="5096" spans="1:1">
      <c r="A5096" s="151" t="s">
        <v>7064</v>
      </c>
    </row>
    <row r="5097" spans="1:1">
      <c r="A5097" s="151" t="s">
        <v>7065</v>
      </c>
    </row>
    <row r="5098" spans="1:1">
      <c r="A5098" s="151" t="s">
        <v>7066</v>
      </c>
    </row>
    <row r="5099" spans="1:1">
      <c r="A5099" s="151" t="s">
        <v>7067</v>
      </c>
    </row>
    <row r="5100" spans="1:1">
      <c r="A5100" s="151" t="s">
        <v>7068</v>
      </c>
    </row>
    <row r="5101" spans="1:1">
      <c r="A5101" s="151" t="s">
        <v>7069</v>
      </c>
    </row>
    <row r="5102" spans="1:1">
      <c r="A5102" s="151" t="s">
        <v>7070</v>
      </c>
    </row>
    <row r="5103" spans="1:1">
      <c r="A5103" s="151" t="s">
        <v>7071</v>
      </c>
    </row>
    <row r="5104" spans="1:1">
      <c r="A5104" s="151" t="s">
        <v>7072</v>
      </c>
    </row>
    <row r="5105" spans="1:1">
      <c r="A5105" s="151" t="s">
        <v>7073</v>
      </c>
    </row>
    <row r="5106" spans="1:1">
      <c r="A5106" s="151" t="s">
        <v>7074</v>
      </c>
    </row>
    <row r="5107" spans="1:1">
      <c r="A5107" s="151" t="s">
        <v>7075</v>
      </c>
    </row>
    <row r="5108" spans="1:1">
      <c r="A5108" s="151" t="s">
        <v>7076</v>
      </c>
    </row>
    <row r="5109" spans="1:1">
      <c r="A5109" s="151" t="s">
        <v>7077</v>
      </c>
    </row>
    <row r="5110" spans="1:1">
      <c r="A5110" s="151" t="s">
        <v>7078</v>
      </c>
    </row>
    <row r="5111" spans="1:1">
      <c r="A5111" s="151" t="s">
        <v>7079</v>
      </c>
    </row>
    <row r="5112" spans="1:1">
      <c r="A5112" s="151" t="s">
        <v>7080</v>
      </c>
    </row>
    <row r="5113" spans="1:1">
      <c r="A5113" s="151" t="s">
        <v>7081</v>
      </c>
    </row>
    <row r="5114" spans="1:1">
      <c r="A5114" s="151" t="s">
        <v>7082</v>
      </c>
    </row>
    <row r="5115" spans="1:1">
      <c r="A5115" s="151" t="s">
        <v>7083</v>
      </c>
    </row>
    <row r="5116" spans="1:1">
      <c r="A5116" s="151" t="s">
        <v>7084</v>
      </c>
    </row>
    <row r="5117" spans="1:1">
      <c r="A5117" s="151" t="s">
        <v>7085</v>
      </c>
    </row>
    <row r="5118" spans="1:1">
      <c r="A5118" s="151" t="s">
        <v>7086</v>
      </c>
    </row>
    <row r="5119" spans="1:1">
      <c r="A5119" s="151" t="s">
        <v>7087</v>
      </c>
    </row>
    <row r="5120" spans="1:1">
      <c r="A5120" s="151" t="s">
        <v>7088</v>
      </c>
    </row>
    <row r="5121" spans="1:1">
      <c r="A5121" s="151" t="s">
        <v>7089</v>
      </c>
    </row>
    <row r="5122" spans="1:1">
      <c r="A5122" s="151" t="s">
        <v>7090</v>
      </c>
    </row>
    <row r="5123" spans="1:1">
      <c r="A5123" s="151" t="s">
        <v>7091</v>
      </c>
    </row>
    <row r="5124" spans="1:1">
      <c r="A5124" s="151" t="s">
        <v>7092</v>
      </c>
    </row>
    <row r="5125" spans="1:1">
      <c r="A5125" s="151" t="s">
        <v>7093</v>
      </c>
    </row>
    <row r="5126" spans="1:1">
      <c r="A5126" s="151" t="s">
        <v>7094</v>
      </c>
    </row>
    <row r="5127" spans="1:1">
      <c r="A5127" s="151" t="s">
        <v>7095</v>
      </c>
    </row>
    <row r="5128" spans="1:1">
      <c r="A5128" s="151" t="s">
        <v>7096</v>
      </c>
    </row>
    <row r="5129" spans="1:1">
      <c r="A5129" s="151" t="s">
        <v>7097</v>
      </c>
    </row>
    <row r="5130" spans="1:1">
      <c r="A5130" s="151" t="s">
        <v>7098</v>
      </c>
    </row>
    <row r="5131" spans="1:1">
      <c r="A5131" s="151" t="s">
        <v>7099</v>
      </c>
    </row>
    <row r="5132" spans="1:1">
      <c r="A5132" s="151" t="s">
        <v>7100</v>
      </c>
    </row>
    <row r="5133" spans="1:1">
      <c r="A5133" s="151" t="s">
        <v>7101</v>
      </c>
    </row>
    <row r="5134" spans="1:1">
      <c r="A5134" s="151" t="s">
        <v>7102</v>
      </c>
    </row>
    <row r="5135" spans="1:1">
      <c r="A5135" s="151" t="s">
        <v>7103</v>
      </c>
    </row>
    <row r="5136" spans="1:1">
      <c r="A5136" s="151" t="s">
        <v>7104</v>
      </c>
    </row>
    <row r="5137" spans="1:1">
      <c r="A5137" s="151" t="s">
        <v>7105</v>
      </c>
    </row>
    <row r="5138" spans="1:1">
      <c r="A5138" s="151" t="s">
        <v>7106</v>
      </c>
    </row>
    <row r="5139" spans="1:1">
      <c r="A5139" s="151" t="s">
        <v>7107</v>
      </c>
    </row>
    <row r="5140" spans="1:1">
      <c r="A5140" s="151" t="s">
        <v>7108</v>
      </c>
    </row>
    <row r="5141" spans="1:1">
      <c r="A5141" s="151" t="s">
        <v>7109</v>
      </c>
    </row>
    <row r="5142" spans="1:1">
      <c r="A5142" s="151" t="s">
        <v>7110</v>
      </c>
    </row>
    <row r="5143" spans="1:1">
      <c r="A5143" s="151" t="s">
        <v>7111</v>
      </c>
    </row>
    <row r="5144" spans="1:1">
      <c r="A5144" s="151" t="s">
        <v>7112</v>
      </c>
    </row>
    <row r="5145" spans="1:1">
      <c r="A5145" s="151" t="s">
        <v>7113</v>
      </c>
    </row>
    <row r="5146" spans="1:1">
      <c r="A5146" s="151" t="s">
        <v>7114</v>
      </c>
    </row>
    <row r="5147" spans="1:1">
      <c r="A5147" s="151" t="s">
        <v>7115</v>
      </c>
    </row>
    <row r="5148" spans="1:1">
      <c r="A5148" s="151" t="s">
        <v>7116</v>
      </c>
    </row>
    <row r="5149" spans="1:1">
      <c r="A5149" s="151" t="s">
        <v>7117</v>
      </c>
    </row>
    <row r="5150" spans="1:1">
      <c r="A5150" s="151" t="s">
        <v>7118</v>
      </c>
    </row>
    <row r="5151" spans="1:1">
      <c r="A5151" s="151" t="s">
        <v>7119</v>
      </c>
    </row>
    <row r="5152" spans="1:1">
      <c r="A5152" s="151" t="s">
        <v>7120</v>
      </c>
    </row>
    <row r="5153" spans="1:1">
      <c r="A5153" s="151" t="s">
        <v>7121</v>
      </c>
    </row>
    <row r="5154" spans="1:1">
      <c r="A5154" s="151" t="s">
        <v>7122</v>
      </c>
    </row>
    <row r="5155" spans="1:1">
      <c r="A5155" s="151" t="s">
        <v>7123</v>
      </c>
    </row>
    <row r="5156" spans="1:1">
      <c r="A5156" s="151" t="s">
        <v>7124</v>
      </c>
    </row>
    <row r="5157" spans="1:1">
      <c r="A5157" s="151" t="s">
        <v>7125</v>
      </c>
    </row>
    <row r="5158" spans="1:1">
      <c r="A5158" s="151" t="s">
        <v>7126</v>
      </c>
    </row>
    <row r="5159" spans="1:1">
      <c r="A5159" s="151" t="s">
        <v>7127</v>
      </c>
    </row>
    <row r="5160" spans="1:1">
      <c r="A5160" s="151" t="s">
        <v>7128</v>
      </c>
    </row>
    <row r="5161" spans="1:1">
      <c r="A5161" s="151" t="s">
        <v>7129</v>
      </c>
    </row>
    <row r="5162" spans="1:1">
      <c r="A5162" s="151" t="s">
        <v>7130</v>
      </c>
    </row>
    <row r="5163" spans="1:1">
      <c r="A5163" s="151" t="s">
        <v>7131</v>
      </c>
    </row>
    <row r="5164" spans="1:1">
      <c r="A5164" s="151" t="s">
        <v>7132</v>
      </c>
    </row>
    <row r="5165" spans="1:1">
      <c r="A5165" s="151" t="s">
        <v>7133</v>
      </c>
    </row>
    <row r="5166" spans="1:1">
      <c r="A5166" s="151" t="s">
        <v>7134</v>
      </c>
    </row>
    <row r="5167" spans="1:1">
      <c r="A5167" s="151" t="s">
        <v>7135</v>
      </c>
    </row>
    <row r="5168" spans="1:1">
      <c r="A5168" s="151" t="s">
        <v>7136</v>
      </c>
    </row>
    <row r="5169" spans="1:1">
      <c r="A5169" s="151" t="s">
        <v>7137</v>
      </c>
    </row>
    <row r="5170" spans="1:1">
      <c r="A5170" s="151" t="s">
        <v>7138</v>
      </c>
    </row>
    <row r="5171" spans="1:1">
      <c r="A5171" s="151" t="s">
        <v>7139</v>
      </c>
    </row>
    <row r="5172" spans="1:1">
      <c r="A5172" s="151" t="s">
        <v>7140</v>
      </c>
    </row>
    <row r="5173" spans="1:1">
      <c r="A5173" s="151" t="s">
        <v>7141</v>
      </c>
    </row>
    <row r="5174" spans="1:1">
      <c r="A5174" s="151" t="s">
        <v>7142</v>
      </c>
    </row>
    <row r="5175" spans="1:1">
      <c r="A5175" s="151" t="s">
        <v>7143</v>
      </c>
    </row>
    <row r="5176" spans="1:1">
      <c r="A5176" s="151" t="s">
        <v>7144</v>
      </c>
    </row>
    <row r="5177" spans="1:1">
      <c r="A5177" s="151" t="s">
        <v>7145</v>
      </c>
    </row>
    <row r="5178" spans="1:1">
      <c r="A5178" s="151" t="s">
        <v>7146</v>
      </c>
    </row>
    <row r="5179" spans="1:1">
      <c r="A5179" s="151" t="s">
        <v>7147</v>
      </c>
    </row>
    <row r="5180" spans="1:1">
      <c r="A5180" s="151" t="s">
        <v>7148</v>
      </c>
    </row>
    <row r="5181" spans="1:1">
      <c r="A5181" s="151" t="s">
        <v>7149</v>
      </c>
    </row>
    <row r="5182" spans="1:1">
      <c r="A5182" s="151" t="s">
        <v>7150</v>
      </c>
    </row>
    <row r="5183" spans="1:1">
      <c r="A5183" s="151" t="s">
        <v>7151</v>
      </c>
    </row>
    <row r="5184" spans="1:1">
      <c r="A5184" s="151" t="s">
        <v>7152</v>
      </c>
    </row>
    <row r="5185" spans="1:1">
      <c r="A5185" s="151" t="s">
        <v>7153</v>
      </c>
    </row>
    <row r="5186" spans="1:1">
      <c r="A5186" s="151" t="s">
        <v>7154</v>
      </c>
    </row>
    <row r="5187" spans="1:1">
      <c r="A5187" s="151" t="s">
        <v>7155</v>
      </c>
    </row>
    <row r="5188" spans="1:1">
      <c r="A5188" s="151" t="s">
        <v>7156</v>
      </c>
    </row>
    <row r="5189" spans="1:1">
      <c r="A5189" s="151" t="s">
        <v>7157</v>
      </c>
    </row>
    <row r="5190" spans="1:1">
      <c r="A5190" s="151" t="s">
        <v>7158</v>
      </c>
    </row>
    <row r="5191" spans="1:1">
      <c r="A5191" s="151" t="s">
        <v>7159</v>
      </c>
    </row>
    <row r="5192" spans="1:1">
      <c r="A5192" s="151" t="s">
        <v>7160</v>
      </c>
    </row>
    <row r="5193" spans="1:1">
      <c r="A5193" s="151" t="s">
        <v>7161</v>
      </c>
    </row>
    <row r="5194" spans="1:1">
      <c r="A5194" s="151" t="s">
        <v>7162</v>
      </c>
    </row>
    <row r="5195" spans="1:1">
      <c r="A5195" s="151" t="s">
        <v>7163</v>
      </c>
    </row>
    <row r="5196" spans="1:1">
      <c r="A5196" s="151" t="s">
        <v>7164</v>
      </c>
    </row>
    <row r="5197" spans="1:1">
      <c r="A5197" s="151" t="s">
        <v>7165</v>
      </c>
    </row>
    <row r="5198" spans="1:1">
      <c r="A5198" s="151" t="s">
        <v>7166</v>
      </c>
    </row>
    <row r="5199" spans="1:1">
      <c r="A5199" s="151" t="s">
        <v>7167</v>
      </c>
    </row>
    <row r="5200" spans="1:1">
      <c r="A5200" s="151" t="s">
        <v>7168</v>
      </c>
    </row>
    <row r="5201" spans="1:1">
      <c r="A5201" s="151" t="s">
        <v>7169</v>
      </c>
    </row>
    <row r="5202" spans="1:1">
      <c r="A5202" s="151" t="s">
        <v>7170</v>
      </c>
    </row>
    <row r="5203" spans="1:1">
      <c r="A5203" s="151" t="s">
        <v>7171</v>
      </c>
    </row>
    <row r="5204" spans="1:1">
      <c r="A5204" s="151" t="s">
        <v>7172</v>
      </c>
    </row>
    <row r="5205" spans="1:1">
      <c r="A5205" s="151" t="s">
        <v>7173</v>
      </c>
    </row>
    <row r="5206" spans="1:1">
      <c r="A5206" s="151" t="s">
        <v>7174</v>
      </c>
    </row>
    <row r="5207" spans="1:1">
      <c r="A5207" s="151" t="s">
        <v>7175</v>
      </c>
    </row>
    <row r="5208" spans="1:1">
      <c r="A5208" s="151" t="s">
        <v>7176</v>
      </c>
    </row>
    <row r="5209" spans="1:1">
      <c r="A5209" s="151" t="s">
        <v>7177</v>
      </c>
    </row>
    <row r="5210" spans="1:1">
      <c r="A5210" s="151" t="s">
        <v>7178</v>
      </c>
    </row>
    <row r="5211" spans="1:1">
      <c r="A5211" s="151" t="s">
        <v>7179</v>
      </c>
    </row>
    <row r="5212" spans="1:1">
      <c r="A5212" s="151" t="s">
        <v>7180</v>
      </c>
    </row>
    <row r="5213" spans="1:1">
      <c r="A5213" s="151" t="s">
        <v>7181</v>
      </c>
    </row>
    <row r="5214" spans="1:1">
      <c r="A5214" s="151" t="s">
        <v>7182</v>
      </c>
    </row>
    <row r="5215" spans="1:1">
      <c r="A5215" s="151" t="s">
        <v>7183</v>
      </c>
    </row>
    <row r="5216" spans="1:1">
      <c r="A5216" s="151" t="s">
        <v>7184</v>
      </c>
    </row>
    <row r="5217" spans="1:1">
      <c r="A5217" s="151" t="s">
        <v>7185</v>
      </c>
    </row>
    <row r="5218" spans="1:1">
      <c r="A5218" s="151" t="s">
        <v>7186</v>
      </c>
    </row>
    <row r="5219" spans="1:1">
      <c r="A5219" s="151" t="s">
        <v>7187</v>
      </c>
    </row>
    <row r="5220" spans="1:1">
      <c r="A5220" s="151" t="s">
        <v>7188</v>
      </c>
    </row>
    <row r="5221" spans="1:1">
      <c r="A5221" s="151" t="s">
        <v>7189</v>
      </c>
    </row>
    <row r="5222" spans="1:1">
      <c r="A5222" s="151" t="s">
        <v>7190</v>
      </c>
    </row>
    <row r="5223" spans="1:1">
      <c r="A5223" s="151" t="s">
        <v>7191</v>
      </c>
    </row>
    <row r="5224" spans="1:1">
      <c r="A5224" s="151" t="s">
        <v>7192</v>
      </c>
    </row>
    <row r="5225" spans="1:1">
      <c r="A5225" s="151" t="s">
        <v>7193</v>
      </c>
    </row>
    <row r="5226" spans="1:1">
      <c r="A5226" s="151" t="s">
        <v>7194</v>
      </c>
    </row>
    <row r="5227" spans="1:1">
      <c r="A5227" s="151" t="s">
        <v>7195</v>
      </c>
    </row>
    <row r="5228" spans="1:1">
      <c r="A5228" s="151" t="s">
        <v>7196</v>
      </c>
    </row>
    <row r="5229" spans="1:1">
      <c r="A5229" s="151" t="s">
        <v>7197</v>
      </c>
    </row>
    <row r="5230" spans="1:1">
      <c r="A5230" s="151" t="s">
        <v>7198</v>
      </c>
    </row>
    <row r="5231" spans="1:1">
      <c r="A5231" s="151" t="s">
        <v>7199</v>
      </c>
    </row>
    <row r="5232" spans="1:1">
      <c r="A5232" s="151" t="s">
        <v>7200</v>
      </c>
    </row>
    <row r="5233" spans="1:1">
      <c r="A5233" s="151" t="s">
        <v>7201</v>
      </c>
    </row>
    <row r="5234" spans="1:1">
      <c r="A5234" s="151" t="s">
        <v>7202</v>
      </c>
    </row>
    <row r="5235" spans="1:1">
      <c r="A5235" s="151" t="s">
        <v>7203</v>
      </c>
    </row>
    <row r="5236" spans="1:1">
      <c r="A5236" s="151" t="s">
        <v>7204</v>
      </c>
    </row>
    <row r="5237" spans="1:1">
      <c r="A5237" s="151" t="s">
        <v>7205</v>
      </c>
    </row>
    <row r="5238" spans="1:1">
      <c r="A5238" s="151" t="s">
        <v>7206</v>
      </c>
    </row>
    <row r="5239" spans="1:1">
      <c r="A5239" s="151" t="s">
        <v>7207</v>
      </c>
    </row>
    <row r="5240" spans="1:1">
      <c r="A5240" s="151" t="s">
        <v>7208</v>
      </c>
    </row>
    <row r="5241" spans="1:1">
      <c r="A5241" s="151" t="s">
        <v>7209</v>
      </c>
    </row>
    <row r="5242" spans="1:1">
      <c r="A5242" s="151" t="s">
        <v>7210</v>
      </c>
    </row>
    <row r="5243" spans="1:1">
      <c r="A5243" s="151" t="s">
        <v>7211</v>
      </c>
    </row>
    <row r="5244" spans="1:1">
      <c r="A5244" s="151" t="s">
        <v>7212</v>
      </c>
    </row>
    <row r="5245" spans="1:1">
      <c r="A5245" s="151" t="s">
        <v>7213</v>
      </c>
    </row>
    <row r="5246" spans="1:1">
      <c r="A5246" s="151" t="s">
        <v>7214</v>
      </c>
    </row>
    <row r="5247" spans="1:1">
      <c r="A5247" s="151" t="s">
        <v>7215</v>
      </c>
    </row>
    <row r="5248" spans="1:1">
      <c r="A5248" s="151" t="s">
        <v>7216</v>
      </c>
    </row>
    <row r="5249" spans="1:1">
      <c r="A5249" s="151" t="s">
        <v>7217</v>
      </c>
    </row>
    <row r="5250" spans="1:1">
      <c r="A5250" s="151" t="s">
        <v>7218</v>
      </c>
    </row>
    <row r="5251" spans="1:1">
      <c r="A5251" s="151" t="s">
        <v>7219</v>
      </c>
    </row>
    <row r="5252" spans="1:1">
      <c r="A5252" s="151" t="s">
        <v>7220</v>
      </c>
    </row>
    <row r="5253" spans="1:1">
      <c r="A5253" s="151" t="s">
        <v>7221</v>
      </c>
    </row>
    <row r="5254" spans="1:1">
      <c r="A5254" s="151" t="s">
        <v>7222</v>
      </c>
    </row>
    <row r="5255" spans="1:1">
      <c r="A5255" s="151" t="s">
        <v>7223</v>
      </c>
    </row>
    <row r="5256" spans="1:1">
      <c r="A5256" s="151" t="s">
        <v>7224</v>
      </c>
    </row>
    <row r="5257" spans="1:1">
      <c r="A5257" s="151" t="s">
        <v>7225</v>
      </c>
    </row>
    <row r="5258" spans="1:1">
      <c r="A5258" s="151" t="s">
        <v>7226</v>
      </c>
    </row>
    <row r="5259" spans="1:1">
      <c r="A5259" s="151" t="s">
        <v>7227</v>
      </c>
    </row>
    <row r="5260" spans="1:1">
      <c r="A5260" s="151" t="s">
        <v>7228</v>
      </c>
    </row>
    <row r="5261" spans="1:1">
      <c r="A5261" s="151" t="s">
        <v>7229</v>
      </c>
    </row>
    <row r="5262" spans="1:1">
      <c r="A5262" s="151" t="s">
        <v>7230</v>
      </c>
    </row>
    <row r="5263" spans="1:1">
      <c r="A5263" s="151" t="s">
        <v>7231</v>
      </c>
    </row>
    <row r="5264" spans="1:1">
      <c r="A5264" s="151" t="s">
        <v>7232</v>
      </c>
    </row>
    <row r="5265" spans="1:1">
      <c r="A5265" s="151" t="s">
        <v>7233</v>
      </c>
    </row>
    <row r="5266" spans="1:1">
      <c r="A5266" s="151" t="s">
        <v>7234</v>
      </c>
    </row>
    <row r="5267" spans="1:1">
      <c r="A5267" s="151" t="s">
        <v>7235</v>
      </c>
    </row>
    <row r="5268" spans="1:1">
      <c r="A5268" s="151" t="s">
        <v>7236</v>
      </c>
    </row>
    <row r="5269" spans="1:1">
      <c r="A5269" s="151" t="s">
        <v>7237</v>
      </c>
    </row>
    <row r="5270" spans="1:1">
      <c r="A5270" s="151" t="s">
        <v>7238</v>
      </c>
    </row>
    <row r="5271" spans="1:1">
      <c r="A5271" s="151" t="s">
        <v>7239</v>
      </c>
    </row>
    <row r="5272" spans="1:1">
      <c r="A5272" s="151" t="s">
        <v>7240</v>
      </c>
    </row>
    <row r="5273" spans="1:1">
      <c r="A5273" s="151" t="s">
        <v>7241</v>
      </c>
    </row>
    <row r="5274" spans="1:1">
      <c r="A5274" s="151" t="s">
        <v>7242</v>
      </c>
    </row>
    <row r="5275" spans="1:1">
      <c r="A5275" s="151" t="s">
        <v>7243</v>
      </c>
    </row>
    <row r="5276" spans="1:1">
      <c r="A5276" s="151" t="s">
        <v>7244</v>
      </c>
    </row>
    <row r="5277" spans="1:1">
      <c r="A5277" s="151" t="s">
        <v>7245</v>
      </c>
    </row>
    <row r="5278" spans="1:1">
      <c r="A5278" s="151" t="s">
        <v>7246</v>
      </c>
    </row>
    <row r="5279" spans="1:1">
      <c r="A5279" s="151" t="s">
        <v>7247</v>
      </c>
    </row>
    <row r="5280" spans="1:1">
      <c r="A5280" s="151" t="s">
        <v>7248</v>
      </c>
    </row>
    <row r="5281" spans="1:1">
      <c r="A5281" s="151" t="s">
        <v>7249</v>
      </c>
    </row>
    <row r="5282" spans="1:1">
      <c r="A5282" s="151" t="s">
        <v>7250</v>
      </c>
    </row>
    <row r="5283" spans="1:1">
      <c r="A5283" s="151" t="s">
        <v>7251</v>
      </c>
    </row>
    <row r="5284" spans="1:1">
      <c r="A5284" s="151" t="s">
        <v>7252</v>
      </c>
    </row>
    <row r="5285" spans="1:1">
      <c r="A5285" s="151" t="s">
        <v>7253</v>
      </c>
    </row>
    <row r="5286" spans="1:1">
      <c r="A5286" s="151" t="s">
        <v>7254</v>
      </c>
    </row>
    <row r="5287" spans="1:1">
      <c r="A5287" s="151" t="s">
        <v>7255</v>
      </c>
    </row>
    <row r="5288" spans="1:1">
      <c r="A5288" s="151" t="s">
        <v>7256</v>
      </c>
    </row>
    <row r="5289" spans="1:1">
      <c r="A5289" s="151" t="s">
        <v>7257</v>
      </c>
    </row>
    <row r="5290" spans="1:1">
      <c r="A5290" s="151" t="s">
        <v>7258</v>
      </c>
    </row>
    <row r="5291" spans="1:1">
      <c r="A5291" s="151" t="s">
        <v>7259</v>
      </c>
    </row>
    <row r="5292" spans="1:1">
      <c r="A5292" s="151" t="s">
        <v>7260</v>
      </c>
    </row>
    <row r="5293" spans="1:1">
      <c r="A5293" s="151" t="s">
        <v>7261</v>
      </c>
    </row>
    <row r="5294" spans="1:1">
      <c r="A5294" s="151" t="s">
        <v>7262</v>
      </c>
    </row>
    <row r="5295" spans="1:1">
      <c r="A5295" s="151" t="s">
        <v>7263</v>
      </c>
    </row>
    <row r="5296" spans="1:1">
      <c r="A5296" s="151" t="s">
        <v>7264</v>
      </c>
    </row>
    <row r="5297" spans="1:1">
      <c r="A5297" s="151" t="s">
        <v>7265</v>
      </c>
    </row>
    <row r="5298" spans="1:1">
      <c r="A5298" s="151" t="s">
        <v>7266</v>
      </c>
    </row>
    <row r="5299" spans="1:1">
      <c r="A5299" s="151" t="s">
        <v>7267</v>
      </c>
    </row>
    <row r="5300" spans="1:1">
      <c r="A5300" s="151" t="s">
        <v>7268</v>
      </c>
    </row>
    <row r="5301" spans="1:1">
      <c r="A5301" s="151" t="s">
        <v>7269</v>
      </c>
    </row>
    <row r="5302" spans="1:1">
      <c r="A5302" s="151" t="s">
        <v>7270</v>
      </c>
    </row>
    <row r="5303" spans="1:1">
      <c r="A5303" s="151" t="s">
        <v>7271</v>
      </c>
    </row>
    <row r="5304" spans="1:1">
      <c r="A5304" s="151" t="s">
        <v>7272</v>
      </c>
    </row>
    <row r="5305" spans="1:1">
      <c r="A5305" s="151" t="s">
        <v>7273</v>
      </c>
    </row>
    <row r="5306" spans="1:1">
      <c r="A5306" s="151" t="s">
        <v>7274</v>
      </c>
    </row>
    <row r="5307" spans="1:1">
      <c r="A5307" s="151" t="s">
        <v>7275</v>
      </c>
    </row>
    <row r="5308" spans="1:1">
      <c r="A5308" s="151" t="s">
        <v>7276</v>
      </c>
    </row>
    <row r="5309" spans="1:1">
      <c r="A5309" s="151" t="s">
        <v>7277</v>
      </c>
    </row>
    <row r="5310" spans="1:1">
      <c r="A5310" s="151" t="s">
        <v>7278</v>
      </c>
    </row>
    <row r="5311" spans="1:1">
      <c r="A5311" s="151" t="s">
        <v>7279</v>
      </c>
    </row>
    <row r="5312" spans="1:1">
      <c r="A5312" s="151" t="s">
        <v>7280</v>
      </c>
    </row>
    <row r="5313" spans="1:1">
      <c r="A5313" s="151" t="s">
        <v>7281</v>
      </c>
    </row>
    <row r="5314" spans="1:1">
      <c r="A5314" s="151" t="s">
        <v>7282</v>
      </c>
    </row>
    <row r="5315" spans="1:1">
      <c r="A5315" s="151" t="s">
        <v>7283</v>
      </c>
    </row>
    <row r="5316" spans="1:1">
      <c r="A5316" s="151" t="s">
        <v>7284</v>
      </c>
    </row>
    <row r="5317" spans="1:1">
      <c r="A5317" s="151" t="s">
        <v>7285</v>
      </c>
    </row>
    <row r="5318" spans="1:1">
      <c r="A5318" s="151" t="s">
        <v>7286</v>
      </c>
    </row>
    <row r="5319" spans="1:1">
      <c r="A5319" s="151" t="s">
        <v>7287</v>
      </c>
    </row>
    <row r="5320" spans="1:1">
      <c r="A5320" s="151" t="s">
        <v>7288</v>
      </c>
    </row>
    <row r="5321" spans="1:1">
      <c r="A5321" s="151" t="s">
        <v>7289</v>
      </c>
    </row>
    <row r="5322" spans="1:1">
      <c r="A5322" s="151" t="s">
        <v>7290</v>
      </c>
    </row>
    <row r="5323" spans="1:1">
      <c r="A5323" s="151" t="s">
        <v>7291</v>
      </c>
    </row>
    <row r="5324" spans="1:1">
      <c r="A5324" s="151" t="s">
        <v>7292</v>
      </c>
    </row>
    <row r="5325" spans="1:1">
      <c r="A5325" s="151" t="s">
        <v>7293</v>
      </c>
    </row>
    <row r="5326" spans="1:1">
      <c r="A5326" s="151" t="s">
        <v>7294</v>
      </c>
    </row>
    <row r="5327" spans="1:1">
      <c r="A5327" s="151" t="s">
        <v>7295</v>
      </c>
    </row>
    <row r="5328" spans="1:1">
      <c r="A5328" s="151" t="s">
        <v>7296</v>
      </c>
    </row>
    <row r="5329" spans="1:1">
      <c r="A5329" s="151" t="s">
        <v>7297</v>
      </c>
    </row>
    <row r="5330" spans="1:1">
      <c r="A5330" s="151" t="s">
        <v>7298</v>
      </c>
    </row>
    <row r="5331" spans="1:1">
      <c r="A5331" s="151" t="s">
        <v>7299</v>
      </c>
    </row>
    <row r="5332" spans="1:1">
      <c r="A5332" s="151" t="s">
        <v>7300</v>
      </c>
    </row>
    <row r="5333" spans="1:1">
      <c r="A5333" s="151" t="s">
        <v>7301</v>
      </c>
    </row>
    <row r="5334" spans="1:1">
      <c r="A5334" s="151" t="s">
        <v>7302</v>
      </c>
    </row>
    <row r="5335" spans="1:1">
      <c r="A5335" s="151" t="s">
        <v>7303</v>
      </c>
    </row>
    <row r="5336" spans="1:1">
      <c r="A5336" s="151" t="s">
        <v>7304</v>
      </c>
    </row>
    <row r="5337" spans="1:1">
      <c r="A5337" s="151" t="s">
        <v>7305</v>
      </c>
    </row>
    <row r="5338" spans="1:1">
      <c r="A5338" s="151" t="s">
        <v>7306</v>
      </c>
    </row>
    <row r="5339" spans="1:1">
      <c r="A5339" s="151" t="s">
        <v>7307</v>
      </c>
    </row>
    <row r="5340" spans="1:1">
      <c r="A5340" s="151" t="s">
        <v>7308</v>
      </c>
    </row>
    <row r="5341" spans="1:1">
      <c r="A5341" s="151" t="s">
        <v>7309</v>
      </c>
    </row>
    <row r="5342" spans="1:1">
      <c r="A5342" s="151" t="s">
        <v>7310</v>
      </c>
    </row>
    <row r="5343" spans="1:1">
      <c r="A5343" s="151" t="s">
        <v>7311</v>
      </c>
    </row>
    <row r="5344" spans="1:1">
      <c r="A5344" s="151" t="s">
        <v>7312</v>
      </c>
    </row>
    <row r="5345" spans="1:1">
      <c r="A5345" s="151" t="s">
        <v>7313</v>
      </c>
    </row>
    <row r="5346" spans="1:1">
      <c r="A5346" s="151" t="s">
        <v>7314</v>
      </c>
    </row>
    <row r="5347" spans="1:1">
      <c r="A5347" s="151" t="s">
        <v>7315</v>
      </c>
    </row>
    <row r="5348" spans="1:1">
      <c r="A5348" s="151" t="s">
        <v>7316</v>
      </c>
    </row>
    <row r="5349" spans="1:1">
      <c r="A5349" s="151" t="s">
        <v>7317</v>
      </c>
    </row>
    <row r="5350" spans="1:1">
      <c r="A5350" s="151" t="s">
        <v>7318</v>
      </c>
    </row>
    <row r="5351" spans="1:1">
      <c r="A5351" s="151" t="s">
        <v>7319</v>
      </c>
    </row>
    <row r="5352" spans="1:1">
      <c r="A5352" s="151" t="s">
        <v>7320</v>
      </c>
    </row>
    <row r="5353" spans="1:1">
      <c r="A5353" s="151" t="s">
        <v>7321</v>
      </c>
    </row>
    <row r="5354" spans="1:1">
      <c r="A5354" s="151" t="s">
        <v>7322</v>
      </c>
    </row>
    <row r="5355" spans="1:1">
      <c r="A5355" s="151" t="s">
        <v>7323</v>
      </c>
    </row>
    <row r="5356" spans="1:1">
      <c r="A5356" s="151" t="s">
        <v>7324</v>
      </c>
    </row>
    <row r="5357" spans="1:1">
      <c r="A5357" s="151" t="s">
        <v>7325</v>
      </c>
    </row>
    <row r="5358" spans="1:1">
      <c r="A5358" s="151" t="s">
        <v>7326</v>
      </c>
    </row>
    <row r="5359" spans="1:1">
      <c r="A5359" s="151" t="s">
        <v>7327</v>
      </c>
    </row>
    <row r="5360" spans="1:1">
      <c r="A5360" s="151" t="s">
        <v>7328</v>
      </c>
    </row>
    <row r="5361" spans="1:1">
      <c r="A5361" s="151" t="s">
        <v>7329</v>
      </c>
    </row>
    <row r="5362" spans="1:1">
      <c r="A5362" s="151" t="s">
        <v>7330</v>
      </c>
    </row>
    <row r="5363" spans="1:1">
      <c r="A5363" s="151" t="s">
        <v>7331</v>
      </c>
    </row>
    <row r="5364" spans="1:1">
      <c r="A5364" s="151" t="s">
        <v>7332</v>
      </c>
    </row>
    <row r="5365" spans="1:1">
      <c r="A5365" s="151" t="s">
        <v>7333</v>
      </c>
    </row>
    <row r="5366" spans="1:1">
      <c r="A5366" s="151" t="s">
        <v>7334</v>
      </c>
    </row>
    <row r="5367" spans="1:1">
      <c r="A5367" s="151" t="s">
        <v>7335</v>
      </c>
    </row>
    <row r="5368" spans="1:1">
      <c r="A5368" s="151" t="s">
        <v>7336</v>
      </c>
    </row>
    <row r="5369" spans="1:1">
      <c r="A5369" s="151" t="s">
        <v>7337</v>
      </c>
    </row>
    <row r="5370" spans="1:1">
      <c r="A5370" s="151" t="s">
        <v>7338</v>
      </c>
    </row>
    <row r="5371" spans="1:1">
      <c r="A5371" s="151" t="s">
        <v>7339</v>
      </c>
    </row>
    <row r="5372" spans="1:1">
      <c r="A5372" s="151" t="s">
        <v>7340</v>
      </c>
    </row>
    <row r="5373" spans="1:1">
      <c r="A5373" s="151" t="s">
        <v>7341</v>
      </c>
    </row>
    <row r="5374" spans="1:1">
      <c r="A5374" s="151" t="s">
        <v>7342</v>
      </c>
    </row>
    <row r="5375" spans="1:1">
      <c r="A5375" s="151" t="s">
        <v>7343</v>
      </c>
    </row>
    <row r="5376" spans="1:1">
      <c r="A5376" s="151" t="s">
        <v>7344</v>
      </c>
    </row>
    <row r="5377" spans="1:1">
      <c r="A5377" s="151" t="s">
        <v>7345</v>
      </c>
    </row>
    <row r="5378" spans="1:1">
      <c r="A5378" s="151" t="s">
        <v>7346</v>
      </c>
    </row>
    <row r="5379" spans="1:1">
      <c r="A5379" s="151" t="s">
        <v>7347</v>
      </c>
    </row>
    <row r="5380" spans="1:1">
      <c r="A5380" s="151" t="s">
        <v>7348</v>
      </c>
    </row>
    <row r="5381" spans="1:1">
      <c r="A5381" s="151" t="s">
        <v>7349</v>
      </c>
    </row>
    <row r="5382" spans="1:1">
      <c r="A5382" s="151" t="s">
        <v>7350</v>
      </c>
    </row>
    <row r="5383" spans="1:1">
      <c r="A5383" s="151" t="s">
        <v>7351</v>
      </c>
    </row>
    <row r="5384" spans="1:1">
      <c r="A5384" s="151" t="s">
        <v>7352</v>
      </c>
    </row>
    <row r="5385" spans="1:1">
      <c r="A5385" s="151" t="s">
        <v>7353</v>
      </c>
    </row>
    <row r="5386" spans="1:1">
      <c r="A5386" s="151" t="s">
        <v>7354</v>
      </c>
    </row>
    <row r="5387" spans="1:1">
      <c r="A5387" s="151" t="s">
        <v>7355</v>
      </c>
    </row>
    <row r="5388" spans="1:1">
      <c r="A5388" s="151" t="s">
        <v>7356</v>
      </c>
    </row>
    <row r="5389" spans="1:1">
      <c r="A5389" s="151" t="s">
        <v>7357</v>
      </c>
    </row>
    <row r="5390" spans="1:1">
      <c r="A5390" s="151" t="s">
        <v>7358</v>
      </c>
    </row>
    <row r="5391" spans="1:1">
      <c r="A5391" s="151" t="s">
        <v>7359</v>
      </c>
    </row>
    <row r="5392" spans="1:1">
      <c r="A5392" s="151" t="s">
        <v>7360</v>
      </c>
    </row>
    <row r="5393" spans="1:1">
      <c r="A5393" s="151" t="s">
        <v>7361</v>
      </c>
    </row>
    <row r="5394" spans="1:1">
      <c r="A5394" s="151" t="s">
        <v>7362</v>
      </c>
    </row>
    <row r="5395" spans="1:1">
      <c r="A5395" s="151" t="s">
        <v>7363</v>
      </c>
    </row>
    <row r="5396" spans="1:1">
      <c r="A5396" s="151" t="s">
        <v>7364</v>
      </c>
    </row>
    <row r="5397" spans="1:1">
      <c r="A5397" s="151" t="s">
        <v>7365</v>
      </c>
    </row>
    <row r="5398" spans="1:1">
      <c r="A5398" s="151" t="s">
        <v>7366</v>
      </c>
    </row>
    <row r="5399" spans="1:1">
      <c r="A5399" s="151" t="s">
        <v>7367</v>
      </c>
    </row>
    <row r="5400" spans="1:1">
      <c r="A5400" s="151" t="s">
        <v>7368</v>
      </c>
    </row>
    <row r="5401" spans="1:1">
      <c r="A5401" s="151" t="s">
        <v>7369</v>
      </c>
    </row>
    <row r="5402" spans="1:1">
      <c r="A5402" s="151" t="s">
        <v>7370</v>
      </c>
    </row>
    <row r="5403" spans="1:1">
      <c r="A5403" s="151" t="s">
        <v>7371</v>
      </c>
    </row>
    <row r="5404" spans="1:1">
      <c r="A5404" s="151" t="s">
        <v>7372</v>
      </c>
    </row>
    <row r="5405" spans="1:1">
      <c r="A5405" s="151" t="s">
        <v>7373</v>
      </c>
    </row>
    <row r="5406" spans="1:1">
      <c r="A5406" s="151" t="s">
        <v>7374</v>
      </c>
    </row>
    <row r="5407" spans="1:1">
      <c r="A5407" s="151" t="s">
        <v>7375</v>
      </c>
    </row>
    <row r="5408" spans="1:1">
      <c r="A5408" s="151" t="s">
        <v>7376</v>
      </c>
    </row>
    <row r="5409" spans="1:1">
      <c r="A5409" s="151" t="s">
        <v>7377</v>
      </c>
    </row>
    <row r="5410" spans="1:1">
      <c r="A5410" s="151" t="s">
        <v>7378</v>
      </c>
    </row>
    <row r="5411" spans="1:1">
      <c r="A5411" s="151" t="s">
        <v>7379</v>
      </c>
    </row>
    <row r="5412" spans="1:1">
      <c r="A5412" s="151" t="s">
        <v>7380</v>
      </c>
    </row>
    <row r="5413" spans="1:1">
      <c r="A5413" s="151" t="s">
        <v>7381</v>
      </c>
    </row>
    <row r="5414" spans="1:1">
      <c r="A5414" s="151" t="s">
        <v>7382</v>
      </c>
    </row>
    <row r="5415" spans="1:1">
      <c r="A5415" s="151" t="s">
        <v>7383</v>
      </c>
    </row>
    <row r="5416" spans="1:1">
      <c r="A5416" s="151" t="s">
        <v>7384</v>
      </c>
    </row>
    <row r="5417" spans="1:1">
      <c r="A5417" s="151" t="s">
        <v>7385</v>
      </c>
    </row>
    <row r="5418" spans="1:1">
      <c r="A5418" s="151" t="s">
        <v>7386</v>
      </c>
    </row>
    <row r="5419" spans="1:1">
      <c r="A5419" s="151" t="s">
        <v>7387</v>
      </c>
    </row>
    <row r="5420" spans="1:1">
      <c r="A5420" s="151" t="s">
        <v>7388</v>
      </c>
    </row>
    <row r="5421" spans="1:1">
      <c r="A5421" s="151" t="s">
        <v>7389</v>
      </c>
    </row>
    <row r="5422" spans="1:1">
      <c r="A5422" s="151" t="s">
        <v>7390</v>
      </c>
    </row>
    <row r="5423" spans="1:1">
      <c r="A5423" s="151" t="s">
        <v>7391</v>
      </c>
    </row>
    <row r="5424" spans="1:1">
      <c r="A5424" s="151" t="s">
        <v>7392</v>
      </c>
    </row>
    <row r="5425" spans="1:1">
      <c r="A5425" s="151" t="s">
        <v>7393</v>
      </c>
    </row>
    <row r="5426" spans="1:1">
      <c r="A5426" s="151" t="s">
        <v>7394</v>
      </c>
    </row>
    <row r="5427" spans="1:1">
      <c r="A5427" s="151" t="s">
        <v>7395</v>
      </c>
    </row>
    <row r="5428" spans="1:1">
      <c r="A5428" s="151" t="s">
        <v>7396</v>
      </c>
    </row>
    <row r="5429" spans="1:1">
      <c r="A5429" s="151" t="s">
        <v>7397</v>
      </c>
    </row>
    <row r="5430" spans="1:1">
      <c r="A5430" s="151" t="s">
        <v>7398</v>
      </c>
    </row>
    <row r="5431" spans="1:1">
      <c r="A5431" s="151" t="s">
        <v>7399</v>
      </c>
    </row>
    <row r="5432" spans="1:1">
      <c r="A5432" s="151" t="s">
        <v>7400</v>
      </c>
    </row>
    <row r="5433" spans="1:1">
      <c r="A5433" s="151" t="s">
        <v>7401</v>
      </c>
    </row>
    <row r="5434" spans="1:1">
      <c r="A5434" s="151" t="s">
        <v>7402</v>
      </c>
    </row>
    <row r="5435" spans="1:1">
      <c r="A5435" s="151" t="s">
        <v>7403</v>
      </c>
    </row>
    <row r="5436" spans="1:1">
      <c r="A5436" s="151" t="s">
        <v>7404</v>
      </c>
    </row>
    <row r="5437" spans="1:1">
      <c r="A5437" s="151" t="s">
        <v>7405</v>
      </c>
    </row>
    <row r="5438" spans="1:1">
      <c r="A5438" s="151" t="s">
        <v>7406</v>
      </c>
    </row>
    <row r="5439" spans="1:1">
      <c r="A5439" s="151" t="s">
        <v>7407</v>
      </c>
    </row>
    <row r="5440" spans="1:1">
      <c r="A5440" s="151" t="s">
        <v>7408</v>
      </c>
    </row>
    <row r="5441" spans="1:1">
      <c r="A5441" s="151" t="s">
        <v>7409</v>
      </c>
    </row>
    <row r="5442" spans="1:1">
      <c r="A5442" s="151" t="s">
        <v>7410</v>
      </c>
    </row>
    <row r="5443" spans="1:1">
      <c r="A5443" s="151" t="s">
        <v>7411</v>
      </c>
    </row>
    <row r="5444" spans="1:1">
      <c r="A5444" s="151" t="s">
        <v>7412</v>
      </c>
    </row>
    <row r="5445" spans="1:1">
      <c r="A5445" s="151" t="s">
        <v>7413</v>
      </c>
    </row>
    <row r="5446" spans="1:1">
      <c r="A5446" s="151" t="s">
        <v>7414</v>
      </c>
    </row>
    <row r="5447" spans="1:1">
      <c r="A5447" s="151" t="s">
        <v>7415</v>
      </c>
    </row>
    <row r="5448" spans="1:1">
      <c r="A5448" s="151" t="s">
        <v>7416</v>
      </c>
    </row>
    <row r="5449" spans="1:1">
      <c r="A5449" s="151" t="s">
        <v>7417</v>
      </c>
    </row>
    <row r="5450" spans="1:1">
      <c r="A5450" s="151" t="s">
        <v>7418</v>
      </c>
    </row>
    <row r="5451" spans="1:1">
      <c r="A5451" s="151" t="s">
        <v>7419</v>
      </c>
    </row>
    <row r="5452" spans="1:1">
      <c r="A5452" s="151" t="s">
        <v>7420</v>
      </c>
    </row>
    <row r="5453" spans="1:1">
      <c r="A5453" s="151" t="s">
        <v>7421</v>
      </c>
    </row>
    <row r="5454" spans="1:1">
      <c r="A5454" s="151" t="s">
        <v>7422</v>
      </c>
    </row>
    <row r="5455" spans="1:1">
      <c r="A5455" s="151" t="s">
        <v>7423</v>
      </c>
    </row>
    <row r="5456" spans="1:1">
      <c r="A5456" s="151" t="s">
        <v>7424</v>
      </c>
    </row>
    <row r="5457" spans="1:1">
      <c r="A5457" s="151" t="s">
        <v>7425</v>
      </c>
    </row>
    <row r="5458" spans="1:1">
      <c r="A5458" s="151" t="s">
        <v>7426</v>
      </c>
    </row>
    <row r="5459" spans="1:1">
      <c r="A5459" s="151" t="s">
        <v>7427</v>
      </c>
    </row>
    <row r="5460" spans="1:1">
      <c r="A5460" s="151" t="s">
        <v>7428</v>
      </c>
    </row>
    <row r="5461" spans="1:1">
      <c r="A5461" s="151" t="s">
        <v>7429</v>
      </c>
    </row>
    <row r="5462" spans="1:1">
      <c r="A5462" s="151" t="s">
        <v>7430</v>
      </c>
    </row>
    <row r="5463" spans="1:1">
      <c r="A5463" s="151" t="s">
        <v>7431</v>
      </c>
    </row>
    <row r="5464" spans="1:1">
      <c r="A5464" s="151" t="s">
        <v>7432</v>
      </c>
    </row>
    <row r="5465" spans="1:1">
      <c r="A5465" s="151" t="s">
        <v>7433</v>
      </c>
    </row>
    <row r="5466" spans="1:1">
      <c r="A5466" s="151" t="s">
        <v>7434</v>
      </c>
    </row>
    <row r="5467" spans="1:1">
      <c r="A5467" s="151" t="s">
        <v>7435</v>
      </c>
    </row>
    <row r="5468" spans="1:1">
      <c r="A5468" s="151" t="s">
        <v>7436</v>
      </c>
    </row>
    <row r="5469" spans="1:1">
      <c r="A5469" s="151" t="s">
        <v>7437</v>
      </c>
    </row>
    <row r="5470" spans="1:1">
      <c r="A5470" s="151" t="s">
        <v>7438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9"/>
  <sheetViews>
    <sheetView zoomScale="121" zoomScaleNormal="121" workbookViewId="0">
      <selection activeCell="D9" sqref="D9"/>
    </sheetView>
  </sheetViews>
  <sheetFormatPr baseColWidth="10" defaultRowHeight="12"/>
  <cols>
    <col min="1" max="1" width="4.42578125" style="197" customWidth="1"/>
    <col min="2" max="2" width="8" style="197" bestFit="1" customWidth="1"/>
    <col min="3" max="3" width="7.85546875" style="197" bestFit="1" customWidth="1"/>
    <col min="4" max="4" width="7.5703125" style="197" bestFit="1" customWidth="1"/>
    <col min="5" max="8" width="7.5703125" style="197" customWidth="1"/>
    <col min="9" max="9" width="5.7109375" style="197" bestFit="1" customWidth="1"/>
    <col min="10" max="10" width="5.5703125" style="197" bestFit="1" customWidth="1"/>
    <col min="11" max="12" width="7.5703125" style="197" bestFit="1" customWidth="1"/>
    <col min="13" max="13" width="5.42578125" style="197" bestFit="1" customWidth="1"/>
    <col min="14" max="14" width="8.7109375" style="197" bestFit="1" customWidth="1"/>
    <col min="15" max="15" width="12" style="197" bestFit="1" customWidth="1"/>
    <col min="16" max="16" width="13.5703125" style="197" bestFit="1" customWidth="1"/>
    <col min="17" max="17" width="17.5703125" style="197" bestFit="1" customWidth="1"/>
    <col min="18" max="18" width="19.140625" style="197" bestFit="1" customWidth="1"/>
    <col min="19" max="19" width="12.7109375" style="197" bestFit="1" customWidth="1"/>
    <col min="20" max="20" width="17.7109375" style="197" bestFit="1" customWidth="1"/>
    <col min="21" max="21" width="20.140625" style="197" bestFit="1" customWidth="1"/>
    <col min="22" max="22" width="21.85546875" style="197" bestFit="1" customWidth="1"/>
    <col min="23" max="26" width="11.42578125" style="197"/>
    <col min="27" max="27" width="14.28515625" style="197" bestFit="1" customWidth="1"/>
    <col min="28" max="28" width="12.5703125" style="197" bestFit="1" customWidth="1"/>
    <col min="29" max="30" width="12.28515625" style="197" bestFit="1" customWidth="1"/>
    <col min="31" max="31" width="26" style="197" bestFit="1" customWidth="1"/>
    <col min="32" max="16384" width="11.42578125" style="197"/>
  </cols>
  <sheetData>
    <row r="1" spans="1:32">
      <c r="A1" s="197" t="s">
        <v>7743</v>
      </c>
    </row>
    <row r="2" spans="1:32">
      <c r="A2" s="197" t="s">
        <v>7744</v>
      </c>
    </row>
    <row r="3" spans="1:32">
      <c r="A3" s="197" t="s">
        <v>7745</v>
      </c>
    </row>
    <row r="4" spans="1:32">
      <c r="A4" s="197" t="s">
        <v>7746</v>
      </c>
    </row>
    <row r="5" spans="1:32">
      <c r="A5" s="197" t="s">
        <v>7747</v>
      </c>
    </row>
    <row r="6" spans="1:32">
      <c r="A6" s="197" t="s">
        <v>7748</v>
      </c>
    </row>
    <row r="8" spans="1:32" ht="15">
      <c r="A8" s="197" t="s">
        <v>7733</v>
      </c>
      <c r="B8" s="197" t="s">
        <v>7734</v>
      </c>
      <c r="C8" s="197" t="s">
        <v>7735</v>
      </c>
      <c r="D8" s="197" t="s">
        <v>7749</v>
      </c>
      <c r="E8" s="232" t="s">
        <v>7750</v>
      </c>
      <c r="F8" s="232" t="s">
        <v>7751</v>
      </c>
      <c r="G8" s="232" t="s">
        <v>7752</v>
      </c>
      <c r="H8" s="232" t="s">
        <v>7753</v>
      </c>
      <c r="I8" s="197" t="s">
        <v>7728</v>
      </c>
      <c r="J8" s="197" t="s">
        <v>7729</v>
      </c>
      <c r="K8" s="197" t="s">
        <v>7730</v>
      </c>
      <c r="L8" s="197" t="s">
        <v>7731</v>
      </c>
      <c r="M8" s="197" t="s">
        <v>7732</v>
      </c>
      <c r="N8" s="232" t="s">
        <v>7754</v>
      </c>
      <c r="O8" s="232" t="s">
        <v>7755</v>
      </c>
      <c r="P8" s="232" t="s">
        <v>7756</v>
      </c>
      <c r="Q8" s="232" t="s">
        <v>7757</v>
      </c>
      <c r="R8" s="232" t="s">
        <v>7758</v>
      </c>
      <c r="S8" s="232" t="s">
        <v>7759</v>
      </c>
      <c r="T8" s="232" t="s">
        <v>7760</v>
      </c>
      <c r="U8" s="232" t="s">
        <v>7761</v>
      </c>
      <c r="V8" s="232" t="s">
        <v>7762</v>
      </c>
      <c r="W8" s="232" t="s">
        <v>7763</v>
      </c>
      <c r="X8" s="232" t="s">
        <v>7764</v>
      </c>
      <c r="Y8" s="232" t="s">
        <v>7765</v>
      </c>
      <c r="Z8" s="232" t="s">
        <v>7766</v>
      </c>
      <c r="AA8" s="232" t="s">
        <v>7767</v>
      </c>
      <c r="AB8" s="232" t="s">
        <v>7768</v>
      </c>
      <c r="AC8" s="232" t="s">
        <v>7769</v>
      </c>
      <c r="AD8" s="232" t="s">
        <v>7770</v>
      </c>
      <c r="AE8" s="232" t="s">
        <v>7771</v>
      </c>
      <c r="AF8" s="232" t="s">
        <v>7772</v>
      </c>
    </row>
    <row r="9" spans="1:32" ht="15">
      <c r="A9" s="197">
        <v>2010</v>
      </c>
      <c r="B9" s="197">
        <v>9</v>
      </c>
      <c r="C9" s="197">
        <v>8</v>
      </c>
      <c r="D9" s="197">
        <v>5.0999999999999996</v>
      </c>
      <c r="E9" s="197">
        <f>D9</f>
        <v>5.0999999999999996</v>
      </c>
      <c r="I9" s="197">
        <v>2003</v>
      </c>
      <c r="J9" s="197">
        <v>1.8</v>
      </c>
      <c r="K9" s="197">
        <v>18.2</v>
      </c>
      <c r="L9" s="197">
        <v>14.1</v>
      </c>
      <c r="M9" s="197">
        <v>23.9</v>
      </c>
      <c r="N9" s="233">
        <v>40429</v>
      </c>
      <c r="O9" s="232">
        <f>18.2</f>
        <v>18.2</v>
      </c>
      <c r="P9" s="232"/>
      <c r="Q9" s="232"/>
      <c r="R9" s="232"/>
      <c r="S9" s="232">
        <v>2003</v>
      </c>
      <c r="T9" s="232"/>
      <c r="U9" s="232"/>
      <c r="V9" s="232"/>
      <c r="W9" s="197">
        <v>1.8</v>
      </c>
      <c r="AB9" s="197">
        <f>IF(K9&lt;0,1,0)</f>
        <v>0</v>
      </c>
      <c r="AC9" s="197">
        <f>IF(K9&lt;4.5,1,0)</f>
        <v>0</v>
      </c>
      <c r="AD9" s="197">
        <v>5.0999999999999996</v>
      </c>
      <c r="AE9" s="197">
        <f>I9/K9</f>
        <v>110.05494505494507</v>
      </c>
    </row>
    <row r="10" spans="1:32">
      <c r="A10" s="197">
        <v>2010</v>
      </c>
      <c r="B10" s="197">
        <v>9</v>
      </c>
      <c r="C10" s="197">
        <v>9</v>
      </c>
      <c r="D10" s="197">
        <v>4.7</v>
      </c>
      <c r="E10" s="197">
        <f>E9+D10</f>
        <v>9.8000000000000007</v>
      </c>
      <c r="I10" s="197">
        <v>1644</v>
      </c>
      <c r="J10" s="197">
        <v>0.2</v>
      </c>
      <c r="K10" s="197">
        <v>18.5</v>
      </c>
      <c r="L10" s="197">
        <v>15</v>
      </c>
      <c r="M10" s="197">
        <v>24</v>
      </c>
      <c r="N10" s="233">
        <v>40430</v>
      </c>
      <c r="O10" s="197">
        <f>IF(K10&gt;0,O9+K10,O9)</f>
        <v>36.700000000000003</v>
      </c>
      <c r="S10" s="197">
        <f>S9+I10</f>
        <v>3647</v>
      </c>
      <c r="W10" s="197">
        <f t="shared" ref="W10:W73" si="0">W9+J10</f>
        <v>2</v>
      </c>
      <c r="AB10" s="197">
        <f t="shared" ref="AB10:AB73" si="1">IF(K10&lt;0,1,0)</f>
        <v>0</v>
      </c>
      <c r="AC10" s="197">
        <f t="shared" ref="AC10:AC73" si="2">IF(K10&lt;4.5,1,0)</f>
        <v>0</v>
      </c>
      <c r="AD10" s="197">
        <f>AD9+D10</f>
        <v>9.8000000000000007</v>
      </c>
      <c r="AE10" s="197">
        <f t="shared" ref="AE10:AE73" si="3">I10/K10</f>
        <v>88.86486486486487</v>
      </c>
    </row>
    <row r="11" spans="1:32">
      <c r="A11" s="197">
        <v>2010</v>
      </c>
      <c r="B11" s="197">
        <v>9</v>
      </c>
      <c r="C11" s="197">
        <v>10</v>
      </c>
      <c r="D11" s="197">
        <v>4</v>
      </c>
      <c r="E11" s="197">
        <f t="shared" ref="E11:E74" si="4">E10+D11</f>
        <v>13.8</v>
      </c>
      <c r="I11" s="197">
        <v>1990</v>
      </c>
      <c r="J11" s="197">
        <v>0</v>
      </c>
      <c r="K11" s="197">
        <v>19.399999999999999</v>
      </c>
      <c r="L11" s="197">
        <v>15.2</v>
      </c>
      <c r="M11" s="197">
        <v>24.7</v>
      </c>
      <c r="N11" s="233">
        <v>40431</v>
      </c>
      <c r="O11" s="197">
        <f>IF(K11&gt;0,O10+K11,O10)</f>
        <v>56.1</v>
      </c>
      <c r="S11" s="197">
        <f t="shared" ref="S11:S74" si="5">S10+I11</f>
        <v>5637</v>
      </c>
      <c r="W11" s="197">
        <f t="shared" si="0"/>
        <v>2</v>
      </c>
      <c r="AB11" s="197">
        <f t="shared" si="1"/>
        <v>0</v>
      </c>
      <c r="AC11" s="197">
        <f t="shared" si="2"/>
        <v>0</v>
      </c>
      <c r="AD11" s="197">
        <f t="shared" ref="AD11:AD74" si="6">AD10+D11</f>
        <v>13.8</v>
      </c>
      <c r="AE11" s="197">
        <f t="shared" si="3"/>
        <v>102.57731958762888</v>
      </c>
    </row>
    <row r="12" spans="1:32">
      <c r="A12" s="197">
        <v>2010</v>
      </c>
      <c r="B12" s="197">
        <v>9</v>
      </c>
      <c r="C12" s="197">
        <v>11</v>
      </c>
      <c r="D12" s="197">
        <v>3.7</v>
      </c>
      <c r="E12" s="197">
        <f t="shared" si="4"/>
        <v>17.5</v>
      </c>
      <c r="I12" s="197">
        <v>1987</v>
      </c>
      <c r="J12" s="197">
        <v>0</v>
      </c>
      <c r="K12" s="197">
        <v>20.9</v>
      </c>
      <c r="L12" s="197">
        <v>11.5</v>
      </c>
      <c r="M12" s="197">
        <v>29.6</v>
      </c>
      <c r="N12" s="233">
        <v>40432</v>
      </c>
      <c r="O12" s="197">
        <f t="shared" ref="O12:O75" si="7">IF(K12&gt;0,O11+K12,O11)</f>
        <v>77</v>
      </c>
      <c r="S12" s="197">
        <f t="shared" si="5"/>
        <v>7624</v>
      </c>
      <c r="W12" s="197">
        <f t="shared" si="0"/>
        <v>2</v>
      </c>
      <c r="AB12" s="197">
        <f t="shared" si="1"/>
        <v>0</v>
      </c>
      <c r="AC12" s="197">
        <f t="shared" si="2"/>
        <v>0</v>
      </c>
      <c r="AD12" s="197">
        <f t="shared" si="6"/>
        <v>17.5</v>
      </c>
      <c r="AE12" s="197">
        <f t="shared" si="3"/>
        <v>95.071770334928232</v>
      </c>
    </row>
    <row r="13" spans="1:32">
      <c r="A13" s="197">
        <v>2010</v>
      </c>
      <c r="B13" s="197">
        <v>9</v>
      </c>
      <c r="C13" s="197">
        <v>12</v>
      </c>
      <c r="D13" s="197">
        <v>4.4000000000000004</v>
      </c>
      <c r="E13" s="197">
        <f t="shared" si="4"/>
        <v>21.9</v>
      </c>
      <c r="I13" s="197">
        <v>1493</v>
      </c>
      <c r="J13" s="197">
        <v>0</v>
      </c>
      <c r="K13" s="197">
        <v>21.1</v>
      </c>
      <c r="L13" s="197">
        <v>15.7</v>
      </c>
      <c r="M13" s="197">
        <v>26.3</v>
      </c>
      <c r="N13" s="233">
        <v>40433</v>
      </c>
      <c r="O13" s="197">
        <f t="shared" si="7"/>
        <v>98.1</v>
      </c>
      <c r="S13" s="197">
        <f t="shared" si="5"/>
        <v>9117</v>
      </c>
      <c r="W13" s="197">
        <f t="shared" si="0"/>
        <v>2</v>
      </c>
      <c r="AB13" s="197">
        <f t="shared" si="1"/>
        <v>0</v>
      </c>
      <c r="AC13" s="197">
        <f t="shared" si="2"/>
        <v>0</v>
      </c>
      <c r="AD13" s="197">
        <f t="shared" si="6"/>
        <v>21.9</v>
      </c>
      <c r="AE13" s="197">
        <f t="shared" si="3"/>
        <v>70.758293838862556</v>
      </c>
    </row>
    <row r="14" spans="1:32">
      <c r="A14" s="197">
        <v>2010</v>
      </c>
      <c r="B14" s="197">
        <v>9</v>
      </c>
      <c r="C14" s="197">
        <v>13</v>
      </c>
      <c r="D14" s="197">
        <v>4.5</v>
      </c>
      <c r="E14" s="197">
        <f t="shared" si="4"/>
        <v>26.4</v>
      </c>
      <c r="I14" s="197">
        <v>2071</v>
      </c>
      <c r="J14" s="197">
        <v>0</v>
      </c>
      <c r="K14" s="197">
        <v>19.100000000000001</v>
      </c>
      <c r="L14" s="197">
        <v>14.7</v>
      </c>
      <c r="M14" s="197">
        <v>24.7</v>
      </c>
      <c r="N14" s="233">
        <v>40434</v>
      </c>
      <c r="O14" s="197">
        <f t="shared" si="7"/>
        <v>117.19999999999999</v>
      </c>
      <c r="S14" s="197">
        <f t="shared" si="5"/>
        <v>11188</v>
      </c>
      <c r="W14" s="197">
        <f t="shared" si="0"/>
        <v>2</v>
      </c>
      <c r="AB14" s="197">
        <f t="shared" si="1"/>
        <v>0</v>
      </c>
      <c r="AC14" s="197">
        <f t="shared" si="2"/>
        <v>0</v>
      </c>
      <c r="AD14" s="197">
        <f t="shared" si="6"/>
        <v>26.4</v>
      </c>
      <c r="AE14" s="197">
        <f t="shared" si="3"/>
        <v>108.42931937172774</v>
      </c>
    </row>
    <row r="15" spans="1:32">
      <c r="A15" s="197">
        <v>2010</v>
      </c>
      <c r="B15" s="197">
        <v>9</v>
      </c>
      <c r="C15" s="197">
        <v>14</v>
      </c>
      <c r="D15" s="197">
        <v>3.6</v>
      </c>
      <c r="E15" s="197">
        <f t="shared" si="4"/>
        <v>30</v>
      </c>
      <c r="I15" s="197">
        <v>2066</v>
      </c>
      <c r="J15" s="197">
        <v>0</v>
      </c>
      <c r="K15" s="197">
        <v>18.899999999999999</v>
      </c>
      <c r="L15" s="197">
        <v>10.1</v>
      </c>
      <c r="M15" s="197">
        <v>26.6</v>
      </c>
      <c r="N15" s="233">
        <v>40435</v>
      </c>
      <c r="O15" s="197">
        <f t="shared" si="7"/>
        <v>136.1</v>
      </c>
      <c r="S15" s="197">
        <f t="shared" si="5"/>
        <v>13254</v>
      </c>
      <c r="W15" s="197">
        <f t="shared" si="0"/>
        <v>2</v>
      </c>
      <c r="AB15" s="197">
        <f t="shared" si="1"/>
        <v>0</v>
      </c>
      <c r="AC15" s="197">
        <f t="shared" si="2"/>
        <v>0</v>
      </c>
      <c r="AD15" s="197">
        <f t="shared" si="6"/>
        <v>30</v>
      </c>
      <c r="AE15" s="197">
        <f t="shared" si="3"/>
        <v>109.31216931216932</v>
      </c>
    </row>
    <row r="16" spans="1:32">
      <c r="A16" s="197">
        <v>2010</v>
      </c>
      <c r="B16" s="197">
        <v>9</v>
      </c>
      <c r="C16" s="197">
        <v>15</v>
      </c>
      <c r="D16" s="197">
        <v>3.5</v>
      </c>
      <c r="E16" s="197">
        <f t="shared" si="4"/>
        <v>33.5</v>
      </c>
      <c r="I16" s="197">
        <v>1958</v>
      </c>
      <c r="J16" s="197">
        <v>0</v>
      </c>
      <c r="K16" s="197">
        <v>20.7</v>
      </c>
      <c r="L16" s="197">
        <v>12.1</v>
      </c>
      <c r="M16" s="197">
        <v>28.8</v>
      </c>
      <c r="N16" s="233">
        <v>40436</v>
      </c>
      <c r="O16" s="197">
        <f t="shared" si="7"/>
        <v>156.79999999999998</v>
      </c>
      <c r="S16" s="197">
        <f t="shared" si="5"/>
        <v>15212</v>
      </c>
      <c r="W16" s="197">
        <f t="shared" si="0"/>
        <v>2</v>
      </c>
      <c r="AB16" s="197">
        <f t="shared" si="1"/>
        <v>0</v>
      </c>
      <c r="AC16" s="197">
        <f t="shared" si="2"/>
        <v>0</v>
      </c>
      <c r="AD16" s="197">
        <f t="shared" si="6"/>
        <v>33.5</v>
      </c>
      <c r="AE16" s="197">
        <f t="shared" si="3"/>
        <v>94.589371980676333</v>
      </c>
    </row>
    <row r="17" spans="1:31">
      <c r="A17" s="197">
        <v>2010</v>
      </c>
      <c r="B17" s="197">
        <v>9</v>
      </c>
      <c r="C17" s="197">
        <v>16</v>
      </c>
      <c r="D17" s="197">
        <v>1</v>
      </c>
      <c r="E17" s="197">
        <f t="shared" si="4"/>
        <v>34.5</v>
      </c>
      <c r="I17" s="197">
        <v>404</v>
      </c>
      <c r="J17" s="197">
        <v>3.6</v>
      </c>
      <c r="K17" s="197">
        <v>16.100000000000001</v>
      </c>
      <c r="L17" s="197">
        <v>14.8</v>
      </c>
      <c r="M17" s="197">
        <v>17.600000000000001</v>
      </c>
      <c r="N17" s="233">
        <v>40437</v>
      </c>
      <c r="O17" s="197">
        <f t="shared" si="7"/>
        <v>172.89999999999998</v>
      </c>
      <c r="S17" s="197">
        <f t="shared" si="5"/>
        <v>15616</v>
      </c>
      <c r="W17" s="197">
        <f t="shared" si="0"/>
        <v>5.6</v>
      </c>
      <c r="AB17" s="197">
        <f t="shared" si="1"/>
        <v>0</v>
      </c>
      <c r="AC17" s="197">
        <f t="shared" si="2"/>
        <v>0</v>
      </c>
      <c r="AD17" s="197">
        <f t="shared" si="6"/>
        <v>34.5</v>
      </c>
      <c r="AE17" s="197">
        <f t="shared" si="3"/>
        <v>25.093167701863351</v>
      </c>
    </row>
    <row r="18" spans="1:31">
      <c r="A18" s="197">
        <v>2010</v>
      </c>
      <c r="B18" s="197">
        <v>9</v>
      </c>
      <c r="C18" s="197">
        <v>17</v>
      </c>
      <c r="D18" s="197">
        <v>2.7</v>
      </c>
      <c r="E18" s="197">
        <f t="shared" si="4"/>
        <v>37.200000000000003</v>
      </c>
      <c r="I18" s="197">
        <v>1015</v>
      </c>
      <c r="J18" s="197">
        <v>3.8</v>
      </c>
      <c r="K18" s="197">
        <v>17.399999999999999</v>
      </c>
      <c r="L18" s="197">
        <v>15</v>
      </c>
      <c r="M18" s="197">
        <v>20.8</v>
      </c>
      <c r="N18" s="233">
        <v>40438</v>
      </c>
      <c r="O18" s="197">
        <f t="shared" si="7"/>
        <v>190.29999999999998</v>
      </c>
      <c r="S18" s="197">
        <f t="shared" si="5"/>
        <v>16631</v>
      </c>
      <c r="W18" s="197">
        <f t="shared" si="0"/>
        <v>9.3999999999999986</v>
      </c>
      <c r="AB18" s="197">
        <f t="shared" si="1"/>
        <v>0</v>
      </c>
      <c r="AC18" s="197">
        <f t="shared" si="2"/>
        <v>0</v>
      </c>
      <c r="AD18" s="197">
        <f t="shared" si="6"/>
        <v>37.200000000000003</v>
      </c>
      <c r="AE18" s="197">
        <f t="shared" si="3"/>
        <v>58.333333333333336</v>
      </c>
    </row>
    <row r="19" spans="1:31">
      <c r="A19" s="197">
        <v>2010</v>
      </c>
      <c r="B19" s="197">
        <v>9</v>
      </c>
      <c r="C19" s="197">
        <v>18</v>
      </c>
      <c r="D19" s="197">
        <v>3.4</v>
      </c>
      <c r="E19" s="197">
        <f t="shared" si="4"/>
        <v>40.6</v>
      </c>
      <c r="I19" s="197">
        <v>1025</v>
      </c>
      <c r="J19" s="197">
        <v>0.4</v>
      </c>
      <c r="K19" s="197">
        <v>16.3</v>
      </c>
      <c r="L19" s="197">
        <v>13.4</v>
      </c>
      <c r="M19" s="197">
        <v>21.5</v>
      </c>
      <c r="N19" s="233">
        <v>40439</v>
      </c>
      <c r="O19" s="197">
        <f t="shared" si="7"/>
        <v>206.6</v>
      </c>
      <c r="S19" s="197">
        <f t="shared" si="5"/>
        <v>17656</v>
      </c>
      <c r="W19" s="197">
        <f t="shared" si="0"/>
        <v>9.7999999999999989</v>
      </c>
      <c r="AB19" s="197">
        <f t="shared" si="1"/>
        <v>0</v>
      </c>
      <c r="AC19" s="197">
        <f t="shared" si="2"/>
        <v>0</v>
      </c>
      <c r="AD19" s="197">
        <f t="shared" si="6"/>
        <v>40.6</v>
      </c>
      <c r="AE19" s="197">
        <f t="shared" si="3"/>
        <v>62.883435582822081</v>
      </c>
    </row>
    <row r="20" spans="1:31">
      <c r="A20" s="197">
        <v>2010</v>
      </c>
      <c r="B20" s="197">
        <v>9</v>
      </c>
      <c r="C20" s="197">
        <v>19</v>
      </c>
      <c r="D20" s="197">
        <v>3.1</v>
      </c>
      <c r="E20" s="197">
        <f t="shared" si="4"/>
        <v>43.7</v>
      </c>
      <c r="I20" s="197">
        <v>2043</v>
      </c>
      <c r="J20" s="197">
        <v>0</v>
      </c>
      <c r="K20" s="197">
        <v>15.4</v>
      </c>
      <c r="L20" s="197">
        <v>8.6</v>
      </c>
      <c r="M20" s="197">
        <v>25.3</v>
      </c>
      <c r="N20" s="233">
        <v>40440</v>
      </c>
      <c r="O20" s="197">
        <f t="shared" si="7"/>
        <v>222</v>
      </c>
      <c r="S20" s="197">
        <f t="shared" si="5"/>
        <v>19699</v>
      </c>
      <c r="W20" s="197">
        <f t="shared" si="0"/>
        <v>9.7999999999999989</v>
      </c>
      <c r="AB20" s="197">
        <f t="shared" si="1"/>
        <v>0</v>
      </c>
      <c r="AC20" s="197">
        <f t="shared" si="2"/>
        <v>0</v>
      </c>
      <c r="AD20" s="197">
        <f t="shared" si="6"/>
        <v>43.7</v>
      </c>
      <c r="AE20" s="197">
        <f t="shared" si="3"/>
        <v>132.66233766233765</v>
      </c>
    </row>
    <row r="21" spans="1:31">
      <c r="A21" s="197">
        <v>2010</v>
      </c>
      <c r="B21" s="197">
        <v>9</v>
      </c>
      <c r="C21" s="197">
        <v>20</v>
      </c>
      <c r="D21" s="197">
        <v>3.7</v>
      </c>
      <c r="E21" s="197">
        <f t="shared" si="4"/>
        <v>47.400000000000006</v>
      </c>
      <c r="I21" s="197">
        <v>1917</v>
      </c>
      <c r="J21" s="197">
        <v>0</v>
      </c>
      <c r="K21" s="197">
        <v>18</v>
      </c>
      <c r="L21" s="197">
        <v>7.9</v>
      </c>
      <c r="M21" s="197">
        <v>27.8</v>
      </c>
      <c r="N21" s="233">
        <v>40441</v>
      </c>
      <c r="O21" s="197">
        <f t="shared" si="7"/>
        <v>240</v>
      </c>
      <c r="S21" s="197">
        <f t="shared" si="5"/>
        <v>21616</v>
      </c>
      <c r="W21" s="197">
        <f t="shared" si="0"/>
        <v>9.7999999999999989</v>
      </c>
      <c r="AB21" s="197">
        <f t="shared" si="1"/>
        <v>0</v>
      </c>
      <c r="AC21" s="197">
        <f t="shared" si="2"/>
        <v>0</v>
      </c>
      <c r="AD21" s="197">
        <f t="shared" si="6"/>
        <v>47.400000000000006</v>
      </c>
      <c r="AE21" s="197">
        <f t="shared" si="3"/>
        <v>106.5</v>
      </c>
    </row>
    <row r="22" spans="1:31">
      <c r="A22" s="197">
        <v>2010</v>
      </c>
      <c r="B22" s="197">
        <v>9</v>
      </c>
      <c r="C22" s="197">
        <v>21</v>
      </c>
      <c r="D22" s="197">
        <v>3.1</v>
      </c>
      <c r="E22" s="197">
        <f t="shared" si="4"/>
        <v>50.500000000000007</v>
      </c>
      <c r="I22" s="197">
        <v>910</v>
      </c>
      <c r="J22" s="197">
        <v>0</v>
      </c>
      <c r="K22" s="197">
        <v>19.399999999999999</v>
      </c>
      <c r="L22" s="197">
        <v>17.7</v>
      </c>
      <c r="M22" s="197">
        <v>23.1</v>
      </c>
      <c r="N22" s="233">
        <v>40442</v>
      </c>
      <c r="O22" s="197">
        <f t="shared" si="7"/>
        <v>259.39999999999998</v>
      </c>
      <c r="S22" s="197">
        <f t="shared" si="5"/>
        <v>22526</v>
      </c>
      <c r="W22" s="197">
        <f t="shared" si="0"/>
        <v>9.7999999999999989</v>
      </c>
      <c r="AB22" s="197">
        <f t="shared" si="1"/>
        <v>0</v>
      </c>
      <c r="AC22" s="197">
        <f t="shared" si="2"/>
        <v>0</v>
      </c>
      <c r="AD22" s="197">
        <f t="shared" si="6"/>
        <v>50.500000000000007</v>
      </c>
      <c r="AE22" s="197">
        <f t="shared" si="3"/>
        <v>46.907216494845365</v>
      </c>
    </row>
    <row r="23" spans="1:31">
      <c r="A23" s="197">
        <v>2010</v>
      </c>
      <c r="B23" s="197">
        <v>9</v>
      </c>
      <c r="C23" s="197">
        <v>22</v>
      </c>
      <c r="D23" s="197">
        <v>3.9</v>
      </c>
      <c r="E23" s="197">
        <f t="shared" si="4"/>
        <v>54.400000000000006</v>
      </c>
      <c r="I23" s="197">
        <v>1833</v>
      </c>
      <c r="J23" s="197">
        <v>0</v>
      </c>
      <c r="K23" s="197">
        <v>21.2</v>
      </c>
      <c r="L23" s="197">
        <v>13.7</v>
      </c>
      <c r="M23" s="197">
        <v>29.7</v>
      </c>
      <c r="N23" s="233">
        <v>40443</v>
      </c>
      <c r="O23" s="197">
        <f t="shared" si="7"/>
        <v>280.59999999999997</v>
      </c>
      <c r="S23" s="197">
        <f t="shared" si="5"/>
        <v>24359</v>
      </c>
      <c r="W23" s="197">
        <f t="shared" si="0"/>
        <v>9.7999999999999989</v>
      </c>
      <c r="AB23" s="197">
        <f t="shared" si="1"/>
        <v>0</v>
      </c>
      <c r="AC23" s="197">
        <f t="shared" si="2"/>
        <v>0</v>
      </c>
      <c r="AD23" s="197">
        <f t="shared" si="6"/>
        <v>54.400000000000006</v>
      </c>
      <c r="AE23" s="197">
        <f t="shared" si="3"/>
        <v>86.462264150943398</v>
      </c>
    </row>
    <row r="24" spans="1:31">
      <c r="A24" s="197">
        <v>2010</v>
      </c>
      <c r="B24" s="197">
        <v>9</v>
      </c>
      <c r="C24" s="197">
        <v>23</v>
      </c>
      <c r="D24" s="197">
        <v>2.6</v>
      </c>
      <c r="E24" s="197">
        <f t="shared" si="4"/>
        <v>57.000000000000007</v>
      </c>
      <c r="I24" s="197">
        <v>1033</v>
      </c>
      <c r="J24" s="197">
        <v>10.3</v>
      </c>
      <c r="K24" s="197">
        <v>19.7</v>
      </c>
      <c r="L24" s="197">
        <v>14.6</v>
      </c>
      <c r="M24" s="197">
        <v>24</v>
      </c>
      <c r="N24" s="233">
        <v>40444</v>
      </c>
      <c r="O24" s="197">
        <f t="shared" si="7"/>
        <v>300.29999999999995</v>
      </c>
      <c r="S24" s="197">
        <f t="shared" si="5"/>
        <v>25392</v>
      </c>
      <c r="W24" s="197">
        <f t="shared" si="0"/>
        <v>20.100000000000001</v>
      </c>
      <c r="AB24" s="197">
        <f t="shared" si="1"/>
        <v>0</v>
      </c>
      <c r="AC24" s="197">
        <f t="shared" si="2"/>
        <v>0</v>
      </c>
      <c r="AD24" s="197">
        <f t="shared" si="6"/>
        <v>57.000000000000007</v>
      </c>
      <c r="AE24" s="197">
        <f t="shared" si="3"/>
        <v>52.436548223350258</v>
      </c>
    </row>
    <row r="25" spans="1:31">
      <c r="A25" s="197">
        <v>2010</v>
      </c>
      <c r="B25" s="197">
        <v>9</v>
      </c>
      <c r="C25" s="197">
        <v>24</v>
      </c>
      <c r="D25" s="197">
        <v>2.9</v>
      </c>
      <c r="E25" s="197">
        <f t="shared" si="4"/>
        <v>59.900000000000006</v>
      </c>
      <c r="I25" s="197">
        <v>1006</v>
      </c>
      <c r="J25" s="197">
        <v>6.4</v>
      </c>
      <c r="K25" s="197">
        <v>16.3</v>
      </c>
      <c r="L25" s="197">
        <v>14.4</v>
      </c>
      <c r="M25" s="197">
        <v>21.1</v>
      </c>
      <c r="N25" s="233">
        <v>40445</v>
      </c>
      <c r="O25" s="197">
        <f t="shared" si="7"/>
        <v>316.59999999999997</v>
      </c>
      <c r="S25" s="197">
        <f t="shared" si="5"/>
        <v>26398</v>
      </c>
      <c r="W25" s="197">
        <f t="shared" si="0"/>
        <v>26.5</v>
      </c>
      <c r="AB25" s="197">
        <f t="shared" si="1"/>
        <v>0</v>
      </c>
      <c r="AC25" s="197">
        <f t="shared" si="2"/>
        <v>0</v>
      </c>
      <c r="AD25" s="197">
        <f t="shared" si="6"/>
        <v>59.900000000000006</v>
      </c>
      <c r="AE25" s="197">
        <f t="shared" si="3"/>
        <v>61.717791411042946</v>
      </c>
    </row>
    <row r="26" spans="1:31">
      <c r="A26" s="197">
        <v>2010</v>
      </c>
      <c r="B26" s="197">
        <v>9</v>
      </c>
      <c r="C26" s="197">
        <v>25</v>
      </c>
      <c r="D26" s="197">
        <v>3.6</v>
      </c>
      <c r="E26" s="197">
        <f t="shared" si="4"/>
        <v>63.500000000000007</v>
      </c>
      <c r="I26" s="197">
        <v>1227</v>
      </c>
      <c r="J26" s="197">
        <v>0</v>
      </c>
      <c r="K26" s="197">
        <v>14.9</v>
      </c>
      <c r="L26" s="197">
        <v>13.5</v>
      </c>
      <c r="M26" s="197">
        <v>19.3</v>
      </c>
      <c r="N26" s="233">
        <v>40446</v>
      </c>
      <c r="O26" s="197">
        <f t="shared" si="7"/>
        <v>331.49999999999994</v>
      </c>
      <c r="S26" s="197">
        <f t="shared" si="5"/>
        <v>27625</v>
      </c>
      <c r="W26" s="197">
        <f t="shared" si="0"/>
        <v>26.5</v>
      </c>
      <c r="AB26" s="197">
        <f t="shared" si="1"/>
        <v>0</v>
      </c>
      <c r="AC26" s="197">
        <f t="shared" si="2"/>
        <v>0</v>
      </c>
      <c r="AD26" s="197">
        <f t="shared" si="6"/>
        <v>63.500000000000007</v>
      </c>
      <c r="AE26" s="197">
        <f t="shared" si="3"/>
        <v>82.348993288590606</v>
      </c>
    </row>
    <row r="27" spans="1:31">
      <c r="A27" s="197">
        <v>2010</v>
      </c>
      <c r="B27" s="197">
        <v>9</v>
      </c>
      <c r="C27" s="197">
        <v>26</v>
      </c>
      <c r="D27" s="197">
        <v>3.1</v>
      </c>
      <c r="E27" s="197">
        <f t="shared" si="4"/>
        <v>66.600000000000009</v>
      </c>
      <c r="I27" s="197">
        <v>1438</v>
      </c>
      <c r="J27" s="197">
        <v>0</v>
      </c>
      <c r="K27" s="197">
        <v>12.7</v>
      </c>
      <c r="L27" s="197">
        <v>9</v>
      </c>
      <c r="M27" s="197">
        <v>16.600000000000001</v>
      </c>
      <c r="N27" s="233">
        <v>40447</v>
      </c>
      <c r="O27" s="197">
        <f t="shared" si="7"/>
        <v>344.19999999999993</v>
      </c>
      <c r="S27" s="197">
        <f t="shared" si="5"/>
        <v>29063</v>
      </c>
      <c r="W27" s="197">
        <f t="shared" si="0"/>
        <v>26.5</v>
      </c>
      <c r="AB27" s="197">
        <f t="shared" si="1"/>
        <v>0</v>
      </c>
      <c r="AC27" s="197">
        <f t="shared" si="2"/>
        <v>0</v>
      </c>
      <c r="AD27" s="197">
        <f t="shared" si="6"/>
        <v>66.600000000000009</v>
      </c>
      <c r="AE27" s="197">
        <f t="shared" si="3"/>
        <v>113.22834645669292</v>
      </c>
    </row>
    <row r="28" spans="1:31">
      <c r="A28" s="197">
        <v>2010</v>
      </c>
      <c r="B28" s="197">
        <v>9</v>
      </c>
      <c r="C28" s="197">
        <v>27</v>
      </c>
      <c r="D28" s="197">
        <v>2.5</v>
      </c>
      <c r="E28" s="197">
        <f t="shared" si="4"/>
        <v>69.100000000000009</v>
      </c>
      <c r="I28" s="197">
        <v>1428</v>
      </c>
      <c r="J28" s="197">
        <v>0</v>
      </c>
      <c r="K28" s="197">
        <v>12.5</v>
      </c>
      <c r="L28" s="197">
        <v>6.5</v>
      </c>
      <c r="M28" s="197">
        <v>17.7</v>
      </c>
      <c r="N28" s="233">
        <v>40448</v>
      </c>
      <c r="O28" s="197">
        <f t="shared" si="7"/>
        <v>356.69999999999993</v>
      </c>
      <c r="S28" s="197">
        <f t="shared" si="5"/>
        <v>30491</v>
      </c>
      <c r="W28" s="197">
        <f t="shared" si="0"/>
        <v>26.5</v>
      </c>
      <c r="AB28" s="197">
        <f t="shared" si="1"/>
        <v>0</v>
      </c>
      <c r="AC28" s="197">
        <f t="shared" si="2"/>
        <v>0</v>
      </c>
      <c r="AD28" s="197">
        <f t="shared" si="6"/>
        <v>69.100000000000009</v>
      </c>
      <c r="AE28" s="197">
        <f t="shared" si="3"/>
        <v>114.24</v>
      </c>
    </row>
    <row r="29" spans="1:31">
      <c r="A29" s="197">
        <v>2010</v>
      </c>
      <c r="B29" s="197">
        <v>9</v>
      </c>
      <c r="C29" s="197">
        <v>28</v>
      </c>
      <c r="D29" s="197">
        <v>3</v>
      </c>
      <c r="E29" s="197">
        <f t="shared" si="4"/>
        <v>72.100000000000009</v>
      </c>
      <c r="I29" s="197">
        <v>1693</v>
      </c>
      <c r="J29" s="197">
        <v>0</v>
      </c>
      <c r="K29" s="197">
        <v>13.9</v>
      </c>
      <c r="L29" s="197">
        <v>10.7</v>
      </c>
      <c r="M29" s="197">
        <v>19.100000000000001</v>
      </c>
      <c r="N29" s="233">
        <v>40449</v>
      </c>
      <c r="O29" s="197">
        <f t="shared" si="7"/>
        <v>370.59999999999991</v>
      </c>
      <c r="S29" s="197">
        <f t="shared" si="5"/>
        <v>32184</v>
      </c>
      <c r="W29" s="197">
        <f t="shared" si="0"/>
        <v>26.5</v>
      </c>
      <c r="AB29" s="197">
        <f t="shared" si="1"/>
        <v>0</v>
      </c>
      <c r="AC29" s="197">
        <f t="shared" si="2"/>
        <v>0</v>
      </c>
      <c r="AD29" s="197">
        <f t="shared" si="6"/>
        <v>72.100000000000009</v>
      </c>
      <c r="AE29" s="197">
        <f t="shared" si="3"/>
        <v>121.79856115107913</v>
      </c>
    </row>
    <row r="30" spans="1:31">
      <c r="A30" s="197">
        <v>2010</v>
      </c>
      <c r="B30" s="197">
        <v>9</v>
      </c>
      <c r="C30" s="197">
        <v>29</v>
      </c>
      <c r="D30" s="197">
        <v>2.1</v>
      </c>
      <c r="E30" s="197">
        <f t="shared" si="4"/>
        <v>74.2</v>
      </c>
      <c r="I30" s="197">
        <v>1775</v>
      </c>
      <c r="J30" s="197">
        <v>0</v>
      </c>
      <c r="K30" s="197">
        <v>14.3</v>
      </c>
      <c r="L30" s="197">
        <v>6.8</v>
      </c>
      <c r="M30" s="197">
        <v>21.7</v>
      </c>
      <c r="N30" s="233">
        <v>40450</v>
      </c>
      <c r="O30" s="197">
        <f t="shared" si="7"/>
        <v>384.89999999999992</v>
      </c>
      <c r="S30" s="197">
        <f t="shared" si="5"/>
        <v>33959</v>
      </c>
      <c r="W30" s="197">
        <f t="shared" si="0"/>
        <v>26.5</v>
      </c>
      <c r="AB30" s="197">
        <f t="shared" si="1"/>
        <v>0</v>
      </c>
      <c r="AC30" s="197">
        <f t="shared" si="2"/>
        <v>0</v>
      </c>
      <c r="AD30" s="197">
        <f t="shared" si="6"/>
        <v>74.2</v>
      </c>
      <c r="AE30" s="197">
        <f t="shared" si="3"/>
        <v>124.12587412587412</v>
      </c>
    </row>
    <row r="31" spans="1:31">
      <c r="A31" s="197">
        <v>2010</v>
      </c>
      <c r="B31" s="197">
        <v>9</v>
      </c>
      <c r="C31" s="197">
        <v>30</v>
      </c>
      <c r="D31" s="197">
        <v>1.5</v>
      </c>
      <c r="E31" s="197">
        <f t="shared" si="4"/>
        <v>75.7</v>
      </c>
      <c r="I31" s="197">
        <v>657</v>
      </c>
      <c r="J31" s="197">
        <v>0</v>
      </c>
      <c r="K31" s="197">
        <v>14.2</v>
      </c>
      <c r="L31" s="197">
        <v>10</v>
      </c>
      <c r="M31" s="197">
        <v>17.7</v>
      </c>
      <c r="N31" s="233">
        <v>40451</v>
      </c>
      <c r="O31" s="197">
        <f t="shared" si="7"/>
        <v>399.09999999999991</v>
      </c>
      <c r="S31" s="197">
        <f t="shared" si="5"/>
        <v>34616</v>
      </c>
      <c r="W31" s="197">
        <f t="shared" si="0"/>
        <v>26.5</v>
      </c>
      <c r="AB31" s="197">
        <f t="shared" si="1"/>
        <v>0</v>
      </c>
      <c r="AC31" s="197">
        <f t="shared" si="2"/>
        <v>0</v>
      </c>
      <c r="AD31" s="197">
        <f t="shared" si="6"/>
        <v>75.7</v>
      </c>
      <c r="AE31" s="197">
        <f t="shared" si="3"/>
        <v>46.267605633802816</v>
      </c>
    </row>
    <row r="32" spans="1:31">
      <c r="A32" s="197">
        <v>2010</v>
      </c>
      <c r="B32" s="197">
        <v>10</v>
      </c>
      <c r="C32" s="197">
        <v>1</v>
      </c>
      <c r="D32" s="197">
        <v>2.2000000000000002</v>
      </c>
      <c r="E32" s="197">
        <f t="shared" si="4"/>
        <v>77.900000000000006</v>
      </c>
      <c r="I32" s="197">
        <v>1320</v>
      </c>
      <c r="J32" s="197">
        <v>0.2</v>
      </c>
      <c r="K32" s="197">
        <v>16.100000000000001</v>
      </c>
      <c r="L32" s="197">
        <v>9.4</v>
      </c>
      <c r="M32" s="197">
        <v>23.3</v>
      </c>
      <c r="N32" s="233">
        <v>40452</v>
      </c>
      <c r="O32" s="197">
        <f t="shared" si="7"/>
        <v>415.19999999999993</v>
      </c>
      <c r="S32" s="197">
        <f t="shared" si="5"/>
        <v>35936</v>
      </c>
      <c r="W32" s="197">
        <f t="shared" si="0"/>
        <v>26.7</v>
      </c>
      <c r="AB32" s="197">
        <f t="shared" si="1"/>
        <v>0</v>
      </c>
      <c r="AC32" s="197">
        <f t="shared" si="2"/>
        <v>0</v>
      </c>
      <c r="AD32" s="197">
        <f t="shared" si="6"/>
        <v>77.900000000000006</v>
      </c>
      <c r="AE32" s="197">
        <f t="shared" si="3"/>
        <v>81.987577639751549</v>
      </c>
    </row>
    <row r="33" spans="1:31">
      <c r="A33" s="197">
        <v>2010</v>
      </c>
      <c r="B33" s="197">
        <v>10</v>
      </c>
      <c r="C33" s="197">
        <v>2</v>
      </c>
      <c r="D33" s="197">
        <v>3.8</v>
      </c>
      <c r="E33" s="197">
        <f t="shared" si="4"/>
        <v>81.7</v>
      </c>
      <c r="I33" s="197">
        <v>1323</v>
      </c>
      <c r="J33" s="197">
        <v>0</v>
      </c>
      <c r="K33" s="197">
        <v>18.3</v>
      </c>
      <c r="L33" s="197">
        <v>14.7</v>
      </c>
      <c r="M33" s="197">
        <v>22.6</v>
      </c>
      <c r="N33" s="233">
        <v>40453</v>
      </c>
      <c r="O33" s="197">
        <f t="shared" si="7"/>
        <v>433.49999999999994</v>
      </c>
      <c r="S33" s="197">
        <f t="shared" si="5"/>
        <v>37259</v>
      </c>
      <c r="W33" s="197">
        <f t="shared" si="0"/>
        <v>26.7</v>
      </c>
      <c r="AB33" s="197">
        <f t="shared" si="1"/>
        <v>0</v>
      </c>
      <c r="AC33" s="197">
        <f t="shared" si="2"/>
        <v>0</v>
      </c>
      <c r="AD33" s="197">
        <f t="shared" si="6"/>
        <v>81.7</v>
      </c>
      <c r="AE33" s="197">
        <f t="shared" si="3"/>
        <v>72.295081967213108</v>
      </c>
    </row>
    <row r="34" spans="1:31">
      <c r="A34" s="197">
        <v>2010</v>
      </c>
      <c r="B34" s="197">
        <v>10</v>
      </c>
      <c r="C34" s="197">
        <v>3</v>
      </c>
      <c r="D34" s="197">
        <v>4.8</v>
      </c>
      <c r="E34" s="197">
        <f t="shared" si="4"/>
        <v>86.5</v>
      </c>
      <c r="I34" s="197">
        <v>1466</v>
      </c>
      <c r="J34" s="197">
        <v>0</v>
      </c>
      <c r="K34" s="197">
        <v>21.5</v>
      </c>
      <c r="L34" s="197">
        <v>17.899999999999999</v>
      </c>
      <c r="M34" s="197">
        <v>26.7</v>
      </c>
      <c r="N34" s="233">
        <v>40454</v>
      </c>
      <c r="O34" s="197">
        <f t="shared" si="7"/>
        <v>454.99999999999994</v>
      </c>
      <c r="S34" s="197">
        <f t="shared" si="5"/>
        <v>38725</v>
      </c>
      <c r="W34" s="197">
        <f t="shared" si="0"/>
        <v>26.7</v>
      </c>
      <c r="AB34" s="197">
        <f t="shared" si="1"/>
        <v>0</v>
      </c>
      <c r="AC34" s="197">
        <f t="shared" si="2"/>
        <v>0</v>
      </c>
      <c r="AD34" s="197">
        <f t="shared" si="6"/>
        <v>86.5</v>
      </c>
      <c r="AE34" s="197">
        <f t="shared" si="3"/>
        <v>68.186046511627907</v>
      </c>
    </row>
    <row r="35" spans="1:31">
      <c r="A35" s="197">
        <v>2010</v>
      </c>
      <c r="B35" s="197">
        <v>10</v>
      </c>
      <c r="C35" s="197">
        <v>4</v>
      </c>
      <c r="D35" s="197">
        <v>2.2999999999999998</v>
      </c>
      <c r="E35" s="197">
        <f t="shared" si="4"/>
        <v>88.8</v>
      </c>
      <c r="I35" s="197">
        <v>470</v>
      </c>
      <c r="J35" s="197">
        <v>2.6</v>
      </c>
      <c r="K35" s="197">
        <v>16.7</v>
      </c>
      <c r="L35" s="197">
        <v>13.9</v>
      </c>
      <c r="M35" s="197">
        <v>21</v>
      </c>
      <c r="N35" s="233">
        <v>40455</v>
      </c>
      <c r="O35" s="197">
        <f t="shared" si="7"/>
        <v>471.69999999999993</v>
      </c>
      <c r="S35" s="197">
        <f t="shared" si="5"/>
        <v>39195</v>
      </c>
      <c r="W35" s="197">
        <f t="shared" si="0"/>
        <v>29.3</v>
      </c>
      <c r="AB35" s="197">
        <f t="shared" si="1"/>
        <v>0</v>
      </c>
      <c r="AC35" s="197">
        <f t="shared" si="2"/>
        <v>0</v>
      </c>
      <c r="AD35" s="197">
        <f t="shared" si="6"/>
        <v>88.8</v>
      </c>
      <c r="AE35" s="197">
        <f t="shared" si="3"/>
        <v>28.143712574850301</v>
      </c>
    </row>
    <row r="36" spans="1:31">
      <c r="A36" s="197">
        <v>2010</v>
      </c>
      <c r="B36" s="197">
        <v>10</v>
      </c>
      <c r="C36" s="197">
        <v>5</v>
      </c>
      <c r="D36" s="197">
        <v>2.5</v>
      </c>
      <c r="E36" s="197">
        <f t="shared" si="4"/>
        <v>91.3</v>
      </c>
      <c r="I36" s="197">
        <v>1651</v>
      </c>
      <c r="J36" s="197">
        <v>0</v>
      </c>
      <c r="K36" s="197">
        <v>17.3</v>
      </c>
      <c r="L36" s="197">
        <v>10.9</v>
      </c>
      <c r="M36" s="197">
        <v>22.9</v>
      </c>
      <c r="N36" s="233">
        <v>40456</v>
      </c>
      <c r="O36" s="197">
        <f t="shared" si="7"/>
        <v>488.99999999999994</v>
      </c>
      <c r="S36" s="197">
        <f t="shared" si="5"/>
        <v>40846</v>
      </c>
      <c r="W36" s="197">
        <f t="shared" si="0"/>
        <v>29.3</v>
      </c>
      <c r="AB36" s="197">
        <f t="shared" si="1"/>
        <v>0</v>
      </c>
      <c r="AC36" s="197">
        <f t="shared" si="2"/>
        <v>0</v>
      </c>
      <c r="AD36" s="197">
        <f t="shared" si="6"/>
        <v>91.3</v>
      </c>
      <c r="AE36" s="197">
        <f t="shared" si="3"/>
        <v>95.433526011560687</v>
      </c>
    </row>
    <row r="37" spans="1:31">
      <c r="A37" s="197">
        <v>2010</v>
      </c>
      <c r="B37" s="197">
        <v>10</v>
      </c>
      <c r="C37" s="197">
        <v>6</v>
      </c>
      <c r="D37" s="197">
        <v>3.3</v>
      </c>
      <c r="E37" s="197">
        <f t="shared" si="4"/>
        <v>94.6</v>
      </c>
      <c r="I37" s="197">
        <v>1608</v>
      </c>
      <c r="J37" s="197">
        <v>0</v>
      </c>
      <c r="K37" s="197">
        <v>19.2</v>
      </c>
      <c r="L37" s="197">
        <v>15.4</v>
      </c>
      <c r="M37" s="197">
        <v>24.9</v>
      </c>
      <c r="N37" s="233">
        <v>40457</v>
      </c>
      <c r="O37" s="197">
        <f t="shared" si="7"/>
        <v>508.19999999999993</v>
      </c>
      <c r="S37" s="197">
        <f t="shared" si="5"/>
        <v>42454</v>
      </c>
      <c r="W37" s="197">
        <f t="shared" si="0"/>
        <v>29.3</v>
      </c>
      <c r="AB37" s="197">
        <f t="shared" si="1"/>
        <v>0</v>
      </c>
      <c r="AC37" s="197">
        <f t="shared" si="2"/>
        <v>0</v>
      </c>
      <c r="AD37" s="197">
        <f t="shared" si="6"/>
        <v>94.6</v>
      </c>
      <c r="AE37" s="197">
        <f t="shared" si="3"/>
        <v>83.75</v>
      </c>
    </row>
    <row r="38" spans="1:31">
      <c r="A38" s="197">
        <v>2010</v>
      </c>
      <c r="B38" s="197">
        <v>10</v>
      </c>
      <c r="C38" s="197">
        <v>7</v>
      </c>
      <c r="D38" s="197">
        <v>3.6</v>
      </c>
      <c r="E38" s="197">
        <f t="shared" si="4"/>
        <v>98.199999999999989</v>
      </c>
      <c r="I38" s="197">
        <v>1571</v>
      </c>
      <c r="J38" s="197">
        <v>0</v>
      </c>
      <c r="K38" s="197">
        <v>20</v>
      </c>
      <c r="L38" s="197">
        <v>15</v>
      </c>
      <c r="M38" s="197">
        <v>25</v>
      </c>
      <c r="N38" s="233">
        <v>40458</v>
      </c>
      <c r="O38" s="197">
        <f t="shared" si="7"/>
        <v>528.19999999999993</v>
      </c>
      <c r="S38" s="197">
        <f t="shared" si="5"/>
        <v>44025</v>
      </c>
      <c r="W38" s="197">
        <f t="shared" si="0"/>
        <v>29.3</v>
      </c>
      <c r="AB38" s="197">
        <f t="shared" si="1"/>
        <v>0</v>
      </c>
      <c r="AC38" s="197">
        <f t="shared" si="2"/>
        <v>0</v>
      </c>
      <c r="AD38" s="197">
        <f t="shared" si="6"/>
        <v>98.199999999999989</v>
      </c>
      <c r="AE38" s="197">
        <f t="shared" si="3"/>
        <v>78.55</v>
      </c>
    </row>
    <row r="39" spans="1:31">
      <c r="A39" s="197">
        <v>2010</v>
      </c>
      <c r="B39" s="197">
        <v>10</v>
      </c>
      <c r="C39" s="197">
        <v>8</v>
      </c>
      <c r="D39" s="197">
        <v>4.0999999999999996</v>
      </c>
      <c r="E39" s="197">
        <f t="shared" si="4"/>
        <v>102.29999999999998</v>
      </c>
      <c r="I39" s="197">
        <v>1426</v>
      </c>
      <c r="J39" s="197">
        <v>0</v>
      </c>
      <c r="K39" s="197">
        <v>20.399999999999999</v>
      </c>
      <c r="L39" s="197">
        <v>17.7</v>
      </c>
      <c r="M39" s="197">
        <v>25.1</v>
      </c>
      <c r="N39" s="233">
        <v>40459</v>
      </c>
      <c r="O39" s="197">
        <f t="shared" si="7"/>
        <v>548.59999999999991</v>
      </c>
      <c r="S39" s="197">
        <f t="shared" si="5"/>
        <v>45451</v>
      </c>
      <c r="W39" s="197">
        <f t="shared" si="0"/>
        <v>29.3</v>
      </c>
      <c r="AB39" s="197">
        <f t="shared" si="1"/>
        <v>0</v>
      </c>
      <c r="AC39" s="197">
        <f t="shared" si="2"/>
        <v>0</v>
      </c>
      <c r="AD39" s="197">
        <f t="shared" si="6"/>
        <v>102.29999999999998</v>
      </c>
      <c r="AE39" s="197">
        <f t="shared" si="3"/>
        <v>69.901960784313729</v>
      </c>
    </row>
    <row r="40" spans="1:31">
      <c r="A40" s="197">
        <v>2010</v>
      </c>
      <c r="B40" s="197">
        <v>10</v>
      </c>
      <c r="C40" s="197">
        <v>9</v>
      </c>
      <c r="D40" s="197">
        <v>3.7</v>
      </c>
      <c r="E40" s="197">
        <f t="shared" si="4"/>
        <v>105.99999999999999</v>
      </c>
      <c r="I40" s="197">
        <v>1224</v>
      </c>
      <c r="J40" s="197">
        <v>6.7</v>
      </c>
      <c r="K40" s="197">
        <v>19.3</v>
      </c>
      <c r="L40" s="197">
        <v>17.5</v>
      </c>
      <c r="M40" s="197">
        <v>23.8</v>
      </c>
      <c r="N40" s="233">
        <v>40460</v>
      </c>
      <c r="O40" s="197">
        <f t="shared" si="7"/>
        <v>567.89999999999986</v>
      </c>
      <c r="S40" s="197">
        <f t="shared" si="5"/>
        <v>46675</v>
      </c>
      <c r="W40" s="197">
        <f t="shared" si="0"/>
        <v>36</v>
      </c>
      <c r="AB40" s="197">
        <f t="shared" si="1"/>
        <v>0</v>
      </c>
      <c r="AC40" s="197">
        <f t="shared" si="2"/>
        <v>0</v>
      </c>
      <c r="AD40" s="197">
        <f t="shared" si="6"/>
        <v>105.99999999999999</v>
      </c>
      <c r="AE40" s="197">
        <f t="shared" si="3"/>
        <v>63.419689119170982</v>
      </c>
    </row>
    <row r="41" spans="1:31">
      <c r="A41" s="197">
        <v>2010</v>
      </c>
      <c r="B41" s="197">
        <v>10</v>
      </c>
      <c r="C41" s="197">
        <v>10</v>
      </c>
      <c r="D41" s="197">
        <v>0.3</v>
      </c>
      <c r="E41" s="197">
        <f t="shared" si="4"/>
        <v>106.29999999999998</v>
      </c>
      <c r="I41" s="197">
        <v>102</v>
      </c>
      <c r="J41" s="197">
        <v>57.3</v>
      </c>
      <c r="K41" s="197">
        <v>15.5</v>
      </c>
      <c r="L41" s="197">
        <v>14.5</v>
      </c>
      <c r="M41" s="197">
        <v>16.399999999999999</v>
      </c>
      <c r="N41" s="233">
        <v>40461</v>
      </c>
      <c r="O41" s="197">
        <f t="shared" si="7"/>
        <v>583.39999999999986</v>
      </c>
      <c r="S41" s="197">
        <f t="shared" si="5"/>
        <v>46777</v>
      </c>
      <c r="W41" s="197">
        <f t="shared" si="0"/>
        <v>93.3</v>
      </c>
      <c r="AB41" s="197">
        <f t="shared" si="1"/>
        <v>0</v>
      </c>
      <c r="AC41" s="197">
        <f t="shared" si="2"/>
        <v>0</v>
      </c>
      <c r="AD41" s="197">
        <f t="shared" si="6"/>
        <v>106.29999999999998</v>
      </c>
      <c r="AE41" s="197">
        <f t="shared" si="3"/>
        <v>6.580645161290323</v>
      </c>
    </row>
    <row r="42" spans="1:31">
      <c r="A42" s="197">
        <v>2010</v>
      </c>
      <c r="B42" s="197">
        <v>10</v>
      </c>
      <c r="C42" s="197">
        <v>11</v>
      </c>
      <c r="D42" s="197">
        <v>1.6</v>
      </c>
      <c r="E42" s="197">
        <f t="shared" si="4"/>
        <v>107.89999999999998</v>
      </c>
      <c r="I42" s="197">
        <v>504</v>
      </c>
      <c r="J42" s="197">
        <v>1</v>
      </c>
      <c r="K42" s="197">
        <v>15.3</v>
      </c>
      <c r="L42" s="197">
        <v>13.9</v>
      </c>
      <c r="M42" s="197">
        <v>17.899999999999999</v>
      </c>
      <c r="N42" s="233">
        <v>40462</v>
      </c>
      <c r="O42" s="197">
        <f t="shared" si="7"/>
        <v>598.69999999999982</v>
      </c>
      <c r="S42" s="197">
        <f t="shared" si="5"/>
        <v>47281</v>
      </c>
      <c r="W42" s="197">
        <f t="shared" si="0"/>
        <v>94.3</v>
      </c>
      <c r="AB42" s="197">
        <f t="shared" si="1"/>
        <v>0</v>
      </c>
      <c r="AC42" s="197">
        <f t="shared" si="2"/>
        <v>0</v>
      </c>
      <c r="AD42" s="197">
        <f t="shared" si="6"/>
        <v>107.89999999999998</v>
      </c>
      <c r="AE42" s="197">
        <f t="shared" si="3"/>
        <v>32.941176470588232</v>
      </c>
    </row>
    <row r="43" spans="1:31">
      <c r="A43" s="197">
        <v>2010</v>
      </c>
      <c r="B43" s="197">
        <v>10</v>
      </c>
      <c r="C43" s="197">
        <v>12</v>
      </c>
      <c r="D43" s="197">
        <v>1.9</v>
      </c>
      <c r="E43" s="197">
        <f t="shared" si="4"/>
        <v>109.79999999999998</v>
      </c>
      <c r="I43" s="197">
        <v>918</v>
      </c>
      <c r="J43" s="197">
        <v>0</v>
      </c>
      <c r="K43" s="197">
        <v>16.3</v>
      </c>
      <c r="L43" s="197">
        <v>13.2</v>
      </c>
      <c r="M43" s="197">
        <v>21.3</v>
      </c>
      <c r="N43" s="233">
        <v>40463</v>
      </c>
      <c r="O43" s="197">
        <f t="shared" si="7"/>
        <v>614.99999999999977</v>
      </c>
      <c r="S43" s="197">
        <f t="shared" si="5"/>
        <v>48199</v>
      </c>
      <c r="W43" s="197">
        <f t="shared" si="0"/>
        <v>94.3</v>
      </c>
      <c r="AB43" s="197">
        <f t="shared" si="1"/>
        <v>0</v>
      </c>
      <c r="AC43" s="197">
        <f t="shared" si="2"/>
        <v>0</v>
      </c>
      <c r="AD43" s="197">
        <f t="shared" si="6"/>
        <v>109.79999999999998</v>
      </c>
      <c r="AE43" s="197">
        <f t="shared" si="3"/>
        <v>56.319018404907972</v>
      </c>
    </row>
    <row r="44" spans="1:31">
      <c r="A44" s="197">
        <v>2010</v>
      </c>
      <c r="B44" s="197">
        <v>10</v>
      </c>
      <c r="C44" s="197">
        <v>13</v>
      </c>
      <c r="D44" s="197">
        <v>2.4</v>
      </c>
      <c r="E44" s="197">
        <f t="shared" si="4"/>
        <v>112.19999999999999</v>
      </c>
      <c r="I44" s="197">
        <v>1420</v>
      </c>
      <c r="J44" s="197">
        <v>0</v>
      </c>
      <c r="K44" s="197">
        <v>16</v>
      </c>
      <c r="L44" s="197">
        <v>12.7</v>
      </c>
      <c r="M44" s="197">
        <v>20.7</v>
      </c>
      <c r="N44" s="233">
        <v>40464</v>
      </c>
      <c r="O44" s="197">
        <f t="shared" si="7"/>
        <v>630.99999999999977</v>
      </c>
      <c r="S44" s="197">
        <f t="shared" si="5"/>
        <v>49619</v>
      </c>
      <c r="W44" s="197">
        <f t="shared" si="0"/>
        <v>94.3</v>
      </c>
      <c r="AB44" s="197">
        <f t="shared" si="1"/>
        <v>0</v>
      </c>
      <c r="AC44" s="197">
        <f t="shared" si="2"/>
        <v>0</v>
      </c>
      <c r="AD44" s="197">
        <f t="shared" si="6"/>
        <v>112.19999999999999</v>
      </c>
      <c r="AE44" s="197">
        <f t="shared" si="3"/>
        <v>88.75</v>
      </c>
    </row>
    <row r="45" spans="1:31">
      <c r="A45" s="197">
        <v>2010</v>
      </c>
      <c r="B45" s="197">
        <v>10</v>
      </c>
      <c r="C45" s="197">
        <v>14</v>
      </c>
      <c r="D45" s="197">
        <v>2.5</v>
      </c>
      <c r="E45" s="197">
        <f t="shared" si="4"/>
        <v>114.69999999999999</v>
      </c>
      <c r="I45" s="197">
        <v>1376</v>
      </c>
      <c r="J45" s="197">
        <v>0.2</v>
      </c>
      <c r="K45" s="197">
        <v>13.5</v>
      </c>
      <c r="L45" s="197">
        <v>11.6</v>
      </c>
      <c r="M45" s="197">
        <v>17.600000000000001</v>
      </c>
      <c r="N45" s="233">
        <v>40465</v>
      </c>
      <c r="O45" s="197">
        <f t="shared" si="7"/>
        <v>644.49999999999977</v>
      </c>
      <c r="S45" s="197">
        <f t="shared" si="5"/>
        <v>50995</v>
      </c>
      <c r="W45" s="197">
        <f t="shared" si="0"/>
        <v>94.5</v>
      </c>
      <c r="AB45" s="197">
        <f t="shared" si="1"/>
        <v>0</v>
      </c>
      <c r="AC45" s="197">
        <f t="shared" si="2"/>
        <v>0</v>
      </c>
      <c r="AD45" s="197">
        <f t="shared" si="6"/>
        <v>114.69999999999999</v>
      </c>
      <c r="AE45" s="197">
        <f t="shared" si="3"/>
        <v>101.92592592592592</v>
      </c>
    </row>
    <row r="46" spans="1:31">
      <c r="A46" s="197">
        <v>2010</v>
      </c>
      <c r="B46" s="197">
        <v>10</v>
      </c>
      <c r="C46" s="197">
        <v>15</v>
      </c>
      <c r="D46" s="197">
        <v>1.7</v>
      </c>
      <c r="E46" s="197">
        <f t="shared" si="4"/>
        <v>116.39999999999999</v>
      </c>
      <c r="I46" s="197">
        <v>1151</v>
      </c>
      <c r="J46" s="197">
        <v>0</v>
      </c>
      <c r="K46" s="197">
        <v>9.5</v>
      </c>
      <c r="L46" s="197">
        <v>7</v>
      </c>
      <c r="M46" s="197">
        <v>14.3</v>
      </c>
      <c r="N46" s="233">
        <v>40466</v>
      </c>
      <c r="O46" s="197">
        <f t="shared" si="7"/>
        <v>653.99999999999977</v>
      </c>
      <c r="S46" s="197">
        <f t="shared" si="5"/>
        <v>52146</v>
      </c>
      <c r="W46" s="197">
        <f t="shared" si="0"/>
        <v>94.5</v>
      </c>
      <c r="AB46" s="197">
        <f t="shared" si="1"/>
        <v>0</v>
      </c>
      <c r="AC46" s="197">
        <f t="shared" si="2"/>
        <v>0</v>
      </c>
      <c r="AD46" s="197">
        <f t="shared" si="6"/>
        <v>116.39999999999999</v>
      </c>
      <c r="AE46" s="197">
        <f t="shared" si="3"/>
        <v>121.15789473684211</v>
      </c>
    </row>
    <row r="47" spans="1:31">
      <c r="A47" s="197">
        <v>2010</v>
      </c>
      <c r="B47" s="197">
        <v>10</v>
      </c>
      <c r="C47" s="197">
        <v>16</v>
      </c>
      <c r="D47" s="197">
        <v>1.1000000000000001</v>
      </c>
      <c r="E47" s="197">
        <f t="shared" si="4"/>
        <v>117.49999999999999</v>
      </c>
      <c r="I47" s="197">
        <v>388</v>
      </c>
      <c r="J47" s="197">
        <v>0.2</v>
      </c>
      <c r="K47" s="197">
        <v>9.6999999999999993</v>
      </c>
      <c r="L47" s="197">
        <v>6.9</v>
      </c>
      <c r="M47" s="197">
        <v>12.9</v>
      </c>
      <c r="N47" s="233">
        <v>40467</v>
      </c>
      <c r="O47" s="197">
        <f t="shared" si="7"/>
        <v>663.69999999999982</v>
      </c>
      <c r="S47" s="197">
        <f t="shared" si="5"/>
        <v>52534</v>
      </c>
      <c r="W47" s="197">
        <f t="shared" si="0"/>
        <v>94.7</v>
      </c>
      <c r="AB47" s="197">
        <f t="shared" si="1"/>
        <v>0</v>
      </c>
      <c r="AC47" s="197">
        <f t="shared" si="2"/>
        <v>0</v>
      </c>
      <c r="AD47" s="197">
        <f t="shared" si="6"/>
        <v>117.49999999999999</v>
      </c>
      <c r="AE47" s="197">
        <f t="shared" si="3"/>
        <v>40</v>
      </c>
    </row>
    <row r="48" spans="1:31">
      <c r="A48" s="197">
        <v>2010</v>
      </c>
      <c r="B48" s="197">
        <v>10</v>
      </c>
      <c r="C48" s="197">
        <v>17</v>
      </c>
      <c r="D48" s="197">
        <v>2.5</v>
      </c>
      <c r="E48" s="197">
        <f t="shared" si="4"/>
        <v>119.99999999999999</v>
      </c>
      <c r="I48" s="197">
        <v>976</v>
      </c>
      <c r="J48" s="197">
        <v>0</v>
      </c>
      <c r="K48" s="197">
        <v>9.1999999999999993</v>
      </c>
      <c r="L48" s="197">
        <v>7.9</v>
      </c>
      <c r="M48" s="197">
        <v>12.5</v>
      </c>
      <c r="N48" s="233">
        <v>40468</v>
      </c>
      <c r="O48" s="197">
        <f t="shared" si="7"/>
        <v>672.89999999999986</v>
      </c>
      <c r="S48" s="197">
        <f t="shared" si="5"/>
        <v>53510</v>
      </c>
      <c r="W48" s="197">
        <f t="shared" si="0"/>
        <v>94.7</v>
      </c>
      <c r="AB48" s="197">
        <f t="shared" si="1"/>
        <v>0</v>
      </c>
      <c r="AC48" s="197">
        <f t="shared" si="2"/>
        <v>0</v>
      </c>
      <c r="AD48" s="197">
        <f t="shared" si="6"/>
        <v>119.99999999999999</v>
      </c>
      <c r="AE48" s="197">
        <f t="shared" si="3"/>
        <v>106.08695652173914</v>
      </c>
    </row>
    <row r="49" spans="1:31">
      <c r="A49" s="197">
        <v>2010</v>
      </c>
      <c r="B49" s="197">
        <v>10</v>
      </c>
      <c r="C49" s="197">
        <v>18</v>
      </c>
      <c r="D49" s="197">
        <v>1.9</v>
      </c>
      <c r="E49" s="197">
        <f t="shared" si="4"/>
        <v>121.89999999999999</v>
      </c>
      <c r="I49" s="197">
        <v>932</v>
      </c>
      <c r="J49" s="197">
        <v>0</v>
      </c>
      <c r="K49" s="197">
        <v>6.7</v>
      </c>
      <c r="L49" s="197">
        <v>5.5</v>
      </c>
      <c r="M49" s="197">
        <v>9.9</v>
      </c>
      <c r="N49" s="233">
        <v>40469</v>
      </c>
      <c r="O49" s="197">
        <f t="shared" si="7"/>
        <v>679.59999999999991</v>
      </c>
      <c r="S49" s="197">
        <f t="shared" si="5"/>
        <v>54442</v>
      </c>
      <c r="W49" s="197">
        <f t="shared" si="0"/>
        <v>94.7</v>
      </c>
      <c r="AB49" s="197">
        <f t="shared" si="1"/>
        <v>0</v>
      </c>
      <c r="AC49" s="197">
        <f t="shared" si="2"/>
        <v>0</v>
      </c>
      <c r="AD49" s="197">
        <f t="shared" si="6"/>
        <v>121.89999999999999</v>
      </c>
      <c r="AE49" s="197">
        <f t="shared" si="3"/>
        <v>139.1044776119403</v>
      </c>
    </row>
    <row r="50" spans="1:31">
      <c r="A50" s="197">
        <v>2010</v>
      </c>
      <c r="B50" s="197">
        <v>10</v>
      </c>
      <c r="C50" s="197">
        <v>19</v>
      </c>
      <c r="D50" s="197">
        <v>1.9</v>
      </c>
      <c r="E50" s="197">
        <f t="shared" si="4"/>
        <v>123.8</v>
      </c>
      <c r="I50" s="197">
        <v>1018</v>
      </c>
      <c r="J50" s="197">
        <v>0</v>
      </c>
      <c r="K50" s="197">
        <v>10.6</v>
      </c>
      <c r="L50" s="197">
        <v>4.0999999999999996</v>
      </c>
      <c r="M50" s="197">
        <v>16.2</v>
      </c>
      <c r="N50" s="233">
        <v>40470</v>
      </c>
      <c r="O50" s="197">
        <f t="shared" si="7"/>
        <v>690.19999999999993</v>
      </c>
      <c r="S50" s="197">
        <f t="shared" si="5"/>
        <v>55460</v>
      </c>
      <c r="W50" s="197">
        <f t="shared" si="0"/>
        <v>94.7</v>
      </c>
      <c r="AB50" s="197">
        <f t="shared" si="1"/>
        <v>0</v>
      </c>
      <c r="AC50" s="197">
        <f t="shared" si="2"/>
        <v>0</v>
      </c>
      <c r="AD50" s="197">
        <f t="shared" si="6"/>
        <v>123.8</v>
      </c>
      <c r="AE50" s="197">
        <f t="shared" si="3"/>
        <v>96.037735849056602</v>
      </c>
    </row>
    <row r="51" spans="1:31">
      <c r="A51" s="197">
        <v>2010</v>
      </c>
      <c r="B51" s="197">
        <v>10</v>
      </c>
      <c r="C51" s="197">
        <v>20</v>
      </c>
      <c r="D51" s="197">
        <v>2.1</v>
      </c>
      <c r="E51" s="197">
        <f t="shared" si="4"/>
        <v>125.89999999999999</v>
      </c>
      <c r="I51" s="197">
        <v>735</v>
      </c>
      <c r="J51" s="197">
        <v>0.2</v>
      </c>
      <c r="K51" s="197">
        <v>11.2</v>
      </c>
      <c r="L51" s="197">
        <v>10</v>
      </c>
      <c r="M51" s="197">
        <v>15.6</v>
      </c>
      <c r="N51" s="233">
        <v>40471</v>
      </c>
      <c r="O51" s="197">
        <f t="shared" si="7"/>
        <v>701.4</v>
      </c>
      <c r="S51" s="197">
        <f t="shared" si="5"/>
        <v>56195</v>
      </c>
      <c r="W51" s="197">
        <f t="shared" si="0"/>
        <v>94.9</v>
      </c>
      <c r="AB51" s="197">
        <f t="shared" si="1"/>
        <v>0</v>
      </c>
      <c r="AC51" s="197">
        <f t="shared" si="2"/>
        <v>0</v>
      </c>
      <c r="AD51" s="197">
        <f t="shared" si="6"/>
        <v>125.89999999999999</v>
      </c>
      <c r="AE51" s="197">
        <f t="shared" si="3"/>
        <v>65.625</v>
      </c>
    </row>
    <row r="52" spans="1:31">
      <c r="A52" s="197">
        <v>2010</v>
      </c>
      <c r="B52" s="197">
        <v>10</v>
      </c>
      <c r="C52" s="197">
        <v>21</v>
      </c>
      <c r="D52" s="197">
        <v>0.9</v>
      </c>
      <c r="E52" s="197">
        <f t="shared" si="4"/>
        <v>126.8</v>
      </c>
      <c r="I52" s="197">
        <v>1277</v>
      </c>
      <c r="J52" s="197">
        <v>0</v>
      </c>
      <c r="K52" s="197">
        <v>8.4</v>
      </c>
      <c r="L52" s="197">
        <v>2.6</v>
      </c>
      <c r="M52" s="197">
        <v>14.4</v>
      </c>
      <c r="N52" s="233">
        <v>40472</v>
      </c>
      <c r="O52" s="197">
        <f t="shared" si="7"/>
        <v>709.8</v>
      </c>
      <c r="S52" s="197">
        <f t="shared" si="5"/>
        <v>57472</v>
      </c>
      <c r="W52" s="197">
        <f t="shared" si="0"/>
        <v>94.9</v>
      </c>
      <c r="AB52" s="197">
        <f t="shared" si="1"/>
        <v>0</v>
      </c>
      <c r="AC52" s="197">
        <f t="shared" si="2"/>
        <v>0</v>
      </c>
      <c r="AD52" s="197">
        <f t="shared" si="6"/>
        <v>126.8</v>
      </c>
      <c r="AE52" s="197">
        <f t="shared" si="3"/>
        <v>152.02380952380952</v>
      </c>
    </row>
    <row r="53" spans="1:31">
      <c r="A53" s="197">
        <v>2010</v>
      </c>
      <c r="B53" s="197">
        <v>10</v>
      </c>
      <c r="C53" s="197">
        <v>22</v>
      </c>
      <c r="D53" s="197">
        <v>1.4</v>
      </c>
      <c r="E53" s="197">
        <f t="shared" si="4"/>
        <v>128.19999999999999</v>
      </c>
      <c r="I53" s="197">
        <v>1172</v>
      </c>
      <c r="J53" s="197">
        <v>0</v>
      </c>
      <c r="K53" s="197">
        <v>11.5</v>
      </c>
      <c r="L53" s="197">
        <v>3.8</v>
      </c>
      <c r="M53" s="197">
        <v>18.3</v>
      </c>
      <c r="N53" s="233">
        <v>40473</v>
      </c>
      <c r="O53" s="197">
        <f t="shared" si="7"/>
        <v>721.3</v>
      </c>
      <c r="S53" s="197">
        <f t="shared" si="5"/>
        <v>58644</v>
      </c>
      <c r="W53" s="197">
        <f t="shared" si="0"/>
        <v>94.9</v>
      </c>
      <c r="AB53" s="197">
        <f t="shared" si="1"/>
        <v>0</v>
      </c>
      <c r="AC53" s="197">
        <f t="shared" si="2"/>
        <v>0</v>
      </c>
      <c r="AD53" s="197">
        <f t="shared" si="6"/>
        <v>128.19999999999999</v>
      </c>
      <c r="AE53" s="197">
        <f t="shared" si="3"/>
        <v>101.91304347826087</v>
      </c>
    </row>
    <row r="54" spans="1:31">
      <c r="A54" s="197">
        <v>2010</v>
      </c>
      <c r="B54" s="197">
        <v>10</v>
      </c>
      <c r="C54" s="197">
        <v>23</v>
      </c>
      <c r="D54" s="197">
        <v>1.1000000000000001</v>
      </c>
      <c r="E54" s="197">
        <f t="shared" si="4"/>
        <v>129.29999999999998</v>
      </c>
      <c r="I54" s="197">
        <v>1115</v>
      </c>
      <c r="J54" s="197">
        <v>1.8</v>
      </c>
      <c r="K54" s="197">
        <v>12.9</v>
      </c>
      <c r="L54" s="197">
        <v>8.4</v>
      </c>
      <c r="M54" s="197">
        <v>18.399999999999999</v>
      </c>
      <c r="N54" s="233">
        <v>40474</v>
      </c>
      <c r="O54" s="197">
        <f t="shared" si="7"/>
        <v>734.19999999999993</v>
      </c>
      <c r="S54" s="197">
        <f t="shared" si="5"/>
        <v>59759</v>
      </c>
      <c r="W54" s="197">
        <f t="shared" si="0"/>
        <v>96.7</v>
      </c>
      <c r="AB54" s="197">
        <f t="shared" si="1"/>
        <v>0</v>
      </c>
      <c r="AC54" s="197">
        <f t="shared" si="2"/>
        <v>0</v>
      </c>
      <c r="AD54" s="197">
        <f t="shared" si="6"/>
        <v>129.29999999999998</v>
      </c>
      <c r="AE54" s="197">
        <f t="shared" si="3"/>
        <v>86.434108527131784</v>
      </c>
    </row>
    <row r="55" spans="1:31">
      <c r="A55" s="197">
        <v>2010</v>
      </c>
      <c r="B55" s="197">
        <v>10</v>
      </c>
      <c r="C55" s="197">
        <v>24</v>
      </c>
      <c r="D55" s="197">
        <v>0.6</v>
      </c>
      <c r="E55" s="197">
        <f t="shared" si="4"/>
        <v>129.89999999999998</v>
      </c>
      <c r="I55" s="197">
        <v>152</v>
      </c>
      <c r="J55" s="197">
        <v>11.1</v>
      </c>
      <c r="K55" s="197">
        <v>11.1</v>
      </c>
      <c r="L55" s="197">
        <v>10.1</v>
      </c>
      <c r="M55" s="197">
        <v>14.4</v>
      </c>
      <c r="N55" s="233">
        <v>40475</v>
      </c>
      <c r="O55" s="197">
        <f t="shared" si="7"/>
        <v>745.3</v>
      </c>
      <c r="S55" s="197">
        <f t="shared" si="5"/>
        <v>59911</v>
      </c>
      <c r="W55" s="197">
        <f t="shared" si="0"/>
        <v>107.8</v>
      </c>
      <c r="AB55" s="197">
        <f t="shared" si="1"/>
        <v>0</v>
      </c>
      <c r="AC55" s="197">
        <f t="shared" si="2"/>
        <v>0</v>
      </c>
      <c r="AD55" s="197">
        <f t="shared" si="6"/>
        <v>129.89999999999998</v>
      </c>
      <c r="AE55" s="197">
        <f t="shared" si="3"/>
        <v>13.693693693693694</v>
      </c>
    </row>
    <row r="56" spans="1:31">
      <c r="A56" s="197">
        <v>2010</v>
      </c>
      <c r="B56" s="197">
        <v>10</v>
      </c>
      <c r="C56" s="197">
        <v>25</v>
      </c>
      <c r="D56" s="197">
        <v>2.2999999999999998</v>
      </c>
      <c r="E56" s="197">
        <f t="shared" si="4"/>
        <v>132.19999999999999</v>
      </c>
      <c r="I56" s="197">
        <v>1033</v>
      </c>
      <c r="J56" s="197">
        <v>0</v>
      </c>
      <c r="K56" s="197">
        <v>8.4</v>
      </c>
      <c r="L56" s="197">
        <v>7.1</v>
      </c>
      <c r="M56" s="197">
        <v>11.6</v>
      </c>
      <c r="N56" s="233">
        <v>40476</v>
      </c>
      <c r="O56" s="197">
        <f t="shared" si="7"/>
        <v>753.69999999999993</v>
      </c>
      <c r="S56" s="197">
        <f t="shared" si="5"/>
        <v>60944</v>
      </c>
      <c r="W56" s="197">
        <f t="shared" si="0"/>
        <v>107.8</v>
      </c>
      <c r="AB56" s="197">
        <f t="shared" si="1"/>
        <v>0</v>
      </c>
      <c r="AC56" s="197">
        <f t="shared" si="2"/>
        <v>0</v>
      </c>
      <c r="AD56" s="197">
        <f t="shared" si="6"/>
        <v>132.19999999999999</v>
      </c>
      <c r="AE56" s="197">
        <f t="shared" si="3"/>
        <v>122.97619047619047</v>
      </c>
    </row>
    <row r="57" spans="1:31">
      <c r="A57" s="197">
        <v>2010</v>
      </c>
      <c r="B57" s="197">
        <v>10</v>
      </c>
      <c r="C57" s="197">
        <v>26</v>
      </c>
      <c r="D57" s="197">
        <v>1.6</v>
      </c>
      <c r="E57" s="197">
        <f t="shared" si="4"/>
        <v>133.79999999999998</v>
      </c>
      <c r="I57" s="197">
        <v>1281</v>
      </c>
      <c r="J57" s="197">
        <v>0</v>
      </c>
      <c r="K57" s="197">
        <v>7.1</v>
      </c>
      <c r="L57" s="197">
        <v>3.5</v>
      </c>
      <c r="M57" s="197">
        <v>12.6</v>
      </c>
      <c r="N57" s="233">
        <v>40477</v>
      </c>
      <c r="O57" s="197">
        <f t="shared" si="7"/>
        <v>760.8</v>
      </c>
      <c r="S57" s="197">
        <f t="shared" si="5"/>
        <v>62225</v>
      </c>
      <c r="W57" s="197">
        <f t="shared" si="0"/>
        <v>107.8</v>
      </c>
      <c r="AB57" s="197">
        <f t="shared" si="1"/>
        <v>0</v>
      </c>
      <c r="AC57" s="197">
        <f t="shared" si="2"/>
        <v>0</v>
      </c>
      <c r="AD57" s="197">
        <f t="shared" si="6"/>
        <v>133.79999999999998</v>
      </c>
      <c r="AE57" s="197">
        <f t="shared" si="3"/>
        <v>180.42253521126761</v>
      </c>
    </row>
    <row r="58" spans="1:31">
      <c r="A58" s="197">
        <v>2010</v>
      </c>
      <c r="B58" s="197">
        <v>10</v>
      </c>
      <c r="C58" s="197">
        <v>27</v>
      </c>
      <c r="D58" s="197">
        <v>0.9</v>
      </c>
      <c r="E58" s="197">
        <f t="shared" si="4"/>
        <v>134.69999999999999</v>
      </c>
      <c r="I58" s="197">
        <v>1229</v>
      </c>
      <c r="J58" s="197">
        <v>0</v>
      </c>
      <c r="K58" s="197">
        <v>7.5</v>
      </c>
      <c r="L58" s="197">
        <v>0.6</v>
      </c>
      <c r="M58" s="197">
        <v>16.8</v>
      </c>
      <c r="N58" s="233">
        <v>40478</v>
      </c>
      <c r="O58" s="197">
        <f t="shared" si="7"/>
        <v>768.3</v>
      </c>
      <c r="S58" s="197">
        <f t="shared" si="5"/>
        <v>63454</v>
      </c>
      <c r="W58" s="197">
        <f t="shared" si="0"/>
        <v>107.8</v>
      </c>
      <c r="AB58" s="197">
        <f t="shared" si="1"/>
        <v>0</v>
      </c>
      <c r="AC58" s="197">
        <f t="shared" si="2"/>
        <v>0</v>
      </c>
      <c r="AD58" s="197">
        <f t="shared" si="6"/>
        <v>134.69999999999999</v>
      </c>
      <c r="AE58" s="197">
        <f t="shared" si="3"/>
        <v>163.86666666666667</v>
      </c>
    </row>
    <row r="59" spans="1:31">
      <c r="A59" s="197">
        <v>2010</v>
      </c>
      <c r="B59" s="197">
        <v>10</v>
      </c>
      <c r="C59" s="197">
        <v>28</v>
      </c>
      <c r="D59" s="197">
        <v>1.1000000000000001</v>
      </c>
      <c r="E59" s="197">
        <f t="shared" si="4"/>
        <v>135.79999999999998</v>
      </c>
      <c r="I59" s="197">
        <v>1088</v>
      </c>
      <c r="J59" s="197">
        <v>0</v>
      </c>
      <c r="K59" s="197">
        <v>9.6</v>
      </c>
      <c r="L59" s="197">
        <v>4.2</v>
      </c>
      <c r="M59" s="197">
        <v>17.899999999999999</v>
      </c>
      <c r="N59" s="233">
        <v>40479</v>
      </c>
      <c r="O59" s="197">
        <f t="shared" si="7"/>
        <v>777.9</v>
      </c>
      <c r="S59" s="197">
        <f t="shared" si="5"/>
        <v>64542</v>
      </c>
      <c r="W59" s="197">
        <f t="shared" si="0"/>
        <v>107.8</v>
      </c>
      <c r="AB59" s="197">
        <f t="shared" si="1"/>
        <v>0</v>
      </c>
      <c r="AC59" s="197">
        <f t="shared" si="2"/>
        <v>0</v>
      </c>
      <c r="AD59" s="197">
        <f t="shared" si="6"/>
        <v>135.79999999999998</v>
      </c>
      <c r="AE59" s="197">
        <f t="shared" si="3"/>
        <v>113.33333333333334</v>
      </c>
    </row>
    <row r="60" spans="1:31">
      <c r="A60" s="197">
        <v>2010</v>
      </c>
      <c r="B60" s="197">
        <v>10</v>
      </c>
      <c r="C60" s="197">
        <v>29</v>
      </c>
      <c r="D60" s="197">
        <v>1.4</v>
      </c>
      <c r="E60" s="197">
        <f t="shared" si="4"/>
        <v>137.19999999999999</v>
      </c>
      <c r="I60" s="197">
        <v>847</v>
      </c>
      <c r="J60" s="197">
        <v>0</v>
      </c>
      <c r="K60" s="197">
        <v>15.2</v>
      </c>
      <c r="L60" s="197">
        <v>6.3</v>
      </c>
      <c r="M60" s="197">
        <v>19</v>
      </c>
      <c r="N60" s="233">
        <v>40480</v>
      </c>
      <c r="O60" s="197">
        <f t="shared" si="7"/>
        <v>793.1</v>
      </c>
      <c r="S60" s="197">
        <f t="shared" si="5"/>
        <v>65389</v>
      </c>
      <c r="W60" s="197">
        <f t="shared" si="0"/>
        <v>107.8</v>
      </c>
      <c r="AB60" s="197">
        <f t="shared" si="1"/>
        <v>0</v>
      </c>
      <c r="AC60" s="197">
        <f t="shared" si="2"/>
        <v>0</v>
      </c>
      <c r="AD60" s="197">
        <f t="shared" si="6"/>
        <v>137.19999999999999</v>
      </c>
      <c r="AE60" s="197">
        <f t="shared" si="3"/>
        <v>55.723684210526315</v>
      </c>
    </row>
    <row r="61" spans="1:31">
      <c r="A61" s="197">
        <v>2010</v>
      </c>
      <c r="B61" s="197">
        <v>10</v>
      </c>
      <c r="C61" s="197">
        <v>30</v>
      </c>
      <c r="D61" s="197">
        <v>1.7</v>
      </c>
      <c r="E61" s="197">
        <f t="shared" si="4"/>
        <v>138.89999999999998</v>
      </c>
      <c r="I61" s="197">
        <v>714</v>
      </c>
      <c r="J61" s="197">
        <v>0</v>
      </c>
      <c r="K61" s="197">
        <v>13.1</v>
      </c>
      <c r="L61" s="197">
        <v>10.6</v>
      </c>
      <c r="M61" s="197">
        <v>16.399999999999999</v>
      </c>
      <c r="N61" s="233">
        <v>40481</v>
      </c>
      <c r="O61" s="197">
        <f t="shared" si="7"/>
        <v>806.2</v>
      </c>
      <c r="S61" s="197">
        <f t="shared" si="5"/>
        <v>66103</v>
      </c>
      <c r="W61" s="197">
        <f t="shared" si="0"/>
        <v>107.8</v>
      </c>
      <c r="AB61" s="197">
        <f t="shared" si="1"/>
        <v>0</v>
      </c>
      <c r="AC61" s="197">
        <f t="shared" si="2"/>
        <v>0</v>
      </c>
      <c r="AD61" s="197">
        <f t="shared" si="6"/>
        <v>138.89999999999998</v>
      </c>
      <c r="AE61" s="197">
        <f t="shared" si="3"/>
        <v>54.503816793893129</v>
      </c>
    </row>
    <row r="62" spans="1:31">
      <c r="A62" s="197">
        <v>2010</v>
      </c>
      <c r="B62" s="197">
        <v>10</v>
      </c>
      <c r="C62" s="197">
        <v>31</v>
      </c>
      <c r="D62" s="197">
        <v>0.9</v>
      </c>
      <c r="E62" s="197">
        <f t="shared" si="4"/>
        <v>139.79999999999998</v>
      </c>
      <c r="I62" s="197">
        <v>381</v>
      </c>
      <c r="J62" s="197">
        <v>4.5999999999999996</v>
      </c>
      <c r="K62" s="197">
        <v>10.9</v>
      </c>
      <c r="L62" s="197">
        <v>8.4</v>
      </c>
      <c r="M62" s="197">
        <v>14.1</v>
      </c>
      <c r="N62" s="233">
        <v>40482</v>
      </c>
      <c r="O62" s="197">
        <f t="shared" si="7"/>
        <v>817.1</v>
      </c>
      <c r="S62" s="197">
        <f t="shared" si="5"/>
        <v>66484</v>
      </c>
      <c r="W62" s="197">
        <f t="shared" si="0"/>
        <v>112.39999999999999</v>
      </c>
      <c r="AB62" s="197">
        <f t="shared" si="1"/>
        <v>0</v>
      </c>
      <c r="AC62" s="197">
        <f t="shared" si="2"/>
        <v>0</v>
      </c>
      <c r="AD62" s="197">
        <f t="shared" si="6"/>
        <v>139.79999999999998</v>
      </c>
      <c r="AE62" s="197">
        <f t="shared" si="3"/>
        <v>34.954128440366972</v>
      </c>
    </row>
    <row r="63" spans="1:31">
      <c r="A63" s="197">
        <v>2010</v>
      </c>
      <c r="B63" s="197">
        <v>11</v>
      </c>
      <c r="C63" s="197">
        <v>1</v>
      </c>
      <c r="D63" s="197">
        <v>0.8</v>
      </c>
      <c r="E63" s="197">
        <f t="shared" si="4"/>
        <v>140.6</v>
      </c>
      <c r="I63" s="197">
        <v>340</v>
      </c>
      <c r="J63" s="197">
        <v>4.5</v>
      </c>
      <c r="K63" s="197">
        <v>12</v>
      </c>
      <c r="L63" s="197">
        <v>9.6</v>
      </c>
      <c r="M63" s="197">
        <v>13.9</v>
      </c>
      <c r="N63" s="233">
        <v>40483</v>
      </c>
      <c r="O63" s="197">
        <f t="shared" si="7"/>
        <v>829.1</v>
      </c>
      <c r="S63" s="197">
        <f t="shared" si="5"/>
        <v>66824</v>
      </c>
      <c r="W63" s="197">
        <f t="shared" si="0"/>
        <v>116.89999999999999</v>
      </c>
      <c r="AB63" s="197">
        <f t="shared" si="1"/>
        <v>0</v>
      </c>
      <c r="AC63" s="197">
        <f t="shared" si="2"/>
        <v>0</v>
      </c>
      <c r="AD63" s="197">
        <f t="shared" si="6"/>
        <v>140.6</v>
      </c>
      <c r="AE63" s="197">
        <f t="shared" si="3"/>
        <v>28.333333333333332</v>
      </c>
    </row>
    <row r="64" spans="1:31">
      <c r="A64" s="197">
        <v>2010</v>
      </c>
      <c r="B64" s="197">
        <v>11</v>
      </c>
      <c r="C64" s="197">
        <v>2</v>
      </c>
      <c r="D64" s="197">
        <v>1.3</v>
      </c>
      <c r="E64" s="197">
        <f t="shared" si="4"/>
        <v>141.9</v>
      </c>
      <c r="I64" s="197">
        <v>969</v>
      </c>
      <c r="J64" s="197">
        <v>0</v>
      </c>
      <c r="K64" s="197">
        <v>12.9</v>
      </c>
      <c r="L64" s="197">
        <v>9.6</v>
      </c>
      <c r="M64" s="197">
        <v>16.5</v>
      </c>
      <c r="N64" s="233">
        <v>40484</v>
      </c>
      <c r="O64" s="197">
        <f t="shared" si="7"/>
        <v>842</v>
      </c>
      <c r="S64" s="197">
        <f t="shared" si="5"/>
        <v>67793</v>
      </c>
      <c r="W64" s="197">
        <f t="shared" si="0"/>
        <v>116.89999999999999</v>
      </c>
      <c r="AB64" s="197">
        <f t="shared" si="1"/>
        <v>0</v>
      </c>
      <c r="AC64" s="197">
        <f t="shared" si="2"/>
        <v>0</v>
      </c>
      <c r="AD64" s="197">
        <f t="shared" si="6"/>
        <v>141.9</v>
      </c>
      <c r="AE64" s="197">
        <f t="shared" si="3"/>
        <v>75.116279069767444</v>
      </c>
    </row>
    <row r="65" spans="1:31">
      <c r="A65" s="197">
        <v>2010</v>
      </c>
      <c r="B65" s="197">
        <v>11</v>
      </c>
      <c r="C65" s="197">
        <v>3</v>
      </c>
      <c r="D65" s="197">
        <v>0.8</v>
      </c>
      <c r="E65" s="197">
        <f t="shared" si="4"/>
        <v>142.70000000000002</v>
      </c>
      <c r="I65" s="197">
        <v>413</v>
      </c>
      <c r="J65" s="197">
        <v>0.8</v>
      </c>
      <c r="K65" s="197">
        <v>14.5</v>
      </c>
      <c r="L65" s="197">
        <v>12.4</v>
      </c>
      <c r="M65" s="197">
        <v>17.100000000000001</v>
      </c>
      <c r="N65" s="233">
        <v>40485</v>
      </c>
      <c r="O65" s="197">
        <f t="shared" si="7"/>
        <v>856.5</v>
      </c>
      <c r="S65" s="197">
        <f t="shared" si="5"/>
        <v>68206</v>
      </c>
      <c r="W65" s="197">
        <f t="shared" si="0"/>
        <v>117.69999999999999</v>
      </c>
      <c r="AB65" s="197">
        <f t="shared" si="1"/>
        <v>0</v>
      </c>
      <c r="AC65" s="197">
        <f t="shared" si="2"/>
        <v>0</v>
      </c>
      <c r="AD65" s="197">
        <f t="shared" si="6"/>
        <v>142.70000000000002</v>
      </c>
      <c r="AE65" s="197">
        <f t="shared" si="3"/>
        <v>28.482758620689655</v>
      </c>
    </row>
    <row r="66" spans="1:31">
      <c r="A66" s="197">
        <v>2010</v>
      </c>
      <c r="B66" s="197">
        <v>11</v>
      </c>
      <c r="C66" s="197">
        <v>4</v>
      </c>
      <c r="D66" s="197">
        <v>1</v>
      </c>
      <c r="E66" s="197">
        <f t="shared" si="4"/>
        <v>143.70000000000002</v>
      </c>
      <c r="I66" s="197">
        <v>886</v>
      </c>
      <c r="J66" s="197">
        <v>0.8</v>
      </c>
      <c r="K66" s="197">
        <v>14.2</v>
      </c>
      <c r="L66" s="197">
        <v>11</v>
      </c>
      <c r="M66" s="197">
        <v>17.399999999999999</v>
      </c>
      <c r="N66" s="233">
        <v>40486</v>
      </c>
      <c r="O66" s="197">
        <f t="shared" si="7"/>
        <v>870.7</v>
      </c>
      <c r="S66" s="197">
        <f t="shared" si="5"/>
        <v>69092</v>
      </c>
      <c r="W66" s="197">
        <f t="shared" si="0"/>
        <v>118.49999999999999</v>
      </c>
      <c r="AB66" s="197">
        <f t="shared" si="1"/>
        <v>0</v>
      </c>
      <c r="AC66" s="197">
        <f t="shared" si="2"/>
        <v>0</v>
      </c>
      <c r="AD66" s="197">
        <f t="shared" si="6"/>
        <v>143.70000000000002</v>
      </c>
      <c r="AE66" s="197">
        <f t="shared" si="3"/>
        <v>62.394366197183103</v>
      </c>
    </row>
    <row r="67" spans="1:31">
      <c r="A67" s="197">
        <v>2010</v>
      </c>
      <c r="B67" s="197">
        <v>11</v>
      </c>
      <c r="C67" s="197">
        <v>5</v>
      </c>
      <c r="D67" s="197">
        <v>0.6</v>
      </c>
      <c r="E67" s="197">
        <f t="shared" si="4"/>
        <v>144.30000000000001</v>
      </c>
      <c r="I67" s="197">
        <v>228</v>
      </c>
      <c r="J67" s="197">
        <v>0.2</v>
      </c>
      <c r="K67" s="197">
        <v>14.6</v>
      </c>
      <c r="L67" s="197">
        <v>14.1</v>
      </c>
      <c r="M67" s="197">
        <v>15.7</v>
      </c>
      <c r="N67" s="233">
        <v>40487</v>
      </c>
      <c r="O67" s="197">
        <f t="shared" si="7"/>
        <v>885.30000000000007</v>
      </c>
      <c r="S67" s="197">
        <f t="shared" si="5"/>
        <v>69320</v>
      </c>
      <c r="W67" s="197">
        <f t="shared" si="0"/>
        <v>118.69999999999999</v>
      </c>
      <c r="AB67" s="197">
        <f t="shared" si="1"/>
        <v>0</v>
      </c>
      <c r="AC67" s="197">
        <f t="shared" si="2"/>
        <v>0</v>
      </c>
      <c r="AD67" s="197">
        <f t="shared" si="6"/>
        <v>144.30000000000001</v>
      </c>
      <c r="AE67" s="197">
        <f t="shared" si="3"/>
        <v>15.616438356164384</v>
      </c>
    </row>
    <row r="68" spans="1:31">
      <c r="A68" s="197">
        <v>2010</v>
      </c>
      <c r="B68" s="197">
        <v>11</v>
      </c>
      <c r="C68" s="197">
        <v>6</v>
      </c>
      <c r="D68" s="197">
        <v>1.1000000000000001</v>
      </c>
      <c r="E68" s="197">
        <f t="shared" si="4"/>
        <v>145.4</v>
      </c>
      <c r="I68" s="197">
        <v>392</v>
      </c>
      <c r="J68" s="197">
        <v>0.4</v>
      </c>
      <c r="K68" s="197">
        <v>14.1</v>
      </c>
      <c r="L68" s="197">
        <v>12.9</v>
      </c>
      <c r="M68" s="197">
        <v>16.600000000000001</v>
      </c>
      <c r="N68" s="233">
        <v>40488</v>
      </c>
      <c r="O68" s="197">
        <f t="shared" si="7"/>
        <v>899.40000000000009</v>
      </c>
      <c r="S68" s="197">
        <f t="shared" si="5"/>
        <v>69712</v>
      </c>
      <c r="W68" s="197">
        <f t="shared" si="0"/>
        <v>119.1</v>
      </c>
      <c r="AB68" s="197">
        <f t="shared" si="1"/>
        <v>0</v>
      </c>
      <c r="AC68" s="197">
        <f t="shared" si="2"/>
        <v>0</v>
      </c>
      <c r="AD68" s="197">
        <f t="shared" si="6"/>
        <v>145.4</v>
      </c>
      <c r="AE68" s="197">
        <f t="shared" si="3"/>
        <v>27.801418439716311</v>
      </c>
    </row>
    <row r="69" spans="1:31">
      <c r="A69" s="197">
        <v>2010</v>
      </c>
      <c r="B69" s="197">
        <v>11</v>
      </c>
      <c r="C69" s="197">
        <v>7</v>
      </c>
      <c r="D69" s="197">
        <v>1.1000000000000001</v>
      </c>
      <c r="E69" s="197">
        <f t="shared" si="4"/>
        <v>146.5</v>
      </c>
      <c r="I69" s="197">
        <v>483</v>
      </c>
      <c r="J69" s="197">
        <v>3.4</v>
      </c>
      <c r="K69" s="197">
        <v>9.9</v>
      </c>
      <c r="L69" s="197">
        <v>7.5</v>
      </c>
      <c r="M69" s="197">
        <v>12.8</v>
      </c>
      <c r="N69" s="233">
        <v>40489</v>
      </c>
      <c r="O69" s="197">
        <f t="shared" si="7"/>
        <v>909.30000000000007</v>
      </c>
      <c r="S69" s="197">
        <f t="shared" si="5"/>
        <v>70195</v>
      </c>
      <c r="W69" s="197">
        <f t="shared" si="0"/>
        <v>122.5</v>
      </c>
      <c r="AB69" s="197">
        <f t="shared" si="1"/>
        <v>0</v>
      </c>
      <c r="AC69" s="197">
        <f t="shared" si="2"/>
        <v>0</v>
      </c>
      <c r="AD69" s="197">
        <f t="shared" si="6"/>
        <v>146.5</v>
      </c>
      <c r="AE69" s="197">
        <f t="shared" si="3"/>
        <v>48.787878787878789</v>
      </c>
    </row>
    <row r="70" spans="1:31">
      <c r="A70" s="197">
        <v>2010</v>
      </c>
      <c r="B70" s="197">
        <v>11</v>
      </c>
      <c r="C70" s="197">
        <v>8</v>
      </c>
      <c r="D70" s="197">
        <v>0.7</v>
      </c>
      <c r="E70" s="197">
        <f t="shared" si="4"/>
        <v>147.19999999999999</v>
      </c>
      <c r="I70" s="197">
        <v>252</v>
      </c>
      <c r="J70" s="197">
        <v>8.4</v>
      </c>
      <c r="K70" s="197">
        <v>7.9</v>
      </c>
      <c r="L70" s="197">
        <v>3.5</v>
      </c>
      <c r="M70" s="197">
        <v>11.5</v>
      </c>
      <c r="N70" s="233">
        <v>40490</v>
      </c>
      <c r="O70" s="197">
        <f t="shared" si="7"/>
        <v>917.2</v>
      </c>
      <c r="S70" s="197">
        <f t="shared" si="5"/>
        <v>70447</v>
      </c>
      <c r="W70" s="197">
        <f t="shared" si="0"/>
        <v>130.9</v>
      </c>
      <c r="AB70" s="197">
        <f t="shared" si="1"/>
        <v>0</v>
      </c>
      <c r="AC70" s="197">
        <f t="shared" si="2"/>
        <v>0</v>
      </c>
      <c r="AD70" s="197">
        <f t="shared" si="6"/>
        <v>147.19999999999999</v>
      </c>
      <c r="AE70" s="197">
        <f t="shared" si="3"/>
        <v>31.898734177215189</v>
      </c>
    </row>
    <row r="71" spans="1:31">
      <c r="A71" s="197">
        <v>2010</v>
      </c>
      <c r="B71" s="197">
        <v>11</v>
      </c>
      <c r="C71" s="197">
        <v>9</v>
      </c>
      <c r="D71" s="197">
        <v>1.4</v>
      </c>
      <c r="E71" s="197">
        <f t="shared" si="4"/>
        <v>148.6</v>
      </c>
      <c r="I71" s="197">
        <v>512</v>
      </c>
      <c r="J71" s="197">
        <v>1.4</v>
      </c>
      <c r="K71" s="197">
        <v>10.5</v>
      </c>
      <c r="L71" s="197">
        <v>7.5</v>
      </c>
      <c r="M71" s="197">
        <v>13.8</v>
      </c>
      <c r="N71" s="233">
        <v>40491</v>
      </c>
      <c r="O71" s="197">
        <f t="shared" si="7"/>
        <v>927.7</v>
      </c>
      <c r="S71" s="197">
        <f t="shared" si="5"/>
        <v>70959</v>
      </c>
      <c r="W71" s="197">
        <f t="shared" si="0"/>
        <v>132.30000000000001</v>
      </c>
      <c r="AB71" s="197">
        <f t="shared" si="1"/>
        <v>0</v>
      </c>
      <c r="AC71" s="197">
        <f t="shared" si="2"/>
        <v>0</v>
      </c>
      <c r="AD71" s="197">
        <f t="shared" si="6"/>
        <v>148.6</v>
      </c>
      <c r="AE71" s="197">
        <f t="shared" si="3"/>
        <v>48.761904761904759</v>
      </c>
    </row>
    <row r="72" spans="1:31">
      <c r="A72" s="197">
        <v>2010</v>
      </c>
      <c r="B72" s="197">
        <v>11</v>
      </c>
      <c r="C72" s="197">
        <v>10</v>
      </c>
      <c r="D72" s="197">
        <v>1.4</v>
      </c>
      <c r="E72" s="197">
        <f t="shared" si="4"/>
        <v>150</v>
      </c>
      <c r="I72" s="197">
        <v>328</v>
      </c>
      <c r="J72" s="197">
        <v>5.2</v>
      </c>
      <c r="K72" s="197">
        <v>9</v>
      </c>
      <c r="L72" s="197">
        <v>8</v>
      </c>
      <c r="M72" s="197">
        <v>12</v>
      </c>
      <c r="N72" s="233">
        <v>40492</v>
      </c>
      <c r="O72" s="197">
        <f t="shared" si="7"/>
        <v>936.7</v>
      </c>
      <c r="S72" s="197">
        <f t="shared" si="5"/>
        <v>71287</v>
      </c>
      <c r="W72" s="197">
        <f t="shared" si="0"/>
        <v>137.5</v>
      </c>
      <c r="AB72" s="197">
        <f t="shared" si="1"/>
        <v>0</v>
      </c>
      <c r="AC72" s="197">
        <f t="shared" si="2"/>
        <v>0</v>
      </c>
      <c r="AD72" s="197">
        <f t="shared" si="6"/>
        <v>150</v>
      </c>
      <c r="AE72" s="197">
        <f t="shared" si="3"/>
        <v>36.444444444444443</v>
      </c>
    </row>
    <row r="73" spans="1:31">
      <c r="A73" s="197">
        <v>2010</v>
      </c>
      <c r="B73" s="197">
        <v>11</v>
      </c>
      <c r="C73" s="197">
        <v>11</v>
      </c>
      <c r="D73" s="197">
        <v>0.8</v>
      </c>
      <c r="E73" s="197">
        <f t="shared" si="4"/>
        <v>150.80000000000001</v>
      </c>
      <c r="I73" s="197">
        <v>574</v>
      </c>
      <c r="J73" s="197">
        <v>0.6</v>
      </c>
      <c r="K73" s="197">
        <v>9.4</v>
      </c>
      <c r="L73" s="197">
        <v>2.2000000000000002</v>
      </c>
      <c r="M73" s="197">
        <v>15.6</v>
      </c>
      <c r="N73" s="233">
        <v>40493</v>
      </c>
      <c r="O73" s="197">
        <f t="shared" si="7"/>
        <v>946.1</v>
      </c>
      <c r="S73" s="197">
        <f t="shared" si="5"/>
        <v>71861</v>
      </c>
      <c r="W73" s="197">
        <f t="shared" si="0"/>
        <v>138.1</v>
      </c>
      <c r="AB73" s="197">
        <f t="shared" si="1"/>
        <v>0</v>
      </c>
      <c r="AC73" s="197">
        <f t="shared" si="2"/>
        <v>0</v>
      </c>
      <c r="AD73" s="197">
        <f t="shared" si="6"/>
        <v>150.80000000000001</v>
      </c>
      <c r="AE73" s="197">
        <f t="shared" si="3"/>
        <v>61.063829787234042</v>
      </c>
    </row>
    <row r="74" spans="1:31">
      <c r="A74" s="197">
        <v>2010</v>
      </c>
      <c r="B74" s="197">
        <v>11</v>
      </c>
      <c r="C74" s="197">
        <v>12</v>
      </c>
      <c r="D74" s="197">
        <v>1.2</v>
      </c>
      <c r="E74" s="197">
        <f t="shared" si="4"/>
        <v>152</v>
      </c>
      <c r="I74" s="197">
        <v>427</v>
      </c>
      <c r="J74" s="197">
        <v>0.6</v>
      </c>
      <c r="K74" s="197">
        <v>14.2</v>
      </c>
      <c r="L74" s="197">
        <v>11.3</v>
      </c>
      <c r="M74" s="197">
        <v>18.7</v>
      </c>
      <c r="N74" s="233">
        <v>40494</v>
      </c>
      <c r="O74" s="197">
        <f t="shared" si="7"/>
        <v>960.30000000000007</v>
      </c>
      <c r="S74" s="197">
        <f t="shared" si="5"/>
        <v>72288</v>
      </c>
      <c r="W74" s="197">
        <f t="shared" ref="W74:W137" si="8">W73+J74</f>
        <v>138.69999999999999</v>
      </c>
      <c r="AB74" s="197">
        <f t="shared" ref="AB74:AB137" si="9">IF(K74&lt;0,1,0)</f>
        <v>0</v>
      </c>
      <c r="AC74" s="197">
        <f t="shared" ref="AC74:AC137" si="10">IF(K74&lt;4.5,1,0)</f>
        <v>0</v>
      </c>
      <c r="AD74" s="197">
        <f t="shared" si="6"/>
        <v>152</v>
      </c>
      <c r="AE74" s="197">
        <f t="shared" ref="AE74:AE137" si="11">I74/K74</f>
        <v>30.070422535211268</v>
      </c>
    </row>
    <row r="75" spans="1:31">
      <c r="A75" s="197">
        <v>2010</v>
      </c>
      <c r="B75" s="197">
        <v>11</v>
      </c>
      <c r="C75" s="197">
        <v>13</v>
      </c>
      <c r="D75" s="197">
        <v>0.5</v>
      </c>
      <c r="E75" s="197">
        <f t="shared" ref="E75:E106" si="12">E74+D75</f>
        <v>152.5</v>
      </c>
      <c r="I75" s="197">
        <v>987</v>
      </c>
      <c r="J75" s="197">
        <v>0.2</v>
      </c>
      <c r="K75" s="197">
        <v>12.5</v>
      </c>
      <c r="L75" s="197">
        <v>5</v>
      </c>
      <c r="M75" s="197">
        <v>19.7</v>
      </c>
      <c r="N75" s="233">
        <v>40495</v>
      </c>
      <c r="O75" s="197">
        <f t="shared" si="7"/>
        <v>972.80000000000007</v>
      </c>
      <c r="S75" s="197">
        <f t="shared" ref="S75:S138" si="13">S74+I75</f>
        <v>73275</v>
      </c>
      <c r="W75" s="197">
        <f t="shared" si="8"/>
        <v>138.89999999999998</v>
      </c>
      <c r="AB75" s="197">
        <f t="shared" si="9"/>
        <v>0</v>
      </c>
      <c r="AC75" s="197">
        <f t="shared" si="10"/>
        <v>0</v>
      </c>
      <c r="AD75" s="197">
        <f t="shared" ref="AD75:AD138" si="14">AD74+D75</f>
        <v>152.5</v>
      </c>
      <c r="AE75" s="197">
        <f t="shared" si="11"/>
        <v>78.959999999999994</v>
      </c>
    </row>
    <row r="76" spans="1:31">
      <c r="A76" s="197">
        <v>2010</v>
      </c>
      <c r="B76" s="197">
        <v>11</v>
      </c>
      <c r="C76" s="197">
        <v>14</v>
      </c>
      <c r="D76" s="197">
        <v>1.6</v>
      </c>
      <c r="E76" s="197">
        <f t="shared" si="12"/>
        <v>154.1</v>
      </c>
      <c r="I76" s="197">
        <v>804</v>
      </c>
      <c r="J76" s="197">
        <v>2.6</v>
      </c>
      <c r="K76" s="197">
        <v>13.7</v>
      </c>
      <c r="L76" s="197">
        <v>10.8</v>
      </c>
      <c r="M76" s="197">
        <v>20.100000000000001</v>
      </c>
      <c r="N76" s="233">
        <v>40496</v>
      </c>
      <c r="O76" s="197">
        <f t="shared" ref="O76:O139" si="15">IF(K76&gt;0,O75+K76,O75)</f>
        <v>986.50000000000011</v>
      </c>
      <c r="S76" s="197">
        <f t="shared" si="13"/>
        <v>74079</v>
      </c>
      <c r="W76" s="197">
        <f t="shared" si="8"/>
        <v>141.49999999999997</v>
      </c>
      <c r="AB76" s="197">
        <f t="shared" si="9"/>
        <v>0</v>
      </c>
      <c r="AC76" s="197">
        <f t="shared" si="10"/>
        <v>0</v>
      </c>
      <c r="AD76" s="197">
        <f t="shared" si="14"/>
        <v>154.1</v>
      </c>
      <c r="AE76" s="197">
        <f t="shared" si="11"/>
        <v>58.686131386861319</v>
      </c>
    </row>
    <row r="77" spans="1:31">
      <c r="A77" s="197">
        <v>2010</v>
      </c>
      <c r="B77" s="197">
        <v>11</v>
      </c>
      <c r="C77" s="197">
        <v>15</v>
      </c>
      <c r="D77" s="197">
        <v>0.9</v>
      </c>
      <c r="E77" s="197">
        <f t="shared" si="12"/>
        <v>155</v>
      </c>
      <c r="I77" s="197">
        <v>516</v>
      </c>
      <c r="J77" s="197">
        <v>3</v>
      </c>
      <c r="K77" s="197">
        <v>9.6</v>
      </c>
      <c r="L77" s="197">
        <v>8.6</v>
      </c>
      <c r="M77" s="197">
        <v>13</v>
      </c>
      <c r="N77" s="233">
        <v>40497</v>
      </c>
      <c r="O77" s="197">
        <f t="shared" si="15"/>
        <v>996.10000000000014</v>
      </c>
      <c r="S77" s="197">
        <f t="shared" si="13"/>
        <v>74595</v>
      </c>
      <c r="W77" s="197">
        <f t="shared" si="8"/>
        <v>144.49999999999997</v>
      </c>
      <c r="AB77" s="197">
        <f t="shared" si="9"/>
        <v>0</v>
      </c>
      <c r="AC77" s="197">
        <f t="shared" si="10"/>
        <v>0</v>
      </c>
      <c r="AD77" s="197">
        <f t="shared" si="14"/>
        <v>155</v>
      </c>
      <c r="AE77" s="197">
        <f t="shared" si="11"/>
        <v>53.75</v>
      </c>
    </row>
    <row r="78" spans="1:31">
      <c r="A78" s="197">
        <v>2010</v>
      </c>
      <c r="B78" s="197">
        <v>11</v>
      </c>
      <c r="C78" s="197">
        <v>16</v>
      </c>
      <c r="D78" s="197">
        <v>1.3</v>
      </c>
      <c r="E78" s="197">
        <f t="shared" si="12"/>
        <v>156.30000000000001</v>
      </c>
      <c r="I78" s="197">
        <v>754</v>
      </c>
      <c r="J78" s="197">
        <v>0</v>
      </c>
      <c r="K78" s="197">
        <v>7.7</v>
      </c>
      <c r="L78" s="197">
        <v>6.9</v>
      </c>
      <c r="M78" s="197">
        <v>12.2</v>
      </c>
      <c r="N78" s="233">
        <v>40498</v>
      </c>
      <c r="O78" s="197">
        <f t="shared" si="15"/>
        <v>1003.8000000000002</v>
      </c>
      <c r="S78" s="197">
        <f t="shared" si="13"/>
        <v>75349</v>
      </c>
      <c r="W78" s="197">
        <f t="shared" si="8"/>
        <v>144.49999999999997</v>
      </c>
      <c r="AB78" s="197">
        <f t="shared" si="9"/>
        <v>0</v>
      </c>
      <c r="AC78" s="197">
        <f t="shared" si="10"/>
        <v>0</v>
      </c>
      <c r="AD78" s="197">
        <f t="shared" si="14"/>
        <v>156.30000000000001</v>
      </c>
      <c r="AE78" s="197">
        <f t="shared" si="11"/>
        <v>97.922077922077918</v>
      </c>
    </row>
    <row r="79" spans="1:31">
      <c r="A79" s="197">
        <v>2010</v>
      </c>
      <c r="B79" s="197">
        <v>11</v>
      </c>
      <c r="C79" s="197">
        <v>17</v>
      </c>
      <c r="D79" s="197">
        <v>0.1</v>
      </c>
      <c r="E79" s="197">
        <f t="shared" si="12"/>
        <v>156.4</v>
      </c>
      <c r="I79" s="197">
        <v>262</v>
      </c>
      <c r="J79" s="197">
        <v>8.5</v>
      </c>
      <c r="K79" s="197">
        <v>5</v>
      </c>
      <c r="L79" s="197">
        <v>-0.5</v>
      </c>
      <c r="M79" s="197">
        <v>9.3000000000000007</v>
      </c>
      <c r="N79" s="233">
        <v>40499</v>
      </c>
      <c r="O79" s="197">
        <f t="shared" si="15"/>
        <v>1008.8000000000002</v>
      </c>
      <c r="S79" s="197">
        <f t="shared" si="13"/>
        <v>75611</v>
      </c>
      <c r="W79" s="197">
        <f t="shared" si="8"/>
        <v>152.99999999999997</v>
      </c>
      <c r="AB79" s="197">
        <f t="shared" si="9"/>
        <v>0</v>
      </c>
      <c r="AC79" s="197">
        <f t="shared" si="10"/>
        <v>0</v>
      </c>
      <c r="AD79" s="197">
        <f t="shared" si="14"/>
        <v>156.4</v>
      </c>
      <c r="AE79" s="197">
        <f t="shared" si="11"/>
        <v>52.4</v>
      </c>
    </row>
    <row r="80" spans="1:31">
      <c r="A80" s="197">
        <v>2010</v>
      </c>
      <c r="B80" s="197">
        <v>11</v>
      </c>
      <c r="C80" s="197">
        <v>18</v>
      </c>
      <c r="D80" s="197">
        <v>1.2</v>
      </c>
      <c r="E80" s="197">
        <f t="shared" si="12"/>
        <v>157.6</v>
      </c>
      <c r="I80" s="197">
        <v>518</v>
      </c>
      <c r="J80" s="197">
        <v>0</v>
      </c>
      <c r="K80" s="197">
        <v>9</v>
      </c>
      <c r="L80" s="197">
        <v>7</v>
      </c>
      <c r="M80" s="197">
        <v>12</v>
      </c>
      <c r="N80" s="233">
        <v>40500</v>
      </c>
      <c r="O80" s="197">
        <f t="shared" si="15"/>
        <v>1017.8000000000002</v>
      </c>
      <c r="S80" s="197">
        <f t="shared" si="13"/>
        <v>76129</v>
      </c>
      <c r="W80" s="197">
        <f t="shared" si="8"/>
        <v>152.99999999999997</v>
      </c>
      <c r="AB80" s="197">
        <f t="shared" si="9"/>
        <v>0</v>
      </c>
      <c r="AC80" s="197">
        <f t="shared" si="10"/>
        <v>0</v>
      </c>
      <c r="AD80" s="197">
        <f t="shared" si="14"/>
        <v>157.6</v>
      </c>
      <c r="AE80" s="197">
        <f t="shared" si="11"/>
        <v>57.555555555555557</v>
      </c>
    </row>
    <row r="81" spans="1:31">
      <c r="A81" s="197">
        <v>2010</v>
      </c>
      <c r="B81" s="197">
        <v>11</v>
      </c>
      <c r="C81" s="197">
        <v>19</v>
      </c>
      <c r="D81" s="197">
        <v>0.8</v>
      </c>
      <c r="E81" s="197">
        <f t="shared" si="12"/>
        <v>158.4</v>
      </c>
      <c r="I81" s="197">
        <v>559</v>
      </c>
      <c r="J81" s="197">
        <v>0</v>
      </c>
      <c r="K81" s="197">
        <v>8.4</v>
      </c>
      <c r="L81" s="197">
        <v>3.7</v>
      </c>
      <c r="M81" s="197">
        <v>12.4</v>
      </c>
      <c r="N81" s="233">
        <v>40501</v>
      </c>
      <c r="O81" s="197">
        <f t="shared" si="15"/>
        <v>1026.2000000000003</v>
      </c>
      <c r="S81" s="197">
        <f t="shared" si="13"/>
        <v>76688</v>
      </c>
      <c r="W81" s="197">
        <f t="shared" si="8"/>
        <v>152.99999999999997</v>
      </c>
      <c r="AB81" s="197">
        <f t="shared" si="9"/>
        <v>0</v>
      </c>
      <c r="AC81" s="197">
        <f t="shared" si="10"/>
        <v>0</v>
      </c>
      <c r="AD81" s="197">
        <f t="shared" si="14"/>
        <v>158.4</v>
      </c>
      <c r="AE81" s="197">
        <f t="shared" si="11"/>
        <v>66.547619047619051</v>
      </c>
    </row>
    <row r="82" spans="1:31">
      <c r="A82" s="197">
        <v>2010</v>
      </c>
      <c r="B82" s="197">
        <v>11</v>
      </c>
      <c r="C82" s="197">
        <v>20</v>
      </c>
      <c r="D82" s="197">
        <v>0.4</v>
      </c>
      <c r="E82" s="197">
        <f t="shared" si="12"/>
        <v>158.80000000000001</v>
      </c>
      <c r="I82" s="197">
        <v>485</v>
      </c>
      <c r="J82" s="197">
        <v>1</v>
      </c>
      <c r="K82" s="197">
        <v>8.9</v>
      </c>
      <c r="L82" s="197">
        <v>7.1</v>
      </c>
      <c r="M82" s="197">
        <v>12.3</v>
      </c>
      <c r="N82" s="233">
        <v>40502</v>
      </c>
      <c r="O82" s="197">
        <f t="shared" si="15"/>
        <v>1035.1000000000004</v>
      </c>
      <c r="S82" s="197">
        <f t="shared" si="13"/>
        <v>77173</v>
      </c>
      <c r="W82" s="197">
        <f t="shared" si="8"/>
        <v>153.99999999999997</v>
      </c>
      <c r="AB82" s="197">
        <f t="shared" si="9"/>
        <v>0</v>
      </c>
      <c r="AC82" s="197">
        <f t="shared" si="10"/>
        <v>0</v>
      </c>
      <c r="AD82" s="197">
        <f t="shared" si="14"/>
        <v>158.80000000000001</v>
      </c>
      <c r="AE82" s="197">
        <f t="shared" si="11"/>
        <v>54.49438202247191</v>
      </c>
    </row>
    <row r="83" spans="1:31">
      <c r="A83" s="197">
        <v>2010</v>
      </c>
      <c r="B83" s="197">
        <v>11</v>
      </c>
      <c r="C83" s="197">
        <v>21</v>
      </c>
      <c r="D83" s="197">
        <v>0.5</v>
      </c>
      <c r="E83" s="197">
        <f t="shared" si="12"/>
        <v>159.30000000000001</v>
      </c>
      <c r="I83" s="197">
        <v>455</v>
      </c>
      <c r="J83" s="197">
        <v>12.1</v>
      </c>
      <c r="K83" s="197">
        <v>8</v>
      </c>
      <c r="L83" s="197">
        <v>4.7</v>
      </c>
      <c r="M83" s="197">
        <v>11.5</v>
      </c>
      <c r="N83" s="233">
        <v>40503</v>
      </c>
      <c r="O83" s="197">
        <f t="shared" si="15"/>
        <v>1043.1000000000004</v>
      </c>
      <c r="S83" s="197">
        <f t="shared" si="13"/>
        <v>77628</v>
      </c>
      <c r="W83" s="197">
        <f t="shared" si="8"/>
        <v>166.09999999999997</v>
      </c>
      <c r="AB83" s="197">
        <f t="shared" si="9"/>
        <v>0</v>
      </c>
      <c r="AC83" s="197">
        <f t="shared" si="10"/>
        <v>0</v>
      </c>
      <c r="AD83" s="197">
        <f t="shared" si="14"/>
        <v>159.30000000000001</v>
      </c>
      <c r="AE83" s="197">
        <f t="shared" si="11"/>
        <v>56.875</v>
      </c>
    </row>
    <row r="84" spans="1:31">
      <c r="A84" s="197">
        <v>2010</v>
      </c>
      <c r="B84" s="197">
        <v>11</v>
      </c>
      <c r="C84" s="197">
        <v>22</v>
      </c>
      <c r="D84" s="197">
        <v>0.8</v>
      </c>
      <c r="E84" s="197">
        <f t="shared" si="12"/>
        <v>160.10000000000002</v>
      </c>
      <c r="I84" s="197">
        <v>283</v>
      </c>
      <c r="J84" s="197">
        <v>0.8</v>
      </c>
      <c r="K84" s="197">
        <v>7.7</v>
      </c>
      <c r="L84" s="197">
        <v>7.1</v>
      </c>
      <c r="M84" s="197">
        <v>9.1</v>
      </c>
      <c r="N84" s="233">
        <v>40504</v>
      </c>
      <c r="O84" s="197">
        <f t="shared" si="15"/>
        <v>1050.8000000000004</v>
      </c>
      <c r="S84" s="197">
        <f t="shared" si="13"/>
        <v>77911</v>
      </c>
      <c r="W84" s="197">
        <f t="shared" si="8"/>
        <v>166.89999999999998</v>
      </c>
      <c r="AB84" s="197">
        <f t="shared" si="9"/>
        <v>0</v>
      </c>
      <c r="AC84" s="197">
        <f t="shared" si="10"/>
        <v>0</v>
      </c>
      <c r="AD84" s="197">
        <f t="shared" si="14"/>
        <v>160.10000000000002</v>
      </c>
      <c r="AE84" s="197">
        <f t="shared" si="11"/>
        <v>36.753246753246749</v>
      </c>
    </row>
    <row r="85" spans="1:31">
      <c r="A85" s="197">
        <v>2010</v>
      </c>
      <c r="B85" s="197">
        <v>11</v>
      </c>
      <c r="C85" s="197">
        <v>23</v>
      </c>
      <c r="D85" s="197">
        <v>0.8</v>
      </c>
      <c r="E85" s="197">
        <f t="shared" si="12"/>
        <v>160.90000000000003</v>
      </c>
      <c r="I85" s="197">
        <v>465</v>
      </c>
      <c r="J85" s="197">
        <v>0</v>
      </c>
      <c r="K85" s="197">
        <v>6.2</v>
      </c>
      <c r="L85" s="197">
        <v>5</v>
      </c>
      <c r="M85" s="197">
        <v>10</v>
      </c>
      <c r="N85" s="233">
        <v>40505</v>
      </c>
      <c r="O85" s="197">
        <f t="shared" si="15"/>
        <v>1057.0000000000005</v>
      </c>
      <c r="S85" s="197">
        <f t="shared" si="13"/>
        <v>78376</v>
      </c>
      <c r="W85" s="197">
        <f t="shared" si="8"/>
        <v>166.89999999999998</v>
      </c>
      <c r="AB85" s="197">
        <f t="shared" si="9"/>
        <v>0</v>
      </c>
      <c r="AC85" s="197">
        <f t="shared" si="10"/>
        <v>0</v>
      </c>
      <c r="AD85" s="197">
        <f t="shared" si="14"/>
        <v>160.90000000000003</v>
      </c>
      <c r="AE85" s="197">
        <f t="shared" si="11"/>
        <v>75</v>
      </c>
    </row>
    <row r="86" spans="1:31">
      <c r="A86" s="197">
        <v>2010</v>
      </c>
      <c r="B86" s="197">
        <v>11</v>
      </c>
      <c r="C86" s="197">
        <v>24</v>
      </c>
      <c r="D86" s="197">
        <v>0.3</v>
      </c>
      <c r="E86" s="197">
        <f t="shared" si="12"/>
        <v>161.20000000000005</v>
      </c>
      <c r="I86" s="197">
        <v>688</v>
      </c>
      <c r="J86" s="197">
        <v>0</v>
      </c>
      <c r="K86" s="197">
        <v>2.9</v>
      </c>
      <c r="L86" s="197">
        <v>-0.8</v>
      </c>
      <c r="M86" s="197">
        <v>8.6</v>
      </c>
      <c r="N86" s="233">
        <v>40506</v>
      </c>
      <c r="O86" s="197">
        <f t="shared" si="15"/>
        <v>1059.9000000000005</v>
      </c>
      <c r="S86" s="197">
        <f t="shared" si="13"/>
        <v>79064</v>
      </c>
      <c r="W86" s="197">
        <f t="shared" si="8"/>
        <v>166.89999999999998</v>
      </c>
      <c r="AB86" s="197">
        <f t="shared" si="9"/>
        <v>0</v>
      </c>
      <c r="AC86" s="197">
        <f t="shared" si="10"/>
        <v>1</v>
      </c>
      <c r="AD86" s="197">
        <f t="shared" si="14"/>
        <v>161.20000000000005</v>
      </c>
      <c r="AE86" s="197">
        <f t="shared" si="11"/>
        <v>237.24137931034483</v>
      </c>
    </row>
    <row r="87" spans="1:31">
      <c r="A87" s="197">
        <v>2010</v>
      </c>
      <c r="B87" s="197">
        <v>11</v>
      </c>
      <c r="C87" s="197">
        <v>25</v>
      </c>
      <c r="D87" s="197">
        <v>0.5</v>
      </c>
      <c r="E87" s="197">
        <f t="shared" si="12"/>
        <v>161.70000000000005</v>
      </c>
      <c r="I87" s="197">
        <v>223</v>
      </c>
      <c r="J87" s="197">
        <v>2.4</v>
      </c>
      <c r="K87" s="197">
        <v>4.7</v>
      </c>
      <c r="L87" s="197">
        <v>1.2</v>
      </c>
      <c r="M87" s="197">
        <v>8.1</v>
      </c>
      <c r="N87" s="233">
        <v>40507</v>
      </c>
      <c r="O87" s="197">
        <f t="shared" si="15"/>
        <v>1064.6000000000006</v>
      </c>
      <c r="S87" s="197">
        <f t="shared" si="13"/>
        <v>79287</v>
      </c>
      <c r="W87" s="197">
        <f t="shared" si="8"/>
        <v>169.29999999999998</v>
      </c>
      <c r="AB87" s="197">
        <f t="shared" si="9"/>
        <v>0</v>
      </c>
      <c r="AC87" s="197">
        <f t="shared" si="10"/>
        <v>0</v>
      </c>
      <c r="AD87" s="197">
        <f t="shared" si="14"/>
        <v>161.70000000000005</v>
      </c>
      <c r="AE87" s="197">
        <f t="shared" si="11"/>
        <v>47.446808510638299</v>
      </c>
    </row>
    <row r="88" spans="1:31">
      <c r="A88" s="197">
        <v>2010</v>
      </c>
      <c r="B88" s="197">
        <v>11</v>
      </c>
      <c r="C88" s="197">
        <v>26</v>
      </c>
      <c r="D88" s="197">
        <v>0.6</v>
      </c>
      <c r="E88" s="197">
        <f t="shared" si="12"/>
        <v>162.30000000000004</v>
      </c>
      <c r="I88" s="197">
        <v>655</v>
      </c>
      <c r="J88" s="197">
        <v>0</v>
      </c>
      <c r="K88" s="197">
        <v>2.7</v>
      </c>
      <c r="L88" s="197">
        <v>1.1000000000000001</v>
      </c>
      <c r="M88" s="197">
        <v>7.1</v>
      </c>
      <c r="N88" s="233">
        <v>40508</v>
      </c>
      <c r="O88" s="197">
        <f t="shared" si="15"/>
        <v>1067.3000000000006</v>
      </c>
      <c r="S88" s="197">
        <f t="shared" si="13"/>
        <v>79942</v>
      </c>
      <c r="W88" s="197">
        <f t="shared" si="8"/>
        <v>169.29999999999998</v>
      </c>
      <c r="AB88" s="197">
        <f t="shared" si="9"/>
        <v>0</v>
      </c>
      <c r="AC88" s="197">
        <f t="shared" si="10"/>
        <v>1</v>
      </c>
      <c r="AD88" s="197">
        <f t="shared" si="14"/>
        <v>162.30000000000004</v>
      </c>
      <c r="AE88" s="197">
        <f t="shared" si="11"/>
        <v>242.59259259259258</v>
      </c>
    </row>
    <row r="89" spans="1:31">
      <c r="A89" s="197">
        <v>2010</v>
      </c>
      <c r="B89" s="197">
        <v>11</v>
      </c>
      <c r="C89" s="197">
        <v>27</v>
      </c>
      <c r="D89" s="197">
        <v>0.4</v>
      </c>
      <c r="E89" s="197">
        <f t="shared" si="12"/>
        <v>162.70000000000005</v>
      </c>
      <c r="I89" s="197">
        <v>283</v>
      </c>
      <c r="J89" s="197">
        <v>1.6</v>
      </c>
      <c r="K89" s="197">
        <v>2</v>
      </c>
      <c r="L89" s="197">
        <v>-2.9</v>
      </c>
      <c r="M89" s="197">
        <v>6.5</v>
      </c>
      <c r="N89" s="233">
        <v>40509</v>
      </c>
      <c r="O89" s="197">
        <f t="shared" si="15"/>
        <v>1069.3000000000006</v>
      </c>
      <c r="S89" s="197">
        <f t="shared" si="13"/>
        <v>80225</v>
      </c>
      <c r="W89" s="197">
        <f t="shared" si="8"/>
        <v>170.89999999999998</v>
      </c>
      <c r="AB89" s="197">
        <f t="shared" si="9"/>
        <v>0</v>
      </c>
      <c r="AC89" s="197">
        <f t="shared" si="10"/>
        <v>1</v>
      </c>
      <c r="AD89" s="197">
        <f t="shared" si="14"/>
        <v>162.70000000000005</v>
      </c>
      <c r="AE89" s="197">
        <f t="shared" si="11"/>
        <v>141.5</v>
      </c>
    </row>
    <row r="90" spans="1:31">
      <c r="A90" s="197">
        <v>2010</v>
      </c>
      <c r="B90" s="197">
        <v>11</v>
      </c>
      <c r="C90" s="197">
        <v>28</v>
      </c>
      <c r="D90" s="197">
        <v>0.4</v>
      </c>
      <c r="E90" s="197">
        <f t="shared" si="12"/>
        <v>163.10000000000005</v>
      </c>
      <c r="I90" s="197">
        <v>632</v>
      </c>
      <c r="J90" s="197">
        <v>0</v>
      </c>
      <c r="K90" s="197">
        <v>2.5</v>
      </c>
      <c r="L90" s="197">
        <v>-3</v>
      </c>
      <c r="M90" s="197">
        <v>7.5</v>
      </c>
      <c r="N90" s="233">
        <v>40510</v>
      </c>
      <c r="O90" s="197">
        <f t="shared" si="15"/>
        <v>1071.8000000000006</v>
      </c>
      <c r="S90" s="197">
        <f t="shared" si="13"/>
        <v>80857</v>
      </c>
      <c r="W90" s="197">
        <f t="shared" si="8"/>
        <v>170.89999999999998</v>
      </c>
      <c r="AB90" s="197">
        <f t="shared" si="9"/>
        <v>0</v>
      </c>
      <c r="AC90" s="197">
        <f t="shared" si="10"/>
        <v>1</v>
      </c>
      <c r="AD90" s="197">
        <f t="shared" si="14"/>
        <v>163.10000000000005</v>
      </c>
      <c r="AE90" s="197">
        <f t="shared" si="11"/>
        <v>252.8</v>
      </c>
    </row>
    <row r="91" spans="1:31">
      <c r="A91" s="197">
        <v>2010</v>
      </c>
      <c r="B91" s="197">
        <v>11</v>
      </c>
      <c r="C91" s="197">
        <v>29</v>
      </c>
      <c r="D91" s="197">
        <v>0.2</v>
      </c>
      <c r="E91" s="197">
        <f t="shared" si="12"/>
        <v>163.30000000000004</v>
      </c>
      <c r="I91" s="197">
        <v>681</v>
      </c>
      <c r="J91" s="197">
        <v>0</v>
      </c>
      <c r="K91" s="197">
        <v>3</v>
      </c>
      <c r="L91" s="197">
        <v>-2.6</v>
      </c>
      <c r="M91" s="197">
        <v>8.5</v>
      </c>
      <c r="N91" s="233">
        <v>40511</v>
      </c>
      <c r="O91" s="197">
        <f t="shared" si="15"/>
        <v>1074.8000000000006</v>
      </c>
      <c r="S91" s="197">
        <f t="shared" si="13"/>
        <v>81538</v>
      </c>
      <c r="W91" s="197">
        <f t="shared" si="8"/>
        <v>170.89999999999998</v>
      </c>
      <c r="AB91" s="197">
        <f t="shared" si="9"/>
        <v>0</v>
      </c>
      <c r="AC91" s="197">
        <f t="shared" si="10"/>
        <v>1</v>
      </c>
      <c r="AD91" s="197">
        <f t="shared" si="14"/>
        <v>163.30000000000004</v>
      </c>
      <c r="AE91" s="197">
        <f t="shared" si="11"/>
        <v>227</v>
      </c>
    </row>
    <row r="92" spans="1:31">
      <c r="A92" s="197">
        <v>2010</v>
      </c>
      <c r="B92" s="197">
        <v>11</v>
      </c>
      <c r="C92" s="197">
        <v>30</v>
      </c>
      <c r="D92" s="197">
        <v>0.7</v>
      </c>
      <c r="E92" s="197">
        <f t="shared" si="12"/>
        <v>164.00000000000003</v>
      </c>
      <c r="I92" s="197">
        <v>458</v>
      </c>
      <c r="J92" s="197">
        <v>0</v>
      </c>
      <c r="K92" s="197">
        <v>5.2</v>
      </c>
      <c r="L92" s="197">
        <v>2.7</v>
      </c>
      <c r="M92" s="197">
        <v>9.6</v>
      </c>
      <c r="N92" s="233">
        <v>40512</v>
      </c>
      <c r="O92" s="197">
        <f t="shared" si="15"/>
        <v>1080.0000000000007</v>
      </c>
      <c r="S92" s="197">
        <f t="shared" si="13"/>
        <v>81996</v>
      </c>
      <c r="W92" s="197">
        <f t="shared" si="8"/>
        <v>170.89999999999998</v>
      </c>
      <c r="AB92" s="197">
        <f t="shared" si="9"/>
        <v>0</v>
      </c>
      <c r="AC92" s="197">
        <f t="shared" si="10"/>
        <v>0</v>
      </c>
      <c r="AD92" s="197">
        <f t="shared" si="14"/>
        <v>164.00000000000003</v>
      </c>
      <c r="AE92" s="197">
        <f t="shared" si="11"/>
        <v>88.07692307692308</v>
      </c>
    </row>
    <row r="93" spans="1:31">
      <c r="A93" s="197">
        <v>2010</v>
      </c>
      <c r="B93" s="197">
        <v>12</v>
      </c>
      <c r="C93" s="197">
        <v>1</v>
      </c>
      <c r="D93" s="197">
        <v>0.4</v>
      </c>
      <c r="E93" s="197">
        <f t="shared" si="12"/>
        <v>164.40000000000003</v>
      </c>
      <c r="I93" s="197">
        <v>134</v>
      </c>
      <c r="J93" s="197">
        <v>0</v>
      </c>
      <c r="K93" s="197">
        <v>1.7</v>
      </c>
      <c r="L93" s="197">
        <v>0.2</v>
      </c>
      <c r="M93" s="197">
        <v>4.9000000000000004</v>
      </c>
      <c r="N93" s="233">
        <v>40513</v>
      </c>
      <c r="O93" s="197">
        <f t="shared" si="15"/>
        <v>1081.7000000000007</v>
      </c>
      <c r="S93" s="197">
        <f t="shared" si="13"/>
        <v>82130</v>
      </c>
      <c r="W93" s="197">
        <f t="shared" si="8"/>
        <v>170.89999999999998</v>
      </c>
      <c r="AB93" s="197">
        <f t="shared" si="9"/>
        <v>0</v>
      </c>
      <c r="AC93" s="197">
        <f t="shared" si="10"/>
        <v>1</v>
      </c>
      <c r="AD93" s="197">
        <f t="shared" si="14"/>
        <v>164.40000000000003</v>
      </c>
      <c r="AE93" s="197">
        <f t="shared" si="11"/>
        <v>78.82352941176471</v>
      </c>
    </row>
    <row r="94" spans="1:31">
      <c r="A94" s="197">
        <v>2010</v>
      </c>
      <c r="B94" s="197">
        <v>12</v>
      </c>
      <c r="C94" s="197">
        <v>2</v>
      </c>
      <c r="D94" s="197">
        <v>0.3</v>
      </c>
      <c r="E94" s="197">
        <f t="shared" si="12"/>
        <v>164.70000000000005</v>
      </c>
      <c r="I94" s="197">
        <v>445</v>
      </c>
      <c r="J94" s="197">
        <v>0.4</v>
      </c>
      <c r="K94" s="197">
        <v>1.4</v>
      </c>
      <c r="L94" s="197">
        <v>-3.5</v>
      </c>
      <c r="M94" s="197">
        <v>5.8</v>
      </c>
      <c r="N94" s="233">
        <v>40514</v>
      </c>
      <c r="O94" s="197">
        <f t="shared" si="15"/>
        <v>1083.1000000000008</v>
      </c>
      <c r="S94" s="197">
        <f t="shared" si="13"/>
        <v>82575</v>
      </c>
      <c r="W94" s="197">
        <f t="shared" si="8"/>
        <v>171.29999999999998</v>
      </c>
      <c r="AB94" s="197">
        <f t="shared" si="9"/>
        <v>0</v>
      </c>
      <c r="AC94" s="197">
        <f t="shared" si="10"/>
        <v>1</v>
      </c>
      <c r="AD94" s="197">
        <f t="shared" si="14"/>
        <v>164.70000000000005</v>
      </c>
      <c r="AE94" s="197">
        <f t="shared" si="11"/>
        <v>317.85714285714289</v>
      </c>
    </row>
    <row r="95" spans="1:31">
      <c r="A95" s="197">
        <v>2010</v>
      </c>
      <c r="B95" s="197">
        <v>12</v>
      </c>
      <c r="C95" s="197">
        <v>3</v>
      </c>
      <c r="D95" s="197">
        <v>0.6</v>
      </c>
      <c r="E95" s="197">
        <f t="shared" si="12"/>
        <v>165.30000000000004</v>
      </c>
      <c r="I95" s="197">
        <v>405</v>
      </c>
      <c r="J95" s="197">
        <v>0.6</v>
      </c>
      <c r="K95" s="197">
        <v>1.8</v>
      </c>
      <c r="L95" s="197">
        <v>-1.1000000000000001</v>
      </c>
      <c r="M95" s="197">
        <v>3.9</v>
      </c>
      <c r="N95" s="233">
        <v>40515</v>
      </c>
      <c r="O95" s="197">
        <f t="shared" si="15"/>
        <v>1084.9000000000008</v>
      </c>
      <c r="S95" s="197">
        <f t="shared" si="13"/>
        <v>82980</v>
      </c>
      <c r="W95" s="197">
        <f t="shared" si="8"/>
        <v>171.89999999999998</v>
      </c>
      <c r="AB95" s="197">
        <f t="shared" si="9"/>
        <v>0</v>
      </c>
      <c r="AC95" s="197">
        <f t="shared" si="10"/>
        <v>1</v>
      </c>
      <c r="AD95" s="197">
        <f t="shared" si="14"/>
        <v>165.30000000000004</v>
      </c>
      <c r="AE95" s="197">
        <f t="shared" si="11"/>
        <v>225</v>
      </c>
    </row>
    <row r="96" spans="1:31">
      <c r="A96" s="197">
        <v>2010</v>
      </c>
      <c r="B96" s="197">
        <v>12</v>
      </c>
      <c r="C96" s="197">
        <v>4</v>
      </c>
      <c r="D96" s="197">
        <v>0</v>
      </c>
      <c r="E96" s="197">
        <f t="shared" si="12"/>
        <v>165.30000000000004</v>
      </c>
      <c r="I96" s="197">
        <v>748</v>
      </c>
      <c r="J96" s="197">
        <v>0.2</v>
      </c>
      <c r="K96" s="197">
        <v>2.5</v>
      </c>
      <c r="L96" s="197">
        <v>-1</v>
      </c>
      <c r="M96" s="197">
        <v>7.2</v>
      </c>
      <c r="N96" s="233">
        <v>40516</v>
      </c>
      <c r="O96" s="197">
        <f t="shared" si="15"/>
        <v>1087.4000000000008</v>
      </c>
      <c r="S96" s="197">
        <f t="shared" si="13"/>
        <v>83728</v>
      </c>
      <c r="W96" s="197">
        <f t="shared" si="8"/>
        <v>172.09999999999997</v>
      </c>
      <c r="AB96" s="197">
        <f t="shared" si="9"/>
        <v>0</v>
      </c>
      <c r="AC96" s="197">
        <f t="shared" si="10"/>
        <v>1</v>
      </c>
      <c r="AD96" s="197">
        <f t="shared" si="14"/>
        <v>165.30000000000004</v>
      </c>
      <c r="AE96" s="197">
        <f t="shared" si="11"/>
        <v>299.2</v>
      </c>
    </row>
    <row r="97" spans="1:32">
      <c r="A97" s="197">
        <v>2010</v>
      </c>
      <c r="B97" s="197">
        <v>12</v>
      </c>
      <c r="C97" s="197">
        <v>5</v>
      </c>
      <c r="D97" s="197">
        <v>0.9</v>
      </c>
      <c r="E97" s="197">
        <f t="shared" si="12"/>
        <v>166.20000000000005</v>
      </c>
      <c r="I97" s="197">
        <v>190</v>
      </c>
      <c r="J97" s="197">
        <v>0.4</v>
      </c>
      <c r="K97" s="197">
        <v>8.4</v>
      </c>
      <c r="L97" s="197">
        <v>1.5</v>
      </c>
      <c r="M97" s="197">
        <v>11.3</v>
      </c>
      <c r="N97" s="233">
        <v>40517</v>
      </c>
      <c r="O97" s="197">
        <f t="shared" si="15"/>
        <v>1095.8000000000009</v>
      </c>
      <c r="S97" s="197">
        <f t="shared" si="13"/>
        <v>83918</v>
      </c>
      <c r="W97" s="197">
        <f t="shared" si="8"/>
        <v>172.49999999999997</v>
      </c>
      <c r="AB97" s="197">
        <f t="shared" si="9"/>
        <v>0</v>
      </c>
      <c r="AC97" s="197">
        <f t="shared" si="10"/>
        <v>0</v>
      </c>
      <c r="AD97" s="197">
        <f t="shared" si="14"/>
        <v>166.20000000000005</v>
      </c>
      <c r="AE97" s="197">
        <f t="shared" si="11"/>
        <v>22.619047619047617</v>
      </c>
    </row>
    <row r="98" spans="1:32">
      <c r="A98" s="197">
        <v>2010</v>
      </c>
      <c r="B98" s="197">
        <v>12</v>
      </c>
      <c r="C98" s="197">
        <v>6</v>
      </c>
      <c r="D98" s="197">
        <v>1.2</v>
      </c>
      <c r="E98" s="197">
        <f t="shared" si="12"/>
        <v>167.40000000000003</v>
      </c>
      <c r="I98" s="197">
        <v>294</v>
      </c>
      <c r="J98" s="197">
        <v>0.8</v>
      </c>
      <c r="K98" s="197">
        <v>11.2</v>
      </c>
      <c r="L98" s="197">
        <v>9.8000000000000007</v>
      </c>
      <c r="M98" s="197">
        <v>14.6</v>
      </c>
      <c r="N98" s="233">
        <v>40518</v>
      </c>
      <c r="O98" s="197">
        <f t="shared" si="15"/>
        <v>1107.0000000000009</v>
      </c>
      <c r="S98" s="197">
        <f t="shared" si="13"/>
        <v>84212</v>
      </c>
      <c r="W98" s="197">
        <f t="shared" si="8"/>
        <v>173.29999999999998</v>
      </c>
      <c r="AB98" s="197">
        <f t="shared" si="9"/>
        <v>0</v>
      </c>
      <c r="AC98" s="197">
        <f t="shared" si="10"/>
        <v>0</v>
      </c>
      <c r="AD98" s="197">
        <f t="shared" si="14"/>
        <v>167.40000000000003</v>
      </c>
      <c r="AE98" s="197">
        <f t="shared" si="11"/>
        <v>26.25</v>
      </c>
    </row>
    <row r="99" spans="1:32">
      <c r="A99" s="197">
        <v>2010</v>
      </c>
      <c r="B99" s="197">
        <v>12</v>
      </c>
      <c r="C99" s="197">
        <v>7</v>
      </c>
      <c r="D99" s="197">
        <v>0.4</v>
      </c>
      <c r="E99" s="197">
        <f t="shared" si="12"/>
        <v>167.80000000000004</v>
      </c>
      <c r="I99" s="197">
        <v>589</v>
      </c>
      <c r="J99" s="197">
        <v>0.2</v>
      </c>
      <c r="K99" s="197">
        <v>12</v>
      </c>
      <c r="L99" s="197">
        <v>6.8</v>
      </c>
      <c r="M99" s="197">
        <v>15.9</v>
      </c>
      <c r="N99" s="233">
        <v>40519</v>
      </c>
      <c r="O99" s="197">
        <f t="shared" si="15"/>
        <v>1119.0000000000009</v>
      </c>
      <c r="S99" s="197">
        <f t="shared" si="13"/>
        <v>84801</v>
      </c>
      <c r="W99" s="197">
        <f t="shared" si="8"/>
        <v>173.49999999999997</v>
      </c>
      <c r="AB99" s="197">
        <f t="shared" si="9"/>
        <v>0</v>
      </c>
      <c r="AC99" s="197">
        <f t="shared" si="10"/>
        <v>0</v>
      </c>
      <c r="AD99" s="197">
        <f t="shared" si="14"/>
        <v>167.80000000000004</v>
      </c>
      <c r="AE99" s="197">
        <f t="shared" si="11"/>
        <v>49.083333333333336</v>
      </c>
    </row>
    <row r="100" spans="1:32">
      <c r="A100" s="197">
        <v>2010</v>
      </c>
      <c r="B100" s="197">
        <v>12</v>
      </c>
      <c r="C100" s="197">
        <v>8</v>
      </c>
      <c r="D100" s="197">
        <v>0.6</v>
      </c>
      <c r="E100" s="197">
        <f t="shared" si="12"/>
        <v>168.40000000000003</v>
      </c>
      <c r="I100" s="197">
        <v>633</v>
      </c>
      <c r="J100" s="197">
        <v>0</v>
      </c>
      <c r="K100" s="197">
        <v>13.8</v>
      </c>
      <c r="L100" s="197">
        <v>11.4</v>
      </c>
      <c r="M100" s="197">
        <v>18.5</v>
      </c>
      <c r="N100" s="233">
        <v>40520</v>
      </c>
      <c r="O100" s="197">
        <f t="shared" si="15"/>
        <v>1132.8000000000009</v>
      </c>
      <c r="S100" s="197">
        <f t="shared" si="13"/>
        <v>85434</v>
      </c>
      <c r="W100" s="197">
        <f t="shared" si="8"/>
        <v>173.49999999999997</v>
      </c>
      <c r="AB100" s="197">
        <f t="shared" si="9"/>
        <v>0</v>
      </c>
      <c r="AC100" s="197">
        <f t="shared" si="10"/>
        <v>0</v>
      </c>
      <c r="AD100" s="197">
        <f t="shared" si="14"/>
        <v>168.40000000000003</v>
      </c>
      <c r="AE100" s="197">
        <f t="shared" si="11"/>
        <v>45.869565217391305</v>
      </c>
    </row>
    <row r="101" spans="1:32">
      <c r="A101" s="197">
        <v>2010</v>
      </c>
      <c r="B101" s="197">
        <v>12</v>
      </c>
      <c r="C101" s="197">
        <v>9</v>
      </c>
      <c r="D101" s="197">
        <v>0.9</v>
      </c>
      <c r="E101" s="197">
        <f t="shared" si="12"/>
        <v>169.30000000000004</v>
      </c>
      <c r="I101" s="197">
        <v>315</v>
      </c>
      <c r="J101" s="197">
        <v>0</v>
      </c>
      <c r="K101" s="197">
        <v>4.8</v>
      </c>
      <c r="L101" s="197">
        <v>4.2</v>
      </c>
      <c r="M101" s="197">
        <v>6.5</v>
      </c>
      <c r="N101" s="233">
        <v>40521</v>
      </c>
      <c r="O101" s="197">
        <f t="shared" si="15"/>
        <v>1137.6000000000008</v>
      </c>
      <c r="S101" s="197">
        <f t="shared" si="13"/>
        <v>85749</v>
      </c>
      <c r="W101" s="197">
        <f t="shared" si="8"/>
        <v>173.49999999999997</v>
      </c>
      <c r="AB101" s="197">
        <f t="shared" si="9"/>
        <v>0</v>
      </c>
      <c r="AC101" s="197">
        <f t="shared" si="10"/>
        <v>0</v>
      </c>
      <c r="AD101" s="197">
        <f t="shared" si="14"/>
        <v>169.30000000000004</v>
      </c>
      <c r="AE101" s="197">
        <f t="shared" si="11"/>
        <v>65.625</v>
      </c>
    </row>
    <row r="102" spans="1:32">
      <c r="A102" s="197">
        <v>2010</v>
      </c>
      <c r="B102" s="197">
        <v>12</v>
      </c>
      <c r="C102" s="197">
        <v>10</v>
      </c>
      <c r="D102" s="197">
        <v>0</v>
      </c>
      <c r="E102" s="197">
        <f t="shared" si="12"/>
        <v>169.30000000000004</v>
      </c>
      <c r="I102" s="197">
        <v>768</v>
      </c>
      <c r="J102" s="197">
        <v>0</v>
      </c>
      <c r="K102" s="197">
        <v>0.4</v>
      </c>
      <c r="L102" s="197">
        <v>-3.9</v>
      </c>
      <c r="M102" s="197">
        <v>6.1</v>
      </c>
      <c r="N102" s="233">
        <v>40522</v>
      </c>
      <c r="O102" s="197">
        <f t="shared" si="15"/>
        <v>1138.0000000000009</v>
      </c>
      <c r="S102" s="197">
        <f t="shared" si="13"/>
        <v>86517</v>
      </c>
      <c r="W102" s="197">
        <f t="shared" si="8"/>
        <v>173.49999999999997</v>
      </c>
      <c r="AB102" s="197">
        <f t="shared" si="9"/>
        <v>0</v>
      </c>
      <c r="AC102" s="197">
        <f t="shared" si="10"/>
        <v>1</v>
      </c>
      <c r="AD102" s="197">
        <f t="shared" si="14"/>
        <v>169.30000000000004</v>
      </c>
      <c r="AE102" s="197">
        <f t="shared" si="11"/>
        <v>1920</v>
      </c>
    </row>
    <row r="103" spans="1:32">
      <c r="A103" s="197">
        <v>2010</v>
      </c>
      <c r="B103" s="197">
        <v>12</v>
      </c>
      <c r="C103" s="197">
        <v>11</v>
      </c>
      <c r="D103" s="197">
        <v>0</v>
      </c>
      <c r="E103" s="197">
        <f t="shared" si="12"/>
        <v>169.30000000000004</v>
      </c>
      <c r="I103" s="197">
        <v>757</v>
      </c>
      <c r="J103" s="197">
        <v>0</v>
      </c>
      <c r="K103" s="197">
        <v>1.7</v>
      </c>
      <c r="L103" s="197">
        <v>-3.9</v>
      </c>
      <c r="M103" s="197">
        <v>9.9</v>
      </c>
      <c r="N103" s="233">
        <v>40523</v>
      </c>
      <c r="O103" s="197">
        <f t="shared" si="15"/>
        <v>1139.700000000001</v>
      </c>
      <c r="S103" s="197">
        <f t="shared" si="13"/>
        <v>87274</v>
      </c>
      <c r="W103" s="197">
        <f t="shared" si="8"/>
        <v>173.49999999999997</v>
      </c>
      <c r="AB103" s="197">
        <f t="shared" si="9"/>
        <v>0</v>
      </c>
      <c r="AC103" s="197">
        <f t="shared" si="10"/>
        <v>1</v>
      </c>
      <c r="AD103" s="197">
        <f t="shared" si="14"/>
        <v>169.30000000000004</v>
      </c>
      <c r="AE103" s="197">
        <f t="shared" si="11"/>
        <v>445.29411764705884</v>
      </c>
    </row>
    <row r="104" spans="1:32">
      <c r="A104" s="197">
        <v>2010</v>
      </c>
      <c r="B104" s="197">
        <v>12</v>
      </c>
      <c r="C104" s="197">
        <v>12</v>
      </c>
      <c r="D104" s="197">
        <v>0.3</v>
      </c>
      <c r="E104" s="197">
        <f t="shared" si="12"/>
        <v>169.60000000000005</v>
      </c>
      <c r="I104" s="197">
        <v>628</v>
      </c>
      <c r="J104" s="197">
        <v>0</v>
      </c>
      <c r="K104" s="197">
        <v>3.2</v>
      </c>
      <c r="L104" s="197">
        <v>-1.9</v>
      </c>
      <c r="M104" s="197">
        <v>11</v>
      </c>
      <c r="N104" s="233">
        <v>40524</v>
      </c>
      <c r="O104" s="197">
        <f t="shared" si="15"/>
        <v>1142.900000000001</v>
      </c>
      <c r="S104" s="197">
        <f t="shared" si="13"/>
        <v>87902</v>
      </c>
      <c r="W104" s="197">
        <f t="shared" si="8"/>
        <v>173.49999999999997</v>
      </c>
      <c r="AB104" s="197">
        <f t="shared" si="9"/>
        <v>0</v>
      </c>
      <c r="AC104" s="197">
        <f t="shared" si="10"/>
        <v>1</v>
      </c>
      <c r="AD104" s="197">
        <f t="shared" si="14"/>
        <v>169.60000000000005</v>
      </c>
      <c r="AE104" s="197">
        <f t="shared" si="11"/>
        <v>196.25</v>
      </c>
    </row>
    <row r="105" spans="1:32">
      <c r="A105" s="197">
        <v>2010</v>
      </c>
      <c r="B105" s="197">
        <v>12</v>
      </c>
      <c r="C105" s="197">
        <v>13</v>
      </c>
      <c r="D105" s="197">
        <v>0</v>
      </c>
      <c r="E105" s="197">
        <f t="shared" si="12"/>
        <v>169.60000000000005</v>
      </c>
      <c r="I105" s="197">
        <v>736</v>
      </c>
      <c r="J105" s="197">
        <v>0</v>
      </c>
      <c r="K105" s="197">
        <v>0.4</v>
      </c>
      <c r="L105" s="197">
        <v>-3.5</v>
      </c>
      <c r="M105" s="197">
        <v>6.1</v>
      </c>
      <c r="N105" s="233">
        <v>40525</v>
      </c>
      <c r="O105" s="197">
        <f t="shared" si="15"/>
        <v>1143.3000000000011</v>
      </c>
      <c r="S105" s="197">
        <f t="shared" si="13"/>
        <v>88638</v>
      </c>
      <c r="W105" s="197">
        <f t="shared" si="8"/>
        <v>173.49999999999997</v>
      </c>
      <c r="AB105" s="197">
        <f t="shared" si="9"/>
        <v>0</v>
      </c>
      <c r="AC105" s="197">
        <f t="shared" si="10"/>
        <v>1</v>
      </c>
      <c r="AD105" s="197">
        <f t="shared" si="14"/>
        <v>169.60000000000005</v>
      </c>
      <c r="AE105" s="197">
        <f t="shared" si="11"/>
        <v>1840</v>
      </c>
    </row>
    <row r="106" spans="1:32" s="234" customFormat="1">
      <c r="A106" s="234">
        <v>2010</v>
      </c>
      <c r="B106" s="234">
        <v>12</v>
      </c>
      <c r="C106" s="234">
        <v>14</v>
      </c>
      <c r="D106" s="234">
        <v>0.1</v>
      </c>
      <c r="E106" s="197">
        <f t="shared" si="12"/>
        <v>169.70000000000005</v>
      </c>
      <c r="F106" s="234">
        <f>0</f>
        <v>0</v>
      </c>
      <c r="I106" s="234">
        <v>783</v>
      </c>
      <c r="J106" s="234">
        <v>0</v>
      </c>
      <c r="K106" s="234">
        <v>-0.4</v>
      </c>
      <c r="L106" s="234">
        <v>-5.0999999999999996</v>
      </c>
      <c r="M106" s="234">
        <v>5.3</v>
      </c>
      <c r="N106" s="235">
        <v>40526</v>
      </c>
      <c r="O106" s="234">
        <f t="shared" si="15"/>
        <v>1143.3000000000011</v>
      </c>
      <c r="P106" s="234">
        <v>0</v>
      </c>
      <c r="S106" s="234">
        <f t="shared" si="13"/>
        <v>89421</v>
      </c>
      <c r="W106" s="234">
        <f t="shared" si="8"/>
        <v>173.49999999999997</v>
      </c>
      <c r="X106" s="234">
        <v>0</v>
      </c>
      <c r="AB106" s="234">
        <f t="shared" si="9"/>
        <v>1</v>
      </c>
      <c r="AC106" s="234">
        <f t="shared" si="10"/>
        <v>1</v>
      </c>
      <c r="AD106" s="234">
        <f t="shared" si="14"/>
        <v>169.70000000000005</v>
      </c>
      <c r="AE106" s="197">
        <f>I106/K106</f>
        <v>-1957.5</v>
      </c>
      <c r="AF106" s="197"/>
    </row>
    <row r="107" spans="1:32">
      <c r="A107" s="197">
        <v>2010</v>
      </c>
      <c r="B107" s="197">
        <v>12</v>
      </c>
      <c r="C107" s="197">
        <v>15</v>
      </c>
      <c r="D107" s="197">
        <v>0.9</v>
      </c>
      <c r="F107" s="197">
        <f>F106+D107</f>
        <v>0.9</v>
      </c>
      <c r="I107" s="197">
        <v>351</v>
      </c>
      <c r="J107" s="197">
        <v>0</v>
      </c>
      <c r="K107" s="197">
        <v>-2.1</v>
      </c>
      <c r="L107" s="197">
        <v>-3.4</v>
      </c>
      <c r="M107" s="197">
        <v>0.7</v>
      </c>
      <c r="N107" s="233">
        <v>40527</v>
      </c>
      <c r="O107" s="197">
        <f t="shared" si="15"/>
        <v>1143.3000000000011</v>
      </c>
      <c r="P107" s="197">
        <f>IF(K107&gt;0,P106+K107,P106)</f>
        <v>0</v>
      </c>
      <c r="S107" s="197">
        <f t="shared" si="13"/>
        <v>89772</v>
      </c>
      <c r="T107" s="197">
        <v>351</v>
      </c>
      <c r="W107" s="197">
        <f t="shared" si="8"/>
        <v>173.49999999999997</v>
      </c>
      <c r="X107" s="197">
        <v>0</v>
      </c>
      <c r="AB107" s="197">
        <f t="shared" si="9"/>
        <v>1</v>
      </c>
      <c r="AC107" s="197">
        <f t="shared" si="10"/>
        <v>1</v>
      </c>
      <c r="AD107" s="197">
        <f t="shared" si="14"/>
        <v>170.60000000000005</v>
      </c>
      <c r="AE107" s="197">
        <f t="shared" si="11"/>
        <v>-167.14285714285714</v>
      </c>
    </row>
    <row r="108" spans="1:32">
      <c r="A108" s="197">
        <v>2010</v>
      </c>
      <c r="B108" s="197">
        <v>12</v>
      </c>
      <c r="C108" s="197">
        <v>16</v>
      </c>
      <c r="D108" s="197">
        <v>1.2</v>
      </c>
      <c r="F108" s="197">
        <f t="shared" ref="F108:F119" si="16">F107+D108</f>
        <v>2.1</v>
      </c>
      <c r="I108" s="197">
        <v>176</v>
      </c>
      <c r="J108" s="197">
        <v>0</v>
      </c>
      <c r="K108" s="197">
        <v>1.4</v>
      </c>
      <c r="L108" s="197">
        <v>-3.5</v>
      </c>
      <c r="M108" s="197">
        <v>6.8</v>
      </c>
      <c r="N108" s="233">
        <v>40528</v>
      </c>
      <c r="O108" s="197">
        <f t="shared" si="15"/>
        <v>1144.7000000000012</v>
      </c>
      <c r="P108" s="197">
        <f t="shared" ref="P108:P119" si="17">IF(K108&gt;0,P107+K108,P107)</f>
        <v>1.4</v>
      </c>
      <c r="S108" s="197">
        <f t="shared" si="13"/>
        <v>89948</v>
      </c>
      <c r="T108" s="197">
        <f>T107+I108</f>
        <v>527</v>
      </c>
      <c r="W108" s="197">
        <f t="shared" si="8"/>
        <v>173.49999999999997</v>
      </c>
      <c r="X108" s="197">
        <v>0</v>
      </c>
      <c r="AB108" s="197">
        <f t="shared" si="9"/>
        <v>0</v>
      </c>
      <c r="AC108" s="197">
        <f t="shared" si="10"/>
        <v>1</v>
      </c>
      <c r="AD108" s="197">
        <f t="shared" si="14"/>
        <v>171.80000000000004</v>
      </c>
      <c r="AE108" s="197">
        <f t="shared" si="11"/>
        <v>125.71428571428572</v>
      </c>
    </row>
    <row r="109" spans="1:32">
      <c r="A109" s="197">
        <v>2010</v>
      </c>
      <c r="B109" s="197">
        <v>12</v>
      </c>
      <c r="C109" s="197">
        <v>17</v>
      </c>
      <c r="D109" s="197">
        <v>0.9</v>
      </c>
      <c r="F109" s="197">
        <f t="shared" si="16"/>
        <v>3</v>
      </c>
      <c r="I109" s="197">
        <v>141</v>
      </c>
      <c r="J109" s="197">
        <v>5.2</v>
      </c>
      <c r="K109" s="197">
        <v>3</v>
      </c>
      <c r="L109" s="197">
        <v>1.6</v>
      </c>
      <c r="M109" s="197">
        <v>7.2</v>
      </c>
      <c r="N109" s="233">
        <v>40529</v>
      </c>
      <c r="O109" s="197">
        <f t="shared" si="15"/>
        <v>1147.7000000000012</v>
      </c>
      <c r="P109" s="197">
        <f t="shared" si="17"/>
        <v>4.4000000000000004</v>
      </c>
      <c r="S109" s="197">
        <f t="shared" si="13"/>
        <v>90089</v>
      </c>
      <c r="T109" s="197">
        <f t="shared" ref="T109:T119" si="18">T108+I109</f>
        <v>668</v>
      </c>
      <c r="W109" s="197">
        <f t="shared" si="8"/>
        <v>178.69999999999996</v>
      </c>
      <c r="X109" s="197">
        <v>5.2</v>
      </c>
      <c r="AB109" s="197">
        <f t="shared" si="9"/>
        <v>0</v>
      </c>
      <c r="AC109" s="197">
        <f t="shared" si="10"/>
        <v>1</v>
      </c>
      <c r="AD109" s="197">
        <f t="shared" si="14"/>
        <v>172.70000000000005</v>
      </c>
      <c r="AE109" s="197">
        <f t="shared" si="11"/>
        <v>47</v>
      </c>
    </row>
    <row r="110" spans="1:32">
      <c r="A110" s="197">
        <v>2010</v>
      </c>
      <c r="B110" s="197">
        <v>12</v>
      </c>
      <c r="C110" s="197">
        <v>18</v>
      </c>
      <c r="D110" s="197">
        <v>0</v>
      </c>
      <c r="F110" s="197">
        <f t="shared" si="16"/>
        <v>3</v>
      </c>
      <c r="I110" s="197">
        <v>786</v>
      </c>
      <c r="J110" s="197">
        <v>0</v>
      </c>
      <c r="K110" s="197">
        <v>0.5</v>
      </c>
      <c r="L110" s="197">
        <v>-4.5999999999999996</v>
      </c>
      <c r="M110" s="197">
        <v>6.8</v>
      </c>
      <c r="N110" s="233">
        <v>40530</v>
      </c>
      <c r="O110" s="197">
        <f t="shared" si="15"/>
        <v>1148.2000000000012</v>
      </c>
      <c r="P110" s="197">
        <f t="shared" si="17"/>
        <v>4.9000000000000004</v>
      </c>
      <c r="S110" s="197">
        <f t="shared" si="13"/>
        <v>90875</v>
      </c>
      <c r="T110" s="197">
        <f t="shared" si="18"/>
        <v>1454</v>
      </c>
      <c r="W110" s="197">
        <f t="shared" si="8"/>
        <v>178.69999999999996</v>
      </c>
      <c r="X110" s="197">
        <v>5.2</v>
      </c>
      <c r="AB110" s="197">
        <f t="shared" si="9"/>
        <v>0</v>
      </c>
      <c r="AC110" s="197">
        <f t="shared" si="10"/>
        <v>1</v>
      </c>
      <c r="AD110" s="197">
        <f t="shared" si="14"/>
        <v>172.70000000000005</v>
      </c>
      <c r="AE110" s="197">
        <f t="shared" si="11"/>
        <v>1572</v>
      </c>
    </row>
    <row r="111" spans="1:32">
      <c r="A111" s="197">
        <v>2010</v>
      </c>
      <c r="B111" s="197">
        <v>12</v>
      </c>
      <c r="C111" s="197">
        <v>19</v>
      </c>
      <c r="D111" s="197">
        <v>0.2</v>
      </c>
      <c r="F111" s="197">
        <f t="shared" si="16"/>
        <v>3.2</v>
      </c>
      <c r="I111" s="197">
        <v>435</v>
      </c>
      <c r="J111" s="197">
        <v>0</v>
      </c>
      <c r="K111" s="197">
        <v>2.8</v>
      </c>
      <c r="L111" s="197">
        <v>-2.2999999999999998</v>
      </c>
      <c r="M111" s="197">
        <v>9.1999999999999993</v>
      </c>
      <c r="N111" s="233">
        <v>40531</v>
      </c>
      <c r="O111" s="197">
        <f t="shared" si="15"/>
        <v>1151.0000000000011</v>
      </c>
      <c r="P111" s="197">
        <f t="shared" si="17"/>
        <v>7.7</v>
      </c>
      <c r="S111" s="197">
        <f t="shared" si="13"/>
        <v>91310</v>
      </c>
      <c r="T111" s="197">
        <f t="shared" si="18"/>
        <v>1889</v>
      </c>
      <c r="W111" s="197">
        <f t="shared" si="8"/>
        <v>178.69999999999996</v>
      </c>
      <c r="X111" s="197">
        <v>5.2</v>
      </c>
      <c r="AB111" s="197">
        <f t="shared" si="9"/>
        <v>0</v>
      </c>
      <c r="AC111" s="197">
        <f t="shared" si="10"/>
        <v>1</v>
      </c>
      <c r="AD111" s="197">
        <f t="shared" si="14"/>
        <v>172.90000000000003</v>
      </c>
      <c r="AE111" s="197">
        <f t="shared" si="11"/>
        <v>155.35714285714286</v>
      </c>
    </row>
    <row r="112" spans="1:32">
      <c r="A112" s="197">
        <v>2010</v>
      </c>
      <c r="B112" s="197">
        <v>12</v>
      </c>
      <c r="C112" s="197">
        <v>20</v>
      </c>
      <c r="D112" s="197">
        <v>0.2</v>
      </c>
      <c r="F112" s="197">
        <f t="shared" si="16"/>
        <v>3.4000000000000004</v>
      </c>
      <c r="I112" s="197">
        <v>573</v>
      </c>
      <c r="J112" s="197">
        <v>0</v>
      </c>
      <c r="K112" s="197">
        <v>6.1</v>
      </c>
      <c r="L112" s="197">
        <v>0.5</v>
      </c>
      <c r="M112" s="197">
        <v>12</v>
      </c>
      <c r="N112" s="233">
        <v>40532</v>
      </c>
      <c r="O112" s="197">
        <f t="shared" si="15"/>
        <v>1157.100000000001</v>
      </c>
      <c r="P112" s="197">
        <f t="shared" si="17"/>
        <v>13.8</v>
      </c>
      <c r="S112" s="197">
        <f t="shared" si="13"/>
        <v>91883</v>
      </c>
      <c r="T112" s="197">
        <f t="shared" si="18"/>
        <v>2462</v>
      </c>
      <c r="W112" s="197">
        <f t="shared" si="8"/>
        <v>178.69999999999996</v>
      </c>
      <c r="X112" s="197">
        <v>5.2</v>
      </c>
      <c r="AB112" s="197">
        <f t="shared" si="9"/>
        <v>0</v>
      </c>
      <c r="AC112" s="197">
        <f t="shared" si="10"/>
        <v>0</v>
      </c>
      <c r="AD112" s="197">
        <f t="shared" si="14"/>
        <v>173.10000000000002</v>
      </c>
      <c r="AE112" s="197">
        <f t="shared" si="11"/>
        <v>93.934426229508205</v>
      </c>
    </row>
    <row r="113" spans="1:32">
      <c r="A113" s="197">
        <v>2010</v>
      </c>
      <c r="B113" s="197">
        <v>12</v>
      </c>
      <c r="C113" s="197">
        <v>21</v>
      </c>
      <c r="D113" s="197">
        <v>0.8</v>
      </c>
      <c r="F113" s="197">
        <f t="shared" si="16"/>
        <v>4.2</v>
      </c>
      <c r="I113" s="197">
        <v>365</v>
      </c>
      <c r="J113" s="197">
        <v>0.2</v>
      </c>
      <c r="K113" s="197">
        <v>8.3000000000000007</v>
      </c>
      <c r="L113" s="197">
        <v>5.9</v>
      </c>
      <c r="M113" s="197">
        <v>11.3</v>
      </c>
      <c r="N113" s="233">
        <v>40533</v>
      </c>
      <c r="O113" s="197">
        <f t="shared" si="15"/>
        <v>1165.400000000001</v>
      </c>
      <c r="P113" s="197">
        <f t="shared" si="17"/>
        <v>22.1</v>
      </c>
      <c r="S113" s="197">
        <f t="shared" si="13"/>
        <v>92248</v>
      </c>
      <c r="T113" s="197">
        <f t="shared" si="18"/>
        <v>2827</v>
      </c>
      <c r="W113" s="197">
        <f t="shared" si="8"/>
        <v>178.89999999999995</v>
      </c>
      <c r="X113" s="197">
        <v>5.4</v>
      </c>
      <c r="AB113" s="197">
        <f t="shared" si="9"/>
        <v>0</v>
      </c>
      <c r="AC113" s="197">
        <f t="shared" si="10"/>
        <v>0</v>
      </c>
      <c r="AD113" s="197">
        <f t="shared" si="14"/>
        <v>173.90000000000003</v>
      </c>
      <c r="AE113" s="197">
        <f t="shared" si="11"/>
        <v>43.975903614457827</v>
      </c>
    </row>
    <row r="114" spans="1:32">
      <c r="A114" s="197">
        <v>2010</v>
      </c>
      <c r="B114" s="197">
        <v>12</v>
      </c>
      <c r="C114" s="197">
        <v>22</v>
      </c>
      <c r="D114" s="197">
        <v>0.4</v>
      </c>
      <c r="F114" s="197">
        <f t="shared" si="16"/>
        <v>4.6000000000000005</v>
      </c>
      <c r="I114" s="197">
        <v>349</v>
      </c>
      <c r="J114" s="197">
        <v>0.4</v>
      </c>
      <c r="K114" s="197">
        <v>9.5</v>
      </c>
      <c r="L114" s="197">
        <v>3.9</v>
      </c>
      <c r="M114" s="197">
        <v>15.1</v>
      </c>
      <c r="N114" s="233">
        <v>40534</v>
      </c>
      <c r="O114" s="197">
        <f t="shared" si="15"/>
        <v>1174.900000000001</v>
      </c>
      <c r="P114" s="197">
        <f t="shared" si="17"/>
        <v>31.6</v>
      </c>
      <c r="S114" s="197">
        <f t="shared" si="13"/>
        <v>92597</v>
      </c>
      <c r="T114" s="197">
        <f t="shared" si="18"/>
        <v>3176</v>
      </c>
      <c r="W114" s="197">
        <f t="shared" si="8"/>
        <v>179.29999999999995</v>
      </c>
      <c r="X114" s="197">
        <v>5.8000000000000007</v>
      </c>
      <c r="AB114" s="197">
        <f t="shared" si="9"/>
        <v>0</v>
      </c>
      <c r="AC114" s="197">
        <f t="shared" si="10"/>
        <v>0</v>
      </c>
      <c r="AD114" s="197">
        <f t="shared" si="14"/>
        <v>174.30000000000004</v>
      </c>
      <c r="AE114" s="197">
        <f t="shared" si="11"/>
        <v>36.736842105263158</v>
      </c>
    </row>
    <row r="115" spans="1:32">
      <c r="A115" s="197">
        <v>2010</v>
      </c>
      <c r="B115" s="197">
        <v>12</v>
      </c>
      <c r="C115" s="197">
        <v>23</v>
      </c>
      <c r="D115" s="197">
        <v>0.4</v>
      </c>
      <c r="F115" s="197">
        <f t="shared" si="16"/>
        <v>5.0000000000000009</v>
      </c>
      <c r="I115" s="197">
        <v>98</v>
      </c>
      <c r="J115" s="197">
        <v>16.899999999999999</v>
      </c>
      <c r="K115" s="197">
        <v>7.1</v>
      </c>
      <c r="L115" s="197">
        <v>5.4</v>
      </c>
      <c r="M115" s="197">
        <v>9.3000000000000007</v>
      </c>
      <c r="N115" s="233">
        <v>40535</v>
      </c>
      <c r="O115" s="197">
        <f t="shared" si="15"/>
        <v>1182.0000000000009</v>
      </c>
      <c r="P115" s="197">
        <f t="shared" si="17"/>
        <v>38.700000000000003</v>
      </c>
      <c r="S115" s="197">
        <f t="shared" si="13"/>
        <v>92695</v>
      </c>
      <c r="T115" s="197">
        <f t="shared" si="18"/>
        <v>3274</v>
      </c>
      <c r="W115" s="197">
        <f t="shared" si="8"/>
        <v>196.19999999999996</v>
      </c>
      <c r="X115" s="197">
        <v>22.7</v>
      </c>
      <c r="AB115" s="197">
        <f t="shared" si="9"/>
        <v>0</v>
      </c>
      <c r="AC115" s="197">
        <f t="shared" si="10"/>
        <v>0</v>
      </c>
      <c r="AD115" s="197">
        <f t="shared" si="14"/>
        <v>174.70000000000005</v>
      </c>
      <c r="AE115" s="197">
        <f t="shared" si="11"/>
        <v>13.802816901408452</v>
      </c>
    </row>
    <row r="116" spans="1:32">
      <c r="A116" s="197">
        <v>2010</v>
      </c>
      <c r="B116" s="197">
        <v>12</v>
      </c>
      <c r="C116" s="197">
        <v>24</v>
      </c>
      <c r="D116" s="197">
        <v>0.7</v>
      </c>
      <c r="F116" s="197">
        <f t="shared" si="16"/>
        <v>5.7000000000000011</v>
      </c>
      <c r="I116" s="197">
        <v>218</v>
      </c>
      <c r="J116" s="197">
        <v>0.2</v>
      </c>
      <c r="K116" s="197">
        <v>2.1</v>
      </c>
      <c r="L116" s="197">
        <v>0.6</v>
      </c>
      <c r="M116" s="197">
        <v>4</v>
      </c>
      <c r="N116" s="233">
        <v>40536</v>
      </c>
      <c r="O116" s="197">
        <f t="shared" si="15"/>
        <v>1184.1000000000008</v>
      </c>
      <c r="P116" s="197">
        <f t="shared" si="17"/>
        <v>40.800000000000004</v>
      </c>
      <c r="S116" s="197">
        <f t="shared" si="13"/>
        <v>92913</v>
      </c>
      <c r="T116" s="197">
        <f t="shared" si="18"/>
        <v>3492</v>
      </c>
      <c r="W116" s="197">
        <f t="shared" si="8"/>
        <v>196.39999999999995</v>
      </c>
      <c r="X116" s="197">
        <v>22.9</v>
      </c>
      <c r="AB116" s="197">
        <f t="shared" si="9"/>
        <v>0</v>
      </c>
      <c r="AC116" s="197">
        <f t="shared" si="10"/>
        <v>1</v>
      </c>
      <c r="AD116" s="197">
        <f t="shared" si="14"/>
        <v>175.40000000000003</v>
      </c>
      <c r="AE116" s="197">
        <f t="shared" si="11"/>
        <v>103.80952380952381</v>
      </c>
    </row>
    <row r="117" spans="1:32">
      <c r="A117" s="197">
        <v>2010</v>
      </c>
      <c r="B117" s="197">
        <v>12</v>
      </c>
      <c r="C117" s="197">
        <v>25</v>
      </c>
      <c r="D117" s="197">
        <v>1</v>
      </c>
      <c r="F117" s="197">
        <f t="shared" si="16"/>
        <v>6.7000000000000011</v>
      </c>
      <c r="I117" s="197">
        <v>162</v>
      </c>
      <c r="J117" s="197">
        <v>0</v>
      </c>
      <c r="K117" s="197">
        <v>-0.3</v>
      </c>
      <c r="L117" s="197">
        <v>-0.8</v>
      </c>
      <c r="M117" s="197">
        <v>0.7</v>
      </c>
      <c r="N117" s="233">
        <v>40537</v>
      </c>
      <c r="O117" s="197">
        <f t="shared" si="15"/>
        <v>1184.1000000000008</v>
      </c>
      <c r="P117" s="197">
        <f t="shared" si="17"/>
        <v>40.800000000000004</v>
      </c>
      <c r="S117" s="197">
        <f t="shared" si="13"/>
        <v>93075</v>
      </c>
      <c r="T117" s="197">
        <f t="shared" si="18"/>
        <v>3654</v>
      </c>
      <c r="W117" s="197">
        <f t="shared" si="8"/>
        <v>196.39999999999995</v>
      </c>
      <c r="X117" s="197">
        <v>22.9</v>
      </c>
      <c r="AB117" s="197">
        <f t="shared" si="9"/>
        <v>1</v>
      </c>
      <c r="AC117" s="197">
        <f t="shared" si="10"/>
        <v>1</v>
      </c>
      <c r="AD117" s="197">
        <f t="shared" si="14"/>
        <v>176.40000000000003</v>
      </c>
      <c r="AE117" s="197">
        <f t="shared" si="11"/>
        <v>-540</v>
      </c>
    </row>
    <row r="118" spans="1:32" s="236" customFormat="1" ht="13.5" customHeight="1">
      <c r="A118" s="236">
        <v>2010</v>
      </c>
      <c r="B118" s="236">
        <v>12</v>
      </c>
      <c r="C118" s="236">
        <v>26</v>
      </c>
      <c r="D118" s="236">
        <v>0</v>
      </c>
      <c r="F118" s="197">
        <f t="shared" si="16"/>
        <v>6.7000000000000011</v>
      </c>
      <c r="I118" s="236">
        <v>779</v>
      </c>
      <c r="J118" s="236">
        <v>0</v>
      </c>
      <c r="K118" s="236">
        <v>-3</v>
      </c>
      <c r="L118" s="236">
        <v>-5.9</v>
      </c>
      <c r="M118" s="236">
        <v>0.9</v>
      </c>
      <c r="N118" s="237">
        <v>40538</v>
      </c>
      <c r="O118" s="236">
        <f t="shared" si="15"/>
        <v>1184.1000000000008</v>
      </c>
      <c r="P118" s="236">
        <f t="shared" si="17"/>
        <v>40.800000000000004</v>
      </c>
      <c r="S118" s="197">
        <f t="shared" si="13"/>
        <v>93854</v>
      </c>
      <c r="T118" s="197">
        <f t="shared" si="18"/>
        <v>4433</v>
      </c>
      <c r="U118" s="197"/>
      <c r="V118" s="197"/>
      <c r="W118" s="236">
        <f t="shared" si="8"/>
        <v>196.39999999999995</v>
      </c>
      <c r="X118" s="236">
        <v>22.9</v>
      </c>
      <c r="Y118" s="197"/>
      <c r="AB118" s="236">
        <f t="shared" si="9"/>
        <v>1</v>
      </c>
      <c r="AC118" s="236">
        <f t="shared" si="10"/>
        <v>1</v>
      </c>
      <c r="AD118" s="197">
        <f t="shared" si="14"/>
        <v>176.40000000000003</v>
      </c>
      <c r="AE118" s="197">
        <f t="shared" si="11"/>
        <v>-259.66666666666669</v>
      </c>
      <c r="AF118" s="197"/>
    </row>
    <row r="119" spans="1:32" s="234" customFormat="1">
      <c r="A119" s="234">
        <v>2010</v>
      </c>
      <c r="B119" s="234">
        <v>12</v>
      </c>
      <c r="C119" s="234">
        <v>27</v>
      </c>
      <c r="D119" s="234">
        <v>0.7</v>
      </c>
      <c r="F119" s="197">
        <f t="shared" si="16"/>
        <v>7.4000000000000012</v>
      </c>
      <c r="G119" s="234">
        <v>0</v>
      </c>
      <c r="I119" s="234">
        <v>647</v>
      </c>
      <c r="J119" s="234">
        <v>0</v>
      </c>
      <c r="K119" s="234">
        <v>0.6</v>
      </c>
      <c r="L119" s="234">
        <v>-6.7</v>
      </c>
      <c r="M119" s="234">
        <v>7.2</v>
      </c>
      <c r="N119" s="235">
        <v>40539</v>
      </c>
      <c r="O119" s="234">
        <f t="shared" si="15"/>
        <v>1184.7000000000007</v>
      </c>
      <c r="P119" s="234">
        <f t="shared" si="17"/>
        <v>41.400000000000006</v>
      </c>
      <c r="S119" s="234">
        <f t="shared" si="13"/>
        <v>94501</v>
      </c>
      <c r="T119" s="234">
        <f t="shared" si="18"/>
        <v>5080</v>
      </c>
      <c r="W119" s="234">
        <f t="shared" si="8"/>
        <v>196.39999999999995</v>
      </c>
      <c r="X119" s="234">
        <v>22.9</v>
      </c>
      <c r="Y119" s="234">
        <v>0</v>
      </c>
      <c r="AB119" s="234">
        <f t="shared" si="9"/>
        <v>0</v>
      </c>
      <c r="AC119" s="234">
        <f t="shared" si="10"/>
        <v>1</v>
      </c>
      <c r="AD119" s="234">
        <f t="shared" si="14"/>
        <v>177.10000000000002</v>
      </c>
      <c r="AE119" s="197">
        <f t="shared" si="11"/>
        <v>1078.3333333333335</v>
      </c>
      <c r="AF119" s="197"/>
    </row>
    <row r="120" spans="1:32">
      <c r="A120" s="197">
        <v>2010</v>
      </c>
      <c r="B120" s="197">
        <v>12</v>
      </c>
      <c r="C120" s="197">
        <v>28</v>
      </c>
      <c r="D120" s="197">
        <v>0.6</v>
      </c>
      <c r="G120" s="197">
        <f>G119+D120</f>
        <v>0.6</v>
      </c>
      <c r="I120" s="197">
        <v>536</v>
      </c>
      <c r="J120" s="197">
        <v>0</v>
      </c>
      <c r="K120" s="197">
        <v>6</v>
      </c>
      <c r="L120" s="197">
        <v>2</v>
      </c>
      <c r="M120" s="197">
        <v>10.5</v>
      </c>
      <c r="N120" s="233">
        <v>40540</v>
      </c>
      <c r="O120" s="197">
        <f t="shared" si="15"/>
        <v>1190.7000000000007</v>
      </c>
      <c r="Q120" s="197">
        <v>6</v>
      </c>
      <c r="S120" s="197">
        <f t="shared" si="13"/>
        <v>95037</v>
      </c>
      <c r="U120" s="197">
        <v>536</v>
      </c>
      <c r="W120" s="197">
        <f t="shared" si="8"/>
        <v>196.39999999999995</v>
      </c>
      <c r="Y120" s="197">
        <v>0</v>
      </c>
      <c r="AB120" s="197">
        <f t="shared" si="9"/>
        <v>0</v>
      </c>
      <c r="AC120" s="197">
        <f t="shared" si="10"/>
        <v>0</v>
      </c>
      <c r="AD120" s="197">
        <f t="shared" si="14"/>
        <v>177.70000000000002</v>
      </c>
      <c r="AE120" s="197">
        <f t="shared" si="11"/>
        <v>89.333333333333329</v>
      </c>
    </row>
    <row r="121" spans="1:32">
      <c r="A121" s="197">
        <v>2010</v>
      </c>
      <c r="B121" s="197">
        <v>12</v>
      </c>
      <c r="C121" s="197">
        <v>29</v>
      </c>
      <c r="D121" s="197">
        <v>0.9</v>
      </c>
      <c r="G121" s="197">
        <f t="shared" ref="G121:G184" si="19">G120+D121</f>
        <v>1.5</v>
      </c>
      <c r="I121" s="197">
        <v>401</v>
      </c>
      <c r="J121" s="197">
        <v>0</v>
      </c>
      <c r="K121" s="197">
        <v>8.1999999999999993</v>
      </c>
      <c r="L121" s="197">
        <v>4.8</v>
      </c>
      <c r="M121" s="197">
        <v>11</v>
      </c>
      <c r="N121" s="233">
        <v>40541</v>
      </c>
      <c r="O121" s="197">
        <f t="shared" si="15"/>
        <v>1198.9000000000008</v>
      </c>
      <c r="Q121" s="197">
        <f>IF(K121&gt;0,Q120+K121,Q120)</f>
        <v>14.2</v>
      </c>
      <c r="S121" s="197">
        <f t="shared" si="13"/>
        <v>95438</v>
      </c>
      <c r="U121" s="197">
        <f>U120+I121</f>
        <v>937</v>
      </c>
      <c r="W121" s="197">
        <f t="shared" si="8"/>
        <v>196.39999999999995</v>
      </c>
      <c r="Y121" s="197">
        <v>0</v>
      </c>
      <c r="AB121" s="197">
        <f t="shared" si="9"/>
        <v>0</v>
      </c>
      <c r="AC121" s="197">
        <f t="shared" si="10"/>
        <v>0</v>
      </c>
      <c r="AD121" s="197">
        <f t="shared" si="14"/>
        <v>178.60000000000002</v>
      </c>
      <c r="AE121" s="197">
        <f t="shared" si="11"/>
        <v>48.902439024390247</v>
      </c>
    </row>
    <row r="122" spans="1:32">
      <c r="A122" s="197">
        <v>2010</v>
      </c>
      <c r="B122" s="197">
        <v>12</v>
      </c>
      <c r="C122" s="197">
        <v>30</v>
      </c>
      <c r="D122" s="197">
        <v>1.3</v>
      </c>
      <c r="G122" s="197">
        <f t="shared" si="19"/>
        <v>2.8</v>
      </c>
      <c r="I122" s="197">
        <v>394</v>
      </c>
      <c r="J122" s="197">
        <v>0</v>
      </c>
      <c r="K122" s="197">
        <v>10.4</v>
      </c>
      <c r="L122" s="197">
        <v>6.4</v>
      </c>
      <c r="M122" s="197">
        <v>12.7</v>
      </c>
      <c r="N122" s="233">
        <v>40542</v>
      </c>
      <c r="O122" s="197">
        <f t="shared" si="15"/>
        <v>1209.3000000000009</v>
      </c>
      <c r="Q122" s="197">
        <f t="shared" ref="Q122:Q185" si="20">IF(K122&gt;0,Q121+K122,Q121)</f>
        <v>24.6</v>
      </c>
      <c r="S122" s="197">
        <f t="shared" si="13"/>
        <v>95832</v>
      </c>
      <c r="U122" s="197">
        <f t="shared" ref="U122:U185" si="21">U121+I122</f>
        <v>1331</v>
      </c>
      <c r="W122" s="197">
        <f t="shared" si="8"/>
        <v>196.39999999999995</v>
      </c>
      <c r="Y122" s="197">
        <v>0</v>
      </c>
      <c r="AB122" s="197">
        <f t="shared" si="9"/>
        <v>0</v>
      </c>
      <c r="AC122" s="197">
        <f t="shared" si="10"/>
        <v>0</v>
      </c>
      <c r="AD122" s="197">
        <f t="shared" si="14"/>
        <v>179.90000000000003</v>
      </c>
      <c r="AE122" s="197">
        <f t="shared" si="11"/>
        <v>37.884615384615387</v>
      </c>
    </row>
    <row r="123" spans="1:32">
      <c r="A123" s="197">
        <v>2010</v>
      </c>
      <c r="B123" s="197">
        <v>12</v>
      </c>
      <c r="C123" s="197">
        <v>31</v>
      </c>
      <c r="D123" s="197">
        <v>0.8</v>
      </c>
      <c r="G123" s="197">
        <f t="shared" si="19"/>
        <v>3.5999999999999996</v>
      </c>
      <c r="I123" s="197">
        <v>770</v>
      </c>
      <c r="J123" s="197">
        <v>0</v>
      </c>
      <c r="K123" s="197">
        <v>10.4</v>
      </c>
      <c r="L123" s="197">
        <v>9.5</v>
      </c>
      <c r="M123" s="197">
        <v>14.7</v>
      </c>
      <c r="N123" s="233">
        <v>40543</v>
      </c>
      <c r="O123" s="197">
        <f t="shared" si="15"/>
        <v>1219.700000000001</v>
      </c>
      <c r="Q123" s="197">
        <f t="shared" si="20"/>
        <v>35</v>
      </c>
      <c r="S123" s="197">
        <f t="shared" si="13"/>
        <v>96602</v>
      </c>
      <c r="U123" s="197">
        <f t="shared" si="21"/>
        <v>2101</v>
      </c>
      <c r="W123" s="197">
        <f t="shared" si="8"/>
        <v>196.39999999999995</v>
      </c>
      <c r="Y123" s="197">
        <v>0</v>
      </c>
      <c r="AB123" s="197">
        <f t="shared" si="9"/>
        <v>0</v>
      </c>
      <c r="AC123" s="197">
        <f t="shared" si="10"/>
        <v>0</v>
      </c>
      <c r="AD123" s="197">
        <f t="shared" si="14"/>
        <v>180.70000000000005</v>
      </c>
      <c r="AE123" s="197">
        <f t="shared" si="11"/>
        <v>74.038461538461533</v>
      </c>
    </row>
    <row r="124" spans="1:32">
      <c r="A124" s="197">
        <v>2011</v>
      </c>
      <c r="B124" s="197">
        <v>1</v>
      </c>
      <c r="C124" s="197">
        <v>1</v>
      </c>
      <c r="D124" s="197">
        <v>0.1</v>
      </c>
      <c r="G124" s="197">
        <f t="shared" si="19"/>
        <v>3.6999999999999997</v>
      </c>
      <c r="I124" s="197">
        <v>176</v>
      </c>
      <c r="J124" s="197">
        <v>0</v>
      </c>
      <c r="K124" s="197">
        <v>6.3</v>
      </c>
      <c r="L124" s="197">
        <v>3.1</v>
      </c>
      <c r="M124" s="197">
        <v>9.3000000000000007</v>
      </c>
      <c r="N124" s="233">
        <v>40544</v>
      </c>
      <c r="O124" s="197">
        <f t="shared" si="15"/>
        <v>1226.0000000000009</v>
      </c>
      <c r="Q124" s="197">
        <f t="shared" si="20"/>
        <v>41.3</v>
      </c>
      <c r="S124" s="197">
        <f t="shared" si="13"/>
        <v>96778</v>
      </c>
      <c r="U124" s="197">
        <f t="shared" si="21"/>
        <v>2277</v>
      </c>
      <c r="W124" s="197">
        <f t="shared" si="8"/>
        <v>196.39999999999995</v>
      </c>
      <c r="Y124" s="197">
        <v>0</v>
      </c>
      <c r="AB124" s="197">
        <f t="shared" si="9"/>
        <v>0</v>
      </c>
      <c r="AC124" s="197">
        <f t="shared" si="10"/>
        <v>0</v>
      </c>
      <c r="AD124" s="197">
        <f t="shared" si="14"/>
        <v>180.80000000000004</v>
      </c>
      <c r="AE124" s="197">
        <f t="shared" si="11"/>
        <v>27.936507936507937</v>
      </c>
    </row>
    <row r="125" spans="1:32">
      <c r="A125" s="197">
        <v>2011</v>
      </c>
      <c r="B125" s="197">
        <v>1</v>
      </c>
      <c r="C125" s="197">
        <v>2</v>
      </c>
      <c r="D125" s="197">
        <v>0.1</v>
      </c>
      <c r="G125" s="197">
        <f t="shared" si="19"/>
        <v>3.8</v>
      </c>
      <c r="I125" s="197">
        <v>141</v>
      </c>
      <c r="J125" s="197">
        <v>0</v>
      </c>
      <c r="K125" s="197">
        <v>2.6</v>
      </c>
      <c r="L125" s="197">
        <v>1.3</v>
      </c>
      <c r="M125" s="197">
        <v>3.1</v>
      </c>
      <c r="N125" s="233">
        <v>40545</v>
      </c>
      <c r="O125" s="197">
        <f t="shared" si="15"/>
        <v>1228.6000000000008</v>
      </c>
      <c r="Q125" s="197">
        <f t="shared" si="20"/>
        <v>43.9</v>
      </c>
      <c r="S125" s="197">
        <f t="shared" si="13"/>
        <v>96919</v>
      </c>
      <c r="U125" s="197">
        <f t="shared" si="21"/>
        <v>2418</v>
      </c>
      <c r="W125" s="197">
        <f t="shared" si="8"/>
        <v>196.39999999999995</v>
      </c>
      <c r="Y125" s="197">
        <v>0</v>
      </c>
      <c r="AB125" s="197">
        <f t="shared" si="9"/>
        <v>0</v>
      </c>
      <c r="AC125" s="197">
        <f t="shared" si="10"/>
        <v>1</v>
      </c>
      <c r="AD125" s="197">
        <f t="shared" si="14"/>
        <v>180.90000000000003</v>
      </c>
      <c r="AE125" s="197">
        <f t="shared" si="11"/>
        <v>54.230769230769226</v>
      </c>
    </row>
    <row r="126" spans="1:32">
      <c r="A126" s="197">
        <v>2011</v>
      </c>
      <c r="B126" s="197">
        <v>1</v>
      </c>
      <c r="C126" s="197">
        <v>3</v>
      </c>
      <c r="D126" s="197">
        <v>0.7</v>
      </c>
      <c r="G126" s="197">
        <f t="shared" si="19"/>
        <v>4.5</v>
      </c>
      <c r="I126" s="197">
        <v>218</v>
      </c>
      <c r="J126" s="197">
        <v>0</v>
      </c>
      <c r="K126" s="197">
        <v>1.8</v>
      </c>
      <c r="L126" s="197">
        <v>1.2</v>
      </c>
      <c r="M126" s="197">
        <v>2.7</v>
      </c>
      <c r="N126" s="233">
        <v>40546</v>
      </c>
      <c r="O126" s="197">
        <f t="shared" si="15"/>
        <v>1230.4000000000008</v>
      </c>
      <c r="Q126" s="197">
        <f t="shared" si="20"/>
        <v>45.699999999999996</v>
      </c>
      <c r="S126" s="197">
        <f t="shared" si="13"/>
        <v>97137</v>
      </c>
      <c r="U126" s="197">
        <f t="shared" si="21"/>
        <v>2636</v>
      </c>
      <c r="W126" s="197">
        <f t="shared" si="8"/>
        <v>196.39999999999995</v>
      </c>
      <c r="Y126" s="197">
        <v>0</v>
      </c>
      <c r="AB126" s="197">
        <f t="shared" si="9"/>
        <v>0</v>
      </c>
      <c r="AC126" s="197">
        <f t="shared" si="10"/>
        <v>1</v>
      </c>
      <c r="AD126" s="197">
        <f t="shared" si="14"/>
        <v>181.60000000000002</v>
      </c>
      <c r="AE126" s="197">
        <f t="shared" si="11"/>
        <v>121.11111111111111</v>
      </c>
    </row>
    <row r="127" spans="1:32">
      <c r="A127" s="197">
        <v>2011</v>
      </c>
      <c r="B127" s="197">
        <v>1</v>
      </c>
      <c r="C127" s="197">
        <v>4</v>
      </c>
      <c r="D127" s="197">
        <v>0.3</v>
      </c>
      <c r="G127" s="197">
        <f t="shared" si="19"/>
        <v>4.8</v>
      </c>
      <c r="I127" s="197">
        <v>691</v>
      </c>
      <c r="J127" s="197">
        <v>0.8</v>
      </c>
      <c r="K127" s="197">
        <v>2.6</v>
      </c>
      <c r="L127" s="197">
        <v>0.1</v>
      </c>
      <c r="M127" s="197">
        <v>5.8</v>
      </c>
      <c r="N127" s="233">
        <v>40547</v>
      </c>
      <c r="O127" s="197">
        <f t="shared" si="15"/>
        <v>1233.0000000000007</v>
      </c>
      <c r="Q127" s="197">
        <f t="shared" si="20"/>
        <v>48.3</v>
      </c>
      <c r="S127" s="197">
        <f t="shared" si="13"/>
        <v>97828</v>
      </c>
      <c r="U127" s="197">
        <f t="shared" si="21"/>
        <v>3327</v>
      </c>
      <c r="W127" s="197">
        <f t="shared" si="8"/>
        <v>197.19999999999996</v>
      </c>
      <c r="Y127" s="197">
        <v>0.8</v>
      </c>
      <c r="AB127" s="197">
        <f t="shared" si="9"/>
        <v>0</v>
      </c>
      <c r="AC127" s="197">
        <f t="shared" si="10"/>
        <v>1</v>
      </c>
      <c r="AD127" s="197">
        <f t="shared" si="14"/>
        <v>181.90000000000003</v>
      </c>
      <c r="AE127" s="197">
        <f t="shared" si="11"/>
        <v>265.76923076923077</v>
      </c>
    </row>
    <row r="128" spans="1:32">
      <c r="A128" s="197">
        <v>2011</v>
      </c>
      <c r="B128" s="197">
        <v>1</v>
      </c>
      <c r="C128" s="197">
        <v>5</v>
      </c>
      <c r="D128" s="197">
        <v>0.4</v>
      </c>
      <c r="G128" s="197">
        <f t="shared" si="19"/>
        <v>5.2</v>
      </c>
      <c r="I128" s="197">
        <v>639</v>
      </c>
      <c r="J128" s="197">
        <v>0.2</v>
      </c>
      <c r="K128" s="197">
        <v>5.9</v>
      </c>
      <c r="L128" s="197">
        <v>2</v>
      </c>
      <c r="M128" s="197">
        <v>9.3000000000000007</v>
      </c>
      <c r="N128" s="233">
        <v>40548</v>
      </c>
      <c r="O128" s="197">
        <f t="shared" si="15"/>
        <v>1238.9000000000008</v>
      </c>
      <c r="Q128" s="197">
        <f t="shared" si="20"/>
        <v>54.199999999999996</v>
      </c>
      <c r="S128" s="197">
        <f t="shared" si="13"/>
        <v>98467</v>
      </c>
      <c r="U128" s="197">
        <f t="shared" si="21"/>
        <v>3966</v>
      </c>
      <c r="W128" s="197">
        <f t="shared" si="8"/>
        <v>197.39999999999995</v>
      </c>
      <c r="Y128" s="197">
        <v>1</v>
      </c>
      <c r="AB128" s="197">
        <f t="shared" si="9"/>
        <v>0</v>
      </c>
      <c r="AC128" s="197">
        <f t="shared" si="10"/>
        <v>0</v>
      </c>
      <c r="AD128" s="197">
        <f t="shared" si="14"/>
        <v>182.30000000000004</v>
      </c>
      <c r="AE128" s="197">
        <f t="shared" si="11"/>
        <v>108.3050847457627</v>
      </c>
    </row>
    <row r="129" spans="1:31">
      <c r="A129" s="197">
        <v>2011</v>
      </c>
      <c r="B129" s="197">
        <v>1</v>
      </c>
      <c r="C129" s="197">
        <v>6</v>
      </c>
      <c r="D129" s="197">
        <v>0.7</v>
      </c>
      <c r="G129" s="197">
        <f t="shared" si="19"/>
        <v>5.9</v>
      </c>
      <c r="I129" s="197">
        <v>306</v>
      </c>
      <c r="J129" s="197">
        <v>0</v>
      </c>
      <c r="K129" s="197">
        <v>10.3</v>
      </c>
      <c r="L129" s="197">
        <v>6.7</v>
      </c>
      <c r="M129" s="197">
        <v>12.1</v>
      </c>
      <c r="N129" s="233">
        <v>40549</v>
      </c>
      <c r="O129" s="197">
        <f t="shared" si="15"/>
        <v>1249.2000000000007</v>
      </c>
      <c r="Q129" s="197">
        <f t="shared" si="20"/>
        <v>64.5</v>
      </c>
      <c r="S129" s="197">
        <f t="shared" si="13"/>
        <v>98773</v>
      </c>
      <c r="U129" s="197">
        <f t="shared" si="21"/>
        <v>4272</v>
      </c>
      <c r="W129" s="197">
        <f t="shared" si="8"/>
        <v>197.39999999999995</v>
      </c>
      <c r="Y129" s="197">
        <v>1</v>
      </c>
      <c r="AB129" s="197">
        <f t="shared" si="9"/>
        <v>0</v>
      </c>
      <c r="AC129" s="197">
        <f t="shared" si="10"/>
        <v>0</v>
      </c>
      <c r="AD129" s="197">
        <f t="shared" si="14"/>
        <v>183.00000000000003</v>
      </c>
      <c r="AE129" s="197">
        <f t="shared" si="11"/>
        <v>29.708737864077669</v>
      </c>
    </row>
    <row r="130" spans="1:31">
      <c r="A130" s="197">
        <v>2011</v>
      </c>
      <c r="B130" s="197">
        <v>1</v>
      </c>
      <c r="C130" s="197">
        <v>7</v>
      </c>
      <c r="D130" s="197">
        <v>0.9</v>
      </c>
      <c r="G130" s="197">
        <f t="shared" si="19"/>
        <v>6.8000000000000007</v>
      </c>
      <c r="I130" s="197">
        <v>330</v>
      </c>
      <c r="J130" s="197">
        <v>0</v>
      </c>
      <c r="K130" s="197">
        <v>11.3</v>
      </c>
      <c r="L130" s="197">
        <v>9.8000000000000007</v>
      </c>
      <c r="M130" s="197">
        <v>13.7</v>
      </c>
      <c r="N130" s="233">
        <v>40550</v>
      </c>
      <c r="O130" s="197">
        <f t="shared" si="15"/>
        <v>1260.5000000000007</v>
      </c>
      <c r="Q130" s="197">
        <f t="shared" si="20"/>
        <v>75.8</v>
      </c>
      <c r="S130" s="197">
        <f t="shared" si="13"/>
        <v>99103</v>
      </c>
      <c r="U130" s="197">
        <f t="shared" si="21"/>
        <v>4602</v>
      </c>
      <c r="W130" s="197">
        <f t="shared" si="8"/>
        <v>197.39999999999995</v>
      </c>
      <c r="Y130" s="197">
        <v>1</v>
      </c>
      <c r="AB130" s="197">
        <f t="shared" si="9"/>
        <v>0</v>
      </c>
      <c r="AC130" s="197">
        <f t="shared" si="10"/>
        <v>0</v>
      </c>
      <c r="AD130" s="197">
        <f t="shared" si="14"/>
        <v>183.90000000000003</v>
      </c>
      <c r="AE130" s="197">
        <f t="shared" si="11"/>
        <v>29.203539823008846</v>
      </c>
    </row>
    <row r="131" spans="1:31">
      <c r="A131" s="197">
        <v>2011</v>
      </c>
      <c r="B131" s="197">
        <v>1</v>
      </c>
      <c r="C131" s="197">
        <v>8</v>
      </c>
      <c r="D131" s="197">
        <v>0.8</v>
      </c>
      <c r="G131" s="197">
        <f t="shared" si="19"/>
        <v>7.6000000000000005</v>
      </c>
      <c r="I131" s="197">
        <v>347</v>
      </c>
      <c r="J131" s="197">
        <v>0</v>
      </c>
      <c r="K131" s="197">
        <v>11.3</v>
      </c>
      <c r="L131" s="197">
        <v>7.9</v>
      </c>
      <c r="M131" s="197">
        <v>14</v>
      </c>
      <c r="N131" s="233">
        <v>40551</v>
      </c>
      <c r="O131" s="197">
        <f t="shared" si="15"/>
        <v>1271.8000000000006</v>
      </c>
      <c r="Q131" s="197">
        <f t="shared" si="20"/>
        <v>87.1</v>
      </c>
      <c r="S131" s="197">
        <f t="shared" si="13"/>
        <v>99450</v>
      </c>
      <c r="U131" s="197">
        <f t="shared" si="21"/>
        <v>4949</v>
      </c>
      <c r="W131" s="197">
        <f t="shared" si="8"/>
        <v>197.39999999999995</v>
      </c>
      <c r="Y131" s="197">
        <v>1</v>
      </c>
      <c r="AB131" s="197">
        <f t="shared" si="9"/>
        <v>0</v>
      </c>
      <c r="AC131" s="197">
        <f t="shared" si="10"/>
        <v>0</v>
      </c>
      <c r="AD131" s="197">
        <f t="shared" si="14"/>
        <v>184.70000000000005</v>
      </c>
      <c r="AE131" s="197">
        <f t="shared" si="11"/>
        <v>30.707964601769909</v>
      </c>
    </row>
    <row r="132" spans="1:31">
      <c r="A132" s="197">
        <v>2011</v>
      </c>
      <c r="B132" s="197">
        <v>1</v>
      </c>
      <c r="C132" s="197">
        <v>9</v>
      </c>
      <c r="D132" s="197">
        <v>0.4</v>
      </c>
      <c r="G132" s="197">
        <f t="shared" si="19"/>
        <v>8</v>
      </c>
      <c r="I132" s="197">
        <v>105</v>
      </c>
      <c r="J132" s="197">
        <v>6.3</v>
      </c>
      <c r="K132" s="197">
        <v>7.1</v>
      </c>
      <c r="L132" s="197">
        <v>6.1</v>
      </c>
      <c r="M132" s="197">
        <v>9.6</v>
      </c>
      <c r="N132" s="233">
        <v>40552</v>
      </c>
      <c r="O132" s="197">
        <f t="shared" si="15"/>
        <v>1278.9000000000005</v>
      </c>
      <c r="Q132" s="197">
        <f t="shared" si="20"/>
        <v>94.199999999999989</v>
      </c>
      <c r="S132" s="197">
        <f t="shared" si="13"/>
        <v>99555</v>
      </c>
      <c r="U132" s="197">
        <f t="shared" si="21"/>
        <v>5054</v>
      </c>
      <c r="W132" s="197">
        <f t="shared" si="8"/>
        <v>203.69999999999996</v>
      </c>
      <c r="Y132" s="197">
        <v>7.3</v>
      </c>
      <c r="AB132" s="197">
        <f t="shared" si="9"/>
        <v>0</v>
      </c>
      <c r="AC132" s="197">
        <f t="shared" si="10"/>
        <v>0</v>
      </c>
      <c r="AD132" s="197">
        <f t="shared" si="14"/>
        <v>185.10000000000005</v>
      </c>
      <c r="AE132" s="197">
        <f t="shared" si="11"/>
        <v>14.788732394366198</v>
      </c>
    </row>
    <row r="133" spans="1:31">
      <c r="A133" s="197">
        <v>2011</v>
      </c>
      <c r="B133" s="197">
        <v>1</v>
      </c>
      <c r="C133" s="197">
        <v>10</v>
      </c>
      <c r="D133" s="197">
        <v>0</v>
      </c>
      <c r="G133" s="197">
        <f t="shared" si="19"/>
        <v>8</v>
      </c>
      <c r="I133" s="197">
        <v>826</v>
      </c>
      <c r="J133" s="197">
        <v>3.2</v>
      </c>
      <c r="K133" s="197">
        <v>3.2</v>
      </c>
      <c r="L133" s="197">
        <v>-1.6</v>
      </c>
      <c r="M133" s="197">
        <v>8.6999999999999993</v>
      </c>
      <c r="N133" s="233">
        <v>40553</v>
      </c>
      <c r="O133" s="197">
        <f t="shared" si="15"/>
        <v>1282.1000000000006</v>
      </c>
      <c r="Q133" s="197">
        <f t="shared" si="20"/>
        <v>97.399999999999991</v>
      </c>
      <c r="S133" s="197">
        <f t="shared" si="13"/>
        <v>100381</v>
      </c>
      <c r="U133" s="197">
        <f t="shared" si="21"/>
        <v>5880</v>
      </c>
      <c r="W133" s="197">
        <f t="shared" si="8"/>
        <v>206.89999999999995</v>
      </c>
      <c r="Y133" s="197">
        <v>10.5</v>
      </c>
      <c r="AB133" s="197">
        <f t="shared" si="9"/>
        <v>0</v>
      </c>
      <c r="AC133" s="197">
        <f t="shared" si="10"/>
        <v>1</v>
      </c>
      <c r="AD133" s="197">
        <f t="shared" si="14"/>
        <v>185.10000000000005</v>
      </c>
      <c r="AE133" s="197">
        <f t="shared" si="11"/>
        <v>258.125</v>
      </c>
    </row>
    <row r="134" spans="1:31">
      <c r="A134" s="197">
        <v>2011</v>
      </c>
      <c r="B134" s="197">
        <v>1</v>
      </c>
      <c r="C134" s="197">
        <v>11</v>
      </c>
      <c r="D134" s="197">
        <v>0.5</v>
      </c>
      <c r="G134" s="197">
        <f t="shared" si="19"/>
        <v>8.5</v>
      </c>
      <c r="I134" s="197">
        <v>311</v>
      </c>
      <c r="J134" s="197">
        <v>8</v>
      </c>
      <c r="K134" s="197">
        <v>8.1999999999999993</v>
      </c>
      <c r="L134" s="197">
        <v>2.2999999999999998</v>
      </c>
      <c r="M134" s="197">
        <v>12.9</v>
      </c>
      <c r="N134" s="233">
        <v>40554</v>
      </c>
      <c r="O134" s="197">
        <f t="shared" si="15"/>
        <v>1290.3000000000006</v>
      </c>
      <c r="Q134" s="197">
        <f t="shared" si="20"/>
        <v>105.6</v>
      </c>
      <c r="S134" s="197">
        <f t="shared" si="13"/>
        <v>100692</v>
      </c>
      <c r="U134" s="197">
        <f t="shared" si="21"/>
        <v>6191</v>
      </c>
      <c r="W134" s="197">
        <f t="shared" si="8"/>
        <v>214.89999999999995</v>
      </c>
      <c r="Y134" s="197">
        <v>18.5</v>
      </c>
      <c r="AB134" s="197">
        <f t="shared" si="9"/>
        <v>0</v>
      </c>
      <c r="AC134" s="197">
        <f t="shared" si="10"/>
        <v>0</v>
      </c>
      <c r="AD134" s="197">
        <f t="shared" si="14"/>
        <v>185.60000000000005</v>
      </c>
      <c r="AE134" s="197">
        <f t="shared" si="11"/>
        <v>37.926829268292686</v>
      </c>
    </row>
    <row r="135" spans="1:31">
      <c r="A135" s="197">
        <v>2011</v>
      </c>
      <c r="B135" s="197">
        <v>1</v>
      </c>
      <c r="C135" s="197">
        <v>12</v>
      </c>
      <c r="D135" s="197">
        <v>0.2</v>
      </c>
      <c r="G135" s="197">
        <f t="shared" si="19"/>
        <v>8.6999999999999993</v>
      </c>
      <c r="I135" s="197">
        <v>86</v>
      </c>
      <c r="J135" s="197">
        <v>1.8</v>
      </c>
      <c r="K135" s="197">
        <v>9.6</v>
      </c>
      <c r="L135" s="197">
        <v>6.8</v>
      </c>
      <c r="M135" s="197">
        <v>12.2</v>
      </c>
      <c r="N135" s="233">
        <v>40555</v>
      </c>
      <c r="O135" s="197">
        <f t="shared" si="15"/>
        <v>1299.9000000000005</v>
      </c>
      <c r="Q135" s="197">
        <f t="shared" si="20"/>
        <v>115.19999999999999</v>
      </c>
      <c r="S135" s="197">
        <f t="shared" si="13"/>
        <v>100778</v>
      </c>
      <c r="U135" s="197">
        <f t="shared" si="21"/>
        <v>6277</v>
      </c>
      <c r="W135" s="197">
        <f t="shared" si="8"/>
        <v>216.69999999999996</v>
      </c>
      <c r="Y135" s="197">
        <v>20.3</v>
      </c>
      <c r="AB135" s="197">
        <f t="shared" si="9"/>
        <v>0</v>
      </c>
      <c r="AC135" s="197">
        <f t="shared" si="10"/>
        <v>0</v>
      </c>
      <c r="AD135" s="197">
        <f t="shared" si="14"/>
        <v>185.80000000000004</v>
      </c>
      <c r="AE135" s="197">
        <f t="shared" si="11"/>
        <v>8.9583333333333339</v>
      </c>
    </row>
    <row r="136" spans="1:31">
      <c r="A136" s="197">
        <v>2011</v>
      </c>
      <c r="B136" s="197">
        <v>1</v>
      </c>
      <c r="C136" s="197">
        <v>13</v>
      </c>
      <c r="D136" s="197">
        <v>0.9</v>
      </c>
      <c r="G136" s="197">
        <f t="shared" si="19"/>
        <v>9.6</v>
      </c>
      <c r="I136" s="197">
        <v>610</v>
      </c>
      <c r="J136" s="197">
        <v>0.4</v>
      </c>
      <c r="K136" s="197">
        <v>11.3</v>
      </c>
      <c r="L136" s="197">
        <v>10</v>
      </c>
      <c r="M136" s="197">
        <v>16</v>
      </c>
      <c r="N136" s="233">
        <v>40556</v>
      </c>
      <c r="O136" s="197">
        <f t="shared" si="15"/>
        <v>1311.2000000000005</v>
      </c>
      <c r="Q136" s="197">
        <f t="shared" si="20"/>
        <v>126.49999999999999</v>
      </c>
      <c r="S136" s="197">
        <f t="shared" si="13"/>
        <v>101388</v>
      </c>
      <c r="U136" s="197">
        <f t="shared" si="21"/>
        <v>6887</v>
      </c>
      <c r="W136" s="197">
        <f t="shared" si="8"/>
        <v>217.09999999999997</v>
      </c>
      <c r="Y136" s="197">
        <v>20.7</v>
      </c>
      <c r="AB136" s="197">
        <f t="shared" si="9"/>
        <v>0</v>
      </c>
      <c r="AC136" s="197">
        <f t="shared" si="10"/>
        <v>0</v>
      </c>
      <c r="AD136" s="197">
        <f t="shared" si="14"/>
        <v>186.70000000000005</v>
      </c>
      <c r="AE136" s="197">
        <f t="shared" si="11"/>
        <v>53.982300884955748</v>
      </c>
    </row>
    <row r="137" spans="1:31">
      <c r="A137" s="197">
        <v>2011</v>
      </c>
      <c r="B137" s="197">
        <v>1</v>
      </c>
      <c r="C137" s="197">
        <v>14</v>
      </c>
      <c r="D137" s="197">
        <v>0.2</v>
      </c>
      <c r="G137" s="197">
        <f t="shared" si="19"/>
        <v>9.7999999999999989</v>
      </c>
      <c r="I137" s="197">
        <v>578</v>
      </c>
      <c r="J137" s="197">
        <v>0.2</v>
      </c>
      <c r="K137" s="197">
        <v>6.4</v>
      </c>
      <c r="L137" s="197">
        <v>4.5</v>
      </c>
      <c r="M137" s="197">
        <v>9.6999999999999993</v>
      </c>
      <c r="N137" s="233">
        <v>40557</v>
      </c>
      <c r="O137" s="197">
        <f t="shared" si="15"/>
        <v>1317.6000000000006</v>
      </c>
      <c r="Q137" s="197">
        <f t="shared" si="20"/>
        <v>132.89999999999998</v>
      </c>
      <c r="S137" s="197">
        <f t="shared" si="13"/>
        <v>101966</v>
      </c>
      <c r="U137" s="197">
        <f t="shared" si="21"/>
        <v>7465</v>
      </c>
      <c r="W137" s="197">
        <f t="shared" si="8"/>
        <v>217.29999999999995</v>
      </c>
      <c r="Y137" s="197">
        <v>20.9</v>
      </c>
      <c r="AB137" s="197">
        <f t="shared" si="9"/>
        <v>0</v>
      </c>
      <c r="AC137" s="197">
        <f t="shared" si="10"/>
        <v>0</v>
      </c>
      <c r="AD137" s="197">
        <f t="shared" si="14"/>
        <v>186.90000000000003</v>
      </c>
      <c r="AE137" s="197">
        <f t="shared" si="11"/>
        <v>90.3125</v>
      </c>
    </row>
    <row r="138" spans="1:31">
      <c r="A138" s="197">
        <v>2011</v>
      </c>
      <c r="B138" s="197">
        <v>1</v>
      </c>
      <c r="C138" s="197">
        <v>15</v>
      </c>
      <c r="D138" s="197">
        <v>0.3</v>
      </c>
      <c r="G138" s="197">
        <f t="shared" si="19"/>
        <v>10.1</v>
      </c>
      <c r="I138" s="197">
        <v>707</v>
      </c>
      <c r="J138" s="197">
        <v>0</v>
      </c>
      <c r="K138" s="197">
        <v>6.8</v>
      </c>
      <c r="L138" s="197">
        <v>3</v>
      </c>
      <c r="M138" s="197">
        <v>13.9</v>
      </c>
      <c r="N138" s="233">
        <v>40558</v>
      </c>
      <c r="O138" s="197">
        <f t="shared" si="15"/>
        <v>1324.4000000000005</v>
      </c>
      <c r="Q138" s="197">
        <f t="shared" si="20"/>
        <v>139.69999999999999</v>
      </c>
      <c r="S138" s="197">
        <f t="shared" si="13"/>
        <v>102673</v>
      </c>
      <c r="U138" s="197">
        <f t="shared" si="21"/>
        <v>8172</v>
      </c>
      <c r="W138" s="197">
        <f t="shared" ref="W138:W201" si="22">W137+J138</f>
        <v>217.29999999999995</v>
      </c>
      <c r="Y138" s="197">
        <v>20.9</v>
      </c>
      <c r="AB138" s="197">
        <f t="shared" ref="AB138:AB201" si="23">IF(K138&lt;0,1,0)</f>
        <v>0</v>
      </c>
      <c r="AC138" s="197">
        <f t="shared" ref="AC138:AC201" si="24">IF(K138&lt;4.5,1,0)</f>
        <v>0</v>
      </c>
      <c r="AD138" s="197">
        <f t="shared" si="14"/>
        <v>187.20000000000005</v>
      </c>
      <c r="AE138" s="197">
        <f t="shared" ref="AE138:AE201" si="25">I138/K138</f>
        <v>103.97058823529412</v>
      </c>
    </row>
    <row r="139" spans="1:31">
      <c r="A139" s="197">
        <v>2011</v>
      </c>
      <c r="B139" s="197">
        <v>1</v>
      </c>
      <c r="C139" s="197">
        <v>16</v>
      </c>
      <c r="D139" s="197">
        <v>0</v>
      </c>
      <c r="G139" s="197">
        <f t="shared" si="19"/>
        <v>10.1</v>
      </c>
      <c r="I139" s="197">
        <v>833</v>
      </c>
      <c r="J139" s="197">
        <v>0.2</v>
      </c>
      <c r="K139" s="197">
        <v>7.9</v>
      </c>
      <c r="L139" s="197">
        <v>0.3</v>
      </c>
      <c r="M139" s="197">
        <v>13</v>
      </c>
      <c r="N139" s="233">
        <v>40559</v>
      </c>
      <c r="O139" s="197">
        <f t="shared" si="15"/>
        <v>1332.3000000000006</v>
      </c>
      <c r="Q139" s="197">
        <f t="shared" si="20"/>
        <v>147.6</v>
      </c>
      <c r="S139" s="197">
        <f t="shared" ref="S139:S202" si="26">S138+I139</f>
        <v>103506</v>
      </c>
      <c r="U139" s="197">
        <f t="shared" si="21"/>
        <v>9005</v>
      </c>
      <c r="W139" s="197">
        <f t="shared" si="22"/>
        <v>217.49999999999994</v>
      </c>
      <c r="Y139" s="197">
        <v>21.099999999999998</v>
      </c>
      <c r="AB139" s="197">
        <f t="shared" si="23"/>
        <v>0</v>
      </c>
      <c r="AC139" s="197">
        <f t="shared" si="24"/>
        <v>0</v>
      </c>
      <c r="AD139" s="197">
        <f t="shared" ref="AD139:AD202" si="27">AD138+D139</f>
        <v>187.20000000000005</v>
      </c>
      <c r="AE139" s="197">
        <f t="shared" si="25"/>
        <v>105.44303797468353</v>
      </c>
    </row>
    <row r="140" spans="1:31">
      <c r="A140" s="197">
        <v>2011</v>
      </c>
      <c r="B140" s="197">
        <v>1</v>
      </c>
      <c r="C140" s="197">
        <v>17</v>
      </c>
      <c r="D140" s="197">
        <v>0.4</v>
      </c>
      <c r="G140" s="197">
        <f t="shared" si="19"/>
        <v>10.5</v>
      </c>
      <c r="I140" s="197">
        <v>687</v>
      </c>
      <c r="J140" s="197">
        <v>0</v>
      </c>
      <c r="K140" s="197">
        <v>9.1</v>
      </c>
      <c r="L140" s="197">
        <v>2.7</v>
      </c>
      <c r="M140" s="197">
        <v>15.3</v>
      </c>
      <c r="N140" s="233">
        <v>40560</v>
      </c>
      <c r="O140" s="197">
        <f t="shared" ref="O140:O203" si="28">IF(K140&gt;0,O139+K140,O139)</f>
        <v>1341.4000000000005</v>
      </c>
      <c r="Q140" s="197">
        <f t="shared" si="20"/>
        <v>156.69999999999999</v>
      </c>
      <c r="S140" s="197">
        <f t="shared" si="26"/>
        <v>104193</v>
      </c>
      <c r="U140" s="197">
        <f t="shared" si="21"/>
        <v>9692</v>
      </c>
      <c r="W140" s="197">
        <f t="shared" si="22"/>
        <v>217.49999999999994</v>
      </c>
      <c r="Y140" s="197">
        <v>21.099999999999998</v>
      </c>
      <c r="AB140" s="197">
        <f t="shared" si="23"/>
        <v>0</v>
      </c>
      <c r="AC140" s="197">
        <f t="shared" si="24"/>
        <v>0</v>
      </c>
      <c r="AD140" s="197">
        <f t="shared" si="27"/>
        <v>187.60000000000005</v>
      </c>
      <c r="AE140" s="197">
        <f t="shared" si="25"/>
        <v>75.494505494505503</v>
      </c>
    </row>
    <row r="141" spans="1:31">
      <c r="A141" s="197">
        <v>2011</v>
      </c>
      <c r="B141" s="197">
        <v>1</v>
      </c>
      <c r="C141" s="197">
        <v>18</v>
      </c>
      <c r="D141" s="197">
        <v>0.3</v>
      </c>
      <c r="G141" s="197">
        <f t="shared" si="19"/>
        <v>10.8</v>
      </c>
      <c r="I141" s="197">
        <v>666</v>
      </c>
      <c r="J141" s="197">
        <v>0</v>
      </c>
      <c r="K141" s="197">
        <v>8.5</v>
      </c>
      <c r="L141" s="197">
        <v>4.9000000000000004</v>
      </c>
      <c r="M141" s="197">
        <v>13.7</v>
      </c>
      <c r="N141" s="233">
        <v>40561</v>
      </c>
      <c r="O141" s="197">
        <f t="shared" si="28"/>
        <v>1349.9000000000005</v>
      </c>
      <c r="Q141" s="197">
        <f t="shared" si="20"/>
        <v>165.2</v>
      </c>
      <c r="S141" s="197">
        <f t="shared" si="26"/>
        <v>104859</v>
      </c>
      <c r="U141" s="197">
        <f t="shared" si="21"/>
        <v>10358</v>
      </c>
      <c r="W141" s="197">
        <f t="shared" si="22"/>
        <v>217.49999999999994</v>
      </c>
      <c r="Y141" s="197">
        <v>21.099999999999998</v>
      </c>
      <c r="AB141" s="197">
        <f t="shared" si="23"/>
        <v>0</v>
      </c>
      <c r="AC141" s="197">
        <f t="shared" si="24"/>
        <v>0</v>
      </c>
      <c r="AD141" s="197">
        <f t="shared" si="27"/>
        <v>187.90000000000006</v>
      </c>
      <c r="AE141" s="197">
        <f t="shared" si="25"/>
        <v>78.352941176470594</v>
      </c>
    </row>
    <row r="142" spans="1:31">
      <c r="A142" s="197">
        <v>2011</v>
      </c>
      <c r="B142" s="197">
        <v>1</v>
      </c>
      <c r="C142" s="197">
        <v>19</v>
      </c>
      <c r="D142" s="197">
        <v>0.3</v>
      </c>
      <c r="G142" s="197">
        <f t="shared" si="19"/>
        <v>11.100000000000001</v>
      </c>
      <c r="I142" s="197">
        <v>721</v>
      </c>
      <c r="J142" s="197">
        <v>0</v>
      </c>
      <c r="K142" s="197">
        <v>6.4</v>
      </c>
      <c r="L142" s="197">
        <v>5.2</v>
      </c>
      <c r="M142" s="197">
        <v>10.199999999999999</v>
      </c>
      <c r="N142" s="233">
        <v>40562</v>
      </c>
      <c r="O142" s="197">
        <f t="shared" si="28"/>
        <v>1356.3000000000006</v>
      </c>
      <c r="Q142" s="197">
        <f t="shared" si="20"/>
        <v>171.6</v>
      </c>
      <c r="S142" s="197">
        <f t="shared" si="26"/>
        <v>105580</v>
      </c>
      <c r="U142" s="197">
        <f t="shared" si="21"/>
        <v>11079</v>
      </c>
      <c r="W142" s="197">
        <f t="shared" si="22"/>
        <v>217.49999999999994</v>
      </c>
      <c r="Y142" s="197">
        <v>21.099999999999998</v>
      </c>
      <c r="AB142" s="197">
        <f t="shared" si="23"/>
        <v>0</v>
      </c>
      <c r="AC142" s="197">
        <f t="shared" si="24"/>
        <v>0</v>
      </c>
      <c r="AD142" s="197">
        <f t="shared" si="27"/>
        <v>188.20000000000007</v>
      </c>
      <c r="AE142" s="197">
        <f t="shared" si="25"/>
        <v>112.65625</v>
      </c>
    </row>
    <row r="143" spans="1:31">
      <c r="A143" s="197">
        <v>2011</v>
      </c>
      <c r="B143" s="197">
        <v>1</v>
      </c>
      <c r="C143" s="197">
        <v>20</v>
      </c>
      <c r="D143" s="197">
        <v>0.4</v>
      </c>
      <c r="G143" s="197">
        <f t="shared" si="19"/>
        <v>11.500000000000002</v>
      </c>
      <c r="I143" s="197">
        <v>914</v>
      </c>
      <c r="J143" s="197">
        <v>0</v>
      </c>
      <c r="K143" s="197">
        <v>1.9</v>
      </c>
      <c r="L143" s="197">
        <v>-2.1</v>
      </c>
      <c r="M143" s="197">
        <v>6.8</v>
      </c>
      <c r="N143" s="233">
        <v>40563</v>
      </c>
      <c r="O143" s="197">
        <f t="shared" si="28"/>
        <v>1358.2000000000007</v>
      </c>
      <c r="Q143" s="197">
        <f t="shared" si="20"/>
        <v>173.5</v>
      </c>
      <c r="S143" s="197">
        <f t="shared" si="26"/>
        <v>106494</v>
      </c>
      <c r="U143" s="197">
        <f t="shared" si="21"/>
        <v>11993</v>
      </c>
      <c r="W143" s="197">
        <f t="shared" si="22"/>
        <v>217.49999999999994</v>
      </c>
      <c r="Y143" s="197">
        <v>21.099999999999998</v>
      </c>
      <c r="AB143" s="197">
        <f t="shared" si="23"/>
        <v>0</v>
      </c>
      <c r="AC143" s="197">
        <f t="shared" si="24"/>
        <v>1</v>
      </c>
      <c r="AD143" s="197">
        <f t="shared" si="27"/>
        <v>188.60000000000008</v>
      </c>
      <c r="AE143" s="197">
        <f t="shared" si="25"/>
        <v>481.0526315789474</v>
      </c>
    </row>
    <row r="144" spans="1:31">
      <c r="A144" s="197">
        <v>2011</v>
      </c>
      <c r="B144" s="197">
        <v>1</v>
      </c>
      <c r="C144" s="197">
        <v>21</v>
      </c>
      <c r="D144" s="197">
        <v>0.8</v>
      </c>
      <c r="G144" s="197">
        <f t="shared" si="19"/>
        <v>12.300000000000002</v>
      </c>
      <c r="I144" s="197">
        <v>667</v>
      </c>
      <c r="J144" s="197">
        <v>0</v>
      </c>
      <c r="K144" s="197">
        <v>0.4</v>
      </c>
      <c r="L144" s="197">
        <v>-1.8</v>
      </c>
      <c r="M144" s="197">
        <v>4</v>
      </c>
      <c r="N144" s="233">
        <v>40564</v>
      </c>
      <c r="O144" s="197">
        <f t="shared" si="28"/>
        <v>1358.6000000000008</v>
      </c>
      <c r="Q144" s="197">
        <f t="shared" si="20"/>
        <v>173.9</v>
      </c>
      <c r="S144" s="197">
        <f t="shared" si="26"/>
        <v>107161</v>
      </c>
      <c r="U144" s="197">
        <f t="shared" si="21"/>
        <v>12660</v>
      </c>
      <c r="W144" s="197">
        <f t="shared" si="22"/>
        <v>217.49999999999994</v>
      </c>
      <c r="Y144" s="197">
        <v>21.099999999999998</v>
      </c>
      <c r="AB144" s="197">
        <f t="shared" si="23"/>
        <v>0</v>
      </c>
      <c r="AC144" s="197">
        <f t="shared" si="24"/>
        <v>1</v>
      </c>
      <c r="AD144" s="197">
        <f t="shared" si="27"/>
        <v>189.40000000000009</v>
      </c>
      <c r="AE144" s="197">
        <f t="shared" si="25"/>
        <v>1667.5</v>
      </c>
    </row>
    <row r="145" spans="1:31">
      <c r="A145" s="197">
        <v>2011</v>
      </c>
      <c r="B145" s="197">
        <v>1</v>
      </c>
      <c r="C145" s="197">
        <v>22</v>
      </c>
      <c r="D145" s="197">
        <v>0.8</v>
      </c>
      <c r="G145" s="197">
        <f t="shared" si="19"/>
        <v>13.100000000000003</v>
      </c>
      <c r="I145" s="197">
        <v>332</v>
      </c>
      <c r="J145" s="197">
        <v>0</v>
      </c>
      <c r="K145" s="197">
        <v>-1.8</v>
      </c>
      <c r="L145" s="197">
        <v>-4.0999999999999996</v>
      </c>
      <c r="M145" s="197">
        <v>0.1</v>
      </c>
      <c r="N145" s="233">
        <v>40565</v>
      </c>
      <c r="O145" s="197">
        <f t="shared" si="28"/>
        <v>1358.6000000000008</v>
      </c>
      <c r="Q145" s="197">
        <f t="shared" si="20"/>
        <v>173.9</v>
      </c>
      <c r="S145" s="197">
        <f t="shared" si="26"/>
        <v>107493</v>
      </c>
      <c r="U145" s="197">
        <f t="shared" si="21"/>
        <v>12992</v>
      </c>
      <c r="W145" s="197">
        <f t="shared" si="22"/>
        <v>217.49999999999994</v>
      </c>
      <c r="Y145" s="197">
        <v>21.099999999999998</v>
      </c>
      <c r="AB145" s="197">
        <f t="shared" si="23"/>
        <v>1</v>
      </c>
      <c r="AC145" s="197">
        <f t="shared" si="24"/>
        <v>1</v>
      </c>
      <c r="AD145" s="197">
        <f t="shared" si="27"/>
        <v>190.2000000000001</v>
      </c>
      <c r="AE145" s="197">
        <f t="shared" si="25"/>
        <v>-184.44444444444443</v>
      </c>
    </row>
    <row r="146" spans="1:31">
      <c r="A146" s="197">
        <v>2011</v>
      </c>
      <c r="B146" s="197">
        <v>1</v>
      </c>
      <c r="C146" s="197">
        <v>23</v>
      </c>
      <c r="D146" s="197">
        <v>0.5</v>
      </c>
      <c r="G146" s="197">
        <f t="shared" si="19"/>
        <v>13.600000000000003</v>
      </c>
      <c r="I146" s="197">
        <v>745</v>
      </c>
      <c r="J146" s="197">
        <v>0</v>
      </c>
      <c r="K146" s="197">
        <v>-1.1000000000000001</v>
      </c>
      <c r="L146" s="197">
        <v>-3.9</v>
      </c>
      <c r="M146" s="197">
        <v>2.9</v>
      </c>
      <c r="N146" s="233">
        <v>40566</v>
      </c>
      <c r="O146" s="197">
        <f t="shared" si="28"/>
        <v>1358.6000000000008</v>
      </c>
      <c r="Q146" s="197">
        <f t="shared" si="20"/>
        <v>173.9</v>
      </c>
      <c r="S146" s="197">
        <f t="shared" si="26"/>
        <v>108238</v>
      </c>
      <c r="U146" s="197">
        <f t="shared" si="21"/>
        <v>13737</v>
      </c>
      <c r="W146" s="197">
        <f t="shared" si="22"/>
        <v>217.49999999999994</v>
      </c>
      <c r="Y146" s="197">
        <v>21.099999999999998</v>
      </c>
      <c r="AB146" s="197">
        <f t="shared" si="23"/>
        <v>1</v>
      </c>
      <c r="AC146" s="197">
        <f t="shared" si="24"/>
        <v>1</v>
      </c>
      <c r="AD146" s="197">
        <f t="shared" si="27"/>
        <v>190.7000000000001</v>
      </c>
      <c r="AE146" s="197">
        <f t="shared" si="25"/>
        <v>-677.27272727272725</v>
      </c>
    </row>
    <row r="147" spans="1:31">
      <c r="A147" s="197">
        <v>2011</v>
      </c>
      <c r="B147" s="197">
        <v>1</v>
      </c>
      <c r="C147" s="197">
        <v>24</v>
      </c>
      <c r="D147" s="197">
        <v>0.1</v>
      </c>
      <c r="G147" s="197">
        <f t="shared" si="19"/>
        <v>13.700000000000003</v>
      </c>
      <c r="I147" s="197">
        <v>939</v>
      </c>
      <c r="J147" s="197">
        <v>0</v>
      </c>
      <c r="K147" s="197">
        <v>-1.6</v>
      </c>
      <c r="L147" s="197">
        <v>-6.5</v>
      </c>
      <c r="M147" s="197">
        <v>4.3</v>
      </c>
      <c r="N147" s="233">
        <v>40567</v>
      </c>
      <c r="O147" s="197">
        <f t="shared" si="28"/>
        <v>1358.6000000000008</v>
      </c>
      <c r="Q147" s="197">
        <f t="shared" si="20"/>
        <v>173.9</v>
      </c>
      <c r="S147" s="197">
        <f t="shared" si="26"/>
        <v>109177</v>
      </c>
      <c r="U147" s="197">
        <f t="shared" si="21"/>
        <v>14676</v>
      </c>
      <c r="W147" s="197">
        <f t="shared" si="22"/>
        <v>217.49999999999994</v>
      </c>
      <c r="Y147" s="197">
        <v>21.099999999999998</v>
      </c>
      <c r="AB147" s="197">
        <f t="shared" si="23"/>
        <v>1</v>
      </c>
      <c r="AC147" s="197">
        <f t="shared" si="24"/>
        <v>1</v>
      </c>
      <c r="AD147" s="197">
        <f t="shared" si="27"/>
        <v>190.8000000000001</v>
      </c>
      <c r="AE147" s="197">
        <f t="shared" si="25"/>
        <v>-586.875</v>
      </c>
    </row>
    <row r="148" spans="1:31">
      <c r="A148" s="197">
        <v>2011</v>
      </c>
      <c r="B148" s="197">
        <v>1</v>
      </c>
      <c r="C148" s="197">
        <v>25</v>
      </c>
      <c r="D148" s="197">
        <v>0.5</v>
      </c>
      <c r="G148" s="197">
        <f t="shared" si="19"/>
        <v>14.200000000000003</v>
      </c>
      <c r="I148" s="197">
        <v>626</v>
      </c>
      <c r="J148" s="197">
        <v>0.2</v>
      </c>
      <c r="K148" s="197">
        <v>-0.1</v>
      </c>
      <c r="L148" s="197">
        <v>-5.2</v>
      </c>
      <c r="M148" s="197">
        <v>4.3</v>
      </c>
      <c r="N148" s="233">
        <v>40568</v>
      </c>
      <c r="O148" s="197">
        <f t="shared" si="28"/>
        <v>1358.6000000000008</v>
      </c>
      <c r="Q148" s="197">
        <f t="shared" si="20"/>
        <v>173.9</v>
      </c>
      <c r="S148" s="197">
        <f t="shared" si="26"/>
        <v>109803</v>
      </c>
      <c r="U148" s="197">
        <f t="shared" si="21"/>
        <v>15302</v>
      </c>
      <c r="W148" s="197">
        <f t="shared" si="22"/>
        <v>217.69999999999993</v>
      </c>
      <c r="Y148" s="197">
        <v>21.299999999999997</v>
      </c>
      <c r="AB148" s="197">
        <f t="shared" si="23"/>
        <v>1</v>
      </c>
      <c r="AC148" s="197">
        <f t="shared" si="24"/>
        <v>1</v>
      </c>
      <c r="AD148" s="197">
        <f t="shared" si="27"/>
        <v>191.3000000000001</v>
      </c>
      <c r="AE148" s="197">
        <f t="shared" si="25"/>
        <v>-6260</v>
      </c>
    </row>
    <row r="149" spans="1:31">
      <c r="A149" s="197">
        <v>2011</v>
      </c>
      <c r="B149" s="197">
        <v>1</v>
      </c>
      <c r="C149" s="197">
        <v>26</v>
      </c>
      <c r="D149" s="197">
        <v>0.7</v>
      </c>
      <c r="G149" s="197">
        <f t="shared" si="19"/>
        <v>14.900000000000002</v>
      </c>
      <c r="I149" s="197">
        <v>589</v>
      </c>
      <c r="J149" s="197">
        <v>0</v>
      </c>
      <c r="K149" s="197">
        <v>1</v>
      </c>
      <c r="L149" s="197">
        <v>-3.9</v>
      </c>
      <c r="M149" s="197">
        <v>6.8</v>
      </c>
      <c r="N149" s="233">
        <v>40569</v>
      </c>
      <c r="O149" s="197">
        <f t="shared" si="28"/>
        <v>1359.6000000000008</v>
      </c>
      <c r="Q149" s="197">
        <f t="shared" si="20"/>
        <v>174.9</v>
      </c>
      <c r="S149" s="197">
        <f t="shared" si="26"/>
        <v>110392</v>
      </c>
      <c r="U149" s="197">
        <f t="shared" si="21"/>
        <v>15891</v>
      </c>
      <c r="W149" s="197">
        <f t="shared" si="22"/>
        <v>217.69999999999993</v>
      </c>
      <c r="Y149" s="197">
        <v>21.299999999999997</v>
      </c>
      <c r="AB149" s="197">
        <f t="shared" si="23"/>
        <v>0</v>
      </c>
      <c r="AC149" s="197">
        <f t="shared" si="24"/>
        <v>1</v>
      </c>
      <c r="AD149" s="197">
        <f t="shared" si="27"/>
        <v>192.00000000000009</v>
      </c>
      <c r="AE149" s="197">
        <f t="shared" si="25"/>
        <v>589</v>
      </c>
    </row>
    <row r="150" spans="1:31">
      <c r="A150" s="197">
        <v>2011</v>
      </c>
      <c r="B150" s="197">
        <v>1</v>
      </c>
      <c r="C150" s="197">
        <v>27</v>
      </c>
      <c r="D150" s="197">
        <v>0.5</v>
      </c>
      <c r="G150" s="197">
        <f t="shared" si="19"/>
        <v>15.400000000000002</v>
      </c>
      <c r="I150" s="197">
        <v>843</v>
      </c>
      <c r="J150" s="197">
        <v>0</v>
      </c>
      <c r="K150" s="197">
        <v>3.9</v>
      </c>
      <c r="L150" s="197">
        <v>-3.7</v>
      </c>
      <c r="M150" s="197">
        <v>10.3</v>
      </c>
      <c r="N150" s="233">
        <v>40570</v>
      </c>
      <c r="O150" s="197">
        <f t="shared" si="28"/>
        <v>1363.5000000000009</v>
      </c>
      <c r="Q150" s="197">
        <f t="shared" si="20"/>
        <v>178.8</v>
      </c>
      <c r="S150" s="197">
        <f t="shared" si="26"/>
        <v>111235</v>
      </c>
      <c r="U150" s="197">
        <f t="shared" si="21"/>
        <v>16734</v>
      </c>
      <c r="W150" s="197">
        <f t="shared" si="22"/>
        <v>217.69999999999993</v>
      </c>
      <c r="Y150" s="197">
        <v>21.299999999999997</v>
      </c>
      <c r="AB150" s="197">
        <f t="shared" si="23"/>
        <v>0</v>
      </c>
      <c r="AC150" s="197">
        <f t="shared" si="24"/>
        <v>1</v>
      </c>
      <c r="AD150" s="197">
        <f t="shared" si="27"/>
        <v>192.50000000000009</v>
      </c>
      <c r="AE150" s="197">
        <f t="shared" si="25"/>
        <v>216.15384615384616</v>
      </c>
    </row>
    <row r="151" spans="1:31">
      <c r="A151" s="197">
        <v>2011</v>
      </c>
      <c r="B151" s="197">
        <v>1</v>
      </c>
      <c r="C151" s="197">
        <v>28</v>
      </c>
      <c r="D151" s="197">
        <v>1.3</v>
      </c>
      <c r="G151" s="197">
        <f t="shared" si="19"/>
        <v>16.700000000000003</v>
      </c>
      <c r="I151" s="197">
        <v>900</v>
      </c>
      <c r="J151" s="197">
        <v>0</v>
      </c>
      <c r="K151" s="197">
        <v>7.5</v>
      </c>
      <c r="L151" s="197">
        <v>2.9</v>
      </c>
      <c r="M151" s="197">
        <v>11.1</v>
      </c>
      <c r="N151" s="233">
        <v>40571</v>
      </c>
      <c r="O151" s="197">
        <f t="shared" si="28"/>
        <v>1371.0000000000009</v>
      </c>
      <c r="Q151" s="197">
        <f t="shared" si="20"/>
        <v>186.3</v>
      </c>
      <c r="S151" s="197">
        <f t="shared" si="26"/>
        <v>112135</v>
      </c>
      <c r="U151" s="197">
        <f t="shared" si="21"/>
        <v>17634</v>
      </c>
      <c r="W151" s="197">
        <f t="shared" si="22"/>
        <v>217.69999999999993</v>
      </c>
      <c r="Y151" s="197">
        <v>21.299999999999997</v>
      </c>
      <c r="AB151" s="197">
        <f t="shared" si="23"/>
        <v>0</v>
      </c>
      <c r="AC151" s="197">
        <f t="shared" si="24"/>
        <v>0</v>
      </c>
      <c r="AD151" s="197">
        <f t="shared" si="27"/>
        <v>193.8000000000001</v>
      </c>
      <c r="AE151" s="197">
        <f t="shared" si="25"/>
        <v>120</v>
      </c>
    </row>
    <row r="152" spans="1:31">
      <c r="A152" s="197">
        <v>2011</v>
      </c>
      <c r="B152" s="197">
        <v>1</v>
      </c>
      <c r="C152" s="197">
        <v>29</v>
      </c>
      <c r="D152" s="197">
        <v>0.4</v>
      </c>
      <c r="G152" s="197">
        <f t="shared" si="19"/>
        <v>17.100000000000001</v>
      </c>
      <c r="I152" s="197">
        <v>125</v>
      </c>
      <c r="J152" s="197">
        <v>10.9</v>
      </c>
      <c r="K152" s="197">
        <v>5.0999999999999996</v>
      </c>
      <c r="L152" s="197">
        <v>3.3</v>
      </c>
      <c r="M152" s="197">
        <v>7.3</v>
      </c>
      <c r="N152" s="233">
        <v>40572</v>
      </c>
      <c r="O152" s="197">
        <f t="shared" si="28"/>
        <v>1376.1000000000008</v>
      </c>
      <c r="Q152" s="197">
        <f t="shared" si="20"/>
        <v>191.4</v>
      </c>
      <c r="S152" s="197">
        <f t="shared" si="26"/>
        <v>112260</v>
      </c>
      <c r="U152" s="197">
        <f t="shared" si="21"/>
        <v>17759</v>
      </c>
      <c r="W152" s="197">
        <f t="shared" si="22"/>
        <v>228.59999999999994</v>
      </c>
      <c r="Y152" s="197">
        <v>32.199999999999996</v>
      </c>
      <c r="AB152" s="197">
        <f t="shared" si="23"/>
        <v>0</v>
      </c>
      <c r="AC152" s="197">
        <f t="shared" si="24"/>
        <v>0</v>
      </c>
      <c r="AD152" s="197">
        <f t="shared" si="27"/>
        <v>194.2000000000001</v>
      </c>
      <c r="AE152" s="197">
        <f t="shared" si="25"/>
        <v>24.509803921568629</v>
      </c>
    </row>
    <row r="153" spans="1:31">
      <c r="A153" s="197">
        <v>2011</v>
      </c>
      <c r="B153" s="197">
        <v>1</v>
      </c>
      <c r="C153" s="197">
        <v>30</v>
      </c>
      <c r="D153" s="197">
        <v>0.2</v>
      </c>
      <c r="G153" s="197">
        <f t="shared" si="19"/>
        <v>17.3</v>
      </c>
      <c r="I153" s="197">
        <v>141</v>
      </c>
      <c r="J153" s="197">
        <v>0</v>
      </c>
      <c r="K153" s="197">
        <v>4</v>
      </c>
      <c r="L153" s="197">
        <v>3</v>
      </c>
      <c r="M153" s="197">
        <v>5.3</v>
      </c>
      <c r="N153" s="233">
        <v>40573</v>
      </c>
      <c r="O153" s="197">
        <f t="shared" si="28"/>
        <v>1380.1000000000008</v>
      </c>
      <c r="Q153" s="197">
        <f t="shared" si="20"/>
        <v>195.4</v>
      </c>
      <c r="S153" s="197">
        <f t="shared" si="26"/>
        <v>112401</v>
      </c>
      <c r="U153" s="197">
        <f t="shared" si="21"/>
        <v>17900</v>
      </c>
      <c r="W153" s="197">
        <f t="shared" si="22"/>
        <v>228.59999999999994</v>
      </c>
      <c r="Y153" s="197">
        <v>32.199999999999996</v>
      </c>
      <c r="AB153" s="197">
        <f t="shared" si="23"/>
        <v>0</v>
      </c>
      <c r="AC153" s="197">
        <f t="shared" si="24"/>
        <v>1</v>
      </c>
      <c r="AD153" s="197">
        <f t="shared" si="27"/>
        <v>194.40000000000009</v>
      </c>
      <c r="AE153" s="197">
        <f t="shared" si="25"/>
        <v>35.25</v>
      </c>
    </row>
    <row r="154" spans="1:31">
      <c r="A154" s="197">
        <v>2011</v>
      </c>
      <c r="B154" s="197">
        <v>1</v>
      </c>
      <c r="C154" s="197">
        <v>31</v>
      </c>
      <c r="D154" s="197">
        <v>0.7</v>
      </c>
      <c r="G154" s="197">
        <f t="shared" si="19"/>
        <v>18</v>
      </c>
      <c r="I154" s="197">
        <v>342</v>
      </c>
      <c r="J154" s="197">
        <v>0</v>
      </c>
      <c r="K154" s="197">
        <v>1</v>
      </c>
      <c r="L154" s="197">
        <v>0.2</v>
      </c>
      <c r="M154" s="197">
        <v>2.6</v>
      </c>
      <c r="N154" s="233">
        <v>40574</v>
      </c>
      <c r="O154" s="197">
        <f t="shared" si="28"/>
        <v>1381.1000000000008</v>
      </c>
      <c r="Q154" s="197">
        <f t="shared" si="20"/>
        <v>196.4</v>
      </c>
      <c r="S154" s="197">
        <f t="shared" si="26"/>
        <v>112743</v>
      </c>
      <c r="U154" s="197">
        <f t="shared" si="21"/>
        <v>18242</v>
      </c>
      <c r="W154" s="197">
        <f t="shared" si="22"/>
        <v>228.59999999999994</v>
      </c>
      <c r="Y154" s="197">
        <v>32.199999999999996</v>
      </c>
      <c r="AB154" s="197">
        <f t="shared" si="23"/>
        <v>0</v>
      </c>
      <c r="AC154" s="197">
        <f t="shared" si="24"/>
        <v>1</v>
      </c>
      <c r="AD154" s="197">
        <f t="shared" si="27"/>
        <v>195.10000000000008</v>
      </c>
      <c r="AE154" s="197">
        <f t="shared" si="25"/>
        <v>342</v>
      </c>
    </row>
    <row r="155" spans="1:31">
      <c r="A155" s="197">
        <v>2011</v>
      </c>
      <c r="B155" s="197">
        <v>2</v>
      </c>
      <c r="C155" s="197">
        <v>1</v>
      </c>
      <c r="D155" s="197">
        <v>0.3</v>
      </c>
      <c r="G155" s="197">
        <f t="shared" si="19"/>
        <v>18.3</v>
      </c>
      <c r="I155" s="197">
        <v>134</v>
      </c>
      <c r="J155" s="197">
        <v>0</v>
      </c>
      <c r="K155" s="197">
        <v>-0.5</v>
      </c>
      <c r="L155" s="197">
        <v>-2.1</v>
      </c>
      <c r="M155" s="197">
        <v>0.7</v>
      </c>
      <c r="N155" s="233">
        <v>40575</v>
      </c>
      <c r="O155" s="197">
        <f t="shared" si="28"/>
        <v>1381.1000000000008</v>
      </c>
      <c r="Q155" s="197">
        <f t="shared" si="20"/>
        <v>196.4</v>
      </c>
      <c r="S155" s="197">
        <f t="shared" si="26"/>
        <v>112877</v>
      </c>
      <c r="U155" s="197">
        <f t="shared" si="21"/>
        <v>18376</v>
      </c>
      <c r="W155" s="197">
        <f t="shared" si="22"/>
        <v>228.59999999999994</v>
      </c>
      <c r="Y155" s="197">
        <v>32.199999999999996</v>
      </c>
      <c r="AB155" s="197">
        <f t="shared" si="23"/>
        <v>1</v>
      </c>
      <c r="AC155" s="197">
        <f t="shared" si="24"/>
        <v>1</v>
      </c>
      <c r="AD155" s="197">
        <f t="shared" si="27"/>
        <v>195.40000000000009</v>
      </c>
      <c r="AE155" s="197">
        <f t="shared" si="25"/>
        <v>-268</v>
      </c>
    </row>
    <row r="156" spans="1:31">
      <c r="A156" s="197">
        <v>2011</v>
      </c>
      <c r="B156" s="197">
        <v>2</v>
      </c>
      <c r="C156" s="197">
        <v>2</v>
      </c>
      <c r="D156" s="197">
        <v>1</v>
      </c>
      <c r="G156" s="197">
        <f t="shared" si="19"/>
        <v>19.3</v>
      </c>
      <c r="I156" s="197">
        <v>698</v>
      </c>
      <c r="J156" s="197">
        <v>0</v>
      </c>
      <c r="K156" s="197">
        <v>2</v>
      </c>
      <c r="L156" s="197">
        <v>-1.9</v>
      </c>
      <c r="M156" s="197">
        <v>5.6</v>
      </c>
      <c r="N156" s="233">
        <v>40576</v>
      </c>
      <c r="O156" s="197">
        <f t="shared" si="28"/>
        <v>1383.1000000000008</v>
      </c>
      <c r="Q156" s="197">
        <f t="shared" si="20"/>
        <v>198.4</v>
      </c>
      <c r="S156" s="197">
        <f t="shared" si="26"/>
        <v>113575</v>
      </c>
      <c r="U156" s="197">
        <f t="shared" si="21"/>
        <v>19074</v>
      </c>
      <c r="W156" s="197">
        <f t="shared" si="22"/>
        <v>228.59999999999994</v>
      </c>
      <c r="Y156" s="197">
        <v>32.199999999999996</v>
      </c>
      <c r="AB156" s="197">
        <f t="shared" si="23"/>
        <v>0</v>
      </c>
      <c r="AC156" s="197">
        <f t="shared" si="24"/>
        <v>1</v>
      </c>
      <c r="AD156" s="197">
        <f t="shared" si="27"/>
        <v>196.40000000000009</v>
      </c>
      <c r="AE156" s="197">
        <f t="shared" si="25"/>
        <v>349</v>
      </c>
    </row>
    <row r="157" spans="1:31">
      <c r="A157" s="197">
        <v>2011</v>
      </c>
      <c r="B157" s="197">
        <v>2</v>
      </c>
      <c r="C157" s="197">
        <v>3</v>
      </c>
      <c r="D157" s="197">
        <v>1.1000000000000001</v>
      </c>
      <c r="G157" s="197">
        <f t="shared" si="19"/>
        <v>20.400000000000002</v>
      </c>
      <c r="I157" s="197">
        <v>428</v>
      </c>
      <c r="J157" s="197">
        <v>0</v>
      </c>
      <c r="K157" s="197">
        <v>7.6</v>
      </c>
      <c r="L157" s="197">
        <v>4.2</v>
      </c>
      <c r="M157" s="197">
        <v>10.5</v>
      </c>
      <c r="N157" s="233">
        <v>40577</v>
      </c>
      <c r="O157" s="197">
        <f t="shared" si="28"/>
        <v>1390.7000000000007</v>
      </c>
      <c r="Q157" s="197">
        <f t="shared" si="20"/>
        <v>206</v>
      </c>
      <c r="S157" s="197">
        <f t="shared" si="26"/>
        <v>114003</v>
      </c>
      <c r="U157" s="197">
        <f t="shared" si="21"/>
        <v>19502</v>
      </c>
      <c r="W157" s="197">
        <f t="shared" si="22"/>
        <v>228.59999999999994</v>
      </c>
      <c r="Y157" s="197">
        <v>32.199999999999996</v>
      </c>
      <c r="AB157" s="197">
        <f t="shared" si="23"/>
        <v>0</v>
      </c>
      <c r="AC157" s="197">
        <f t="shared" si="24"/>
        <v>0</v>
      </c>
      <c r="AD157" s="197">
        <f t="shared" si="27"/>
        <v>197.50000000000009</v>
      </c>
      <c r="AE157" s="197">
        <f t="shared" si="25"/>
        <v>56.315789473684212</v>
      </c>
    </row>
    <row r="158" spans="1:31">
      <c r="A158" s="197">
        <v>2011</v>
      </c>
      <c r="B158" s="197">
        <v>2</v>
      </c>
      <c r="C158" s="197">
        <v>4</v>
      </c>
      <c r="D158" s="197">
        <v>1.2</v>
      </c>
      <c r="G158" s="197">
        <f t="shared" si="19"/>
        <v>21.6</v>
      </c>
      <c r="I158" s="197">
        <v>737</v>
      </c>
      <c r="J158" s="197">
        <v>0</v>
      </c>
      <c r="K158" s="197">
        <v>9.3000000000000007</v>
      </c>
      <c r="L158" s="197">
        <v>7.1</v>
      </c>
      <c r="M158" s="197">
        <v>13.2</v>
      </c>
      <c r="N158" s="233">
        <v>40578</v>
      </c>
      <c r="O158" s="197">
        <f t="shared" si="28"/>
        <v>1400.0000000000007</v>
      </c>
      <c r="Q158" s="197">
        <f t="shared" si="20"/>
        <v>215.3</v>
      </c>
      <c r="S158" s="197">
        <f t="shared" si="26"/>
        <v>114740</v>
      </c>
      <c r="U158" s="197">
        <f t="shared" si="21"/>
        <v>20239</v>
      </c>
      <c r="W158" s="197">
        <f t="shared" si="22"/>
        <v>228.59999999999994</v>
      </c>
      <c r="Y158" s="197">
        <v>32.199999999999996</v>
      </c>
      <c r="AB158" s="197">
        <f t="shared" si="23"/>
        <v>0</v>
      </c>
      <c r="AC158" s="197">
        <f t="shared" si="24"/>
        <v>0</v>
      </c>
      <c r="AD158" s="197">
        <f t="shared" si="27"/>
        <v>198.70000000000007</v>
      </c>
      <c r="AE158" s="197">
        <f t="shared" si="25"/>
        <v>79.247311827956977</v>
      </c>
    </row>
    <row r="159" spans="1:31">
      <c r="A159" s="197">
        <v>2011</v>
      </c>
      <c r="B159" s="197">
        <v>2</v>
      </c>
      <c r="C159" s="197">
        <v>5</v>
      </c>
      <c r="D159" s="197">
        <v>0.3</v>
      </c>
      <c r="G159" s="197">
        <f t="shared" si="19"/>
        <v>21.900000000000002</v>
      </c>
      <c r="I159" s="197">
        <v>1097</v>
      </c>
      <c r="J159" s="197">
        <v>0</v>
      </c>
      <c r="K159" s="197">
        <v>7</v>
      </c>
      <c r="L159" s="197">
        <v>1.8</v>
      </c>
      <c r="M159" s="197">
        <v>12.9</v>
      </c>
      <c r="N159" s="233">
        <v>40579</v>
      </c>
      <c r="O159" s="197">
        <f t="shared" si="28"/>
        <v>1407.0000000000007</v>
      </c>
      <c r="Q159" s="197">
        <f t="shared" si="20"/>
        <v>222.3</v>
      </c>
      <c r="S159" s="197">
        <f t="shared" si="26"/>
        <v>115837</v>
      </c>
      <c r="U159" s="197">
        <f t="shared" si="21"/>
        <v>21336</v>
      </c>
      <c r="W159" s="197">
        <f t="shared" si="22"/>
        <v>228.59999999999994</v>
      </c>
      <c r="Y159" s="197">
        <v>32.199999999999996</v>
      </c>
      <c r="AB159" s="197">
        <f t="shared" si="23"/>
        <v>0</v>
      </c>
      <c r="AC159" s="197">
        <f t="shared" si="24"/>
        <v>0</v>
      </c>
      <c r="AD159" s="197">
        <f t="shared" si="27"/>
        <v>199.00000000000009</v>
      </c>
      <c r="AE159" s="197">
        <f t="shared" si="25"/>
        <v>156.71428571428572</v>
      </c>
    </row>
    <row r="160" spans="1:31">
      <c r="A160" s="197">
        <v>2011</v>
      </c>
      <c r="B160" s="197">
        <v>2</v>
      </c>
      <c r="C160" s="197">
        <v>6</v>
      </c>
      <c r="D160" s="197">
        <v>0.7</v>
      </c>
      <c r="G160" s="197">
        <f t="shared" si="19"/>
        <v>22.6</v>
      </c>
      <c r="I160" s="197">
        <v>970</v>
      </c>
      <c r="J160" s="197">
        <v>0.4</v>
      </c>
      <c r="K160" s="197">
        <v>2.9</v>
      </c>
      <c r="L160" s="197">
        <v>-1.9</v>
      </c>
      <c r="M160" s="197">
        <v>11.8</v>
      </c>
      <c r="N160" s="233">
        <v>40580</v>
      </c>
      <c r="O160" s="197">
        <f t="shared" si="28"/>
        <v>1409.9000000000008</v>
      </c>
      <c r="Q160" s="197">
        <f t="shared" si="20"/>
        <v>225.20000000000002</v>
      </c>
      <c r="S160" s="197">
        <f t="shared" si="26"/>
        <v>116807</v>
      </c>
      <c r="U160" s="197">
        <f t="shared" si="21"/>
        <v>22306</v>
      </c>
      <c r="W160" s="197">
        <f t="shared" si="22"/>
        <v>228.99999999999994</v>
      </c>
      <c r="Y160" s="197">
        <v>32.599999999999994</v>
      </c>
      <c r="AB160" s="197">
        <f t="shared" si="23"/>
        <v>0</v>
      </c>
      <c r="AC160" s="197">
        <f t="shared" si="24"/>
        <v>1</v>
      </c>
      <c r="AD160" s="197">
        <f t="shared" si="27"/>
        <v>199.70000000000007</v>
      </c>
      <c r="AE160" s="197">
        <f t="shared" si="25"/>
        <v>334.48275862068965</v>
      </c>
    </row>
    <row r="161" spans="1:31">
      <c r="A161" s="197">
        <v>2011</v>
      </c>
      <c r="B161" s="197">
        <v>2</v>
      </c>
      <c r="C161" s="197">
        <v>7</v>
      </c>
      <c r="D161" s="197">
        <v>0.6</v>
      </c>
      <c r="G161" s="197">
        <f t="shared" si="19"/>
        <v>23.200000000000003</v>
      </c>
      <c r="I161" s="197">
        <v>1159</v>
      </c>
      <c r="J161" s="197">
        <v>0.2</v>
      </c>
      <c r="K161" s="197">
        <v>5.6</v>
      </c>
      <c r="L161" s="197">
        <v>-2.1</v>
      </c>
      <c r="M161" s="197">
        <v>15.5</v>
      </c>
      <c r="N161" s="233">
        <v>40581</v>
      </c>
      <c r="O161" s="197">
        <f t="shared" si="28"/>
        <v>1415.5000000000007</v>
      </c>
      <c r="Q161" s="197">
        <f t="shared" si="20"/>
        <v>230.8</v>
      </c>
      <c r="S161" s="197">
        <f t="shared" si="26"/>
        <v>117966</v>
      </c>
      <c r="U161" s="197">
        <f t="shared" si="21"/>
        <v>23465</v>
      </c>
      <c r="W161" s="197">
        <f t="shared" si="22"/>
        <v>229.19999999999993</v>
      </c>
      <c r="Y161" s="197">
        <v>32.799999999999997</v>
      </c>
      <c r="AB161" s="197">
        <f t="shared" si="23"/>
        <v>0</v>
      </c>
      <c r="AC161" s="197">
        <f t="shared" si="24"/>
        <v>0</v>
      </c>
      <c r="AD161" s="197">
        <f t="shared" si="27"/>
        <v>200.30000000000007</v>
      </c>
      <c r="AE161" s="197">
        <f t="shared" si="25"/>
        <v>206.96428571428572</v>
      </c>
    </row>
    <row r="162" spans="1:31">
      <c r="A162" s="197">
        <v>2011</v>
      </c>
      <c r="B162" s="197">
        <v>2</v>
      </c>
      <c r="C162" s="197">
        <v>8</v>
      </c>
      <c r="D162" s="197">
        <v>0.4</v>
      </c>
      <c r="G162" s="197">
        <f t="shared" si="19"/>
        <v>23.6</v>
      </c>
      <c r="I162" s="197">
        <v>1101</v>
      </c>
      <c r="J162" s="197">
        <v>0.2</v>
      </c>
      <c r="K162" s="197">
        <v>7.2</v>
      </c>
      <c r="L162" s="197">
        <v>0.8</v>
      </c>
      <c r="M162" s="197">
        <v>15.4</v>
      </c>
      <c r="N162" s="233">
        <v>40582</v>
      </c>
      <c r="O162" s="197">
        <f t="shared" si="28"/>
        <v>1422.7000000000007</v>
      </c>
      <c r="Q162" s="197">
        <f t="shared" si="20"/>
        <v>238</v>
      </c>
      <c r="S162" s="197">
        <f t="shared" si="26"/>
        <v>119067</v>
      </c>
      <c r="U162" s="197">
        <f t="shared" si="21"/>
        <v>24566</v>
      </c>
      <c r="W162" s="197">
        <f t="shared" si="22"/>
        <v>229.39999999999992</v>
      </c>
      <c r="Y162" s="197">
        <v>33</v>
      </c>
      <c r="AB162" s="197">
        <f t="shared" si="23"/>
        <v>0</v>
      </c>
      <c r="AC162" s="197">
        <f t="shared" si="24"/>
        <v>0</v>
      </c>
      <c r="AD162" s="197">
        <f t="shared" si="27"/>
        <v>200.70000000000007</v>
      </c>
      <c r="AE162" s="197">
        <f t="shared" si="25"/>
        <v>152.91666666666666</v>
      </c>
    </row>
    <row r="163" spans="1:31">
      <c r="A163" s="197">
        <v>2011</v>
      </c>
      <c r="B163" s="197">
        <v>2</v>
      </c>
      <c r="C163" s="197">
        <v>9</v>
      </c>
      <c r="D163" s="197">
        <v>0.7</v>
      </c>
      <c r="G163" s="197">
        <f t="shared" si="19"/>
        <v>24.3</v>
      </c>
      <c r="I163" s="197">
        <v>1167</v>
      </c>
      <c r="J163" s="197">
        <v>0.2</v>
      </c>
      <c r="K163" s="197">
        <v>6.8</v>
      </c>
      <c r="L163" s="197">
        <v>0.1</v>
      </c>
      <c r="M163" s="197">
        <v>15.4</v>
      </c>
      <c r="N163" s="233">
        <v>40583</v>
      </c>
      <c r="O163" s="197">
        <f t="shared" si="28"/>
        <v>1429.5000000000007</v>
      </c>
      <c r="Q163" s="197">
        <f t="shared" si="20"/>
        <v>244.8</v>
      </c>
      <c r="S163" s="197">
        <f t="shared" si="26"/>
        <v>120234</v>
      </c>
      <c r="U163" s="197">
        <f t="shared" si="21"/>
        <v>25733</v>
      </c>
      <c r="W163" s="197">
        <f t="shared" si="22"/>
        <v>229.59999999999991</v>
      </c>
      <c r="Y163" s="197">
        <v>33.200000000000003</v>
      </c>
      <c r="AB163" s="197">
        <f t="shared" si="23"/>
        <v>0</v>
      </c>
      <c r="AC163" s="197">
        <f t="shared" si="24"/>
        <v>0</v>
      </c>
      <c r="AD163" s="197">
        <f t="shared" si="27"/>
        <v>201.40000000000006</v>
      </c>
      <c r="AE163" s="197">
        <f t="shared" si="25"/>
        <v>171.61764705882354</v>
      </c>
    </row>
    <row r="164" spans="1:31">
      <c r="A164" s="197">
        <v>2011</v>
      </c>
      <c r="B164" s="197">
        <v>2</v>
      </c>
      <c r="C164" s="197">
        <v>10</v>
      </c>
      <c r="D164" s="197">
        <v>0.8</v>
      </c>
      <c r="G164" s="197">
        <f t="shared" si="19"/>
        <v>25.1</v>
      </c>
      <c r="I164" s="197">
        <v>1003</v>
      </c>
      <c r="J164" s="197">
        <v>0</v>
      </c>
      <c r="K164" s="197">
        <v>6.1</v>
      </c>
      <c r="L164" s="197">
        <v>0.2</v>
      </c>
      <c r="M164" s="197">
        <v>14.2</v>
      </c>
      <c r="N164" s="233">
        <v>40584</v>
      </c>
      <c r="O164" s="197">
        <f t="shared" si="28"/>
        <v>1435.6000000000006</v>
      </c>
      <c r="Q164" s="197">
        <f t="shared" si="20"/>
        <v>250.9</v>
      </c>
      <c r="S164" s="197">
        <f t="shared" si="26"/>
        <v>121237</v>
      </c>
      <c r="U164" s="197">
        <f t="shared" si="21"/>
        <v>26736</v>
      </c>
      <c r="W164" s="197">
        <f t="shared" si="22"/>
        <v>229.59999999999991</v>
      </c>
      <c r="Y164" s="197">
        <v>33.200000000000003</v>
      </c>
      <c r="AB164" s="197">
        <f t="shared" si="23"/>
        <v>0</v>
      </c>
      <c r="AC164" s="197">
        <f t="shared" si="24"/>
        <v>0</v>
      </c>
      <c r="AD164" s="197">
        <f t="shared" si="27"/>
        <v>202.20000000000007</v>
      </c>
      <c r="AE164" s="197">
        <f t="shared" si="25"/>
        <v>164.42622950819674</v>
      </c>
    </row>
    <row r="165" spans="1:31">
      <c r="A165" s="197">
        <v>2011</v>
      </c>
      <c r="B165" s="197">
        <v>2</v>
      </c>
      <c r="C165" s="197">
        <v>11</v>
      </c>
      <c r="D165" s="197">
        <v>1.2</v>
      </c>
      <c r="G165" s="197">
        <f t="shared" si="19"/>
        <v>26.3</v>
      </c>
      <c r="I165" s="197">
        <v>1071</v>
      </c>
      <c r="J165" s="197">
        <v>0</v>
      </c>
      <c r="K165" s="197">
        <v>8.3000000000000007</v>
      </c>
      <c r="L165" s="197">
        <v>4.7</v>
      </c>
      <c r="M165" s="197">
        <v>13.4</v>
      </c>
      <c r="N165" s="233">
        <v>40585</v>
      </c>
      <c r="O165" s="197">
        <f t="shared" si="28"/>
        <v>1443.9000000000005</v>
      </c>
      <c r="Q165" s="197">
        <f t="shared" si="20"/>
        <v>259.2</v>
      </c>
      <c r="S165" s="197">
        <f t="shared" si="26"/>
        <v>122308</v>
      </c>
      <c r="U165" s="197">
        <f t="shared" si="21"/>
        <v>27807</v>
      </c>
      <c r="W165" s="197">
        <f t="shared" si="22"/>
        <v>229.59999999999991</v>
      </c>
      <c r="Y165" s="197">
        <v>33.200000000000003</v>
      </c>
      <c r="AB165" s="197">
        <f t="shared" si="23"/>
        <v>0</v>
      </c>
      <c r="AC165" s="197">
        <f t="shared" si="24"/>
        <v>0</v>
      </c>
      <c r="AD165" s="197">
        <f t="shared" si="27"/>
        <v>203.40000000000006</v>
      </c>
      <c r="AE165" s="197">
        <f t="shared" si="25"/>
        <v>129.03614457831324</v>
      </c>
    </row>
    <row r="166" spans="1:31">
      <c r="A166" s="197">
        <v>2011</v>
      </c>
      <c r="B166" s="197">
        <v>2</v>
      </c>
      <c r="C166" s="197">
        <v>12</v>
      </c>
      <c r="D166" s="197">
        <v>0.9</v>
      </c>
      <c r="G166" s="197">
        <f t="shared" si="19"/>
        <v>27.2</v>
      </c>
      <c r="I166" s="197">
        <v>935</v>
      </c>
      <c r="J166" s="197">
        <v>1.2</v>
      </c>
      <c r="K166" s="197">
        <v>7.2</v>
      </c>
      <c r="L166" s="197">
        <v>0.8</v>
      </c>
      <c r="M166" s="197">
        <v>14.8</v>
      </c>
      <c r="N166" s="233">
        <v>40586</v>
      </c>
      <c r="O166" s="197">
        <f t="shared" si="28"/>
        <v>1451.1000000000006</v>
      </c>
      <c r="Q166" s="197">
        <f t="shared" si="20"/>
        <v>266.39999999999998</v>
      </c>
      <c r="S166" s="197">
        <f t="shared" si="26"/>
        <v>123243</v>
      </c>
      <c r="U166" s="197">
        <f t="shared" si="21"/>
        <v>28742</v>
      </c>
      <c r="W166" s="197">
        <f t="shared" si="22"/>
        <v>230.7999999999999</v>
      </c>
      <c r="Y166" s="197">
        <v>34.400000000000006</v>
      </c>
      <c r="AB166" s="197">
        <f t="shared" si="23"/>
        <v>0</v>
      </c>
      <c r="AC166" s="197">
        <f t="shared" si="24"/>
        <v>0</v>
      </c>
      <c r="AD166" s="197">
        <f t="shared" si="27"/>
        <v>204.30000000000007</v>
      </c>
      <c r="AE166" s="197">
        <f t="shared" si="25"/>
        <v>129.86111111111111</v>
      </c>
    </row>
    <row r="167" spans="1:31">
      <c r="A167" s="197">
        <v>2011</v>
      </c>
      <c r="B167" s="197">
        <v>2</v>
      </c>
      <c r="C167" s="197">
        <v>13</v>
      </c>
      <c r="D167" s="197">
        <v>0.9</v>
      </c>
      <c r="G167" s="197">
        <f t="shared" si="19"/>
        <v>28.099999999999998</v>
      </c>
      <c r="I167" s="197">
        <v>918</v>
      </c>
      <c r="J167" s="197">
        <v>0.2</v>
      </c>
      <c r="K167" s="197">
        <v>7</v>
      </c>
      <c r="L167" s="197">
        <v>3.2</v>
      </c>
      <c r="M167" s="197">
        <v>12.3</v>
      </c>
      <c r="N167" s="233">
        <v>40587</v>
      </c>
      <c r="O167" s="197">
        <f t="shared" si="28"/>
        <v>1458.1000000000006</v>
      </c>
      <c r="Q167" s="197">
        <f t="shared" si="20"/>
        <v>273.39999999999998</v>
      </c>
      <c r="S167" s="197">
        <f t="shared" si="26"/>
        <v>124161</v>
      </c>
      <c r="U167" s="197">
        <f t="shared" si="21"/>
        <v>29660</v>
      </c>
      <c r="W167" s="197">
        <f t="shared" si="22"/>
        <v>230.99999999999989</v>
      </c>
      <c r="Y167" s="197">
        <v>34.600000000000009</v>
      </c>
      <c r="AB167" s="197">
        <f t="shared" si="23"/>
        <v>0</v>
      </c>
      <c r="AC167" s="197">
        <f t="shared" si="24"/>
        <v>0</v>
      </c>
      <c r="AD167" s="197">
        <f t="shared" si="27"/>
        <v>205.20000000000007</v>
      </c>
      <c r="AE167" s="197">
        <f t="shared" si="25"/>
        <v>131.14285714285714</v>
      </c>
    </row>
    <row r="168" spans="1:31">
      <c r="A168" s="197">
        <v>2011</v>
      </c>
      <c r="B168" s="197">
        <v>2</v>
      </c>
      <c r="C168" s="197">
        <v>14</v>
      </c>
      <c r="D168" s="197">
        <v>1.4</v>
      </c>
      <c r="G168" s="197">
        <f t="shared" si="19"/>
        <v>29.499999999999996</v>
      </c>
      <c r="I168" s="197">
        <v>635</v>
      </c>
      <c r="J168" s="197">
        <v>0.6</v>
      </c>
      <c r="K168" s="197">
        <v>7.4</v>
      </c>
      <c r="L168" s="197">
        <v>5.9</v>
      </c>
      <c r="M168" s="197">
        <v>10.1</v>
      </c>
      <c r="N168" s="233">
        <v>40588</v>
      </c>
      <c r="O168" s="197">
        <f t="shared" si="28"/>
        <v>1465.5000000000007</v>
      </c>
      <c r="Q168" s="197">
        <f t="shared" si="20"/>
        <v>280.79999999999995</v>
      </c>
      <c r="S168" s="197">
        <f t="shared" si="26"/>
        <v>124796</v>
      </c>
      <c r="U168" s="197">
        <f t="shared" si="21"/>
        <v>30295</v>
      </c>
      <c r="W168" s="197">
        <f t="shared" si="22"/>
        <v>231.59999999999988</v>
      </c>
      <c r="Y168" s="197">
        <v>35.20000000000001</v>
      </c>
      <c r="AB168" s="197">
        <f t="shared" si="23"/>
        <v>0</v>
      </c>
      <c r="AC168" s="197">
        <f t="shared" si="24"/>
        <v>0</v>
      </c>
      <c r="AD168" s="197">
        <f t="shared" si="27"/>
        <v>206.60000000000008</v>
      </c>
      <c r="AE168" s="197">
        <f t="shared" si="25"/>
        <v>85.810810810810807</v>
      </c>
    </row>
    <row r="169" spans="1:31">
      <c r="A169" s="197">
        <v>2011</v>
      </c>
      <c r="B169" s="197">
        <v>2</v>
      </c>
      <c r="C169" s="197">
        <v>15</v>
      </c>
      <c r="D169" s="197">
        <v>1.5</v>
      </c>
      <c r="G169" s="197">
        <f t="shared" si="19"/>
        <v>30.999999999999996</v>
      </c>
      <c r="I169" s="197">
        <v>1099</v>
      </c>
      <c r="J169" s="197">
        <v>0.2</v>
      </c>
      <c r="K169" s="197">
        <v>9.4</v>
      </c>
      <c r="L169" s="197">
        <v>4</v>
      </c>
      <c r="M169" s="197">
        <v>15.1</v>
      </c>
      <c r="N169" s="233">
        <v>40589</v>
      </c>
      <c r="O169" s="197">
        <f t="shared" si="28"/>
        <v>1474.9000000000008</v>
      </c>
      <c r="Q169" s="197">
        <f t="shared" si="20"/>
        <v>290.19999999999993</v>
      </c>
      <c r="S169" s="197">
        <f t="shared" si="26"/>
        <v>125895</v>
      </c>
      <c r="U169" s="197">
        <f t="shared" si="21"/>
        <v>31394</v>
      </c>
      <c r="W169" s="197">
        <f t="shared" si="22"/>
        <v>231.79999999999987</v>
      </c>
      <c r="Y169" s="197">
        <v>35.400000000000013</v>
      </c>
      <c r="AB169" s="197">
        <f t="shared" si="23"/>
        <v>0</v>
      </c>
      <c r="AC169" s="197">
        <f t="shared" si="24"/>
        <v>0</v>
      </c>
      <c r="AD169" s="197">
        <f t="shared" si="27"/>
        <v>208.10000000000008</v>
      </c>
      <c r="AE169" s="197">
        <f t="shared" si="25"/>
        <v>116.91489361702128</v>
      </c>
    </row>
    <row r="170" spans="1:31">
      <c r="A170" s="197">
        <v>2011</v>
      </c>
      <c r="B170" s="197">
        <v>2</v>
      </c>
      <c r="C170" s="197">
        <v>16</v>
      </c>
      <c r="D170" s="197">
        <v>1.6</v>
      </c>
      <c r="G170" s="197">
        <f t="shared" si="19"/>
        <v>32.599999999999994</v>
      </c>
      <c r="I170" s="197">
        <v>1148</v>
      </c>
      <c r="J170" s="197">
        <v>0</v>
      </c>
      <c r="K170" s="197">
        <v>9</v>
      </c>
      <c r="L170" s="197">
        <v>4.8</v>
      </c>
      <c r="M170" s="197">
        <v>14</v>
      </c>
      <c r="N170" s="233">
        <v>40590</v>
      </c>
      <c r="O170" s="197">
        <f t="shared" si="28"/>
        <v>1483.9000000000008</v>
      </c>
      <c r="Q170" s="197">
        <f t="shared" si="20"/>
        <v>299.19999999999993</v>
      </c>
      <c r="S170" s="197">
        <f t="shared" si="26"/>
        <v>127043</v>
      </c>
      <c r="U170" s="197">
        <f t="shared" si="21"/>
        <v>32542</v>
      </c>
      <c r="W170" s="197">
        <f t="shared" si="22"/>
        <v>231.79999999999987</v>
      </c>
      <c r="Y170" s="197">
        <v>35.400000000000013</v>
      </c>
      <c r="AB170" s="197">
        <f t="shared" si="23"/>
        <v>0</v>
      </c>
      <c r="AC170" s="197">
        <f t="shared" si="24"/>
        <v>0</v>
      </c>
      <c r="AD170" s="197">
        <f t="shared" si="27"/>
        <v>209.70000000000007</v>
      </c>
      <c r="AE170" s="197">
        <f t="shared" si="25"/>
        <v>127.55555555555556</v>
      </c>
    </row>
    <row r="171" spans="1:31">
      <c r="A171" s="197">
        <v>2011</v>
      </c>
      <c r="B171" s="197">
        <v>2</v>
      </c>
      <c r="C171" s="197">
        <v>17</v>
      </c>
      <c r="D171" s="197">
        <v>0.9</v>
      </c>
      <c r="G171" s="197">
        <f t="shared" si="19"/>
        <v>33.499999999999993</v>
      </c>
      <c r="I171" s="197">
        <v>404</v>
      </c>
      <c r="J171" s="197">
        <v>0</v>
      </c>
      <c r="K171" s="197">
        <v>7.7</v>
      </c>
      <c r="L171" s="197">
        <v>3.6</v>
      </c>
      <c r="M171" s="197">
        <v>10.7</v>
      </c>
      <c r="N171" s="233">
        <v>40591</v>
      </c>
      <c r="O171" s="197">
        <f t="shared" si="28"/>
        <v>1491.6000000000008</v>
      </c>
      <c r="Q171" s="197">
        <f t="shared" si="20"/>
        <v>306.89999999999992</v>
      </c>
      <c r="S171" s="197">
        <f t="shared" si="26"/>
        <v>127447</v>
      </c>
      <c r="U171" s="197">
        <f t="shared" si="21"/>
        <v>32946</v>
      </c>
      <c r="W171" s="197">
        <f t="shared" si="22"/>
        <v>231.79999999999987</v>
      </c>
      <c r="Y171" s="197">
        <v>35.400000000000013</v>
      </c>
      <c r="AB171" s="197">
        <f t="shared" si="23"/>
        <v>0</v>
      </c>
      <c r="AC171" s="197">
        <f t="shared" si="24"/>
        <v>0</v>
      </c>
      <c r="AD171" s="197">
        <f t="shared" si="27"/>
        <v>210.60000000000008</v>
      </c>
      <c r="AE171" s="197">
        <f t="shared" si="25"/>
        <v>52.467532467532465</v>
      </c>
    </row>
    <row r="172" spans="1:31">
      <c r="A172" s="197">
        <v>2011</v>
      </c>
      <c r="B172" s="197">
        <v>2</v>
      </c>
      <c r="C172" s="197">
        <v>18</v>
      </c>
      <c r="D172" s="197">
        <v>2.1</v>
      </c>
      <c r="G172" s="197">
        <f t="shared" si="19"/>
        <v>35.599999999999994</v>
      </c>
      <c r="I172" s="197">
        <v>969</v>
      </c>
      <c r="J172" s="197">
        <v>0</v>
      </c>
      <c r="K172" s="197">
        <v>9.1</v>
      </c>
      <c r="L172" s="197">
        <v>7.1</v>
      </c>
      <c r="M172" s="197">
        <v>14</v>
      </c>
      <c r="N172" s="233">
        <v>40592</v>
      </c>
      <c r="O172" s="197">
        <f t="shared" si="28"/>
        <v>1500.7000000000007</v>
      </c>
      <c r="Q172" s="197">
        <f t="shared" si="20"/>
        <v>315.99999999999994</v>
      </c>
      <c r="S172" s="197">
        <f t="shared" si="26"/>
        <v>128416</v>
      </c>
      <c r="U172" s="197">
        <f t="shared" si="21"/>
        <v>33915</v>
      </c>
      <c r="W172" s="197">
        <f t="shared" si="22"/>
        <v>231.79999999999987</v>
      </c>
      <c r="Y172" s="197">
        <v>35.400000000000013</v>
      </c>
      <c r="AB172" s="197">
        <f t="shared" si="23"/>
        <v>0</v>
      </c>
      <c r="AC172" s="197">
        <f t="shared" si="24"/>
        <v>0</v>
      </c>
      <c r="AD172" s="197">
        <f t="shared" si="27"/>
        <v>212.70000000000007</v>
      </c>
      <c r="AE172" s="197">
        <f t="shared" si="25"/>
        <v>106.48351648351648</v>
      </c>
    </row>
    <row r="173" spans="1:31">
      <c r="A173" s="197">
        <v>2011</v>
      </c>
      <c r="B173" s="197">
        <v>2</v>
      </c>
      <c r="C173" s="197">
        <v>19</v>
      </c>
      <c r="D173" s="197">
        <v>1</v>
      </c>
      <c r="G173" s="197">
        <f t="shared" si="19"/>
        <v>36.599999999999994</v>
      </c>
      <c r="I173" s="197">
        <v>632</v>
      </c>
      <c r="J173" s="197">
        <v>3.8</v>
      </c>
      <c r="K173" s="197">
        <v>7.3</v>
      </c>
      <c r="L173" s="197">
        <v>1.5</v>
      </c>
      <c r="M173" s="197">
        <v>14</v>
      </c>
      <c r="N173" s="233">
        <v>40593</v>
      </c>
      <c r="O173" s="197">
        <f t="shared" si="28"/>
        <v>1508.0000000000007</v>
      </c>
      <c r="Q173" s="197">
        <f t="shared" si="20"/>
        <v>323.29999999999995</v>
      </c>
      <c r="S173" s="197">
        <f t="shared" si="26"/>
        <v>129048</v>
      </c>
      <c r="U173" s="197">
        <f t="shared" si="21"/>
        <v>34547</v>
      </c>
      <c r="W173" s="197">
        <f t="shared" si="22"/>
        <v>235.59999999999988</v>
      </c>
      <c r="Y173" s="197">
        <v>39.20000000000001</v>
      </c>
      <c r="AB173" s="197">
        <f t="shared" si="23"/>
        <v>0</v>
      </c>
      <c r="AC173" s="197">
        <f t="shared" si="24"/>
        <v>0</v>
      </c>
      <c r="AD173" s="197">
        <f t="shared" si="27"/>
        <v>213.70000000000007</v>
      </c>
      <c r="AE173" s="197">
        <f t="shared" si="25"/>
        <v>86.575342465753423</v>
      </c>
    </row>
    <row r="174" spans="1:31">
      <c r="A174" s="197">
        <v>2011</v>
      </c>
      <c r="B174" s="197">
        <v>2</v>
      </c>
      <c r="C174" s="197">
        <v>20</v>
      </c>
      <c r="D174" s="197">
        <v>1.6</v>
      </c>
      <c r="G174" s="197">
        <f t="shared" si="19"/>
        <v>38.199999999999996</v>
      </c>
      <c r="I174" s="197">
        <v>871</v>
      </c>
      <c r="J174" s="197">
        <v>0</v>
      </c>
      <c r="K174" s="197">
        <v>9</v>
      </c>
      <c r="L174" s="197">
        <v>7.7</v>
      </c>
      <c r="M174" s="197">
        <v>13.2</v>
      </c>
      <c r="N174" s="233">
        <v>40594</v>
      </c>
      <c r="O174" s="197">
        <f t="shared" si="28"/>
        <v>1517.0000000000007</v>
      </c>
      <c r="Q174" s="197">
        <f t="shared" si="20"/>
        <v>332.29999999999995</v>
      </c>
      <c r="S174" s="197">
        <f t="shared" si="26"/>
        <v>129919</v>
      </c>
      <c r="U174" s="197">
        <f t="shared" si="21"/>
        <v>35418</v>
      </c>
      <c r="W174" s="197">
        <f t="shared" si="22"/>
        <v>235.59999999999988</v>
      </c>
      <c r="Y174" s="197">
        <v>39.20000000000001</v>
      </c>
      <c r="AB174" s="197">
        <f t="shared" si="23"/>
        <v>0</v>
      </c>
      <c r="AC174" s="197">
        <f t="shared" si="24"/>
        <v>0</v>
      </c>
      <c r="AD174" s="197">
        <f t="shared" si="27"/>
        <v>215.30000000000007</v>
      </c>
      <c r="AE174" s="197">
        <f t="shared" si="25"/>
        <v>96.777777777777771</v>
      </c>
    </row>
    <row r="175" spans="1:31">
      <c r="A175" s="197">
        <v>2011</v>
      </c>
      <c r="B175" s="197">
        <v>2</v>
      </c>
      <c r="C175" s="197">
        <v>21</v>
      </c>
      <c r="D175" s="197">
        <v>1</v>
      </c>
      <c r="G175" s="197">
        <f t="shared" si="19"/>
        <v>39.199999999999996</v>
      </c>
      <c r="I175" s="197">
        <v>562</v>
      </c>
      <c r="J175" s="197">
        <v>10.7</v>
      </c>
      <c r="K175" s="197">
        <v>9.1999999999999993</v>
      </c>
      <c r="L175" s="197">
        <v>4.4000000000000004</v>
      </c>
      <c r="M175" s="197">
        <v>11.8</v>
      </c>
      <c r="N175" s="233">
        <v>40595</v>
      </c>
      <c r="O175" s="197">
        <f t="shared" si="28"/>
        <v>1526.2000000000007</v>
      </c>
      <c r="Q175" s="197">
        <f t="shared" si="20"/>
        <v>341.49999999999994</v>
      </c>
      <c r="S175" s="197">
        <f t="shared" si="26"/>
        <v>130481</v>
      </c>
      <c r="U175" s="197">
        <f t="shared" si="21"/>
        <v>35980</v>
      </c>
      <c r="W175" s="197">
        <f t="shared" si="22"/>
        <v>246.29999999999987</v>
      </c>
      <c r="Y175" s="197">
        <v>49.900000000000006</v>
      </c>
      <c r="AB175" s="197">
        <f t="shared" si="23"/>
        <v>0</v>
      </c>
      <c r="AC175" s="197">
        <f t="shared" si="24"/>
        <v>0</v>
      </c>
      <c r="AD175" s="197">
        <f t="shared" si="27"/>
        <v>216.30000000000007</v>
      </c>
      <c r="AE175" s="197">
        <f t="shared" si="25"/>
        <v>61.086956521739133</v>
      </c>
    </row>
    <row r="176" spans="1:31">
      <c r="A176" s="197">
        <v>2011</v>
      </c>
      <c r="B176" s="197">
        <v>2</v>
      </c>
      <c r="C176" s="197">
        <v>22</v>
      </c>
      <c r="D176" s="197">
        <v>0.8</v>
      </c>
      <c r="G176" s="197">
        <f t="shared" si="19"/>
        <v>39.999999999999993</v>
      </c>
      <c r="I176" s="197">
        <v>247</v>
      </c>
      <c r="J176" s="197">
        <v>3.2</v>
      </c>
      <c r="K176" s="197">
        <v>8.5</v>
      </c>
      <c r="L176" s="197">
        <v>7.3</v>
      </c>
      <c r="M176" s="197">
        <v>9.9</v>
      </c>
      <c r="N176" s="233">
        <v>40596</v>
      </c>
      <c r="O176" s="197">
        <f t="shared" si="28"/>
        <v>1534.7000000000007</v>
      </c>
      <c r="Q176" s="197">
        <f t="shared" si="20"/>
        <v>349.99999999999994</v>
      </c>
      <c r="S176" s="197">
        <f t="shared" si="26"/>
        <v>130728</v>
      </c>
      <c r="U176" s="197">
        <f t="shared" si="21"/>
        <v>36227</v>
      </c>
      <c r="W176" s="197">
        <f t="shared" si="22"/>
        <v>249.49999999999986</v>
      </c>
      <c r="Y176" s="197">
        <v>53.100000000000009</v>
      </c>
      <c r="AB176" s="197">
        <f t="shared" si="23"/>
        <v>0</v>
      </c>
      <c r="AC176" s="197">
        <f t="shared" si="24"/>
        <v>0</v>
      </c>
      <c r="AD176" s="197">
        <f t="shared" si="27"/>
        <v>217.10000000000008</v>
      </c>
      <c r="AE176" s="197">
        <f t="shared" si="25"/>
        <v>29.058823529411764</v>
      </c>
    </row>
    <row r="177" spans="1:31">
      <c r="A177" s="197">
        <v>2011</v>
      </c>
      <c r="B177" s="197">
        <v>2</v>
      </c>
      <c r="C177" s="197">
        <v>23</v>
      </c>
      <c r="D177" s="197">
        <v>1.4</v>
      </c>
      <c r="G177" s="197">
        <f t="shared" si="19"/>
        <v>41.399999999999991</v>
      </c>
      <c r="I177" s="197">
        <v>797</v>
      </c>
      <c r="J177" s="197">
        <v>2.6</v>
      </c>
      <c r="K177" s="197">
        <v>9</v>
      </c>
      <c r="L177" s="197">
        <v>6.4</v>
      </c>
      <c r="M177" s="197">
        <v>11.9</v>
      </c>
      <c r="N177" s="233">
        <v>40597</v>
      </c>
      <c r="O177" s="197">
        <f t="shared" si="28"/>
        <v>1543.7000000000007</v>
      </c>
      <c r="Q177" s="197">
        <f t="shared" si="20"/>
        <v>358.99999999999994</v>
      </c>
      <c r="S177" s="197">
        <f t="shared" si="26"/>
        <v>131525</v>
      </c>
      <c r="U177" s="197">
        <f t="shared" si="21"/>
        <v>37024</v>
      </c>
      <c r="W177" s="197">
        <f t="shared" si="22"/>
        <v>252.09999999999985</v>
      </c>
      <c r="Y177" s="197">
        <v>55.70000000000001</v>
      </c>
      <c r="AB177" s="197">
        <f t="shared" si="23"/>
        <v>0</v>
      </c>
      <c r="AC177" s="197">
        <f t="shared" si="24"/>
        <v>0</v>
      </c>
      <c r="AD177" s="197">
        <f t="shared" si="27"/>
        <v>218.50000000000009</v>
      </c>
      <c r="AE177" s="197">
        <f t="shared" si="25"/>
        <v>88.555555555555557</v>
      </c>
    </row>
    <row r="178" spans="1:31">
      <c r="A178" s="197">
        <v>2011</v>
      </c>
      <c r="B178" s="197">
        <v>2</v>
      </c>
      <c r="C178" s="197">
        <v>24</v>
      </c>
      <c r="D178" s="197">
        <v>1.7</v>
      </c>
      <c r="G178" s="197">
        <f t="shared" si="19"/>
        <v>43.099999999999994</v>
      </c>
      <c r="I178" s="197">
        <v>713</v>
      </c>
      <c r="J178" s="197">
        <v>0.6</v>
      </c>
      <c r="K178" s="197">
        <v>11.1</v>
      </c>
      <c r="L178" s="197">
        <v>9.5</v>
      </c>
      <c r="M178" s="197">
        <v>14.2</v>
      </c>
      <c r="N178" s="233">
        <v>40598</v>
      </c>
      <c r="O178" s="197">
        <f t="shared" si="28"/>
        <v>1554.8000000000006</v>
      </c>
      <c r="Q178" s="197">
        <f t="shared" si="20"/>
        <v>370.09999999999997</v>
      </c>
      <c r="S178" s="197">
        <f t="shared" si="26"/>
        <v>132238</v>
      </c>
      <c r="U178" s="197">
        <f t="shared" si="21"/>
        <v>37737</v>
      </c>
      <c r="W178" s="197">
        <f t="shared" si="22"/>
        <v>252.69999999999985</v>
      </c>
      <c r="Y178" s="197">
        <v>56.300000000000011</v>
      </c>
      <c r="AB178" s="197">
        <f t="shared" si="23"/>
        <v>0</v>
      </c>
      <c r="AC178" s="197">
        <f t="shared" si="24"/>
        <v>0</v>
      </c>
      <c r="AD178" s="197">
        <f t="shared" si="27"/>
        <v>220.20000000000007</v>
      </c>
      <c r="AE178" s="197">
        <f t="shared" si="25"/>
        <v>64.234234234234236</v>
      </c>
    </row>
    <row r="179" spans="1:31">
      <c r="A179" s="197">
        <v>2011</v>
      </c>
      <c r="B179" s="197">
        <v>2</v>
      </c>
      <c r="C179" s="197">
        <v>25</v>
      </c>
      <c r="D179" s="197">
        <v>1.7</v>
      </c>
      <c r="G179" s="197">
        <f t="shared" si="19"/>
        <v>44.8</v>
      </c>
      <c r="I179" s="197">
        <v>541</v>
      </c>
      <c r="J179" s="197">
        <v>0</v>
      </c>
      <c r="K179" s="197">
        <v>10.7</v>
      </c>
      <c r="L179" s="197">
        <v>9.9</v>
      </c>
      <c r="M179" s="197">
        <v>13.8</v>
      </c>
      <c r="N179" s="233">
        <v>40599</v>
      </c>
      <c r="O179" s="197">
        <f t="shared" si="28"/>
        <v>1565.5000000000007</v>
      </c>
      <c r="Q179" s="197">
        <f t="shared" si="20"/>
        <v>380.79999999999995</v>
      </c>
      <c r="S179" s="197">
        <f t="shared" si="26"/>
        <v>132779</v>
      </c>
      <c r="U179" s="197">
        <f t="shared" si="21"/>
        <v>38278</v>
      </c>
      <c r="W179" s="197">
        <f t="shared" si="22"/>
        <v>252.69999999999985</v>
      </c>
      <c r="Y179" s="197">
        <v>56.300000000000011</v>
      </c>
      <c r="AB179" s="197">
        <f t="shared" si="23"/>
        <v>0</v>
      </c>
      <c r="AC179" s="197">
        <f t="shared" si="24"/>
        <v>0</v>
      </c>
      <c r="AD179" s="197">
        <f t="shared" si="27"/>
        <v>221.90000000000006</v>
      </c>
      <c r="AE179" s="197">
        <f t="shared" si="25"/>
        <v>50.560747663551403</v>
      </c>
    </row>
    <row r="180" spans="1:31">
      <c r="A180" s="197">
        <v>2011</v>
      </c>
      <c r="B180" s="197">
        <v>2</v>
      </c>
      <c r="C180" s="197">
        <v>26</v>
      </c>
      <c r="D180" s="197">
        <v>0.6</v>
      </c>
      <c r="G180" s="197">
        <f t="shared" si="19"/>
        <v>45.4</v>
      </c>
      <c r="I180" s="197">
        <v>373</v>
      </c>
      <c r="J180" s="197">
        <v>4</v>
      </c>
      <c r="K180" s="197">
        <v>9.3000000000000007</v>
      </c>
      <c r="L180" s="197">
        <v>4.0999999999999996</v>
      </c>
      <c r="M180" s="197">
        <v>11.9</v>
      </c>
      <c r="N180" s="233">
        <v>40600</v>
      </c>
      <c r="O180" s="197">
        <f t="shared" si="28"/>
        <v>1574.8000000000006</v>
      </c>
      <c r="Q180" s="197">
        <f t="shared" si="20"/>
        <v>390.09999999999997</v>
      </c>
      <c r="S180" s="197">
        <f t="shared" si="26"/>
        <v>133152</v>
      </c>
      <c r="U180" s="197">
        <f t="shared" si="21"/>
        <v>38651</v>
      </c>
      <c r="W180" s="197">
        <f t="shared" si="22"/>
        <v>256.69999999999982</v>
      </c>
      <c r="Y180" s="197">
        <v>60.300000000000011</v>
      </c>
      <c r="AB180" s="197">
        <f t="shared" si="23"/>
        <v>0</v>
      </c>
      <c r="AC180" s="197">
        <f t="shared" si="24"/>
        <v>0</v>
      </c>
      <c r="AD180" s="197">
        <f t="shared" si="27"/>
        <v>222.50000000000006</v>
      </c>
      <c r="AE180" s="197">
        <f t="shared" si="25"/>
        <v>40.107526881720425</v>
      </c>
    </row>
    <row r="181" spans="1:31">
      <c r="A181" s="197">
        <v>2011</v>
      </c>
      <c r="B181" s="197">
        <v>2</v>
      </c>
      <c r="C181" s="197">
        <v>27</v>
      </c>
      <c r="D181" s="197">
        <v>2.2000000000000002</v>
      </c>
      <c r="G181" s="197">
        <f t="shared" si="19"/>
        <v>47.6</v>
      </c>
      <c r="I181" s="197">
        <v>1051</v>
      </c>
      <c r="J181" s="197">
        <v>2</v>
      </c>
      <c r="K181" s="197">
        <v>7.2</v>
      </c>
      <c r="L181" s="197">
        <v>6.2</v>
      </c>
      <c r="M181" s="197">
        <v>10.8</v>
      </c>
      <c r="N181" s="233">
        <v>40601</v>
      </c>
      <c r="O181" s="197">
        <f t="shared" si="28"/>
        <v>1582.0000000000007</v>
      </c>
      <c r="Q181" s="197">
        <f t="shared" si="20"/>
        <v>397.29999999999995</v>
      </c>
      <c r="S181" s="197">
        <f t="shared" si="26"/>
        <v>134203</v>
      </c>
      <c r="U181" s="197">
        <f t="shared" si="21"/>
        <v>39702</v>
      </c>
      <c r="W181" s="197">
        <f t="shared" si="22"/>
        <v>258.69999999999982</v>
      </c>
      <c r="Y181" s="197">
        <v>62.300000000000011</v>
      </c>
      <c r="AB181" s="197">
        <f t="shared" si="23"/>
        <v>0</v>
      </c>
      <c r="AC181" s="197">
        <f t="shared" si="24"/>
        <v>0</v>
      </c>
      <c r="AD181" s="197">
        <f t="shared" si="27"/>
        <v>224.70000000000005</v>
      </c>
      <c r="AE181" s="197">
        <f t="shared" si="25"/>
        <v>145.97222222222223</v>
      </c>
    </row>
    <row r="182" spans="1:31">
      <c r="A182" s="197">
        <v>2011</v>
      </c>
      <c r="B182" s="197">
        <v>2</v>
      </c>
      <c r="C182" s="197">
        <v>28</v>
      </c>
      <c r="D182" s="197">
        <v>1.8</v>
      </c>
      <c r="G182" s="197">
        <f t="shared" si="19"/>
        <v>49.4</v>
      </c>
      <c r="I182" s="197">
        <v>762</v>
      </c>
      <c r="J182" s="197">
        <v>0.6</v>
      </c>
      <c r="K182" s="197">
        <v>6.1</v>
      </c>
      <c r="L182" s="197">
        <v>3.1</v>
      </c>
      <c r="M182" s="197">
        <v>9.6</v>
      </c>
      <c r="N182" s="233">
        <v>40602</v>
      </c>
      <c r="O182" s="197">
        <f t="shared" si="28"/>
        <v>1588.1000000000006</v>
      </c>
      <c r="Q182" s="197">
        <f t="shared" si="20"/>
        <v>403.4</v>
      </c>
      <c r="S182" s="197">
        <f t="shared" si="26"/>
        <v>134965</v>
      </c>
      <c r="U182" s="197">
        <f t="shared" si="21"/>
        <v>40464</v>
      </c>
      <c r="W182" s="197">
        <f t="shared" si="22"/>
        <v>259.29999999999984</v>
      </c>
      <c r="Y182" s="197">
        <v>62.900000000000013</v>
      </c>
      <c r="AB182" s="197">
        <f t="shared" si="23"/>
        <v>0</v>
      </c>
      <c r="AC182" s="197">
        <f t="shared" si="24"/>
        <v>0</v>
      </c>
      <c r="AD182" s="197">
        <f t="shared" si="27"/>
        <v>226.50000000000006</v>
      </c>
      <c r="AE182" s="197">
        <f t="shared" si="25"/>
        <v>124.91803278688525</v>
      </c>
    </row>
    <row r="183" spans="1:31">
      <c r="A183" s="197">
        <v>2011</v>
      </c>
      <c r="B183" s="197">
        <v>3</v>
      </c>
      <c r="C183" s="197">
        <v>1</v>
      </c>
      <c r="D183" s="197">
        <v>1.2</v>
      </c>
      <c r="G183" s="197">
        <f t="shared" si="19"/>
        <v>50.6</v>
      </c>
      <c r="I183" s="197">
        <v>441</v>
      </c>
      <c r="J183" s="197">
        <v>0.2</v>
      </c>
      <c r="K183" s="197">
        <v>4.7</v>
      </c>
      <c r="L183" s="197">
        <v>3.2</v>
      </c>
      <c r="M183" s="197">
        <v>6.3</v>
      </c>
      <c r="N183" s="233">
        <v>40603</v>
      </c>
      <c r="O183" s="197">
        <f t="shared" si="28"/>
        <v>1592.8000000000006</v>
      </c>
      <c r="Q183" s="197">
        <f t="shared" si="20"/>
        <v>408.09999999999997</v>
      </c>
      <c r="S183" s="197">
        <f t="shared" si="26"/>
        <v>135406</v>
      </c>
      <c r="U183" s="197">
        <f t="shared" si="21"/>
        <v>40905</v>
      </c>
      <c r="W183" s="197">
        <f t="shared" si="22"/>
        <v>259.49999999999983</v>
      </c>
      <c r="Y183" s="197">
        <v>63.100000000000016</v>
      </c>
      <c r="AB183" s="197">
        <f t="shared" si="23"/>
        <v>0</v>
      </c>
      <c r="AC183" s="197">
        <f t="shared" si="24"/>
        <v>0</v>
      </c>
      <c r="AD183" s="197">
        <f t="shared" si="27"/>
        <v>227.70000000000005</v>
      </c>
      <c r="AE183" s="197">
        <f t="shared" si="25"/>
        <v>93.829787234042556</v>
      </c>
    </row>
    <row r="184" spans="1:31">
      <c r="A184" s="197">
        <v>2011</v>
      </c>
      <c r="B184" s="197">
        <v>3</v>
      </c>
      <c r="C184" s="197">
        <v>2</v>
      </c>
      <c r="D184" s="197">
        <v>0.9</v>
      </c>
      <c r="G184" s="197">
        <f t="shared" si="19"/>
        <v>51.5</v>
      </c>
      <c r="I184" s="197">
        <v>202</v>
      </c>
      <c r="J184" s="197">
        <v>0</v>
      </c>
      <c r="K184" s="197">
        <v>4.7</v>
      </c>
      <c r="L184" s="197">
        <v>4.5</v>
      </c>
      <c r="M184" s="197">
        <v>6</v>
      </c>
      <c r="N184" s="233">
        <v>40604</v>
      </c>
      <c r="O184" s="197">
        <f t="shared" si="28"/>
        <v>1597.5000000000007</v>
      </c>
      <c r="Q184" s="197">
        <f t="shared" si="20"/>
        <v>412.79999999999995</v>
      </c>
      <c r="S184" s="197">
        <f t="shared" si="26"/>
        <v>135608</v>
      </c>
      <c r="U184" s="197">
        <f t="shared" si="21"/>
        <v>41107</v>
      </c>
      <c r="W184" s="197">
        <f t="shared" si="22"/>
        <v>259.49999999999983</v>
      </c>
      <c r="Y184" s="197">
        <v>63.100000000000016</v>
      </c>
      <c r="AB184" s="197">
        <f t="shared" si="23"/>
        <v>0</v>
      </c>
      <c r="AC184" s="197">
        <f t="shared" si="24"/>
        <v>0</v>
      </c>
      <c r="AD184" s="197">
        <f t="shared" si="27"/>
        <v>228.60000000000005</v>
      </c>
      <c r="AE184" s="197">
        <f t="shared" si="25"/>
        <v>42.978723404255319</v>
      </c>
    </row>
    <row r="185" spans="1:31">
      <c r="A185" s="197">
        <v>2011</v>
      </c>
      <c r="B185" s="197">
        <v>3</v>
      </c>
      <c r="C185" s="197">
        <v>3</v>
      </c>
      <c r="D185" s="197">
        <v>1</v>
      </c>
      <c r="G185" s="197">
        <f t="shared" ref="G185:G202" si="29">G184+D185</f>
        <v>52.5</v>
      </c>
      <c r="I185" s="197">
        <v>746</v>
      </c>
      <c r="J185" s="197">
        <v>1.8</v>
      </c>
      <c r="K185" s="197">
        <v>3.7</v>
      </c>
      <c r="L185" s="197">
        <v>1.9</v>
      </c>
      <c r="M185" s="197">
        <v>7</v>
      </c>
      <c r="N185" s="233">
        <v>40605</v>
      </c>
      <c r="O185" s="197">
        <f t="shared" si="28"/>
        <v>1601.2000000000007</v>
      </c>
      <c r="Q185" s="197">
        <f t="shared" si="20"/>
        <v>416.49999999999994</v>
      </c>
      <c r="S185" s="197">
        <f t="shared" si="26"/>
        <v>136354</v>
      </c>
      <c r="U185" s="197">
        <f t="shared" si="21"/>
        <v>41853</v>
      </c>
      <c r="W185" s="197">
        <f t="shared" si="22"/>
        <v>261.29999999999984</v>
      </c>
      <c r="Y185" s="197">
        <v>64.90000000000002</v>
      </c>
      <c r="AB185" s="197">
        <f t="shared" si="23"/>
        <v>0</v>
      </c>
      <c r="AC185" s="197">
        <f t="shared" si="24"/>
        <v>1</v>
      </c>
      <c r="AD185" s="197">
        <f t="shared" si="27"/>
        <v>229.60000000000005</v>
      </c>
      <c r="AE185" s="197">
        <f t="shared" si="25"/>
        <v>201.62162162162161</v>
      </c>
    </row>
    <row r="186" spans="1:31">
      <c r="A186" s="197">
        <v>2011</v>
      </c>
      <c r="B186" s="197">
        <v>3</v>
      </c>
      <c r="C186" s="197">
        <v>4</v>
      </c>
      <c r="D186" s="197">
        <v>1.3</v>
      </c>
      <c r="G186" s="197">
        <f t="shared" si="29"/>
        <v>53.8</v>
      </c>
      <c r="I186" s="197">
        <v>1483</v>
      </c>
      <c r="J186" s="197">
        <v>0.2</v>
      </c>
      <c r="K186" s="197">
        <v>6.8</v>
      </c>
      <c r="L186" s="197">
        <v>-0.5</v>
      </c>
      <c r="M186" s="197">
        <v>13.8</v>
      </c>
      <c r="N186" s="233">
        <v>40606</v>
      </c>
      <c r="O186" s="197">
        <f t="shared" si="28"/>
        <v>1608.0000000000007</v>
      </c>
      <c r="Q186" s="197">
        <f t="shared" ref="Q186:Q202" si="30">IF(K186&gt;0,Q185+K186,Q185)</f>
        <v>423.29999999999995</v>
      </c>
      <c r="S186" s="197">
        <f t="shared" si="26"/>
        <v>137837</v>
      </c>
      <c r="U186" s="197">
        <f t="shared" ref="U186:U202" si="31">U185+I186</f>
        <v>43336</v>
      </c>
      <c r="W186" s="197">
        <f t="shared" si="22"/>
        <v>261.49999999999983</v>
      </c>
      <c r="Y186" s="197">
        <v>65.100000000000023</v>
      </c>
      <c r="AB186" s="197">
        <f t="shared" si="23"/>
        <v>0</v>
      </c>
      <c r="AC186" s="197">
        <f t="shared" si="24"/>
        <v>0</v>
      </c>
      <c r="AD186" s="197">
        <f t="shared" si="27"/>
        <v>230.90000000000006</v>
      </c>
      <c r="AE186" s="197">
        <f t="shared" si="25"/>
        <v>218.08823529411765</v>
      </c>
    </row>
    <row r="187" spans="1:31">
      <c r="A187" s="197">
        <v>2011</v>
      </c>
      <c r="B187" s="197">
        <v>3</v>
      </c>
      <c r="C187" s="197">
        <v>5</v>
      </c>
      <c r="D187" s="197">
        <v>1.4</v>
      </c>
      <c r="G187" s="197">
        <f t="shared" si="29"/>
        <v>55.199999999999996</v>
      </c>
      <c r="I187" s="197">
        <v>1596</v>
      </c>
      <c r="J187" s="197">
        <v>0</v>
      </c>
      <c r="K187" s="197">
        <v>8.1</v>
      </c>
      <c r="L187" s="197">
        <v>0.4</v>
      </c>
      <c r="M187" s="197">
        <v>15.3</v>
      </c>
      <c r="N187" s="233">
        <v>40607</v>
      </c>
      <c r="O187" s="197">
        <f t="shared" si="28"/>
        <v>1616.1000000000006</v>
      </c>
      <c r="Q187" s="197">
        <f t="shared" si="30"/>
        <v>431.4</v>
      </c>
      <c r="S187" s="197">
        <f t="shared" si="26"/>
        <v>139433</v>
      </c>
      <c r="U187" s="197">
        <f t="shared" si="31"/>
        <v>44932</v>
      </c>
      <c r="W187" s="197">
        <f t="shared" si="22"/>
        <v>261.49999999999983</v>
      </c>
      <c r="Y187" s="197">
        <v>65.100000000000023</v>
      </c>
      <c r="AB187" s="197">
        <f t="shared" si="23"/>
        <v>0</v>
      </c>
      <c r="AC187" s="197">
        <f t="shared" si="24"/>
        <v>0</v>
      </c>
      <c r="AD187" s="197">
        <f t="shared" si="27"/>
        <v>232.30000000000007</v>
      </c>
      <c r="AE187" s="197">
        <f t="shared" si="25"/>
        <v>197.03703703703704</v>
      </c>
    </row>
    <row r="188" spans="1:31">
      <c r="A188" s="197">
        <v>2011</v>
      </c>
      <c r="B188" s="197">
        <v>3</v>
      </c>
      <c r="C188" s="197">
        <v>6</v>
      </c>
      <c r="D188" s="197">
        <v>1.3</v>
      </c>
      <c r="G188" s="197">
        <f t="shared" si="29"/>
        <v>56.499999999999993</v>
      </c>
      <c r="I188" s="197">
        <v>1600</v>
      </c>
      <c r="J188" s="197">
        <v>0</v>
      </c>
      <c r="K188" s="197">
        <v>7.4</v>
      </c>
      <c r="L188" s="197">
        <v>-0.1</v>
      </c>
      <c r="M188" s="197">
        <v>15.2</v>
      </c>
      <c r="N188" s="233">
        <v>40608</v>
      </c>
      <c r="O188" s="197">
        <f t="shared" si="28"/>
        <v>1623.5000000000007</v>
      </c>
      <c r="Q188" s="197">
        <f t="shared" si="30"/>
        <v>438.79999999999995</v>
      </c>
      <c r="S188" s="197">
        <f t="shared" si="26"/>
        <v>141033</v>
      </c>
      <c r="U188" s="197">
        <f t="shared" si="31"/>
        <v>46532</v>
      </c>
      <c r="W188" s="197">
        <f t="shared" si="22"/>
        <v>261.49999999999983</v>
      </c>
      <c r="Y188" s="197">
        <v>65.100000000000023</v>
      </c>
      <c r="AB188" s="197">
        <f t="shared" si="23"/>
        <v>0</v>
      </c>
      <c r="AC188" s="197">
        <f t="shared" si="24"/>
        <v>0</v>
      </c>
      <c r="AD188" s="197">
        <f t="shared" si="27"/>
        <v>233.60000000000008</v>
      </c>
      <c r="AE188" s="197">
        <f t="shared" si="25"/>
        <v>216.2162162162162</v>
      </c>
    </row>
    <row r="189" spans="1:31">
      <c r="A189" s="197">
        <v>2011</v>
      </c>
      <c r="B189" s="197">
        <v>3</v>
      </c>
      <c r="C189" s="197">
        <v>7</v>
      </c>
      <c r="D189" s="197">
        <v>1.9</v>
      </c>
      <c r="G189" s="197">
        <f t="shared" si="29"/>
        <v>58.399999999999991</v>
      </c>
      <c r="I189" s="197">
        <v>1654</v>
      </c>
      <c r="J189" s="197">
        <v>0</v>
      </c>
      <c r="K189" s="197">
        <v>9.1</v>
      </c>
      <c r="L189" s="197">
        <v>0.3</v>
      </c>
      <c r="M189" s="197">
        <v>17.399999999999999</v>
      </c>
      <c r="N189" s="233">
        <v>40609</v>
      </c>
      <c r="O189" s="197">
        <f t="shared" si="28"/>
        <v>1632.6000000000006</v>
      </c>
      <c r="Q189" s="197">
        <f t="shared" si="30"/>
        <v>447.9</v>
      </c>
      <c r="S189" s="197">
        <f t="shared" si="26"/>
        <v>142687</v>
      </c>
      <c r="U189" s="197">
        <f t="shared" si="31"/>
        <v>48186</v>
      </c>
      <c r="W189" s="197">
        <f t="shared" si="22"/>
        <v>261.49999999999983</v>
      </c>
      <c r="Y189" s="197">
        <v>65.100000000000023</v>
      </c>
      <c r="AB189" s="197">
        <f t="shared" si="23"/>
        <v>0</v>
      </c>
      <c r="AC189" s="197">
        <f t="shared" si="24"/>
        <v>0</v>
      </c>
      <c r="AD189" s="197">
        <f t="shared" si="27"/>
        <v>235.50000000000009</v>
      </c>
      <c r="AE189" s="197">
        <f t="shared" si="25"/>
        <v>181.75824175824175</v>
      </c>
    </row>
    <row r="190" spans="1:31">
      <c r="A190" s="197">
        <v>2011</v>
      </c>
      <c r="B190" s="197">
        <v>3</v>
      </c>
      <c r="C190" s="197">
        <v>8</v>
      </c>
      <c r="D190" s="197">
        <v>3.4</v>
      </c>
      <c r="G190" s="197">
        <f t="shared" si="29"/>
        <v>61.79999999999999</v>
      </c>
      <c r="I190" s="197">
        <v>1596</v>
      </c>
      <c r="J190" s="197">
        <v>0</v>
      </c>
      <c r="K190" s="197">
        <v>10.199999999999999</v>
      </c>
      <c r="L190" s="197">
        <v>8.8000000000000007</v>
      </c>
      <c r="M190" s="197">
        <v>13.3</v>
      </c>
      <c r="N190" s="233">
        <v>40610</v>
      </c>
      <c r="O190" s="197">
        <f t="shared" si="28"/>
        <v>1642.8000000000006</v>
      </c>
      <c r="Q190" s="197">
        <f t="shared" si="30"/>
        <v>458.09999999999997</v>
      </c>
      <c r="S190" s="197">
        <f t="shared" si="26"/>
        <v>144283</v>
      </c>
      <c r="U190" s="197">
        <f t="shared" si="31"/>
        <v>49782</v>
      </c>
      <c r="W190" s="197">
        <f t="shared" si="22"/>
        <v>261.49999999999983</v>
      </c>
      <c r="Y190" s="197">
        <v>65.100000000000023</v>
      </c>
      <c r="AB190" s="197">
        <f t="shared" si="23"/>
        <v>0</v>
      </c>
      <c r="AC190" s="197">
        <f t="shared" si="24"/>
        <v>0</v>
      </c>
      <c r="AD190" s="197">
        <f t="shared" si="27"/>
        <v>238.90000000000009</v>
      </c>
      <c r="AE190" s="197">
        <f t="shared" si="25"/>
        <v>156.47058823529412</v>
      </c>
    </row>
    <row r="191" spans="1:31">
      <c r="A191" s="197">
        <v>2011</v>
      </c>
      <c r="B191" s="197">
        <v>3</v>
      </c>
      <c r="C191" s="197">
        <v>9</v>
      </c>
      <c r="D191" s="197">
        <v>2.2999999999999998</v>
      </c>
      <c r="G191" s="197">
        <f t="shared" si="29"/>
        <v>64.099999999999994</v>
      </c>
      <c r="I191" s="197">
        <v>1502</v>
      </c>
      <c r="J191" s="197">
        <v>0</v>
      </c>
      <c r="K191" s="197">
        <v>10.4</v>
      </c>
      <c r="L191" s="197">
        <v>7</v>
      </c>
      <c r="M191" s="197">
        <v>15.6</v>
      </c>
      <c r="N191" s="233">
        <v>40611</v>
      </c>
      <c r="O191" s="197">
        <f t="shared" si="28"/>
        <v>1653.2000000000007</v>
      </c>
      <c r="Q191" s="197">
        <f t="shared" si="30"/>
        <v>468.49999999999994</v>
      </c>
      <c r="S191" s="197">
        <f t="shared" si="26"/>
        <v>145785</v>
      </c>
      <c r="U191" s="197">
        <f t="shared" si="31"/>
        <v>51284</v>
      </c>
      <c r="W191" s="197">
        <f t="shared" si="22"/>
        <v>261.49999999999983</v>
      </c>
      <c r="Y191" s="197">
        <v>65.100000000000023</v>
      </c>
      <c r="AA191" s="197">
        <v>0</v>
      </c>
      <c r="AB191" s="197">
        <f t="shared" si="23"/>
        <v>0</v>
      </c>
      <c r="AC191" s="197">
        <f t="shared" si="24"/>
        <v>0</v>
      </c>
      <c r="AD191" s="197">
        <f t="shared" si="27"/>
        <v>241.2000000000001</v>
      </c>
      <c r="AE191" s="197">
        <f t="shared" si="25"/>
        <v>144.42307692307691</v>
      </c>
    </row>
    <row r="192" spans="1:31">
      <c r="A192" s="238">
        <v>2011</v>
      </c>
      <c r="B192" s="238">
        <v>3</v>
      </c>
      <c r="C192" s="238">
        <v>10</v>
      </c>
      <c r="D192" s="238">
        <v>1.3</v>
      </c>
      <c r="E192" s="238"/>
      <c r="F192" s="238"/>
      <c r="G192" s="197">
        <f t="shared" si="29"/>
        <v>65.399999999999991</v>
      </c>
      <c r="H192" s="238"/>
      <c r="I192" s="238">
        <v>1011</v>
      </c>
      <c r="J192" s="238">
        <v>0</v>
      </c>
      <c r="K192" s="238">
        <v>7.7</v>
      </c>
      <c r="L192" s="238">
        <v>2.2999999999999998</v>
      </c>
      <c r="M192" s="238">
        <v>13.6</v>
      </c>
      <c r="N192" s="239">
        <v>40612</v>
      </c>
      <c r="O192" s="197">
        <f t="shared" si="28"/>
        <v>1660.9000000000008</v>
      </c>
      <c r="Q192" s="197">
        <f t="shared" si="30"/>
        <v>476.19999999999993</v>
      </c>
      <c r="S192" s="197">
        <f t="shared" si="26"/>
        <v>146796</v>
      </c>
      <c r="U192" s="197">
        <f t="shared" si="31"/>
        <v>52295</v>
      </c>
      <c r="W192" s="197">
        <f t="shared" si="22"/>
        <v>261.49999999999983</v>
      </c>
      <c r="Y192" s="197">
        <v>65.100000000000023</v>
      </c>
      <c r="AA192" s="197">
        <f t="shared" ref="AA192:AA255" si="32">AA191+J192</f>
        <v>0</v>
      </c>
      <c r="AB192" s="197">
        <f t="shared" si="23"/>
        <v>0</v>
      </c>
      <c r="AC192" s="197">
        <f t="shared" si="24"/>
        <v>0</v>
      </c>
      <c r="AD192" s="197">
        <f t="shared" si="27"/>
        <v>242.50000000000011</v>
      </c>
      <c r="AE192" s="197">
        <f t="shared" si="25"/>
        <v>131.2987012987013</v>
      </c>
    </row>
    <row r="193" spans="1:32">
      <c r="A193" s="238">
        <v>2011</v>
      </c>
      <c r="B193" s="238">
        <v>3</v>
      </c>
      <c r="C193" s="238">
        <v>11</v>
      </c>
      <c r="D193" s="238">
        <v>2.2000000000000002</v>
      </c>
      <c r="E193" s="238"/>
      <c r="F193" s="238"/>
      <c r="G193" s="197">
        <f t="shared" si="29"/>
        <v>67.599999999999994</v>
      </c>
      <c r="H193" s="238"/>
      <c r="I193" s="238">
        <v>1527</v>
      </c>
      <c r="J193" s="238">
        <v>0</v>
      </c>
      <c r="K193" s="238">
        <v>8.3000000000000007</v>
      </c>
      <c r="L193" s="238">
        <v>1.4</v>
      </c>
      <c r="M193" s="238">
        <v>15.8</v>
      </c>
      <c r="N193" s="239">
        <v>40613</v>
      </c>
      <c r="O193" s="197">
        <f t="shared" si="28"/>
        <v>1669.2000000000007</v>
      </c>
      <c r="Q193" s="197">
        <f t="shared" si="30"/>
        <v>484.49999999999994</v>
      </c>
      <c r="S193" s="197">
        <f t="shared" si="26"/>
        <v>148323</v>
      </c>
      <c r="U193" s="197">
        <f t="shared" si="31"/>
        <v>53822</v>
      </c>
      <c r="W193" s="197">
        <f t="shared" si="22"/>
        <v>261.49999999999983</v>
      </c>
      <c r="Y193" s="197">
        <v>65.100000000000023</v>
      </c>
      <c r="AA193" s="197">
        <f t="shared" si="32"/>
        <v>0</v>
      </c>
      <c r="AB193" s="197">
        <f t="shared" si="23"/>
        <v>0</v>
      </c>
      <c r="AC193" s="197">
        <f t="shared" si="24"/>
        <v>0</v>
      </c>
      <c r="AD193" s="197">
        <f t="shared" si="27"/>
        <v>244.7000000000001</v>
      </c>
      <c r="AE193" s="197">
        <f t="shared" si="25"/>
        <v>183.97590361445782</v>
      </c>
    </row>
    <row r="194" spans="1:32">
      <c r="A194" s="238">
        <v>2011</v>
      </c>
      <c r="B194" s="238">
        <v>3</v>
      </c>
      <c r="C194" s="238">
        <v>12</v>
      </c>
      <c r="D194" s="238">
        <v>1.9</v>
      </c>
      <c r="E194" s="238"/>
      <c r="F194" s="238"/>
      <c r="G194" s="197">
        <f t="shared" si="29"/>
        <v>69.5</v>
      </c>
      <c r="H194" s="238"/>
      <c r="I194" s="238">
        <v>282</v>
      </c>
      <c r="J194" s="238">
        <v>6.8</v>
      </c>
      <c r="K194" s="238">
        <v>10.9</v>
      </c>
      <c r="L194" s="238">
        <v>10</v>
      </c>
      <c r="M194" s="238">
        <v>11.7</v>
      </c>
      <c r="N194" s="239">
        <v>40614</v>
      </c>
      <c r="O194" s="197">
        <f t="shared" si="28"/>
        <v>1680.1000000000008</v>
      </c>
      <c r="Q194" s="197">
        <f t="shared" si="30"/>
        <v>495.39999999999992</v>
      </c>
      <c r="S194" s="197">
        <f t="shared" si="26"/>
        <v>148605</v>
      </c>
      <c r="U194" s="197">
        <f t="shared" si="31"/>
        <v>54104</v>
      </c>
      <c r="W194" s="197">
        <f t="shared" si="22"/>
        <v>268.29999999999984</v>
      </c>
      <c r="Y194" s="197">
        <v>71.90000000000002</v>
      </c>
      <c r="AA194" s="197">
        <f t="shared" si="32"/>
        <v>6.8</v>
      </c>
      <c r="AB194" s="197">
        <f t="shared" si="23"/>
        <v>0</v>
      </c>
      <c r="AC194" s="197">
        <f t="shared" si="24"/>
        <v>0</v>
      </c>
      <c r="AD194" s="197">
        <f t="shared" si="27"/>
        <v>246.60000000000011</v>
      </c>
      <c r="AE194" s="197">
        <f t="shared" si="25"/>
        <v>25.871559633027523</v>
      </c>
    </row>
    <row r="195" spans="1:32">
      <c r="A195" s="238">
        <v>2011</v>
      </c>
      <c r="B195" s="238">
        <v>3</v>
      </c>
      <c r="C195" s="238">
        <v>13</v>
      </c>
      <c r="D195" s="238">
        <v>2.1</v>
      </c>
      <c r="E195" s="238"/>
      <c r="F195" s="238"/>
      <c r="G195" s="197">
        <f t="shared" si="29"/>
        <v>71.599999999999994</v>
      </c>
      <c r="H195" s="238"/>
      <c r="I195" s="238">
        <v>1105</v>
      </c>
      <c r="J195" s="238">
        <v>0</v>
      </c>
      <c r="K195" s="238">
        <v>12.2</v>
      </c>
      <c r="L195" s="238">
        <v>8.6999999999999993</v>
      </c>
      <c r="M195" s="238">
        <v>17</v>
      </c>
      <c r="N195" s="239">
        <v>40615</v>
      </c>
      <c r="O195" s="197">
        <f t="shared" si="28"/>
        <v>1692.3000000000009</v>
      </c>
      <c r="Q195" s="197">
        <f t="shared" si="30"/>
        <v>507.59999999999991</v>
      </c>
      <c r="S195" s="197">
        <f t="shared" si="26"/>
        <v>149710</v>
      </c>
      <c r="U195" s="197">
        <f t="shared" si="31"/>
        <v>55209</v>
      </c>
      <c r="W195" s="197">
        <f t="shared" si="22"/>
        <v>268.29999999999984</v>
      </c>
      <c r="Y195" s="197">
        <v>71.90000000000002</v>
      </c>
      <c r="AA195" s="197">
        <f t="shared" si="32"/>
        <v>6.8</v>
      </c>
      <c r="AB195" s="197">
        <f t="shared" si="23"/>
        <v>0</v>
      </c>
      <c r="AC195" s="197">
        <f t="shared" si="24"/>
        <v>0</v>
      </c>
      <c r="AD195" s="197">
        <f t="shared" si="27"/>
        <v>248.7000000000001</v>
      </c>
      <c r="AE195" s="197">
        <f t="shared" si="25"/>
        <v>90.573770491803288</v>
      </c>
    </row>
    <row r="196" spans="1:32">
      <c r="A196" s="238">
        <v>2011</v>
      </c>
      <c r="B196" s="238">
        <v>3</v>
      </c>
      <c r="C196" s="238">
        <v>14</v>
      </c>
      <c r="D196" s="238">
        <v>3.1</v>
      </c>
      <c r="E196" s="238"/>
      <c r="F196" s="238"/>
      <c r="G196" s="197">
        <f t="shared" si="29"/>
        <v>74.699999999999989</v>
      </c>
      <c r="H196" s="238"/>
      <c r="I196" s="238">
        <v>1404</v>
      </c>
      <c r="J196" s="238">
        <v>0</v>
      </c>
      <c r="K196" s="238">
        <v>13.3</v>
      </c>
      <c r="L196" s="238">
        <v>8.9</v>
      </c>
      <c r="M196" s="238">
        <v>16.7</v>
      </c>
      <c r="N196" s="239">
        <v>40616</v>
      </c>
      <c r="O196" s="197">
        <f t="shared" si="28"/>
        <v>1705.6000000000008</v>
      </c>
      <c r="Q196" s="197">
        <f t="shared" si="30"/>
        <v>520.89999999999986</v>
      </c>
      <c r="S196" s="197">
        <f t="shared" si="26"/>
        <v>151114</v>
      </c>
      <c r="U196" s="197">
        <f t="shared" si="31"/>
        <v>56613</v>
      </c>
      <c r="W196" s="197">
        <f t="shared" si="22"/>
        <v>268.29999999999984</v>
      </c>
      <c r="Y196" s="197">
        <v>71.90000000000002</v>
      </c>
      <c r="AA196" s="197">
        <f t="shared" si="32"/>
        <v>6.8</v>
      </c>
      <c r="AB196" s="197">
        <f t="shared" si="23"/>
        <v>0</v>
      </c>
      <c r="AC196" s="197">
        <f t="shared" si="24"/>
        <v>0</v>
      </c>
      <c r="AD196" s="197">
        <f t="shared" si="27"/>
        <v>251.8000000000001</v>
      </c>
      <c r="AE196" s="197">
        <f t="shared" si="25"/>
        <v>105.56390977443608</v>
      </c>
    </row>
    <row r="197" spans="1:32">
      <c r="A197" s="238">
        <v>2011</v>
      </c>
      <c r="B197" s="238">
        <v>3</v>
      </c>
      <c r="C197" s="238">
        <v>15</v>
      </c>
      <c r="D197" s="238">
        <v>2.2000000000000002</v>
      </c>
      <c r="E197" s="238"/>
      <c r="F197" s="238"/>
      <c r="G197" s="197">
        <f t="shared" si="29"/>
        <v>76.899999999999991</v>
      </c>
      <c r="H197" s="238"/>
      <c r="I197" s="238">
        <v>522</v>
      </c>
      <c r="J197" s="238">
        <v>8.8000000000000007</v>
      </c>
      <c r="K197" s="238">
        <v>13.2</v>
      </c>
      <c r="L197" s="238">
        <v>12.3</v>
      </c>
      <c r="M197" s="238">
        <v>15.1</v>
      </c>
      <c r="N197" s="239">
        <v>40617</v>
      </c>
      <c r="O197" s="197">
        <f t="shared" si="28"/>
        <v>1718.8000000000009</v>
      </c>
      <c r="Q197" s="197">
        <f t="shared" si="30"/>
        <v>534.09999999999991</v>
      </c>
      <c r="S197" s="197">
        <f t="shared" si="26"/>
        <v>151636</v>
      </c>
      <c r="U197" s="197">
        <f t="shared" si="31"/>
        <v>57135</v>
      </c>
      <c r="W197" s="197">
        <f t="shared" si="22"/>
        <v>277.09999999999985</v>
      </c>
      <c r="Y197" s="197">
        <v>80.700000000000017</v>
      </c>
      <c r="AA197" s="197">
        <f t="shared" si="32"/>
        <v>15.600000000000001</v>
      </c>
      <c r="AB197" s="197">
        <f t="shared" si="23"/>
        <v>0</v>
      </c>
      <c r="AC197" s="197">
        <f t="shared" si="24"/>
        <v>0</v>
      </c>
      <c r="AD197" s="197">
        <f t="shared" si="27"/>
        <v>254.00000000000009</v>
      </c>
      <c r="AE197" s="197">
        <f t="shared" si="25"/>
        <v>39.545454545454547</v>
      </c>
    </row>
    <row r="198" spans="1:32">
      <c r="A198" s="238">
        <v>2011</v>
      </c>
      <c r="B198" s="238">
        <v>3</v>
      </c>
      <c r="C198" s="238">
        <v>16</v>
      </c>
      <c r="D198" s="238">
        <v>1.6</v>
      </c>
      <c r="E198" s="238"/>
      <c r="F198" s="238"/>
      <c r="G198" s="197">
        <f t="shared" si="29"/>
        <v>78.499999999999986</v>
      </c>
      <c r="H198" s="238"/>
      <c r="I198" s="238">
        <v>704</v>
      </c>
      <c r="J198" s="238">
        <v>1.6</v>
      </c>
      <c r="K198" s="238">
        <v>11.8</v>
      </c>
      <c r="L198" s="238">
        <v>10.3</v>
      </c>
      <c r="M198" s="238">
        <v>15.3</v>
      </c>
      <c r="N198" s="239">
        <v>40618</v>
      </c>
      <c r="O198" s="197">
        <f t="shared" si="28"/>
        <v>1730.6000000000008</v>
      </c>
      <c r="Q198" s="197">
        <f t="shared" si="30"/>
        <v>545.89999999999986</v>
      </c>
      <c r="S198" s="197">
        <f t="shared" si="26"/>
        <v>152340</v>
      </c>
      <c r="U198" s="197">
        <f t="shared" si="31"/>
        <v>57839</v>
      </c>
      <c r="W198" s="197">
        <f t="shared" si="22"/>
        <v>278.69999999999987</v>
      </c>
      <c r="Y198" s="197">
        <v>82.300000000000011</v>
      </c>
      <c r="AA198" s="197">
        <f t="shared" si="32"/>
        <v>17.200000000000003</v>
      </c>
      <c r="AB198" s="197">
        <f t="shared" si="23"/>
        <v>0</v>
      </c>
      <c r="AC198" s="197">
        <f t="shared" si="24"/>
        <v>0</v>
      </c>
      <c r="AD198" s="197">
        <f t="shared" si="27"/>
        <v>255.60000000000008</v>
      </c>
      <c r="AE198" s="197">
        <f t="shared" si="25"/>
        <v>59.66101694915254</v>
      </c>
    </row>
    <row r="199" spans="1:32">
      <c r="A199" s="238">
        <v>2011</v>
      </c>
      <c r="B199" s="238">
        <v>3</v>
      </c>
      <c r="C199" s="238">
        <v>17</v>
      </c>
      <c r="D199" s="238">
        <v>2.6</v>
      </c>
      <c r="E199" s="238"/>
      <c r="F199" s="238"/>
      <c r="G199" s="197">
        <f t="shared" si="29"/>
        <v>81.09999999999998</v>
      </c>
      <c r="H199" s="238"/>
      <c r="I199" s="238">
        <v>687</v>
      </c>
      <c r="J199" s="238">
        <v>0</v>
      </c>
      <c r="K199" s="238">
        <v>10.9</v>
      </c>
      <c r="L199" s="238">
        <v>9.9</v>
      </c>
      <c r="M199" s="238">
        <v>13.2</v>
      </c>
      <c r="N199" s="239">
        <v>40619</v>
      </c>
      <c r="O199" s="197">
        <f t="shared" si="28"/>
        <v>1741.5000000000009</v>
      </c>
      <c r="Q199" s="197">
        <f t="shared" si="30"/>
        <v>556.79999999999984</v>
      </c>
      <c r="S199" s="197">
        <f t="shared" si="26"/>
        <v>153027</v>
      </c>
      <c r="U199" s="197">
        <f t="shared" si="31"/>
        <v>58526</v>
      </c>
      <c r="W199" s="197">
        <f t="shared" si="22"/>
        <v>278.69999999999987</v>
      </c>
      <c r="Y199" s="197">
        <v>82.300000000000011</v>
      </c>
      <c r="AA199" s="197">
        <f t="shared" si="32"/>
        <v>17.200000000000003</v>
      </c>
      <c r="AB199" s="197">
        <f t="shared" si="23"/>
        <v>0</v>
      </c>
      <c r="AC199" s="197">
        <f t="shared" si="24"/>
        <v>0</v>
      </c>
      <c r="AD199" s="197">
        <f t="shared" si="27"/>
        <v>258.2000000000001</v>
      </c>
      <c r="AE199" s="197">
        <f t="shared" si="25"/>
        <v>63.027522935779814</v>
      </c>
    </row>
    <row r="200" spans="1:32">
      <c r="A200" s="238">
        <v>2011</v>
      </c>
      <c r="B200" s="238">
        <v>3</v>
      </c>
      <c r="C200" s="238">
        <v>18</v>
      </c>
      <c r="D200" s="238">
        <v>2.7</v>
      </c>
      <c r="E200" s="238"/>
      <c r="F200" s="238"/>
      <c r="G200" s="197">
        <f t="shared" si="29"/>
        <v>83.799999999999983</v>
      </c>
      <c r="H200" s="238"/>
      <c r="I200" s="238">
        <v>1564</v>
      </c>
      <c r="J200" s="238">
        <v>0.2</v>
      </c>
      <c r="K200" s="238">
        <v>11.1</v>
      </c>
      <c r="L200" s="238">
        <v>5.8</v>
      </c>
      <c r="M200" s="238">
        <v>15.7</v>
      </c>
      <c r="N200" s="239">
        <v>40620</v>
      </c>
      <c r="O200" s="197">
        <f t="shared" si="28"/>
        <v>1752.6000000000008</v>
      </c>
      <c r="Q200" s="197">
        <f t="shared" si="30"/>
        <v>567.89999999999986</v>
      </c>
      <c r="S200" s="197">
        <f t="shared" si="26"/>
        <v>154591</v>
      </c>
      <c r="U200" s="197">
        <f t="shared" si="31"/>
        <v>60090</v>
      </c>
      <c r="W200" s="197">
        <f t="shared" si="22"/>
        <v>278.89999999999986</v>
      </c>
      <c r="Y200" s="197">
        <v>82.500000000000014</v>
      </c>
      <c r="AA200" s="197">
        <f t="shared" si="32"/>
        <v>17.400000000000002</v>
      </c>
      <c r="AB200" s="197">
        <f t="shared" si="23"/>
        <v>0</v>
      </c>
      <c r="AC200" s="197">
        <f t="shared" si="24"/>
        <v>0</v>
      </c>
      <c r="AD200" s="197">
        <f t="shared" si="27"/>
        <v>260.90000000000009</v>
      </c>
      <c r="AE200" s="197">
        <f t="shared" si="25"/>
        <v>140.90090090090089</v>
      </c>
    </row>
    <row r="201" spans="1:32">
      <c r="A201" s="238">
        <v>2011</v>
      </c>
      <c r="B201" s="238">
        <v>3</v>
      </c>
      <c r="C201" s="238">
        <v>19</v>
      </c>
      <c r="D201" s="238">
        <v>2.4</v>
      </c>
      <c r="E201" s="238"/>
      <c r="F201" s="238"/>
      <c r="G201" s="197">
        <f t="shared" si="29"/>
        <v>86.199999999999989</v>
      </c>
      <c r="H201" s="238"/>
      <c r="I201" s="238">
        <v>936</v>
      </c>
      <c r="J201" s="238">
        <v>0</v>
      </c>
      <c r="K201" s="238">
        <v>11.6</v>
      </c>
      <c r="L201" s="238">
        <v>8.8000000000000007</v>
      </c>
      <c r="M201" s="238">
        <v>15.5</v>
      </c>
      <c r="N201" s="239">
        <v>40621</v>
      </c>
      <c r="O201" s="197">
        <f t="shared" si="28"/>
        <v>1764.2000000000007</v>
      </c>
      <c r="Q201" s="197">
        <f t="shared" si="30"/>
        <v>579.49999999999989</v>
      </c>
      <c r="S201" s="197">
        <f t="shared" si="26"/>
        <v>155527</v>
      </c>
      <c r="U201" s="197">
        <f t="shared" si="31"/>
        <v>61026</v>
      </c>
      <c r="W201" s="197">
        <f t="shared" si="22"/>
        <v>278.89999999999986</v>
      </c>
      <c r="Y201" s="197">
        <v>82.500000000000014</v>
      </c>
      <c r="AA201" s="197">
        <f t="shared" si="32"/>
        <v>17.400000000000002</v>
      </c>
      <c r="AB201" s="197">
        <f t="shared" si="23"/>
        <v>0</v>
      </c>
      <c r="AC201" s="197">
        <f t="shared" si="24"/>
        <v>0</v>
      </c>
      <c r="AD201" s="197">
        <f t="shared" si="27"/>
        <v>263.30000000000007</v>
      </c>
      <c r="AE201" s="197">
        <f t="shared" si="25"/>
        <v>80.689655172413794</v>
      </c>
    </row>
    <row r="202" spans="1:32" s="234" customFormat="1">
      <c r="A202" s="234">
        <v>2011</v>
      </c>
      <c r="B202" s="234">
        <v>3</v>
      </c>
      <c r="C202" s="234">
        <v>20</v>
      </c>
      <c r="D202" s="234">
        <v>2.1</v>
      </c>
      <c r="G202" s="197">
        <f t="shared" si="29"/>
        <v>88.299999999999983</v>
      </c>
      <c r="H202" s="234">
        <v>0</v>
      </c>
      <c r="I202" s="234">
        <v>1789</v>
      </c>
      <c r="J202" s="234">
        <v>0</v>
      </c>
      <c r="K202" s="234">
        <v>10.1</v>
      </c>
      <c r="L202" s="234">
        <v>5.9</v>
      </c>
      <c r="M202" s="234">
        <v>14.8</v>
      </c>
      <c r="N202" s="235">
        <v>40622</v>
      </c>
      <c r="O202" s="234">
        <f t="shared" si="28"/>
        <v>1774.3000000000006</v>
      </c>
      <c r="Q202" s="234">
        <f t="shared" si="30"/>
        <v>589.59999999999991</v>
      </c>
      <c r="S202" s="234">
        <f t="shared" si="26"/>
        <v>157316</v>
      </c>
      <c r="U202" s="234">
        <f t="shared" si="31"/>
        <v>62815</v>
      </c>
      <c r="W202" s="234">
        <f t="shared" ref="W202:W265" si="33">W201+J202</f>
        <v>278.89999999999986</v>
      </c>
      <c r="Y202" s="234">
        <v>82.500000000000014</v>
      </c>
      <c r="Z202" s="234">
        <v>0</v>
      </c>
      <c r="AA202" s="234">
        <f t="shared" si="32"/>
        <v>17.400000000000002</v>
      </c>
      <c r="AB202" s="234">
        <f t="shared" ref="AB202:AB265" si="34">IF(K202&lt;0,1,0)</f>
        <v>0</v>
      </c>
      <c r="AC202" s="234">
        <f t="shared" ref="AC202:AC265" si="35">IF(K202&lt;4.5,1,0)</f>
        <v>0</v>
      </c>
      <c r="AD202" s="234">
        <f t="shared" si="27"/>
        <v>265.40000000000009</v>
      </c>
      <c r="AE202" s="197">
        <f t="shared" ref="AE202:AE257" si="36">I202/K202</f>
        <v>177.12871287128712</v>
      </c>
      <c r="AF202" s="197">
        <v>0</v>
      </c>
    </row>
    <row r="203" spans="1:32">
      <c r="A203" s="238">
        <v>2011</v>
      </c>
      <c r="B203" s="238">
        <v>3</v>
      </c>
      <c r="C203" s="238">
        <v>21</v>
      </c>
      <c r="D203" s="238">
        <v>2.5</v>
      </c>
      <c r="E203" s="238"/>
      <c r="F203" s="238"/>
      <c r="G203" s="238"/>
      <c r="H203" s="238">
        <f>H202+D203</f>
        <v>2.5</v>
      </c>
      <c r="I203" s="238">
        <v>1936</v>
      </c>
      <c r="J203" s="238">
        <v>0</v>
      </c>
      <c r="K203" s="238">
        <v>10.199999999999999</v>
      </c>
      <c r="L203" s="238">
        <v>4.0999999999999996</v>
      </c>
      <c r="M203" s="238">
        <v>16.8</v>
      </c>
      <c r="N203" s="239">
        <v>40623</v>
      </c>
      <c r="O203" s="197">
        <f t="shared" si="28"/>
        <v>1784.5000000000007</v>
      </c>
      <c r="R203" s="197">
        <v>10.199999999999999</v>
      </c>
      <c r="S203" s="197">
        <f t="shared" ref="S203:S266" si="37">S202+I203</f>
        <v>159252</v>
      </c>
      <c r="V203" s="197">
        <v>1936</v>
      </c>
      <c r="W203" s="197">
        <f t="shared" si="33"/>
        <v>278.89999999999986</v>
      </c>
      <c r="Z203" s="197">
        <f>Z202+J203</f>
        <v>0</v>
      </c>
      <c r="AA203" s="197">
        <f t="shared" si="32"/>
        <v>17.400000000000002</v>
      </c>
      <c r="AB203" s="197">
        <f t="shared" si="34"/>
        <v>0</v>
      </c>
      <c r="AC203" s="197">
        <f t="shared" si="35"/>
        <v>0</v>
      </c>
      <c r="AD203" s="197">
        <f t="shared" ref="AD203:AD266" si="38">AD202+D203</f>
        <v>267.90000000000009</v>
      </c>
      <c r="AE203" s="197">
        <f t="shared" si="36"/>
        <v>189.80392156862746</v>
      </c>
      <c r="AF203" s="197">
        <f t="shared" ref="AF203:AF266" si="39">AF202+AE203</f>
        <v>189.80392156862746</v>
      </c>
    </row>
    <row r="204" spans="1:32">
      <c r="A204" s="238">
        <v>2011</v>
      </c>
      <c r="B204" s="238">
        <v>3</v>
      </c>
      <c r="C204" s="238">
        <v>22</v>
      </c>
      <c r="D204" s="238">
        <v>3.6</v>
      </c>
      <c r="E204" s="238"/>
      <c r="F204" s="238"/>
      <c r="G204" s="238"/>
      <c r="H204" s="238">
        <f t="shared" ref="H204:H267" si="40">H203+D204</f>
        <v>6.1</v>
      </c>
      <c r="I204" s="238">
        <v>1926</v>
      </c>
      <c r="J204" s="238">
        <v>0</v>
      </c>
      <c r="K204" s="238">
        <v>11.5</v>
      </c>
      <c r="L204" s="238">
        <v>7.3</v>
      </c>
      <c r="M204" s="238">
        <v>16</v>
      </c>
      <c r="N204" s="239">
        <v>40624</v>
      </c>
      <c r="O204" s="197">
        <f t="shared" ref="O204:O267" si="41">IF(K204&gt;0,O203+K204,O203)</f>
        <v>1796.0000000000007</v>
      </c>
      <c r="R204" s="197">
        <f>IF(K204&gt;0,R203+K204,R203)</f>
        <v>21.7</v>
      </c>
      <c r="S204" s="197">
        <f t="shared" si="37"/>
        <v>161178</v>
      </c>
      <c r="V204" s="197">
        <f>V203+I204</f>
        <v>3862</v>
      </c>
      <c r="W204" s="197">
        <f t="shared" si="33"/>
        <v>278.89999999999986</v>
      </c>
      <c r="Z204" s="197">
        <f t="shared" ref="Z204:Z267" si="42">Z203+J204</f>
        <v>0</v>
      </c>
      <c r="AA204" s="197">
        <f t="shared" si="32"/>
        <v>17.400000000000002</v>
      </c>
      <c r="AB204" s="197">
        <f t="shared" si="34"/>
        <v>0</v>
      </c>
      <c r="AC204" s="197">
        <f t="shared" si="35"/>
        <v>0</v>
      </c>
      <c r="AD204" s="197">
        <f t="shared" si="38"/>
        <v>271.50000000000011</v>
      </c>
      <c r="AE204" s="197">
        <f t="shared" si="36"/>
        <v>167.47826086956522</v>
      </c>
      <c r="AF204" s="197">
        <f t="shared" si="39"/>
        <v>357.28218243819265</v>
      </c>
    </row>
    <row r="205" spans="1:32">
      <c r="A205" s="238">
        <v>2011</v>
      </c>
      <c r="B205" s="238">
        <v>3</v>
      </c>
      <c r="C205" s="238">
        <v>23</v>
      </c>
      <c r="D205" s="238">
        <v>3.5</v>
      </c>
      <c r="E205" s="238"/>
      <c r="F205" s="238"/>
      <c r="G205" s="238"/>
      <c r="H205" s="238">
        <f t="shared" si="40"/>
        <v>9.6</v>
      </c>
      <c r="I205" s="238">
        <v>2045</v>
      </c>
      <c r="J205" s="238">
        <v>0</v>
      </c>
      <c r="K205" s="238">
        <v>12.1</v>
      </c>
      <c r="L205" s="238">
        <v>3.3</v>
      </c>
      <c r="M205" s="238">
        <v>18.600000000000001</v>
      </c>
      <c r="N205" s="239">
        <v>40625</v>
      </c>
      <c r="O205" s="197">
        <f t="shared" si="41"/>
        <v>1808.1000000000006</v>
      </c>
      <c r="R205" s="197">
        <f t="shared" ref="R205:R268" si="43">IF(K205&gt;0,R204+K205,R204)</f>
        <v>33.799999999999997</v>
      </c>
      <c r="S205" s="197">
        <f t="shared" si="37"/>
        <v>163223</v>
      </c>
      <c r="V205" s="197">
        <f t="shared" ref="V205:W266" si="44">V204+I205</f>
        <v>5907</v>
      </c>
      <c r="W205" s="197">
        <f t="shared" si="33"/>
        <v>278.89999999999986</v>
      </c>
      <c r="Z205" s="197">
        <f t="shared" si="42"/>
        <v>0</v>
      </c>
      <c r="AA205" s="197">
        <f t="shared" si="32"/>
        <v>17.400000000000002</v>
      </c>
      <c r="AB205" s="197">
        <f t="shared" si="34"/>
        <v>0</v>
      </c>
      <c r="AC205" s="197">
        <f t="shared" si="35"/>
        <v>0</v>
      </c>
      <c r="AD205" s="197">
        <f t="shared" si="38"/>
        <v>275.00000000000011</v>
      </c>
      <c r="AE205" s="197">
        <f t="shared" si="36"/>
        <v>169.00826446280993</v>
      </c>
      <c r="AF205" s="197">
        <f t="shared" si="39"/>
        <v>526.29044690100261</v>
      </c>
    </row>
    <row r="206" spans="1:32">
      <c r="A206" s="238">
        <v>2011</v>
      </c>
      <c r="B206" s="238">
        <v>3</v>
      </c>
      <c r="C206" s="238">
        <v>24</v>
      </c>
      <c r="D206" s="238">
        <v>3.7</v>
      </c>
      <c r="E206" s="238"/>
      <c r="F206" s="238"/>
      <c r="G206" s="238"/>
      <c r="H206" s="238">
        <f t="shared" si="40"/>
        <v>13.3</v>
      </c>
      <c r="I206" s="238">
        <v>2053</v>
      </c>
      <c r="J206" s="238">
        <v>0</v>
      </c>
      <c r="K206" s="238">
        <v>12.7</v>
      </c>
      <c r="L206" s="238">
        <v>4.4000000000000004</v>
      </c>
      <c r="M206" s="238">
        <v>18.899999999999999</v>
      </c>
      <c r="N206" s="239">
        <v>40626</v>
      </c>
      <c r="O206" s="197">
        <f t="shared" si="41"/>
        <v>1820.8000000000006</v>
      </c>
      <c r="R206" s="197">
        <f t="shared" si="43"/>
        <v>46.5</v>
      </c>
      <c r="S206" s="197">
        <f t="shared" si="37"/>
        <v>165276</v>
      </c>
      <c r="V206" s="197">
        <f t="shared" si="44"/>
        <v>7960</v>
      </c>
      <c r="W206" s="197">
        <f t="shared" si="33"/>
        <v>278.89999999999986</v>
      </c>
      <c r="Z206" s="197">
        <f t="shared" si="42"/>
        <v>0</v>
      </c>
      <c r="AA206" s="197">
        <f t="shared" si="32"/>
        <v>17.400000000000002</v>
      </c>
      <c r="AB206" s="197">
        <f t="shared" si="34"/>
        <v>0</v>
      </c>
      <c r="AC206" s="197">
        <f t="shared" si="35"/>
        <v>0</v>
      </c>
      <c r="AD206" s="197">
        <f t="shared" si="38"/>
        <v>278.7000000000001</v>
      </c>
      <c r="AE206" s="197">
        <f t="shared" si="36"/>
        <v>161.65354330708664</v>
      </c>
      <c r="AF206" s="197">
        <f t="shared" si="39"/>
        <v>687.94399020808919</v>
      </c>
    </row>
    <row r="207" spans="1:32">
      <c r="A207" s="238">
        <v>2011</v>
      </c>
      <c r="B207" s="238">
        <v>3</v>
      </c>
      <c r="C207" s="238">
        <v>25</v>
      </c>
      <c r="D207" s="238">
        <v>3.3</v>
      </c>
      <c r="E207" s="238"/>
      <c r="F207" s="238"/>
      <c r="G207" s="238"/>
      <c r="H207" s="238">
        <f t="shared" si="40"/>
        <v>16.600000000000001</v>
      </c>
      <c r="I207" s="238">
        <v>1775</v>
      </c>
      <c r="J207" s="238">
        <v>0</v>
      </c>
      <c r="K207" s="238">
        <v>12.1</v>
      </c>
      <c r="L207" s="238">
        <v>8.4</v>
      </c>
      <c r="M207" s="238">
        <v>17.7</v>
      </c>
      <c r="N207" s="239">
        <v>40627</v>
      </c>
      <c r="O207" s="197">
        <f t="shared" si="41"/>
        <v>1832.9000000000005</v>
      </c>
      <c r="R207" s="197">
        <f t="shared" si="43"/>
        <v>58.6</v>
      </c>
      <c r="S207" s="197">
        <f t="shared" si="37"/>
        <v>167051</v>
      </c>
      <c r="V207" s="197">
        <f t="shared" si="44"/>
        <v>9735</v>
      </c>
      <c r="W207" s="197">
        <f t="shared" si="33"/>
        <v>278.89999999999986</v>
      </c>
      <c r="Z207" s="197">
        <f t="shared" si="42"/>
        <v>0</v>
      </c>
      <c r="AA207" s="197">
        <f t="shared" si="32"/>
        <v>17.400000000000002</v>
      </c>
      <c r="AB207" s="197">
        <f t="shared" si="34"/>
        <v>0</v>
      </c>
      <c r="AC207" s="197">
        <f t="shared" si="35"/>
        <v>0</v>
      </c>
      <c r="AD207" s="197">
        <f t="shared" si="38"/>
        <v>282.00000000000011</v>
      </c>
      <c r="AE207" s="197">
        <f t="shared" si="36"/>
        <v>146.69421487603307</v>
      </c>
      <c r="AF207" s="197">
        <f t="shared" si="39"/>
        <v>834.63820508412232</v>
      </c>
    </row>
    <row r="208" spans="1:32">
      <c r="A208" s="238">
        <v>2011</v>
      </c>
      <c r="B208" s="238">
        <v>3</v>
      </c>
      <c r="C208" s="238">
        <v>26</v>
      </c>
      <c r="D208" s="238">
        <v>3</v>
      </c>
      <c r="E208" s="238"/>
      <c r="F208" s="238"/>
      <c r="G208" s="238"/>
      <c r="H208" s="238">
        <f t="shared" si="40"/>
        <v>19.600000000000001</v>
      </c>
      <c r="I208" s="238">
        <v>1802</v>
      </c>
      <c r="J208" s="238">
        <v>0</v>
      </c>
      <c r="K208" s="238">
        <v>13.6</v>
      </c>
      <c r="L208" s="238">
        <v>6.9</v>
      </c>
      <c r="M208" s="238">
        <v>20.5</v>
      </c>
      <c r="N208" s="239">
        <v>40628</v>
      </c>
      <c r="O208" s="197">
        <f t="shared" si="41"/>
        <v>1846.5000000000005</v>
      </c>
      <c r="R208" s="197">
        <f t="shared" si="43"/>
        <v>72.2</v>
      </c>
      <c r="S208" s="197">
        <f t="shared" si="37"/>
        <v>168853</v>
      </c>
      <c r="V208" s="197">
        <f t="shared" si="44"/>
        <v>11537</v>
      </c>
      <c r="W208" s="197">
        <f t="shared" si="33"/>
        <v>278.89999999999986</v>
      </c>
      <c r="Z208" s="197">
        <f t="shared" si="42"/>
        <v>0</v>
      </c>
      <c r="AA208" s="197">
        <f t="shared" si="32"/>
        <v>17.400000000000002</v>
      </c>
      <c r="AB208" s="197">
        <f t="shared" si="34"/>
        <v>0</v>
      </c>
      <c r="AC208" s="197">
        <f t="shared" si="35"/>
        <v>0</v>
      </c>
      <c r="AD208" s="197">
        <f t="shared" si="38"/>
        <v>285.00000000000011</v>
      </c>
      <c r="AE208" s="197">
        <f t="shared" si="36"/>
        <v>132.5</v>
      </c>
      <c r="AF208" s="197">
        <f t="shared" si="39"/>
        <v>967.13820508412232</v>
      </c>
    </row>
    <row r="209" spans="1:32">
      <c r="A209" s="238">
        <v>2011</v>
      </c>
      <c r="B209" s="238">
        <v>3</v>
      </c>
      <c r="C209" s="238">
        <v>27</v>
      </c>
      <c r="D209" s="238">
        <v>2.2999999999999998</v>
      </c>
      <c r="E209" s="238"/>
      <c r="F209" s="238"/>
      <c r="G209" s="238"/>
      <c r="H209" s="238">
        <f t="shared" si="40"/>
        <v>21.900000000000002</v>
      </c>
      <c r="I209" s="238">
        <v>903</v>
      </c>
      <c r="J209" s="238">
        <v>4.2</v>
      </c>
      <c r="K209" s="238">
        <v>12.6</v>
      </c>
      <c r="L209" s="238">
        <v>10.9</v>
      </c>
      <c r="M209" s="238">
        <v>16.5</v>
      </c>
      <c r="N209" s="239">
        <v>40629</v>
      </c>
      <c r="O209" s="197">
        <f t="shared" si="41"/>
        <v>1859.1000000000004</v>
      </c>
      <c r="R209" s="197">
        <f t="shared" si="43"/>
        <v>84.8</v>
      </c>
      <c r="S209" s="197">
        <f t="shared" si="37"/>
        <v>169756</v>
      </c>
      <c r="V209" s="197">
        <f t="shared" si="44"/>
        <v>12440</v>
      </c>
      <c r="W209" s="197">
        <f t="shared" si="33"/>
        <v>283.09999999999985</v>
      </c>
      <c r="Z209" s="197">
        <f t="shared" si="42"/>
        <v>4.2</v>
      </c>
      <c r="AA209" s="197">
        <f t="shared" si="32"/>
        <v>21.6</v>
      </c>
      <c r="AB209" s="197">
        <f t="shared" si="34"/>
        <v>0</v>
      </c>
      <c r="AC209" s="197">
        <f t="shared" si="35"/>
        <v>0</v>
      </c>
      <c r="AD209" s="197">
        <f t="shared" si="38"/>
        <v>287.30000000000013</v>
      </c>
      <c r="AE209" s="197">
        <f t="shared" si="36"/>
        <v>71.666666666666671</v>
      </c>
      <c r="AF209" s="197">
        <f t="shared" si="39"/>
        <v>1038.8048717507891</v>
      </c>
    </row>
    <row r="210" spans="1:32">
      <c r="A210" s="238">
        <v>2011</v>
      </c>
      <c r="B210" s="238">
        <v>3</v>
      </c>
      <c r="C210" s="238">
        <v>28</v>
      </c>
      <c r="D210" s="238">
        <v>1.5</v>
      </c>
      <c r="E210" s="238"/>
      <c r="F210" s="238"/>
      <c r="G210" s="238"/>
      <c r="H210" s="238">
        <f t="shared" si="40"/>
        <v>23.400000000000002</v>
      </c>
      <c r="I210" s="238">
        <v>759</v>
      </c>
      <c r="J210" s="238">
        <v>2.6</v>
      </c>
      <c r="K210" s="238">
        <v>11.4</v>
      </c>
      <c r="L210" s="238">
        <v>9.5</v>
      </c>
      <c r="M210" s="238">
        <v>13.7</v>
      </c>
      <c r="N210" s="239">
        <v>40630</v>
      </c>
      <c r="O210" s="197">
        <f t="shared" si="41"/>
        <v>1870.5000000000005</v>
      </c>
      <c r="R210" s="197">
        <f t="shared" si="43"/>
        <v>96.2</v>
      </c>
      <c r="S210" s="197">
        <f t="shared" si="37"/>
        <v>170515</v>
      </c>
      <c r="V210" s="197">
        <f t="shared" si="44"/>
        <v>13199</v>
      </c>
      <c r="W210" s="197">
        <f t="shared" si="33"/>
        <v>285.69999999999987</v>
      </c>
      <c r="Z210" s="197">
        <f t="shared" si="42"/>
        <v>6.8000000000000007</v>
      </c>
      <c r="AA210" s="197">
        <f t="shared" si="32"/>
        <v>24.200000000000003</v>
      </c>
      <c r="AB210" s="197">
        <f t="shared" si="34"/>
        <v>0</v>
      </c>
      <c r="AC210" s="197">
        <f t="shared" si="35"/>
        <v>0</v>
      </c>
      <c r="AD210" s="197">
        <f t="shared" si="38"/>
        <v>288.80000000000013</v>
      </c>
      <c r="AE210" s="197">
        <f t="shared" si="36"/>
        <v>66.578947368421055</v>
      </c>
      <c r="AF210" s="197">
        <f t="shared" si="39"/>
        <v>1105.3838191192101</v>
      </c>
    </row>
    <row r="211" spans="1:32">
      <c r="A211" s="197">
        <v>2011</v>
      </c>
      <c r="B211" s="197">
        <v>3</v>
      </c>
      <c r="C211" s="197">
        <v>29</v>
      </c>
      <c r="D211" s="197">
        <v>2.2999999999999998</v>
      </c>
      <c r="H211" s="238">
        <f t="shared" si="40"/>
        <v>25.700000000000003</v>
      </c>
      <c r="I211" s="197">
        <v>1250</v>
      </c>
      <c r="J211" s="197">
        <v>7.2</v>
      </c>
      <c r="K211" s="197">
        <v>11.1</v>
      </c>
      <c r="L211" s="197">
        <v>7.7</v>
      </c>
      <c r="M211" s="197">
        <v>16.100000000000001</v>
      </c>
      <c r="N211" s="233">
        <v>40631</v>
      </c>
      <c r="O211" s="197">
        <f t="shared" si="41"/>
        <v>1881.6000000000004</v>
      </c>
      <c r="R211" s="197">
        <f t="shared" si="43"/>
        <v>107.3</v>
      </c>
      <c r="S211" s="197">
        <f t="shared" si="37"/>
        <v>171765</v>
      </c>
      <c r="V211" s="197">
        <f t="shared" si="44"/>
        <v>14449</v>
      </c>
      <c r="W211" s="197">
        <f t="shared" si="33"/>
        <v>292.89999999999986</v>
      </c>
      <c r="Z211" s="197">
        <f t="shared" si="42"/>
        <v>14</v>
      </c>
      <c r="AA211" s="197">
        <f t="shared" si="32"/>
        <v>31.400000000000002</v>
      </c>
      <c r="AB211" s="197">
        <f t="shared" si="34"/>
        <v>0</v>
      </c>
      <c r="AC211" s="197">
        <f t="shared" si="35"/>
        <v>0</v>
      </c>
      <c r="AD211" s="197">
        <f t="shared" si="38"/>
        <v>291.10000000000014</v>
      </c>
      <c r="AE211" s="197">
        <f t="shared" si="36"/>
        <v>112.61261261261262</v>
      </c>
      <c r="AF211" s="197">
        <f t="shared" si="39"/>
        <v>1217.9964317318227</v>
      </c>
    </row>
    <row r="212" spans="1:32">
      <c r="A212" s="197">
        <v>2011</v>
      </c>
      <c r="B212" s="197">
        <v>3</v>
      </c>
      <c r="C212" s="197">
        <v>30</v>
      </c>
      <c r="D212" s="197">
        <v>2.6</v>
      </c>
      <c r="H212" s="238">
        <f t="shared" si="40"/>
        <v>28.300000000000004</v>
      </c>
      <c r="I212" s="197">
        <v>1345</v>
      </c>
      <c r="J212" s="197">
        <v>2</v>
      </c>
      <c r="K212" s="197">
        <v>11.9</v>
      </c>
      <c r="L212" s="197">
        <v>9</v>
      </c>
      <c r="M212" s="197">
        <v>15.5</v>
      </c>
      <c r="N212" s="233">
        <v>40632</v>
      </c>
      <c r="O212" s="197">
        <f t="shared" si="41"/>
        <v>1893.5000000000005</v>
      </c>
      <c r="R212" s="197">
        <f t="shared" si="43"/>
        <v>119.2</v>
      </c>
      <c r="S212" s="197">
        <f t="shared" si="37"/>
        <v>173110</v>
      </c>
      <c r="V212" s="197">
        <f t="shared" si="44"/>
        <v>15794</v>
      </c>
      <c r="W212" s="197">
        <f t="shared" si="33"/>
        <v>294.89999999999986</v>
      </c>
      <c r="Z212" s="197">
        <f t="shared" si="42"/>
        <v>16</v>
      </c>
      <c r="AA212" s="197">
        <f t="shared" si="32"/>
        <v>33.400000000000006</v>
      </c>
      <c r="AB212" s="197">
        <f t="shared" si="34"/>
        <v>0</v>
      </c>
      <c r="AC212" s="197">
        <f t="shared" si="35"/>
        <v>0</v>
      </c>
      <c r="AD212" s="197">
        <f t="shared" si="38"/>
        <v>293.70000000000016</v>
      </c>
      <c r="AE212" s="197">
        <f t="shared" si="36"/>
        <v>113.02521008403362</v>
      </c>
      <c r="AF212" s="197">
        <f t="shared" si="39"/>
        <v>1331.0216418158564</v>
      </c>
    </row>
    <row r="213" spans="1:32">
      <c r="A213" s="197">
        <v>2011</v>
      </c>
      <c r="B213" s="197">
        <v>3</v>
      </c>
      <c r="C213" s="197">
        <v>31</v>
      </c>
      <c r="D213" s="197">
        <v>1.3</v>
      </c>
      <c r="H213" s="238">
        <f t="shared" si="40"/>
        <v>29.600000000000005</v>
      </c>
      <c r="I213" s="197">
        <v>511</v>
      </c>
      <c r="J213" s="197">
        <v>0.2</v>
      </c>
      <c r="K213" s="197">
        <v>13.7</v>
      </c>
      <c r="L213" s="197">
        <v>10.6</v>
      </c>
      <c r="M213" s="197">
        <v>17.7</v>
      </c>
      <c r="N213" s="233">
        <v>40633</v>
      </c>
      <c r="O213" s="197">
        <f t="shared" si="41"/>
        <v>1907.2000000000005</v>
      </c>
      <c r="R213" s="197">
        <f t="shared" si="43"/>
        <v>132.9</v>
      </c>
      <c r="S213" s="197">
        <f t="shared" si="37"/>
        <v>173621</v>
      </c>
      <c r="V213" s="197">
        <f t="shared" si="44"/>
        <v>16305</v>
      </c>
      <c r="W213" s="197">
        <f t="shared" si="33"/>
        <v>295.09999999999985</v>
      </c>
      <c r="Z213" s="197">
        <f t="shared" si="42"/>
        <v>16.2</v>
      </c>
      <c r="AA213" s="197">
        <f t="shared" si="32"/>
        <v>33.600000000000009</v>
      </c>
      <c r="AB213" s="197">
        <f t="shared" si="34"/>
        <v>0</v>
      </c>
      <c r="AC213" s="197">
        <f t="shared" si="35"/>
        <v>0</v>
      </c>
      <c r="AD213" s="197">
        <f t="shared" si="38"/>
        <v>295.00000000000017</v>
      </c>
      <c r="AE213" s="197">
        <f t="shared" si="36"/>
        <v>37.299270072992705</v>
      </c>
      <c r="AF213" s="197">
        <f t="shared" si="39"/>
        <v>1368.320911888849</v>
      </c>
    </row>
    <row r="214" spans="1:32">
      <c r="A214" s="197">
        <v>2011</v>
      </c>
      <c r="B214" s="197">
        <v>4</v>
      </c>
      <c r="C214" s="197">
        <v>1</v>
      </c>
      <c r="D214" s="197">
        <v>3.5</v>
      </c>
      <c r="H214" s="238">
        <f t="shared" si="40"/>
        <v>33.100000000000009</v>
      </c>
      <c r="I214" s="197">
        <v>2164</v>
      </c>
      <c r="J214" s="197">
        <v>0.2</v>
      </c>
      <c r="K214" s="197">
        <v>15.3</v>
      </c>
      <c r="L214" s="197">
        <v>5.7</v>
      </c>
      <c r="M214" s="197">
        <v>24.3</v>
      </c>
      <c r="N214" s="233">
        <v>40634</v>
      </c>
      <c r="O214" s="197">
        <f t="shared" si="41"/>
        <v>1922.5000000000005</v>
      </c>
      <c r="R214" s="197">
        <f t="shared" si="43"/>
        <v>148.20000000000002</v>
      </c>
      <c r="S214" s="197">
        <f t="shared" si="37"/>
        <v>175785</v>
      </c>
      <c r="V214" s="197">
        <f t="shared" si="44"/>
        <v>18469</v>
      </c>
      <c r="W214" s="197">
        <f t="shared" si="33"/>
        <v>295.29999999999984</v>
      </c>
      <c r="Z214" s="197">
        <f t="shared" si="42"/>
        <v>16.399999999999999</v>
      </c>
      <c r="AA214" s="197">
        <f t="shared" si="32"/>
        <v>33.800000000000011</v>
      </c>
      <c r="AB214" s="197">
        <f t="shared" si="34"/>
        <v>0</v>
      </c>
      <c r="AC214" s="197">
        <f t="shared" si="35"/>
        <v>0</v>
      </c>
      <c r="AD214" s="197">
        <f t="shared" si="38"/>
        <v>298.50000000000017</v>
      </c>
      <c r="AE214" s="197">
        <f t="shared" si="36"/>
        <v>141.43790849673201</v>
      </c>
      <c r="AF214" s="197">
        <f t="shared" si="39"/>
        <v>1509.758820385581</v>
      </c>
    </row>
    <row r="215" spans="1:32">
      <c r="A215" s="197">
        <v>2011</v>
      </c>
      <c r="B215" s="197">
        <v>4</v>
      </c>
      <c r="C215" s="197">
        <v>2</v>
      </c>
      <c r="D215" s="197">
        <v>3.9</v>
      </c>
      <c r="H215" s="238">
        <f t="shared" si="40"/>
        <v>37.000000000000007</v>
      </c>
      <c r="I215" s="197">
        <v>2091</v>
      </c>
      <c r="J215" s="197">
        <v>0</v>
      </c>
      <c r="K215" s="197">
        <v>14.7</v>
      </c>
      <c r="L215" s="197">
        <v>11.3</v>
      </c>
      <c r="M215" s="197">
        <v>19.399999999999999</v>
      </c>
      <c r="N215" s="233">
        <v>40635</v>
      </c>
      <c r="O215" s="197">
        <f t="shared" si="41"/>
        <v>1937.2000000000005</v>
      </c>
      <c r="R215" s="197">
        <f t="shared" si="43"/>
        <v>162.9</v>
      </c>
      <c r="S215" s="197">
        <f t="shared" si="37"/>
        <v>177876</v>
      </c>
      <c r="V215" s="197">
        <f t="shared" si="44"/>
        <v>20560</v>
      </c>
      <c r="W215" s="197">
        <f t="shared" si="33"/>
        <v>295.29999999999984</v>
      </c>
      <c r="Z215" s="197">
        <f t="shared" si="42"/>
        <v>16.399999999999999</v>
      </c>
      <c r="AA215" s="197">
        <f t="shared" si="32"/>
        <v>33.800000000000011</v>
      </c>
      <c r="AB215" s="197">
        <f t="shared" si="34"/>
        <v>0</v>
      </c>
      <c r="AC215" s="197">
        <f t="shared" si="35"/>
        <v>0</v>
      </c>
      <c r="AD215" s="197">
        <f t="shared" si="38"/>
        <v>302.40000000000015</v>
      </c>
      <c r="AE215" s="197">
        <f t="shared" si="36"/>
        <v>142.24489795918367</v>
      </c>
      <c r="AF215" s="197">
        <f t="shared" si="39"/>
        <v>1652.0037183447646</v>
      </c>
    </row>
    <row r="216" spans="1:32">
      <c r="A216" s="197">
        <v>2011</v>
      </c>
      <c r="B216" s="197">
        <v>4</v>
      </c>
      <c r="C216" s="197">
        <v>3</v>
      </c>
      <c r="D216" s="197">
        <v>1.2</v>
      </c>
      <c r="H216" s="238">
        <f t="shared" si="40"/>
        <v>38.20000000000001</v>
      </c>
      <c r="I216" s="197">
        <v>327</v>
      </c>
      <c r="J216" s="197">
        <v>0</v>
      </c>
      <c r="K216" s="197">
        <v>13.6</v>
      </c>
      <c r="L216" s="197">
        <v>12.7</v>
      </c>
      <c r="M216" s="197">
        <v>15.8</v>
      </c>
      <c r="N216" s="233">
        <v>40636</v>
      </c>
      <c r="O216" s="197">
        <f t="shared" si="41"/>
        <v>1950.8000000000004</v>
      </c>
      <c r="R216" s="197">
        <f t="shared" si="43"/>
        <v>176.5</v>
      </c>
      <c r="S216" s="197">
        <f t="shared" si="37"/>
        <v>178203</v>
      </c>
      <c r="V216" s="197">
        <f t="shared" si="44"/>
        <v>20887</v>
      </c>
      <c r="W216" s="197">
        <f t="shared" si="33"/>
        <v>295.29999999999984</v>
      </c>
      <c r="Z216" s="197">
        <f t="shared" si="42"/>
        <v>16.399999999999999</v>
      </c>
      <c r="AA216" s="197">
        <f t="shared" si="32"/>
        <v>33.800000000000011</v>
      </c>
      <c r="AB216" s="197">
        <f t="shared" si="34"/>
        <v>0</v>
      </c>
      <c r="AC216" s="197">
        <f t="shared" si="35"/>
        <v>0</v>
      </c>
      <c r="AD216" s="197">
        <f t="shared" si="38"/>
        <v>303.60000000000014</v>
      </c>
      <c r="AE216" s="197">
        <f t="shared" si="36"/>
        <v>24.044117647058822</v>
      </c>
      <c r="AF216" s="197">
        <f t="shared" si="39"/>
        <v>1676.0478359918234</v>
      </c>
    </row>
    <row r="217" spans="1:32">
      <c r="A217" s="197">
        <v>2011</v>
      </c>
      <c r="B217" s="197">
        <v>4</v>
      </c>
      <c r="C217" s="197">
        <v>4</v>
      </c>
      <c r="D217" s="197">
        <v>3.4</v>
      </c>
      <c r="H217" s="238">
        <f t="shared" si="40"/>
        <v>41.600000000000009</v>
      </c>
      <c r="I217" s="197">
        <v>1753</v>
      </c>
      <c r="J217" s="197">
        <v>0</v>
      </c>
      <c r="K217" s="197">
        <v>12.8</v>
      </c>
      <c r="L217" s="197">
        <v>10</v>
      </c>
      <c r="M217" s="197">
        <v>17.600000000000001</v>
      </c>
      <c r="N217" s="233">
        <v>40637</v>
      </c>
      <c r="O217" s="197">
        <f t="shared" si="41"/>
        <v>1963.6000000000004</v>
      </c>
      <c r="R217" s="197">
        <f t="shared" si="43"/>
        <v>189.3</v>
      </c>
      <c r="S217" s="197">
        <f t="shared" si="37"/>
        <v>179956</v>
      </c>
      <c r="V217" s="197">
        <f t="shared" si="44"/>
        <v>22640</v>
      </c>
      <c r="W217" s="197">
        <f t="shared" si="33"/>
        <v>295.29999999999984</v>
      </c>
      <c r="Z217" s="197">
        <f t="shared" si="42"/>
        <v>16.399999999999999</v>
      </c>
      <c r="AA217" s="197">
        <f t="shared" si="32"/>
        <v>33.800000000000011</v>
      </c>
      <c r="AB217" s="197">
        <f t="shared" si="34"/>
        <v>0</v>
      </c>
      <c r="AC217" s="197">
        <f t="shared" si="35"/>
        <v>0</v>
      </c>
      <c r="AD217" s="197">
        <f t="shared" si="38"/>
        <v>307.00000000000011</v>
      </c>
      <c r="AE217" s="197">
        <f t="shared" si="36"/>
        <v>136.953125</v>
      </c>
      <c r="AF217" s="197">
        <f t="shared" si="39"/>
        <v>1813.0009609918234</v>
      </c>
    </row>
    <row r="218" spans="1:32">
      <c r="A218" s="197">
        <v>2011</v>
      </c>
      <c r="B218" s="197">
        <v>4</v>
      </c>
      <c r="C218" s="197">
        <v>5</v>
      </c>
      <c r="D218" s="197">
        <v>3.1</v>
      </c>
      <c r="H218" s="238">
        <f t="shared" si="40"/>
        <v>44.70000000000001</v>
      </c>
      <c r="I218" s="197">
        <v>2267</v>
      </c>
      <c r="J218" s="197">
        <v>0</v>
      </c>
      <c r="K218" s="197">
        <v>13.4</v>
      </c>
      <c r="L218" s="197">
        <v>5.0999999999999996</v>
      </c>
      <c r="M218" s="197">
        <v>21.6</v>
      </c>
      <c r="N218" s="233">
        <v>40638</v>
      </c>
      <c r="O218" s="197">
        <f t="shared" si="41"/>
        <v>1977.0000000000005</v>
      </c>
      <c r="R218" s="197">
        <f t="shared" si="43"/>
        <v>202.70000000000002</v>
      </c>
      <c r="S218" s="197">
        <f t="shared" si="37"/>
        <v>182223</v>
      </c>
      <c r="V218" s="197">
        <f t="shared" si="44"/>
        <v>24907</v>
      </c>
      <c r="W218" s="197">
        <f t="shared" si="33"/>
        <v>295.29999999999984</v>
      </c>
      <c r="Z218" s="197">
        <f t="shared" si="42"/>
        <v>16.399999999999999</v>
      </c>
      <c r="AA218" s="197">
        <f t="shared" si="32"/>
        <v>33.800000000000011</v>
      </c>
      <c r="AB218" s="197">
        <f t="shared" si="34"/>
        <v>0</v>
      </c>
      <c r="AC218" s="197">
        <f t="shared" si="35"/>
        <v>0</v>
      </c>
      <c r="AD218" s="197">
        <f t="shared" si="38"/>
        <v>310.10000000000014</v>
      </c>
      <c r="AE218" s="197">
        <f t="shared" si="36"/>
        <v>169.17910447761193</v>
      </c>
      <c r="AF218" s="197">
        <f t="shared" si="39"/>
        <v>1982.1800654694352</v>
      </c>
    </row>
    <row r="219" spans="1:32">
      <c r="A219" s="197">
        <v>2011</v>
      </c>
      <c r="B219" s="197">
        <v>4</v>
      </c>
      <c r="C219" s="197">
        <v>6</v>
      </c>
      <c r="D219" s="197">
        <v>4.0999999999999996</v>
      </c>
      <c r="H219" s="238">
        <f t="shared" si="40"/>
        <v>48.800000000000011</v>
      </c>
      <c r="I219" s="197">
        <v>2326</v>
      </c>
      <c r="J219" s="197">
        <v>0</v>
      </c>
      <c r="K219" s="197">
        <v>16.8</v>
      </c>
      <c r="L219" s="197">
        <v>7.1</v>
      </c>
      <c r="M219" s="197">
        <v>25.7</v>
      </c>
      <c r="N219" s="233">
        <v>40639</v>
      </c>
      <c r="O219" s="197">
        <f t="shared" si="41"/>
        <v>1993.8000000000004</v>
      </c>
      <c r="R219" s="197">
        <f t="shared" si="43"/>
        <v>219.50000000000003</v>
      </c>
      <c r="S219" s="197">
        <f t="shared" si="37"/>
        <v>184549</v>
      </c>
      <c r="V219" s="197">
        <f t="shared" si="44"/>
        <v>27233</v>
      </c>
      <c r="W219" s="197">
        <f t="shared" si="33"/>
        <v>295.29999999999984</v>
      </c>
      <c r="Z219" s="197">
        <f t="shared" si="42"/>
        <v>16.399999999999999</v>
      </c>
      <c r="AA219" s="197">
        <f t="shared" si="32"/>
        <v>33.800000000000011</v>
      </c>
      <c r="AB219" s="197">
        <f t="shared" si="34"/>
        <v>0</v>
      </c>
      <c r="AC219" s="197">
        <f t="shared" si="35"/>
        <v>0</v>
      </c>
      <c r="AD219" s="197">
        <f t="shared" si="38"/>
        <v>314.20000000000016</v>
      </c>
      <c r="AE219" s="197">
        <f t="shared" si="36"/>
        <v>138.45238095238093</v>
      </c>
      <c r="AF219" s="197">
        <f t="shared" si="39"/>
        <v>2120.632446421816</v>
      </c>
    </row>
    <row r="220" spans="1:32">
      <c r="A220" s="197">
        <v>2011</v>
      </c>
      <c r="B220" s="197">
        <v>4</v>
      </c>
      <c r="C220" s="197">
        <v>7</v>
      </c>
      <c r="D220" s="197">
        <v>4</v>
      </c>
      <c r="H220" s="238">
        <f t="shared" si="40"/>
        <v>52.800000000000011</v>
      </c>
      <c r="I220" s="197">
        <v>2294</v>
      </c>
      <c r="J220" s="197">
        <v>0</v>
      </c>
      <c r="K220" s="197">
        <v>18.899999999999999</v>
      </c>
      <c r="L220" s="197">
        <v>9.5</v>
      </c>
      <c r="M220" s="197">
        <v>28.1</v>
      </c>
      <c r="N220" s="233">
        <v>40640</v>
      </c>
      <c r="O220" s="197">
        <f t="shared" si="41"/>
        <v>2012.7000000000005</v>
      </c>
      <c r="R220" s="197">
        <f t="shared" si="43"/>
        <v>238.40000000000003</v>
      </c>
      <c r="S220" s="197">
        <f t="shared" si="37"/>
        <v>186843</v>
      </c>
      <c r="V220" s="197">
        <f t="shared" si="44"/>
        <v>29527</v>
      </c>
      <c r="W220" s="197">
        <f t="shared" si="33"/>
        <v>295.29999999999984</v>
      </c>
      <c r="Z220" s="197">
        <f t="shared" si="42"/>
        <v>16.399999999999999</v>
      </c>
      <c r="AA220" s="197">
        <f t="shared" si="32"/>
        <v>33.800000000000011</v>
      </c>
      <c r="AB220" s="197">
        <f t="shared" si="34"/>
        <v>0</v>
      </c>
      <c r="AC220" s="197">
        <f t="shared" si="35"/>
        <v>0</v>
      </c>
      <c r="AD220" s="197">
        <f t="shared" si="38"/>
        <v>318.20000000000016</v>
      </c>
      <c r="AE220" s="197">
        <f t="shared" si="36"/>
        <v>121.37566137566138</v>
      </c>
      <c r="AF220" s="197">
        <f t="shared" si="39"/>
        <v>2242.0081077974774</v>
      </c>
    </row>
    <row r="221" spans="1:32">
      <c r="A221" s="197">
        <v>2011</v>
      </c>
      <c r="B221" s="197">
        <v>4</v>
      </c>
      <c r="C221" s="197">
        <v>8</v>
      </c>
      <c r="D221" s="197">
        <v>4</v>
      </c>
      <c r="H221" s="238">
        <f t="shared" si="40"/>
        <v>56.800000000000011</v>
      </c>
      <c r="I221" s="197">
        <v>2326</v>
      </c>
      <c r="J221" s="197">
        <v>0</v>
      </c>
      <c r="K221" s="197">
        <v>19.100000000000001</v>
      </c>
      <c r="L221" s="197">
        <v>10.3</v>
      </c>
      <c r="M221" s="197">
        <v>27.7</v>
      </c>
      <c r="N221" s="233">
        <v>40641</v>
      </c>
      <c r="O221" s="197">
        <f t="shared" si="41"/>
        <v>2031.8000000000004</v>
      </c>
      <c r="R221" s="197">
        <f t="shared" si="43"/>
        <v>257.50000000000006</v>
      </c>
      <c r="S221" s="197">
        <f t="shared" si="37"/>
        <v>189169</v>
      </c>
      <c r="V221" s="197">
        <f t="shared" si="44"/>
        <v>31853</v>
      </c>
      <c r="W221" s="197">
        <f t="shared" si="33"/>
        <v>295.29999999999984</v>
      </c>
      <c r="Z221" s="197">
        <f t="shared" si="42"/>
        <v>16.399999999999999</v>
      </c>
      <c r="AA221" s="197">
        <f t="shared" si="32"/>
        <v>33.800000000000011</v>
      </c>
      <c r="AB221" s="197">
        <f t="shared" si="34"/>
        <v>0</v>
      </c>
      <c r="AC221" s="197">
        <f t="shared" si="35"/>
        <v>0</v>
      </c>
      <c r="AD221" s="197">
        <f t="shared" si="38"/>
        <v>322.20000000000016</v>
      </c>
      <c r="AE221" s="197">
        <f t="shared" si="36"/>
        <v>121.78010471204188</v>
      </c>
      <c r="AF221" s="197">
        <f t="shared" si="39"/>
        <v>2363.7882125095193</v>
      </c>
    </row>
    <row r="222" spans="1:32">
      <c r="A222" s="197">
        <v>2011</v>
      </c>
      <c r="B222" s="197">
        <v>4</v>
      </c>
      <c r="C222" s="197">
        <v>9</v>
      </c>
      <c r="D222" s="197">
        <v>4.5</v>
      </c>
      <c r="H222" s="238">
        <f t="shared" si="40"/>
        <v>61.300000000000011</v>
      </c>
      <c r="I222" s="197">
        <v>2296</v>
      </c>
      <c r="J222" s="197">
        <v>0</v>
      </c>
      <c r="K222" s="197">
        <v>19.100000000000001</v>
      </c>
      <c r="L222" s="197">
        <v>10.199999999999999</v>
      </c>
      <c r="M222" s="197">
        <v>28.6</v>
      </c>
      <c r="N222" s="233">
        <v>40642</v>
      </c>
      <c r="O222" s="197">
        <f t="shared" si="41"/>
        <v>2050.9000000000005</v>
      </c>
      <c r="R222" s="197">
        <f t="shared" si="43"/>
        <v>276.60000000000008</v>
      </c>
      <c r="S222" s="197">
        <f t="shared" si="37"/>
        <v>191465</v>
      </c>
      <c r="V222" s="197">
        <f t="shared" si="44"/>
        <v>34149</v>
      </c>
      <c r="W222" s="197">
        <f t="shared" si="33"/>
        <v>295.29999999999984</v>
      </c>
      <c r="Z222" s="197">
        <f t="shared" si="42"/>
        <v>16.399999999999999</v>
      </c>
      <c r="AA222" s="197">
        <f t="shared" si="32"/>
        <v>33.800000000000011</v>
      </c>
      <c r="AB222" s="197">
        <f t="shared" si="34"/>
        <v>0</v>
      </c>
      <c r="AC222" s="197">
        <f t="shared" si="35"/>
        <v>0</v>
      </c>
      <c r="AD222" s="197">
        <f t="shared" si="38"/>
        <v>326.70000000000016</v>
      </c>
      <c r="AE222" s="197">
        <f t="shared" si="36"/>
        <v>120.20942408376962</v>
      </c>
      <c r="AF222" s="197">
        <f t="shared" si="39"/>
        <v>2483.9976365932889</v>
      </c>
    </row>
    <row r="223" spans="1:32">
      <c r="A223" s="236">
        <v>2011</v>
      </c>
      <c r="B223" s="236">
        <v>4</v>
      </c>
      <c r="C223" s="236">
        <v>10</v>
      </c>
      <c r="D223" s="236">
        <v>2.6</v>
      </c>
      <c r="E223" s="236"/>
      <c r="F223" s="236"/>
      <c r="G223" s="236"/>
      <c r="H223" s="238">
        <f t="shared" si="40"/>
        <v>63.900000000000013</v>
      </c>
      <c r="I223" s="236">
        <v>657</v>
      </c>
      <c r="J223" s="236">
        <v>0</v>
      </c>
      <c r="K223" s="236">
        <v>14.9</v>
      </c>
      <c r="L223" s="236">
        <v>14</v>
      </c>
      <c r="M223" s="236">
        <v>18.2</v>
      </c>
      <c r="N223" s="237">
        <v>40643</v>
      </c>
      <c r="O223" s="197">
        <f t="shared" si="41"/>
        <v>2065.8000000000006</v>
      </c>
      <c r="R223" s="197">
        <f t="shared" si="43"/>
        <v>291.50000000000006</v>
      </c>
      <c r="S223" s="197">
        <f t="shared" si="37"/>
        <v>192122</v>
      </c>
      <c r="V223" s="197">
        <f t="shared" si="44"/>
        <v>34806</v>
      </c>
      <c r="W223" s="197">
        <f t="shared" si="33"/>
        <v>295.29999999999984</v>
      </c>
      <c r="Z223" s="197">
        <f t="shared" si="42"/>
        <v>16.399999999999999</v>
      </c>
      <c r="AA223" s="197">
        <f t="shared" si="32"/>
        <v>33.800000000000011</v>
      </c>
      <c r="AB223" s="197">
        <f t="shared" si="34"/>
        <v>0</v>
      </c>
      <c r="AC223" s="197">
        <f t="shared" si="35"/>
        <v>0</v>
      </c>
      <c r="AD223" s="197">
        <f t="shared" si="38"/>
        <v>329.30000000000018</v>
      </c>
      <c r="AE223" s="197">
        <f t="shared" si="36"/>
        <v>44.09395973154362</v>
      </c>
      <c r="AF223" s="197">
        <f t="shared" si="39"/>
        <v>2528.0915963248326</v>
      </c>
    </row>
    <row r="224" spans="1:32">
      <c r="A224" s="236">
        <v>2011</v>
      </c>
      <c r="B224" s="236">
        <v>4</v>
      </c>
      <c r="C224" s="236">
        <v>11</v>
      </c>
      <c r="D224" s="236">
        <v>3.8</v>
      </c>
      <c r="E224" s="236"/>
      <c r="F224" s="236"/>
      <c r="G224" s="236"/>
      <c r="H224" s="238">
        <f t="shared" si="40"/>
        <v>67.700000000000017</v>
      </c>
      <c r="I224" s="236">
        <v>1507</v>
      </c>
      <c r="J224" s="236">
        <v>0.2</v>
      </c>
      <c r="K224" s="236">
        <v>15.3</v>
      </c>
      <c r="L224" s="236">
        <v>12.7</v>
      </c>
      <c r="M224" s="236">
        <v>19.899999999999999</v>
      </c>
      <c r="N224" s="237">
        <v>40644</v>
      </c>
      <c r="O224" s="197">
        <f t="shared" si="41"/>
        <v>2081.1000000000008</v>
      </c>
      <c r="R224" s="197">
        <f t="shared" si="43"/>
        <v>306.80000000000007</v>
      </c>
      <c r="S224" s="197">
        <f t="shared" si="37"/>
        <v>193629</v>
      </c>
      <c r="V224" s="197">
        <f t="shared" si="44"/>
        <v>36313</v>
      </c>
      <c r="W224" s="197">
        <f t="shared" si="33"/>
        <v>295.49999999999983</v>
      </c>
      <c r="Z224" s="197">
        <f t="shared" si="42"/>
        <v>16.599999999999998</v>
      </c>
      <c r="AA224" s="197">
        <f t="shared" si="32"/>
        <v>34.000000000000014</v>
      </c>
      <c r="AB224" s="197">
        <f t="shared" si="34"/>
        <v>0</v>
      </c>
      <c r="AC224" s="197">
        <f t="shared" si="35"/>
        <v>0</v>
      </c>
      <c r="AD224" s="197">
        <f t="shared" si="38"/>
        <v>333.10000000000019</v>
      </c>
      <c r="AE224" s="197">
        <f t="shared" si="36"/>
        <v>98.496732026143789</v>
      </c>
      <c r="AF224" s="197">
        <f t="shared" si="39"/>
        <v>2626.5883283509766</v>
      </c>
    </row>
    <row r="225" spans="1:32">
      <c r="A225" s="236">
        <v>2011</v>
      </c>
      <c r="B225" s="236">
        <v>4</v>
      </c>
      <c r="C225" s="236">
        <v>12</v>
      </c>
      <c r="D225" s="236">
        <v>3.4</v>
      </c>
      <c r="E225" s="236"/>
      <c r="F225" s="236"/>
      <c r="G225" s="236"/>
      <c r="H225" s="238">
        <f t="shared" si="40"/>
        <v>71.100000000000023</v>
      </c>
      <c r="I225" s="236">
        <v>1252</v>
      </c>
      <c r="J225" s="236">
        <v>1.8</v>
      </c>
      <c r="K225" s="236">
        <v>13.2</v>
      </c>
      <c r="L225" s="236">
        <v>11.6</v>
      </c>
      <c r="M225" s="236">
        <v>18.600000000000001</v>
      </c>
      <c r="N225" s="237">
        <v>40645</v>
      </c>
      <c r="O225" s="197">
        <f t="shared" si="41"/>
        <v>2094.3000000000006</v>
      </c>
      <c r="R225" s="197">
        <f t="shared" si="43"/>
        <v>320.00000000000006</v>
      </c>
      <c r="S225" s="197">
        <f t="shared" si="37"/>
        <v>194881</v>
      </c>
      <c r="V225" s="197">
        <f t="shared" si="44"/>
        <v>37565</v>
      </c>
      <c r="W225" s="197">
        <f t="shared" si="33"/>
        <v>297.29999999999984</v>
      </c>
      <c r="Z225" s="197">
        <f t="shared" si="42"/>
        <v>18.399999999999999</v>
      </c>
      <c r="AA225" s="197">
        <f t="shared" si="32"/>
        <v>35.800000000000011</v>
      </c>
      <c r="AB225" s="197">
        <f t="shared" si="34"/>
        <v>0</v>
      </c>
      <c r="AC225" s="197">
        <f t="shared" si="35"/>
        <v>0</v>
      </c>
      <c r="AD225" s="197">
        <f t="shared" si="38"/>
        <v>336.50000000000017</v>
      </c>
      <c r="AE225" s="197">
        <f t="shared" si="36"/>
        <v>94.848484848484858</v>
      </c>
      <c r="AF225" s="197">
        <f t="shared" si="39"/>
        <v>2721.4368131994615</v>
      </c>
    </row>
    <row r="226" spans="1:32">
      <c r="A226" s="236">
        <v>2011</v>
      </c>
      <c r="B226" s="236">
        <v>4</v>
      </c>
      <c r="C226" s="236">
        <v>13</v>
      </c>
      <c r="D226" s="236">
        <v>3.1</v>
      </c>
      <c r="E226" s="236"/>
      <c r="F226" s="236"/>
      <c r="G226" s="236"/>
      <c r="H226" s="238">
        <f t="shared" si="40"/>
        <v>74.200000000000017</v>
      </c>
      <c r="I226" s="236">
        <v>2286</v>
      </c>
      <c r="J226" s="236">
        <v>0</v>
      </c>
      <c r="K226" s="236">
        <v>11.9</v>
      </c>
      <c r="L226" s="236">
        <v>4.5999999999999996</v>
      </c>
      <c r="M226" s="236">
        <v>18.100000000000001</v>
      </c>
      <c r="N226" s="237">
        <v>40646</v>
      </c>
      <c r="O226" s="197">
        <f t="shared" si="41"/>
        <v>2106.2000000000007</v>
      </c>
      <c r="R226" s="197">
        <f t="shared" si="43"/>
        <v>331.90000000000003</v>
      </c>
      <c r="S226" s="197">
        <f t="shared" si="37"/>
        <v>197167</v>
      </c>
      <c r="V226" s="197">
        <f t="shared" si="44"/>
        <v>39851</v>
      </c>
      <c r="W226" s="197">
        <f t="shared" si="33"/>
        <v>297.29999999999984</v>
      </c>
      <c r="Z226" s="197">
        <f t="shared" si="42"/>
        <v>18.399999999999999</v>
      </c>
      <c r="AA226" s="197">
        <f t="shared" si="32"/>
        <v>35.800000000000011</v>
      </c>
      <c r="AB226" s="197">
        <f t="shared" si="34"/>
        <v>0</v>
      </c>
      <c r="AC226" s="197">
        <f t="shared" si="35"/>
        <v>0</v>
      </c>
      <c r="AD226" s="197">
        <f t="shared" si="38"/>
        <v>339.60000000000019</v>
      </c>
      <c r="AE226" s="197">
        <f t="shared" si="36"/>
        <v>192.10084033613444</v>
      </c>
      <c r="AF226" s="197">
        <f t="shared" si="39"/>
        <v>2913.5376535355958</v>
      </c>
    </row>
    <row r="227" spans="1:32">
      <c r="A227" s="236">
        <v>2011</v>
      </c>
      <c r="B227" s="236">
        <v>4</v>
      </c>
      <c r="C227" s="236">
        <v>14</v>
      </c>
      <c r="D227" s="236">
        <v>4.4000000000000004</v>
      </c>
      <c r="E227" s="236"/>
      <c r="F227" s="236"/>
      <c r="G227" s="236"/>
      <c r="H227" s="238">
        <f t="shared" si="40"/>
        <v>78.600000000000023</v>
      </c>
      <c r="I227" s="236">
        <v>2435</v>
      </c>
      <c r="J227" s="236">
        <v>0</v>
      </c>
      <c r="K227" s="236">
        <v>13.7</v>
      </c>
      <c r="L227" s="236">
        <v>6.3</v>
      </c>
      <c r="M227" s="236">
        <v>20.3</v>
      </c>
      <c r="N227" s="237">
        <v>40647</v>
      </c>
      <c r="O227" s="197">
        <f t="shared" si="41"/>
        <v>2119.9000000000005</v>
      </c>
      <c r="R227" s="197">
        <f t="shared" si="43"/>
        <v>345.6</v>
      </c>
      <c r="S227" s="197">
        <f t="shared" si="37"/>
        <v>199602</v>
      </c>
      <c r="V227" s="197">
        <f t="shared" si="44"/>
        <v>42286</v>
      </c>
      <c r="W227" s="197">
        <f t="shared" si="33"/>
        <v>297.29999999999984</v>
      </c>
      <c r="Z227" s="197">
        <f t="shared" si="42"/>
        <v>18.399999999999999</v>
      </c>
      <c r="AA227" s="197">
        <f t="shared" si="32"/>
        <v>35.800000000000011</v>
      </c>
      <c r="AB227" s="197">
        <f t="shared" si="34"/>
        <v>0</v>
      </c>
      <c r="AC227" s="197">
        <f t="shared" si="35"/>
        <v>0</v>
      </c>
      <c r="AD227" s="197">
        <f t="shared" si="38"/>
        <v>344.00000000000017</v>
      </c>
      <c r="AE227" s="197">
        <f t="shared" si="36"/>
        <v>177.73722627737226</v>
      </c>
      <c r="AF227" s="197">
        <f t="shared" si="39"/>
        <v>3091.2748798129683</v>
      </c>
    </row>
    <row r="228" spans="1:32">
      <c r="A228" s="236">
        <v>2011</v>
      </c>
      <c r="B228" s="236">
        <v>4</v>
      </c>
      <c r="C228" s="236">
        <v>15</v>
      </c>
      <c r="D228" s="236">
        <v>4</v>
      </c>
      <c r="E228" s="236"/>
      <c r="F228" s="236"/>
      <c r="G228" s="236"/>
      <c r="H228" s="238">
        <f t="shared" si="40"/>
        <v>82.600000000000023</v>
      </c>
      <c r="I228" s="236">
        <v>2446</v>
      </c>
      <c r="J228" s="236">
        <v>0</v>
      </c>
      <c r="K228" s="236">
        <v>12.9</v>
      </c>
      <c r="L228" s="236">
        <v>6.9</v>
      </c>
      <c r="M228" s="236">
        <v>18.600000000000001</v>
      </c>
      <c r="N228" s="237">
        <v>40648</v>
      </c>
      <c r="O228" s="197">
        <f t="shared" si="41"/>
        <v>2132.8000000000006</v>
      </c>
      <c r="R228" s="197">
        <f t="shared" si="43"/>
        <v>358.5</v>
      </c>
      <c r="S228" s="197">
        <f t="shared" si="37"/>
        <v>202048</v>
      </c>
      <c r="V228" s="197">
        <f t="shared" si="44"/>
        <v>44732</v>
      </c>
      <c r="W228" s="197">
        <f t="shared" si="33"/>
        <v>297.29999999999984</v>
      </c>
      <c r="Z228" s="197">
        <f t="shared" si="42"/>
        <v>18.399999999999999</v>
      </c>
      <c r="AA228" s="197">
        <f t="shared" si="32"/>
        <v>35.800000000000011</v>
      </c>
      <c r="AB228" s="197">
        <f t="shared" si="34"/>
        <v>0</v>
      </c>
      <c r="AC228" s="197">
        <f t="shared" si="35"/>
        <v>0</v>
      </c>
      <c r="AD228" s="197">
        <f t="shared" si="38"/>
        <v>348.00000000000017</v>
      </c>
      <c r="AE228" s="197">
        <f t="shared" si="36"/>
        <v>189.6124031007752</v>
      </c>
      <c r="AF228" s="197">
        <f t="shared" si="39"/>
        <v>3280.8872829137435</v>
      </c>
    </row>
    <row r="229" spans="1:32">
      <c r="A229" s="236">
        <v>2011</v>
      </c>
      <c r="B229" s="236">
        <v>4</v>
      </c>
      <c r="C229" s="236">
        <v>16</v>
      </c>
      <c r="D229" s="236">
        <v>3.6</v>
      </c>
      <c r="E229" s="236"/>
      <c r="F229" s="236"/>
      <c r="G229" s="236"/>
      <c r="H229" s="238">
        <f t="shared" si="40"/>
        <v>86.200000000000017</v>
      </c>
      <c r="I229" s="236">
        <v>2467</v>
      </c>
      <c r="J229" s="236">
        <v>0</v>
      </c>
      <c r="K229" s="236">
        <v>13.4</v>
      </c>
      <c r="L229" s="236">
        <v>4.9000000000000004</v>
      </c>
      <c r="M229" s="236">
        <v>20.9</v>
      </c>
      <c r="N229" s="237">
        <v>40649</v>
      </c>
      <c r="O229" s="197">
        <f t="shared" si="41"/>
        <v>2146.2000000000007</v>
      </c>
      <c r="R229" s="197">
        <f t="shared" si="43"/>
        <v>371.9</v>
      </c>
      <c r="S229" s="197">
        <f t="shared" si="37"/>
        <v>204515</v>
      </c>
      <c r="V229" s="197">
        <f t="shared" si="44"/>
        <v>47199</v>
      </c>
      <c r="W229" s="197">
        <f t="shared" si="33"/>
        <v>297.29999999999984</v>
      </c>
      <c r="Z229" s="197">
        <f t="shared" si="42"/>
        <v>18.399999999999999</v>
      </c>
      <c r="AA229" s="197">
        <f t="shared" si="32"/>
        <v>35.800000000000011</v>
      </c>
      <c r="AB229" s="197">
        <f t="shared" si="34"/>
        <v>0</v>
      </c>
      <c r="AC229" s="197">
        <f t="shared" si="35"/>
        <v>0</v>
      </c>
      <c r="AD229" s="197">
        <f t="shared" si="38"/>
        <v>351.60000000000019</v>
      </c>
      <c r="AE229" s="197">
        <f t="shared" si="36"/>
        <v>184.1044776119403</v>
      </c>
      <c r="AF229" s="197">
        <f t="shared" si="39"/>
        <v>3464.9917605256837</v>
      </c>
    </row>
    <row r="230" spans="1:32">
      <c r="A230" s="236">
        <v>2011</v>
      </c>
      <c r="B230" s="236">
        <v>4</v>
      </c>
      <c r="C230" s="236">
        <v>17</v>
      </c>
      <c r="D230" s="236">
        <v>4.4000000000000004</v>
      </c>
      <c r="E230" s="236"/>
      <c r="F230" s="236"/>
      <c r="G230" s="236"/>
      <c r="H230" s="238">
        <f t="shared" si="40"/>
        <v>90.600000000000023</v>
      </c>
      <c r="I230" s="236">
        <v>2474</v>
      </c>
      <c r="J230" s="236">
        <v>0</v>
      </c>
      <c r="K230" s="236">
        <v>14.8</v>
      </c>
      <c r="L230" s="236">
        <v>6</v>
      </c>
      <c r="M230" s="236">
        <v>22.6</v>
      </c>
      <c r="N230" s="237">
        <v>40650</v>
      </c>
      <c r="O230" s="197">
        <f t="shared" si="41"/>
        <v>2161.0000000000009</v>
      </c>
      <c r="R230" s="197">
        <f t="shared" si="43"/>
        <v>386.7</v>
      </c>
      <c r="S230" s="197">
        <f t="shared" si="37"/>
        <v>206989</v>
      </c>
      <c r="V230" s="197">
        <f t="shared" si="44"/>
        <v>49673</v>
      </c>
      <c r="W230" s="197">
        <f t="shared" si="33"/>
        <v>297.29999999999984</v>
      </c>
      <c r="Z230" s="197">
        <f t="shared" si="42"/>
        <v>18.399999999999999</v>
      </c>
      <c r="AA230" s="197">
        <f t="shared" si="32"/>
        <v>35.800000000000011</v>
      </c>
      <c r="AB230" s="197">
        <f t="shared" si="34"/>
        <v>0</v>
      </c>
      <c r="AC230" s="197">
        <f t="shared" si="35"/>
        <v>0</v>
      </c>
      <c r="AD230" s="197">
        <f t="shared" si="38"/>
        <v>356.00000000000017</v>
      </c>
      <c r="AE230" s="197">
        <f t="shared" si="36"/>
        <v>167.16216216216216</v>
      </c>
      <c r="AF230" s="197">
        <f t="shared" si="39"/>
        <v>3632.1539226878458</v>
      </c>
    </row>
    <row r="231" spans="1:32">
      <c r="A231" s="236">
        <v>2011</v>
      </c>
      <c r="B231" s="236">
        <v>4</v>
      </c>
      <c r="C231" s="236">
        <v>18</v>
      </c>
      <c r="D231" s="236">
        <v>5.4</v>
      </c>
      <c r="E231" s="236"/>
      <c r="F231" s="236"/>
      <c r="G231" s="236"/>
      <c r="H231" s="238">
        <f t="shared" si="40"/>
        <v>96.000000000000028</v>
      </c>
      <c r="I231" s="236">
        <v>2474</v>
      </c>
      <c r="J231" s="236">
        <v>0</v>
      </c>
      <c r="K231" s="236">
        <v>16.100000000000001</v>
      </c>
      <c r="L231" s="236">
        <v>11.1</v>
      </c>
      <c r="M231" s="236">
        <v>22.8</v>
      </c>
      <c r="N231" s="237">
        <v>40651</v>
      </c>
      <c r="O231" s="197">
        <f t="shared" si="41"/>
        <v>2177.1000000000008</v>
      </c>
      <c r="R231" s="197">
        <f t="shared" si="43"/>
        <v>402.8</v>
      </c>
      <c r="S231" s="197">
        <f t="shared" si="37"/>
        <v>209463</v>
      </c>
      <c r="V231" s="197">
        <f t="shared" si="44"/>
        <v>52147</v>
      </c>
      <c r="W231" s="197">
        <f t="shared" si="33"/>
        <v>297.29999999999984</v>
      </c>
      <c r="Z231" s="197">
        <f t="shared" si="42"/>
        <v>18.399999999999999</v>
      </c>
      <c r="AA231" s="197">
        <f t="shared" si="32"/>
        <v>35.800000000000011</v>
      </c>
      <c r="AB231" s="197">
        <f t="shared" si="34"/>
        <v>0</v>
      </c>
      <c r="AC231" s="197">
        <f t="shared" si="35"/>
        <v>0</v>
      </c>
      <c r="AD231" s="197">
        <f t="shared" si="38"/>
        <v>361.40000000000015</v>
      </c>
      <c r="AE231" s="197">
        <f t="shared" si="36"/>
        <v>153.66459627329192</v>
      </c>
      <c r="AF231" s="197">
        <f t="shared" si="39"/>
        <v>3785.8185189611377</v>
      </c>
    </row>
    <row r="232" spans="1:32">
      <c r="A232" s="236">
        <v>2011</v>
      </c>
      <c r="B232" s="236">
        <v>4</v>
      </c>
      <c r="C232" s="236">
        <v>19</v>
      </c>
      <c r="D232" s="236">
        <v>5.4</v>
      </c>
      <c r="E232" s="236"/>
      <c r="F232" s="236"/>
      <c r="G232" s="236"/>
      <c r="H232" s="238">
        <f t="shared" si="40"/>
        <v>101.40000000000003</v>
      </c>
      <c r="I232" s="236">
        <v>2050</v>
      </c>
      <c r="J232" s="236">
        <v>0</v>
      </c>
      <c r="K232" s="236">
        <v>14.9</v>
      </c>
      <c r="L232" s="236">
        <v>9.9</v>
      </c>
      <c r="M232" s="236">
        <v>20.2</v>
      </c>
      <c r="N232" s="237">
        <v>40652</v>
      </c>
      <c r="O232" s="197">
        <f t="shared" si="41"/>
        <v>2192.0000000000009</v>
      </c>
      <c r="R232" s="197">
        <f t="shared" si="43"/>
        <v>417.7</v>
      </c>
      <c r="S232" s="197">
        <f t="shared" si="37"/>
        <v>211513</v>
      </c>
      <c r="V232" s="197">
        <f t="shared" si="44"/>
        <v>54197</v>
      </c>
      <c r="W232" s="197">
        <f t="shared" si="33"/>
        <v>297.29999999999984</v>
      </c>
      <c r="Z232" s="197">
        <f t="shared" si="42"/>
        <v>18.399999999999999</v>
      </c>
      <c r="AA232" s="197">
        <f t="shared" si="32"/>
        <v>35.800000000000011</v>
      </c>
      <c r="AB232" s="197">
        <f t="shared" si="34"/>
        <v>0</v>
      </c>
      <c r="AC232" s="197">
        <f t="shared" si="35"/>
        <v>0</v>
      </c>
      <c r="AD232" s="197">
        <f t="shared" si="38"/>
        <v>366.80000000000013</v>
      </c>
      <c r="AE232" s="197">
        <f t="shared" si="36"/>
        <v>137.58389261744966</v>
      </c>
      <c r="AF232" s="197">
        <f t="shared" si="39"/>
        <v>3923.4024115785874</v>
      </c>
    </row>
    <row r="233" spans="1:32">
      <c r="A233" s="236">
        <v>2011</v>
      </c>
      <c r="B233" s="236">
        <v>4</v>
      </c>
      <c r="C233" s="236">
        <v>20</v>
      </c>
      <c r="D233" s="236">
        <v>6.1</v>
      </c>
      <c r="E233" s="236"/>
      <c r="F233" s="236"/>
      <c r="G233" s="236"/>
      <c r="H233" s="238">
        <f t="shared" si="40"/>
        <v>107.50000000000003</v>
      </c>
      <c r="I233" s="236">
        <v>2412</v>
      </c>
      <c r="J233" s="236">
        <v>0.4</v>
      </c>
      <c r="K233" s="236">
        <v>15.8</v>
      </c>
      <c r="L233" s="236">
        <v>11.6</v>
      </c>
      <c r="M233" s="236">
        <v>21.1</v>
      </c>
      <c r="N233" s="237">
        <v>40653</v>
      </c>
      <c r="O233" s="197">
        <f t="shared" si="41"/>
        <v>2207.8000000000011</v>
      </c>
      <c r="R233" s="197">
        <f t="shared" si="43"/>
        <v>433.5</v>
      </c>
      <c r="S233" s="197">
        <f t="shared" si="37"/>
        <v>213925</v>
      </c>
      <c r="V233" s="197">
        <f t="shared" si="44"/>
        <v>56609</v>
      </c>
      <c r="W233" s="197">
        <f t="shared" si="33"/>
        <v>297.69999999999982</v>
      </c>
      <c r="Z233" s="197">
        <f t="shared" si="42"/>
        <v>18.799999999999997</v>
      </c>
      <c r="AA233" s="197">
        <f t="shared" si="32"/>
        <v>36.20000000000001</v>
      </c>
      <c r="AB233" s="197">
        <f t="shared" si="34"/>
        <v>0</v>
      </c>
      <c r="AC233" s="197">
        <f t="shared" si="35"/>
        <v>0</v>
      </c>
      <c r="AD233" s="197">
        <f t="shared" si="38"/>
        <v>372.90000000000015</v>
      </c>
      <c r="AE233" s="197">
        <f t="shared" si="36"/>
        <v>152.65822784810126</v>
      </c>
      <c r="AF233" s="197">
        <f t="shared" si="39"/>
        <v>4076.0606394266888</v>
      </c>
    </row>
    <row r="234" spans="1:32">
      <c r="A234" s="236">
        <v>2011</v>
      </c>
      <c r="B234" s="236">
        <v>4</v>
      </c>
      <c r="C234" s="236">
        <v>21</v>
      </c>
      <c r="D234" s="236">
        <v>6.2</v>
      </c>
      <c r="E234" s="236"/>
      <c r="F234" s="236"/>
      <c r="G234" s="236"/>
      <c r="H234" s="238">
        <f t="shared" si="40"/>
        <v>113.70000000000003</v>
      </c>
      <c r="I234" s="236">
        <v>2485</v>
      </c>
      <c r="J234" s="236">
        <v>0</v>
      </c>
      <c r="K234" s="236">
        <v>16.7</v>
      </c>
      <c r="L234" s="236">
        <v>12.7</v>
      </c>
      <c r="M234" s="236">
        <v>22</v>
      </c>
      <c r="N234" s="237">
        <v>40654</v>
      </c>
      <c r="O234" s="197">
        <f t="shared" si="41"/>
        <v>2224.5000000000009</v>
      </c>
      <c r="R234" s="197">
        <f t="shared" si="43"/>
        <v>450.2</v>
      </c>
      <c r="S234" s="197">
        <f t="shared" si="37"/>
        <v>216410</v>
      </c>
      <c r="V234" s="197">
        <f t="shared" si="44"/>
        <v>59094</v>
      </c>
      <c r="W234" s="197">
        <f t="shared" si="33"/>
        <v>297.69999999999982</v>
      </c>
      <c r="Z234" s="197">
        <f t="shared" si="42"/>
        <v>18.799999999999997</v>
      </c>
      <c r="AA234" s="197">
        <f t="shared" si="32"/>
        <v>36.20000000000001</v>
      </c>
      <c r="AB234" s="197">
        <f t="shared" si="34"/>
        <v>0</v>
      </c>
      <c r="AC234" s="197">
        <f t="shared" si="35"/>
        <v>0</v>
      </c>
      <c r="AD234" s="197">
        <f t="shared" si="38"/>
        <v>379.10000000000014</v>
      </c>
      <c r="AE234" s="197">
        <f t="shared" si="36"/>
        <v>148.80239520958085</v>
      </c>
      <c r="AF234" s="197">
        <f t="shared" si="39"/>
        <v>4224.8630346362697</v>
      </c>
    </row>
    <row r="235" spans="1:32">
      <c r="A235" s="236">
        <v>2011</v>
      </c>
      <c r="B235" s="236">
        <v>4</v>
      </c>
      <c r="C235" s="236">
        <v>22</v>
      </c>
      <c r="D235" s="236">
        <v>6.3</v>
      </c>
      <c r="E235" s="236"/>
      <c r="F235" s="236"/>
      <c r="G235" s="236"/>
      <c r="H235" s="238">
        <f t="shared" si="40"/>
        <v>120.00000000000003</v>
      </c>
      <c r="I235" s="236">
        <v>2146</v>
      </c>
      <c r="J235" s="236">
        <v>0</v>
      </c>
      <c r="K235" s="236">
        <v>15.6</v>
      </c>
      <c r="L235" s="236">
        <v>12.9</v>
      </c>
      <c r="M235" s="236">
        <v>20</v>
      </c>
      <c r="N235" s="237">
        <v>40655</v>
      </c>
      <c r="O235" s="197">
        <f t="shared" si="41"/>
        <v>2240.1000000000008</v>
      </c>
      <c r="R235" s="197">
        <f t="shared" si="43"/>
        <v>465.8</v>
      </c>
      <c r="S235" s="197">
        <f t="shared" si="37"/>
        <v>218556</v>
      </c>
      <c r="V235" s="197">
        <f t="shared" si="44"/>
        <v>61240</v>
      </c>
      <c r="W235" s="197">
        <f t="shared" si="33"/>
        <v>297.69999999999982</v>
      </c>
      <c r="Z235" s="197">
        <f t="shared" si="42"/>
        <v>18.799999999999997</v>
      </c>
      <c r="AA235" s="197">
        <f t="shared" si="32"/>
        <v>36.20000000000001</v>
      </c>
      <c r="AB235" s="197">
        <f t="shared" si="34"/>
        <v>0</v>
      </c>
      <c r="AC235" s="197">
        <f t="shared" si="35"/>
        <v>0</v>
      </c>
      <c r="AD235" s="197">
        <f t="shared" si="38"/>
        <v>385.40000000000015</v>
      </c>
      <c r="AE235" s="197">
        <f t="shared" si="36"/>
        <v>137.56410256410257</v>
      </c>
      <c r="AF235" s="197">
        <f t="shared" si="39"/>
        <v>4362.4271372003723</v>
      </c>
    </row>
    <row r="236" spans="1:32">
      <c r="A236" s="236">
        <v>2011</v>
      </c>
      <c r="B236" s="236">
        <v>4</v>
      </c>
      <c r="C236" s="236">
        <v>23</v>
      </c>
      <c r="D236" s="236">
        <v>1.9</v>
      </c>
      <c r="E236" s="236"/>
      <c r="F236" s="236"/>
      <c r="G236" s="236"/>
      <c r="H236" s="238">
        <f t="shared" si="40"/>
        <v>121.90000000000003</v>
      </c>
      <c r="I236" s="236">
        <v>785</v>
      </c>
      <c r="J236" s="236">
        <v>4.2</v>
      </c>
      <c r="K236" s="236">
        <v>13.4</v>
      </c>
      <c r="L236" s="236">
        <v>11.4</v>
      </c>
      <c r="M236" s="236">
        <v>17.399999999999999</v>
      </c>
      <c r="N236" s="237">
        <v>40656</v>
      </c>
      <c r="O236" s="197">
        <f t="shared" si="41"/>
        <v>2253.5000000000009</v>
      </c>
      <c r="R236" s="197">
        <f t="shared" si="43"/>
        <v>479.2</v>
      </c>
      <c r="S236" s="197">
        <f t="shared" si="37"/>
        <v>219341</v>
      </c>
      <c r="V236" s="197">
        <f t="shared" si="44"/>
        <v>62025</v>
      </c>
      <c r="W236" s="197">
        <f t="shared" si="33"/>
        <v>301.89999999999981</v>
      </c>
      <c r="Z236" s="197">
        <f t="shared" si="42"/>
        <v>22.999999999999996</v>
      </c>
      <c r="AA236" s="197">
        <f t="shared" si="32"/>
        <v>40.400000000000013</v>
      </c>
      <c r="AB236" s="197">
        <f t="shared" si="34"/>
        <v>0</v>
      </c>
      <c r="AC236" s="197">
        <f t="shared" si="35"/>
        <v>0</v>
      </c>
      <c r="AD236" s="197">
        <f t="shared" si="38"/>
        <v>387.30000000000013</v>
      </c>
      <c r="AE236" s="197">
        <f t="shared" si="36"/>
        <v>58.582089552238806</v>
      </c>
      <c r="AF236" s="197">
        <f t="shared" si="39"/>
        <v>4421.0092267526106</v>
      </c>
    </row>
    <row r="237" spans="1:32">
      <c r="A237" s="236">
        <v>2011</v>
      </c>
      <c r="B237" s="236">
        <v>4</v>
      </c>
      <c r="C237" s="236">
        <v>24</v>
      </c>
      <c r="D237" s="236">
        <v>4.3</v>
      </c>
      <c r="E237" s="236"/>
      <c r="F237" s="236"/>
      <c r="G237" s="236"/>
      <c r="H237" s="238">
        <f t="shared" si="40"/>
        <v>126.20000000000003</v>
      </c>
      <c r="I237" s="236">
        <v>1764</v>
      </c>
      <c r="J237" s="236">
        <v>0</v>
      </c>
      <c r="K237" s="236">
        <v>16.3</v>
      </c>
      <c r="L237" s="236">
        <v>12.5</v>
      </c>
      <c r="M237" s="236">
        <v>21.7</v>
      </c>
      <c r="N237" s="237">
        <v>40657</v>
      </c>
      <c r="O237" s="197">
        <f t="shared" si="41"/>
        <v>2269.8000000000011</v>
      </c>
      <c r="R237" s="197">
        <f t="shared" si="43"/>
        <v>495.5</v>
      </c>
      <c r="S237" s="197">
        <f t="shared" si="37"/>
        <v>221105</v>
      </c>
      <c r="V237" s="197">
        <f t="shared" si="44"/>
        <v>63789</v>
      </c>
      <c r="W237" s="197">
        <f t="shared" si="33"/>
        <v>301.89999999999981</v>
      </c>
      <c r="Z237" s="197">
        <f t="shared" si="42"/>
        <v>22.999999999999996</v>
      </c>
      <c r="AA237" s="197">
        <f t="shared" si="32"/>
        <v>40.400000000000013</v>
      </c>
      <c r="AB237" s="197">
        <f t="shared" si="34"/>
        <v>0</v>
      </c>
      <c r="AC237" s="197">
        <f t="shared" si="35"/>
        <v>0</v>
      </c>
      <c r="AD237" s="197">
        <f t="shared" si="38"/>
        <v>391.60000000000014</v>
      </c>
      <c r="AE237" s="197">
        <f t="shared" si="36"/>
        <v>108.22085889570552</v>
      </c>
      <c r="AF237" s="197">
        <f t="shared" si="39"/>
        <v>4529.2300856483162</v>
      </c>
    </row>
    <row r="238" spans="1:32">
      <c r="A238" s="236">
        <v>2011</v>
      </c>
      <c r="B238" s="236">
        <v>4</v>
      </c>
      <c r="C238" s="236">
        <v>25</v>
      </c>
      <c r="D238" s="236">
        <v>4.2</v>
      </c>
      <c r="E238" s="236"/>
      <c r="F238" s="236"/>
      <c r="G238" s="236"/>
      <c r="H238" s="238">
        <f t="shared" si="40"/>
        <v>130.40000000000003</v>
      </c>
      <c r="I238" s="236">
        <v>1786</v>
      </c>
      <c r="J238" s="236">
        <v>29.7</v>
      </c>
      <c r="K238" s="236">
        <v>15.8</v>
      </c>
      <c r="L238" s="236">
        <v>11.3</v>
      </c>
      <c r="M238" s="236">
        <v>23</v>
      </c>
      <c r="N238" s="237">
        <v>40658</v>
      </c>
      <c r="O238" s="197">
        <f t="shared" si="41"/>
        <v>2285.6000000000013</v>
      </c>
      <c r="R238" s="197">
        <f t="shared" si="43"/>
        <v>511.3</v>
      </c>
      <c r="S238" s="197">
        <f t="shared" si="37"/>
        <v>222891</v>
      </c>
      <c r="V238" s="197">
        <f t="shared" si="44"/>
        <v>65575</v>
      </c>
      <c r="W238" s="197">
        <f t="shared" si="33"/>
        <v>331.5999999999998</v>
      </c>
      <c r="Z238" s="197">
        <f t="shared" si="42"/>
        <v>52.699999999999996</v>
      </c>
      <c r="AA238" s="197">
        <f t="shared" si="32"/>
        <v>70.100000000000009</v>
      </c>
      <c r="AB238" s="197">
        <f t="shared" si="34"/>
        <v>0</v>
      </c>
      <c r="AC238" s="197">
        <f t="shared" si="35"/>
        <v>0</v>
      </c>
      <c r="AD238" s="197">
        <f t="shared" si="38"/>
        <v>395.80000000000013</v>
      </c>
      <c r="AE238" s="197">
        <f t="shared" si="36"/>
        <v>113.03797468354431</v>
      </c>
      <c r="AF238" s="197">
        <f t="shared" si="39"/>
        <v>4642.2680603318604</v>
      </c>
    </row>
    <row r="239" spans="1:32">
      <c r="A239" s="236">
        <v>2011</v>
      </c>
      <c r="B239" s="236">
        <v>4</v>
      </c>
      <c r="C239" s="236">
        <v>26</v>
      </c>
      <c r="D239" s="236">
        <v>5.2</v>
      </c>
      <c r="E239" s="236"/>
      <c r="F239" s="236"/>
      <c r="G239" s="236"/>
      <c r="H239" s="238">
        <f t="shared" si="40"/>
        <v>135.60000000000002</v>
      </c>
      <c r="I239" s="236">
        <v>2091</v>
      </c>
      <c r="J239" s="236">
        <v>0</v>
      </c>
      <c r="K239" s="236">
        <v>17.2</v>
      </c>
      <c r="L239" s="236">
        <v>13.2</v>
      </c>
      <c r="M239" s="236">
        <v>23</v>
      </c>
      <c r="N239" s="237">
        <v>40659</v>
      </c>
      <c r="O239" s="197">
        <f t="shared" si="41"/>
        <v>2302.8000000000011</v>
      </c>
      <c r="R239" s="197">
        <f t="shared" si="43"/>
        <v>528.5</v>
      </c>
      <c r="S239" s="197">
        <f t="shared" si="37"/>
        <v>224982</v>
      </c>
      <c r="V239" s="197">
        <f t="shared" si="44"/>
        <v>67666</v>
      </c>
      <c r="W239" s="197">
        <f t="shared" si="33"/>
        <v>331.5999999999998</v>
      </c>
      <c r="Z239" s="197">
        <f t="shared" si="42"/>
        <v>52.699999999999996</v>
      </c>
      <c r="AA239" s="197">
        <f t="shared" si="32"/>
        <v>70.100000000000009</v>
      </c>
      <c r="AB239" s="197">
        <f t="shared" si="34"/>
        <v>0</v>
      </c>
      <c r="AC239" s="197">
        <f t="shared" si="35"/>
        <v>0</v>
      </c>
      <c r="AD239" s="197">
        <f t="shared" si="38"/>
        <v>401.00000000000011</v>
      </c>
      <c r="AE239" s="197">
        <f t="shared" si="36"/>
        <v>121.56976744186046</v>
      </c>
      <c r="AF239" s="197">
        <f t="shared" si="39"/>
        <v>4763.8378277737211</v>
      </c>
    </row>
    <row r="240" spans="1:32">
      <c r="A240" s="236">
        <v>2011</v>
      </c>
      <c r="B240" s="236">
        <v>4</v>
      </c>
      <c r="C240" s="236">
        <v>27</v>
      </c>
      <c r="D240" s="236">
        <v>4.9000000000000004</v>
      </c>
      <c r="E240" s="236"/>
      <c r="F240" s="236"/>
      <c r="G240" s="236"/>
      <c r="H240" s="238">
        <f t="shared" si="40"/>
        <v>140.50000000000003</v>
      </c>
      <c r="I240" s="236">
        <v>2213</v>
      </c>
      <c r="J240" s="236">
        <v>0</v>
      </c>
      <c r="K240" s="236">
        <v>16.8</v>
      </c>
      <c r="L240" s="236">
        <v>12.2</v>
      </c>
      <c r="M240" s="236">
        <v>22.5</v>
      </c>
      <c r="N240" s="237">
        <v>40660</v>
      </c>
      <c r="O240" s="197">
        <f t="shared" si="41"/>
        <v>2319.6000000000013</v>
      </c>
      <c r="R240" s="197">
        <f t="shared" si="43"/>
        <v>545.29999999999995</v>
      </c>
      <c r="S240" s="197">
        <f t="shared" si="37"/>
        <v>227195</v>
      </c>
      <c r="V240" s="197">
        <f t="shared" si="44"/>
        <v>69879</v>
      </c>
      <c r="W240" s="197">
        <f t="shared" si="33"/>
        <v>331.5999999999998</v>
      </c>
      <c r="Z240" s="197">
        <f t="shared" si="42"/>
        <v>52.699999999999996</v>
      </c>
      <c r="AA240" s="197">
        <f t="shared" si="32"/>
        <v>70.100000000000009</v>
      </c>
      <c r="AB240" s="197">
        <f t="shared" si="34"/>
        <v>0</v>
      </c>
      <c r="AC240" s="197">
        <f t="shared" si="35"/>
        <v>0</v>
      </c>
      <c r="AD240" s="197">
        <f t="shared" si="38"/>
        <v>405.90000000000009</v>
      </c>
      <c r="AE240" s="197">
        <f t="shared" si="36"/>
        <v>131.72619047619048</v>
      </c>
      <c r="AF240" s="197">
        <f t="shared" si="39"/>
        <v>4895.5640182499119</v>
      </c>
    </row>
    <row r="241" spans="1:32">
      <c r="A241" s="236">
        <v>2011</v>
      </c>
      <c r="B241" s="236">
        <v>4</v>
      </c>
      <c r="C241" s="236">
        <v>28</v>
      </c>
      <c r="D241" s="236">
        <v>4.3</v>
      </c>
      <c r="E241" s="236"/>
      <c r="F241" s="236"/>
      <c r="G241" s="236"/>
      <c r="H241" s="238">
        <f t="shared" si="40"/>
        <v>144.80000000000004</v>
      </c>
      <c r="I241" s="236">
        <v>2446</v>
      </c>
      <c r="J241" s="236">
        <v>0</v>
      </c>
      <c r="K241" s="236">
        <v>15.6</v>
      </c>
      <c r="L241" s="236">
        <v>9.8000000000000007</v>
      </c>
      <c r="M241" s="236">
        <v>21.6</v>
      </c>
      <c r="N241" s="237">
        <v>40661</v>
      </c>
      <c r="O241" s="197">
        <f t="shared" si="41"/>
        <v>2335.2000000000012</v>
      </c>
      <c r="R241" s="197">
        <f t="shared" si="43"/>
        <v>560.9</v>
      </c>
      <c r="S241" s="197">
        <f t="shared" si="37"/>
        <v>229641</v>
      </c>
      <c r="V241" s="197">
        <f t="shared" si="44"/>
        <v>72325</v>
      </c>
      <c r="W241" s="197">
        <f t="shared" si="33"/>
        <v>331.5999999999998</v>
      </c>
      <c r="Z241" s="197">
        <f t="shared" si="42"/>
        <v>52.699999999999996</v>
      </c>
      <c r="AA241" s="197">
        <f t="shared" si="32"/>
        <v>70.100000000000009</v>
      </c>
      <c r="AB241" s="197">
        <f t="shared" si="34"/>
        <v>0</v>
      </c>
      <c r="AC241" s="197">
        <f t="shared" si="35"/>
        <v>0</v>
      </c>
      <c r="AD241" s="197">
        <f t="shared" si="38"/>
        <v>410.2000000000001</v>
      </c>
      <c r="AE241" s="197">
        <f t="shared" si="36"/>
        <v>156.7948717948718</v>
      </c>
      <c r="AF241" s="197">
        <f t="shared" si="39"/>
        <v>5052.3588900447839</v>
      </c>
    </row>
    <row r="242" spans="1:32">
      <c r="A242" s="197">
        <v>2011</v>
      </c>
      <c r="B242" s="197">
        <v>4</v>
      </c>
      <c r="C242" s="197">
        <v>29</v>
      </c>
      <c r="D242" s="197">
        <v>4.0999999999999996</v>
      </c>
      <c r="H242" s="238">
        <f t="shared" si="40"/>
        <v>148.90000000000003</v>
      </c>
      <c r="I242" s="197">
        <v>2318</v>
      </c>
      <c r="J242" s="197">
        <v>0</v>
      </c>
      <c r="K242" s="197">
        <v>15.2</v>
      </c>
      <c r="L242" s="197">
        <v>8.3000000000000007</v>
      </c>
      <c r="M242" s="197">
        <v>21.5</v>
      </c>
      <c r="N242" s="233">
        <v>40662</v>
      </c>
      <c r="O242" s="197">
        <f t="shared" si="41"/>
        <v>2350.400000000001</v>
      </c>
      <c r="R242" s="197">
        <f t="shared" si="43"/>
        <v>576.1</v>
      </c>
      <c r="S242" s="197">
        <f t="shared" si="37"/>
        <v>231959</v>
      </c>
      <c r="V242" s="197">
        <f t="shared" si="44"/>
        <v>74643</v>
      </c>
      <c r="W242" s="197">
        <f t="shared" si="33"/>
        <v>331.5999999999998</v>
      </c>
      <c r="Z242" s="197">
        <f t="shared" si="42"/>
        <v>52.699999999999996</v>
      </c>
      <c r="AA242" s="197">
        <f t="shared" si="32"/>
        <v>70.100000000000009</v>
      </c>
      <c r="AB242" s="197">
        <f t="shared" si="34"/>
        <v>0</v>
      </c>
      <c r="AC242" s="197">
        <f t="shared" si="35"/>
        <v>0</v>
      </c>
      <c r="AD242" s="197">
        <f t="shared" si="38"/>
        <v>414.30000000000013</v>
      </c>
      <c r="AE242" s="197">
        <f t="shared" si="36"/>
        <v>152.5</v>
      </c>
      <c r="AF242" s="197">
        <f t="shared" si="39"/>
        <v>5204.8588900447839</v>
      </c>
    </row>
    <row r="243" spans="1:32">
      <c r="A243" s="197">
        <v>2011</v>
      </c>
      <c r="B243" s="197">
        <v>4</v>
      </c>
      <c r="C243" s="197">
        <v>30</v>
      </c>
      <c r="D243" s="197">
        <v>5.4</v>
      </c>
      <c r="H243" s="238">
        <f t="shared" si="40"/>
        <v>154.30000000000004</v>
      </c>
      <c r="I243" s="197">
        <v>2639</v>
      </c>
      <c r="J243" s="197">
        <v>0</v>
      </c>
      <c r="K243" s="197">
        <v>16.7</v>
      </c>
      <c r="L243" s="197">
        <v>11.7</v>
      </c>
      <c r="M243" s="197">
        <v>21.9</v>
      </c>
      <c r="N243" s="233">
        <v>40663</v>
      </c>
      <c r="O243" s="197">
        <f t="shared" si="41"/>
        <v>2367.1000000000008</v>
      </c>
      <c r="R243" s="197">
        <f t="shared" si="43"/>
        <v>592.80000000000007</v>
      </c>
      <c r="S243" s="197">
        <f t="shared" si="37"/>
        <v>234598</v>
      </c>
      <c r="V243" s="197">
        <f t="shared" si="44"/>
        <v>77282</v>
      </c>
      <c r="W243" s="197">
        <f t="shared" si="33"/>
        <v>331.5999999999998</v>
      </c>
      <c r="Z243" s="197">
        <f t="shared" si="42"/>
        <v>52.699999999999996</v>
      </c>
      <c r="AA243" s="197">
        <f t="shared" si="32"/>
        <v>70.100000000000009</v>
      </c>
      <c r="AB243" s="197">
        <f t="shared" si="34"/>
        <v>0</v>
      </c>
      <c r="AC243" s="197">
        <f t="shared" si="35"/>
        <v>0</v>
      </c>
      <c r="AD243" s="197">
        <f t="shared" si="38"/>
        <v>419.7000000000001</v>
      </c>
      <c r="AE243" s="197">
        <f t="shared" si="36"/>
        <v>158.0239520958084</v>
      </c>
      <c r="AF243" s="197">
        <f t="shared" si="39"/>
        <v>5362.8828421405924</v>
      </c>
    </row>
    <row r="244" spans="1:32">
      <c r="A244" s="197">
        <v>2011</v>
      </c>
      <c r="B244" s="197">
        <v>5</v>
      </c>
      <c r="C244" s="197">
        <v>1</v>
      </c>
      <c r="D244" s="197">
        <v>5.4</v>
      </c>
      <c r="H244" s="238">
        <f t="shared" si="40"/>
        <v>159.70000000000005</v>
      </c>
      <c r="I244" s="197">
        <v>2415</v>
      </c>
      <c r="J244" s="197">
        <v>0</v>
      </c>
      <c r="K244" s="197">
        <v>17.399999999999999</v>
      </c>
      <c r="L244" s="197">
        <v>11.7</v>
      </c>
      <c r="M244" s="197">
        <v>23.5</v>
      </c>
      <c r="N244" s="233">
        <v>40664</v>
      </c>
      <c r="O244" s="197">
        <f t="shared" si="41"/>
        <v>2384.5000000000009</v>
      </c>
      <c r="R244" s="197">
        <f t="shared" si="43"/>
        <v>610.20000000000005</v>
      </c>
      <c r="S244" s="197">
        <f t="shared" si="37"/>
        <v>237013</v>
      </c>
      <c r="V244" s="197">
        <f t="shared" si="44"/>
        <v>79697</v>
      </c>
      <c r="W244" s="197">
        <f t="shared" si="33"/>
        <v>331.5999999999998</v>
      </c>
      <c r="Z244" s="197">
        <f t="shared" si="42"/>
        <v>52.699999999999996</v>
      </c>
      <c r="AA244" s="197">
        <f t="shared" si="32"/>
        <v>70.100000000000009</v>
      </c>
      <c r="AB244" s="197">
        <f t="shared" si="34"/>
        <v>0</v>
      </c>
      <c r="AC244" s="197">
        <f t="shared" si="35"/>
        <v>0</v>
      </c>
      <c r="AD244" s="197">
        <f t="shared" si="38"/>
        <v>425.10000000000008</v>
      </c>
      <c r="AE244" s="197">
        <f t="shared" si="36"/>
        <v>138.79310344827587</v>
      </c>
      <c r="AF244" s="197">
        <f t="shared" si="39"/>
        <v>5501.6759455888687</v>
      </c>
    </row>
    <row r="245" spans="1:32">
      <c r="A245" s="197">
        <v>2011</v>
      </c>
      <c r="B245" s="197">
        <v>5</v>
      </c>
      <c r="C245" s="197">
        <v>2</v>
      </c>
      <c r="D245" s="197">
        <v>4.5</v>
      </c>
      <c r="H245" s="238">
        <f t="shared" si="40"/>
        <v>164.20000000000005</v>
      </c>
      <c r="I245" s="197">
        <v>1709</v>
      </c>
      <c r="J245" s="197">
        <v>2.2000000000000002</v>
      </c>
      <c r="K245" s="197">
        <v>16.8</v>
      </c>
      <c r="L245" s="197">
        <v>13</v>
      </c>
      <c r="M245" s="197">
        <v>22.1</v>
      </c>
      <c r="N245" s="233">
        <v>40665</v>
      </c>
      <c r="O245" s="197">
        <f t="shared" si="41"/>
        <v>2401.3000000000011</v>
      </c>
      <c r="R245" s="197">
        <f t="shared" si="43"/>
        <v>627</v>
      </c>
      <c r="S245" s="197">
        <f t="shared" si="37"/>
        <v>238722</v>
      </c>
      <c r="V245" s="197">
        <f t="shared" si="44"/>
        <v>81406</v>
      </c>
      <c r="W245" s="197">
        <f t="shared" si="33"/>
        <v>333.79999999999978</v>
      </c>
      <c r="Z245" s="197">
        <f t="shared" si="42"/>
        <v>54.9</v>
      </c>
      <c r="AA245" s="197">
        <f t="shared" si="32"/>
        <v>72.300000000000011</v>
      </c>
      <c r="AB245" s="197">
        <f t="shared" si="34"/>
        <v>0</v>
      </c>
      <c r="AC245" s="197">
        <f t="shared" si="35"/>
        <v>0</v>
      </c>
      <c r="AD245" s="197">
        <f t="shared" si="38"/>
        <v>429.60000000000008</v>
      </c>
      <c r="AE245" s="197">
        <f t="shared" si="36"/>
        <v>101.72619047619047</v>
      </c>
      <c r="AF245" s="197">
        <f t="shared" si="39"/>
        <v>5603.4021360650595</v>
      </c>
    </row>
    <row r="246" spans="1:32">
      <c r="A246" s="197">
        <v>2011</v>
      </c>
      <c r="B246" s="197">
        <v>5</v>
      </c>
      <c r="C246" s="197">
        <v>3</v>
      </c>
      <c r="D246" s="197">
        <v>3</v>
      </c>
      <c r="H246" s="238">
        <f t="shared" si="40"/>
        <v>167.20000000000005</v>
      </c>
      <c r="I246" s="197">
        <v>1022</v>
      </c>
      <c r="J246" s="197">
        <v>2.4</v>
      </c>
      <c r="K246" s="197">
        <v>15.9</v>
      </c>
      <c r="L246" s="197">
        <v>13.2</v>
      </c>
      <c r="M246" s="197">
        <v>20.100000000000001</v>
      </c>
      <c r="N246" s="233">
        <v>40666</v>
      </c>
      <c r="O246" s="197">
        <f t="shared" si="41"/>
        <v>2417.2000000000012</v>
      </c>
      <c r="R246" s="197">
        <f t="shared" si="43"/>
        <v>642.9</v>
      </c>
      <c r="S246" s="197">
        <f t="shared" si="37"/>
        <v>239744</v>
      </c>
      <c r="V246" s="197">
        <f t="shared" si="44"/>
        <v>82428</v>
      </c>
      <c r="W246" s="197">
        <f t="shared" si="33"/>
        <v>336.19999999999976</v>
      </c>
      <c r="Z246" s="197">
        <f t="shared" si="42"/>
        <v>57.3</v>
      </c>
      <c r="AA246" s="197">
        <f t="shared" si="32"/>
        <v>74.700000000000017</v>
      </c>
      <c r="AB246" s="197">
        <f t="shared" si="34"/>
        <v>0</v>
      </c>
      <c r="AC246" s="197">
        <f t="shared" si="35"/>
        <v>0</v>
      </c>
      <c r="AD246" s="197">
        <f t="shared" si="38"/>
        <v>432.60000000000008</v>
      </c>
      <c r="AE246" s="197">
        <f t="shared" si="36"/>
        <v>64.276729559748432</v>
      </c>
      <c r="AF246" s="197">
        <f t="shared" si="39"/>
        <v>5667.6788656248082</v>
      </c>
    </row>
    <row r="247" spans="1:32">
      <c r="A247" s="197">
        <v>2011</v>
      </c>
      <c r="B247" s="197">
        <v>5</v>
      </c>
      <c r="C247" s="197">
        <v>4</v>
      </c>
      <c r="D247" s="197">
        <v>3.9</v>
      </c>
      <c r="H247" s="238">
        <f t="shared" si="40"/>
        <v>171.10000000000005</v>
      </c>
      <c r="I247" s="197">
        <v>1754</v>
      </c>
      <c r="J247" s="197">
        <v>0</v>
      </c>
      <c r="K247" s="197">
        <v>16</v>
      </c>
      <c r="L247" s="197">
        <v>11.6</v>
      </c>
      <c r="M247" s="197">
        <v>21.6</v>
      </c>
      <c r="N247" s="233">
        <v>40667</v>
      </c>
      <c r="O247" s="197">
        <f t="shared" si="41"/>
        <v>2433.2000000000012</v>
      </c>
      <c r="R247" s="197">
        <f t="shared" si="43"/>
        <v>658.9</v>
      </c>
      <c r="S247" s="197">
        <f t="shared" si="37"/>
        <v>241498</v>
      </c>
      <c r="V247" s="197">
        <f t="shared" si="44"/>
        <v>84182</v>
      </c>
      <c r="W247" s="197">
        <f t="shared" si="33"/>
        <v>336.19999999999976</v>
      </c>
      <c r="Z247" s="197">
        <f t="shared" si="42"/>
        <v>57.3</v>
      </c>
      <c r="AA247" s="197">
        <f t="shared" si="32"/>
        <v>74.700000000000017</v>
      </c>
      <c r="AB247" s="197">
        <f t="shared" si="34"/>
        <v>0</v>
      </c>
      <c r="AC247" s="197">
        <f t="shared" si="35"/>
        <v>0</v>
      </c>
      <c r="AD247" s="197">
        <f t="shared" si="38"/>
        <v>436.50000000000006</v>
      </c>
      <c r="AE247" s="197">
        <f t="shared" si="36"/>
        <v>109.625</v>
      </c>
      <c r="AF247" s="197">
        <f t="shared" si="39"/>
        <v>5777.3038656248082</v>
      </c>
    </row>
    <row r="248" spans="1:32">
      <c r="A248" s="197">
        <v>2011</v>
      </c>
      <c r="B248" s="197">
        <v>5</v>
      </c>
      <c r="C248" s="197">
        <v>5</v>
      </c>
      <c r="D248" s="197">
        <v>5.3</v>
      </c>
      <c r="H248" s="238">
        <f t="shared" si="40"/>
        <v>176.40000000000006</v>
      </c>
      <c r="I248" s="197">
        <v>2628</v>
      </c>
      <c r="J248" s="197">
        <v>0</v>
      </c>
      <c r="K248" s="197">
        <v>17.7</v>
      </c>
      <c r="L248" s="197">
        <v>10.3</v>
      </c>
      <c r="M248" s="197">
        <v>24.8</v>
      </c>
      <c r="N248" s="233">
        <v>40668</v>
      </c>
      <c r="O248" s="197">
        <f t="shared" si="41"/>
        <v>2450.900000000001</v>
      </c>
      <c r="R248" s="197">
        <f t="shared" si="43"/>
        <v>676.6</v>
      </c>
      <c r="S248" s="197">
        <f t="shared" si="37"/>
        <v>244126</v>
      </c>
      <c r="V248" s="197">
        <f t="shared" si="44"/>
        <v>86810</v>
      </c>
      <c r="W248" s="197">
        <f t="shared" si="33"/>
        <v>336.19999999999976</v>
      </c>
      <c r="Z248" s="197">
        <f t="shared" si="42"/>
        <v>57.3</v>
      </c>
      <c r="AA248" s="197">
        <f t="shared" si="32"/>
        <v>74.700000000000017</v>
      </c>
      <c r="AB248" s="197">
        <f t="shared" si="34"/>
        <v>0</v>
      </c>
      <c r="AC248" s="197">
        <f t="shared" si="35"/>
        <v>0</v>
      </c>
      <c r="AD248" s="197">
        <f t="shared" si="38"/>
        <v>441.80000000000007</v>
      </c>
      <c r="AE248" s="197">
        <f t="shared" si="36"/>
        <v>148.47457627118644</v>
      </c>
      <c r="AF248" s="197">
        <f t="shared" si="39"/>
        <v>5925.7784418959945</v>
      </c>
    </row>
    <row r="249" spans="1:32">
      <c r="A249" s="197">
        <v>2011</v>
      </c>
      <c r="B249" s="197">
        <v>5</v>
      </c>
      <c r="C249" s="197">
        <v>6</v>
      </c>
      <c r="D249" s="197">
        <v>6.4</v>
      </c>
      <c r="H249" s="238">
        <f t="shared" si="40"/>
        <v>182.80000000000007</v>
      </c>
      <c r="I249" s="197">
        <v>2509</v>
      </c>
      <c r="J249" s="197">
        <v>0</v>
      </c>
      <c r="K249" s="197">
        <v>18.2</v>
      </c>
      <c r="L249" s="197">
        <v>14.7</v>
      </c>
      <c r="M249" s="197">
        <v>22.5</v>
      </c>
      <c r="N249" s="233">
        <v>40669</v>
      </c>
      <c r="O249" s="197">
        <f t="shared" si="41"/>
        <v>2469.1000000000008</v>
      </c>
      <c r="R249" s="197">
        <f t="shared" si="43"/>
        <v>694.80000000000007</v>
      </c>
      <c r="S249" s="197">
        <f t="shared" si="37"/>
        <v>246635</v>
      </c>
      <c r="V249" s="197">
        <f t="shared" si="44"/>
        <v>89319</v>
      </c>
      <c r="W249" s="197">
        <f t="shared" si="33"/>
        <v>336.19999999999976</v>
      </c>
      <c r="Z249" s="197">
        <f t="shared" si="42"/>
        <v>57.3</v>
      </c>
      <c r="AA249" s="197">
        <f t="shared" si="32"/>
        <v>74.700000000000017</v>
      </c>
      <c r="AB249" s="197">
        <f t="shared" si="34"/>
        <v>0</v>
      </c>
      <c r="AC249" s="197">
        <f t="shared" si="35"/>
        <v>0</v>
      </c>
      <c r="AD249" s="197">
        <f t="shared" si="38"/>
        <v>448.20000000000005</v>
      </c>
      <c r="AE249" s="197">
        <f t="shared" si="36"/>
        <v>137.85714285714286</v>
      </c>
      <c r="AF249" s="197">
        <f t="shared" si="39"/>
        <v>6063.6355847531377</v>
      </c>
    </row>
    <row r="250" spans="1:32">
      <c r="A250" s="197">
        <v>2011</v>
      </c>
      <c r="B250" s="197">
        <v>5</v>
      </c>
      <c r="C250" s="197">
        <v>7</v>
      </c>
      <c r="D250" s="197">
        <v>3.7</v>
      </c>
      <c r="H250" s="238">
        <f t="shared" si="40"/>
        <v>186.50000000000006</v>
      </c>
      <c r="I250" s="197">
        <v>812</v>
      </c>
      <c r="J250" s="197">
        <v>0</v>
      </c>
      <c r="K250" s="197">
        <v>17</v>
      </c>
      <c r="L250" s="197">
        <v>15.9</v>
      </c>
      <c r="M250" s="197">
        <v>18.899999999999999</v>
      </c>
      <c r="N250" s="233">
        <v>40670</v>
      </c>
      <c r="O250" s="197">
        <f t="shared" si="41"/>
        <v>2486.1000000000008</v>
      </c>
      <c r="R250" s="197">
        <f t="shared" si="43"/>
        <v>711.80000000000007</v>
      </c>
      <c r="S250" s="197">
        <f t="shared" si="37"/>
        <v>247447</v>
      </c>
      <c r="V250" s="197">
        <f t="shared" si="44"/>
        <v>90131</v>
      </c>
      <c r="W250" s="197">
        <f t="shared" si="33"/>
        <v>336.19999999999976</v>
      </c>
      <c r="Z250" s="197">
        <f t="shared" si="42"/>
        <v>57.3</v>
      </c>
      <c r="AA250" s="197">
        <f t="shared" si="32"/>
        <v>74.700000000000017</v>
      </c>
      <c r="AB250" s="197">
        <f t="shared" si="34"/>
        <v>0</v>
      </c>
      <c r="AC250" s="197">
        <f t="shared" si="35"/>
        <v>0</v>
      </c>
      <c r="AD250" s="197">
        <f t="shared" si="38"/>
        <v>451.90000000000003</v>
      </c>
      <c r="AE250" s="197">
        <f t="shared" si="36"/>
        <v>47.764705882352942</v>
      </c>
      <c r="AF250" s="197">
        <f t="shared" si="39"/>
        <v>6111.4002906354908</v>
      </c>
    </row>
    <row r="251" spans="1:32">
      <c r="A251" s="197">
        <v>2011</v>
      </c>
      <c r="B251" s="197">
        <v>5</v>
      </c>
      <c r="C251" s="197">
        <v>8</v>
      </c>
      <c r="D251" s="197">
        <v>4.9000000000000004</v>
      </c>
      <c r="H251" s="238">
        <f t="shared" si="40"/>
        <v>191.40000000000006</v>
      </c>
      <c r="I251" s="197">
        <v>2219</v>
      </c>
      <c r="J251" s="197">
        <v>0</v>
      </c>
      <c r="K251" s="197">
        <v>19.5</v>
      </c>
      <c r="L251" s="197">
        <v>14.1</v>
      </c>
      <c r="M251" s="197">
        <v>24.7</v>
      </c>
      <c r="N251" s="233">
        <v>40671</v>
      </c>
      <c r="O251" s="197">
        <f t="shared" si="41"/>
        <v>2505.6000000000008</v>
      </c>
      <c r="R251" s="197">
        <f t="shared" si="43"/>
        <v>731.30000000000007</v>
      </c>
      <c r="S251" s="197">
        <f t="shared" si="37"/>
        <v>249666</v>
      </c>
      <c r="V251" s="197">
        <f t="shared" si="44"/>
        <v>92350</v>
      </c>
      <c r="W251" s="197">
        <f t="shared" si="33"/>
        <v>336.19999999999976</v>
      </c>
      <c r="Z251" s="197">
        <f t="shared" si="42"/>
        <v>57.3</v>
      </c>
      <c r="AA251" s="197">
        <f t="shared" si="32"/>
        <v>74.700000000000017</v>
      </c>
      <c r="AB251" s="197">
        <f t="shared" si="34"/>
        <v>0</v>
      </c>
      <c r="AC251" s="197">
        <f t="shared" si="35"/>
        <v>0</v>
      </c>
      <c r="AD251" s="197">
        <f t="shared" si="38"/>
        <v>456.8</v>
      </c>
      <c r="AE251" s="197">
        <f t="shared" si="36"/>
        <v>113.7948717948718</v>
      </c>
      <c r="AF251" s="197">
        <f t="shared" si="39"/>
        <v>6225.1951624303629</v>
      </c>
    </row>
    <row r="252" spans="1:32">
      <c r="A252" s="197">
        <v>2011</v>
      </c>
      <c r="B252" s="197">
        <v>5</v>
      </c>
      <c r="C252" s="197">
        <v>9</v>
      </c>
      <c r="D252" s="197">
        <v>5.7</v>
      </c>
      <c r="H252" s="238">
        <f t="shared" si="40"/>
        <v>197.10000000000005</v>
      </c>
      <c r="I252" s="197">
        <v>2763</v>
      </c>
      <c r="J252" s="197">
        <v>0</v>
      </c>
      <c r="K252" s="197">
        <v>19.600000000000001</v>
      </c>
      <c r="L252" s="197">
        <v>12.9</v>
      </c>
      <c r="M252" s="197">
        <v>27.2</v>
      </c>
      <c r="N252" s="233">
        <v>40672</v>
      </c>
      <c r="O252" s="197">
        <f t="shared" si="41"/>
        <v>2525.2000000000007</v>
      </c>
      <c r="R252" s="197">
        <f t="shared" si="43"/>
        <v>750.90000000000009</v>
      </c>
      <c r="S252" s="197">
        <f t="shared" si="37"/>
        <v>252429</v>
      </c>
      <c r="V252" s="197">
        <f t="shared" si="44"/>
        <v>95113</v>
      </c>
      <c r="W252" s="197">
        <f t="shared" si="33"/>
        <v>336.19999999999976</v>
      </c>
      <c r="Z252" s="197">
        <f t="shared" si="42"/>
        <v>57.3</v>
      </c>
      <c r="AA252" s="197">
        <f t="shared" si="32"/>
        <v>74.700000000000017</v>
      </c>
      <c r="AB252" s="197">
        <f t="shared" si="34"/>
        <v>0</v>
      </c>
      <c r="AC252" s="197">
        <f t="shared" si="35"/>
        <v>0</v>
      </c>
      <c r="AD252" s="197">
        <f t="shared" si="38"/>
        <v>462.5</v>
      </c>
      <c r="AE252" s="197">
        <f t="shared" si="36"/>
        <v>140.96938775510202</v>
      </c>
      <c r="AF252" s="197">
        <f t="shared" si="39"/>
        <v>6366.1645501854646</v>
      </c>
    </row>
    <row r="253" spans="1:32">
      <c r="A253" s="197">
        <v>2011</v>
      </c>
      <c r="B253" s="197">
        <v>5</v>
      </c>
      <c r="C253" s="197">
        <v>10</v>
      </c>
      <c r="D253" s="197">
        <v>5.9</v>
      </c>
      <c r="H253" s="238">
        <f t="shared" si="40"/>
        <v>203.00000000000006</v>
      </c>
      <c r="I253" s="197">
        <v>2282</v>
      </c>
      <c r="J253" s="197">
        <v>0</v>
      </c>
      <c r="K253" s="197">
        <v>19</v>
      </c>
      <c r="L253" s="197">
        <v>13.8</v>
      </c>
      <c r="M253" s="197">
        <v>25.9</v>
      </c>
      <c r="N253" s="233">
        <v>40673</v>
      </c>
      <c r="O253" s="197">
        <f t="shared" si="41"/>
        <v>2544.2000000000007</v>
      </c>
      <c r="R253" s="197">
        <f t="shared" si="43"/>
        <v>769.90000000000009</v>
      </c>
      <c r="S253" s="197">
        <f t="shared" si="37"/>
        <v>254711</v>
      </c>
      <c r="V253" s="197">
        <f t="shared" si="44"/>
        <v>97395</v>
      </c>
      <c r="W253" s="197">
        <f t="shared" si="33"/>
        <v>336.19999999999976</v>
      </c>
      <c r="Z253" s="197">
        <f t="shared" si="42"/>
        <v>57.3</v>
      </c>
      <c r="AA253" s="197">
        <f t="shared" si="32"/>
        <v>74.700000000000017</v>
      </c>
      <c r="AB253" s="197">
        <f t="shared" si="34"/>
        <v>0</v>
      </c>
      <c r="AC253" s="197">
        <f t="shared" si="35"/>
        <v>0</v>
      </c>
      <c r="AD253" s="197">
        <f t="shared" si="38"/>
        <v>468.4</v>
      </c>
      <c r="AE253" s="197">
        <f t="shared" si="36"/>
        <v>120.10526315789474</v>
      </c>
      <c r="AF253" s="197">
        <f t="shared" si="39"/>
        <v>6486.2698133433596</v>
      </c>
    </row>
    <row r="254" spans="1:32">
      <c r="A254" s="197">
        <v>2011</v>
      </c>
      <c r="B254" s="197">
        <v>5</v>
      </c>
      <c r="C254" s="197">
        <v>11</v>
      </c>
      <c r="D254" s="197">
        <v>5.6</v>
      </c>
      <c r="H254" s="238">
        <f t="shared" si="40"/>
        <v>208.60000000000005</v>
      </c>
      <c r="I254" s="197">
        <v>2789</v>
      </c>
      <c r="J254" s="197">
        <v>0</v>
      </c>
      <c r="K254" s="197">
        <v>20.9</v>
      </c>
      <c r="L254" s="197">
        <v>12.3</v>
      </c>
      <c r="M254" s="197">
        <v>28.9</v>
      </c>
      <c r="N254" s="233">
        <v>40674</v>
      </c>
      <c r="O254" s="197">
        <f t="shared" si="41"/>
        <v>2565.1000000000008</v>
      </c>
      <c r="R254" s="197">
        <f t="shared" si="43"/>
        <v>790.80000000000007</v>
      </c>
      <c r="S254" s="197">
        <f t="shared" si="37"/>
        <v>257500</v>
      </c>
      <c r="V254" s="197">
        <f t="shared" si="44"/>
        <v>100184</v>
      </c>
      <c r="W254" s="197">
        <f t="shared" si="33"/>
        <v>336.19999999999976</v>
      </c>
      <c r="Z254" s="197">
        <f t="shared" si="42"/>
        <v>57.3</v>
      </c>
      <c r="AA254" s="197">
        <f t="shared" si="32"/>
        <v>74.700000000000017</v>
      </c>
      <c r="AB254" s="197">
        <f t="shared" si="34"/>
        <v>0</v>
      </c>
      <c r="AC254" s="197">
        <f t="shared" si="35"/>
        <v>0</v>
      </c>
      <c r="AD254" s="197">
        <f t="shared" si="38"/>
        <v>474</v>
      </c>
      <c r="AE254" s="197">
        <f t="shared" si="36"/>
        <v>133.44497607655504</v>
      </c>
      <c r="AF254" s="197">
        <f t="shared" si="39"/>
        <v>6619.7147894199143</v>
      </c>
    </row>
    <row r="255" spans="1:32">
      <c r="A255" s="197">
        <v>2011</v>
      </c>
      <c r="B255" s="197">
        <v>5</v>
      </c>
      <c r="C255" s="197">
        <v>12</v>
      </c>
      <c r="D255" s="197">
        <v>3.4</v>
      </c>
      <c r="H255" s="238">
        <f t="shared" si="40"/>
        <v>212.00000000000006</v>
      </c>
      <c r="I255" s="197">
        <v>1340</v>
      </c>
      <c r="J255" s="197">
        <v>0</v>
      </c>
      <c r="K255" s="197">
        <v>18.8</v>
      </c>
      <c r="L255" s="197">
        <v>15.8</v>
      </c>
      <c r="M255" s="197">
        <v>21.8</v>
      </c>
      <c r="N255" s="233">
        <v>40675</v>
      </c>
      <c r="O255" s="197">
        <f t="shared" si="41"/>
        <v>2583.900000000001</v>
      </c>
      <c r="R255" s="197">
        <f t="shared" si="43"/>
        <v>809.6</v>
      </c>
      <c r="S255" s="197">
        <f t="shared" si="37"/>
        <v>258840</v>
      </c>
      <c r="V255" s="197">
        <f t="shared" si="44"/>
        <v>101524</v>
      </c>
      <c r="W255" s="197">
        <f t="shared" si="33"/>
        <v>336.19999999999976</v>
      </c>
      <c r="Z255" s="197">
        <f t="shared" si="42"/>
        <v>57.3</v>
      </c>
      <c r="AA255" s="197">
        <f t="shared" si="32"/>
        <v>74.700000000000017</v>
      </c>
      <c r="AB255" s="197">
        <f t="shared" si="34"/>
        <v>0</v>
      </c>
      <c r="AC255" s="197">
        <f t="shared" si="35"/>
        <v>0</v>
      </c>
      <c r="AD255" s="197">
        <f t="shared" si="38"/>
        <v>477.4</v>
      </c>
      <c r="AE255" s="197">
        <f t="shared" si="36"/>
        <v>71.276595744680847</v>
      </c>
      <c r="AF255" s="197">
        <f t="shared" si="39"/>
        <v>6690.9913851645952</v>
      </c>
    </row>
    <row r="256" spans="1:32">
      <c r="A256" s="197">
        <v>2011</v>
      </c>
      <c r="B256" s="197">
        <v>5</v>
      </c>
      <c r="C256" s="197">
        <v>13</v>
      </c>
      <c r="D256" s="197">
        <v>5.2</v>
      </c>
      <c r="H256" s="238">
        <f t="shared" si="40"/>
        <v>217.20000000000005</v>
      </c>
      <c r="I256" s="197">
        <v>2325</v>
      </c>
      <c r="J256" s="197">
        <v>0</v>
      </c>
      <c r="K256" s="197">
        <v>21</v>
      </c>
      <c r="L256" s="197">
        <v>15.9</v>
      </c>
      <c r="M256" s="197">
        <v>27.3</v>
      </c>
      <c r="N256" s="233">
        <v>40676</v>
      </c>
      <c r="O256" s="197">
        <f t="shared" si="41"/>
        <v>2604.900000000001</v>
      </c>
      <c r="R256" s="197">
        <f t="shared" si="43"/>
        <v>830.6</v>
      </c>
      <c r="S256" s="197">
        <f t="shared" si="37"/>
        <v>261165</v>
      </c>
      <c r="V256" s="197">
        <f t="shared" si="44"/>
        <v>103849</v>
      </c>
      <c r="W256" s="197">
        <f t="shared" si="33"/>
        <v>336.19999999999976</v>
      </c>
      <c r="Z256" s="197">
        <f t="shared" si="42"/>
        <v>57.3</v>
      </c>
      <c r="AA256" s="197">
        <f t="shared" ref="AA256:AA284" si="45">AA255+J256</f>
        <v>74.700000000000017</v>
      </c>
      <c r="AB256" s="197">
        <f t="shared" si="34"/>
        <v>0</v>
      </c>
      <c r="AC256" s="197">
        <f t="shared" si="35"/>
        <v>0</v>
      </c>
      <c r="AD256" s="197">
        <f t="shared" si="38"/>
        <v>482.59999999999997</v>
      </c>
      <c r="AE256" s="197">
        <f t="shared" si="36"/>
        <v>110.71428571428571</v>
      </c>
      <c r="AF256" s="197">
        <f t="shared" si="39"/>
        <v>6801.7056708788805</v>
      </c>
    </row>
    <row r="257" spans="1:32">
      <c r="A257" s="197">
        <v>2011</v>
      </c>
      <c r="B257" s="197">
        <v>5</v>
      </c>
      <c r="C257" s="197">
        <v>14</v>
      </c>
      <c r="D257" s="197">
        <v>1.6</v>
      </c>
      <c r="H257" s="238">
        <f t="shared" si="40"/>
        <v>218.80000000000004</v>
      </c>
      <c r="I257" s="197">
        <v>397</v>
      </c>
      <c r="J257" s="197">
        <v>4.8</v>
      </c>
      <c r="K257" s="197">
        <v>15.1</v>
      </c>
      <c r="L257" s="197">
        <v>14.3</v>
      </c>
      <c r="M257" s="197">
        <v>17</v>
      </c>
      <c r="N257" s="233">
        <v>40677</v>
      </c>
      <c r="O257" s="197">
        <f t="shared" si="41"/>
        <v>2620.0000000000009</v>
      </c>
      <c r="R257" s="197">
        <f t="shared" si="43"/>
        <v>845.7</v>
      </c>
      <c r="S257" s="197">
        <f t="shared" si="37"/>
        <v>261562</v>
      </c>
      <c r="V257" s="197">
        <f t="shared" si="44"/>
        <v>104246</v>
      </c>
      <c r="W257" s="197">
        <f t="shared" si="33"/>
        <v>340.99999999999977</v>
      </c>
      <c r="Z257" s="197">
        <f t="shared" si="42"/>
        <v>62.099999999999994</v>
      </c>
      <c r="AA257" s="197">
        <f t="shared" si="45"/>
        <v>79.500000000000014</v>
      </c>
      <c r="AB257" s="197">
        <f t="shared" si="34"/>
        <v>0</v>
      </c>
      <c r="AC257" s="197">
        <f t="shared" si="35"/>
        <v>0</v>
      </c>
      <c r="AD257" s="197">
        <f t="shared" si="38"/>
        <v>484.2</v>
      </c>
      <c r="AE257" s="197">
        <f t="shared" si="36"/>
        <v>26.291390728476824</v>
      </c>
      <c r="AF257" s="197">
        <f t="shared" si="39"/>
        <v>6827.997061607357</v>
      </c>
    </row>
    <row r="258" spans="1:32" ht="15">
      <c r="A258" s="197">
        <v>2011</v>
      </c>
      <c r="B258" s="197">
        <v>5</v>
      </c>
      <c r="C258" s="197">
        <v>15</v>
      </c>
      <c r="D258" s="232" t="s">
        <v>7709</v>
      </c>
      <c r="E258" s="232"/>
      <c r="F258" s="232"/>
      <c r="G258" s="232"/>
      <c r="H258" s="238">
        <f>H257</f>
        <v>218.80000000000004</v>
      </c>
      <c r="I258" s="232" t="s">
        <v>7709</v>
      </c>
      <c r="J258" s="232">
        <v>0</v>
      </c>
      <c r="K258" s="232">
        <v>0</v>
      </c>
      <c r="L258" s="232" t="s">
        <v>7709</v>
      </c>
      <c r="M258" s="232" t="s">
        <v>7709</v>
      </c>
      <c r="N258" s="233">
        <v>40678</v>
      </c>
      <c r="O258" s="197">
        <f t="shared" si="41"/>
        <v>2620.0000000000009</v>
      </c>
      <c r="R258" s="197">
        <f t="shared" si="43"/>
        <v>845.7</v>
      </c>
      <c r="S258" s="197">
        <v>261562</v>
      </c>
      <c r="V258" s="197">
        <v>104246</v>
      </c>
      <c r="W258" s="197">
        <f t="shared" si="33"/>
        <v>340.99999999999977</v>
      </c>
      <c r="Z258" s="197">
        <f t="shared" si="42"/>
        <v>62.099999999999994</v>
      </c>
      <c r="AA258" s="197">
        <f t="shared" si="45"/>
        <v>79.500000000000014</v>
      </c>
      <c r="AB258" s="197">
        <f t="shared" si="34"/>
        <v>0</v>
      </c>
      <c r="AC258" s="197">
        <f t="shared" si="35"/>
        <v>1</v>
      </c>
      <c r="AD258" s="197">
        <v>484.2</v>
      </c>
      <c r="AE258" s="232" t="s">
        <v>7709</v>
      </c>
      <c r="AF258" s="197">
        <v>22962.784214309457</v>
      </c>
    </row>
    <row r="259" spans="1:32">
      <c r="A259" s="197">
        <v>2011</v>
      </c>
      <c r="B259" s="197">
        <v>5</v>
      </c>
      <c r="C259" s="197">
        <v>16</v>
      </c>
      <c r="D259" s="197">
        <v>4.5999999999999996</v>
      </c>
      <c r="H259" s="238">
        <f t="shared" si="40"/>
        <v>223.40000000000003</v>
      </c>
      <c r="I259" s="197">
        <v>2856</v>
      </c>
      <c r="J259" s="197">
        <v>0</v>
      </c>
      <c r="K259" s="197">
        <v>16.100000000000001</v>
      </c>
      <c r="L259" s="197">
        <v>7.5</v>
      </c>
      <c r="M259" s="197">
        <v>22.4</v>
      </c>
      <c r="N259" s="233">
        <v>40679</v>
      </c>
      <c r="O259" s="197">
        <f t="shared" si="41"/>
        <v>2636.1000000000008</v>
      </c>
      <c r="R259" s="197">
        <f t="shared" si="43"/>
        <v>861.80000000000007</v>
      </c>
      <c r="S259" s="197">
        <f>S258+I259</f>
        <v>264418</v>
      </c>
      <c r="V259" s="197">
        <f t="shared" si="44"/>
        <v>107102</v>
      </c>
      <c r="W259" s="197">
        <f t="shared" si="33"/>
        <v>340.99999999999977</v>
      </c>
      <c r="Z259" s="197">
        <f t="shared" si="42"/>
        <v>62.099999999999994</v>
      </c>
      <c r="AA259" s="197">
        <f t="shared" si="45"/>
        <v>79.500000000000014</v>
      </c>
      <c r="AB259" s="197">
        <f t="shared" si="34"/>
        <v>0</v>
      </c>
      <c r="AC259" s="197">
        <f t="shared" si="35"/>
        <v>0</v>
      </c>
      <c r="AD259" s="197">
        <f t="shared" si="38"/>
        <v>488.8</v>
      </c>
      <c r="AE259" s="197">
        <f t="shared" ref="AE259:AE284" si="46">I259/K259</f>
        <v>177.39130434782606</v>
      </c>
      <c r="AF259" s="197">
        <f t="shared" si="39"/>
        <v>23140.175518657285</v>
      </c>
    </row>
    <row r="260" spans="1:32">
      <c r="A260" s="197">
        <v>2011</v>
      </c>
      <c r="B260" s="197">
        <v>5</v>
      </c>
      <c r="C260" s="197">
        <v>17</v>
      </c>
      <c r="D260" s="197">
        <v>5.0999999999999996</v>
      </c>
      <c r="H260" s="238">
        <f t="shared" si="40"/>
        <v>228.50000000000003</v>
      </c>
      <c r="I260" s="197">
        <v>2936</v>
      </c>
      <c r="J260" s="197">
        <v>0</v>
      </c>
      <c r="K260" s="197">
        <v>19.2</v>
      </c>
      <c r="L260" s="197">
        <v>9.6</v>
      </c>
      <c r="M260" s="197">
        <v>26.6</v>
      </c>
      <c r="N260" s="233">
        <v>40680</v>
      </c>
      <c r="O260" s="197">
        <f t="shared" si="41"/>
        <v>2655.3000000000006</v>
      </c>
      <c r="R260" s="197">
        <f t="shared" si="43"/>
        <v>881.00000000000011</v>
      </c>
      <c r="S260" s="197">
        <f t="shared" si="37"/>
        <v>267354</v>
      </c>
      <c r="V260" s="197">
        <f t="shared" si="44"/>
        <v>110038</v>
      </c>
      <c r="W260" s="197">
        <f t="shared" si="33"/>
        <v>340.99999999999977</v>
      </c>
      <c r="Z260" s="197">
        <f t="shared" si="42"/>
        <v>62.099999999999994</v>
      </c>
      <c r="AA260" s="197">
        <f t="shared" si="45"/>
        <v>79.500000000000014</v>
      </c>
      <c r="AB260" s="197">
        <f t="shared" si="34"/>
        <v>0</v>
      </c>
      <c r="AC260" s="197">
        <f t="shared" si="35"/>
        <v>0</v>
      </c>
      <c r="AD260" s="197">
        <f t="shared" si="38"/>
        <v>493.90000000000003</v>
      </c>
      <c r="AE260" s="197">
        <f t="shared" si="46"/>
        <v>152.91666666666669</v>
      </c>
      <c r="AF260" s="197">
        <f t="shared" si="39"/>
        <v>23293.092185323952</v>
      </c>
    </row>
    <row r="261" spans="1:32">
      <c r="A261" s="197">
        <v>2011</v>
      </c>
      <c r="B261" s="197">
        <v>5</v>
      </c>
      <c r="C261" s="197">
        <v>18</v>
      </c>
      <c r="D261" s="197">
        <v>6.5</v>
      </c>
      <c r="H261" s="238">
        <f t="shared" si="40"/>
        <v>235.00000000000003</v>
      </c>
      <c r="I261" s="197">
        <v>2916</v>
      </c>
      <c r="J261" s="197">
        <v>0</v>
      </c>
      <c r="K261" s="197">
        <v>20.100000000000001</v>
      </c>
      <c r="L261" s="197">
        <v>11.2</v>
      </c>
      <c r="M261" s="197">
        <v>28.1</v>
      </c>
      <c r="N261" s="233">
        <v>40681</v>
      </c>
      <c r="O261" s="197">
        <f t="shared" si="41"/>
        <v>2675.4000000000005</v>
      </c>
      <c r="R261" s="197">
        <f t="shared" si="43"/>
        <v>901.10000000000014</v>
      </c>
      <c r="S261" s="197">
        <f t="shared" si="37"/>
        <v>270270</v>
      </c>
      <c r="V261" s="197">
        <f t="shared" si="44"/>
        <v>112954</v>
      </c>
      <c r="W261" s="197">
        <f t="shared" si="33"/>
        <v>340.99999999999977</v>
      </c>
      <c r="Z261" s="197">
        <f t="shared" si="42"/>
        <v>62.099999999999994</v>
      </c>
      <c r="AA261" s="197">
        <f t="shared" si="45"/>
        <v>79.500000000000014</v>
      </c>
      <c r="AB261" s="197">
        <f t="shared" si="34"/>
        <v>0</v>
      </c>
      <c r="AC261" s="197">
        <f t="shared" si="35"/>
        <v>0</v>
      </c>
      <c r="AD261" s="197">
        <f t="shared" si="38"/>
        <v>500.40000000000003</v>
      </c>
      <c r="AE261" s="197">
        <f t="shared" si="46"/>
        <v>145.07462686567163</v>
      </c>
      <c r="AF261" s="197">
        <f t="shared" si="39"/>
        <v>23438.166812189625</v>
      </c>
    </row>
    <row r="262" spans="1:32">
      <c r="A262" s="197">
        <v>2011</v>
      </c>
      <c r="B262" s="197">
        <v>5</v>
      </c>
      <c r="C262" s="197">
        <v>19</v>
      </c>
      <c r="D262" s="197">
        <v>6.2</v>
      </c>
      <c r="H262" s="238">
        <f t="shared" si="40"/>
        <v>241.20000000000002</v>
      </c>
      <c r="I262" s="197">
        <v>2833</v>
      </c>
      <c r="J262" s="197">
        <v>0</v>
      </c>
      <c r="K262" s="197">
        <v>19.5</v>
      </c>
      <c r="L262" s="197">
        <v>13.2</v>
      </c>
      <c r="M262" s="197">
        <v>27.2</v>
      </c>
      <c r="N262" s="233">
        <v>40682</v>
      </c>
      <c r="O262" s="197">
        <f t="shared" si="41"/>
        <v>2694.9000000000005</v>
      </c>
      <c r="R262" s="197">
        <f t="shared" si="43"/>
        <v>920.60000000000014</v>
      </c>
      <c r="S262" s="197">
        <f t="shared" si="37"/>
        <v>273103</v>
      </c>
      <c r="V262" s="197">
        <f t="shared" si="44"/>
        <v>115787</v>
      </c>
      <c r="W262" s="197">
        <f t="shared" si="33"/>
        <v>340.99999999999977</v>
      </c>
      <c r="Z262" s="197">
        <f t="shared" si="42"/>
        <v>62.099999999999994</v>
      </c>
      <c r="AA262" s="197">
        <f t="shared" si="45"/>
        <v>79.500000000000014</v>
      </c>
      <c r="AB262" s="197">
        <f t="shared" si="34"/>
        <v>0</v>
      </c>
      <c r="AC262" s="197">
        <f t="shared" si="35"/>
        <v>0</v>
      </c>
      <c r="AD262" s="197">
        <f t="shared" si="38"/>
        <v>506.6</v>
      </c>
      <c r="AE262" s="197">
        <f t="shared" si="46"/>
        <v>145.28205128205127</v>
      </c>
      <c r="AF262" s="197">
        <f t="shared" si="39"/>
        <v>23583.448863471676</v>
      </c>
    </row>
    <row r="263" spans="1:32">
      <c r="A263" s="197">
        <v>2011</v>
      </c>
      <c r="B263" s="197">
        <v>5</v>
      </c>
      <c r="C263" s="197">
        <v>20</v>
      </c>
      <c r="D263" s="197">
        <v>5.2</v>
      </c>
      <c r="H263" s="238">
        <f t="shared" si="40"/>
        <v>246.4</v>
      </c>
      <c r="I263" s="197">
        <v>2611</v>
      </c>
      <c r="J263" s="197">
        <v>0</v>
      </c>
      <c r="K263" s="197">
        <v>20.7</v>
      </c>
      <c r="L263" s="197">
        <v>11.8</v>
      </c>
      <c r="M263" s="197">
        <v>28.1</v>
      </c>
      <c r="N263" s="233">
        <v>40683</v>
      </c>
      <c r="O263" s="197">
        <f t="shared" si="41"/>
        <v>2715.6000000000004</v>
      </c>
      <c r="R263" s="197">
        <f t="shared" si="43"/>
        <v>941.30000000000018</v>
      </c>
      <c r="S263" s="197">
        <f t="shared" si="37"/>
        <v>275714</v>
      </c>
      <c r="V263" s="197">
        <f t="shared" si="44"/>
        <v>118398</v>
      </c>
      <c r="W263" s="197">
        <f t="shared" si="33"/>
        <v>340.99999999999977</v>
      </c>
      <c r="Z263" s="197">
        <f t="shared" si="42"/>
        <v>62.099999999999994</v>
      </c>
      <c r="AA263" s="197">
        <f t="shared" si="45"/>
        <v>79.500000000000014</v>
      </c>
      <c r="AB263" s="197">
        <f t="shared" si="34"/>
        <v>0</v>
      </c>
      <c r="AC263" s="197">
        <f t="shared" si="35"/>
        <v>0</v>
      </c>
      <c r="AD263" s="197">
        <f t="shared" si="38"/>
        <v>511.8</v>
      </c>
      <c r="AE263" s="197">
        <f t="shared" si="46"/>
        <v>126.1352657004831</v>
      </c>
      <c r="AF263" s="197">
        <f t="shared" si="39"/>
        <v>23709.584129172159</v>
      </c>
    </row>
    <row r="264" spans="1:32">
      <c r="A264" s="197">
        <v>2011</v>
      </c>
      <c r="B264" s="197">
        <v>5</v>
      </c>
      <c r="C264" s="197">
        <v>21</v>
      </c>
      <c r="D264" s="197">
        <v>5.9</v>
      </c>
      <c r="H264" s="238">
        <f t="shared" si="40"/>
        <v>252.3</v>
      </c>
      <c r="I264" s="197">
        <v>2750</v>
      </c>
      <c r="J264" s="197">
        <v>0</v>
      </c>
      <c r="K264" s="197">
        <v>21.7</v>
      </c>
      <c r="L264" s="197">
        <v>14.4</v>
      </c>
      <c r="M264" s="197">
        <v>28.4</v>
      </c>
      <c r="N264" s="233">
        <v>40684</v>
      </c>
      <c r="O264" s="197">
        <f t="shared" si="41"/>
        <v>2737.3</v>
      </c>
      <c r="R264" s="197">
        <f t="shared" si="43"/>
        <v>963.00000000000023</v>
      </c>
      <c r="S264" s="197">
        <f t="shared" si="37"/>
        <v>278464</v>
      </c>
      <c r="V264" s="197">
        <f t="shared" si="44"/>
        <v>121148</v>
      </c>
      <c r="W264" s="197">
        <f t="shared" si="33"/>
        <v>340.99999999999977</v>
      </c>
      <c r="Z264" s="197">
        <f t="shared" si="42"/>
        <v>62.099999999999994</v>
      </c>
      <c r="AA264" s="197">
        <f t="shared" si="45"/>
        <v>79.500000000000014</v>
      </c>
      <c r="AB264" s="197">
        <f t="shared" si="34"/>
        <v>0</v>
      </c>
      <c r="AC264" s="197">
        <f t="shared" si="35"/>
        <v>0</v>
      </c>
      <c r="AD264" s="197">
        <f t="shared" si="38"/>
        <v>517.70000000000005</v>
      </c>
      <c r="AE264" s="197">
        <f t="shared" si="46"/>
        <v>126.72811059907835</v>
      </c>
      <c r="AF264" s="197">
        <f t="shared" si="39"/>
        <v>23836.312239771236</v>
      </c>
    </row>
    <row r="265" spans="1:32">
      <c r="A265" s="197">
        <v>2011</v>
      </c>
      <c r="B265" s="197">
        <v>5</v>
      </c>
      <c r="C265" s="197">
        <v>22</v>
      </c>
      <c r="D265" s="197">
        <v>3.1</v>
      </c>
      <c r="H265" s="238">
        <f t="shared" si="40"/>
        <v>255.4</v>
      </c>
      <c r="I265" s="197">
        <v>823</v>
      </c>
      <c r="J265" s="197">
        <v>0</v>
      </c>
      <c r="K265" s="197">
        <v>18.2</v>
      </c>
      <c r="L265" s="197">
        <v>15.1</v>
      </c>
      <c r="M265" s="197">
        <v>21.2</v>
      </c>
      <c r="N265" s="233">
        <v>40685</v>
      </c>
      <c r="O265" s="197">
        <f t="shared" si="41"/>
        <v>2755.5</v>
      </c>
      <c r="R265" s="197">
        <f t="shared" si="43"/>
        <v>981.20000000000027</v>
      </c>
      <c r="S265" s="197">
        <f t="shared" si="37"/>
        <v>279287</v>
      </c>
      <c r="V265" s="197">
        <f t="shared" si="44"/>
        <v>121971</v>
      </c>
      <c r="W265" s="197">
        <f t="shared" si="33"/>
        <v>340.99999999999977</v>
      </c>
      <c r="Z265" s="197">
        <f t="shared" si="42"/>
        <v>62.099999999999994</v>
      </c>
      <c r="AA265" s="197">
        <f t="shared" si="45"/>
        <v>79.500000000000014</v>
      </c>
      <c r="AB265" s="197">
        <f t="shared" si="34"/>
        <v>0</v>
      </c>
      <c r="AC265" s="197">
        <f t="shared" si="35"/>
        <v>0</v>
      </c>
      <c r="AD265" s="197">
        <f t="shared" si="38"/>
        <v>520.80000000000007</v>
      </c>
      <c r="AE265" s="197">
        <f t="shared" si="46"/>
        <v>45.219780219780219</v>
      </c>
      <c r="AF265" s="197">
        <f t="shared" si="39"/>
        <v>23881.532019991017</v>
      </c>
    </row>
    <row r="266" spans="1:32">
      <c r="A266" s="197">
        <v>2011</v>
      </c>
      <c r="B266" s="197">
        <v>5</v>
      </c>
      <c r="C266" s="197">
        <v>23</v>
      </c>
      <c r="D266" s="197">
        <v>5.7</v>
      </c>
      <c r="H266" s="238">
        <f t="shared" si="40"/>
        <v>261.10000000000002</v>
      </c>
      <c r="I266" s="197">
        <v>3028</v>
      </c>
      <c r="J266" s="197">
        <v>0</v>
      </c>
      <c r="K266" s="197">
        <v>21</v>
      </c>
      <c r="L266" s="197">
        <v>12.1</v>
      </c>
      <c r="M266" s="197">
        <v>28.9</v>
      </c>
      <c r="N266" s="233">
        <v>40686</v>
      </c>
      <c r="O266" s="197">
        <f t="shared" si="41"/>
        <v>2776.5</v>
      </c>
      <c r="R266" s="197">
        <f t="shared" si="43"/>
        <v>1002.2000000000003</v>
      </c>
      <c r="S266" s="197">
        <f t="shared" si="37"/>
        <v>282315</v>
      </c>
      <c r="V266" s="197">
        <f t="shared" si="44"/>
        <v>124999</v>
      </c>
      <c r="W266" s="197">
        <f t="shared" si="44"/>
        <v>340.99999999999977</v>
      </c>
      <c r="Z266" s="197">
        <f t="shared" si="42"/>
        <v>62.099999999999994</v>
      </c>
      <c r="AA266" s="197">
        <f t="shared" si="45"/>
        <v>79.500000000000014</v>
      </c>
      <c r="AB266" s="197">
        <f t="shared" ref="AB266:AB284" si="47">IF(K266&lt;0,1,0)</f>
        <v>0</v>
      </c>
      <c r="AC266" s="197">
        <f t="shared" ref="AC266:AC284" si="48">IF(K266&lt;4.5,1,0)</f>
        <v>0</v>
      </c>
      <c r="AD266" s="197">
        <f t="shared" si="38"/>
        <v>526.50000000000011</v>
      </c>
      <c r="AE266" s="197">
        <f t="shared" si="46"/>
        <v>144.1904761904762</v>
      </c>
      <c r="AF266" s="197">
        <f t="shared" si="39"/>
        <v>24025.722496181494</v>
      </c>
    </row>
    <row r="267" spans="1:32">
      <c r="A267" s="197">
        <v>2011</v>
      </c>
      <c r="B267" s="197">
        <v>5</v>
      </c>
      <c r="C267" s="197">
        <v>24</v>
      </c>
      <c r="D267" s="197">
        <v>6.6</v>
      </c>
      <c r="H267" s="238">
        <f t="shared" si="40"/>
        <v>267.70000000000005</v>
      </c>
      <c r="I267" s="197">
        <v>2968</v>
      </c>
      <c r="J267" s="197">
        <v>0</v>
      </c>
      <c r="K267" s="197">
        <v>20.9</v>
      </c>
      <c r="L267" s="197">
        <v>13.7</v>
      </c>
      <c r="M267" s="197">
        <v>27.3</v>
      </c>
      <c r="N267" s="233">
        <v>40687</v>
      </c>
      <c r="O267" s="197">
        <f t="shared" si="41"/>
        <v>2797.4</v>
      </c>
      <c r="R267" s="197">
        <f t="shared" si="43"/>
        <v>1023.1000000000003</v>
      </c>
      <c r="S267" s="197">
        <f t="shared" ref="S267:S284" si="49">S266+I267</f>
        <v>285283</v>
      </c>
      <c r="V267" s="197">
        <f t="shared" ref="V267:W282" si="50">V266+I267</f>
        <v>127967</v>
      </c>
      <c r="W267" s="197">
        <f t="shared" si="50"/>
        <v>340.99999999999977</v>
      </c>
      <c r="Z267" s="197">
        <f t="shared" si="42"/>
        <v>62.099999999999994</v>
      </c>
      <c r="AA267" s="197">
        <f t="shared" si="45"/>
        <v>79.500000000000014</v>
      </c>
      <c r="AB267" s="197">
        <f t="shared" si="47"/>
        <v>0</v>
      </c>
      <c r="AC267" s="197">
        <f t="shared" si="48"/>
        <v>0</v>
      </c>
      <c r="AD267" s="197">
        <f t="shared" ref="AD267:AD284" si="51">AD266+D267</f>
        <v>533.10000000000014</v>
      </c>
      <c r="AE267" s="197">
        <f t="shared" si="46"/>
        <v>142.00956937799043</v>
      </c>
      <c r="AF267" s="197">
        <f t="shared" ref="AF267:AF284" si="52">AF266+AE267</f>
        <v>24167.732065559485</v>
      </c>
    </row>
    <row r="268" spans="1:32">
      <c r="A268" s="197">
        <v>2011</v>
      </c>
      <c r="B268" s="197">
        <v>5</v>
      </c>
      <c r="C268" s="197">
        <v>25</v>
      </c>
      <c r="D268" s="197">
        <v>5.8</v>
      </c>
      <c r="H268" s="238">
        <f t="shared" ref="H268:H283" si="53">H267+D268</f>
        <v>273.50000000000006</v>
      </c>
      <c r="I268" s="197">
        <v>2993</v>
      </c>
      <c r="J268" s="197">
        <v>0</v>
      </c>
      <c r="K268" s="197">
        <v>22.9</v>
      </c>
      <c r="L268" s="197">
        <v>13.7</v>
      </c>
      <c r="M268" s="197">
        <v>30.9</v>
      </c>
      <c r="N268" s="233">
        <v>40688</v>
      </c>
      <c r="O268" s="197">
        <f t="shared" ref="O268:O284" si="54">IF(K268&gt;0,O267+K268,O267)</f>
        <v>2820.3</v>
      </c>
      <c r="R268" s="197">
        <f t="shared" si="43"/>
        <v>1046.0000000000002</v>
      </c>
      <c r="S268" s="197">
        <f t="shared" si="49"/>
        <v>288276</v>
      </c>
      <c r="V268" s="197">
        <f t="shared" si="50"/>
        <v>130960</v>
      </c>
      <c r="W268" s="197">
        <f t="shared" si="50"/>
        <v>340.99999999999977</v>
      </c>
      <c r="Z268" s="197">
        <f t="shared" ref="Z268:Z283" si="55">Z267+J268</f>
        <v>62.099999999999994</v>
      </c>
      <c r="AA268" s="197">
        <f t="shared" si="45"/>
        <v>79.500000000000014</v>
      </c>
      <c r="AB268" s="197">
        <f t="shared" si="47"/>
        <v>0</v>
      </c>
      <c r="AC268" s="197">
        <f t="shared" si="48"/>
        <v>0</v>
      </c>
      <c r="AD268" s="197">
        <f t="shared" si="51"/>
        <v>538.90000000000009</v>
      </c>
      <c r="AE268" s="197">
        <f t="shared" si="46"/>
        <v>130.69868995633189</v>
      </c>
      <c r="AF268" s="197">
        <f t="shared" si="52"/>
        <v>24298.430755515816</v>
      </c>
    </row>
    <row r="269" spans="1:32">
      <c r="A269" s="197">
        <v>2011</v>
      </c>
      <c r="B269" s="197">
        <v>5</v>
      </c>
      <c r="C269" s="197">
        <v>26</v>
      </c>
      <c r="D269" s="197">
        <v>3.7</v>
      </c>
      <c r="H269" s="238">
        <f t="shared" si="53"/>
        <v>277.20000000000005</v>
      </c>
      <c r="I269" s="197">
        <v>860</v>
      </c>
      <c r="J269" s="197">
        <v>0</v>
      </c>
      <c r="K269" s="197">
        <v>19.600000000000001</v>
      </c>
      <c r="L269" s="197">
        <v>17.399999999999999</v>
      </c>
      <c r="M269" s="197">
        <v>22.4</v>
      </c>
      <c r="N269" s="233">
        <v>40689</v>
      </c>
      <c r="O269" s="197">
        <f t="shared" si="54"/>
        <v>2839.9</v>
      </c>
      <c r="R269" s="197">
        <f t="shared" ref="R269:R283" si="56">IF(K269&gt;0,R268+K269,R268)</f>
        <v>1065.6000000000001</v>
      </c>
      <c r="S269" s="197">
        <f t="shared" si="49"/>
        <v>289136</v>
      </c>
      <c r="V269" s="197">
        <f t="shared" si="50"/>
        <v>131820</v>
      </c>
      <c r="W269" s="197">
        <f t="shared" si="50"/>
        <v>340.99999999999977</v>
      </c>
      <c r="Z269" s="197">
        <f t="shared" si="55"/>
        <v>62.099999999999994</v>
      </c>
      <c r="AA269" s="197">
        <f t="shared" si="45"/>
        <v>79.500000000000014</v>
      </c>
      <c r="AB269" s="197">
        <f t="shared" si="47"/>
        <v>0</v>
      </c>
      <c r="AC269" s="197">
        <f t="shared" si="48"/>
        <v>0</v>
      </c>
      <c r="AD269" s="197">
        <f t="shared" si="51"/>
        <v>542.60000000000014</v>
      </c>
      <c r="AE269" s="197">
        <f t="shared" si="46"/>
        <v>43.877551020408163</v>
      </c>
      <c r="AF269" s="197">
        <f t="shared" si="52"/>
        <v>24342.308306536223</v>
      </c>
    </row>
    <row r="270" spans="1:32">
      <c r="A270" s="197">
        <v>2011</v>
      </c>
      <c r="B270" s="197">
        <v>5</v>
      </c>
      <c r="C270" s="197">
        <v>27</v>
      </c>
      <c r="D270" s="197">
        <v>4.5</v>
      </c>
      <c r="H270" s="238">
        <f t="shared" si="53"/>
        <v>281.70000000000005</v>
      </c>
      <c r="I270" s="197">
        <v>1302</v>
      </c>
      <c r="J270" s="197">
        <v>0</v>
      </c>
      <c r="K270" s="197">
        <v>16.3</v>
      </c>
      <c r="L270" s="197">
        <v>12.9</v>
      </c>
      <c r="M270" s="197">
        <v>20.5</v>
      </c>
      <c r="N270" s="233">
        <v>40690</v>
      </c>
      <c r="O270" s="197">
        <f t="shared" si="54"/>
        <v>2856.2000000000003</v>
      </c>
      <c r="R270" s="197">
        <f t="shared" si="56"/>
        <v>1081.9000000000001</v>
      </c>
      <c r="S270" s="197">
        <f t="shared" si="49"/>
        <v>290438</v>
      </c>
      <c r="V270" s="197">
        <f t="shared" si="50"/>
        <v>133122</v>
      </c>
      <c r="W270" s="197">
        <f t="shared" si="50"/>
        <v>340.99999999999977</v>
      </c>
      <c r="Z270" s="197">
        <f t="shared" si="55"/>
        <v>62.099999999999994</v>
      </c>
      <c r="AA270" s="197">
        <f t="shared" si="45"/>
        <v>79.500000000000014</v>
      </c>
      <c r="AB270" s="197">
        <f t="shared" si="47"/>
        <v>0</v>
      </c>
      <c r="AC270" s="197">
        <f t="shared" si="48"/>
        <v>0</v>
      </c>
      <c r="AD270" s="197">
        <f t="shared" si="51"/>
        <v>547.10000000000014</v>
      </c>
      <c r="AE270" s="197">
        <f t="shared" si="46"/>
        <v>79.877300613496928</v>
      </c>
      <c r="AF270" s="197">
        <f t="shared" si="52"/>
        <v>24422.18560714972</v>
      </c>
    </row>
    <row r="271" spans="1:32">
      <c r="A271" s="197">
        <v>2011</v>
      </c>
      <c r="B271" s="197">
        <v>5</v>
      </c>
      <c r="C271" s="197">
        <v>28</v>
      </c>
      <c r="D271" s="197">
        <v>5.6</v>
      </c>
      <c r="H271" s="238">
        <f t="shared" si="53"/>
        <v>287.30000000000007</v>
      </c>
      <c r="I271" s="197">
        <v>3036</v>
      </c>
      <c r="J271" s="197">
        <v>0</v>
      </c>
      <c r="K271" s="197">
        <v>18</v>
      </c>
      <c r="L271" s="197">
        <v>10.1</v>
      </c>
      <c r="M271" s="197">
        <v>24.6</v>
      </c>
      <c r="N271" s="233">
        <v>40691</v>
      </c>
      <c r="O271" s="197">
        <f t="shared" si="54"/>
        <v>2874.2000000000003</v>
      </c>
      <c r="R271" s="197">
        <f t="shared" si="56"/>
        <v>1099.9000000000001</v>
      </c>
      <c r="S271" s="197">
        <f t="shared" si="49"/>
        <v>293474</v>
      </c>
      <c r="V271" s="197">
        <f t="shared" si="50"/>
        <v>136158</v>
      </c>
      <c r="W271" s="197">
        <f t="shared" si="50"/>
        <v>340.99999999999977</v>
      </c>
      <c r="Z271" s="197">
        <f t="shared" si="55"/>
        <v>62.099999999999994</v>
      </c>
      <c r="AA271" s="197">
        <f t="shared" si="45"/>
        <v>79.500000000000014</v>
      </c>
      <c r="AB271" s="197">
        <f t="shared" si="47"/>
        <v>0</v>
      </c>
      <c r="AC271" s="197">
        <f t="shared" si="48"/>
        <v>0</v>
      </c>
      <c r="AD271" s="197">
        <f t="shared" si="51"/>
        <v>552.70000000000016</v>
      </c>
      <c r="AE271" s="197">
        <f t="shared" si="46"/>
        <v>168.66666666666666</v>
      </c>
      <c r="AF271" s="197">
        <f t="shared" si="52"/>
        <v>24590.852273816388</v>
      </c>
    </row>
    <row r="272" spans="1:32">
      <c r="A272" s="197">
        <v>2011</v>
      </c>
      <c r="B272" s="197">
        <v>5</v>
      </c>
      <c r="C272" s="197">
        <v>29</v>
      </c>
      <c r="D272" s="197">
        <v>6.1</v>
      </c>
      <c r="H272" s="238">
        <f t="shared" si="53"/>
        <v>293.40000000000009</v>
      </c>
      <c r="I272" s="197">
        <v>3061</v>
      </c>
      <c r="J272" s="197">
        <v>0</v>
      </c>
      <c r="K272" s="197">
        <v>21</v>
      </c>
      <c r="L272" s="197">
        <v>9.6</v>
      </c>
      <c r="M272" s="197">
        <v>30</v>
      </c>
      <c r="N272" s="233">
        <v>40692</v>
      </c>
      <c r="O272" s="197">
        <f t="shared" si="54"/>
        <v>2895.2000000000003</v>
      </c>
      <c r="R272" s="197">
        <f t="shared" si="56"/>
        <v>1120.9000000000001</v>
      </c>
      <c r="S272" s="197">
        <f t="shared" si="49"/>
        <v>296535</v>
      </c>
      <c r="V272" s="197">
        <f t="shared" si="50"/>
        <v>139219</v>
      </c>
      <c r="W272" s="197">
        <f t="shared" si="50"/>
        <v>340.99999999999977</v>
      </c>
      <c r="Z272" s="197">
        <f t="shared" si="55"/>
        <v>62.099999999999994</v>
      </c>
      <c r="AA272" s="197">
        <f t="shared" si="45"/>
        <v>79.500000000000014</v>
      </c>
      <c r="AB272" s="197">
        <f t="shared" si="47"/>
        <v>0</v>
      </c>
      <c r="AC272" s="197">
        <f t="shared" si="48"/>
        <v>0</v>
      </c>
      <c r="AD272" s="197">
        <f t="shared" si="51"/>
        <v>558.80000000000018</v>
      </c>
      <c r="AE272" s="197">
        <f t="shared" si="46"/>
        <v>145.76190476190476</v>
      </c>
      <c r="AF272" s="197">
        <f t="shared" si="52"/>
        <v>24736.614178578293</v>
      </c>
    </row>
    <row r="273" spans="1:32">
      <c r="A273" s="197">
        <v>2011</v>
      </c>
      <c r="B273" s="197">
        <v>5</v>
      </c>
      <c r="C273" s="197">
        <v>30</v>
      </c>
      <c r="D273" s="197">
        <v>5.0999999999999996</v>
      </c>
      <c r="H273" s="238">
        <f t="shared" si="53"/>
        <v>298.50000000000011</v>
      </c>
      <c r="I273" s="197">
        <v>1843</v>
      </c>
      <c r="J273" s="197">
        <v>9.6999999999999993</v>
      </c>
      <c r="K273" s="197">
        <v>20.100000000000001</v>
      </c>
      <c r="L273" s="197">
        <v>16.899999999999999</v>
      </c>
      <c r="M273" s="197">
        <v>26</v>
      </c>
      <c r="N273" s="233">
        <v>40693</v>
      </c>
      <c r="O273" s="197">
        <f t="shared" si="54"/>
        <v>2915.3</v>
      </c>
      <c r="R273" s="197">
        <f t="shared" si="56"/>
        <v>1141</v>
      </c>
      <c r="S273" s="197">
        <f t="shared" si="49"/>
        <v>298378</v>
      </c>
      <c r="V273" s="197">
        <f t="shared" si="50"/>
        <v>141062</v>
      </c>
      <c r="W273" s="197">
        <f t="shared" si="50"/>
        <v>350.69999999999976</v>
      </c>
      <c r="Z273" s="197">
        <f t="shared" si="55"/>
        <v>71.8</v>
      </c>
      <c r="AA273" s="197">
        <f t="shared" si="45"/>
        <v>89.200000000000017</v>
      </c>
      <c r="AB273" s="197">
        <f t="shared" si="47"/>
        <v>0</v>
      </c>
      <c r="AC273" s="197">
        <f t="shared" si="48"/>
        <v>0</v>
      </c>
      <c r="AD273" s="197">
        <f t="shared" si="51"/>
        <v>563.9000000000002</v>
      </c>
      <c r="AE273" s="197">
        <f t="shared" si="46"/>
        <v>91.691542288557201</v>
      </c>
      <c r="AF273" s="197">
        <f t="shared" si="52"/>
        <v>24828.305720866851</v>
      </c>
    </row>
    <row r="274" spans="1:32">
      <c r="A274" s="197">
        <v>2011</v>
      </c>
      <c r="B274" s="197">
        <v>5</v>
      </c>
      <c r="C274" s="197">
        <v>31</v>
      </c>
      <c r="D274" s="197">
        <v>4.2</v>
      </c>
      <c r="H274" s="238">
        <f t="shared" si="53"/>
        <v>302.7000000000001</v>
      </c>
      <c r="I274" s="197">
        <v>1189</v>
      </c>
      <c r="J274" s="197">
        <v>2.4</v>
      </c>
      <c r="K274" s="197">
        <v>15.3</v>
      </c>
      <c r="L274" s="197">
        <v>13.5</v>
      </c>
      <c r="M274" s="197">
        <v>19.3</v>
      </c>
      <c r="N274" s="233">
        <v>40694</v>
      </c>
      <c r="O274" s="197">
        <f t="shared" si="54"/>
        <v>2930.6000000000004</v>
      </c>
      <c r="R274" s="197">
        <f t="shared" si="56"/>
        <v>1156.3</v>
      </c>
      <c r="S274" s="197">
        <f>S273+I274</f>
        <v>299567</v>
      </c>
      <c r="V274" s="197">
        <f t="shared" si="50"/>
        <v>142251</v>
      </c>
      <c r="W274" s="197">
        <f t="shared" si="50"/>
        <v>353.09999999999974</v>
      </c>
      <c r="Z274" s="197">
        <f t="shared" si="55"/>
        <v>74.2</v>
      </c>
      <c r="AA274" s="197">
        <f t="shared" si="45"/>
        <v>91.600000000000023</v>
      </c>
      <c r="AB274" s="197">
        <f t="shared" si="47"/>
        <v>0</v>
      </c>
      <c r="AC274" s="197">
        <f t="shared" si="48"/>
        <v>0</v>
      </c>
      <c r="AD274" s="197">
        <f t="shared" si="51"/>
        <v>568.10000000000025</v>
      </c>
      <c r="AE274" s="197">
        <f t="shared" si="46"/>
        <v>77.712418300653596</v>
      </c>
      <c r="AF274" s="197">
        <f t="shared" si="52"/>
        <v>24906.018139167503</v>
      </c>
    </row>
    <row r="275" spans="1:32">
      <c r="A275" s="197">
        <v>2011</v>
      </c>
      <c r="B275" s="197">
        <v>6</v>
      </c>
      <c r="C275" s="197">
        <v>1</v>
      </c>
      <c r="D275" s="197">
        <v>4.4000000000000004</v>
      </c>
      <c r="H275" s="238">
        <f t="shared" si="53"/>
        <v>307.10000000000008</v>
      </c>
      <c r="I275" s="197">
        <v>1614</v>
      </c>
      <c r="J275" s="197">
        <v>5</v>
      </c>
      <c r="K275" s="197">
        <v>12.9</v>
      </c>
      <c r="L275" s="197">
        <v>9.3000000000000007</v>
      </c>
      <c r="M275" s="197">
        <v>17.5</v>
      </c>
      <c r="N275" s="233">
        <v>40695</v>
      </c>
      <c r="O275" s="197">
        <f t="shared" si="54"/>
        <v>2943.5000000000005</v>
      </c>
      <c r="R275" s="197">
        <f t="shared" si="56"/>
        <v>1169.2</v>
      </c>
      <c r="S275" s="197">
        <f t="shared" si="49"/>
        <v>301181</v>
      </c>
      <c r="V275" s="197">
        <f t="shared" si="50"/>
        <v>143865</v>
      </c>
      <c r="W275" s="197">
        <f t="shared" si="50"/>
        <v>358.09999999999974</v>
      </c>
      <c r="Z275" s="197">
        <f t="shared" si="55"/>
        <v>79.2</v>
      </c>
      <c r="AA275" s="197">
        <f t="shared" si="45"/>
        <v>96.600000000000023</v>
      </c>
      <c r="AB275" s="197">
        <f t="shared" si="47"/>
        <v>0</v>
      </c>
      <c r="AC275" s="197">
        <f t="shared" si="48"/>
        <v>0</v>
      </c>
      <c r="AD275" s="197">
        <f t="shared" si="51"/>
        <v>572.50000000000023</v>
      </c>
      <c r="AE275" s="197">
        <f t="shared" si="46"/>
        <v>125.11627906976744</v>
      </c>
      <c r="AF275" s="197">
        <f t="shared" si="52"/>
        <v>25031.13441823727</v>
      </c>
    </row>
    <row r="276" spans="1:32">
      <c r="A276" s="197">
        <v>2011</v>
      </c>
      <c r="B276" s="197">
        <v>6</v>
      </c>
      <c r="C276" s="197">
        <v>2</v>
      </c>
      <c r="D276" s="197">
        <v>2.4</v>
      </c>
      <c r="H276" s="238">
        <f t="shared" si="53"/>
        <v>309.50000000000006</v>
      </c>
      <c r="I276" s="197">
        <v>978</v>
      </c>
      <c r="J276" s="197">
        <v>1.8</v>
      </c>
      <c r="K276" s="197">
        <v>13.3</v>
      </c>
      <c r="L276" s="197">
        <v>10.7</v>
      </c>
      <c r="M276" s="197">
        <v>16.899999999999999</v>
      </c>
      <c r="N276" s="233">
        <v>40696</v>
      </c>
      <c r="O276" s="197">
        <f t="shared" si="54"/>
        <v>2956.8000000000006</v>
      </c>
      <c r="R276" s="197">
        <f t="shared" si="56"/>
        <v>1182.5</v>
      </c>
      <c r="S276" s="197">
        <f t="shared" si="49"/>
        <v>302159</v>
      </c>
      <c r="V276" s="197">
        <f t="shared" si="50"/>
        <v>144843</v>
      </c>
      <c r="W276" s="197">
        <f t="shared" si="50"/>
        <v>359.89999999999975</v>
      </c>
      <c r="Z276" s="197">
        <f t="shared" si="55"/>
        <v>81</v>
      </c>
      <c r="AA276" s="197">
        <f t="shared" si="45"/>
        <v>98.40000000000002</v>
      </c>
      <c r="AB276" s="197">
        <f t="shared" si="47"/>
        <v>0</v>
      </c>
      <c r="AC276" s="197">
        <f t="shared" si="48"/>
        <v>0</v>
      </c>
      <c r="AD276" s="197">
        <f t="shared" si="51"/>
        <v>574.9000000000002</v>
      </c>
      <c r="AE276" s="197">
        <f t="shared" si="46"/>
        <v>73.533834586466156</v>
      </c>
      <c r="AF276" s="197">
        <f t="shared" si="52"/>
        <v>25104.668252823736</v>
      </c>
    </row>
    <row r="277" spans="1:32">
      <c r="A277" s="197">
        <v>2011</v>
      </c>
      <c r="B277" s="197">
        <v>6</v>
      </c>
      <c r="C277" s="197">
        <v>3</v>
      </c>
      <c r="D277" s="197">
        <v>4.0999999999999996</v>
      </c>
      <c r="H277" s="238">
        <f t="shared" si="53"/>
        <v>313.60000000000008</v>
      </c>
      <c r="I277" s="197">
        <v>2241</v>
      </c>
      <c r="J277" s="197">
        <v>0</v>
      </c>
      <c r="K277" s="197">
        <v>17.2</v>
      </c>
      <c r="L277" s="197">
        <v>10.1</v>
      </c>
      <c r="M277" s="197">
        <v>24.2</v>
      </c>
      <c r="N277" s="233">
        <v>40697</v>
      </c>
      <c r="O277" s="197">
        <f t="shared" si="54"/>
        <v>2974.0000000000005</v>
      </c>
      <c r="R277" s="197">
        <f t="shared" si="56"/>
        <v>1199.7</v>
      </c>
      <c r="S277" s="197">
        <f t="shared" si="49"/>
        <v>304400</v>
      </c>
      <c r="V277" s="197">
        <f t="shared" si="50"/>
        <v>147084</v>
      </c>
      <c r="W277" s="197">
        <f t="shared" si="50"/>
        <v>359.89999999999975</v>
      </c>
      <c r="Z277" s="197">
        <f t="shared" si="55"/>
        <v>81</v>
      </c>
      <c r="AA277" s="197">
        <f t="shared" si="45"/>
        <v>98.40000000000002</v>
      </c>
      <c r="AB277" s="197">
        <f t="shared" si="47"/>
        <v>0</v>
      </c>
      <c r="AC277" s="197">
        <f t="shared" si="48"/>
        <v>0</v>
      </c>
      <c r="AD277" s="197">
        <f t="shared" si="51"/>
        <v>579.00000000000023</v>
      </c>
      <c r="AE277" s="197">
        <f t="shared" si="46"/>
        <v>130.29069767441862</v>
      </c>
      <c r="AF277" s="197">
        <f t="shared" si="52"/>
        <v>25234.958950498156</v>
      </c>
    </row>
    <row r="278" spans="1:32">
      <c r="A278" s="197">
        <v>2011</v>
      </c>
      <c r="B278" s="197">
        <v>6</v>
      </c>
      <c r="C278" s="197">
        <v>4</v>
      </c>
      <c r="D278" s="197">
        <v>2.8</v>
      </c>
      <c r="H278" s="238">
        <f t="shared" si="53"/>
        <v>316.40000000000009</v>
      </c>
      <c r="I278" s="197">
        <v>1212</v>
      </c>
      <c r="J278" s="197">
        <v>2.2000000000000002</v>
      </c>
      <c r="K278" s="197">
        <v>17.600000000000001</v>
      </c>
      <c r="L278" s="197">
        <v>13.3</v>
      </c>
      <c r="M278" s="197">
        <v>22.2</v>
      </c>
      <c r="N278" s="233">
        <v>40698</v>
      </c>
      <c r="O278" s="197">
        <f t="shared" si="54"/>
        <v>2991.6000000000004</v>
      </c>
      <c r="R278" s="197">
        <f t="shared" si="56"/>
        <v>1217.3</v>
      </c>
      <c r="S278" s="197">
        <f t="shared" si="49"/>
        <v>305612</v>
      </c>
      <c r="V278" s="197">
        <f t="shared" si="50"/>
        <v>148296</v>
      </c>
      <c r="W278" s="197">
        <f t="shared" si="50"/>
        <v>362.09999999999974</v>
      </c>
      <c r="Z278" s="197">
        <f t="shared" si="55"/>
        <v>83.2</v>
      </c>
      <c r="AA278" s="197">
        <f t="shared" si="45"/>
        <v>100.60000000000002</v>
      </c>
      <c r="AB278" s="197">
        <f t="shared" si="47"/>
        <v>0</v>
      </c>
      <c r="AC278" s="197">
        <f t="shared" si="48"/>
        <v>0</v>
      </c>
      <c r="AD278" s="197">
        <f t="shared" si="51"/>
        <v>581.80000000000018</v>
      </c>
      <c r="AE278" s="197">
        <f t="shared" si="46"/>
        <v>68.86363636363636</v>
      </c>
      <c r="AF278" s="197">
        <f t="shared" si="52"/>
        <v>25303.822586861792</v>
      </c>
    </row>
    <row r="279" spans="1:32">
      <c r="A279" s="197">
        <v>2011</v>
      </c>
      <c r="B279" s="197">
        <v>6</v>
      </c>
      <c r="C279" s="197">
        <v>5</v>
      </c>
      <c r="D279" s="197">
        <v>5.0999999999999996</v>
      </c>
      <c r="H279" s="238">
        <f t="shared" si="53"/>
        <v>321.50000000000011</v>
      </c>
      <c r="I279" s="197">
        <v>2251</v>
      </c>
      <c r="J279" s="197">
        <v>0</v>
      </c>
      <c r="K279" s="197">
        <v>19</v>
      </c>
      <c r="L279" s="197">
        <v>13.7</v>
      </c>
      <c r="M279" s="197">
        <v>25.2</v>
      </c>
      <c r="N279" s="233">
        <v>40699</v>
      </c>
      <c r="O279" s="197">
        <f t="shared" si="54"/>
        <v>3010.6000000000004</v>
      </c>
      <c r="R279" s="197">
        <f t="shared" si="56"/>
        <v>1236.3</v>
      </c>
      <c r="S279" s="197">
        <f t="shared" si="49"/>
        <v>307863</v>
      </c>
      <c r="V279" s="197">
        <f t="shared" si="50"/>
        <v>150547</v>
      </c>
      <c r="W279" s="197">
        <f t="shared" si="50"/>
        <v>362.09999999999974</v>
      </c>
      <c r="Z279" s="197">
        <f t="shared" si="55"/>
        <v>83.2</v>
      </c>
      <c r="AA279" s="197">
        <f t="shared" si="45"/>
        <v>100.60000000000002</v>
      </c>
      <c r="AB279" s="197">
        <f t="shared" si="47"/>
        <v>0</v>
      </c>
      <c r="AC279" s="197">
        <f t="shared" si="48"/>
        <v>0</v>
      </c>
      <c r="AD279" s="197">
        <f t="shared" si="51"/>
        <v>586.9000000000002</v>
      </c>
      <c r="AE279" s="197">
        <f t="shared" si="46"/>
        <v>118.47368421052632</v>
      </c>
      <c r="AF279" s="197">
        <f t="shared" si="52"/>
        <v>25422.296271072319</v>
      </c>
    </row>
    <row r="280" spans="1:32">
      <c r="A280" s="197">
        <v>2011</v>
      </c>
      <c r="B280" s="197">
        <v>6</v>
      </c>
      <c r="C280" s="197">
        <v>6</v>
      </c>
      <c r="D280" s="197">
        <v>5.5</v>
      </c>
      <c r="H280" s="238">
        <f t="shared" si="53"/>
        <v>327.00000000000011</v>
      </c>
      <c r="I280" s="197">
        <v>2054</v>
      </c>
      <c r="J280" s="197">
        <v>0</v>
      </c>
      <c r="K280" s="197">
        <v>19.600000000000001</v>
      </c>
      <c r="L280" s="197">
        <v>15.4</v>
      </c>
      <c r="M280" s="197">
        <v>25.8</v>
      </c>
      <c r="N280" s="233">
        <v>40700</v>
      </c>
      <c r="O280" s="197">
        <f t="shared" si="54"/>
        <v>3030.2000000000003</v>
      </c>
      <c r="R280" s="197">
        <f t="shared" si="56"/>
        <v>1255.8999999999999</v>
      </c>
      <c r="S280" s="197">
        <f t="shared" si="49"/>
        <v>309917</v>
      </c>
      <c r="V280" s="197">
        <f t="shared" si="50"/>
        <v>152601</v>
      </c>
      <c r="W280" s="197">
        <f t="shared" si="50"/>
        <v>362.09999999999974</v>
      </c>
      <c r="Z280" s="197">
        <f t="shared" si="55"/>
        <v>83.2</v>
      </c>
      <c r="AA280" s="197">
        <f t="shared" si="45"/>
        <v>100.60000000000002</v>
      </c>
      <c r="AB280" s="197">
        <f t="shared" si="47"/>
        <v>0</v>
      </c>
      <c r="AC280" s="197">
        <f t="shared" si="48"/>
        <v>0</v>
      </c>
      <c r="AD280" s="197">
        <f t="shared" si="51"/>
        <v>592.4000000000002</v>
      </c>
      <c r="AE280" s="197">
        <f t="shared" si="46"/>
        <v>104.79591836734693</v>
      </c>
      <c r="AF280" s="197">
        <f t="shared" si="52"/>
        <v>25527.092189439667</v>
      </c>
    </row>
    <row r="281" spans="1:32">
      <c r="A281" s="197">
        <v>2011</v>
      </c>
      <c r="B281" s="197">
        <v>6</v>
      </c>
      <c r="C281" s="197">
        <v>7</v>
      </c>
      <c r="D281" s="197">
        <v>1.7</v>
      </c>
      <c r="H281" s="238">
        <f t="shared" si="53"/>
        <v>328.7000000000001</v>
      </c>
      <c r="I281" s="197">
        <v>476</v>
      </c>
      <c r="J281" s="197">
        <v>18</v>
      </c>
      <c r="K281" s="197">
        <v>15.4</v>
      </c>
      <c r="L281" s="197">
        <v>13.6</v>
      </c>
      <c r="M281" s="197">
        <v>18.8</v>
      </c>
      <c r="N281" s="233">
        <v>40701</v>
      </c>
      <c r="O281" s="197">
        <f t="shared" si="54"/>
        <v>3045.6000000000004</v>
      </c>
      <c r="R281" s="197">
        <f t="shared" si="56"/>
        <v>1271.3</v>
      </c>
      <c r="S281" s="197">
        <f t="shared" si="49"/>
        <v>310393</v>
      </c>
      <c r="V281" s="197">
        <f t="shared" si="50"/>
        <v>153077</v>
      </c>
      <c r="W281" s="197">
        <f t="shared" si="50"/>
        <v>380.09999999999974</v>
      </c>
      <c r="Z281" s="197">
        <f t="shared" si="55"/>
        <v>101.2</v>
      </c>
      <c r="AA281" s="197">
        <f t="shared" si="45"/>
        <v>118.60000000000002</v>
      </c>
      <c r="AB281" s="197">
        <f t="shared" si="47"/>
        <v>0</v>
      </c>
      <c r="AC281" s="197">
        <f t="shared" si="48"/>
        <v>0</v>
      </c>
      <c r="AD281" s="197">
        <f t="shared" si="51"/>
        <v>594.10000000000025</v>
      </c>
      <c r="AE281" s="197">
        <f t="shared" si="46"/>
        <v>30.90909090909091</v>
      </c>
      <c r="AF281" s="197">
        <f t="shared" si="52"/>
        <v>25558.001280348759</v>
      </c>
    </row>
    <row r="282" spans="1:32">
      <c r="A282" s="197">
        <v>2011</v>
      </c>
      <c r="B282" s="197">
        <v>6</v>
      </c>
      <c r="C282" s="197">
        <v>8</v>
      </c>
      <c r="D282" s="197">
        <v>3.5</v>
      </c>
      <c r="H282" s="238">
        <f t="shared" si="53"/>
        <v>332.2000000000001</v>
      </c>
      <c r="I282" s="197">
        <v>1313</v>
      </c>
      <c r="J282" s="197">
        <v>3.2</v>
      </c>
      <c r="K282" s="197">
        <v>15.1</v>
      </c>
      <c r="L282" s="197">
        <v>12.7</v>
      </c>
      <c r="M282" s="197">
        <v>19.100000000000001</v>
      </c>
      <c r="N282" s="233">
        <v>40702</v>
      </c>
      <c r="O282" s="197">
        <f t="shared" si="54"/>
        <v>3060.7000000000003</v>
      </c>
      <c r="R282" s="197">
        <f t="shared" si="56"/>
        <v>1286.3999999999999</v>
      </c>
      <c r="S282" s="197">
        <f t="shared" si="49"/>
        <v>311706</v>
      </c>
      <c r="V282" s="197">
        <f t="shared" si="50"/>
        <v>154390</v>
      </c>
      <c r="W282" s="197">
        <f t="shared" si="50"/>
        <v>383.29999999999973</v>
      </c>
      <c r="Z282" s="197">
        <f t="shared" si="55"/>
        <v>104.4</v>
      </c>
      <c r="AA282" s="197">
        <f t="shared" si="45"/>
        <v>121.80000000000003</v>
      </c>
      <c r="AB282" s="197">
        <f t="shared" si="47"/>
        <v>0</v>
      </c>
      <c r="AC282" s="197">
        <f t="shared" si="48"/>
        <v>0</v>
      </c>
      <c r="AD282" s="197">
        <f t="shared" si="51"/>
        <v>597.60000000000025</v>
      </c>
      <c r="AE282" s="197">
        <f t="shared" si="46"/>
        <v>86.953642384105962</v>
      </c>
      <c r="AF282" s="197">
        <f t="shared" si="52"/>
        <v>25644.954922732864</v>
      </c>
    </row>
    <row r="283" spans="1:32" s="234" customFormat="1">
      <c r="A283" s="234">
        <v>2011</v>
      </c>
      <c r="B283" s="234">
        <v>6</v>
      </c>
      <c r="C283" s="234">
        <v>9</v>
      </c>
      <c r="D283" s="234">
        <v>4.4000000000000004</v>
      </c>
      <c r="H283" s="238">
        <f t="shared" si="53"/>
        <v>336.60000000000008</v>
      </c>
      <c r="I283" s="234">
        <v>1944</v>
      </c>
      <c r="J283" s="234">
        <v>0.4</v>
      </c>
      <c r="K283" s="234">
        <v>17</v>
      </c>
      <c r="L283" s="234">
        <v>12</v>
      </c>
      <c r="M283" s="234">
        <v>21.4</v>
      </c>
      <c r="N283" s="235">
        <v>40703</v>
      </c>
      <c r="O283" s="234">
        <f t="shared" si="54"/>
        <v>3077.7000000000003</v>
      </c>
      <c r="R283" s="234">
        <f t="shared" si="56"/>
        <v>1303.3999999999999</v>
      </c>
      <c r="S283" s="234">
        <f t="shared" si="49"/>
        <v>313650</v>
      </c>
      <c r="V283" s="234">
        <f t="shared" ref="V283:W284" si="57">V282+I283</f>
        <v>156334</v>
      </c>
      <c r="W283" s="234">
        <f t="shared" si="57"/>
        <v>383.6999999999997</v>
      </c>
      <c r="Z283" s="234">
        <f t="shared" si="55"/>
        <v>104.80000000000001</v>
      </c>
      <c r="AA283" s="234">
        <f t="shared" si="45"/>
        <v>122.20000000000003</v>
      </c>
      <c r="AB283" s="234">
        <f t="shared" si="47"/>
        <v>0</v>
      </c>
      <c r="AC283" s="234">
        <f t="shared" si="48"/>
        <v>0</v>
      </c>
      <c r="AD283" s="234">
        <f t="shared" si="51"/>
        <v>602.00000000000023</v>
      </c>
      <c r="AE283" s="197">
        <f t="shared" si="46"/>
        <v>114.35294117647059</v>
      </c>
      <c r="AF283" s="197">
        <f t="shared" si="52"/>
        <v>25759.307863909336</v>
      </c>
    </row>
    <row r="284" spans="1:32">
      <c r="A284" s="197">
        <v>2011</v>
      </c>
      <c r="B284" s="197">
        <v>6</v>
      </c>
      <c r="C284" s="197">
        <v>10</v>
      </c>
      <c r="D284" s="197">
        <v>2.9</v>
      </c>
      <c r="I284" s="197">
        <v>1023</v>
      </c>
      <c r="J284" s="197">
        <v>0.6</v>
      </c>
      <c r="K284" s="197">
        <v>15.7</v>
      </c>
      <c r="L284" s="197">
        <v>13.1</v>
      </c>
      <c r="M284" s="197">
        <v>19.100000000000001</v>
      </c>
      <c r="N284" s="233">
        <v>40704</v>
      </c>
      <c r="O284" s="197">
        <f t="shared" si="54"/>
        <v>3093.4</v>
      </c>
      <c r="S284" s="197">
        <f t="shared" si="49"/>
        <v>314673</v>
      </c>
      <c r="W284" s="197">
        <f t="shared" si="57"/>
        <v>384.29999999999973</v>
      </c>
      <c r="AA284" s="197">
        <f t="shared" si="45"/>
        <v>122.80000000000003</v>
      </c>
      <c r="AB284" s="197">
        <f t="shared" si="47"/>
        <v>0</v>
      </c>
      <c r="AC284" s="197">
        <f t="shared" si="48"/>
        <v>0</v>
      </c>
      <c r="AD284" s="197">
        <f t="shared" si="51"/>
        <v>604.9000000000002</v>
      </c>
      <c r="AE284" s="197">
        <f t="shared" si="46"/>
        <v>65.159235668789819</v>
      </c>
      <c r="AF284" s="197">
        <f t="shared" si="52"/>
        <v>25824.467099578127</v>
      </c>
    </row>
    <row r="286" spans="1:32">
      <c r="I286" s="197">
        <f t="shared" ref="I286:K286" si="58">AVERAGE(I9:I106)</f>
        <v>912.4591836734694</v>
      </c>
      <c r="J286" s="197">
        <f t="shared" si="58"/>
        <v>1.7704081632653059</v>
      </c>
      <c r="K286" s="197">
        <f t="shared" si="58"/>
        <v>11.662244897959194</v>
      </c>
      <c r="L286" s="197">
        <f>AVERAGE(L9:L106)</f>
        <v>7.8673469387755111</v>
      </c>
      <c r="M286" s="197">
        <f>AVERAGE(M9:M106)</f>
        <v>16.348979591836731</v>
      </c>
      <c r="N286" s="197">
        <f t="shared" ref="N286:AF286" si="59">AVERAGE(N9:N106)</f>
        <v>40477.5</v>
      </c>
      <c r="O286" s="197">
        <f t="shared" si="59"/>
        <v>715.44693877551038</v>
      </c>
      <c r="P286" s="197">
        <f t="shared" si="59"/>
        <v>0</v>
      </c>
      <c r="Q286" s="197" t="e">
        <f t="shared" si="59"/>
        <v>#DIV/0!</v>
      </c>
      <c r="R286" s="197" t="e">
        <f t="shared" si="59"/>
        <v>#DIV/0!</v>
      </c>
      <c r="S286" s="197">
        <f t="shared" si="59"/>
        <v>56134.183673469386</v>
      </c>
      <c r="T286" s="197" t="e">
        <f t="shared" si="59"/>
        <v>#DIV/0!</v>
      </c>
      <c r="U286" s="197" t="e">
        <f t="shared" si="59"/>
        <v>#DIV/0!</v>
      </c>
      <c r="V286" s="197" t="e">
        <f t="shared" si="59"/>
        <v>#DIV/0!</v>
      </c>
      <c r="W286" s="197">
        <f t="shared" si="59"/>
        <v>97.342857142857127</v>
      </c>
      <c r="AA286" s="197" t="e">
        <f t="shared" si="59"/>
        <v>#DIV/0!</v>
      </c>
      <c r="AB286" s="197">
        <f t="shared" si="59"/>
        <v>1.020408163265306E-2</v>
      </c>
      <c r="AC286" s="197">
        <f t="shared" si="59"/>
        <v>0.14285714285714285</v>
      </c>
      <c r="AD286" s="197">
        <f t="shared" si="59"/>
        <v>117.77959183673467</v>
      </c>
      <c r="AE286" s="197">
        <f t="shared" si="59"/>
        <v>108.01479822431746</v>
      </c>
      <c r="AF286" s="197" t="e">
        <f t="shared" si="59"/>
        <v>#DIV/0!</v>
      </c>
    </row>
    <row r="287" spans="1:32">
      <c r="I287" s="197">
        <f t="shared" ref="I287:K287" si="60">AVERAGE(I106:I118)</f>
        <v>401.23076923076923</v>
      </c>
      <c r="J287" s="197">
        <f t="shared" si="60"/>
        <v>1.7615384615384615</v>
      </c>
      <c r="K287" s="197">
        <f t="shared" si="60"/>
        <v>2.692307692307693</v>
      </c>
      <c r="L287" s="197">
        <f>AVERAGE(L106:L118)</f>
        <v>-0.59230769230769231</v>
      </c>
      <c r="M287" s="197">
        <f>AVERAGE(M106:M118)</f>
        <v>6.8692307692307688</v>
      </c>
      <c r="N287" s="197">
        <f t="shared" ref="N287:AF287" si="61">AVERAGE(N106:N118)</f>
        <v>40532</v>
      </c>
      <c r="O287" s="197">
        <f t="shared" si="61"/>
        <v>1162.3000000000011</v>
      </c>
      <c r="P287" s="197">
        <f t="shared" si="61"/>
        <v>19.000000000000004</v>
      </c>
      <c r="Q287" s="197" t="e">
        <f t="shared" si="61"/>
        <v>#DIV/0!</v>
      </c>
      <c r="R287" s="197" t="e">
        <f t="shared" si="61"/>
        <v>#DIV/0!</v>
      </c>
      <c r="S287" s="197">
        <f t="shared" si="61"/>
        <v>91590.769230769234</v>
      </c>
      <c r="T287" s="197">
        <f t="shared" si="61"/>
        <v>2350.5833333333335</v>
      </c>
      <c r="U287" s="197" t="e">
        <f t="shared" si="61"/>
        <v>#DIV/0!</v>
      </c>
      <c r="V287" s="197" t="e">
        <f t="shared" si="61"/>
        <v>#DIV/0!</v>
      </c>
      <c r="W287" s="197">
        <f t="shared" si="61"/>
        <v>182.99230769230766</v>
      </c>
      <c r="AA287" s="197" t="e">
        <f t="shared" si="61"/>
        <v>#DIV/0!</v>
      </c>
      <c r="AB287" s="197">
        <f t="shared" si="61"/>
        <v>0.30769230769230771</v>
      </c>
      <c r="AC287" s="197">
        <f t="shared" si="61"/>
        <v>0.69230769230769229</v>
      </c>
      <c r="AD287" s="197">
        <f t="shared" si="61"/>
        <v>173.4307692307693</v>
      </c>
      <c r="AE287" s="197">
        <f>AVERAGE(AE106:AE118)</f>
        <v>-56.306044813687222</v>
      </c>
      <c r="AF287" s="197" t="e">
        <f t="shared" si="61"/>
        <v>#DIV/0!</v>
      </c>
    </row>
    <row r="288" spans="1:32">
      <c r="I288" s="197">
        <f t="shared" ref="I288:K288" si="62">AVERAGE(I119:I201)</f>
        <v>743.04819277108436</v>
      </c>
      <c r="J288" s="197">
        <f t="shared" si="62"/>
        <v>0.99397590361445798</v>
      </c>
      <c r="K288" s="197">
        <f t="shared" si="62"/>
        <v>6.927710843373494</v>
      </c>
      <c r="L288" s="197">
        <f>AVERAGE(L119:L201)</f>
        <v>3.3108433734939768</v>
      </c>
      <c r="M288" s="197">
        <f>AVERAGE(M119:M201)</f>
        <v>11.172289156626505</v>
      </c>
      <c r="N288" s="197">
        <f t="shared" ref="N288:AF288" si="63">AVERAGE(N119:N201)</f>
        <v>40580</v>
      </c>
      <c r="O288" s="197">
        <f t="shared" si="63"/>
        <v>1443.7554216867472</v>
      </c>
      <c r="P288" s="197">
        <f t="shared" si="63"/>
        <v>41.400000000000006</v>
      </c>
      <c r="Q288" s="197">
        <f t="shared" si="63"/>
        <v>262.21463414634138</v>
      </c>
      <c r="R288" s="197" t="e">
        <f t="shared" si="63"/>
        <v>#DIV/0!</v>
      </c>
      <c r="S288" s="197">
        <f t="shared" si="63"/>
        <v>120069.31325301205</v>
      </c>
      <c r="T288" s="197">
        <f t="shared" si="63"/>
        <v>5080</v>
      </c>
      <c r="U288" s="197">
        <f t="shared" si="63"/>
        <v>25880.121951219513</v>
      </c>
      <c r="V288" s="197" t="e">
        <f t="shared" si="63"/>
        <v>#DIV/0!</v>
      </c>
      <c r="W288" s="197">
        <f t="shared" si="63"/>
        <v>232.22530120481929</v>
      </c>
      <c r="AA288" s="197">
        <f t="shared" si="63"/>
        <v>9.5636363636363644</v>
      </c>
      <c r="AB288" s="197">
        <f t="shared" si="63"/>
        <v>6.0240963855421686E-2</v>
      </c>
      <c r="AC288" s="197">
        <f t="shared" si="63"/>
        <v>0.2289156626506024</v>
      </c>
      <c r="AD288" s="197">
        <f t="shared" si="63"/>
        <v>207.01927710843381</v>
      </c>
      <c r="AE288" s="197">
        <f t="shared" si="63"/>
        <v>49.960081884646435</v>
      </c>
      <c r="AF288" s="197" t="e">
        <f t="shared" si="63"/>
        <v>#DIV/0!</v>
      </c>
    </row>
    <row r="289" spans="9:32">
      <c r="I289" s="197">
        <f t="shared" ref="I289:K289" si="64">AVERAGE(I202:I283)</f>
        <v>1952.1358024691358</v>
      </c>
      <c r="J289" s="197">
        <f t="shared" si="64"/>
        <v>1.2780487804878051</v>
      </c>
      <c r="K289" s="197">
        <f t="shared" si="64"/>
        <v>16.01829268292683</v>
      </c>
      <c r="L289" s="197">
        <f>AVERAGE(L202:L283)</f>
        <v>10.969135802469136</v>
      </c>
      <c r="M289" s="197">
        <f>AVERAGE(M202:M283)</f>
        <v>21.935802469135808</v>
      </c>
      <c r="N289" s="197">
        <f t="shared" ref="N289:AF289" si="65">AVERAGE(N202:N283)</f>
        <v>40662.5</v>
      </c>
      <c r="O289" s="197">
        <f t="shared" si="65"/>
        <v>2385.6792682926844</v>
      </c>
      <c r="P289" s="197" t="e">
        <f t="shared" si="65"/>
        <v>#DIV/0!</v>
      </c>
      <c r="Q289" s="197">
        <f t="shared" si="65"/>
        <v>589.59999999999991</v>
      </c>
      <c r="R289" s="197">
        <f t="shared" si="65"/>
        <v>618.92716049382727</v>
      </c>
      <c r="S289" s="197">
        <f t="shared" si="65"/>
        <v>233793.04878048779</v>
      </c>
      <c r="T289" s="197" t="e">
        <f t="shared" si="65"/>
        <v>#DIV/0!</v>
      </c>
      <c r="U289" s="197">
        <f t="shared" si="65"/>
        <v>62815</v>
      </c>
      <c r="V289" s="197">
        <f t="shared" si="65"/>
        <v>77421.209876543217</v>
      </c>
      <c r="W289" s="197">
        <f t="shared" si="65"/>
        <v>321.36707317073154</v>
      </c>
      <c r="AA289" s="197">
        <f t="shared" si="65"/>
        <v>59.867073170731686</v>
      </c>
      <c r="AB289" s="197">
        <f t="shared" si="65"/>
        <v>0</v>
      </c>
      <c r="AC289" s="197">
        <f t="shared" si="65"/>
        <v>1.2195121951219513E-2</v>
      </c>
      <c r="AD289" s="197">
        <f t="shared" si="65"/>
        <v>422.22560975609758</v>
      </c>
      <c r="AE289" s="197">
        <f>AVERAGE(AE202:AE283)</f>
        <v>121.00801758121622</v>
      </c>
      <c r="AF289" s="197">
        <f t="shared" si="65"/>
        <v>10175.487830215086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94"/>
  <sheetViews>
    <sheetView workbookViewId="0">
      <pane ySplit="1" topLeftCell="A2" activePane="bottomLeft" state="frozen"/>
      <selection pane="bottomLeft" activeCell="N1" sqref="N1"/>
    </sheetView>
  </sheetViews>
  <sheetFormatPr baseColWidth="10" defaultRowHeight="12.75"/>
  <cols>
    <col min="1" max="3" width="11.42578125" style="329"/>
    <col min="4" max="4" width="12.28515625" style="329" bestFit="1" customWidth="1"/>
    <col min="5" max="12" width="11.42578125" style="329"/>
    <col min="13" max="13" width="16.85546875" style="329" bestFit="1" customWidth="1"/>
    <col min="14" max="22" width="11.42578125" style="329"/>
    <col min="23" max="23" width="17.42578125" style="329" bestFit="1" customWidth="1"/>
    <col min="24" max="24" width="6.140625" style="329" bestFit="1" customWidth="1"/>
    <col min="25" max="25" width="6.5703125" style="329" bestFit="1" customWidth="1"/>
    <col min="26" max="16384" width="11.42578125" style="329"/>
  </cols>
  <sheetData>
    <row r="1" spans="1:25" ht="15">
      <c r="A1" s="329" t="s">
        <v>213</v>
      </c>
      <c r="B1" s="329" t="s">
        <v>7988</v>
      </c>
      <c r="D1" s="329" t="s">
        <v>7989</v>
      </c>
      <c r="F1" s="329" t="s">
        <v>7990</v>
      </c>
      <c r="H1" s="329" t="s">
        <v>7991</v>
      </c>
      <c r="L1" s="329" t="s">
        <v>213</v>
      </c>
      <c r="M1" s="330" t="s">
        <v>7992</v>
      </c>
      <c r="N1" s="330" t="s">
        <v>7993</v>
      </c>
      <c r="O1" s="330" t="s">
        <v>7986</v>
      </c>
      <c r="P1" s="330" t="s">
        <v>7987</v>
      </c>
      <c r="S1" s="329" t="s">
        <v>213</v>
      </c>
      <c r="T1" s="330" t="s">
        <v>7984</v>
      </c>
      <c r="U1" s="330" t="s">
        <v>7985</v>
      </c>
      <c r="V1" s="330" t="s">
        <v>7986</v>
      </c>
      <c r="W1" s="330" t="s">
        <v>7987</v>
      </c>
      <c r="X1" s="330" t="s">
        <v>7729</v>
      </c>
      <c r="Y1" s="330" t="s">
        <v>7730</v>
      </c>
    </row>
    <row r="2" spans="1:25" ht="15">
      <c r="A2" s="331">
        <v>40429</v>
      </c>
      <c r="B2" s="330" t="s">
        <v>7709</v>
      </c>
      <c r="C2" s="330" t="s">
        <v>7709</v>
      </c>
      <c r="D2" s="330" t="s">
        <v>7709</v>
      </c>
      <c r="E2" s="330" t="s">
        <v>7709</v>
      </c>
      <c r="F2" s="330" t="s">
        <v>7709</v>
      </c>
      <c r="G2" s="330" t="s">
        <v>7709</v>
      </c>
      <c r="H2" s="330" t="s">
        <v>7709</v>
      </c>
      <c r="I2" s="330" t="s">
        <v>7709</v>
      </c>
      <c r="L2" s="331">
        <v>40429</v>
      </c>
      <c r="M2" s="330" t="s">
        <v>7709</v>
      </c>
      <c r="N2" s="330" t="s">
        <v>7709</v>
      </c>
      <c r="O2" s="330" t="s">
        <v>7709</v>
      </c>
      <c r="P2" s="330" t="s">
        <v>7709</v>
      </c>
      <c r="S2" s="331">
        <v>40429</v>
      </c>
      <c r="T2" s="330" t="s">
        <v>7709</v>
      </c>
      <c r="U2" s="330" t="s">
        <v>7709</v>
      </c>
      <c r="V2" s="330" t="s">
        <v>7709</v>
      </c>
      <c r="W2" s="330" t="s">
        <v>7709</v>
      </c>
      <c r="X2" s="197">
        <v>1.8</v>
      </c>
      <c r="Y2" s="197">
        <v>18.2</v>
      </c>
    </row>
    <row r="3" spans="1:25" ht="15">
      <c r="A3" s="331">
        <v>40430</v>
      </c>
      <c r="B3" s="330" t="s">
        <v>7709</v>
      </c>
      <c r="C3" s="330" t="s">
        <v>7709</v>
      </c>
      <c r="D3" s="330" t="s">
        <v>7709</v>
      </c>
      <c r="E3" s="330" t="s">
        <v>7709</v>
      </c>
      <c r="F3" s="330" t="s">
        <v>7709</v>
      </c>
      <c r="G3" s="330" t="s">
        <v>7709</v>
      </c>
      <c r="H3" s="330" t="s">
        <v>7709</v>
      </c>
      <c r="I3" s="330" t="s">
        <v>7709</v>
      </c>
      <c r="L3" s="331">
        <v>40430</v>
      </c>
      <c r="M3" s="330" t="s">
        <v>7709</v>
      </c>
      <c r="N3" s="330" t="s">
        <v>7709</v>
      </c>
      <c r="O3" s="330" t="s">
        <v>7709</v>
      </c>
      <c r="P3" s="330" t="s">
        <v>7709</v>
      </c>
      <c r="S3" s="331">
        <v>40430</v>
      </c>
      <c r="T3" s="330" t="s">
        <v>7709</v>
      </c>
      <c r="U3" s="330" t="s">
        <v>7709</v>
      </c>
      <c r="V3" s="330" t="s">
        <v>7709</v>
      </c>
      <c r="W3" s="330" t="s">
        <v>7709</v>
      </c>
      <c r="X3" s="197">
        <v>0.2</v>
      </c>
      <c r="Y3" s="197">
        <v>18.5</v>
      </c>
    </row>
    <row r="4" spans="1:25" ht="15">
      <c r="A4" s="331">
        <v>40431</v>
      </c>
      <c r="B4" s="330" t="s">
        <v>7709</v>
      </c>
      <c r="C4" s="330" t="s">
        <v>7709</v>
      </c>
      <c r="D4" s="330" t="s">
        <v>7709</v>
      </c>
      <c r="E4" s="330" t="s">
        <v>7709</v>
      </c>
      <c r="F4" s="330" t="s">
        <v>7709</v>
      </c>
      <c r="G4" s="330" t="s">
        <v>7709</v>
      </c>
      <c r="H4" s="330" t="s">
        <v>7709</v>
      </c>
      <c r="I4" s="330" t="s">
        <v>7709</v>
      </c>
      <c r="L4" s="331">
        <v>40431</v>
      </c>
      <c r="M4" s="330" t="s">
        <v>7709</v>
      </c>
      <c r="N4" s="330" t="s">
        <v>7709</v>
      </c>
      <c r="O4" s="330" t="s">
        <v>7709</v>
      </c>
      <c r="P4" s="330" t="s">
        <v>7709</v>
      </c>
      <c r="S4" s="331">
        <v>40431</v>
      </c>
      <c r="T4" s="330" t="s">
        <v>7709</v>
      </c>
      <c r="U4" s="330" t="s">
        <v>7709</v>
      </c>
      <c r="V4" s="330" t="s">
        <v>7709</v>
      </c>
      <c r="W4" s="330" t="s">
        <v>7709</v>
      </c>
      <c r="X4" s="197">
        <v>0</v>
      </c>
      <c r="Y4" s="197">
        <v>19.399999999999999</v>
      </c>
    </row>
    <row r="5" spans="1:25" ht="15">
      <c r="A5" s="331">
        <v>40432</v>
      </c>
      <c r="B5" s="330" t="s">
        <v>7709</v>
      </c>
      <c r="C5" s="330" t="s">
        <v>7709</v>
      </c>
      <c r="D5" s="330" t="s">
        <v>7709</v>
      </c>
      <c r="E5" s="330" t="s">
        <v>7709</v>
      </c>
      <c r="F5" s="330" t="s">
        <v>7709</v>
      </c>
      <c r="G5" s="330" t="s">
        <v>7709</v>
      </c>
      <c r="H5" s="330" t="s">
        <v>7709</v>
      </c>
      <c r="I5" s="330" t="s">
        <v>7709</v>
      </c>
      <c r="L5" s="331">
        <v>40432</v>
      </c>
      <c r="M5" s="330" t="s">
        <v>7709</v>
      </c>
      <c r="N5" s="330" t="s">
        <v>7709</v>
      </c>
      <c r="O5" s="330" t="s">
        <v>7709</v>
      </c>
      <c r="P5" s="330" t="s">
        <v>7709</v>
      </c>
      <c r="S5" s="331">
        <v>40432</v>
      </c>
      <c r="T5" s="330" t="s">
        <v>7709</v>
      </c>
      <c r="U5" s="330" t="s">
        <v>7709</v>
      </c>
      <c r="V5" s="330" t="s">
        <v>7709</v>
      </c>
      <c r="W5" s="330" t="s">
        <v>7709</v>
      </c>
      <c r="X5" s="197">
        <v>0</v>
      </c>
      <c r="Y5" s="197">
        <v>20.9</v>
      </c>
    </row>
    <row r="6" spans="1:25" ht="15">
      <c r="A6" s="331">
        <v>40433</v>
      </c>
      <c r="B6" s="330" t="s">
        <v>7709</v>
      </c>
      <c r="C6" s="330" t="s">
        <v>7709</v>
      </c>
      <c r="D6" s="330" t="s">
        <v>7709</v>
      </c>
      <c r="E6" s="330" t="s">
        <v>7709</v>
      </c>
      <c r="F6" s="330" t="s">
        <v>7709</v>
      </c>
      <c r="G6" s="330" t="s">
        <v>7709</v>
      </c>
      <c r="H6" s="330" t="s">
        <v>7709</v>
      </c>
      <c r="I6" s="330" t="s">
        <v>7709</v>
      </c>
      <c r="L6" s="331">
        <v>40433</v>
      </c>
      <c r="M6" s="330" t="s">
        <v>7709</v>
      </c>
      <c r="N6" s="330" t="s">
        <v>7709</v>
      </c>
      <c r="O6" s="330" t="s">
        <v>7709</v>
      </c>
      <c r="P6" s="330" t="s">
        <v>7709</v>
      </c>
      <c r="S6" s="331">
        <v>40433</v>
      </c>
      <c r="T6" s="330" t="s">
        <v>7709</v>
      </c>
      <c r="U6" s="330" t="s">
        <v>7709</v>
      </c>
      <c r="V6" s="330" t="s">
        <v>7709</v>
      </c>
      <c r="W6" s="330" t="s">
        <v>7709</v>
      </c>
      <c r="X6" s="197">
        <v>0</v>
      </c>
      <c r="Y6" s="197">
        <v>21.1</v>
      </c>
    </row>
    <row r="7" spans="1:25" ht="15">
      <c r="A7" s="331">
        <v>40434</v>
      </c>
      <c r="B7" s="330" t="s">
        <v>7709</v>
      </c>
      <c r="C7" s="330" t="s">
        <v>7709</v>
      </c>
      <c r="D7" s="330" t="s">
        <v>7709</v>
      </c>
      <c r="E7" s="330" t="s">
        <v>7709</v>
      </c>
      <c r="F7" s="330" t="s">
        <v>7709</v>
      </c>
      <c r="G7" s="330" t="s">
        <v>7709</v>
      </c>
      <c r="H7" s="330" t="s">
        <v>7709</v>
      </c>
      <c r="I7" s="330" t="s">
        <v>7709</v>
      </c>
      <c r="L7" s="331">
        <v>40434</v>
      </c>
      <c r="M7" s="330" t="s">
        <v>7709</v>
      </c>
      <c r="N7" s="330" t="s">
        <v>7709</v>
      </c>
      <c r="O7" s="330" t="s">
        <v>7709</v>
      </c>
      <c r="P7" s="330" t="s">
        <v>7709</v>
      </c>
      <c r="S7" s="331">
        <v>40434</v>
      </c>
      <c r="T7" s="330" t="s">
        <v>7709</v>
      </c>
      <c r="U7" s="330" t="s">
        <v>7709</v>
      </c>
      <c r="V7" s="330" t="s">
        <v>7709</v>
      </c>
      <c r="W7" s="330" t="s">
        <v>7709</v>
      </c>
      <c r="X7" s="197">
        <v>0</v>
      </c>
      <c r="Y7" s="197">
        <v>19.100000000000001</v>
      </c>
    </row>
    <row r="8" spans="1:25" ht="15">
      <c r="A8" s="331">
        <v>40435</v>
      </c>
      <c r="B8" s="330" t="s">
        <v>7709</v>
      </c>
      <c r="C8" s="330" t="s">
        <v>7709</v>
      </c>
      <c r="D8" s="330" t="s">
        <v>7709</v>
      </c>
      <c r="E8" s="330" t="s">
        <v>7709</v>
      </c>
      <c r="F8" s="330" t="s">
        <v>7709</v>
      </c>
      <c r="G8" s="330" t="s">
        <v>7709</v>
      </c>
      <c r="H8" s="330" t="s">
        <v>7709</v>
      </c>
      <c r="I8" s="330" t="s">
        <v>7709</v>
      </c>
      <c r="L8" s="331">
        <v>40435</v>
      </c>
      <c r="M8" s="330" t="s">
        <v>7709</v>
      </c>
      <c r="N8" s="330" t="s">
        <v>7709</v>
      </c>
      <c r="O8" s="330" t="s">
        <v>7709</v>
      </c>
      <c r="P8" s="330" t="s">
        <v>7709</v>
      </c>
      <c r="S8" s="331">
        <v>40435</v>
      </c>
      <c r="T8" s="330" t="s">
        <v>7709</v>
      </c>
      <c r="U8" s="330" t="s">
        <v>7709</v>
      </c>
      <c r="V8" s="330" t="s">
        <v>7709</v>
      </c>
      <c r="W8" s="330" t="s">
        <v>7709</v>
      </c>
      <c r="X8" s="197">
        <v>0</v>
      </c>
      <c r="Y8" s="197">
        <v>18.899999999999999</v>
      </c>
    </row>
    <row r="9" spans="1:25" ht="15">
      <c r="A9" s="331">
        <v>40436</v>
      </c>
      <c r="B9" s="330" t="s">
        <v>7709</v>
      </c>
      <c r="C9" s="330" t="s">
        <v>7709</v>
      </c>
      <c r="D9" s="330" t="s">
        <v>7709</v>
      </c>
      <c r="E9" s="330" t="s">
        <v>7709</v>
      </c>
      <c r="F9" s="330" t="s">
        <v>7709</v>
      </c>
      <c r="G9" s="330" t="s">
        <v>7709</v>
      </c>
      <c r="H9" s="330" t="s">
        <v>7709</v>
      </c>
      <c r="I9" s="330" t="s">
        <v>7709</v>
      </c>
      <c r="L9" s="331">
        <v>40436</v>
      </c>
      <c r="M9" s="330" t="s">
        <v>7709</v>
      </c>
      <c r="N9" s="330" t="s">
        <v>7709</v>
      </c>
      <c r="O9" s="330" t="s">
        <v>7709</v>
      </c>
      <c r="P9" s="330" t="s">
        <v>7709</v>
      </c>
      <c r="S9" s="331">
        <v>40436</v>
      </c>
      <c r="T9" s="330" t="s">
        <v>7709</v>
      </c>
      <c r="U9" s="330" t="s">
        <v>7709</v>
      </c>
      <c r="V9" s="330" t="s">
        <v>7709</v>
      </c>
      <c r="W9" s="330" t="s">
        <v>7709</v>
      </c>
      <c r="X9" s="197">
        <v>0</v>
      </c>
      <c r="Y9" s="197">
        <v>20.7</v>
      </c>
    </row>
    <row r="10" spans="1:25" ht="15">
      <c r="A10" s="331">
        <v>40437</v>
      </c>
      <c r="B10" s="330" t="s">
        <v>7709</v>
      </c>
      <c r="C10" s="330" t="s">
        <v>7709</v>
      </c>
      <c r="D10" s="330" t="s">
        <v>7709</v>
      </c>
      <c r="E10" s="330" t="s">
        <v>7709</v>
      </c>
      <c r="F10" s="330" t="s">
        <v>7709</v>
      </c>
      <c r="G10" s="330" t="s">
        <v>7709</v>
      </c>
      <c r="H10" s="330" t="s">
        <v>7709</v>
      </c>
      <c r="I10" s="330" t="s">
        <v>7709</v>
      </c>
      <c r="L10" s="331">
        <v>40437</v>
      </c>
      <c r="M10" s="330" t="s">
        <v>7709</v>
      </c>
      <c r="N10" s="330" t="s">
        <v>7709</v>
      </c>
      <c r="O10" s="330" t="s">
        <v>7709</v>
      </c>
      <c r="P10" s="330" t="s">
        <v>7709</v>
      </c>
      <c r="S10" s="331">
        <v>40437</v>
      </c>
      <c r="T10" s="330" t="s">
        <v>7709</v>
      </c>
      <c r="U10" s="330" t="s">
        <v>7709</v>
      </c>
      <c r="V10" s="330" t="s">
        <v>7709</v>
      </c>
      <c r="W10" s="330" t="s">
        <v>7709</v>
      </c>
      <c r="X10" s="197">
        <v>3.6</v>
      </c>
      <c r="Y10" s="197">
        <v>16.100000000000001</v>
      </c>
    </row>
    <row r="11" spans="1:25" ht="15">
      <c r="A11" s="331">
        <v>40438</v>
      </c>
      <c r="B11" s="330" t="s">
        <v>7709</v>
      </c>
      <c r="C11" s="330" t="s">
        <v>7709</v>
      </c>
      <c r="D11" s="330" t="s">
        <v>7709</v>
      </c>
      <c r="E11" s="330" t="s">
        <v>7709</v>
      </c>
      <c r="F11" s="330" t="s">
        <v>7709</v>
      </c>
      <c r="G11" s="330" t="s">
        <v>7709</v>
      </c>
      <c r="H11" s="330" t="s">
        <v>7709</v>
      </c>
      <c r="I11" s="330" t="s">
        <v>7709</v>
      </c>
      <c r="L11" s="331">
        <v>40438</v>
      </c>
      <c r="M11" s="330" t="s">
        <v>7709</v>
      </c>
      <c r="N11" s="330" t="s">
        <v>7709</v>
      </c>
      <c r="O11" s="330" t="s">
        <v>7709</v>
      </c>
      <c r="P11" s="330" t="s">
        <v>7709</v>
      </c>
      <c r="S11" s="331">
        <v>40438</v>
      </c>
      <c r="T11" s="330" t="s">
        <v>7709</v>
      </c>
      <c r="U11" s="330" t="s">
        <v>7709</v>
      </c>
      <c r="V11" s="330" t="s">
        <v>7709</v>
      </c>
      <c r="W11" s="330" t="s">
        <v>7709</v>
      </c>
      <c r="X11" s="197">
        <v>3.8</v>
      </c>
      <c r="Y11" s="197">
        <v>17.399999999999999</v>
      </c>
    </row>
    <row r="12" spans="1:25" ht="15">
      <c r="A12" s="331">
        <v>40439</v>
      </c>
      <c r="B12" s="330" t="s">
        <v>7709</v>
      </c>
      <c r="C12" s="330" t="s">
        <v>7709</v>
      </c>
      <c r="D12" s="330" t="s">
        <v>7709</v>
      </c>
      <c r="E12" s="330" t="s">
        <v>7709</v>
      </c>
      <c r="F12" s="330" t="s">
        <v>7709</v>
      </c>
      <c r="G12" s="330" t="s">
        <v>7709</v>
      </c>
      <c r="H12" s="330" t="s">
        <v>7709</v>
      </c>
      <c r="I12" s="330" t="s">
        <v>7709</v>
      </c>
      <c r="L12" s="331">
        <v>40439</v>
      </c>
      <c r="M12" s="330" t="s">
        <v>7709</v>
      </c>
      <c r="N12" s="330" t="s">
        <v>7709</v>
      </c>
      <c r="O12" s="330" t="s">
        <v>7709</v>
      </c>
      <c r="P12" s="330" t="s">
        <v>7709</v>
      </c>
      <c r="S12" s="331">
        <v>40439</v>
      </c>
      <c r="T12" s="330" t="s">
        <v>7709</v>
      </c>
      <c r="U12" s="330" t="s">
        <v>7709</v>
      </c>
      <c r="V12" s="330" t="s">
        <v>7709</v>
      </c>
      <c r="W12" s="330" t="s">
        <v>7709</v>
      </c>
      <c r="X12" s="197">
        <v>0.4</v>
      </c>
      <c r="Y12" s="197">
        <v>16.3</v>
      </c>
    </row>
    <row r="13" spans="1:25" ht="15">
      <c r="A13" s="331">
        <v>40440</v>
      </c>
      <c r="B13" s="330" t="s">
        <v>7709</v>
      </c>
      <c r="C13" s="330" t="s">
        <v>7709</v>
      </c>
      <c r="D13" s="330" t="s">
        <v>7709</v>
      </c>
      <c r="E13" s="330" t="s">
        <v>7709</v>
      </c>
      <c r="F13" s="330" t="s">
        <v>7709</v>
      </c>
      <c r="G13" s="330" t="s">
        <v>7709</v>
      </c>
      <c r="H13" s="330" t="s">
        <v>7709</v>
      </c>
      <c r="I13" s="330" t="s">
        <v>7709</v>
      </c>
      <c r="L13" s="331">
        <v>40440</v>
      </c>
      <c r="M13" s="330" t="s">
        <v>7709</v>
      </c>
      <c r="N13" s="330" t="s">
        <v>7709</v>
      </c>
      <c r="O13" s="330" t="s">
        <v>7709</v>
      </c>
      <c r="P13" s="330" t="s">
        <v>7709</v>
      </c>
      <c r="S13" s="331">
        <v>40440</v>
      </c>
      <c r="T13" s="330" t="s">
        <v>7709</v>
      </c>
      <c r="U13" s="330" t="s">
        <v>7709</v>
      </c>
      <c r="V13" s="330" t="s">
        <v>7709</v>
      </c>
      <c r="W13" s="330" t="s">
        <v>7709</v>
      </c>
      <c r="X13" s="197">
        <v>0</v>
      </c>
      <c r="Y13" s="197">
        <v>15.4</v>
      </c>
    </row>
    <row r="14" spans="1:25" ht="15">
      <c r="A14" s="331">
        <v>40441</v>
      </c>
      <c r="B14" s="330" t="s">
        <v>7709</v>
      </c>
      <c r="C14" s="330" t="s">
        <v>7709</v>
      </c>
      <c r="D14" s="330" t="s">
        <v>7709</v>
      </c>
      <c r="E14" s="330" t="s">
        <v>7709</v>
      </c>
      <c r="F14" s="330" t="s">
        <v>7709</v>
      </c>
      <c r="G14" s="330" t="s">
        <v>7709</v>
      </c>
      <c r="H14" s="330" t="s">
        <v>7709</v>
      </c>
      <c r="I14" s="330" t="s">
        <v>7709</v>
      </c>
      <c r="L14" s="331">
        <v>40441</v>
      </c>
      <c r="M14" s="330" t="s">
        <v>7709</v>
      </c>
      <c r="N14" s="330" t="s">
        <v>7709</v>
      </c>
      <c r="O14" s="330" t="s">
        <v>7709</v>
      </c>
      <c r="P14" s="330" t="s">
        <v>7709</v>
      </c>
      <c r="S14" s="331">
        <v>40441</v>
      </c>
      <c r="T14" s="330" t="s">
        <v>7709</v>
      </c>
      <c r="U14" s="330" t="s">
        <v>7709</v>
      </c>
      <c r="V14" s="330" t="s">
        <v>7709</v>
      </c>
      <c r="W14" s="330" t="s">
        <v>7709</v>
      </c>
      <c r="X14" s="197">
        <v>0</v>
      </c>
      <c r="Y14" s="197">
        <v>18</v>
      </c>
    </row>
    <row r="15" spans="1:25" ht="15">
      <c r="A15" s="331">
        <v>40442</v>
      </c>
      <c r="B15" s="330" t="s">
        <v>7709</v>
      </c>
      <c r="C15" s="330" t="s">
        <v>7709</v>
      </c>
      <c r="D15" s="330" t="s">
        <v>7709</v>
      </c>
      <c r="E15" s="330" t="s">
        <v>7709</v>
      </c>
      <c r="F15" s="330" t="s">
        <v>7709</v>
      </c>
      <c r="G15" s="330" t="s">
        <v>7709</v>
      </c>
      <c r="H15" s="330" t="s">
        <v>7709</v>
      </c>
      <c r="I15" s="330" t="s">
        <v>7709</v>
      </c>
      <c r="L15" s="331">
        <v>40442</v>
      </c>
      <c r="M15" s="330" t="s">
        <v>7709</v>
      </c>
      <c r="N15" s="330" t="s">
        <v>7709</v>
      </c>
      <c r="O15" s="330" t="s">
        <v>7709</v>
      </c>
      <c r="P15" s="330" t="s">
        <v>7709</v>
      </c>
      <c r="S15" s="331">
        <v>40442</v>
      </c>
      <c r="T15" s="330" t="s">
        <v>7709</v>
      </c>
      <c r="U15" s="330" t="s">
        <v>7709</v>
      </c>
      <c r="V15" s="330" t="s">
        <v>7709</v>
      </c>
      <c r="W15" s="330" t="s">
        <v>7709</v>
      </c>
      <c r="X15" s="197">
        <v>0</v>
      </c>
      <c r="Y15" s="197">
        <v>19.399999999999999</v>
      </c>
    </row>
    <row r="16" spans="1:25" ht="15">
      <c r="A16" s="331">
        <v>40443</v>
      </c>
      <c r="B16" s="330" t="s">
        <v>7709</v>
      </c>
      <c r="C16" s="330" t="s">
        <v>7709</v>
      </c>
      <c r="D16" s="330" t="s">
        <v>7709</v>
      </c>
      <c r="E16" s="330" t="s">
        <v>7709</v>
      </c>
      <c r="F16" s="330" t="s">
        <v>7709</v>
      </c>
      <c r="G16" s="330" t="s">
        <v>7709</v>
      </c>
      <c r="H16" s="330" t="s">
        <v>7709</v>
      </c>
      <c r="I16" s="330" t="s">
        <v>7709</v>
      </c>
      <c r="L16" s="331">
        <v>40443</v>
      </c>
      <c r="M16" s="330" t="s">
        <v>7709</v>
      </c>
      <c r="N16" s="330" t="s">
        <v>7709</v>
      </c>
      <c r="O16" s="330" t="s">
        <v>7709</v>
      </c>
      <c r="P16" s="330" t="s">
        <v>7709</v>
      </c>
      <c r="S16" s="331">
        <v>40443</v>
      </c>
      <c r="T16" s="330" t="s">
        <v>7709</v>
      </c>
      <c r="U16" s="330" t="s">
        <v>7709</v>
      </c>
      <c r="V16" s="330" t="s">
        <v>7709</v>
      </c>
      <c r="W16" s="330" t="s">
        <v>7709</v>
      </c>
      <c r="X16" s="197">
        <v>0</v>
      </c>
      <c r="Y16" s="197">
        <v>21.2</v>
      </c>
    </row>
    <row r="17" spans="1:25" ht="15">
      <c r="A17" s="331">
        <v>40444</v>
      </c>
      <c r="B17" s="330" t="s">
        <v>7709</v>
      </c>
      <c r="C17" s="330" t="s">
        <v>7709</v>
      </c>
      <c r="D17" s="330" t="s">
        <v>7709</v>
      </c>
      <c r="E17" s="330" t="s">
        <v>7709</v>
      </c>
      <c r="F17" s="330" t="s">
        <v>7709</v>
      </c>
      <c r="G17" s="330" t="s">
        <v>7709</v>
      </c>
      <c r="H17" s="330" t="s">
        <v>7709</v>
      </c>
      <c r="I17" s="330" t="s">
        <v>7709</v>
      </c>
      <c r="L17" s="331">
        <v>40444</v>
      </c>
      <c r="M17" s="330" t="s">
        <v>7709</v>
      </c>
      <c r="N17" s="330" t="s">
        <v>7709</v>
      </c>
      <c r="O17" s="330" t="s">
        <v>7709</v>
      </c>
      <c r="P17" s="330" t="s">
        <v>7709</v>
      </c>
      <c r="S17" s="331">
        <v>40444</v>
      </c>
      <c r="T17" s="330" t="s">
        <v>7709</v>
      </c>
      <c r="U17" s="330" t="s">
        <v>7709</v>
      </c>
      <c r="V17" s="330" t="s">
        <v>7709</v>
      </c>
      <c r="W17" s="330" t="s">
        <v>7709</v>
      </c>
      <c r="X17" s="197">
        <v>10.3</v>
      </c>
      <c r="Y17" s="197">
        <v>19.7</v>
      </c>
    </row>
    <row r="18" spans="1:25" ht="15">
      <c r="A18" s="331">
        <v>40445</v>
      </c>
      <c r="B18" s="330" t="s">
        <v>7709</v>
      </c>
      <c r="C18" s="330" t="s">
        <v>7709</v>
      </c>
      <c r="D18" s="330" t="s">
        <v>7709</v>
      </c>
      <c r="E18" s="330" t="s">
        <v>7709</v>
      </c>
      <c r="F18" s="330" t="s">
        <v>7709</v>
      </c>
      <c r="G18" s="330" t="s">
        <v>7709</v>
      </c>
      <c r="H18" s="330" t="s">
        <v>7709</v>
      </c>
      <c r="I18" s="330" t="s">
        <v>7709</v>
      </c>
      <c r="L18" s="331">
        <v>40445</v>
      </c>
      <c r="M18" s="330" t="s">
        <v>7709</v>
      </c>
      <c r="N18" s="330" t="s">
        <v>7709</v>
      </c>
      <c r="O18" s="330" t="s">
        <v>7709</v>
      </c>
      <c r="P18" s="330" t="s">
        <v>7709</v>
      </c>
      <c r="S18" s="331">
        <v>40445</v>
      </c>
      <c r="T18" s="330" t="s">
        <v>7709</v>
      </c>
      <c r="U18" s="330" t="s">
        <v>7709</v>
      </c>
      <c r="V18" s="330" t="s">
        <v>7709</v>
      </c>
      <c r="W18" s="330" t="s">
        <v>7709</v>
      </c>
      <c r="X18" s="197">
        <v>6.4</v>
      </c>
      <c r="Y18" s="197">
        <v>16.3</v>
      </c>
    </row>
    <row r="19" spans="1:25" ht="15">
      <c r="A19" s="331">
        <v>40446</v>
      </c>
      <c r="B19" s="330" t="s">
        <v>7709</v>
      </c>
      <c r="C19" s="330" t="s">
        <v>7709</v>
      </c>
      <c r="D19" s="330" t="s">
        <v>7709</v>
      </c>
      <c r="E19" s="330" t="s">
        <v>7709</v>
      </c>
      <c r="F19" s="330" t="s">
        <v>7709</v>
      </c>
      <c r="G19" s="330" t="s">
        <v>7709</v>
      </c>
      <c r="H19" s="330" t="s">
        <v>7709</v>
      </c>
      <c r="I19" s="330" t="s">
        <v>7709</v>
      </c>
      <c r="L19" s="331">
        <v>40446</v>
      </c>
      <c r="M19" s="330" t="s">
        <v>7709</v>
      </c>
      <c r="N19" s="330" t="s">
        <v>7709</v>
      </c>
      <c r="O19" s="330" t="s">
        <v>7709</v>
      </c>
      <c r="P19" s="330" t="s">
        <v>7709</v>
      </c>
      <c r="S19" s="331">
        <v>40446</v>
      </c>
      <c r="T19" s="330" t="s">
        <v>7709</v>
      </c>
      <c r="U19" s="330" t="s">
        <v>7709</v>
      </c>
      <c r="V19" s="330" t="s">
        <v>7709</v>
      </c>
      <c r="W19" s="330" t="s">
        <v>7709</v>
      </c>
      <c r="X19" s="197">
        <v>0</v>
      </c>
      <c r="Y19" s="197">
        <v>14.9</v>
      </c>
    </row>
    <row r="20" spans="1:25" ht="15">
      <c r="A20" s="331">
        <v>40447</v>
      </c>
      <c r="B20" s="330" t="s">
        <v>7709</v>
      </c>
      <c r="C20" s="330" t="s">
        <v>7709</v>
      </c>
      <c r="D20" s="330" t="s">
        <v>7709</v>
      </c>
      <c r="E20" s="330" t="s">
        <v>7709</v>
      </c>
      <c r="F20" s="330" t="s">
        <v>7709</v>
      </c>
      <c r="G20" s="330" t="s">
        <v>7709</v>
      </c>
      <c r="H20" s="330" t="s">
        <v>7709</v>
      </c>
      <c r="I20" s="330" t="s">
        <v>7709</v>
      </c>
      <c r="L20" s="331">
        <v>40447</v>
      </c>
      <c r="M20" s="330" t="s">
        <v>7709</v>
      </c>
      <c r="N20" s="330" t="s">
        <v>7709</v>
      </c>
      <c r="O20" s="330" t="s">
        <v>7709</v>
      </c>
      <c r="P20" s="330" t="s">
        <v>7709</v>
      </c>
      <c r="S20" s="331">
        <v>40447</v>
      </c>
      <c r="T20" s="330" t="s">
        <v>7709</v>
      </c>
      <c r="U20" s="330" t="s">
        <v>7709</v>
      </c>
      <c r="V20" s="330" t="s">
        <v>7709</v>
      </c>
      <c r="W20" s="330" t="s">
        <v>7709</v>
      </c>
      <c r="X20" s="197">
        <v>0</v>
      </c>
      <c r="Y20" s="197">
        <v>12.7</v>
      </c>
    </row>
    <row r="21" spans="1:25" ht="15">
      <c r="A21" s="331">
        <v>40448</v>
      </c>
      <c r="B21" s="330" t="s">
        <v>7709</v>
      </c>
      <c r="C21" s="330" t="s">
        <v>7709</v>
      </c>
      <c r="D21" s="330" t="s">
        <v>7709</v>
      </c>
      <c r="E21" s="330" t="s">
        <v>7709</v>
      </c>
      <c r="F21" s="330" t="s">
        <v>7709</v>
      </c>
      <c r="G21" s="330" t="s">
        <v>7709</v>
      </c>
      <c r="H21" s="330" t="s">
        <v>7709</v>
      </c>
      <c r="I21" s="330" t="s">
        <v>7709</v>
      </c>
      <c r="L21" s="331">
        <v>40448</v>
      </c>
      <c r="M21" s="330" t="s">
        <v>7709</v>
      </c>
      <c r="N21" s="330" t="s">
        <v>7709</v>
      </c>
      <c r="O21" s="330" t="s">
        <v>7709</v>
      </c>
      <c r="P21" s="330" t="s">
        <v>7709</v>
      </c>
      <c r="S21" s="331">
        <v>40448</v>
      </c>
      <c r="T21" s="330" t="s">
        <v>7709</v>
      </c>
      <c r="U21" s="330" t="s">
        <v>7709</v>
      </c>
      <c r="V21" s="330" t="s">
        <v>7709</v>
      </c>
      <c r="W21" s="330" t="s">
        <v>7709</v>
      </c>
      <c r="X21" s="197">
        <v>0</v>
      </c>
      <c r="Y21" s="197">
        <v>12.5</v>
      </c>
    </row>
    <row r="22" spans="1:25" ht="15">
      <c r="A22" s="331">
        <v>40449</v>
      </c>
      <c r="B22" s="330" t="s">
        <v>7709</v>
      </c>
      <c r="C22" s="330" t="s">
        <v>7709</v>
      </c>
      <c r="D22" s="330" t="s">
        <v>7709</v>
      </c>
      <c r="E22" s="330" t="s">
        <v>7709</v>
      </c>
      <c r="F22" s="330" t="s">
        <v>7709</v>
      </c>
      <c r="G22" s="330" t="s">
        <v>7709</v>
      </c>
      <c r="H22" s="330" t="s">
        <v>7709</v>
      </c>
      <c r="I22" s="330" t="s">
        <v>7709</v>
      </c>
      <c r="L22" s="331">
        <v>40449</v>
      </c>
      <c r="M22" s="330" t="s">
        <v>7709</v>
      </c>
      <c r="N22" s="330" t="s">
        <v>7709</v>
      </c>
      <c r="O22" s="330" t="s">
        <v>7709</v>
      </c>
      <c r="P22" s="330" t="s">
        <v>7709</v>
      </c>
      <c r="S22" s="331">
        <v>40449</v>
      </c>
      <c r="T22" s="330" t="s">
        <v>7709</v>
      </c>
      <c r="U22" s="330" t="s">
        <v>7709</v>
      </c>
      <c r="V22" s="330" t="s">
        <v>7709</v>
      </c>
      <c r="W22" s="330" t="s">
        <v>7709</v>
      </c>
      <c r="X22" s="197">
        <v>0</v>
      </c>
      <c r="Y22" s="197">
        <v>13.9</v>
      </c>
    </row>
    <row r="23" spans="1:25" ht="15">
      <c r="A23" s="331">
        <v>40450</v>
      </c>
      <c r="B23" s="330" t="s">
        <v>7709</v>
      </c>
      <c r="C23" s="330" t="s">
        <v>7709</v>
      </c>
      <c r="D23" s="330" t="s">
        <v>7709</v>
      </c>
      <c r="E23" s="330" t="s">
        <v>7709</v>
      </c>
      <c r="F23" s="330" t="s">
        <v>7709</v>
      </c>
      <c r="G23" s="330" t="s">
        <v>7709</v>
      </c>
      <c r="H23" s="330" t="s">
        <v>7709</v>
      </c>
      <c r="I23" s="330" t="s">
        <v>7709</v>
      </c>
      <c r="L23" s="331">
        <v>40450</v>
      </c>
      <c r="M23" s="330" t="s">
        <v>7709</v>
      </c>
      <c r="N23" s="330" t="s">
        <v>7709</v>
      </c>
      <c r="O23" s="330" t="s">
        <v>7709</v>
      </c>
      <c r="P23" s="330" t="s">
        <v>7709</v>
      </c>
      <c r="S23" s="331">
        <v>40450</v>
      </c>
      <c r="T23" s="330" t="s">
        <v>7709</v>
      </c>
      <c r="U23" s="330" t="s">
        <v>7709</v>
      </c>
      <c r="V23" s="330" t="s">
        <v>7709</v>
      </c>
      <c r="W23" s="330" t="s">
        <v>7709</v>
      </c>
      <c r="X23" s="197">
        <v>0</v>
      </c>
      <c r="Y23" s="197">
        <v>14.3</v>
      </c>
    </row>
    <row r="24" spans="1:25" ht="15">
      <c r="A24" s="331">
        <v>40451</v>
      </c>
      <c r="B24" s="330" t="s">
        <v>7709</v>
      </c>
      <c r="C24" s="330" t="s">
        <v>7709</v>
      </c>
      <c r="D24" s="330" t="s">
        <v>7709</v>
      </c>
      <c r="E24" s="330" t="s">
        <v>7709</v>
      </c>
      <c r="F24" s="330" t="s">
        <v>7709</v>
      </c>
      <c r="G24" s="330" t="s">
        <v>7709</v>
      </c>
      <c r="H24" s="330" t="s">
        <v>7709</v>
      </c>
      <c r="I24" s="330" t="s">
        <v>7709</v>
      </c>
      <c r="L24" s="331">
        <v>40451</v>
      </c>
      <c r="M24" s="330" t="s">
        <v>7709</v>
      </c>
      <c r="N24" s="330" t="s">
        <v>7709</v>
      </c>
      <c r="O24" s="330" t="s">
        <v>7709</v>
      </c>
      <c r="P24" s="330" t="s">
        <v>7709</v>
      </c>
      <c r="S24" s="331">
        <v>40451</v>
      </c>
      <c r="T24" s="330" t="s">
        <v>7709</v>
      </c>
      <c r="U24" s="330" t="s">
        <v>7709</v>
      </c>
      <c r="V24" s="330" t="s">
        <v>7709</v>
      </c>
      <c r="W24" s="330" t="s">
        <v>7709</v>
      </c>
      <c r="X24" s="197">
        <v>0</v>
      </c>
      <c r="Y24" s="197">
        <v>14.2</v>
      </c>
    </row>
    <row r="25" spans="1:25" ht="15">
      <c r="A25" s="331">
        <v>40452</v>
      </c>
      <c r="B25" s="330" t="s">
        <v>7709</v>
      </c>
      <c r="C25" s="330" t="s">
        <v>7709</v>
      </c>
      <c r="D25" s="330" t="s">
        <v>7709</v>
      </c>
      <c r="E25" s="330" t="s">
        <v>7709</v>
      </c>
      <c r="F25" s="330" t="s">
        <v>7709</v>
      </c>
      <c r="G25" s="330" t="s">
        <v>7709</v>
      </c>
      <c r="H25" s="330" t="s">
        <v>7709</v>
      </c>
      <c r="I25" s="330" t="s">
        <v>7709</v>
      </c>
      <c r="L25" s="331">
        <v>40452</v>
      </c>
      <c r="M25" s="330" t="s">
        <v>7709</v>
      </c>
      <c r="N25" s="330" t="s">
        <v>7709</v>
      </c>
      <c r="O25" s="330" t="s">
        <v>7709</v>
      </c>
      <c r="P25" s="330" t="s">
        <v>7709</v>
      </c>
      <c r="S25" s="331">
        <v>40452</v>
      </c>
      <c r="T25" s="330" t="s">
        <v>7709</v>
      </c>
      <c r="U25" s="330" t="s">
        <v>7709</v>
      </c>
      <c r="V25" s="330" t="s">
        <v>7709</v>
      </c>
      <c r="W25" s="330" t="s">
        <v>7709</v>
      </c>
      <c r="X25" s="197">
        <v>0.2</v>
      </c>
      <c r="Y25" s="197">
        <v>16.100000000000001</v>
      </c>
    </row>
    <row r="26" spans="1:25" ht="15">
      <c r="A26" s="331">
        <v>40453</v>
      </c>
      <c r="B26" s="330" t="s">
        <v>7709</v>
      </c>
      <c r="C26" s="330" t="s">
        <v>7709</v>
      </c>
      <c r="D26" s="330" t="s">
        <v>7709</v>
      </c>
      <c r="E26" s="330" t="s">
        <v>7709</v>
      </c>
      <c r="F26" s="330" t="s">
        <v>7709</v>
      </c>
      <c r="G26" s="330" t="s">
        <v>7709</v>
      </c>
      <c r="H26" s="330" t="s">
        <v>7709</v>
      </c>
      <c r="I26" s="330" t="s">
        <v>7709</v>
      </c>
      <c r="L26" s="331">
        <v>40453</v>
      </c>
      <c r="M26" s="330" t="s">
        <v>7709</v>
      </c>
      <c r="N26" s="330" t="s">
        <v>7709</v>
      </c>
      <c r="O26" s="330" t="s">
        <v>7709</v>
      </c>
      <c r="P26" s="330" t="s">
        <v>7709</v>
      </c>
      <c r="S26" s="331">
        <v>40453</v>
      </c>
      <c r="T26" s="330" t="s">
        <v>7709</v>
      </c>
      <c r="U26" s="330" t="s">
        <v>7709</v>
      </c>
      <c r="V26" s="330" t="s">
        <v>7709</v>
      </c>
      <c r="W26" s="330" t="s">
        <v>7709</v>
      </c>
      <c r="X26" s="197">
        <v>0</v>
      </c>
      <c r="Y26" s="197">
        <v>18.3</v>
      </c>
    </row>
    <row r="27" spans="1:25" ht="15">
      <c r="A27" s="331">
        <v>40454</v>
      </c>
      <c r="B27" s="330" t="s">
        <v>7709</v>
      </c>
      <c r="C27" s="330" t="s">
        <v>7709</v>
      </c>
      <c r="D27" s="330" t="s">
        <v>7709</v>
      </c>
      <c r="E27" s="330" t="s">
        <v>7709</v>
      </c>
      <c r="F27" s="330" t="s">
        <v>7709</v>
      </c>
      <c r="G27" s="330" t="s">
        <v>7709</v>
      </c>
      <c r="H27" s="330" t="s">
        <v>7709</v>
      </c>
      <c r="I27" s="330" t="s">
        <v>7709</v>
      </c>
      <c r="L27" s="331">
        <v>40454</v>
      </c>
      <c r="M27" s="330" t="s">
        <v>7709</v>
      </c>
      <c r="N27" s="330" t="s">
        <v>7709</v>
      </c>
      <c r="O27" s="330" t="s">
        <v>7709</v>
      </c>
      <c r="P27" s="330" t="s">
        <v>7709</v>
      </c>
      <c r="S27" s="331">
        <v>40454</v>
      </c>
      <c r="T27" s="330" t="s">
        <v>7709</v>
      </c>
      <c r="U27" s="330" t="s">
        <v>7709</v>
      </c>
      <c r="V27" s="330" t="s">
        <v>7709</v>
      </c>
      <c r="W27" s="330" t="s">
        <v>7709</v>
      </c>
      <c r="X27" s="197">
        <v>0</v>
      </c>
      <c r="Y27" s="197">
        <v>21.5</v>
      </c>
    </row>
    <row r="28" spans="1:25" ht="15">
      <c r="A28" s="331">
        <v>40455</v>
      </c>
      <c r="B28" s="330" t="s">
        <v>7709</v>
      </c>
      <c r="C28" s="330" t="s">
        <v>7709</v>
      </c>
      <c r="D28" s="330" t="s">
        <v>7709</v>
      </c>
      <c r="E28" s="330" t="s">
        <v>7709</v>
      </c>
      <c r="F28" s="330" t="s">
        <v>7709</v>
      </c>
      <c r="G28" s="330" t="s">
        <v>7709</v>
      </c>
      <c r="H28" s="330" t="s">
        <v>7709</v>
      </c>
      <c r="I28" s="330" t="s">
        <v>7709</v>
      </c>
      <c r="L28" s="331">
        <v>40455</v>
      </c>
      <c r="M28" s="330" t="s">
        <v>7709</v>
      </c>
      <c r="N28" s="330" t="s">
        <v>7709</v>
      </c>
      <c r="O28" s="330" t="s">
        <v>7709</v>
      </c>
      <c r="P28" s="330" t="s">
        <v>7709</v>
      </c>
      <c r="S28" s="331">
        <v>40455</v>
      </c>
      <c r="T28" s="330" t="s">
        <v>7709</v>
      </c>
      <c r="U28" s="330" t="s">
        <v>7709</v>
      </c>
      <c r="V28" s="330" t="s">
        <v>7709</v>
      </c>
      <c r="W28" s="330" t="s">
        <v>7709</v>
      </c>
      <c r="X28" s="197">
        <v>2.6</v>
      </c>
      <c r="Y28" s="197">
        <v>16.7</v>
      </c>
    </row>
    <row r="29" spans="1:25" ht="15">
      <c r="A29" s="331">
        <v>40456</v>
      </c>
      <c r="B29" s="330" t="s">
        <v>7709</v>
      </c>
      <c r="C29" s="330" t="s">
        <v>7709</v>
      </c>
      <c r="D29" s="330" t="s">
        <v>7709</v>
      </c>
      <c r="E29" s="330" t="s">
        <v>7709</v>
      </c>
      <c r="F29" s="330" t="s">
        <v>7709</v>
      </c>
      <c r="G29" s="330" t="s">
        <v>7709</v>
      </c>
      <c r="H29" s="330" t="s">
        <v>7709</v>
      </c>
      <c r="I29" s="330" t="s">
        <v>7709</v>
      </c>
      <c r="L29" s="331">
        <v>40456</v>
      </c>
      <c r="M29" s="330" t="s">
        <v>7709</v>
      </c>
      <c r="N29" s="330" t="s">
        <v>7709</v>
      </c>
      <c r="O29" s="330" t="s">
        <v>7709</v>
      </c>
      <c r="P29" s="330" t="s">
        <v>7709</v>
      </c>
      <c r="S29" s="331">
        <v>40456</v>
      </c>
      <c r="T29" s="330" t="s">
        <v>7709</v>
      </c>
      <c r="U29" s="330" t="s">
        <v>7709</v>
      </c>
      <c r="V29" s="330" t="s">
        <v>7709</v>
      </c>
      <c r="W29" s="330" t="s">
        <v>7709</v>
      </c>
      <c r="X29" s="197">
        <v>0</v>
      </c>
      <c r="Y29" s="197">
        <v>17.3</v>
      </c>
    </row>
    <row r="30" spans="1:25" ht="15">
      <c r="A30" s="331">
        <v>40457</v>
      </c>
      <c r="B30" s="330" t="s">
        <v>7709</v>
      </c>
      <c r="C30" s="330" t="s">
        <v>7709</v>
      </c>
      <c r="D30" s="330" t="s">
        <v>7709</v>
      </c>
      <c r="E30" s="330" t="s">
        <v>7709</v>
      </c>
      <c r="F30" s="330" t="s">
        <v>7709</v>
      </c>
      <c r="G30" s="330" t="s">
        <v>7709</v>
      </c>
      <c r="H30" s="330" t="s">
        <v>7709</v>
      </c>
      <c r="I30" s="330" t="s">
        <v>7709</v>
      </c>
      <c r="L30" s="331">
        <v>40457</v>
      </c>
      <c r="M30" s="330" t="s">
        <v>7709</v>
      </c>
      <c r="N30" s="330" t="s">
        <v>7709</v>
      </c>
      <c r="O30" s="330" t="s">
        <v>7709</v>
      </c>
      <c r="P30" s="330" t="s">
        <v>7709</v>
      </c>
      <c r="S30" s="331">
        <v>40457</v>
      </c>
      <c r="T30" s="330" t="s">
        <v>7709</v>
      </c>
      <c r="U30" s="330" t="s">
        <v>7709</v>
      </c>
      <c r="V30" s="330" t="s">
        <v>7709</v>
      </c>
      <c r="W30" s="330" t="s">
        <v>7709</v>
      </c>
      <c r="X30" s="197">
        <v>0</v>
      </c>
      <c r="Y30" s="197">
        <v>19.2</v>
      </c>
    </row>
    <row r="31" spans="1:25">
      <c r="A31" s="331">
        <v>40458</v>
      </c>
      <c r="B31" s="329">
        <v>34.700000000000003</v>
      </c>
      <c r="D31" s="329">
        <v>32.4</v>
      </c>
      <c r="F31" s="329">
        <v>20.2</v>
      </c>
      <c r="H31" s="329">
        <v>17.8</v>
      </c>
      <c r="L31" s="331">
        <v>40458</v>
      </c>
      <c r="S31" s="331">
        <v>40458</v>
      </c>
      <c r="T31" s="329">
        <v>34.75</v>
      </c>
      <c r="U31" s="329">
        <v>32.549999999999997</v>
      </c>
      <c r="V31" s="329">
        <v>20.100000000000001</v>
      </c>
      <c r="W31" s="329">
        <v>8.9</v>
      </c>
      <c r="X31" s="197">
        <v>0</v>
      </c>
      <c r="Y31" s="197">
        <v>20</v>
      </c>
    </row>
    <row r="32" spans="1:25">
      <c r="A32" s="331">
        <v>40458</v>
      </c>
      <c r="B32" s="329">
        <v>34.799999999999997</v>
      </c>
      <c r="C32" s="329">
        <f>AVERAGE(B31:B32)</f>
        <v>34.75</v>
      </c>
      <c r="D32" s="329">
        <v>32.700000000000003</v>
      </c>
      <c r="E32" s="329">
        <f>AVERAGE(D31:D32)</f>
        <v>32.549999999999997</v>
      </c>
      <c r="F32" s="329">
        <v>20</v>
      </c>
      <c r="G32" s="329">
        <f>AVERAGE(F31:F32)</f>
        <v>20.100000000000001</v>
      </c>
      <c r="H32" s="329">
        <v>0</v>
      </c>
      <c r="I32" s="329">
        <f>AVERAGE(H31:H32)</f>
        <v>8.9</v>
      </c>
      <c r="L32" s="331">
        <v>40458</v>
      </c>
      <c r="M32" s="329">
        <v>34.75</v>
      </c>
      <c r="N32" s="329">
        <v>32.549999999999997</v>
      </c>
      <c r="O32" s="329">
        <v>20.100000000000001</v>
      </c>
      <c r="P32" s="329">
        <v>8.9</v>
      </c>
      <c r="S32" s="331">
        <v>40459</v>
      </c>
      <c r="T32" s="329">
        <v>34.85</v>
      </c>
      <c r="U32" s="329">
        <v>33.166666666666664</v>
      </c>
      <c r="V32" s="329">
        <v>19.150000000000002</v>
      </c>
      <c r="W32" s="329">
        <v>18.25</v>
      </c>
      <c r="X32" s="197">
        <v>0</v>
      </c>
      <c r="Y32" s="197">
        <v>20.399999999999999</v>
      </c>
    </row>
    <row r="33" spans="1:25">
      <c r="A33" s="331">
        <v>40459</v>
      </c>
      <c r="B33" s="329">
        <v>34.799999999999997</v>
      </c>
      <c r="C33" s="329">
        <f>AVERAGEIFS($B$33:$B$1494,$A$33:$A$1494,A33)</f>
        <v>34.85</v>
      </c>
      <c r="D33" s="329">
        <v>32.9</v>
      </c>
      <c r="E33" s="329">
        <f>AVERAGEIFS($D$33:$D$1494,$A$33:$A$1494,A33)</f>
        <v>33.166666666666664</v>
      </c>
      <c r="F33" s="329">
        <v>19</v>
      </c>
      <c r="G33" s="329">
        <f>AVERAGEIFS($F$33:$F$1494,$A$33:$A$1494,A33)</f>
        <v>19.150000000000002</v>
      </c>
      <c r="H33" s="329">
        <v>18.399999999999999</v>
      </c>
      <c r="I33" s="329">
        <f>AVERAGEIFS($H$33:$H$1494,$A$33:$A$1494,A33)</f>
        <v>18.25</v>
      </c>
      <c r="L33" s="331">
        <v>40459</v>
      </c>
      <c r="M33" s="329">
        <v>34.85</v>
      </c>
      <c r="N33" s="329">
        <v>33.166666666666664</v>
      </c>
      <c r="O33" s="329">
        <v>19.150000000000002</v>
      </c>
      <c r="P33" s="329">
        <v>18.25</v>
      </c>
      <c r="S33" s="331">
        <v>40460</v>
      </c>
      <c r="T33" s="329">
        <v>34.833333333333336</v>
      </c>
      <c r="U33" s="329">
        <v>33.4</v>
      </c>
      <c r="V33" s="329">
        <v>19.150000000000002</v>
      </c>
      <c r="W33" s="329">
        <v>18.466666666666665</v>
      </c>
      <c r="X33" s="197">
        <v>6.7</v>
      </c>
      <c r="Y33" s="197">
        <v>19.3</v>
      </c>
    </row>
    <row r="34" spans="1:25">
      <c r="A34" s="331">
        <v>40459</v>
      </c>
      <c r="B34" s="329">
        <v>34.799999999999997</v>
      </c>
      <c r="C34" s="329">
        <f t="shared" ref="C34:C38" si="0">AVERAGEIFS($B$33:$B$1494,$A$33:$A$1494,A34)</f>
        <v>34.85</v>
      </c>
      <c r="D34" s="329">
        <v>33.1</v>
      </c>
      <c r="E34" s="329">
        <f t="shared" ref="E34:E97" si="1">AVERAGEIFS($D$33:$D$1494,$A$33:$A$1494,A34)</f>
        <v>33.166666666666664</v>
      </c>
      <c r="F34" s="329">
        <v>18.399999999999999</v>
      </c>
      <c r="G34" s="329">
        <f t="shared" ref="G34:G97" si="2">AVERAGEIFS($F$33:$F$1494,$A$33:$A$1494,A34)</f>
        <v>19.150000000000002</v>
      </c>
      <c r="H34" s="329">
        <v>18.3</v>
      </c>
      <c r="I34" s="329">
        <f t="shared" ref="I34:I97" si="3">AVERAGEIFS($H$33:$H$1494,$A$33:$A$1494,A34)</f>
        <v>18.25</v>
      </c>
      <c r="L34" s="331">
        <v>40459</v>
      </c>
      <c r="M34" s="329">
        <v>34.85</v>
      </c>
      <c r="N34" s="329">
        <v>33.166666666666664</v>
      </c>
      <c r="O34" s="329">
        <v>19.150000000000002</v>
      </c>
      <c r="P34" s="329">
        <v>18.25</v>
      </c>
      <c r="S34" s="331">
        <v>40461</v>
      </c>
      <c r="T34" s="329">
        <v>48.916666666666664</v>
      </c>
      <c r="U34" s="329">
        <v>45.566666666666663</v>
      </c>
      <c r="V34" s="329">
        <v>18.033333333333331</v>
      </c>
      <c r="W34" s="329">
        <v>18.25</v>
      </c>
      <c r="X34" s="197">
        <v>57.3</v>
      </c>
      <c r="Y34" s="197">
        <v>15.5</v>
      </c>
    </row>
    <row r="35" spans="1:25">
      <c r="A35" s="331">
        <v>40459</v>
      </c>
      <c r="B35" s="329">
        <v>34.9</v>
      </c>
      <c r="C35" s="329">
        <f t="shared" si="0"/>
        <v>34.85</v>
      </c>
      <c r="D35" s="329">
        <v>33.200000000000003</v>
      </c>
      <c r="E35" s="329">
        <f t="shared" si="1"/>
        <v>33.166666666666664</v>
      </c>
      <c r="F35" s="329">
        <v>17.899999999999999</v>
      </c>
      <c r="G35" s="329">
        <f t="shared" si="2"/>
        <v>19.150000000000002</v>
      </c>
      <c r="H35" s="329">
        <v>18.2</v>
      </c>
      <c r="I35" s="329">
        <f t="shared" si="3"/>
        <v>18.25</v>
      </c>
      <c r="L35" s="331">
        <v>40459</v>
      </c>
      <c r="M35" s="329">
        <v>34.85</v>
      </c>
      <c r="N35" s="329">
        <v>33.166666666666664</v>
      </c>
      <c r="O35" s="329">
        <v>19.150000000000002</v>
      </c>
      <c r="P35" s="329">
        <v>18.25</v>
      </c>
      <c r="S35" s="331">
        <v>40462</v>
      </c>
      <c r="T35" s="329">
        <v>68.116666666666674</v>
      </c>
      <c r="U35" s="329">
        <v>69.699999999999989</v>
      </c>
      <c r="V35" s="329">
        <v>16.450000000000003</v>
      </c>
      <c r="W35" s="329">
        <v>17</v>
      </c>
      <c r="X35" s="197">
        <v>1</v>
      </c>
      <c r="Y35" s="197">
        <v>15.3</v>
      </c>
    </row>
    <row r="36" spans="1:25">
      <c r="A36" s="331">
        <v>40459</v>
      </c>
      <c r="B36" s="329">
        <v>34.9</v>
      </c>
      <c r="C36" s="329">
        <f t="shared" si="0"/>
        <v>34.85</v>
      </c>
      <c r="D36" s="329">
        <v>33.200000000000003</v>
      </c>
      <c r="E36" s="329">
        <f t="shared" si="1"/>
        <v>33.166666666666664</v>
      </c>
      <c r="F36" s="329">
        <v>18.600000000000001</v>
      </c>
      <c r="G36" s="329">
        <f t="shared" si="2"/>
        <v>19.150000000000002</v>
      </c>
      <c r="H36" s="329">
        <v>18</v>
      </c>
      <c r="I36" s="329">
        <f t="shared" si="3"/>
        <v>18.25</v>
      </c>
      <c r="L36" s="331">
        <v>40459</v>
      </c>
      <c r="M36" s="329">
        <v>34.85</v>
      </c>
      <c r="N36" s="329">
        <v>33.166666666666664</v>
      </c>
      <c r="O36" s="329">
        <v>19.150000000000002</v>
      </c>
      <c r="P36" s="329">
        <v>18.25</v>
      </c>
      <c r="S36" s="331">
        <v>40463</v>
      </c>
      <c r="T36" s="329">
        <v>48.216666666666669</v>
      </c>
      <c r="U36" s="329">
        <v>62.816666666666663</v>
      </c>
      <c r="V36" s="329">
        <v>15.916666666666666</v>
      </c>
      <c r="W36" s="329">
        <v>16.333333333333332</v>
      </c>
      <c r="X36" s="197">
        <v>0</v>
      </c>
      <c r="Y36" s="197">
        <v>16.3</v>
      </c>
    </row>
    <row r="37" spans="1:25">
      <c r="A37" s="331">
        <v>40459</v>
      </c>
      <c r="B37" s="329">
        <v>34.799999999999997</v>
      </c>
      <c r="C37" s="329">
        <f t="shared" si="0"/>
        <v>34.85</v>
      </c>
      <c r="D37" s="329">
        <v>33.299999999999997</v>
      </c>
      <c r="E37" s="329">
        <f t="shared" si="1"/>
        <v>33.166666666666664</v>
      </c>
      <c r="F37" s="329">
        <v>20.6</v>
      </c>
      <c r="G37" s="329">
        <f t="shared" si="2"/>
        <v>19.150000000000002</v>
      </c>
      <c r="H37" s="329">
        <v>18.100000000000001</v>
      </c>
      <c r="I37" s="329">
        <f t="shared" si="3"/>
        <v>18.25</v>
      </c>
      <c r="L37" s="331">
        <v>40459</v>
      </c>
      <c r="M37" s="329">
        <v>34.85</v>
      </c>
      <c r="N37" s="329">
        <v>33.166666666666664</v>
      </c>
      <c r="O37" s="329">
        <v>19.150000000000002</v>
      </c>
      <c r="P37" s="329">
        <v>18.25</v>
      </c>
      <c r="S37" s="331">
        <v>40464</v>
      </c>
      <c r="T37" s="329">
        <v>44.816666666666663</v>
      </c>
      <c r="U37" s="329">
        <v>47.583333333333336</v>
      </c>
      <c r="V37" s="329">
        <v>16.433333333333334</v>
      </c>
      <c r="W37" s="329">
        <v>16.399999999999999</v>
      </c>
      <c r="X37" s="197">
        <v>0</v>
      </c>
      <c r="Y37" s="197">
        <v>16</v>
      </c>
    </row>
    <row r="38" spans="1:25">
      <c r="A38" s="331">
        <v>40459</v>
      </c>
      <c r="B38" s="329">
        <v>34.9</v>
      </c>
      <c r="C38" s="329">
        <f t="shared" si="0"/>
        <v>34.85</v>
      </c>
      <c r="D38" s="329">
        <v>33.299999999999997</v>
      </c>
      <c r="E38" s="329">
        <f t="shared" si="1"/>
        <v>33.166666666666664</v>
      </c>
      <c r="F38" s="329">
        <v>20.399999999999999</v>
      </c>
      <c r="G38" s="329">
        <f t="shared" si="2"/>
        <v>19.150000000000002</v>
      </c>
      <c r="H38" s="329">
        <v>18.5</v>
      </c>
      <c r="I38" s="329">
        <f t="shared" si="3"/>
        <v>18.25</v>
      </c>
      <c r="L38" s="331">
        <v>40459</v>
      </c>
      <c r="M38" s="329">
        <v>34.85</v>
      </c>
      <c r="N38" s="329">
        <v>33.166666666666664</v>
      </c>
      <c r="O38" s="329">
        <v>19.150000000000002</v>
      </c>
      <c r="P38" s="329">
        <v>18.25</v>
      </c>
      <c r="S38" s="331">
        <v>40465</v>
      </c>
      <c r="T38" s="329">
        <v>43.849999999999994</v>
      </c>
      <c r="U38" s="329">
        <v>45.93333333333333</v>
      </c>
      <c r="V38" s="329">
        <v>15.65</v>
      </c>
      <c r="W38" s="329">
        <v>16.200000000000003</v>
      </c>
      <c r="X38" s="197">
        <v>0.2</v>
      </c>
      <c r="Y38" s="197">
        <v>13.5</v>
      </c>
    </row>
    <row r="39" spans="1:25">
      <c r="A39" s="331">
        <v>40460</v>
      </c>
      <c r="B39" s="329">
        <v>34.9</v>
      </c>
      <c r="C39" s="329">
        <f>AVERAGEIFS($B$33:$B$1494,$A$33:$A$1494,A39)</f>
        <v>34.833333333333336</v>
      </c>
      <c r="D39" s="329">
        <v>33.4</v>
      </c>
      <c r="E39" s="329">
        <f t="shared" si="1"/>
        <v>33.4</v>
      </c>
      <c r="F39" s="329">
        <v>19.5</v>
      </c>
      <c r="G39" s="329">
        <f t="shared" si="2"/>
        <v>19.150000000000002</v>
      </c>
      <c r="H39" s="329">
        <v>18.7</v>
      </c>
      <c r="I39" s="329">
        <f t="shared" si="3"/>
        <v>18.466666666666665</v>
      </c>
      <c r="L39" s="331">
        <v>40460</v>
      </c>
      <c r="M39" s="329">
        <v>34.833333333333336</v>
      </c>
      <c r="N39" s="329">
        <v>33.4</v>
      </c>
      <c r="O39" s="329">
        <v>19.150000000000002</v>
      </c>
      <c r="P39" s="329">
        <v>18.466666666666665</v>
      </c>
      <c r="S39" s="331">
        <v>40466</v>
      </c>
      <c r="T39" s="329">
        <v>43.166666666666657</v>
      </c>
      <c r="U39" s="329">
        <v>45.15</v>
      </c>
      <c r="V39" s="329">
        <v>13.466666666666669</v>
      </c>
      <c r="W39" s="329">
        <v>15.116666666666667</v>
      </c>
      <c r="X39" s="197">
        <v>0</v>
      </c>
      <c r="Y39" s="197">
        <v>9.5</v>
      </c>
    </row>
    <row r="40" spans="1:25">
      <c r="A40" s="331">
        <v>40460</v>
      </c>
      <c r="B40" s="329">
        <v>34.799999999999997</v>
      </c>
      <c r="C40" s="329">
        <f t="shared" ref="C40:C103" si="4">AVERAGEIFS($B$33:$B$1494,$A$33:$A$1494,A40)</f>
        <v>34.833333333333336</v>
      </c>
      <c r="D40" s="329">
        <v>33.4</v>
      </c>
      <c r="E40" s="329">
        <f t="shared" si="1"/>
        <v>33.4</v>
      </c>
      <c r="F40" s="329">
        <v>18.7</v>
      </c>
      <c r="G40" s="329">
        <f t="shared" si="2"/>
        <v>19.150000000000002</v>
      </c>
      <c r="H40" s="329">
        <v>18.600000000000001</v>
      </c>
      <c r="I40" s="329">
        <f t="shared" si="3"/>
        <v>18.466666666666665</v>
      </c>
      <c r="L40" s="331">
        <v>40460</v>
      </c>
      <c r="M40" s="329">
        <v>34.833333333333336</v>
      </c>
      <c r="N40" s="329">
        <v>33.4</v>
      </c>
      <c r="O40" s="329">
        <v>19.150000000000002</v>
      </c>
      <c r="P40" s="329">
        <v>18.466666666666665</v>
      </c>
      <c r="S40" s="331">
        <v>40467</v>
      </c>
      <c r="T40" s="329">
        <v>42.699999999999989</v>
      </c>
      <c r="U40" s="329">
        <v>44.666666666666664</v>
      </c>
      <c r="V40" s="329">
        <v>11.899999999999999</v>
      </c>
      <c r="W40" s="329">
        <v>13.866666666666667</v>
      </c>
      <c r="X40" s="197">
        <v>0.2</v>
      </c>
      <c r="Y40" s="197">
        <v>9.6999999999999993</v>
      </c>
    </row>
    <row r="41" spans="1:25">
      <c r="A41" s="331">
        <v>40460</v>
      </c>
      <c r="B41" s="329">
        <v>34.9</v>
      </c>
      <c r="C41" s="329">
        <f t="shared" si="4"/>
        <v>34.833333333333336</v>
      </c>
      <c r="D41" s="329">
        <v>33.4</v>
      </c>
      <c r="E41" s="329">
        <f t="shared" si="1"/>
        <v>33.4</v>
      </c>
      <c r="F41" s="329">
        <v>18.2</v>
      </c>
      <c r="G41" s="329">
        <f t="shared" si="2"/>
        <v>19.150000000000002</v>
      </c>
      <c r="H41" s="329">
        <v>18.399999999999999</v>
      </c>
      <c r="I41" s="329">
        <f t="shared" si="3"/>
        <v>18.466666666666665</v>
      </c>
      <c r="L41" s="331">
        <v>40460</v>
      </c>
      <c r="M41" s="329">
        <v>34.833333333333336</v>
      </c>
      <c r="N41" s="329">
        <v>33.4</v>
      </c>
      <c r="O41" s="329">
        <v>19.150000000000002</v>
      </c>
      <c r="P41" s="329">
        <v>18.466666666666665</v>
      </c>
      <c r="S41" s="331">
        <v>40468</v>
      </c>
      <c r="T41" s="329">
        <v>42.333333333333336</v>
      </c>
      <c r="U41" s="329">
        <v>44.316666666666663</v>
      </c>
      <c r="V41" s="329">
        <v>11.916666666666666</v>
      </c>
      <c r="W41" s="329">
        <v>13.216666666666663</v>
      </c>
      <c r="X41" s="197">
        <v>0</v>
      </c>
      <c r="Y41" s="197">
        <v>9.1999999999999993</v>
      </c>
    </row>
    <row r="42" spans="1:25">
      <c r="A42" s="331">
        <v>40460</v>
      </c>
      <c r="B42" s="329">
        <v>34.799999999999997</v>
      </c>
      <c r="C42" s="329">
        <f t="shared" si="4"/>
        <v>34.833333333333336</v>
      </c>
      <c r="D42" s="329">
        <v>33.4</v>
      </c>
      <c r="E42" s="329">
        <f t="shared" si="1"/>
        <v>33.4</v>
      </c>
      <c r="F42" s="329">
        <v>18.7</v>
      </c>
      <c r="G42" s="329">
        <f t="shared" si="2"/>
        <v>19.150000000000002</v>
      </c>
      <c r="H42" s="329">
        <v>18.3</v>
      </c>
      <c r="I42" s="329">
        <f t="shared" si="3"/>
        <v>18.466666666666665</v>
      </c>
      <c r="L42" s="331">
        <v>40460</v>
      </c>
      <c r="M42" s="329">
        <v>34.833333333333336</v>
      </c>
      <c r="N42" s="329">
        <v>33.4</v>
      </c>
      <c r="O42" s="329">
        <v>19.150000000000002</v>
      </c>
      <c r="P42" s="329">
        <v>18.466666666666665</v>
      </c>
      <c r="S42" s="331">
        <v>40469</v>
      </c>
      <c r="T42" s="329">
        <v>42.18333333333333</v>
      </c>
      <c r="U42" s="329">
        <v>43.966666666666669</v>
      </c>
      <c r="V42" s="329">
        <v>10.716666666666667</v>
      </c>
      <c r="W42" s="329">
        <v>12.549999999999999</v>
      </c>
      <c r="X42" s="197">
        <v>0</v>
      </c>
      <c r="Y42" s="197">
        <v>6.7</v>
      </c>
    </row>
    <row r="43" spans="1:25">
      <c r="A43" s="331">
        <v>40460</v>
      </c>
      <c r="B43" s="329">
        <v>34.799999999999997</v>
      </c>
      <c r="C43" s="329">
        <f t="shared" si="4"/>
        <v>34.833333333333336</v>
      </c>
      <c r="D43" s="329">
        <v>33.4</v>
      </c>
      <c r="E43" s="329">
        <f t="shared" si="1"/>
        <v>33.4</v>
      </c>
      <c r="F43" s="329">
        <v>20.100000000000001</v>
      </c>
      <c r="G43" s="329">
        <f t="shared" si="2"/>
        <v>19.150000000000002</v>
      </c>
      <c r="H43" s="329">
        <v>18.3</v>
      </c>
      <c r="I43" s="329">
        <f t="shared" si="3"/>
        <v>18.466666666666665</v>
      </c>
      <c r="L43" s="331">
        <v>40460</v>
      </c>
      <c r="M43" s="329">
        <v>34.833333333333336</v>
      </c>
      <c r="N43" s="329">
        <v>33.4</v>
      </c>
      <c r="O43" s="329">
        <v>19.150000000000002</v>
      </c>
      <c r="P43" s="329">
        <v>18.466666666666665</v>
      </c>
      <c r="S43" s="331">
        <v>40470</v>
      </c>
      <c r="T43" s="329">
        <v>41.566666666666663</v>
      </c>
      <c r="U43" s="329">
        <v>43.716666666666669</v>
      </c>
      <c r="V43" s="329">
        <v>10.116666666666665</v>
      </c>
      <c r="W43" s="329">
        <v>11.683333333333335</v>
      </c>
      <c r="X43" s="197">
        <v>0</v>
      </c>
      <c r="Y43" s="197">
        <v>10.6</v>
      </c>
    </row>
    <row r="44" spans="1:25">
      <c r="A44" s="331">
        <v>40460</v>
      </c>
      <c r="B44" s="329">
        <v>34.799999999999997</v>
      </c>
      <c r="C44" s="329">
        <f t="shared" si="4"/>
        <v>34.833333333333336</v>
      </c>
      <c r="D44" s="329">
        <v>33.4</v>
      </c>
      <c r="E44" s="329">
        <f t="shared" si="1"/>
        <v>33.4</v>
      </c>
      <c r="F44" s="329">
        <v>19.7</v>
      </c>
      <c r="G44" s="329">
        <f t="shared" si="2"/>
        <v>19.150000000000002</v>
      </c>
      <c r="H44" s="329">
        <v>18.5</v>
      </c>
      <c r="I44" s="329">
        <f t="shared" si="3"/>
        <v>18.466666666666665</v>
      </c>
      <c r="L44" s="331">
        <v>40460</v>
      </c>
      <c r="M44" s="329">
        <v>34.833333333333336</v>
      </c>
      <c r="N44" s="329">
        <v>33.4</v>
      </c>
      <c r="O44" s="329">
        <v>19.150000000000002</v>
      </c>
      <c r="P44" s="329">
        <v>18.466666666666665</v>
      </c>
      <c r="S44" s="331">
        <v>40471</v>
      </c>
      <c r="T44" s="329">
        <v>41.2</v>
      </c>
      <c r="U44" s="329">
        <v>43.483333333333327</v>
      </c>
      <c r="V44" s="329">
        <v>11.716666666666667</v>
      </c>
      <c r="W44" s="329">
        <v>12.183333333333332</v>
      </c>
      <c r="X44" s="197">
        <v>0.2</v>
      </c>
      <c r="Y44" s="197">
        <v>11.2</v>
      </c>
    </row>
    <row r="45" spans="1:25">
      <c r="A45" s="331">
        <v>40461</v>
      </c>
      <c r="B45" s="329">
        <v>34.799999999999997</v>
      </c>
      <c r="C45" s="329">
        <f t="shared" si="4"/>
        <v>48.916666666666664</v>
      </c>
      <c r="D45" s="329">
        <v>33.4</v>
      </c>
      <c r="E45" s="329">
        <f t="shared" si="1"/>
        <v>45.566666666666663</v>
      </c>
      <c r="F45" s="329">
        <v>19.2</v>
      </c>
      <c r="G45" s="329">
        <f t="shared" si="2"/>
        <v>18.033333333333331</v>
      </c>
      <c r="H45" s="329">
        <v>18.600000000000001</v>
      </c>
      <c r="I45" s="329">
        <f t="shared" si="3"/>
        <v>18.25</v>
      </c>
      <c r="L45" s="331">
        <v>40461</v>
      </c>
      <c r="M45" s="329">
        <v>48.916666666666664</v>
      </c>
      <c r="N45" s="329">
        <v>45.566666666666663</v>
      </c>
      <c r="O45" s="329">
        <v>18.033333333333331</v>
      </c>
      <c r="P45" s="329">
        <v>18.25</v>
      </c>
      <c r="S45" s="331">
        <v>40472</v>
      </c>
      <c r="T45" s="329">
        <v>40.81666666666667</v>
      </c>
      <c r="U45" s="329">
        <v>43.233333333333327</v>
      </c>
      <c r="V45" s="329">
        <v>10.850000000000001</v>
      </c>
      <c r="W45" s="329">
        <v>12.083333333333334</v>
      </c>
      <c r="X45" s="197">
        <v>0</v>
      </c>
      <c r="Y45" s="197">
        <v>8.4</v>
      </c>
    </row>
    <row r="46" spans="1:25">
      <c r="A46" s="331">
        <v>40461</v>
      </c>
      <c r="B46" s="329">
        <v>34.799999999999997</v>
      </c>
      <c r="C46" s="329">
        <f t="shared" si="4"/>
        <v>48.916666666666664</v>
      </c>
      <c r="D46" s="329">
        <v>33.4</v>
      </c>
      <c r="E46" s="329">
        <f t="shared" si="1"/>
        <v>45.566666666666663</v>
      </c>
      <c r="F46" s="329">
        <v>18.7</v>
      </c>
      <c r="G46" s="329">
        <f t="shared" si="2"/>
        <v>18.033333333333331</v>
      </c>
      <c r="H46" s="329">
        <v>18.5</v>
      </c>
      <c r="I46" s="329">
        <f t="shared" si="3"/>
        <v>18.25</v>
      </c>
      <c r="L46" s="331">
        <v>40461</v>
      </c>
      <c r="M46" s="329">
        <v>48.916666666666664</v>
      </c>
      <c r="N46" s="329">
        <v>45.566666666666663</v>
      </c>
      <c r="O46" s="329">
        <v>18.033333333333331</v>
      </c>
      <c r="P46" s="329">
        <v>18.25</v>
      </c>
      <c r="S46" s="331">
        <v>40473</v>
      </c>
      <c r="T46" s="329">
        <v>40.416666666666664</v>
      </c>
      <c r="U46" s="329">
        <v>43.016666666666673</v>
      </c>
      <c r="V46" s="329">
        <v>10.683333333333332</v>
      </c>
      <c r="W46" s="329">
        <v>11.733333333333333</v>
      </c>
      <c r="X46" s="197">
        <v>0</v>
      </c>
      <c r="Y46" s="197">
        <v>11.5</v>
      </c>
    </row>
    <row r="47" spans="1:25">
      <c r="A47" s="331">
        <v>40461</v>
      </c>
      <c r="B47" s="329">
        <v>34.9</v>
      </c>
      <c r="C47" s="329">
        <f t="shared" si="4"/>
        <v>48.916666666666664</v>
      </c>
      <c r="D47" s="329">
        <v>33.5</v>
      </c>
      <c r="E47" s="329">
        <f t="shared" si="1"/>
        <v>45.566666666666663</v>
      </c>
      <c r="F47" s="329">
        <v>18</v>
      </c>
      <c r="G47" s="329">
        <f t="shared" si="2"/>
        <v>18.033333333333331</v>
      </c>
      <c r="H47" s="329">
        <v>18.399999999999999</v>
      </c>
      <c r="I47" s="329">
        <f t="shared" si="3"/>
        <v>18.25</v>
      </c>
      <c r="L47" s="331">
        <v>40461</v>
      </c>
      <c r="M47" s="329">
        <v>48.916666666666664</v>
      </c>
      <c r="N47" s="329">
        <v>45.566666666666663</v>
      </c>
      <c r="O47" s="329">
        <v>18.033333333333331</v>
      </c>
      <c r="P47" s="329">
        <v>18.25</v>
      </c>
      <c r="S47" s="331">
        <v>40474</v>
      </c>
      <c r="T47" s="329">
        <v>39.916666666666664</v>
      </c>
      <c r="U47" s="329">
        <v>42.800000000000004</v>
      </c>
      <c r="V47" s="329">
        <v>12.399999999999999</v>
      </c>
      <c r="W47" s="329">
        <v>12.266666666666666</v>
      </c>
      <c r="X47" s="197">
        <v>1.8</v>
      </c>
      <c r="Y47" s="197">
        <v>12.9</v>
      </c>
    </row>
    <row r="48" spans="1:25">
      <c r="A48" s="331">
        <v>40461</v>
      </c>
      <c r="B48" s="329">
        <v>56.6</v>
      </c>
      <c r="C48" s="329">
        <f t="shared" si="4"/>
        <v>48.916666666666664</v>
      </c>
      <c r="D48" s="329">
        <v>35.700000000000003</v>
      </c>
      <c r="E48" s="329">
        <f t="shared" si="1"/>
        <v>45.566666666666663</v>
      </c>
      <c r="F48" s="329">
        <v>17.7</v>
      </c>
      <c r="G48" s="329">
        <f t="shared" si="2"/>
        <v>18.033333333333331</v>
      </c>
      <c r="H48" s="329">
        <v>18.2</v>
      </c>
      <c r="I48" s="329">
        <f t="shared" si="3"/>
        <v>18.25</v>
      </c>
      <c r="L48" s="331">
        <v>40461</v>
      </c>
      <c r="M48" s="329">
        <v>48.916666666666664</v>
      </c>
      <c r="N48" s="329">
        <v>45.566666666666663</v>
      </c>
      <c r="O48" s="329">
        <v>18.033333333333331</v>
      </c>
      <c r="P48" s="329">
        <v>18.25</v>
      </c>
      <c r="S48" s="331">
        <v>40475</v>
      </c>
      <c r="T48" s="329">
        <v>41.483333333333334</v>
      </c>
      <c r="U48" s="329">
        <v>43.116666666666667</v>
      </c>
      <c r="V48" s="329">
        <v>12.6</v>
      </c>
      <c r="W48" s="329">
        <v>12.833333333333334</v>
      </c>
      <c r="X48" s="197">
        <v>11.1</v>
      </c>
      <c r="Y48" s="197">
        <v>11.1</v>
      </c>
    </row>
    <row r="49" spans="1:25">
      <c r="A49" s="331">
        <v>40461</v>
      </c>
      <c r="B49" s="329">
        <v>65.7</v>
      </c>
      <c r="C49" s="329">
        <f t="shared" si="4"/>
        <v>48.916666666666664</v>
      </c>
      <c r="D49" s="329">
        <v>68.5</v>
      </c>
      <c r="E49" s="329">
        <f t="shared" si="1"/>
        <v>45.566666666666663</v>
      </c>
      <c r="F49" s="329">
        <v>17.5</v>
      </c>
      <c r="G49" s="329">
        <f t="shared" si="2"/>
        <v>18.033333333333331</v>
      </c>
      <c r="H49" s="329">
        <v>18</v>
      </c>
      <c r="I49" s="329">
        <f t="shared" si="3"/>
        <v>18.25</v>
      </c>
      <c r="L49" s="331">
        <v>40461</v>
      </c>
      <c r="M49" s="329">
        <v>48.916666666666664</v>
      </c>
      <c r="N49" s="329">
        <v>45.566666666666663</v>
      </c>
      <c r="O49" s="329">
        <v>18.033333333333331</v>
      </c>
      <c r="P49" s="329">
        <v>18.25</v>
      </c>
      <c r="S49" s="331">
        <v>40476</v>
      </c>
      <c r="T49" s="329">
        <v>44.783333333333339</v>
      </c>
      <c r="U49" s="329">
        <v>44.449999999999996</v>
      </c>
      <c r="V49" s="329">
        <v>11.08333333333333</v>
      </c>
      <c r="W49" s="329">
        <v>12.300000000000002</v>
      </c>
      <c r="X49" s="197">
        <v>0</v>
      </c>
      <c r="Y49" s="197">
        <v>8.4</v>
      </c>
    </row>
    <row r="50" spans="1:25">
      <c r="A50" s="331">
        <v>40461</v>
      </c>
      <c r="B50" s="329">
        <v>66.7</v>
      </c>
      <c r="C50" s="329">
        <f t="shared" si="4"/>
        <v>48.916666666666664</v>
      </c>
      <c r="D50" s="329">
        <v>68.900000000000006</v>
      </c>
      <c r="E50" s="329">
        <f t="shared" si="1"/>
        <v>45.566666666666663</v>
      </c>
      <c r="F50" s="329">
        <v>17.100000000000001</v>
      </c>
      <c r="G50" s="329">
        <f t="shared" si="2"/>
        <v>18.033333333333331</v>
      </c>
      <c r="H50" s="329">
        <v>17.8</v>
      </c>
      <c r="I50" s="329">
        <f t="shared" si="3"/>
        <v>18.25</v>
      </c>
      <c r="L50" s="331">
        <v>40461</v>
      </c>
      <c r="M50" s="329">
        <v>48.916666666666664</v>
      </c>
      <c r="N50" s="329">
        <v>45.566666666666663</v>
      </c>
      <c r="O50" s="329">
        <v>18.033333333333331</v>
      </c>
      <c r="P50" s="329">
        <v>18.25</v>
      </c>
      <c r="S50" s="331">
        <v>40477</v>
      </c>
      <c r="T50" s="329">
        <v>43.65</v>
      </c>
      <c r="U50" s="329">
        <v>43.85</v>
      </c>
      <c r="V50" s="329">
        <v>9.25</v>
      </c>
      <c r="W50" s="329">
        <v>11.050000000000002</v>
      </c>
      <c r="X50" s="197">
        <v>0</v>
      </c>
      <c r="Y50" s="197">
        <v>7.1</v>
      </c>
    </row>
    <row r="51" spans="1:25">
      <c r="A51" s="331">
        <v>40462</v>
      </c>
      <c r="B51" s="329">
        <v>67.8</v>
      </c>
      <c r="C51" s="329">
        <f t="shared" si="4"/>
        <v>68.116666666666674</v>
      </c>
      <c r="D51" s="329">
        <v>69.2</v>
      </c>
      <c r="E51" s="329">
        <f t="shared" si="1"/>
        <v>69.699999999999989</v>
      </c>
      <c r="F51" s="329">
        <v>16.600000000000001</v>
      </c>
      <c r="G51" s="329">
        <f t="shared" si="2"/>
        <v>16.450000000000003</v>
      </c>
      <c r="H51" s="329">
        <v>17.5</v>
      </c>
      <c r="I51" s="329">
        <f t="shared" si="3"/>
        <v>17</v>
      </c>
      <c r="L51" s="331">
        <v>40462</v>
      </c>
      <c r="M51" s="329">
        <v>68.116666666666674</v>
      </c>
      <c r="N51" s="329">
        <v>69.699999999999989</v>
      </c>
      <c r="O51" s="329">
        <v>16.450000000000003</v>
      </c>
      <c r="P51" s="329">
        <v>17</v>
      </c>
      <c r="S51" s="331">
        <v>40478</v>
      </c>
      <c r="T51" s="329">
        <v>42.65</v>
      </c>
      <c r="U51" s="329">
        <v>43.400000000000006</v>
      </c>
      <c r="V51" s="329">
        <v>8.8833333333333329</v>
      </c>
      <c r="W51" s="329">
        <v>10.316666666666666</v>
      </c>
      <c r="X51" s="197">
        <v>0</v>
      </c>
      <c r="Y51" s="197">
        <v>7.5</v>
      </c>
    </row>
    <row r="52" spans="1:25">
      <c r="A52" s="331">
        <v>40462</v>
      </c>
      <c r="B52" s="329">
        <v>68.099999999999994</v>
      </c>
      <c r="C52" s="329">
        <f t="shared" si="4"/>
        <v>68.116666666666674</v>
      </c>
      <c r="D52" s="329">
        <v>69.5</v>
      </c>
      <c r="E52" s="329">
        <f t="shared" si="1"/>
        <v>69.699999999999989</v>
      </c>
      <c r="F52" s="329">
        <v>16.3</v>
      </c>
      <c r="G52" s="329">
        <f t="shared" si="2"/>
        <v>16.450000000000003</v>
      </c>
      <c r="H52" s="329">
        <v>17.2</v>
      </c>
      <c r="I52" s="329">
        <f t="shared" si="3"/>
        <v>17</v>
      </c>
      <c r="L52" s="331">
        <v>40462</v>
      </c>
      <c r="M52" s="329">
        <v>68.116666666666674</v>
      </c>
      <c r="N52" s="329">
        <v>69.699999999999989</v>
      </c>
      <c r="O52" s="329">
        <v>16.450000000000003</v>
      </c>
      <c r="P52" s="329">
        <v>17</v>
      </c>
      <c r="S52" s="331">
        <v>40479</v>
      </c>
      <c r="T52" s="329">
        <v>42.199999999999996</v>
      </c>
      <c r="U52" s="329">
        <v>43.433333333333337</v>
      </c>
      <c r="V52" s="329">
        <v>9.7999999999999989</v>
      </c>
      <c r="W52" s="329">
        <v>10.499999999999998</v>
      </c>
      <c r="X52" s="197">
        <v>0</v>
      </c>
      <c r="Y52" s="197">
        <v>9.6</v>
      </c>
    </row>
    <row r="53" spans="1:25">
      <c r="A53" s="331">
        <v>40462</v>
      </c>
      <c r="B53" s="329">
        <v>68.3</v>
      </c>
      <c r="C53" s="329">
        <f t="shared" si="4"/>
        <v>68.116666666666674</v>
      </c>
      <c r="D53" s="329">
        <v>69.7</v>
      </c>
      <c r="E53" s="329">
        <f t="shared" si="1"/>
        <v>69.699999999999989</v>
      </c>
      <c r="F53" s="329">
        <v>16.100000000000001</v>
      </c>
      <c r="G53" s="329">
        <f t="shared" si="2"/>
        <v>16.450000000000003</v>
      </c>
      <c r="H53" s="329">
        <v>17</v>
      </c>
      <c r="I53" s="329">
        <f t="shared" si="3"/>
        <v>17</v>
      </c>
      <c r="L53" s="331">
        <v>40462</v>
      </c>
      <c r="M53" s="329">
        <v>68.116666666666674</v>
      </c>
      <c r="N53" s="329">
        <v>69.699999999999989</v>
      </c>
      <c r="O53" s="329">
        <v>16.450000000000003</v>
      </c>
      <c r="P53" s="329">
        <v>17</v>
      </c>
      <c r="S53" s="331">
        <v>40480</v>
      </c>
      <c r="T53" s="329">
        <v>41.866666666666667</v>
      </c>
      <c r="U53" s="329">
        <v>43.316666666666663</v>
      </c>
      <c r="V53" s="329">
        <v>11.050000000000002</v>
      </c>
      <c r="W53" s="329">
        <v>11.083333333333334</v>
      </c>
      <c r="X53" s="197">
        <v>0</v>
      </c>
      <c r="Y53" s="197">
        <v>15.2</v>
      </c>
    </row>
    <row r="54" spans="1:25">
      <c r="A54" s="331">
        <v>40462</v>
      </c>
      <c r="B54" s="329">
        <v>68.3</v>
      </c>
      <c r="C54" s="329">
        <f t="shared" si="4"/>
        <v>68.116666666666674</v>
      </c>
      <c r="D54" s="329">
        <v>69.900000000000006</v>
      </c>
      <c r="E54" s="329">
        <f t="shared" si="1"/>
        <v>69.699999999999989</v>
      </c>
      <c r="F54" s="329">
        <v>16.3</v>
      </c>
      <c r="G54" s="329">
        <f t="shared" si="2"/>
        <v>16.450000000000003</v>
      </c>
      <c r="H54" s="329">
        <v>16.8</v>
      </c>
      <c r="I54" s="329">
        <f t="shared" si="3"/>
        <v>17</v>
      </c>
      <c r="L54" s="331">
        <v>40462</v>
      </c>
      <c r="M54" s="329">
        <v>68.116666666666674</v>
      </c>
      <c r="N54" s="329">
        <v>69.699999999999989</v>
      </c>
      <c r="O54" s="329">
        <v>16.450000000000003</v>
      </c>
      <c r="P54" s="329">
        <v>17</v>
      </c>
      <c r="S54" s="331">
        <v>40481</v>
      </c>
      <c r="T54" s="329">
        <v>41.516666666666673</v>
      </c>
      <c r="U54" s="329">
        <v>43.233333333333341</v>
      </c>
      <c r="V54" s="329">
        <v>12.35</v>
      </c>
      <c r="W54" s="329">
        <v>11.916666666666666</v>
      </c>
      <c r="X54" s="197">
        <v>0</v>
      </c>
      <c r="Y54" s="197">
        <v>13.1</v>
      </c>
    </row>
    <row r="55" spans="1:25">
      <c r="A55" s="331">
        <v>40462</v>
      </c>
      <c r="B55" s="329">
        <v>68.099999999999994</v>
      </c>
      <c r="C55" s="329">
        <f t="shared" si="4"/>
        <v>68.116666666666674</v>
      </c>
      <c r="D55" s="329">
        <v>69.900000000000006</v>
      </c>
      <c r="E55" s="329">
        <f t="shared" si="1"/>
        <v>69.699999999999989</v>
      </c>
      <c r="F55" s="329">
        <v>16.899999999999999</v>
      </c>
      <c r="G55" s="329">
        <f t="shared" si="2"/>
        <v>16.450000000000003</v>
      </c>
      <c r="H55" s="329">
        <v>16.7</v>
      </c>
      <c r="I55" s="329">
        <f t="shared" si="3"/>
        <v>17</v>
      </c>
      <c r="L55" s="331">
        <v>40462</v>
      </c>
      <c r="M55" s="329">
        <v>68.116666666666674</v>
      </c>
      <c r="N55" s="329">
        <v>69.699999999999989</v>
      </c>
      <c r="O55" s="329">
        <v>16.450000000000003</v>
      </c>
      <c r="P55" s="329">
        <v>17</v>
      </c>
      <c r="S55" s="331">
        <v>40482</v>
      </c>
      <c r="T55" s="329">
        <v>41.383333333333333</v>
      </c>
      <c r="U55" s="329">
        <v>43.033333333333331</v>
      </c>
      <c r="V55" s="329">
        <v>11.466666666666667</v>
      </c>
      <c r="W55" s="329">
        <v>11.933333333333332</v>
      </c>
      <c r="X55" s="197">
        <v>4.5999999999999996</v>
      </c>
      <c r="Y55" s="197">
        <v>10.9</v>
      </c>
    </row>
    <row r="56" spans="1:25">
      <c r="A56" s="331">
        <v>40462</v>
      </c>
      <c r="B56" s="329">
        <v>68.099999999999994</v>
      </c>
      <c r="C56" s="329">
        <f t="shared" si="4"/>
        <v>68.116666666666674</v>
      </c>
      <c r="D56" s="329">
        <v>70</v>
      </c>
      <c r="E56" s="329">
        <f t="shared" si="1"/>
        <v>69.699999999999989</v>
      </c>
      <c r="F56" s="329">
        <v>16.5</v>
      </c>
      <c r="G56" s="329">
        <f t="shared" si="2"/>
        <v>16.450000000000003</v>
      </c>
      <c r="H56" s="329">
        <v>16.8</v>
      </c>
      <c r="I56" s="329">
        <f t="shared" si="3"/>
        <v>17</v>
      </c>
      <c r="L56" s="331">
        <v>40462</v>
      </c>
      <c r="M56" s="329">
        <v>68.116666666666674</v>
      </c>
      <c r="N56" s="329">
        <v>69.699999999999989</v>
      </c>
      <c r="O56" s="329">
        <v>16.450000000000003</v>
      </c>
      <c r="P56" s="329">
        <v>17</v>
      </c>
      <c r="S56" s="331">
        <v>40483</v>
      </c>
      <c r="T56" s="329">
        <v>42.416666666666664</v>
      </c>
      <c r="U56" s="329">
        <v>43.04999999999999</v>
      </c>
      <c r="V56" s="329">
        <v>11.716666666666667</v>
      </c>
      <c r="W56" s="329">
        <v>11.816666666666668</v>
      </c>
      <c r="X56" s="197">
        <v>4.5</v>
      </c>
      <c r="Y56" s="197">
        <v>12</v>
      </c>
    </row>
    <row r="57" spans="1:25">
      <c r="A57" s="331">
        <v>40463</v>
      </c>
      <c r="B57" s="329">
        <v>53.5</v>
      </c>
      <c r="C57" s="329">
        <f t="shared" si="4"/>
        <v>48.216666666666669</v>
      </c>
      <c r="D57" s="329">
        <v>70</v>
      </c>
      <c r="E57" s="329">
        <f t="shared" si="1"/>
        <v>62.816666666666663</v>
      </c>
      <c r="F57" s="329">
        <v>15.8</v>
      </c>
      <c r="G57" s="329">
        <f t="shared" si="2"/>
        <v>15.916666666666666</v>
      </c>
      <c r="H57" s="329">
        <v>16.7</v>
      </c>
      <c r="I57" s="329">
        <f t="shared" si="3"/>
        <v>16.333333333333332</v>
      </c>
      <c r="L57" s="331">
        <v>40463</v>
      </c>
      <c r="M57" s="329">
        <v>48.216666666666669</v>
      </c>
      <c r="N57" s="329">
        <v>62.816666666666663</v>
      </c>
      <c r="O57" s="329">
        <v>15.916666666666666</v>
      </c>
      <c r="P57" s="329">
        <v>16.333333333333332</v>
      </c>
      <c r="S57" s="331">
        <v>40484</v>
      </c>
      <c r="T57" s="329">
        <v>43.116666666666667</v>
      </c>
      <c r="U57" s="329">
        <v>43.599999999999994</v>
      </c>
      <c r="V57" s="329">
        <v>12.15</v>
      </c>
      <c r="W57" s="329">
        <v>11.983333333333333</v>
      </c>
      <c r="X57" s="197">
        <v>0</v>
      </c>
      <c r="Y57" s="197">
        <v>12.9</v>
      </c>
    </row>
    <row r="58" spans="1:25">
      <c r="A58" s="331">
        <v>40463</v>
      </c>
      <c r="B58" s="329">
        <v>49.4</v>
      </c>
      <c r="C58" s="329">
        <f t="shared" si="4"/>
        <v>48.216666666666669</v>
      </c>
      <c r="D58" s="329">
        <v>70</v>
      </c>
      <c r="E58" s="329">
        <f t="shared" si="1"/>
        <v>62.816666666666663</v>
      </c>
      <c r="F58" s="329">
        <v>15</v>
      </c>
      <c r="G58" s="329">
        <f t="shared" si="2"/>
        <v>15.916666666666666</v>
      </c>
      <c r="H58" s="329">
        <v>16.5</v>
      </c>
      <c r="I58" s="329">
        <f t="shared" si="3"/>
        <v>16.333333333333332</v>
      </c>
      <c r="L58" s="331">
        <v>40463</v>
      </c>
      <c r="M58" s="329">
        <v>48.216666666666669</v>
      </c>
      <c r="N58" s="329">
        <v>62.816666666666663</v>
      </c>
      <c r="O58" s="329">
        <v>15.916666666666666</v>
      </c>
      <c r="P58" s="329">
        <v>16.333333333333332</v>
      </c>
      <c r="S58" s="331">
        <v>40485</v>
      </c>
      <c r="T58" s="329">
        <v>42.85</v>
      </c>
      <c r="U58" s="329">
        <v>43.6</v>
      </c>
      <c r="V58" s="329">
        <v>12.833333333333334</v>
      </c>
      <c r="W58" s="329">
        <v>12.366666666666667</v>
      </c>
      <c r="X58" s="197">
        <v>0.8</v>
      </c>
      <c r="Y58" s="197">
        <v>14.5</v>
      </c>
    </row>
    <row r="59" spans="1:25">
      <c r="A59" s="331">
        <v>40463</v>
      </c>
      <c r="B59" s="329">
        <v>47.7</v>
      </c>
      <c r="C59" s="329">
        <f t="shared" si="4"/>
        <v>48.216666666666669</v>
      </c>
      <c r="D59" s="329">
        <v>70</v>
      </c>
      <c r="E59" s="329">
        <f t="shared" si="1"/>
        <v>62.816666666666663</v>
      </c>
      <c r="F59" s="329">
        <v>14.7</v>
      </c>
      <c r="G59" s="329">
        <f t="shared" si="2"/>
        <v>15.916666666666666</v>
      </c>
      <c r="H59" s="329">
        <v>16.2</v>
      </c>
      <c r="I59" s="329">
        <f t="shared" si="3"/>
        <v>16.333333333333332</v>
      </c>
      <c r="L59" s="331">
        <v>40463</v>
      </c>
      <c r="M59" s="329">
        <v>48.216666666666669</v>
      </c>
      <c r="N59" s="329">
        <v>62.816666666666663</v>
      </c>
      <c r="O59" s="329">
        <v>15.916666666666666</v>
      </c>
      <c r="P59" s="329">
        <v>16.333333333333332</v>
      </c>
      <c r="S59" s="331">
        <v>40486</v>
      </c>
      <c r="T59" s="329">
        <v>42.716666666666661</v>
      </c>
      <c r="U59" s="329">
        <v>43.733333333333341</v>
      </c>
      <c r="V59" s="329">
        <v>13.600000000000001</v>
      </c>
      <c r="W59" s="329">
        <v>12.9</v>
      </c>
      <c r="X59" s="197">
        <v>0.8</v>
      </c>
      <c r="Y59" s="197">
        <v>14.2</v>
      </c>
    </row>
    <row r="60" spans="1:25">
      <c r="A60" s="331">
        <v>40463</v>
      </c>
      <c r="B60" s="329">
        <v>46.9</v>
      </c>
      <c r="C60" s="329">
        <f t="shared" si="4"/>
        <v>48.216666666666669</v>
      </c>
      <c r="D60" s="329">
        <v>61.4</v>
      </c>
      <c r="E60" s="329">
        <f t="shared" si="1"/>
        <v>62.816666666666663</v>
      </c>
      <c r="F60" s="329">
        <v>15.2</v>
      </c>
      <c r="G60" s="329">
        <f t="shared" si="2"/>
        <v>15.916666666666666</v>
      </c>
      <c r="H60" s="329">
        <v>16</v>
      </c>
      <c r="I60" s="329">
        <f t="shared" si="3"/>
        <v>16.333333333333332</v>
      </c>
      <c r="L60" s="331">
        <v>40463</v>
      </c>
      <c r="M60" s="329">
        <v>48.216666666666669</v>
      </c>
      <c r="N60" s="329">
        <v>62.816666666666663</v>
      </c>
      <c r="O60" s="329">
        <v>15.916666666666666</v>
      </c>
      <c r="P60" s="329">
        <v>16.333333333333332</v>
      </c>
      <c r="S60" s="331">
        <v>40487</v>
      </c>
      <c r="T60" s="329">
        <v>42.533333333333331</v>
      </c>
      <c r="U60" s="329">
        <v>43.9</v>
      </c>
      <c r="V60" s="329">
        <v>13.899999999999999</v>
      </c>
      <c r="W60" s="329">
        <v>13.333333333333336</v>
      </c>
      <c r="X60" s="197">
        <v>0.2</v>
      </c>
      <c r="Y60" s="197">
        <v>14.6</v>
      </c>
    </row>
    <row r="61" spans="1:25">
      <c r="A61" s="331">
        <v>40463</v>
      </c>
      <c r="B61" s="329">
        <v>46.4</v>
      </c>
      <c r="C61" s="329">
        <f t="shared" si="4"/>
        <v>48.216666666666669</v>
      </c>
      <c r="D61" s="329">
        <v>54.6</v>
      </c>
      <c r="E61" s="329">
        <f t="shared" si="1"/>
        <v>62.816666666666663</v>
      </c>
      <c r="F61" s="329">
        <v>17.399999999999999</v>
      </c>
      <c r="G61" s="329">
        <f t="shared" si="2"/>
        <v>15.916666666666666</v>
      </c>
      <c r="H61" s="329">
        <v>16.100000000000001</v>
      </c>
      <c r="I61" s="329">
        <f t="shared" si="3"/>
        <v>16.333333333333332</v>
      </c>
      <c r="L61" s="331">
        <v>40463</v>
      </c>
      <c r="M61" s="329">
        <v>48.216666666666669</v>
      </c>
      <c r="N61" s="329">
        <v>62.816666666666663</v>
      </c>
      <c r="O61" s="329">
        <v>15.916666666666666</v>
      </c>
      <c r="P61" s="329">
        <v>16.333333333333332</v>
      </c>
      <c r="S61" s="331">
        <v>40488</v>
      </c>
      <c r="T61" s="329">
        <v>42.466666666666669</v>
      </c>
      <c r="U61" s="329">
        <v>44</v>
      </c>
      <c r="V61" s="329">
        <v>13.983333333333334</v>
      </c>
      <c r="W61" s="329">
        <v>13.5</v>
      </c>
      <c r="X61" s="197">
        <v>0.4</v>
      </c>
      <c r="Y61" s="197">
        <v>14.1</v>
      </c>
    </row>
    <row r="62" spans="1:25">
      <c r="A62" s="331">
        <v>40463</v>
      </c>
      <c r="B62" s="329">
        <v>45.4</v>
      </c>
      <c r="C62" s="329">
        <f t="shared" si="4"/>
        <v>48.216666666666669</v>
      </c>
      <c r="D62" s="329">
        <v>50.9</v>
      </c>
      <c r="E62" s="329">
        <f t="shared" si="1"/>
        <v>62.816666666666663</v>
      </c>
      <c r="F62" s="329">
        <v>17.399999999999999</v>
      </c>
      <c r="G62" s="329">
        <f t="shared" si="2"/>
        <v>15.916666666666666</v>
      </c>
      <c r="H62" s="329">
        <v>16.5</v>
      </c>
      <c r="I62" s="329">
        <f t="shared" si="3"/>
        <v>16.333333333333332</v>
      </c>
      <c r="L62" s="331">
        <v>40463</v>
      </c>
      <c r="M62" s="329">
        <v>48.216666666666669</v>
      </c>
      <c r="N62" s="329">
        <v>62.816666666666663</v>
      </c>
      <c r="O62" s="329">
        <v>15.916666666666666</v>
      </c>
      <c r="P62" s="329">
        <v>16.333333333333332</v>
      </c>
      <c r="S62" s="331">
        <v>40489</v>
      </c>
      <c r="T62" s="329">
        <v>42.35</v>
      </c>
      <c r="U62" s="329">
        <v>44.033333333333331</v>
      </c>
      <c r="V62" s="329">
        <v>13.216666666666667</v>
      </c>
      <c r="W62" s="329">
        <v>13.433333333333335</v>
      </c>
      <c r="X62" s="197">
        <v>3.4</v>
      </c>
      <c r="Y62" s="197">
        <v>9.9</v>
      </c>
    </row>
    <row r="63" spans="1:25">
      <c r="A63" s="331">
        <v>40464</v>
      </c>
      <c r="B63" s="329">
        <v>45.2</v>
      </c>
      <c r="C63" s="329">
        <f t="shared" si="4"/>
        <v>44.816666666666663</v>
      </c>
      <c r="D63" s="329">
        <v>49</v>
      </c>
      <c r="E63" s="329">
        <f t="shared" si="1"/>
        <v>47.583333333333336</v>
      </c>
      <c r="F63" s="329">
        <v>16.399999999999999</v>
      </c>
      <c r="G63" s="329">
        <f t="shared" si="2"/>
        <v>16.433333333333334</v>
      </c>
      <c r="H63" s="329">
        <v>16.7</v>
      </c>
      <c r="I63" s="329">
        <f t="shared" si="3"/>
        <v>16.399999999999999</v>
      </c>
      <c r="L63" s="331">
        <v>40464</v>
      </c>
      <c r="M63" s="329">
        <v>44.816666666666663</v>
      </c>
      <c r="N63" s="329">
        <v>47.583333333333336</v>
      </c>
      <c r="O63" s="329">
        <v>16.433333333333334</v>
      </c>
      <c r="P63" s="329">
        <v>16.399999999999999</v>
      </c>
      <c r="S63" s="331">
        <v>40490</v>
      </c>
      <c r="T63" s="329">
        <v>42.43333333333333</v>
      </c>
      <c r="U63" s="329">
        <v>44.1</v>
      </c>
      <c r="V63" s="329">
        <v>10.683333333333332</v>
      </c>
      <c r="W63" s="329">
        <v>12.216666666666667</v>
      </c>
      <c r="X63" s="197">
        <v>8.4</v>
      </c>
      <c r="Y63" s="197">
        <v>7.9</v>
      </c>
    </row>
    <row r="64" spans="1:25">
      <c r="A64" s="331">
        <v>40464</v>
      </c>
      <c r="B64" s="329">
        <v>45.1</v>
      </c>
      <c r="C64" s="329">
        <f t="shared" si="4"/>
        <v>44.816666666666663</v>
      </c>
      <c r="D64" s="329">
        <v>48.1</v>
      </c>
      <c r="E64" s="329">
        <f t="shared" si="1"/>
        <v>47.583333333333336</v>
      </c>
      <c r="F64" s="329">
        <v>15.6</v>
      </c>
      <c r="G64" s="329">
        <f t="shared" si="2"/>
        <v>16.433333333333334</v>
      </c>
      <c r="H64" s="329">
        <v>16.600000000000001</v>
      </c>
      <c r="I64" s="329">
        <f t="shared" si="3"/>
        <v>16.399999999999999</v>
      </c>
      <c r="L64" s="331">
        <v>40464</v>
      </c>
      <c r="M64" s="329">
        <v>44.816666666666663</v>
      </c>
      <c r="N64" s="329">
        <v>47.583333333333336</v>
      </c>
      <c r="O64" s="329">
        <v>16.433333333333334</v>
      </c>
      <c r="P64" s="329">
        <v>16.399999999999999</v>
      </c>
      <c r="S64" s="331">
        <v>40491</v>
      </c>
      <c r="T64" s="329">
        <v>45.233333333333341</v>
      </c>
      <c r="U64" s="329">
        <v>46.65</v>
      </c>
      <c r="V64" s="329">
        <v>10.466666666666667</v>
      </c>
      <c r="W64" s="329">
        <v>11.300000000000002</v>
      </c>
      <c r="X64" s="197">
        <v>1.4</v>
      </c>
      <c r="Y64" s="197">
        <v>10.5</v>
      </c>
    </row>
    <row r="65" spans="1:25">
      <c r="A65" s="331">
        <v>40464</v>
      </c>
      <c r="B65" s="329">
        <v>44.9</v>
      </c>
      <c r="C65" s="329">
        <f t="shared" si="4"/>
        <v>44.816666666666663</v>
      </c>
      <c r="D65" s="329">
        <v>47.6</v>
      </c>
      <c r="E65" s="329">
        <f t="shared" si="1"/>
        <v>47.583333333333336</v>
      </c>
      <c r="F65" s="329">
        <v>15.1</v>
      </c>
      <c r="G65" s="329">
        <f t="shared" si="2"/>
        <v>16.433333333333334</v>
      </c>
      <c r="H65" s="329">
        <v>16.3</v>
      </c>
      <c r="I65" s="329">
        <f t="shared" si="3"/>
        <v>16.399999999999999</v>
      </c>
      <c r="L65" s="331">
        <v>40464</v>
      </c>
      <c r="M65" s="329">
        <v>44.816666666666663</v>
      </c>
      <c r="N65" s="329">
        <v>47.583333333333336</v>
      </c>
      <c r="O65" s="329">
        <v>16.433333333333334</v>
      </c>
      <c r="P65" s="329">
        <v>16.399999999999999</v>
      </c>
      <c r="S65" s="331">
        <v>40492</v>
      </c>
      <c r="T65" s="329">
        <v>44.683333333333337</v>
      </c>
      <c r="U65" s="329">
        <v>46.68333333333333</v>
      </c>
      <c r="V65" s="329">
        <v>10.333333333333334</v>
      </c>
      <c r="W65" s="329">
        <v>11.1</v>
      </c>
      <c r="X65" s="197">
        <v>5.2</v>
      </c>
      <c r="Y65" s="197">
        <v>9</v>
      </c>
    </row>
    <row r="66" spans="1:25">
      <c r="A66" s="331">
        <v>40464</v>
      </c>
      <c r="B66" s="329">
        <v>44.8</v>
      </c>
      <c r="C66" s="329">
        <f t="shared" si="4"/>
        <v>44.816666666666663</v>
      </c>
      <c r="D66" s="329">
        <v>47.2</v>
      </c>
      <c r="E66" s="329">
        <f t="shared" si="1"/>
        <v>47.583333333333336</v>
      </c>
      <c r="F66" s="329">
        <v>15.8</v>
      </c>
      <c r="G66" s="329">
        <f t="shared" si="2"/>
        <v>16.433333333333334</v>
      </c>
      <c r="H66" s="329">
        <v>16.100000000000001</v>
      </c>
      <c r="I66" s="329">
        <f t="shared" si="3"/>
        <v>16.399999999999999</v>
      </c>
      <c r="L66" s="331">
        <v>40464</v>
      </c>
      <c r="M66" s="329">
        <v>44.816666666666663</v>
      </c>
      <c r="N66" s="329">
        <v>47.583333333333336</v>
      </c>
      <c r="O66" s="329">
        <v>16.433333333333334</v>
      </c>
      <c r="P66" s="329">
        <v>16.399999999999999</v>
      </c>
      <c r="S66" s="331">
        <v>40493</v>
      </c>
      <c r="T66" s="329">
        <v>44.79999999999999</v>
      </c>
      <c r="U66" s="329">
        <v>47.016666666666673</v>
      </c>
      <c r="V66" s="329">
        <v>9.6999999999999993</v>
      </c>
      <c r="W66" s="329">
        <v>10.65</v>
      </c>
      <c r="X66" s="197">
        <v>0.6</v>
      </c>
      <c r="Y66" s="197">
        <v>9.4</v>
      </c>
    </row>
    <row r="67" spans="1:25">
      <c r="A67" s="331">
        <v>40464</v>
      </c>
      <c r="B67" s="329">
        <v>44.6</v>
      </c>
      <c r="C67" s="329">
        <f t="shared" si="4"/>
        <v>44.816666666666663</v>
      </c>
      <c r="D67" s="329">
        <v>46.9</v>
      </c>
      <c r="E67" s="329">
        <f t="shared" si="1"/>
        <v>47.583333333333336</v>
      </c>
      <c r="F67" s="329">
        <v>18.2</v>
      </c>
      <c r="G67" s="329">
        <f t="shared" si="2"/>
        <v>16.433333333333334</v>
      </c>
      <c r="H67" s="329">
        <v>16.2</v>
      </c>
      <c r="I67" s="329">
        <f t="shared" si="3"/>
        <v>16.399999999999999</v>
      </c>
      <c r="L67" s="331">
        <v>40464</v>
      </c>
      <c r="M67" s="329">
        <v>44.816666666666663</v>
      </c>
      <c r="N67" s="329">
        <v>47.583333333333336</v>
      </c>
      <c r="O67" s="329">
        <v>16.433333333333334</v>
      </c>
      <c r="P67" s="329">
        <v>16.399999999999999</v>
      </c>
      <c r="S67" s="331">
        <v>40494</v>
      </c>
      <c r="T67" s="329">
        <v>44.066666666666663</v>
      </c>
      <c r="U67" s="329">
        <v>46.166666666666664</v>
      </c>
      <c r="V67" s="329">
        <v>11.633333333333335</v>
      </c>
      <c r="W67" s="329">
        <v>11.066666666666665</v>
      </c>
      <c r="X67" s="197">
        <v>0.6</v>
      </c>
      <c r="Y67" s="197">
        <v>14.2</v>
      </c>
    </row>
    <row r="68" spans="1:25">
      <c r="A68" s="331">
        <v>40464</v>
      </c>
      <c r="B68" s="329">
        <v>44.3</v>
      </c>
      <c r="C68" s="329">
        <f t="shared" si="4"/>
        <v>44.816666666666663</v>
      </c>
      <c r="D68" s="329">
        <v>46.7</v>
      </c>
      <c r="E68" s="329">
        <f t="shared" si="1"/>
        <v>47.583333333333336</v>
      </c>
      <c r="F68" s="329">
        <v>17.5</v>
      </c>
      <c r="G68" s="329">
        <f t="shared" si="2"/>
        <v>16.433333333333334</v>
      </c>
      <c r="H68" s="329">
        <v>16.5</v>
      </c>
      <c r="I68" s="329">
        <f t="shared" si="3"/>
        <v>16.399999999999999</v>
      </c>
      <c r="L68" s="331">
        <v>40464</v>
      </c>
      <c r="M68" s="329">
        <v>44.816666666666663</v>
      </c>
      <c r="N68" s="329">
        <v>47.583333333333336</v>
      </c>
      <c r="O68" s="329">
        <v>16.433333333333334</v>
      </c>
      <c r="P68" s="329">
        <v>16.399999999999999</v>
      </c>
      <c r="S68" s="331">
        <v>40495</v>
      </c>
      <c r="T68" s="329">
        <v>43.866666666666667</v>
      </c>
      <c r="U68" s="329">
        <v>45.68333333333333</v>
      </c>
      <c r="V68" s="329">
        <v>11.633333333333335</v>
      </c>
      <c r="W68" s="329">
        <v>11.633333333333333</v>
      </c>
      <c r="X68" s="197">
        <v>0.2</v>
      </c>
      <c r="Y68" s="197">
        <v>12.5</v>
      </c>
    </row>
    <row r="69" spans="1:25">
      <c r="A69" s="331">
        <v>40465</v>
      </c>
      <c r="B69" s="329">
        <v>44.2</v>
      </c>
      <c r="C69" s="329">
        <f t="shared" si="4"/>
        <v>43.849999999999994</v>
      </c>
      <c r="D69" s="329">
        <v>46.4</v>
      </c>
      <c r="E69" s="329">
        <f t="shared" si="1"/>
        <v>45.93333333333333</v>
      </c>
      <c r="F69" s="329">
        <v>16.3</v>
      </c>
      <c r="G69" s="329">
        <f t="shared" si="2"/>
        <v>15.65</v>
      </c>
      <c r="H69" s="329">
        <v>16.7</v>
      </c>
      <c r="I69" s="329">
        <f t="shared" si="3"/>
        <v>16.200000000000003</v>
      </c>
      <c r="L69" s="331">
        <v>40465</v>
      </c>
      <c r="M69" s="329">
        <v>43.849999999999994</v>
      </c>
      <c r="N69" s="329">
        <v>45.93333333333333</v>
      </c>
      <c r="O69" s="329">
        <v>15.65</v>
      </c>
      <c r="P69" s="329">
        <v>16.200000000000003</v>
      </c>
      <c r="S69" s="331">
        <v>40496</v>
      </c>
      <c r="T69" s="329">
        <v>43.633333333333333</v>
      </c>
      <c r="U69" s="329">
        <v>45.433333333333337</v>
      </c>
      <c r="V69" s="329">
        <v>12.333333333333334</v>
      </c>
      <c r="W69" s="329">
        <v>11.916666666666666</v>
      </c>
      <c r="X69" s="197">
        <v>2.6</v>
      </c>
      <c r="Y69" s="197">
        <v>13.7</v>
      </c>
    </row>
    <row r="70" spans="1:25">
      <c r="A70" s="331">
        <v>40465</v>
      </c>
      <c r="B70" s="329">
        <v>44</v>
      </c>
      <c r="C70" s="329">
        <f t="shared" si="4"/>
        <v>43.849999999999994</v>
      </c>
      <c r="D70" s="329">
        <v>46.2</v>
      </c>
      <c r="E70" s="329">
        <f t="shared" si="1"/>
        <v>45.93333333333333</v>
      </c>
      <c r="F70" s="329">
        <v>15.3</v>
      </c>
      <c r="G70" s="329">
        <f t="shared" si="2"/>
        <v>15.65</v>
      </c>
      <c r="H70" s="329">
        <v>16.5</v>
      </c>
      <c r="I70" s="329">
        <f t="shared" si="3"/>
        <v>16.200000000000003</v>
      </c>
      <c r="L70" s="331">
        <v>40465</v>
      </c>
      <c r="M70" s="329">
        <v>43.849999999999994</v>
      </c>
      <c r="N70" s="329">
        <v>45.93333333333333</v>
      </c>
      <c r="O70" s="329">
        <v>15.65</v>
      </c>
      <c r="P70" s="329">
        <v>16.200000000000003</v>
      </c>
      <c r="S70" s="331">
        <v>40497</v>
      </c>
      <c r="T70" s="329">
        <v>46.416666666666664</v>
      </c>
      <c r="U70" s="329">
        <v>48.283333333333324</v>
      </c>
      <c r="V70" s="329">
        <v>11.749999999999998</v>
      </c>
      <c r="W70" s="329">
        <v>12</v>
      </c>
      <c r="X70" s="197">
        <v>3</v>
      </c>
      <c r="Y70" s="197">
        <v>9.6</v>
      </c>
    </row>
    <row r="71" spans="1:25">
      <c r="A71" s="331">
        <v>40465</v>
      </c>
      <c r="B71" s="329">
        <v>43.9</v>
      </c>
      <c r="C71" s="329">
        <f t="shared" si="4"/>
        <v>43.849999999999994</v>
      </c>
      <c r="D71" s="329">
        <v>46</v>
      </c>
      <c r="E71" s="329">
        <f t="shared" si="1"/>
        <v>45.93333333333333</v>
      </c>
      <c r="F71" s="329">
        <v>14.7</v>
      </c>
      <c r="G71" s="329">
        <f t="shared" si="2"/>
        <v>15.65</v>
      </c>
      <c r="H71" s="329">
        <v>16.2</v>
      </c>
      <c r="I71" s="329">
        <f t="shared" si="3"/>
        <v>16.200000000000003</v>
      </c>
      <c r="L71" s="331">
        <v>40465</v>
      </c>
      <c r="M71" s="329">
        <v>43.849999999999994</v>
      </c>
      <c r="N71" s="329">
        <v>45.93333333333333</v>
      </c>
      <c r="O71" s="329">
        <v>15.65</v>
      </c>
      <c r="P71" s="329">
        <v>16.200000000000003</v>
      </c>
      <c r="S71" s="331">
        <v>40498</v>
      </c>
      <c r="T71" s="329">
        <v>45.066666666666663</v>
      </c>
      <c r="U71" s="329">
        <v>47.54999999999999</v>
      </c>
      <c r="V71" s="329">
        <v>10.616666666666665</v>
      </c>
      <c r="W71" s="329">
        <v>11.433333333333335</v>
      </c>
      <c r="X71" s="197">
        <v>0</v>
      </c>
      <c r="Y71" s="197">
        <v>7.7</v>
      </c>
    </row>
    <row r="72" spans="1:25">
      <c r="A72" s="331">
        <v>40465</v>
      </c>
      <c r="B72" s="329">
        <v>43.8</v>
      </c>
      <c r="C72" s="329">
        <f t="shared" si="4"/>
        <v>43.849999999999994</v>
      </c>
      <c r="D72" s="329">
        <v>45.8</v>
      </c>
      <c r="E72" s="329">
        <f t="shared" si="1"/>
        <v>45.93333333333333</v>
      </c>
      <c r="F72" s="329">
        <v>15.1</v>
      </c>
      <c r="G72" s="329">
        <f t="shared" si="2"/>
        <v>15.65</v>
      </c>
      <c r="H72" s="329">
        <v>15.9</v>
      </c>
      <c r="I72" s="329">
        <f t="shared" si="3"/>
        <v>16.200000000000003</v>
      </c>
      <c r="L72" s="331">
        <v>40465</v>
      </c>
      <c r="M72" s="329">
        <v>43.849999999999994</v>
      </c>
      <c r="N72" s="329">
        <v>45.93333333333333</v>
      </c>
      <c r="O72" s="329">
        <v>15.65</v>
      </c>
      <c r="P72" s="329">
        <v>16.200000000000003</v>
      </c>
      <c r="S72" s="331">
        <v>40499</v>
      </c>
      <c r="T72" s="329">
        <v>46.916666666666664</v>
      </c>
      <c r="U72" s="329">
        <v>50.716666666666661</v>
      </c>
      <c r="V72" s="329">
        <v>8.6</v>
      </c>
      <c r="W72" s="329">
        <v>10.416666666666666</v>
      </c>
      <c r="X72" s="197">
        <v>8.5</v>
      </c>
      <c r="Y72" s="197">
        <v>5</v>
      </c>
    </row>
    <row r="73" spans="1:25">
      <c r="A73" s="331">
        <v>40465</v>
      </c>
      <c r="B73" s="329">
        <v>43.7</v>
      </c>
      <c r="C73" s="329">
        <f t="shared" si="4"/>
        <v>43.849999999999994</v>
      </c>
      <c r="D73" s="329">
        <v>45.7</v>
      </c>
      <c r="E73" s="329">
        <f t="shared" si="1"/>
        <v>45.93333333333333</v>
      </c>
      <c r="F73" s="329">
        <v>16.600000000000001</v>
      </c>
      <c r="G73" s="329">
        <f t="shared" si="2"/>
        <v>15.65</v>
      </c>
      <c r="H73" s="329">
        <v>15.9</v>
      </c>
      <c r="I73" s="329">
        <f t="shared" si="3"/>
        <v>16.200000000000003</v>
      </c>
      <c r="L73" s="331">
        <v>40465</v>
      </c>
      <c r="M73" s="329">
        <v>43.849999999999994</v>
      </c>
      <c r="N73" s="329">
        <v>45.93333333333333</v>
      </c>
      <c r="O73" s="329">
        <v>15.65</v>
      </c>
      <c r="P73" s="329">
        <v>16.200000000000003</v>
      </c>
      <c r="S73" s="331">
        <v>40500</v>
      </c>
      <c r="T73" s="329">
        <v>48.75</v>
      </c>
      <c r="U73" s="329">
        <v>62.833333333333336</v>
      </c>
      <c r="V73" s="329">
        <v>9.1166666666666671</v>
      </c>
      <c r="W73" s="329">
        <v>9.8666666666666654</v>
      </c>
      <c r="X73" s="197">
        <v>0</v>
      </c>
      <c r="Y73" s="197">
        <v>9</v>
      </c>
    </row>
    <row r="74" spans="1:25">
      <c r="A74" s="331">
        <v>40465</v>
      </c>
      <c r="B74" s="329">
        <v>43.5</v>
      </c>
      <c r="C74" s="329">
        <f t="shared" si="4"/>
        <v>43.849999999999994</v>
      </c>
      <c r="D74" s="329">
        <v>45.5</v>
      </c>
      <c r="E74" s="329">
        <f t="shared" si="1"/>
        <v>45.93333333333333</v>
      </c>
      <c r="F74" s="329">
        <v>15.9</v>
      </c>
      <c r="G74" s="329">
        <f t="shared" si="2"/>
        <v>15.65</v>
      </c>
      <c r="H74" s="329">
        <v>16</v>
      </c>
      <c r="I74" s="329">
        <f t="shared" si="3"/>
        <v>16.200000000000003</v>
      </c>
      <c r="L74" s="331">
        <v>40465</v>
      </c>
      <c r="M74" s="329">
        <v>43.849999999999994</v>
      </c>
      <c r="N74" s="329">
        <v>45.93333333333333</v>
      </c>
      <c r="O74" s="329">
        <v>15.65</v>
      </c>
      <c r="P74" s="329">
        <v>16.200000000000003</v>
      </c>
      <c r="S74" s="331">
        <v>40501</v>
      </c>
      <c r="T74" s="329">
        <v>45.18333333333333</v>
      </c>
      <c r="U74" s="329">
        <v>48.199999999999996</v>
      </c>
      <c r="V74" s="329">
        <v>9.1</v>
      </c>
      <c r="W74" s="329">
        <v>9.8333333333333339</v>
      </c>
      <c r="X74" s="197">
        <v>0</v>
      </c>
      <c r="Y74" s="197">
        <v>8.4</v>
      </c>
    </row>
    <row r="75" spans="1:25">
      <c r="A75" s="331">
        <v>40466</v>
      </c>
      <c r="B75" s="329">
        <v>43.4</v>
      </c>
      <c r="C75" s="329">
        <f t="shared" si="4"/>
        <v>43.166666666666657</v>
      </c>
      <c r="D75" s="329">
        <v>45.4</v>
      </c>
      <c r="E75" s="329">
        <f t="shared" si="1"/>
        <v>45.15</v>
      </c>
      <c r="F75" s="329">
        <v>14.5</v>
      </c>
      <c r="G75" s="329">
        <f t="shared" si="2"/>
        <v>13.466666666666669</v>
      </c>
      <c r="H75" s="329">
        <v>16</v>
      </c>
      <c r="I75" s="329">
        <f t="shared" si="3"/>
        <v>15.116666666666667</v>
      </c>
      <c r="L75" s="331">
        <v>40466</v>
      </c>
      <c r="M75" s="329">
        <v>43.166666666666657</v>
      </c>
      <c r="N75" s="329">
        <v>45.15</v>
      </c>
      <c r="O75" s="329">
        <v>13.466666666666669</v>
      </c>
      <c r="P75" s="329">
        <v>15.116666666666667</v>
      </c>
      <c r="S75" s="331">
        <v>40502</v>
      </c>
      <c r="T75" s="329">
        <v>44.816666666666663</v>
      </c>
      <c r="U75" s="329">
        <v>47.066666666666663</v>
      </c>
      <c r="V75" s="329">
        <v>9.3333333333333339</v>
      </c>
      <c r="W75" s="329">
        <v>9.8666666666666654</v>
      </c>
      <c r="X75" s="197">
        <v>1</v>
      </c>
      <c r="Y75" s="197">
        <v>8.9</v>
      </c>
    </row>
    <row r="76" spans="1:25">
      <c r="A76" s="331">
        <v>40466</v>
      </c>
      <c r="B76" s="329">
        <v>43.3</v>
      </c>
      <c r="C76" s="329">
        <f t="shared" si="4"/>
        <v>43.166666666666657</v>
      </c>
      <c r="D76" s="329">
        <v>45.3</v>
      </c>
      <c r="E76" s="329">
        <f t="shared" si="1"/>
        <v>45.15</v>
      </c>
      <c r="F76" s="329">
        <v>13.3</v>
      </c>
      <c r="G76" s="329">
        <f t="shared" si="2"/>
        <v>13.466666666666669</v>
      </c>
      <c r="H76" s="329">
        <v>15.6</v>
      </c>
      <c r="I76" s="329">
        <f t="shared" si="3"/>
        <v>15.116666666666667</v>
      </c>
      <c r="L76" s="331">
        <v>40466</v>
      </c>
      <c r="M76" s="329">
        <v>43.166666666666657</v>
      </c>
      <c r="N76" s="329">
        <v>45.15</v>
      </c>
      <c r="O76" s="329">
        <v>13.466666666666669</v>
      </c>
      <c r="P76" s="329">
        <v>15.116666666666667</v>
      </c>
      <c r="S76" s="331">
        <v>40503</v>
      </c>
      <c r="T76" s="329">
        <v>44.716666666666669</v>
      </c>
      <c r="U76" s="329">
        <v>46.816666666666663</v>
      </c>
      <c r="V76" s="329">
        <v>9.3500000000000014</v>
      </c>
      <c r="W76" s="329">
        <v>9.8666666666666654</v>
      </c>
      <c r="X76" s="197">
        <v>12.1</v>
      </c>
      <c r="Y76" s="197">
        <v>8</v>
      </c>
    </row>
    <row r="77" spans="1:25">
      <c r="A77" s="331">
        <v>40466</v>
      </c>
      <c r="B77" s="329">
        <v>43.2</v>
      </c>
      <c r="C77" s="329">
        <f t="shared" si="4"/>
        <v>43.166666666666657</v>
      </c>
      <c r="D77" s="329">
        <v>45.2</v>
      </c>
      <c r="E77" s="329">
        <f t="shared" si="1"/>
        <v>45.15</v>
      </c>
      <c r="F77" s="329">
        <v>12.3</v>
      </c>
      <c r="G77" s="329">
        <f t="shared" si="2"/>
        <v>13.466666666666669</v>
      </c>
      <c r="H77" s="329">
        <v>15.2</v>
      </c>
      <c r="I77" s="329">
        <f t="shared" si="3"/>
        <v>15.116666666666667</v>
      </c>
      <c r="L77" s="331">
        <v>40466</v>
      </c>
      <c r="M77" s="329">
        <v>43.166666666666657</v>
      </c>
      <c r="N77" s="329">
        <v>45.15</v>
      </c>
      <c r="O77" s="329">
        <v>13.466666666666669</v>
      </c>
      <c r="P77" s="329">
        <v>15.116666666666667</v>
      </c>
      <c r="S77" s="331">
        <v>40504</v>
      </c>
      <c r="T77" s="329">
        <v>62.45000000000001</v>
      </c>
      <c r="U77" s="329">
        <v>69.099999999999994</v>
      </c>
      <c r="V77" s="329">
        <v>9.3166666666666664</v>
      </c>
      <c r="W77" s="329">
        <v>9.8333333333333339</v>
      </c>
      <c r="X77" s="197">
        <v>0.8</v>
      </c>
      <c r="Y77" s="197">
        <v>7.7</v>
      </c>
    </row>
    <row r="78" spans="1:25">
      <c r="A78" s="331">
        <v>40466</v>
      </c>
      <c r="B78" s="329">
        <v>43.2</v>
      </c>
      <c r="C78" s="329">
        <f t="shared" si="4"/>
        <v>43.166666666666657</v>
      </c>
      <c r="D78" s="329">
        <v>45.1</v>
      </c>
      <c r="E78" s="329">
        <f t="shared" si="1"/>
        <v>45.15</v>
      </c>
      <c r="F78" s="329">
        <v>12.6</v>
      </c>
      <c r="G78" s="329">
        <f t="shared" si="2"/>
        <v>13.466666666666669</v>
      </c>
      <c r="H78" s="329">
        <v>14.7</v>
      </c>
      <c r="I78" s="329">
        <f t="shared" si="3"/>
        <v>15.116666666666667</v>
      </c>
      <c r="L78" s="331">
        <v>40466</v>
      </c>
      <c r="M78" s="329">
        <v>43.166666666666657</v>
      </c>
      <c r="N78" s="329">
        <v>45.15</v>
      </c>
      <c r="O78" s="329">
        <v>13.466666666666669</v>
      </c>
      <c r="P78" s="329">
        <v>15.116666666666667</v>
      </c>
      <c r="S78" s="331">
        <v>40505</v>
      </c>
      <c r="T78" s="329">
        <v>46.75</v>
      </c>
      <c r="U78" s="329">
        <v>51.083333333333336</v>
      </c>
      <c r="V78" s="329">
        <v>8.7666666666666657</v>
      </c>
      <c r="W78" s="329">
        <v>9.5333333333333332</v>
      </c>
      <c r="X78" s="197">
        <v>0</v>
      </c>
      <c r="Y78" s="197">
        <v>6.2</v>
      </c>
    </row>
    <row r="79" spans="1:25">
      <c r="A79" s="331">
        <v>40466</v>
      </c>
      <c r="B79" s="329">
        <v>43</v>
      </c>
      <c r="C79" s="329">
        <f t="shared" si="4"/>
        <v>43.166666666666657</v>
      </c>
      <c r="D79" s="329">
        <v>45</v>
      </c>
      <c r="E79" s="329">
        <f t="shared" si="1"/>
        <v>45.15</v>
      </c>
      <c r="F79" s="329">
        <v>14.4</v>
      </c>
      <c r="G79" s="329">
        <f t="shared" si="2"/>
        <v>13.466666666666669</v>
      </c>
      <c r="H79" s="329">
        <v>14.5</v>
      </c>
      <c r="I79" s="329">
        <f t="shared" si="3"/>
        <v>15.116666666666667</v>
      </c>
      <c r="L79" s="331">
        <v>40466</v>
      </c>
      <c r="M79" s="329">
        <v>43.166666666666657</v>
      </c>
      <c r="N79" s="329">
        <v>45.15</v>
      </c>
      <c r="O79" s="329">
        <v>13.466666666666669</v>
      </c>
      <c r="P79" s="329">
        <v>15.116666666666667</v>
      </c>
      <c r="S79" s="331">
        <v>40506</v>
      </c>
      <c r="T79" s="329">
        <v>45.883333333333333</v>
      </c>
      <c r="U79" s="329">
        <v>48.566666666666663</v>
      </c>
      <c r="V79" s="329">
        <v>7.3833333333333337</v>
      </c>
      <c r="W79" s="329">
        <v>8.9</v>
      </c>
      <c r="X79" s="197">
        <v>0</v>
      </c>
      <c r="Y79" s="197">
        <v>2.9</v>
      </c>
    </row>
    <row r="80" spans="1:25">
      <c r="A80" s="331">
        <v>40466</v>
      </c>
      <c r="B80" s="329">
        <v>42.9</v>
      </c>
      <c r="C80" s="329">
        <f t="shared" si="4"/>
        <v>43.166666666666657</v>
      </c>
      <c r="D80" s="329">
        <v>44.9</v>
      </c>
      <c r="E80" s="329">
        <f t="shared" si="1"/>
        <v>45.15</v>
      </c>
      <c r="F80" s="329">
        <v>13.7</v>
      </c>
      <c r="G80" s="329">
        <f t="shared" si="2"/>
        <v>13.466666666666669</v>
      </c>
      <c r="H80" s="329">
        <v>14.7</v>
      </c>
      <c r="I80" s="329">
        <f t="shared" si="3"/>
        <v>15.116666666666667</v>
      </c>
      <c r="L80" s="331">
        <v>40466</v>
      </c>
      <c r="M80" s="329">
        <v>43.166666666666657</v>
      </c>
      <c r="N80" s="329">
        <v>45.15</v>
      </c>
      <c r="O80" s="329">
        <v>13.466666666666669</v>
      </c>
      <c r="P80" s="329">
        <v>15.116666666666667</v>
      </c>
      <c r="S80" s="331">
        <v>40507</v>
      </c>
      <c r="T80" s="329">
        <v>45.383333333333333</v>
      </c>
      <c r="U80" s="329">
        <v>47.949999999999996</v>
      </c>
      <c r="V80" s="329">
        <v>7</v>
      </c>
      <c r="W80" s="329">
        <v>8.2666666666666657</v>
      </c>
      <c r="X80" s="197">
        <v>2.4</v>
      </c>
      <c r="Y80" s="197">
        <v>4.7</v>
      </c>
    </row>
    <row r="81" spans="1:25">
      <c r="A81" s="331">
        <v>40467</v>
      </c>
      <c r="B81" s="329">
        <v>42.9</v>
      </c>
      <c r="C81" s="329">
        <f t="shared" si="4"/>
        <v>42.699999999999989</v>
      </c>
      <c r="D81" s="329">
        <v>44.8</v>
      </c>
      <c r="E81" s="329">
        <f t="shared" si="1"/>
        <v>44.666666666666664</v>
      </c>
      <c r="F81" s="329">
        <v>12.4</v>
      </c>
      <c r="G81" s="329">
        <f t="shared" si="2"/>
        <v>11.899999999999999</v>
      </c>
      <c r="H81" s="329">
        <v>14.6</v>
      </c>
      <c r="I81" s="329">
        <f t="shared" si="3"/>
        <v>13.866666666666667</v>
      </c>
      <c r="L81" s="331">
        <v>40467</v>
      </c>
      <c r="M81" s="329">
        <v>42.699999999999989</v>
      </c>
      <c r="N81" s="329">
        <v>44.666666666666664</v>
      </c>
      <c r="O81" s="329">
        <v>11.899999999999999</v>
      </c>
      <c r="P81" s="329">
        <v>13.866666666666667</v>
      </c>
      <c r="S81" s="331">
        <v>40508</v>
      </c>
      <c r="T81" s="329">
        <v>45.550000000000004</v>
      </c>
      <c r="U81" s="329">
        <v>47.75</v>
      </c>
      <c r="V81" s="329">
        <v>6.583333333333333</v>
      </c>
      <c r="W81" s="329">
        <v>7.916666666666667</v>
      </c>
      <c r="X81" s="197">
        <v>0</v>
      </c>
      <c r="Y81" s="197">
        <v>2.7</v>
      </c>
    </row>
    <row r="82" spans="1:25">
      <c r="A82" s="331">
        <v>40467</v>
      </c>
      <c r="B82" s="329">
        <v>42.8</v>
      </c>
      <c r="C82" s="329">
        <f t="shared" si="4"/>
        <v>42.699999999999989</v>
      </c>
      <c r="D82" s="329">
        <v>44.8</v>
      </c>
      <c r="E82" s="329">
        <f t="shared" si="1"/>
        <v>44.666666666666664</v>
      </c>
      <c r="F82" s="329">
        <v>11.5</v>
      </c>
      <c r="G82" s="329">
        <f t="shared" si="2"/>
        <v>11.899999999999999</v>
      </c>
      <c r="H82" s="329">
        <v>14.3</v>
      </c>
      <c r="I82" s="329">
        <f t="shared" si="3"/>
        <v>13.866666666666667</v>
      </c>
      <c r="L82" s="331">
        <v>40467</v>
      </c>
      <c r="M82" s="329">
        <v>42.699999999999989</v>
      </c>
      <c r="N82" s="329">
        <v>44.666666666666664</v>
      </c>
      <c r="O82" s="329">
        <v>11.899999999999999</v>
      </c>
      <c r="P82" s="329">
        <v>13.866666666666667</v>
      </c>
      <c r="S82" s="331">
        <v>40509</v>
      </c>
      <c r="T82" s="329">
        <v>45.366666666666667</v>
      </c>
      <c r="U82" s="329">
        <v>47.800000000000004</v>
      </c>
      <c r="V82" s="329">
        <v>5.2833333333333341</v>
      </c>
      <c r="W82" s="329">
        <v>7.1833333333333327</v>
      </c>
      <c r="X82" s="197">
        <v>1.6</v>
      </c>
      <c r="Y82" s="197">
        <v>2</v>
      </c>
    </row>
    <row r="83" spans="1:25">
      <c r="A83" s="331">
        <v>40467</v>
      </c>
      <c r="B83" s="329">
        <v>42.7</v>
      </c>
      <c r="C83" s="329">
        <f t="shared" si="4"/>
        <v>42.699999999999989</v>
      </c>
      <c r="D83" s="329">
        <v>44.7</v>
      </c>
      <c r="E83" s="329">
        <f t="shared" si="1"/>
        <v>44.666666666666664</v>
      </c>
      <c r="F83" s="329">
        <v>11</v>
      </c>
      <c r="G83" s="329">
        <f t="shared" si="2"/>
        <v>11.899999999999999</v>
      </c>
      <c r="H83" s="329">
        <v>13.9</v>
      </c>
      <c r="I83" s="329">
        <f t="shared" si="3"/>
        <v>13.866666666666667</v>
      </c>
      <c r="L83" s="331">
        <v>40467</v>
      </c>
      <c r="M83" s="329">
        <v>42.699999999999989</v>
      </c>
      <c r="N83" s="329">
        <v>44.666666666666664</v>
      </c>
      <c r="O83" s="329">
        <v>11.899999999999999</v>
      </c>
      <c r="P83" s="329">
        <v>13.866666666666667</v>
      </c>
      <c r="S83" s="331">
        <v>40510</v>
      </c>
      <c r="T83" s="329">
        <v>45.266666666666659</v>
      </c>
      <c r="U83" s="329">
        <v>47.366666666666667</v>
      </c>
      <c r="V83" s="329">
        <v>5.166666666666667</v>
      </c>
      <c r="W83" s="329">
        <v>6.6833333333333336</v>
      </c>
      <c r="X83" s="197">
        <v>0</v>
      </c>
      <c r="Y83" s="197">
        <v>2.5</v>
      </c>
    </row>
    <row r="84" spans="1:25">
      <c r="A84" s="331">
        <v>40467</v>
      </c>
      <c r="B84" s="329">
        <v>42.7</v>
      </c>
      <c r="C84" s="329">
        <f t="shared" si="4"/>
        <v>42.699999999999989</v>
      </c>
      <c r="D84" s="329">
        <v>44.6</v>
      </c>
      <c r="E84" s="329">
        <f t="shared" si="1"/>
        <v>44.666666666666664</v>
      </c>
      <c r="F84" s="329">
        <v>11.5</v>
      </c>
      <c r="G84" s="329">
        <f t="shared" si="2"/>
        <v>11.899999999999999</v>
      </c>
      <c r="H84" s="329">
        <v>13.5</v>
      </c>
      <c r="I84" s="329">
        <f t="shared" si="3"/>
        <v>13.866666666666667</v>
      </c>
      <c r="L84" s="331">
        <v>40467</v>
      </c>
      <c r="M84" s="329">
        <v>42.699999999999989</v>
      </c>
      <c r="N84" s="329">
        <v>44.666666666666664</v>
      </c>
      <c r="O84" s="329">
        <v>11.899999999999999</v>
      </c>
      <c r="P84" s="329">
        <v>13.866666666666667</v>
      </c>
      <c r="S84" s="331">
        <v>40511</v>
      </c>
      <c r="T84" s="329">
        <v>45.183333333333337</v>
      </c>
      <c r="U84" s="329">
        <v>47.249999999999993</v>
      </c>
      <c r="V84" s="329">
        <v>4.8666666666666663</v>
      </c>
      <c r="W84" s="329">
        <v>6.3833333333333337</v>
      </c>
      <c r="X84" s="197">
        <v>0</v>
      </c>
      <c r="Y84" s="197">
        <v>3</v>
      </c>
    </row>
    <row r="85" spans="1:25">
      <c r="A85" s="331">
        <v>40467</v>
      </c>
      <c r="B85" s="329">
        <v>42.6</v>
      </c>
      <c r="C85" s="329">
        <f t="shared" si="4"/>
        <v>42.699999999999989</v>
      </c>
      <c r="D85" s="329">
        <v>44.6</v>
      </c>
      <c r="E85" s="329">
        <f t="shared" si="1"/>
        <v>44.666666666666664</v>
      </c>
      <c r="F85" s="329">
        <v>12.4</v>
      </c>
      <c r="G85" s="329">
        <f t="shared" si="2"/>
        <v>11.899999999999999</v>
      </c>
      <c r="H85" s="329">
        <v>13.4</v>
      </c>
      <c r="I85" s="329">
        <f t="shared" si="3"/>
        <v>13.866666666666667</v>
      </c>
      <c r="L85" s="331">
        <v>40467</v>
      </c>
      <c r="M85" s="329">
        <v>42.699999999999989</v>
      </c>
      <c r="N85" s="329">
        <v>44.666666666666664</v>
      </c>
      <c r="O85" s="329">
        <v>11.899999999999999</v>
      </c>
      <c r="P85" s="329">
        <v>13.866666666666667</v>
      </c>
      <c r="S85" s="331">
        <v>40512</v>
      </c>
      <c r="T85" s="329">
        <v>45.016666666666673</v>
      </c>
      <c r="U85" s="329">
        <v>47.083333333333336</v>
      </c>
      <c r="V85" s="329">
        <v>5.1166666666666663</v>
      </c>
      <c r="W85" s="329">
        <v>6.2166666666666677</v>
      </c>
      <c r="X85" s="197">
        <v>0</v>
      </c>
      <c r="Y85" s="197">
        <v>5.2</v>
      </c>
    </row>
    <row r="86" spans="1:25">
      <c r="A86" s="331">
        <v>40467</v>
      </c>
      <c r="B86" s="329">
        <v>42.5</v>
      </c>
      <c r="C86" s="329">
        <f t="shared" si="4"/>
        <v>42.699999999999989</v>
      </c>
      <c r="D86" s="329">
        <v>44.5</v>
      </c>
      <c r="E86" s="329">
        <f t="shared" si="1"/>
        <v>44.666666666666664</v>
      </c>
      <c r="F86" s="329">
        <v>12.6</v>
      </c>
      <c r="G86" s="329">
        <f t="shared" si="2"/>
        <v>11.899999999999999</v>
      </c>
      <c r="H86" s="329">
        <v>13.5</v>
      </c>
      <c r="I86" s="329">
        <f t="shared" si="3"/>
        <v>13.866666666666667</v>
      </c>
      <c r="L86" s="331">
        <v>40467</v>
      </c>
      <c r="M86" s="329">
        <v>42.699999999999989</v>
      </c>
      <c r="N86" s="329">
        <v>44.666666666666664</v>
      </c>
      <c r="O86" s="329">
        <v>11.899999999999999</v>
      </c>
      <c r="P86" s="329">
        <v>13.866666666666667</v>
      </c>
      <c r="S86" s="331">
        <v>40513</v>
      </c>
      <c r="T86" s="329">
        <v>44.866666666666667</v>
      </c>
      <c r="U86" s="329">
        <v>46.883333333333333</v>
      </c>
      <c r="V86" s="329">
        <v>5.2166666666666668</v>
      </c>
      <c r="W86" s="329">
        <v>6.3833333333333329</v>
      </c>
      <c r="X86" s="197">
        <v>0</v>
      </c>
      <c r="Y86" s="197">
        <v>1.7</v>
      </c>
    </row>
    <row r="87" spans="1:25">
      <c r="A87" s="331">
        <v>40468</v>
      </c>
      <c r="B87" s="329">
        <v>42.4</v>
      </c>
      <c r="C87" s="329">
        <f t="shared" si="4"/>
        <v>42.333333333333336</v>
      </c>
      <c r="D87" s="329">
        <v>44.5</v>
      </c>
      <c r="E87" s="329">
        <f t="shared" si="1"/>
        <v>44.316666666666663</v>
      </c>
      <c r="F87" s="329">
        <v>12.3</v>
      </c>
      <c r="G87" s="329">
        <f t="shared" si="2"/>
        <v>11.916666666666666</v>
      </c>
      <c r="H87" s="329">
        <v>13.5</v>
      </c>
      <c r="I87" s="329">
        <f t="shared" si="3"/>
        <v>13.216666666666663</v>
      </c>
      <c r="L87" s="331">
        <v>40468</v>
      </c>
      <c r="M87" s="329">
        <v>42.333333333333336</v>
      </c>
      <c r="N87" s="329">
        <v>44.316666666666663</v>
      </c>
      <c r="O87" s="329">
        <v>11.916666666666666</v>
      </c>
      <c r="P87" s="329">
        <v>13.216666666666663</v>
      </c>
      <c r="S87" s="331">
        <v>40514</v>
      </c>
      <c r="T87" s="329">
        <v>45.25</v>
      </c>
      <c r="U87" s="329">
        <v>46.966666666666669</v>
      </c>
      <c r="V87" s="329">
        <v>4.2833333333333332</v>
      </c>
      <c r="W87" s="329">
        <v>5.833333333333333</v>
      </c>
      <c r="X87" s="197">
        <v>0.4</v>
      </c>
      <c r="Y87" s="197">
        <v>1.4</v>
      </c>
    </row>
    <row r="88" spans="1:25">
      <c r="A88" s="331">
        <v>40468</v>
      </c>
      <c r="B88" s="329">
        <v>42.4</v>
      </c>
      <c r="C88" s="329">
        <f t="shared" si="4"/>
        <v>42.333333333333336</v>
      </c>
      <c r="D88" s="329">
        <v>44.4</v>
      </c>
      <c r="E88" s="329">
        <f t="shared" si="1"/>
        <v>44.316666666666663</v>
      </c>
      <c r="F88" s="329">
        <v>11.6</v>
      </c>
      <c r="G88" s="329">
        <f t="shared" si="2"/>
        <v>11.916666666666666</v>
      </c>
      <c r="H88" s="329">
        <v>13.4</v>
      </c>
      <c r="I88" s="329">
        <f t="shared" si="3"/>
        <v>13.216666666666663</v>
      </c>
      <c r="L88" s="331">
        <v>40468</v>
      </c>
      <c r="M88" s="329">
        <v>42.333333333333336</v>
      </c>
      <c r="N88" s="329">
        <v>44.316666666666663</v>
      </c>
      <c r="O88" s="329">
        <v>11.916666666666666</v>
      </c>
      <c r="P88" s="329">
        <v>13.216666666666663</v>
      </c>
      <c r="S88" s="331">
        <v>40515</v>
      </c>
      <c r="T88" s="329">
        <v>44.833333333333343</v>
      </c>
      <c r="U88" s="329">
        <v>46.766666666666659</v>
      </c>
      <c r="V88" s="329">
        <v>4.2833333333333332</v>
      </c>
      <c r="W88" s="329">
        <v>5.6000000000000005</v>
      </c>
      <c r="X88" s="197">
        <v>0.6</v>
      </c>
      <c r="Y88" s="197">
        <v>1.8</v>
      </c>
    </row>
    <row r="89" spans="1:25">
      <c r="A89" s="331">
        <v>40468</v>
      </c>
      <c r="B89" s="329">
        <v>42.4</v>
      </c>
      <c r="C89" s="329">
        <f t="shared" si="4"/>
        <v>42.333333333333336</v>
      </c>
      <c r="D89" s="329">
        <v>44.3</v>
      </c>
      <c r="E89" s="329">
        <f t="shared" si="1"/>
        <v>44.316666666666663</v>
      </c>
      <c r="F89" s="329">
        <v>11.1</v>
      </c>
      <c r="G89" s="329">
        <f t="shared" si="2"/>
        <v>11.916666666666666</v>
      </c>
      <c r="H89" s="329">
        <v>13.2</v>
      </c>
      <c r="I89" s="329">
        <f t="shared" si="3"/>
        <v>13.216666666666663</v>
      </c>
      <c r="L89" s="331">
        <v>40468</v>
      </c>
      <c r="M89" s="329">
        <v>42.333333333333336</v>
      </c>
      <c r="N89" s="329">
        <v>44.316666666666663</v>
      </c>
      <c r="O89" s="329">
        <v>11.916666666666666</v>
      </c>
      <c r="P89" s="329">
        <v>13.216666666666663</v>
      </c>
      <c r="S89" s="331">
        <v>40516</v>
      </c>
      <c r="T89" s="329">
        <v>44.916666666666679</v>
      </c>
      <c r="U89" s="329">
        <v>46.683333333333337</v>
      </c>
      <c r="V89" s="329">
        <v>4.0666666666666664</v>
      </c>
      <c r="W89" s="329">
        <v>5.3166666666666664</v>
      </c>
      <c r="X89" s="197">
        <v>0.2</v>
      </c>
      <c r="Y89" s="197">
        <v>2.5</v>
      </c>
    </row>
    <row r="90" spans="1:25">
      <c r="A90" s="331">
        <v>40468</v>
      </c>
      <c r="B90" s="329">
        <v>42.3</v>
      </c>
      <c r="C90" s="329">
        <f t="shared" si="4"/>
        <v>42.333333333333336</v>
      </c>
      <c r="D90" s="329">
        <v>44.3</v>
      </c>
      <c r="E90" s="329">
        <f t="shared" si="1"/>
        <v>44.316666666666663</v>
      </c>
      <c r="F90" s="329">
        <v>11.7</v>
      </c>
      <c r="G90" s="329">
        <f t="shared" si="2"/>
        <v>11.916666666666666</v>
      </c>
      <c r="H90" s="329">
        <v>13.1</v>
      </c>
      <c r="I90" s="329">
        <f t="shared" si="3"/>
        <v>13.216666666666663</v>
      </c>
      <c r="L90" s="331">
        <v>40468</v>
      </c>
      <c r="M90" s="329">
        <v>42.333333333333336</v>
      </c>
      <c r="N90" s="329">
        <v>44.316666666666663</v>
      </c>
      <c r="O90" s="329">
        <v>11.916666666666666</v>
      </c>
      <c r="P90" s="329">
        <v>13.216666666666663</v>
      </c>
      <c r="S90" s="331">
        <v>40517</v>
      </c>
      <c r="T90" s="329">
        <v>44.550000000000004</v>
      </c>
      <c r="U90" s="329">
        <v>46.65</v>
      </c>
      <c r="V90" s="329">
        <v>4.9333333333333327</v>
      </c>
      <c r="W90" s="329">
        <v>5.5166666666666666</v>
      </c>
      <c r="X90" s="197">
        <v>0.4</v>
      </c>
      <c r="Y90" s="197">
        <v>8.4</v>
      </c>
    </row>
    <row r="91" spans="1:25">
      <c r="A91" s="331">
        <v>40468</v>
      </c>
      <c r="B91" s="329">
        <v>42.2</v>
      </c>
      <c r="C91" s="329">
        <f t="shared" si="4"/>
        <v>42.333333333333336</v>
      </c>
      <c r="D91" s="329">
        <v>44.2</v>
      </c>
      <c r="E91" s="329">
        <f t="shared" si="1"/>
        <v>44.316666666666663</v>
      </c>
      <c r="F91" s="329">
        <v>12.8</v>
      </c>
      <c r="G91" s="329">
        <f t="shared" si="2"/>
        <v>11.916666666666666</v>
      </c>
      <c r="H91" s="329">
        <v>13</v>
      </c>
      <c r="I91" s="329">
        <f t="shared" si="3"/>
        <v>13.216666666666663</v>
      </c>
      <c r="L91" s="331">
        <v>40468</v>
      </c>
      <c r="M91" s="329">
        <v>42.333333333333336</v>
      </c>
      <c r="N91" s="329">
        <v>44.316666666666663</v>
      </c>
      <c r="O91" s="329">
        <v>11.916666666666666</v>
      </c>
      <c r="P91" s="329">
        <v>13.216666666666663</v>
      </c>
      <c r="S91" s="331">
        <v>40518</v>
      </c>
      <c r="T91" s="329">
        <v>44.449999999999996</v>
      </c>
      <c r="U91" s="329">
        <v>46.116666666666667</v>
      </c>
      <c r="V91" s="329">
        <v>7.333333333333333</v>
      </c>
      <c r="W91" s="329">
        <v>6.5500000000000007</v>
      </c>
      <c r="X91" s="197">
        <v>0.8</v>
      </c>
      <c r="Y91" s="197">
        <v>11.2</v>
      </c>
    </row>
    <row r="92" spans="1:25">
      <c r="A92" s="331">
        <v>40468</v>
      </c>
      <c r="B92" s="329">
        <v>42.3</v>
      </c>
      <c r="C92" s="329">
        <f t="shared" si="4"/>
        <v>42.333333333333336</v>
      </c>
      <c r="D92" s="329">
        <v>44.2</v>
      </c>
      <c r="E92" s="329">
        <f t="shared" si="1"/>
        <v>44.316666666666663</v>
      </c>
      <c r="F92" s="329">
        <v>12</v>
      </c>
      <c r="G92" s="329">
        <f t="shared" si="2"/>
        <v>11.916666666666666</v>
      </c>
      <c r="H92" s="329">
        <v>13.1</v>
      </c>
      <c r="I92" s="329">
        <f t="shared" si="3"/>
        <v>13.216666666666663</v>
      </c>
      <c r="L92" s="331">
        <v>40468</v>
      </c>
      <c r="M92" s="329">
        <v>42.333333333333336</v>
      </c>
      <c r="N92" s="329">
        <v>44.316666666666663</v>
      </c>
      <c r="O92" s="329">
        <v>11.916666666666666</v>
      </c>
      <c r="P92" s="329">
        <v>13.216666666666663</v>
      </c>
      <c r="S92" s="331">
        <v>40519</v>
      </c>
      <c r="T92" s="329">
        <v>44.416666666666664</v>
      </c>
      <c r="U92" s="329">
        <v>46.033333333333331</v>
      </c>
      <c r="V92" s="329">
        <v>8.8666666666666671</v>
      </c>
      <c r="W92" s="329">
        <v>7.7833333333333341</v>
      </c>
      <c r="X92" s="197">
        <v>0.2</v>
      </c>
      <c r="Y92" s="197">
        <v>12</v>
      </c>
    </row>
    <row r="93" spans="1:25">
      <c r="A93" s="331">
        <v>40469</v>
      </c>
      <c r="B93" s="329">
        <v>42.2</v>
      </c>
      <c r="C93" s="329">
        <f t="shared" si="4"/>
        <v>42.18333333333333</v>
      </c>
      <c r="D93" s="329">
        <v>44.1</v>
      </c>
      <c r="E93" s="329">
        <f t="shared" si="1"/>
        <v>43.966666666666669</v>
      </c>
      <c r="F93" s="329">
        <v>11.2</v>
      </c>
      <c r="G93" s="329">
        <f t="shared" si="2"/>
        <v>10.716666666666667</v>
      </c>
      <c r="H93" s="329">
        <v>13.1</v>
      </c>
      <c r="I93" s="329">
        <f t="shared" si="3"/>
        <v>12.549999999999999</v>
      </c>
      <c r="L93" s="331">
        <v>40469</v>
      </c>
      <c r="M93" s="329">
        <v>42.18333333333333</v>
      </c>
      <c r="N93" s="329">
        <v>43.966666666666669</v>
      </c>
      <c r="O93" s="329">
        <v>10.716666666666667</v>
      </c>
      <c r="P93" s="329">
        <v>12.549999999999999</v>
      </c>
      <c r="S93" s="331">
        <v>40520</v>
      </c>
      <c r="T93" s="329">
        <v>44.300000000000004</v>
      </c>
      <c r="U93" s="329">
        <v>46</v>
      </c>
      <c r="V93" s="329">
        <v>9.85</v>
      </c>
      <c r="W93" s="329">
        <v>8.75</v>
      </c>
      <c r="X93" s="197">
        <v>0</v>
      </c>
      <c r="Y93" s="197">
        <v>13.8</v>
      </c>
    </row>
    <row r="94" spans="1:25">
      <c r="A94" s="331">
        <v>40469</v>
      </c>
      <c r="B94" s="329">
        <v>42.2</v>
      </c>
      <c r="C94" s="329">
        <f t="shared" si="4"/>
        <v>42.18333333333333</v>
      </c>
      <c r="D94" s="329">
        <v>44</v>
      </c>
      <c r="E94" s="329">
        <f t="shared" si="1"/>
        <v>43.966666666666669</v>
      </c>
      <c r="F94" s="329">
        <v>10.6</v>
      </c>
      <c r="G94" s="329">
        <f t="shared" si="2"/>
        <v>10.716666666666667</v>
      </c>
      <c r="H94" s="329">
        <v>12.8</v>
      </c>
      <c r="I94" s="329">
        <f t="shared" si="3"/>
        <v>12.549999999999999</v>
      </c>
      <c r="L94" s="331">
        <v>40469</v>
      </c>
      <c r="M94" s="329">
        <v>42.18333333333333</v>
      </c>
      <c r="N94" s="329">
        <v>43.966666666666669</v>
      </c>
      <c r="O94" s="329">
        <v>10.716666666666667</v>
      </c>
      <c r="P94" s="329">
        <v>12.549999999999999</v>
      </c>
      <c r="S94" s="331">
        <v>40521</v>
      </c>
      <c r="T94" s="329">
        <v>44.266666666666659</v>
      </c>
      <c r="U94" s="329">
        <v>45.81666666666667</v>
      </c>
      <c r="V94" s="329">
        <v>8.9666666666666668</v>
      </c>
      <c r="W94" s="329">
        <v>9.1</v>
      </c>
      <c r="X94" s="197">
        <v>0</v>
      </c>
      <c r="Y94" s="197">
        <v>4.8</v>
      </c>
    </row>
    <row r="95" spans="1:25">
      <c r="A95" s="331">
        <v>40469</v>
      </c>
      <c r="B95" s="329">
        <v>42.2</v>
      </c>
      <c r="C95" s="329">
        <f t="shared" si="4"/>
        <v>42.18333333333333</v>
      </c>
      <c r="D95" s="329">
        <v>44</v>
      </c>
      <c r="E95" s="329">
        <f t="shared" si="1"/>
        <v>43.966666666666669</v>
      </c>
      <c r="F95" s="329">
        <v>10.199999999999999</v>
      </c>
      <c r="G95" s="329">
        <f t="shared" si="2"/>
        <v>10.716666666666667</v>
      </c>
      <c r="H95" s="329">
        <v>12.6</v>
      </c>
      <c r="I95" s="329">
        <f t="shared" si="3"/>
        <v>12.549999999999999</v>
      </c>
      <c r="L95" s="331">
        <v>40469</v>
      </c>
      <c r="M95" s="329">
        <v>42.18333333333333</v>
      </c>
      <c r="N95" s="329">
        <v>43.966666666666669</v>
      </c>
      <c r="O95" s="329">
        <v>10.716666666666667</v>
      </c>
      <c r="P95" s="329">
        <v>12.549999999999999</v>
      </c>
      <c r="S95" s="331">
        <v>40522</v>
      </c>
      <c r="T95" s="329">
        <v>44.716666666666669</v>
      </c>
      <c r="U95" s="329">
        <v>45.800000000000004</v>
      </c>
      <c r="V95" s="329">
        <v>5.8500000000000005</v>
      </c>
      <c r="W95" s="329">
        <v>7.6833333333333336</v>
      </c>
      <c r="X95" s="197">
        <v>0</v>
      </c>
      <c r="Y95" s="197">
        <v>0.4</v>
      </c>
    </row>
    <row r="96" spans="1:25">
      <c r="A96" s="331">
        <v>40469</v>
      </c>
      <c r="B96" s="329">
        <v>42.3</v>
      </c>
      <c r="C96" s="329">
        <f t="shared" si="4"/>
        <v>42.18333333333333</v>
      </c>
      <c r="D96" s="329">
        <v>43.9</v>
      </c>
      <c r="E96" s="329">
        <f t="shared" si="1"/>
        <v>43.966666666666669</v>
      </c>
      <c r="F96" s="329">
        <v>10.3</v>
      </c>
      <c r="G96" s="329">
        <f t="shared" si="2"/>
        <v>10.716666666666667</v>
      </c>
      <c r="H96" s="329">
        <v>12.3</v>
      </c>
      <c r="I96" s="329">
        <f t="shared" si="3"/>
        <v>12.549999999999999</v>
      </c>
      <c r="L96" s="331">
        <v>40469</v>
      </c>
      <c r="M96" s="329">
        <v>42.18333333333333</v>
      </c>
      <c r="N96" s="329">
        <v>43.966666666666669</v>
      </c>
      <c r="O96" s="329">
        <v>10.716666666666667</v>
      </c>
      <c r="P96" s="329">
        <v>12.549999999999999</v>
      </c>
      <c r="S96" s="331">
        <v>40523</v>
      </c>
      <c r="T96" s="329">
        <v>44.85</v>
      </c>
      <c r="U96" s="329">
        <v>45.85</v>
      </c>
      <c r="V96" s="329">
        <v>4.3166666666666673</v>
      </c>
      <c r="W96" s="329">
        <v>6.3166666666666664</v>
      </c>
      <c r="X96" s="197">
        <v>0</v>
      </c>
      <c r="Y96" s="197">
        <v>1.7</v>
      </c>
    </row>
    <row r="97" spans="1:25">
      <c r="A97" s="331">
        <v>40469</v>
      </c>
      <c r="B97" s="329">
        <v>42.3</v>
      </c>
      <c r="C97" s="329">
        <f t="shared" si="4"/>
        <v>42.18333333333333</v>
      </c>
      <c r="D97" s="329">
        <v>43.9</v>
      </c>
      <c r="E97" s="329">
        <f t="shared" si="1"/>
        <v>43.966666666666669</v>
      </c>
      <c r="F97" s="329">
        <v>11.4</v>
      </c>
      <c r="G97" s="329">
        <f t="shared" si="2"/>
        <v>10.716666666666667</v>
      </c>
      <c r="H97" s="329">
        <v>12.2</v>
      </c>
      <c r="I97" s="329">
        <f t="shared" si="3"/>
        <v>12.549999999999999</v>
      </c>
      <c r="L97" s="331">
        <v>40469</v>
      </c>
      <c r="M97" s="329">
        <v>42.18333333333333</v>
      </c>
      <c r="N97" s="329">
        <v>43.966666666666669</v>
      </c>
      <c r="O97" s="329">
        <v>10.716666666666667</v>
      </c>
      <c r="P97" s="329">
        <v>12.549999999999999</v>
      </c>
      <c r="S97" s="331">
        <v>40524</v>
      </c>
      <c r="T97" s="329">
        <v>45</v>
      </c>
      <c r="U97" s="329">
        <v>45.65</v>
      </c>
      <c r="V97" s="329">
        <v>4.333333333333333</v>
      </c>
      <c r="W97" s="329">
        <v>5.7</v>
      </c>
      <c r="X97" s="197">
        <v>0</v>
      </c>
      <c r="Y97" s="197">
        <v>3.2</v>
      </c>
    </row>
    <row r="98" spans="1:25">
      <c r="A98" s="331">
        <v>40469</v>
      </c>
      <c r="B98" s="329">
        <v>41.9</v>
      </c>
      <c r="C98" s="329">
        <f t="shared" si="4"/>
        <v>42.18333333333333</v>
      </c>
      <c r="D98" s="329">
        <v>43.9</v>
      </c>
      <c r="E98" s="329">
        <f t="shared" ref="E98:E161" si="5">AVERAGEIFS($D$33:$D$1494,$A$33:$A$1494,A98)</f>
        <v>43.966666666666669</v>
      </c>
      <c r="F98" s="329">
        <v>10.6</v>
      </c>
      <c r="G98" s="329">
        <f t="shared" ref="G98:G161" si="6">AVERAGEIFS($F$33:$F$1494,$A$33:$A$1494,A98)</f>
        <v>10.716666666666667</v>
      </c>
      <c r="H98" s="329">
        <v>12.3</v>
      </c>
      <c r="I98" s="329">
        <f t="shared" ref="I98:I161" si="7">AVERAGEIFS($H$33:$H$1494,$A$33:$A$1494,A98)</f>
        <v>12.549999999999999</v>
      </c>
      <c r="L98" s="331">
        <v>40469</v>
      </c>
      <c r="M98" s="329">
        <v>42.18333333333333</v>
      </c>
      <c r="N98" s="329">
        <v>43.966666666666669</v>
      </c>
      <c r="O98" s="329">
        <v>10.716666666666667</v>
      </c>
      <c r="P98" s="329">
        <v>12.549999999999999</v>
      </c>
      <c r="S98" s="331">
        <v>40525</v>
      </c>
      <c r="T98" s="329">
        <v>44.699999999999996</v>
      </c>
      <c r="U98" s="329">
        <v>45.583333333333336</v>
      </c>
      <c r="V98" s="329">
        <v>3.9833333333333329</v>
      </c>
      <c r="W98" s="329">
        <v>5.5</v>
      </c>
      <c r="X98" s="197">
        <v>0</v>
      </c>
      <c r="Y98" s="197">
        <v>0.4</v>
      </c>
    </row>
    <row r="99" spans="1:25">
      <c r="A99" s="331">
        <v>40470</v>
      </c>
      <c r="B99" s="329">
        <v>42</v>
      </c>
      <c r="C99" s="329">
        <f t="shared" si="4"/>
        <v>41.566666666666663</v>
      </c>
      <c r="D99" s="329">
        <v>43.8</v>
      </c>
      <c r="E99" s="329">
        <f t="shared" si="5"/>
        <v>43.716666666666669</v>
      </c>
      <c r="F99" s="329">
        <v>9.6999999999999993</v>
      </c>
      <c r="G99" s="329">
        <f t="shared" si="6"/>
        <v>10.116666666666665</v>
      </c>
      <c r="H99" s="329">
        <v>12.1</v>
      </c>
      <c r="I99" s="329">
        <f t="shared" si="7"/>
        <v>11.683333333333335</v>
      </c>
      <c r="L99" s="331">
        <v>40470</v>
      </c>
      <c r="M99" s="329">
        <v>41.566666666666663</v>
      </c>
      <c r="N99" s="329">
        <v>43.716666666666669</v>
      </c>
      <c r="O99" s="329">
        <v>10.116666666666665</v>
      </c>
      <c r="P99" s="329">
        <v>11.683333333333335</v>
      </c>
      <c r="S99" s="331">
        <v>40526</v>
      </c>
      <c r="T99" s="329">
        <v>44.466666666666669</v>
      </c>
      <c r="U99" s="329">
        <v>45.583333333333336</v>
      </c>
      <c r="V99" s="329">
        <v>3.1999999999999997</v>
      </c>
      <c r="W99" s="329">
        <v>4.8500000000000005</v>
      </c>
      <c r="X99" s="197">
        <v>0</v>
      </c>
      <c r="Y99" s="197">
        <v>-0.4</v>
      </c>
    </row>
    <row r="100" spans="1:25">
      <c r="A100" s="331">
        <v>40470</v>
      </c>
      <c r="B100" s="329">
        <v>41.6</v>
      </c>
      <c r="C100" s="329">
        <f t="shared" si="4"/>
        <v>41.566666666666663</v>
      </c>
      <c r="D100" s="329">
        <v>43.8</v>
      </c>
      <c r="E100" s="329">
        <f t="shared" si="5"/>
        <v>43.716666666666669</v>
      </c>
      <c r="F100" s="329">
        <v>9.1999999999999993</v>
      </c>
      <c r="G100" s="329">
        <f t="shared" si="6"/>
        <v>10.116666666666665</v>
      </c>
      <c r="H100" s="329">
        <v>11.9</v>
      </c>
      <c r="I100" s="329">
        <f t="shared" si="7"/>
        <v>11.683333333333335</v>
      </c>
      <c r="L100" s="331">
        <v>40470</v>
      </c>
      <c r="M100" s="329">
        <v>41.566666666666663</v>
      </c>
      <c r="N100" s="329">
        <v>43.716666666666669</v>
      </c>
      <c r="O100" s="329">
        <v>10.116666666666665</v>
      </c>
      <c r="P100" s="329">
        <v>11.683333333333335</v>
      </c>
      <c r="S100" s="331">
        <v>40527</v>
      </c>
      <c r="T100" s="329">
        <v>44.633333333333333</v>
      </c>
      <c r="U100" s="329">
        <v>45.5</v>
      </c>
      <c r="V100" s="329">
        <v>2.5166666666666671</v>
      </c>
      <c r="W100" s="329">
        <v>4.3500000000000005</v>
      </c>
      <c r="X100" s="197">
        <v>0</v>
      </c>
      <c r="Y100" s="197">
        <v>-2.1</v>
      </c>
    </row>
    <row r="101" spans="1:25">
      <c r="A101" s="331">
        <v>40470</v>
      </c>
      <c r="B101" s="329">
        <v>41.5</v>
      </c>
      <c r="C101" s="329">
        <f t="shared" si="4"/>
        <v>41.566666666666663</v>
      </c>
      <c r="D101" s="329">
        <v>43.7</v>
      </c>
      <c r="E101" s="329">
        <f t="shared" si="5"/>
        <v>43.716666666666669</v>
      </c>
      <c r="F101" s="329">
        <v>8.8000000000000007</v>
      </c>
      <c r="G101" s="329">
        <f t="shared" si="6"/>
        <v>10.116666666666665</v>
      </c>
      <c r="H101" s="329">
        <v>11.6</v>
      </c>
      <c r="I101" s="329">
        <f t="shared" si="7"/>
        <v>11.683333333333335</v>
      </c>
      <c r="L101" s="331">
        <v>40470</v>
      </c>
      <c r="M101" s="329">
        <v>41.566666666666663</v>
      </c>
      <c r="N101" s="329">
        <v>43.716666666666669</v>
      </c>
      <c r="O101" s="329">
        <v>10.116666666666665</v>
      </c>
      <c r="P101" s="329">
        <v>11.683333333333335</v>
      </c>
      <c r="S101" s="331">
        <v>40528</v>
      </c>
      <c r="T101" s="329">
        <v>44.550000000000004</v>
      </c>
      <c r="U101" s="329">
        <v>45.516666666666673</v>
      </c>
      <c r="V101" s="329">
        <v>1.9166666666666667</v>
      </c>
      <c r="W101" s="329">
        <v>3.7833333333333332</v>
      </c>
      <c r="X101" s="197">
        <v>0</v>
      </c>
      <c r="Y101" s="197">
        <v>1.4</v>
      </c>
    </row>
    <row r="102" spans="1:25">
      <c r="A102" s="331">
        <v>40470</v>
      </c>
      <c r="B102" s="329">
        <v>41.5</v>
      </c>
      <c r="C102" s="329">
        <f t="shared" si="4"/>
        <v>41.566666666666663</v>
      </c>
      <c r="D102" s="329">
        <v>43.7</v>
      </c>
      <c r="E102" s="329">
        <f t="shared" si="5"/>
        <v>43.716666666666669</v>
      </c>
      <c r="F102" s="329">
        <v>9.1999999999999993</v>
      </c>
      <c r="G102" s="329">
        <f t="shared" si="6"/>
        <v>10.116666666666665</v>
      </c>
      <c r="H102" s="329">
        <v>11.3</v>
      </c>
      <c r="I102" s="329">
        <f t="shared" si="7"/>
        <v>11.683333333333335</v>
      </c>
      <c r="L102" s="331">
        <v>40470</v>
      </c>
      <c r="M102" s="329">
        <v>41.566666666666663</v>
      </c>
      <c r="N102" s="329">
        <v>43.716666666666669</v>
      </c>
      <c r="O102" s="329">
        <v>10.116666666666665</v>
      </c>
      <c r="P102" s="329">
        <v>11.683333333333335</v>
      </c>
      <c r="S102" s="331">
        <v>40529</v>
      </c>
      <c r="T102" s="329">
        <v>44.716666666666669</v>
      </c>
      <c r="U102" s="329">
        <v>45.433333333333337</v>
      </c>
      <c r="V102" s="329">
        <v>3.3666666666666667</v>
      </c>
      <c r="W102" s="329">
        <v>3.9166666666666665</v>
      </c>
      <c r="X102" s="197">
        <v>5.2</v>
      </c>
      <c r="Y102" s="197">
        <v>3</v>
      </c>
    </row>
    <row r="103" spans="1:25">
      <c r="A103" s="331">
        <v>40470</v>
      </c>
      <c r="B103" s="329">
        <v>41.5</v>
      </c>
      <c r="C103" s="329">
        <f t="shared" si="4"/>
        <v>41.566666666666663</v>
      </c>
      <c r="D103" s="329">
        <v>43.7</v>
      </c>
      <c r="E103" s="329">
        <f t="shared" si="5"/>
        <v>43.716666666666669</v>
      </c>
      <c r="F103" s="329">
        <v>11.9</v>
      </c>
      <c r="G103" s="329">
        <f t="shared" si="6"/>
        <v>10.116666666666665</v>
      </c>
      <c r="H103" s="329">
        <v>11.4</v>
      </c>
      <c r="I103" s="329">
        <f t="shared" si="7"/>
        <v>11.683333333333335</v>
      </c>
      <c r="L103" s="331">
        <v>40470</v>
      </c>
      <c r="M103" s="329">
        <v>41.566666666666663</v>
      </c>
      <c r="N103" s="329">
        <v>43.716666666666669</v>
      </c>
      <c r="O103" s="329">
        <v>10.116666666666665</v>
      </c>
      <c r="P103" s="329">
        <v>11.683333333333335</v>
      </c>
      <c r="S103" s="331">
        <v>40530</v>
      </c>
      <c r="T103" s="329">
        <v>45.283333333333331</v>
      </c>
      <c r="U103" s="329">
        <v>45.4</v>
      </c>
      <c r="V103" s="329">
        <v>2.7833333333333332</v>
      </c>
      <c r="W103" s="329">
        <v>4.1166666666666663</v>
      </c>
      <c r="X103" s="197">
        <v>0</v>
      </c>
      <c r="Y103" s="197">
        <v>0.5</v>
      </c>
    </row>
    <row r="104" spans="1:25">
      <c r="A104" s="331">
        <v>40470</v>
      </c>
      <c r="B104" s="329">
        <v>41.3</v>
      </c>
      <c r="C104" s="329">
        <f t="shared" ref="C104:C167" si="8">AVERAGEIFS($B$33:$B$1494,$A$33:$A$1494,A104)</f>
        <v>41.566666666666663</v>
      </c>
      <c r="D104" s="329">
        <v>43.6</v>
      </c>
      <c r="E104" s="329">
        <f t="shared" si="5"/>
        <v>43.716666666666669</v>
      </c>
      <c r="F104" s="329">
        <v>11.9</v>
      </c>
      <c r="G104" s="329">
        <f t="shared" si="6"/>
        <v>10.116666666666665</v>
      </c>
      <c r="H104" s="329">
        <v>11.8</v>
      </c>
      <c r="I104" s="329">
        <f t="shared" si="7"/>
        <v>11.683333333333335</v>
      </c>
      <c r="L104" s="331">
        <v>40470</v>
      </c>
      <c r="M104" s="329">
        <v>41.566666666666663</v>
      </c>
      <c r="N104" s="329">
        <v>43.716666666666669</v>
      </c>
      <c r="O104" s="329">
        <v>10.116666666666665</v>
      </c>
      <c r="P104" s="329">
        <v>11.683333333333335</v>
      </c>
      <c r="S104" s="331">
        <v>40531</v>
      </c>
      <c r="T104" s="329">
        <v>45.25</v>
      </c>
      <c r="U104" s="329">
        <v>45.416666666666664</v>
      </c>
      <c r="V104" s="329">
        <v>3.0666666666666664</v>
      </c>
      <c r="W104" s="329">
        <v>3.9333333333333336</v>
      </c>
      <c r="X104" s="197">
        <v>0</v>
      </c>
      <c r="Y104" s="197">
        <v>2.8</v>
      </c>
    </row>
    <row r="105" spans="1:25">
      <c r="A105" s="331">
        <v>40471</v>
      </c>
      <c r="B105" s="329">
        <v>41.2</v>
      </c>
      <c r="C105" s="329">
        <f t="shared" si="8"/>
        <v>41.2</v>
      </c>
      <c r="D105" s="329">
        <v>43.6</v>
      </c>
      <c r="E105" s="329">
        <f t="shared" si="5"/>
        <v>43.483333333333327</v>
      </c>
      <c r="F105" s="329">
        <v>11.1</v>
      </c>
      <c r="G105" s="329">
        <f t="shared" si="6"/>
        <v>11.716666666666667</v>
      </c>
      <c r="H105" s="329">
        <v>12.1</v>
      </c>
      <c r="I105" s="329">
        <f t="shared" si="7"/>
        <v>12.183333333333332</v>
      </c>
      <c r="L105" s="331">
        <v>40471</v>
      </c>
      <c r="M105" s="329">
        <v>41.2</v>
      </c>
      <c r="N105" s="329">
        <v>43.483333333333327</v>
      </c>
      <c r="O105" s="329">
        <v>11.716666666666667</v>
      </c>
      <c r="P105" s="329">
        <v>12.183333333333332</v>
      </c>
      <c r="S105" s="331">
        <v>40532</v>
      </c>
      <c r="T105" s="329">
        <v>44.133333333333333</v>
      </c>
      <c r="U105" s="329">
        <v>45.5</v>
      </c>
      <c r="V105" s="329">
        <v>4.583333333333333</v>
      </c>
      <c r="W105" s="329">
        <v>4.5500000000000007</v>
      </c>
      <c r="X105" s="197">
        <v>0</v>
      </c>
      <c r="Y105" s="197">
        <v>6.1</v>
      </c>
    </row>
    <row r="106" spans="1:25">
      <c r="A106" s="331">
        <v>40471</v>
      </c>
      <c r="B106" s="329">
        <v>41.5</v>
      </c>
      <c r="C106" s="329">
        <f t="shared" si="8"/>
        <v>41.2</v>
      </c>
      <c r="D106" s="329">
        <v>43.5</v>
      </c>
      <c r="E106" s="329">
        <f t="shared" si="5"/>
        <v>43.483333333333327</v>
      </c>
      <c r="F106" s="329">
        <v>11</v>
      </c>
      <c r="G106" s="329">
        <f t="shared" si="6"/>
        <v>11.716666666666667</v>
      </c>
      <c r="H106" s="329">
        <v>12.1</v>
      </c>
      <c r="I106" s="329">
        <f t="shared" si="7"/>
        <v>12.183333333333332</v>
      </c>
      <c r="L106" s="331">
        <v>40471</v>
      </c>
      <c r="M106" s="329">
        <v>41.2</v>
      </c>
      <c r="N106" s="329">
        <v>43.483333333333327</v>
      </c>
      <c r="O106" s="329">
        <v>11.716666666666667</v>
      </c>
      <c r="P106" s="329">
        <v>12.183333333333332</v>
      </c>
      <c r="S106" s="331">
        <v>40533</v>
      </c>
      <c r="T106" s="329">
        <v>44.1</v>
      </c>
      <c r="U106" s="329">
        <v>45.5</v>
      </c>
      <c r="V106" s="329">
        <v>5.7666666666666666</v>
      </c>
      <c r="W106" s="329">
        <v>5.3166666666666664</v>
      </c>
      <c r="X106" s="197">
        <v>0.2</v>
      </c>
      <c r="Y106" s="197">
        <v>8.3000000000000007</v>
      </c>
    </row>
    <row r="107" spans="1:25">
      <c r="A107" s="331">
        <v>40471</v>
      </c>
      <c r="B107" s="329">
        <v>41.2</v>
      </c>
      <c r="C107" s="329">
        <f t="shared" si="8"/>
        <v>41.2</v>
      </c>
      <c r="D107" s="329">
        <v>43.5</v>
      </c>
      <c r="E107" s="329">
        <f t="shared" si="5"/>
        <v>43.483333333333327</v>
      </c>
      <c r="F107" s="329">
        <v>10.9</v>
      </c>
      <c r="G107" s="329">
        <f t="shared" si="6"/>
        <v>11.716666666666667</v>
      </c>
      <c r="H107" s="329">
        <v>12.1</v>
      </c>
      <c r="I107" s="329">
        <f t="shared" si="7"/>
        <v>12.183333333333332</v>
      </c>
      <c r="L107" s="331">
        <v>40471</v>
      </c>
      <c r="M107" s="329">
        <v>41.2</v>
      </c>
      <c r="N107" s="329">
        <v>43.483333333333327</v>
      </c>
      <c r="O107" s="329">
        <v>11.716666666666667</v>
      </c>
      <c r="P107" s="329">
        <v>12.183333333333332</v>
      </c>
      <c r="S107" s="331">
        <v>40534</v>
      </c>
      <c r="T107" s="329">
        <v>44.066666666666663</v>
      </c>
      <c r="U107" s="329">
        <v>45.5</v>
      </c>
      <c r="V107" s="329">
        <v>6.833333333333333</v>
      </c>
      <c r="W107" s="329">
        <v>6.1333333333333329</v>
      </c>
      <c r="X107" s="197">
        <v>0.4</v>
      </c>
      <c r="Y107" s="197">
        <v>9.5</v>
      </c>
    </row>
    <row r="108" spans="1:25">
      <c r="A108" s="331">
        <v>40471</v>
      </c>
      <c r="B108" s="329">
        <v>41.2</v>
      </c>
      <c r="C108" s="329">
        <f t="shared" si="8"/>
        <v>41.2</v>
      </c>
      <c r="D108" s="329">
        <v>43.5</v>
      </c>
      <c r="E108" s="329">
        <f t="shared" si="5"/>
        <v>43.483333333333327</v>
      </c>
      <c r="F108" s="329">
        <v>11.5</v>
      </c>
      <c r="G108" s="329">
        <f t="shared" si="6"/>
        <v>11.716666666666667</v>
      </c>
      <c r="H108" s="329">
        <v>12.1</v>
      </c>
      <c r="I108" s="329">
        <f t="shared" si="7"/>
        <v>12.183333333333332</v>
      </c>
      <c r="L108" s="331">
        <v>40471</v>
      </c>
      <c r="M108" s="329">
        <v>41.2</v>
      </c>
      <c r="N108" s="329">
        <v>43.483333333333327</v>
      </c>
      <c r="O108" s="329">
        <v>11.716666666666667</v>
      </c>
      <c r="P108" s="329">
        <v>12.183333333333332</v>
      </c>
      <c r="S108" s="331">
        <v>40535</v>
      </c>
      <c r="T108" s="329">
        <v>58.300000000000004</v>
      </c>
      <c r="U108" s="329">
        <v>58.85</v>
      </c>
      <c r="V108" s="329">
        <v>7.5666666666666664</v>
      </c>
      <c r="W108" s="329">
        <v>6.916666666666667</v>
      </c>
      <c r="X108" s="197">
        <v>16.899999999999999</v>
      </c>
      <c r="Y108" s="197">
        <v>7.1</v>
      </c>
    </row>
    <row r="109" spans="1:25">
      <c r="A109" s="331">
        <v>40471</v>
      </c>
      <c r="B109" s="329">
        <v>41.1</v>
      </c>
      <c r="C109" s="329">
        <f t="shared" si="8"/>
        <v>41.2</v>
      </c>
      <c r="D109" s="329">
        <v>43.4</v>
      </c>
      <c r="E109" s="329">
        <f t="shared" si="5"/>
        <v>43.483333333333327</v>
      </c>
      <c r="F109" s="329">
        <v>13.1</v>
      </c>
      <c r="G109" s="329">
        <f t="shared" si="6"/>
        <v>11.716666666666667</v>
      </c>
      <c r="H109" s="329">
        <v>12.2</v>
      </c>
      <c r="I109" s="329">
        <f t="shared" si="7"/>
        <v>12.183333333333332</v>
      </c>
      <c r="L109" s="331">
        <v>40471</v>
      </c>
      <c r="M109" s="329">
        <v>41.2</v>
      </c>
      <c r="N109" s="329">
        <v>43.483333333333327</v>
      </c>
      <c r="O109" s="329">
        <v>11.716666666666667</v>
      </c>
      <c r="P109" s="329">
        <v>12.183333333333332</v>
      </c>
      <c r="S109" s="331">
        <v>40536</v>
      </c>
      <c r="T109" s="329">
        <v>55.150000000000006</v>
      </c>
      <c r="U109" s="329">
        <v>53.5</v>
      </c>
      <c r="V109" s="329">
        <v>5.3833333333333329</v>
      </c>
      <c r="W109" s="329">
        <v>6.4499999999999993</v>
      </c>
      <c r="X109" s="197">
        <v>0.2</v>
      </c>
      <c r="Y109" s="197">
        <v>2.1</v>
      </c>
    </row>
    <row r="110" spans="1:25">
      <c r="A110" s="331">
        <v>40471</v>
      </c>
      <c r="B110" s="329">
        <v>41</v>
      </c>
      <c r="C110" s="329">
        <f t="shared" si="8"/>
        <v>41.2</v>
      </c>
      <c r="D110" s="329">
        <v>43.4</v>
      </c>
      <c r="E110" s="329">
        <f t="shared" si="5"/>
        <v>43.483333333333327</v>
      </c>
      <c r="F110" s="329">
        <v>12.7</v>
      </c>
      <c r="G110" s="329">
        <f t="shared" si="6"/>
        <v>11.716666666666667</v>
      </c>
      <c r="H110" s="329">
        <v>12.5</v>
      </c>
      <c r="I110" s="329">
        <f t="shared" si="7"/>
        <v>12.183333333333332</v>
      </c>
      <c r="L110" s="331">
        <v>40471</v>
      </c>
      <c r="M110" s="329">
        <v>41.2</v>
      </c>
      <c r="N110" s="329">
        <v>43.483333333333327</v>
      </c>
      <c r="O110" s="329">
        <v>11.716666666666667</v>
      </c>
      <c r="P110" s="329">
        <v>12.183333333333332</v>
      </c>
      <c r="S110" s="331">
        <v>40537</v>
      </c>
      <c r="T110" s="329">
        <v>47.31666666666667</v>
      </c>
      <c r="U110" s="329">
        <v>49.516666666666673</v>
      </c>
      <c r="V110" s="329">
        <v>3.7333333333333338</v>
      </c>
      <c r="W110" s="329">
        <v>5.3</v>
      </c>
      <c r="X110" s="197">
        <v>0</v>
      </c>
      <c r="Y110" s="197">
        <v>-0.3</v>
      </c>
    </row>
    <row r="111" spans="1:25">
      <c r="A111" s="331">
        <v>40472</v>
      </c>
      <c r="B111" s="329">
        <v>41</v>
      </c>
      <c r="C111" s="329">
        <f t="shared" si="8"/>
        <v>40.81666666666667</v>
      </c>
      <c r="D111" s="329">
        <v>43.3</v>
      </c>
      <c r="E111" s="329">
        <f t="shared" si="5"/>
        <v>43.233333333333327</v>
      </c>
      <c r="F111" s="329">
        <v>11.3</v>
      </c>
      <c r="G111" s="329">
        <f t="shared" si="6"/>
        <v>10.850000000000001</v>
      </c>
      <c r="H111" s="329">
        <v>12.6</v>
      </c>
      <c r="I111" s="329">
        <f t="shared" si="7"/>
        <v>12.083333333333334</v>
      </c>
      <c r="L111" s="331">
        <v>40472</v>
      </c>
      <c r="M111" s="329">
        <v>40.81666666666667</v>
      </c>
      <c r="N111" s="329">
        <v>43.233333333333327</v>
      </c>
      <c r="O111" s="329">
        <v>10.850000000000001</v>
      </c>
      <c r="P111" s="329">
        <v>12.083333333333334</v>
      </c>
      <c r="S111" s="331">
        <v>40538</v>
      </c>
      <c r="T111" s="329">
        <v>46.65</v>
      </c>
      <c r="U111" s="329">
        <v>48.016666666666659</v>
      </c>
      <c r="V111" s="329">
        <v>2.2666666666666666</v>
      </c>
      <c r="W111" s="329">
        <v>4.2166666666666668</v>
      </c>
      <c r="X111" s="197">
        <v>0</v>
      </c>
      <c r="Y111" s="197">
        <v>-3</v>
      </c>
    </row>
    <row r="112" spans="1:25">
      <c r="A112" s="331">
        <v>40472</v>
      </c>
      <c r="B112" s="329">
        <v>40.9</v>
      </c>
      <c r="C112" s="329">
        <f t="shared" si="8"/>
        <v>40.81666666666667</v>
      </c>
      <c r="D112" s="329">
        <v>43.3</v>
      </c>
      <c r="E112" s="329">
        <f t="shared" si="5"/>
        <v>43.233333333333327</v>
      </c>
      <c r="F112" s="329">
        <v>10.199999999999999</v>
      </c>
      <c r="G112" s="329">
        <f t="shared" si="6"/>
        <v>10.850000000000001</v>
      </c>
      <c r="H112" s="329">
        <v>12.4</v>
      </c>
      <c r="I112" s="329">
        <f t="shared" si="7"/>
        <v>12.083333333333334</v>
      </c>
      <c r="L112" s="331">
        <v>40472</v>
      </c>
      <c r="M112" s="329">
        <v>40.81666666666667</v>
      </c>
      <c r="N112" s="329">
        <v>43.233333333333327</v>
      </c>
      <c r="O112" s="329">
        <v>10.850000000000001</v>
      </c>
      <c r="P112" s="329">
        <v>12.083333333333334</v>
      </c>
      <c r="S112" s="331">
        <v>40539</v>
      </c>
      <c r="T112" s="329">
        <v>46.4</v>
      </c>
      <c r="U112" s="329">
        <v>47.616666666666674</v>
      </c>
      <c r="V112" s="329">
        <v>1.6666666666666663</v>
      </c>
      <c r="W112" s="329">
        <v>3.4666666666666668</v>
      </c>
      <c r="X112" s="197">
        <v>0</v>
      </c>
      <c r="Y112" s="197">
        <v>0.6</v>
      </c>
    </row>
    <row r="113" spans="1:25">
      <c r="A113" s="331">
        <v>40472</v>
      </c>
      <c r="B113" s="329">
        <v>40.9</v>
      </c>
      <c r="C113" s="329">
        <f t="shared" si="8"/>
        <v>40.81666666666667</v>
      </c>
      <c r="D113" s="329">
        <v>43.3</v>
      </c>
      <c r="E113" s="329">
        <f t="shared" si="5"/>
        <v>43.233333333333327</v>
      </c>
      <c r="F113" s="329">
        <v>9.1</v>
      </c>
      <c r="G113" s="329">
        <f t="shared" si="6"/>
        <v>10.850000000000001</v>
      </c>
      <c r="H113" s="329">
        <v>12.1</v>
      </c>
      <c r="I113" s="329">
        <f t="shared" si="7"/>
        <v>12.083333333333334</v>
      </c>
      <c r="L113" s="331">
        <v>40472</v>
      </c>
      <c r="M113" s="329">
        <v>40.81666666666667</v>
      </c>
      <c r="N113" s="329">
        <v>43.233333333333327</v>
      </c>
      <c r="O113" s="329">
        <v>10.850000000000001</v>
      </c>
      <c r="P113" s="329">
        <v>12.083333333333334</v>
      </c>
      <c r="S113" s="331">
        <v>40540</v>
      </c>
      <c r="T113" s="329">
        <v>45.900000000000006</v>
      </c>
      <c r="U113" s="329">
        <v>47.466666666666669</v>
      </c>
      <c r="V113" s="329">
        <v>2.4666666666666668</v>
      </c>
      <c r="W113" s="329">
        <v>3.2833333333333337</v>
      </c>
      <c r="X113" s="197">
        <v>0</v>
      </c>
      <c r="Y113" s="197">
        <v>6</v>
      </c>
    </row>
    <row r="114" spans="1:25">
      <c r="A114" s="331">
        <v>40472</v>
      </c>
      <c r="B114" s="329">
        <v>40.799999999999997</v>
      </c>
      <c r="C114" s="329">
        <f t="shared" si="8"/>
        <v>40.81666666666667</v>
      </c>
      <c r="D114" s="329">
        <v>43.2</v>
      </c>
      <c r="E114" s="329">
        <f t="shared" si="5"/>
        <v>43.233333333333327</v>
      </c>
      <c r="F114" s="329">
        <v>9.9</v>
      </c>
      <c r="G114" s="329">
        <f t="shared" si="6"/>
        <v>10.850000000000001</v>
      </c>
      <c r="H114" s="329">
        <v>11.7</v>
      </c>
      <c r="I114" s="329">
        <f t="shared" si="7"/>
        <v>12.083333333333334</v>
      </c>
      <c r="L114" s="331">
        <v>40472</v>
      </c>
      <c r="M114" s="329">
        <v>40.81666666666667</v>
      </c>
      <c r="N114" s="329">
        <v>43.233333333333327</v>
      </c>
      <c r="O114" s="329">
        <v>10.850000000000001</v>
      </c>
      <c r="P114" s="329">
        <v>12.083333333333334</v>
      </c>
      <c r="S114" s="331">
        <v>40541</v>
      </c>
      <c r="T114" s="329">
        <v>45.68333333333333</v>
      </c>
      <c r="U114" s="329">
        <v>46.29999999999999</v>
      </c>
      <c r="V114" s="329">
        <v>4.5666666666666664</v>
      </c>
      <c r="W114" s="329">
        <v>4.2333333333333334</v>
      </c>
      <c r="X114" s="197">
        <v>0</v>
      </c>
      <c r="Y114" s="197">
        <v>8.1999999999999993</v>
      </c>
    </row>
    <row r="115" spans="1:25">
      <c r="A115" s="331">
        <v>40472</v>
      </c>
      <c r="B115" s="329">
        <v>40.700000000000003</v>
      </c>
      <c r="C115" s="329">
        <f t="shared" si="8"/>
        <v>40.81666666666667</v>
      </c>
      <c r="D115" s="329">
        <v>43.2</v>
      </c>
      <c r="E115" s="329">
        <f t="shared" si="5"/>
        <v>43.233333333333327</v>
      </c>
      <c r="F115" s="329">
        <v>12.7</v>
      </c>
      <c r="G115" s="329">
        <f t="shared" si="6"/>
        <v>10.850000000000001</v>
      </c>
      <c r="H115" s="329">
        <v>11.6</v>
      </c>
      <c r="I115" s="329">
        <f t="shared" si="7"/>
        <v>12.083333333333334</v>
      </c>
      <c r="L115" s="331">
        <v>40472</v>
      </c>
      <c r="M115" s="329">
        <v>40.81666666666667</v>
      </c>
      <c r="N115" s="329">
        <v>43.233333333333327</v>
      </c>
      <c r="O115" s="329">
        <v>10.850000000000001</v>
      </c>
      <c r="P115" s="329">
        <v>12.083333333333334</v>
      </c>
      <c r="S115" s="331">
        <v>40542</v>
      </c>
      <c r="T115" s="329">
        <v>45.483333333333327</v>
      </c>
      <c r="U115" s="329">
        <v>46.5</v>
      </c>
      <c r="V115" s="329">
        <v>6.4499999999999993</v>
      </c>
      <c r="W115" s="329">
        <v>5.4666666666666659</v>
      </c>
      <c r="X115" s="197">
        <v>0</v>
      </c>
      <c r="Y115" s="197">
        <v>10.4</v>
      </c>
    </row>
    <row r="116" spans="1:25">
      <c r="A116" s="331">
        <v>40472</v>
      </c>
      <c r="B116" s="329">
        <v>40.6</v>
      </c>
      <c r="C116" s="329">
        <f t="shared" si="8"/>
        <v>40.81666666666667</v>
      </c>
      <c r="D116" s="329">
        <v>43.1</v>
      </c>
      <c r="E116" s="329">
        <f t="shared" si="5"/>
        <v>43.233333333333327</v>
      </c>
      <c r="F116" s="329">
        <v>11.9</v>
      </c>
      <c r="G116" s="329">
        <f t="shared" si="6"/>
        <v>10.850000000000001</v>
      </c>
      <c r="H116" s="329">
        <v>12.1</v>
      </c>
      <c r="I116" s="329">
        <f t="shared" si="7"/>
        <v>12.083333333333334</v>
      </c>
      <c r="L116" s="331">
        <v>40472</v>
      </c>
      <c r="M116" s="329">
        <v>40.81666666666667</v>
      </c>
      <c r="N116" s="329">
        <v>43.233333333333327</v>
      </c>
      <c r="O116" s="329">
        <v>10.850000000000001</v>
      </c>
      <c r="P116" s="329">
        <v>12.083333333333334</v>
      </c>
      <c r="S116" s="331">
        <v>40543</v>
      </c>
      <c r="T116" s="329">
        <v>45.416666666666664</v>
      </c>
      <c r="U116" s="329">
        <v>46.449999999999996</v>
      </c>
      <c r="V116" s="329">
        <v>7.7666666666666657</v>
      </c>
      <c r="W116" s="329">
        <v>6.5500000000000007</v>
      </c>
      <c r="X116" s="197">
        <v>0</v>
      </c>
      <c r="Y116" s="197">
        <v>10.4</v>
      </c>
    </row>
    <row r="117" spans="1:25">
      <c r="A117" s="331">
        <v>40473</v>
      </c>
      <c r="B117" s="329">
        <v>40.6</v>
      </c>
      <c r="C117" s="329">
        <f t="shared" si="8"/>
        <v>40.416666666666664</v>
      </c>
      <c r="D117" s="329">
        <v>43.1</v>
      </c>
      <c r="E117" s="329">
        <f t="shared" si="5"/>
        <v>43.016666666666673</v>
      </c>
      <c r="F117" s="329">
        <v>10.3</v>
      </c>
      <c r="G117" s="329">
        <f t="shared" si="6"/>
        <v>10.683333333333332</v>
      </c>
      <c r="H117" s="329">
        <v>12.2</v>
      </c>
      <c r="I117" s="329">
        <f t="shared" si="7"/>
        <v>11.733333333333333</v>
      </c>
      <c r="L117" s="331">
        <v>40473</v>
      </c>
      <c r="M117" s="329">
        <v>40.416666666666664</v>
      </c>
      <c r="N117" s="329">
        <v>43.016666666666673</v>
      </c>
      <c r="O117" s="329">
        <v>10.683333333333332</v>
      </c>
      <c r="P117" s="329">
        <v>11.733333333333333</v>
      </c>
      <c r="S117" s="331">
        <v>40544</v>
      </c>
      <c r="T117" s="329">
        <v>45.433333333333337</v>
      </c>
      <c r="U117" s="329">
        <v>46.333333333333336</v>
      </c>
      <c r="V117" s="329">
        <v>6.8833333333333329</v>
      </c>
      <c r="W117" s="329">
        <v>6.8833333333333337</v>
      </c>
      <c r="X117" s="197">
        <v>0</v>
      </c>
      <c r="Y117" s="197">
        <v>6.3</v>
      </c>
    </row>
    <row r="118" spans="1:25">
      <c r="A118" s="331">
        <v>40473</v>
      </c>
      <c r="B118" s="329">
        <v>40.5</v>
      </c>
      <c r="C118" s="329">
        <f t="shared" si="8"/>
        <v>40.416666666666664</v>
      </c>
      <c r="D118" s="329">
        <v>43.1</v>
      </c>
      <c r="E118" s="329">
        <f t="shared" si="5"/>
        <v>43.016666666666673</v>
      </c>
      <c r="F118" s="329">
        <v>9.4</v>
      </c>
      <c r="G118" s="329">
        <f t="shared" si="6"/>
        <v>10.683333333333332</v>
      </c>
      <c r="H118" s="329">
        <v>12</v>
      </c>
      <c r="I118" s="329">
        <f t="shared" si="7"/>
        <v>11.733333333333333</v>
      </c>
      <c r="L118" s="331">
        <v>40473</v>
      </c>
      <c r="M118" s="329">
        <v>40.416666666666664</v>
      </c>
      <c r="N118" s="329">
        <v>43.016666666666673</v>
      </c>
      <c r="O118" s="329">
        <v>10.683333333333332</v>
      </c>
      <c r="P118" s="329">
        <v>11.733333333333333</v>
      </c>
      <c r="S118" s="331">
        <v>40545</v>
      </c>
      <c r="T118" s="329">
        <v>45.616666666666667</v>
      </c>
      <c r="U118" s="329">
        <v>46.266666666666659</v>
      </c>
      <c r="V118" s="329">
        <v>6.2166666666666677</v>
      </c>
      <c r="W118" s="329">
        <v>6.583333333333333</v>
      </c>
      <c r="X118" s="197">
        <v>0</v>
      </c>
      <c r="Y118" s="197">
        <v>2.6</v>
      </c>
    </row>
    <row r="119" spans="1:25">
      <c r="A119" s="331">
        <v>40473</v>
      </c>
      <c r="B119" s="329">
        <v>40.5</v>
      </c>
      <c r="C119" s="329">
        <f t="shared" si="8"/>
        <v>40.416666666666664</v>
      </c>
      <c r="D119" s="329">
        <v>43.1</v>
      </c>
      <c r="E119" s="329">
        <f t="shared" si="5"/>
        <v>43.016666666666673</v>
      </c>
      <c r="F119" s="329">
        <v>8.9</v>
      </c>
      <c r="G119" s="329">
        <f t="shared" si="6"/>
        <v>10.683333333333332</v>
      </c>
      <c r="H119" s="329">
        <v>11.6</v>
      </c>
      <c r="I119" s="329">
        <f t="shared" si="7"/>
        <v>11.733333333333333</v>
      </c>
      <c r="L119" s="331">
        <v>40473</v>
      </c>
      <c r="M119" s="329">
        <v>40.416666666666664</v>
      </c>
      <c r="N119" s="329">
        <v>43.016666666666673</v>
      </c>
      <c r="O119" s="329">
        <v>10.683333333333332</v>
      </c>
      <c r="P119" s="329">
        <v>11.733333333333333</v>
      </c>
      <c r="S119" s="331">
        <v>40546</v>
      </c>
      <c r="T119" s="329">
        <v>46.449999999999996</v>
      </c>
      <c r="U119" s="329">
        <v>46.199999999999996</v>
      </c>
      <c r="V119" s="329">
        <v>4.7666666666666666</v>
      </c>
      <c r="W119" s="329">
        <v>5.75</v>
      </c>
      <c r="X119" s="197">
        <v>0</v>
      </c>
      <c r="Y119" s="197">
        <v>1.8</v>
      </c>
    </row>
    <row r="120" spans="1:25">
      <c r="A120" s="331">
        <v>40473</v>
      </c>
      <c r="B120" s="329">
        <v>40.4</v>
      </c>
      <c r="C120" s="329">
        <f t="shared" si="8"/>
        <v>40.416666666666664</v>
      </c>
      <c r="D120" s="329">
        <v>43</v>
      </c>
      <c r="E120" s="329">
        <f t="shared" si="5"/>
        <v>43.016666666666673</v>
      </c>
      <c r="F120" s="329">
        <v>9.9</v>
      </c>
      <c r="G120" s="329">
        <f t="shared" si="6"/>
        <v>10.683333333333332</v>
      </c>
      <c r="H120" s="329">
        <v>11.3</v>
      </c>
      <c r="I120" s="329">
        <f t="shared" si="7"/>
        <v>11.733333333333333</v>
      </c>
      <c r="L120" s="331">
        <v>40473</v>
      </c>
      <c r="M120" s="329">
        <v>40.416666666666664</v>
      </c>
      <c r="N120" s="329">
        <v>43.016666666666673</v>
      </c>
      <c r="O120" s="329">
        <v>10.683333333333332</v>
      </c>
      <c r="P120" s="329">
        <v>11.733333333333333</v>
      </c>
      <c r="S120" s="331">
        <v>40547</v>
      </c>
      <c r="T120" s="329">
        <v>46.866666666666667</v>
      </c>
      <c r="U120" s="329">
        <v>46.150000000000006</v>
      </c>
      <c r="V120" s="329">
        <v>4.3</v>
      </c>
      <c r="W120" s="329">
        <v>5.1833333333333336</v>
      </c>
      <c r="X120" s="197">
        <v>0.8</v>
      </c>
      <c r="Y120" s="197">
        <v>2.6</v>
      </c>
    </row>
    <row r="121" spans="1:25">
      <c r="A121" s="331">
        <v>40473</v>
      </c>
      <c r="B121" s="329">
        <v>40.299999999999997</v>
      </c>
      <c r="C121" s="329">
        <f t="shared" si="8"/>
        <v>40.416666666666664</v>
      </c>
      <c r="D121" s="329">
        <v>42.9</v>
      </c>
      <c r="E121" s="329">
        <f t="shared" si="5"/>
        <v>43.016666666666673</v>
      </c>
      <c r="F121" s="329">
        <v>12.9</v>
      </c>
      <c r="G121" s="329">
        <f t="shared" si="6"/>
        <v>10.683333333333332</v>
      </c>
      <c r="H121" s="329">
        <v>11.4</v>
      </c>
      <c r="I121" s="329">
        <f t="shared" si="7"/>
        <v>11.733333333333333</v>
      </c>
      <c r="L121" s="331">
        <v>40473</v>
      </c>
      <c r="M121" s="329">
        <v>40.416666666666664</v>
      </c>
      <c r="N121" s="329">
        <v>43.016666666666673</v>
      </c>
      <c r="O121" s="329">
        <v>10.683333333333332</v>
      </c>
      <c r="P121" s="329">
        <v>11.733333333333333</v>
      </c>
      <c r="S121" s="331">
        <v>40548</v>
      </c>
      <c r="T121" s="329">
        <v>46.966666666666669</v>
      </c>
      <c r="U121" s="329">
        <v>46.1</v>
      </c>
      <c r="V121" s="329">
        <v>4.5333333333333323</v>
      </c>
      <c r="W121" s="329">
        <v>5.0666666666666664</v>
      </c>
      <c r="X121" s="197">
        <v>0.2</v>
      </c>
      <c r="Y121" s="197">
        <v>5.9</v>
      </c>
    </row>
    <row r="122" spans="1:25">
      <c r="A122" s="331">
        <v>40473</v>
      </c>
      <c r="B122" s="329">
        <v>40.200000000000003</v>
      </c>
      <c r="C122" s="329">
        <f t="shared" si="8"/>
        <v>40.416666666666664</v>
      </c>
      <c r="D122" s="329">
        <v>42.9</v>
      </c>
      <c r="E122" s="329">
        <f t="shared" si="5"/>
        <v>43.016666666666673</v>
      </c>
      <c r="F122" s="329">
        <v>12.7</v>
      </c>
      <c r="G122" s="329">
        <f t="shared" si="6"/>
        <v>10.683333333333332</v>
      </c>
      <c r="H122" s="329">
        <v>11.9</v>
      </c>
      <c r="I122" s="329">
        <f t="shared" si="7"/>
        <v>11.733333333333333</v>
      </c>
      <c r="L122" s="331">
        <v>40473</v>
      </c>
      <c r="M122" s="329">
        <v>40.416666666666664</v>
      </c>
      <c r="N122" s="329">
        <v>43.016666666666673</v>
      </c>
      <c r="O122" s="329">
        <v>10.683333333333332</v>
      </c>
      <c r="P122" s="329">
        <v>11.733333333333333</v>
      </c>
      <c r="S122" s="331">
        <v>40549</v>
      </c>
      <c r="T122" s="329">
        <v>47.050000000000004</v>
      </c>
      <c r="U122" s="329">
        <v>46</v>
      </c>
      <c r="V122" s="329">
        <v>6.6333333333333329</v>
      </c>
      <c r="W122" s="329">
        <v>5.7833333333333323</v>
      </c>
      <c r="X122" s="197">
        <v>0</v>
      </c>
      <c r="Y122" s="197">
        <v>10.3</v>
      </c>
    </row>
    <row r="123" spans="1:25">
      <c r="A123" s="331">
        <v>40474</v>
      </c>
      <c r="B123" s="329">
        <v>40.1</v>
      </c>
      <c r="C123" s="329">
        <f t="shared" si="8"/>
        <v>39.916666666666664</v>
      </c>
      <c r="D123" s="329">
        <v>42.9</v>
      </c>
      <c r="E123" s="329">
        <f t="shared" si="5"/>
        <v>42.800000000000004</v>
      </c>
      <c r="F123" s="329">
        <v>11.9</v>
      </c>
      <c r="G123" s="329">
        <f t="shared" si="6"/>
        <v>12.399999999999999</v>
      </c>
      <c r="H123" s="329">
        <v>12.2</v>
      </c>
      <c r="I123" s="329">
        <f t="shared" si="7"/>
        <v>12.266666666666666</v>
      </c>
      <c r="L123" s="331">
        <v>40474</v>
      </c>
      <c r="M123" s="329">
        <v>39.916666666666664</v>
      </c>
      <c r="N123" s="329">
        <v>42.800000000000004</v>
      </c>
      <c r="O123" s="329">
        <v>12.399999999999999</v>
      </c>
      <c r="P123" s="329">
        <v>12.266666666666666</v>
      </c>
      <c r="S123" s="331">
        <v>40550</v>
      </c>
      <c r="T123" s="329">
        <v>47.466666666666661</v>
      </c>
      <c r="U123" s="329">
        <v>45.966666666666669</v>
      </c>
      <c r="V123" s="329">
        <v>8.1999999999999993</v>
      </c>
      <c r="W123" s="329">
        <v>7</v>
      </c>
      <c r="X123" s="197">
        <v>0</v>
      </c>
      <c r="Y123" s="197">
        <v>11.3</v>
      </c>
    </row>
    <row r="124" spans="1:25">
      <c r="A124" s="331">
        <v>40474</v>
      </c>
      <c r="B124" s="329">
        <v>40</v>
      </c>
      <c r="C124" s="329">
        <f t="shared" si="8"/>
        <v>39.916666666666664</v>
      </c>
      <c r="D124" s="329">
        <v>42.8</v>
      </c>
      <c r="E124" s="329">
        <f t="shared" si="5"/>
        <v>42.800000000000004</v>
      </c>
      <c r="F124" s="329">
        <v>11.4</v>
      </c>
      <c r="G124" s="329">
        <f t="shared" si="6"/>
        <v>12.399999999999999</v>
      </c>
      <c r="H124" s="329">
        <v>12.2</v>
      </c>
      <c r="I124" s="329">
        <f t="shared" si="7"/>
        <v>12.266666666666666</v>
      </c>
      <c r="L124" s="331">
        <v>40474</v>
      </c>
      <c r="M124" s="329">
        <v>39.916666666666664</v>
      </c>
      <c r="N124" s="329">
        <v>42.800000000000004</v>
      </c>
      <c r="O124" s="329">
        <v>12.399999999999999</v>
      </c>
      <c r="P124" s="329">
        <v>12.266666666666666</v>
      </c>
      <c r="S124" s="331">
        <v>40551</v>
      </c>
      <c r="T124" s="329">
        <v>47.583333333333336</v>
      </c>
      <c r="U124" s="329">
        <v>45.9</v>
      </c>
      <c r="V124" s="329">
        <v>8.65</v>
      </c>
      <c r="W124" s="329">
        <v>7.6833333333333327</v>
      </c>
      <c r="X124" s="197">
        <v>0</v>
      </c>
      <c r="Y124" s="197">
        <v>11.3</v>
      </c>
    </row>
    <row r="125" spans="1:25">
      <c r="A125" s="331">
        <v>40474</v>
      </c>
      <c r="B125" s="329">
        <v>40</v>
      </c>
      <c r="C125" s="329">
        <f t="shared" si="8"/>
        <v>39.916666666666664</v>
      </c>
      <c r="D125" s="329">
        <v>42.8</v>
      </c>
      <c r="E125" s="329">
        <f t="shared" si="5"/>
        <v>42.800000000000004</v>
      </c>
      <c r="F125" s="329">
        <v>11.1</v>
      </c>
      <c r="G125" s="329">
        <f t="shared" si="6"/>
        <v>12.399999999999999</v>
      </c>
      <c r="H125" s="329">
        <v>12.2</v>
      </c>
      <c r="I125" s="329">
        <f t="shared" si="7"/>
        <v>12.266666666666666</v>
      </c>
      <c r="L125" s="331">
        <v>40474</v>
      </c>
      <c r="M125" s="329">
        <v>39.916666666666664</v>
      </c>
      <c r="N125" s="329">
        <v>42.800000000000004</v>
      </c>
      <c r="O125" s="329">
        <v>12.399999999999999</v>
      </c>
      <c r="P125" s="329">
        <v>12.266666666666666</v>
      </c>
      <c r="S125" s="331">
        <v>40552</v>
      </c>
      <c r="T125" s="329">
        <v>48.1</v>
      </c>
      <c r="U125" s="329">
        <v>45.9</v>
      </c>
      <c r="V125" s="329">
        <v>8.6166666666666671</v>
      </c>
      <c r="W125" s="329">
        <v>8</v>
      </c>
      <c r="X125" s="197">
        <v>6.3</v>
      </c>
      <c r="Y125" s="197">
        <v>7.1</v>
      </c>
    </row>
    <row r="126" spans="1:25">
      <c r="A126" s="331">
        <v>40474</v>
      </c>
      <c r="B126" s="329">
        <v>39.9</v>
      </c>
      <c r="C126" s="329">
        <f t="shared" si="8"/>
        <v>39.916666666666664</v>
      </c>
      <c r="D126" s="329">
        <v>42.8</v>
      </c>
      <c r="E126" s="329">
        <f t="shared" si="5"/>
        <v>42.800000000000004</v>
      </c>
      <c r="F126" s="329">
        <v>11.9</v>
      </c>
      <c r="G126" s="329">
        <f t="shared" si="6"/>
        <v>12.399999999999999</v>
      </c>
      <c r="H126" s="329">
        <v>12.1</v>
      </c>
      <c r="I126" s="329">
        <f t="shared" si="7"/>
        <v>12.266666666666666</v>
      </c>
      <c r="L126" s="331">
        <v>40474</v>
      </c>
      <c r="M126" s="329">
        <v>39.916666666666664</v>
      </c>
      <c r="N126" s="329">
        <v>42.800000000000004</v>
      </c>
      <c r="O126" s="329">
        <v>12.399999999999999</v>
      </c>
      <c r="P126" s="329">
        <v>12.266666666666666</v>
      </c>
      <c r="S126" s="331">
        <v>40553</v>
      </c>
      <c r="T126" s="329">
        <v>47.966666666666669</v>
      </c>
      <c r="U126" s="329">
        <v>45.81666666666667</v>
      </c>
      <c r="V126" s="329">
        <v>6.1499999999999995</v>
      </c>
      <c r="W126" s="329">
        <v>7.2</v>
      </c>
      <c r="X126" s="197">
        <v>3.2</v>
      </c>
      <c r="Y126" s="197">
        <v>3.2</v>
      </c>
    </row>
    <row r="127" spans="1:25">
      <c r="A127" s="331">
        <v>40474</v>
      </c>
      <c r="B127" s="329">
        <v>39.799999999999997</v>
      </c>
      <c r="C127" s="329">
        <f t="shared" si="8"/>
        <v>39.916666666666664</v>
      </c>
      <c r="D127" s="329">
        <v>42.8</v>
      </c>
      <c r="E127" s="329">
        <f t="shared" si="5"/>
        <v>42.800000000000004</v>
      </c>
      <c r="F127" s="329">
        <v>14.3</v>
      </c>
      <c r="G127" s="329">
        <f t="shared" si="6"/>
        <v>12.399999999999999</v>
      </c>
      <c r="H127" s="329">
        <v>12.2</v>
      </c>
      <c r="I127" s="329">
        <f t="shared" si="7"/>
        <v>12.266666666666666</v>
      </c>
      <c r="L127" s="331">
        <v>40474</v>
      </c>
      <c r="M127" s="329">
        <v>39.916666666666664</v>
      </c>
      <c r="N127" s="329">
        <v>42.800000000000004</v>
      </c>
      <c r="O127" s="329">
        <v>12.399999999999999</v>
      </c>
      <c r="P127" s="329">
        <v>12.266666666666666</v>
      </c>
      <c r="S127" s="331">
        <v>40554</v>
      </c>
      <c r="T127" s="329">
        <v>58.016666666666673</v>
      </c>
      <c r="U127" s="329">
        <v>59.75</v>
      </c>
      <c r="V127" s="329">
        <v>6.3499999999999988</v>
      </c>
      <c r="W127" s="329">
        <v>6.5333333333333323</v>
      </c>
      <c r="X127" s="197">
        <v>8</v>
      </c>
      <c r="Y127" s="197">
        <v>8.1999999999999993</v>
      </c>
    </row>
    <row r="128" spans="1:25">
      <c r="A128" s="331">
        <v>40474</v>
      </c>
      <c r="B128" s="329">
        <v>39.700000000000003</v>
      </c>
      <c r="C128" s="329">
        <f t="shared" si="8"/>
        <v>39.916666666666664</v>
      </c>
      <c r="D128" s="329">
        <v>42.7</v>
      </c>
      <c r="E128" s="329">
        <f t="shared" si="5"/>
        <v>42.800000000000004</v>
      </c>
      <c r="F128" s="329">
        <v>13.8</v>
      </c>
      <c r="G128" s="329">
        <f t="shared" si="6"/>
        <v>12.399999999999999</v>
      </c>
      <c r="H128" s="329">
        <v>12.7</v>
      </c>
      <c r="I128" s="329">
        <f t="shared" si="7"/>
        <v>12.266666666666666</v>
      </c>
      <c r="L128" s="331">
        <v>40474</v>
      </c>
      <c r="M128" s="329">
        <v>39.916666666666664</v>
      </c>
      <c r="N128" s="329">
        <v>42.800000000000004</v>
      </c>
      <c r="O128" s="329">
        <v>12.399999999999999</v>
      </c>
      <c r="P128" s="329">
        <v>12.266666666666666</v>
      </c>
      <c r="S128" s="331">
        <v>40555</v>
      </c>
      <c r="T128" s="329">
        <v>53.583333333333336</v>
      </c>
      <c r="U128" s="329">
        <v>55.883333333333333</v>
      </c>
      <c r="V128" s="329">
        <v>7.7</v>
      </c>
      <c r="W128" s="329">
        <v>7.2166666666666659</v>
      </c>
      <c r="X128" s="197">
        <v>1.8</v>
      </c>
      <c r="Y128" s="197">
        <v>9.6</v>
      </c>
    </row>
    <row r="129" spans="1:25">
      <c r="A129" s="331">
        <v>40475</v>
      </c>
      <c r="B129" s="329">
        <v>39.700000000000003</v>
      </c>
      <c r="C129" s="329">
        <f t="shared" si="8"/>
        <v>41.483333333333334</v>
      </c>
      <c r="D129" s="329">
        <v>42.7</v>
      </c>
      <c r="E129" s="329">
        <f t="shared" si="5"/>
        <v>43.116666666666667</v>
      </c>
      <c r="F129" s="329">
        <v>12.7</v>
      </c>
      <c r="G129" s="329">
        <f t="shared" si="6"/>
        <v>12.6</v>
      </c>
      <c r="H129" s="329">
        <v>12.9</v>
      </c>
      <c r="I129" s="329">
        <f t="shared" si="7"/>
        <v>12.833333333333334</v>
      </c>
      <c r="L129" s="331">
        <v>40475</v>
      </c>
      <c r="M129" s="329">
        <v>41.483333333333334</v>
      </c>
      <c r="N129" s="329">
        <v>43.116666666666667</v>
      </c>
      <c r="O129" s="329">
        <v>12.6</v>
      </c>
      <c r="P129" s="329">
        <v>12.833333333333334</v>
      </c>
      <c r="S129" s="331">
        <v>40556</v>
      </c>
      <c r="T129" s="329">
        <v>50.9</v>
      </c>
      <c r="U129" s="329">
        <v>48.6</v>
      </c>
      <c r="V129" s="329">
        <v>8.9500000000000011</v>
      </c>
      <c r="W129" s="329">
        <v>7.8666666666666671</v>
      </c>
      <c r="X129" s="197">
        <v>0.4</v>
      </c>
      <c r="Y129" s="197">
        <v>11.3</v>
      </c>
    </row>
    <row r="130" spans="1:25">
      <c r="A130" s="331">
        <v>40475</v>
      </c>
      <c r="B130" s="329">
        <v>39.6</v>
      </c>
      <c r="C130" s="329">
        <f t="shared" si="8"/>
        <v>41.483333333333334</v>
      </c>
      <c r="D130" s="329">
        <v>42.6</v>
      </c>
      <c r="E130" s="329">
        <f t="shared" si="5"/>
        <v>43.116666666666667</v>
      </c>
      <c r="F130" s="329">
        <v>12.5</v>
      </c>
      <c r="G130" s="329">
        <f t="shared" si="6"/>
        <v>12.6</v>
      </c>
      <c r="H130" s="329">
        <v>12.9</v>
      </c>
      <c r="I130" s="329">
        <f t="shared" si="7"/>
        <v>12.833333333333334</v>
      </c>
      <c r="L130" s="331">
        <v>40475</v>
      </c>
      <c r="M130" s="329">
        <v>41.483333333333334</v>
      </c>
      <c r="N130" s="329">
        <v>43.116666666666667</v>
      </c>
      <c r="O130" s="329">
        <v>12.6</v>
      </c>
      <c r="P130" s="329">
        <v>12.833333333333334</v>
      </c>
      <c r="S130" s="331">
        <v>40557</v>
      </c>
      <c r="T130" s="329">
        <v>50.066666666666663</v>
      </c>
      <c r="U130" s="329">
        <v>47.68333333333333</v>
      </c>
      <c r="V130" s="329">
        <v>7.8833333333333329</v>
      </c>
      <c r="W130" s="329">
        <v>7.9833333333333334</v>
      </c>
      <c r="X130" s="197">
        <v>0.2</v>
      </c>
      <c r="Y130" s="197">
        <v>6.4</v>
      </c>
    </row>
    <row r="131" spans="1:25">
      <c r="A131" s="331">
        <v>40475</v>
      </c>
      <c r="B131" s="329">
        <v>39.6</v>
      </c>
      <c r="C131" s="329">
        <f t="shared" si="8"/>
        <v>41.483333333333334</v>
      </c>
      <c r="D131" s="329">
        <v>42.6</v>
      </c>
      <c r="E131" s="329">
        <f t="shared" si="5"/>
        <v>43.116666666666667</v>
      </c>
      <c r="F131" s="329">
        <v>12.5</v>
      </c>
      <c r="G131" s="329">
        <f t="shared" si="6"/>
        <v>12.6</v>
      </c>
      <c r="H131" s="329">
        <v>12.8</v>
      </c>
      <c r="I131" s="329">
        <f t="shared" si="7"/>
        <v>12.833333333333334</v>
      </c>
      <c r="L131" s="331">
        <v>40475</v>
      </c>
      <c r="M131" s="329">
        <v>41.483333333333334</v>
      </c>
      <c r="N131" s="329">
        <v>43.116666666666667</v>
      </c>
      <c r="O131" s="329">
        <v>12.6</v>
      </c>
      <c r="P131" s="329">
        <v>12.833333333333334</v>
      </c>
      <c r="S131" s="331">
        <v>40558</v>
      </c>
      <c r="T131" s="329">
        <v>49.633333333333326</v>
      </c>
      <c r="U131" s="329">
        <v>47.283333333333331</v>
      </c>
      <c r="V131" s="329">
        <v>7.4499999999999993</v>
      </c>
      <c r="W131" s="329">
        <v>7.5666666666666664</v>
      </c>
      <c r="X131" s="197">
        <v>0</v>
      </c>
      <c r="Y131" s="197">
        <v>6.8</v>
      </c>
    </row>
    <row r="132" spans="1:25">
      <c r="A132" s="331">
        <v>40475</v>
      </c>
      <c r="B132" s="329">
        <v>40.5</v>
      </c>
      <c r="C132" s="329">
        <f t="shared" si="8"/>
        <v>41.483333333333334</v>
      </c>
      <c r="D132" s="329">
        <v>42.6</v>
      </c>
      <c r="E132" s="329">
        <f t="shared" si="5"/>
        <v>43.116666666666667</v>
      </c>
      <c r="F132" s="329">
        <v>12.5</v>
      </c>
      <c r="G132" s="329">
        <f t="shared" si="6"/>
        <v>12.6</v>
      </c>
      <c r="H132" s="329">
        <v>12.8</v>
      </c>
      <c r="I132" s="329">
        <f t="shared" si="7"/>
        <v>12.833333333333334</v>
      </c>
      <c r="L132" s="331">
        <v>40475</v>
      </c>
      <c r="M132" s="329">
        <v>41.483333333333334</v>
      </c>
      <c r="N132" s="329">
        <v>43.116666666666667</v>
      </c>
      <c r="O132" s="329">
        <v>12.6</v>
      </c>
      <c r="P132" s="329">
        <v>12.833333333333334</v>
      </c>
      <c r="S132" s="331">
        <v>40559</v>
      </c>
      <c r="T132" s="329">
        <v>49.349999999999994</v>
      </c>
      <c r="U132" s="329">
        <v>47.050000000000004</v>
      </c>
      <c r="V132" s="329">
        <v>6.9666666666666659</v>
      </c>
      <c r="W132" s="329">
        <v>7.2833333333333341</v>
      </c>
      <c r="X132" s="197">
        <v>0.2</v>
      </c>
      <c r="Y132" s="197">
        <v>7.9</v>
      </c>
    </row>
    <row r="133" spans="1:25">
      <c r="A133" s="331">
        <v>40475</v>
      </c>
      <c r="B133" s="329">
        <v>40.4</v>
      </c>
      <c r="C133" s="329">
        <f t="shared" si="8"/>
        <v>41.483333333333334</v>
      </c>
      <c r="D133" s="329">
        <v>42.5</v>
      </c>
      <c r="E133" s="329">
        <f t="shared" si="5"/>
        <v>43.116666666666667</v>
      </c>
      <c r="F133" s="329">
        <v>12.8</v>
      </c>
      <c r="G133" s="329">
        <f t="shared" si="6"/>
        <v>12.6</v>
      </c>
      <c r="H133" s="329">
        <v>12.8</v>
      </c>
      <c r="I133" s="329">
        <f t="shared" si="7"/>
        <v>12.833333333333334</v>
      </c>
      <c r="L133" s="331">
        <v>40475</v>
      </c>
      <c r="M133" s="329">
        <v>41.483333333333334</v>
      </c>
      <c r="N133" s="329">
        <v>43.116666666666667</v>
      </c>
      <c r="O133" s="329">
        <v>12.6</v>
      </c>
      <c r="P133" s="329">
        <v>12.833333333333334</v>
      </c>
      <c r="S133" s="331">
        <v>40560</v>
      </c>
      <c r="T133" s="329">
        <v>49.116666666666667</v>
      </c>
      <c r="U133" s="329">
        <v>46.883333333333333</v>
      </c>
      <c r="V133" s="329">
        <v>7.5999999999999988</v>
      </c>
      <c r="W133" s="329">
        <v>7.3666666666666671</v>
      </c>
      <c r="X133" s="197">
        <v>0</v>
      </c>
      <c r="Y133" s="197">
        <v>9.1</v>
      </c>
    </row>
    <row r="134" spans="1:25">
      <c r="A134" s="331">
        <v>40475</v>
      </c>
      <c r="B134" s="329">
        <v>49.1</v>
      </c>
      <c r="C134" s="329">
        <f t="shared" si="8"/>
        <v>41.483333333333334</v>
      </c>
      <c r="D134" s="329">
        <v>45.7</v>
      </c>
      <c r="E134" s="329">
        <f t="shared" si="5"/>
        <v>43.116666666666667</v>
      </c>
      <c r="F134" s="329">
        <v>12.6</v>
      </c>
      <c r="G134" s="329">
        <f t="shared" si="6"/>
        <v>12.6</v>
      </c>
      <c r="H134" s="329">
        <v>12.8</v>
      </c>
      <c r="I134" s="329">
        <f t="shared" si="7"/>
        <v>12.833333333333334</v>
      </c>
      <c r="L134" s="331">
        <v>40475</v>
      </c>
      <c r="M134" s="329">
        <v>41.483333333333334</v>
      </c>
      <c r="N134" s="329">
        <v>43.116666666666667</v>
      </c>
      <c r="O134" s="329">
        <v>12.6</v>
      </c>
      <c r="P134" s="329">
        <v>12.833333333333334</v>
      </c>
      <c r="S134" s="331">
        <v>40561</v>
      </c>
      <c r="T134" s="329">
        <v>48.966666666666669</v>
      </c>
      <c r="U134" s="329">
        <v>46.749999999999993</v>
      </c>
      <c r="V134" s="329">
        <v>7.6166666666666671</v>
      </c>
      <c r="W134" s="329">
        <v>7.5166666666666666</v>
      </c>
      <c r="X134" s="197">
        <v>0</v>
      </c>
      <c r="Y134" s="197">
        <v>8.5</v>
      </c>
    </row>
    <row r="135" spans="1:25">
      <c r="A135" s="331">
        <v>40476</v>
      </c>
      <c r="B135" s="329">
        <v>45.7</v>
      </c>
      <c r="C135" s="329">
        <f t="shared" si="8"/>
        <v>44.783333333333339</v>
      </c>
      <c r="D135" s="329">
        <v>44.2</v>
      </c>
      <c r="E135" s="329">
        <f t="shared" si="5"/>
        <v>44.449999999999996</v>
      </c>
      <c r="F135" s="329">
        <v>11.8</v>
      </c>
      <c r="G135" s="329">
        <f t="shared" si="6"/>
        <v>11.08333333333333</v>
      </c>
      <c r="H135" s="329">
        <v>12.8</v>
      </c>
      <c r="I135" s="329">
        <f t="shared" si="7"/>
        <v>12.300000000000002</v>
      </c>
      <c r="L135" s="331">
        <v>40476</v>
      </c>
      <c r="M135" s="329">
        <v>44.783333333333339</v>
      </c>
      <c r="N135" s="329">
        <v>44.449999999999996</v>
      </c>
      <c r="O135" s="329">
        <v>11.08333333333333</v>
      </c>
      <c r="P135" s="329">
        <v>12.300000000000002</v>
      </c>
      <c r="S135" s="331">
        <v>40562</v>
      </c>
      <c r="T135" s="329">
        <v>48.833333333333336</v>
      </c>
      <c r="U135" s="329">
        <v>46.666666666666664</v>
      </c>
      <c r="V135" s="329">
        <v>7.5666666666666664</v>
      </c>
      <c r="W135" s="329">
        <v>7.55</v>
      </c>
      <c r="X135" s="197">
        <v>0</v>
      </c>
      <c r="Y135" s="197">
        <v>6.4</v>
      </c>
    </row>
    <row r="136" spans="1:25">
      <c r="A136" s="331">
        <v>40476</v>
      </c>
      <c r="B136" s="329">
        <v>45.3</v>
      </c>
      <c r="C136" s="329">
        <f t="shared" si="8"/>
        <v>44.783333333333339</v>
      </c>
      <c r="D136" s="329">
        <v>44</v>
      </c>
      <c r="E136" s="329">
        <f t="shared" si="5"/>
        <v>44.449999999999996</v>
      </c>
      <c r="F136" s="329">
        <v>11.2</v>
      </c>
      <c r="G136" s="329">
        <f t="shared" si="6"/>
        <v>11.08333333333333</v>
      </c>
      <c r="H136" s="329">
        <v>12.6</v>
      </c>
      <c r="I136" s="329">
        <f t="shared" si="7"/>
        <v>12.300000000000002</v>
      </c>
      <c r="L136" s="331">
        <v>40476</v>
      </c>
      <c r="M136" s="329">
        <v>44.783333333333339</v>
      </c>
      <c r="N136" s="329">
        <v>44.449999999999996</v>
      </c>
      <c r="O136" s="329">
        <v>11.08333333333333</v>
      </c>
      <c r="P136" s="329">
        <v>12.300000000000002</v>
      </c>
      <c r="S136" s="331">
        <v>40563</v>
      </c>
      <c r="T136" s="329">
        <v>48.766666666666659</v>
      </c>
      <c r="U136" s="329">
        <v>46.566666666666663</v>
      </c>
      <c r="V136" s="329">
        <v>5.2666666666666666</v>
      </c>
      <c r="W136" s="329">
        <v>6.8166666666666664</v>
      </c>
      <c r="X136" s="197">
        <v>0</v>
      </c>
      <c r="Y136" s="197">
        <v>1.9</v>
      </c>
    </row>
    <row r="137" spans="1:25">
      <c r="A137" s="331">
        <v>40476</v>
      </c>
      <c r="B137" s="329">
        <v>45.1</v>
      </c>
      <c r="C137" s="329">
        <f t="shared" si="8"/>
        <v>44.783333333333339</v>
      </c>
      <c r="D137" s="329">
        <v>44.9</v>
      </c>
      <c r="E137" s="329">
        <f t="shared" si="5"/>
        <v>44.449999999999996</v>
      </c>
      <c r="F137" s="329">
        <v>10.8</v>
      </c>
      <c r="G137" s="329">
        <f t="shared" si="6"/>
        <v>11.08333333333333</v>
      </c>
      <c r="H137" s="329">
        <v>12.3</v>
      </c>
      <c r="I137" s="329">
        <f t="shared" si="7"/>
        <v>12.300000000000002</v>
      </c>
      <c r="L137" s="331">
        <v>40476</v>
      </c>
      <c r="M137" s="329">
        <v>44.783333333333339</v>
      </c>
      <c r="N137" s="329">
        <v>44.449999999999996</v>
      </c>
      <c r="O137" s="329">
        <v>11.08333333333333</v>
      </c>
      <c r="P137" s="329">
        <v>12.300000000000002</v>
      </c>
      <c r="S137" s="331">
        <v>40564</v>
      </c>
      <c r="T137" s="329">
        <v>48.683333333333337</v>
      </c>
      <c r="U137" s="329">
        <v>46.483333333333327</v>
      </c>
      <c r="V137" s="329">
        <v>3.9333333333333336</v>
      </c>
      <c r="W137" s="329">
        <v>5.583333333333333</v>
      </c>
      <c r="X137" s="197">
        <v>0</v>
      </c>
      <c r="Y137" s="197">
        <v>0.4</v>
      </c>
    </row>
    <row r="138" spans="1:25">
      <c r="A138" s="331">
        <v>40476</v>
      </c>
      <c r="B138" s="329">
        <v>44.7</v>
      </c>
      <c r="C138" s="329">
        <f t="shared" si="8"/>
        <v>44.783333333333339</v>
      </c>
      <c r="D138" s="329">
        <v>44.5</v>
      </c>
      <c r="E138" s="329">
        <f t="shared" si="5"/>
        <v>44.449999999999996</v>
      </c>
      <c r="F138" s="329">
        <v>10.8</v>
      </c>
      <c r="G138" s="329">
        <f t="shared" si="6"/>
        <v>11.08333333333333</v>
      </c>
      <c r="H138" s="329">
        <v>12.1</v>
      </c>
      <c r="I138" s="329">
        <f t="shared" si="7"/>
        <v>12.300000000000002</v>
      </c>
      <c r="L138" s="331">
        <v>40476</v>
      </c>
      <c r="M138" s="329">
        <v>44.783333333333339</v>
      </c>
      <c r="N138" s="329">
        <v>44.449999999999996</v>
      </c>
      <c r="O138" s="329">
        <v>11.08333333333333</v>
      </c>
      <c r="P138" s="329">
        <v>12.300000000000002</v>
      </c>
      <c r="S138" s="331">
        <v>40565</v>
      </c>
      <c r="T138" s="329">
        <v>48.6</v>
      </c>
      <c r="U138" s="329">
        <v>46.4</v>
      </c>
      <c r="V138" s="329">
        <v>2.6666666666666665</v>
      </c>
      <c r="W138" s="329">
        <v>4.55</v>
      </c>
      <c r="X138" s="197">
        <v>0</v>
      </c>
      <c r="Y138" s="197">
        <v>-1.8</v>
      </c>
    </row>
    <row r="139" spans="1:25">
      <c r="A139" s="331">
        <v>40476</v>
      </c>
      <c r="B139" s="329">
        <v>44.4</v>
      </c>
      <c r="C139" s="329">
        <f t="shared" si="8"/>
        <v>44.783333333333339</v>
      </c>
      <c r="D139" s="329">
        <v>44.5</v>
      </c>
      <c r="E139" s="329">
        <f t="shared" si="5"/>
        <v>44.449999999999996</v>
      </c>
      <c r="F139" s="329">
        <v>11.3</v>
      </c>
      <c r="G139" s="329">
        <f t="shared" si="6"/>
        <v>11.08333333333333</v>
      </c>
      <c r="H139" s="329">
        <v>12</v>
      </c>
      <c r="I139" s="329">
        <f t="shared" si="7"/>
        <v>12.300000000000002</v>
      </c>
      <c r="L139" s="331">
        <v>40476</v>
      </c>
      <c r="M139" s="329">
        <v>44.783333333333339</v>
      </c>
      <c r="N139" s="329">
        <v>44.449999999999996</v>
      </c>
      <c r="O139" s="329">
        <v>11.08333333333333</v>
      </c>
      <c r="P139" s="329">
        <v>12.300000000000002</v>
      </c>
      <c r="S139" s="331">
        <v>40566</v>
      </c>
      <c r="T139" s="329">
        <v>48.566666666666663</v>
      </c>
      <c r="U139" s="329">
        <v>46.366666666666667</v>
      </c>
      <c r="V139" s="329">
        <v>2.2833333333333332</v>
      </c>
      <c r="W139" s="329">
        <v>3.7666666666666671</v>
      </c>
      <c r="X139" s="197">
        <v>0</v>
      </c>
      <c r="Y139" s="197">
        <v>-1.1000000000000001</v>
      </c>
    </row>
    <row r="140" spans="1:25">
      <c r="A140" s="331">
        <v>40476</v>
      </c>
      <c r="B140" s="329">
        <v>43.5</v>
      </c>
      <c r="C140" s="329">
        <f t="shared" si="8"/>
        <v>44.783333333333339</v>
      </c>
      <c r="D140" s="329">
        <v>44.6</v>
      </c>
      <c r="E140" s="329">
        <f t="shared" si="5"/>
        <v>44.449999999999996</v>
      </c>
      <c r="F140" s="329">
        <v>10.6</v>
      </c>
      <c r="G140" s="329">
        <f t="shared" si="6"/>
        <v>11.08333333333333</v>
      </c>
      <c r="H140" s="329">
        <v>12</v>
      </c>
      <c r="I140" s="329">
        <f t="shared" si="7"/>
        <v>12.300000000000002</v>
      </c>
      <c r="L140" s="331">
        <v>40476</v>
      </c>
      <c r="M140" s="329">
        <v>44.783333333333339</v>
      </c>
      <c r="N140" s="329">
        <v>44.449999999999996</v>
      </c>
      <c r="O140" s="329">
        <v>11.08333333333333</v>
      </c>
      <c r="P140" s="329">
        <v>12.300000000000002</v>
      </c>
      <c r="S140" s="331">
        <v>40567</v>
      </c>
      <c r="T140" s="329">
        <v>48.449999999999996</v>
      </c>
      <c r="U140" s="329">
        <v>46.300000000000004</v>
      </c>
      <c r="V140" s="329">
        <v>1.9833333333333332</v>
      </c>
      <c r="W140" s="329">
        <v>3.4666666666666668</v>
      </c>
      <c r="X140" s="197">
        <v>0</v>
      </c>
      <c r="Y140" s="197">
        <v>-1.6</v>
      </c>
    </row>
    <row r="141" spans="1:25">
      <c r="A141" s="331">
        <v>40477</v>
      </c>
      <c r="B141" s="329">
        <v>44</v>
      </c>
      <c r="C141" s="329">
        <f t="shared" si="8"/>
        <v>43.65</v>
      </c>
      <c r="D141" s="329">
        <v>44.9</v>
      </c>
      <c r="E141" s="329">
        <f t="shared" si="5"/>
        <v>43.85</v>
      </c>
      <c r="F141" s="329">
        <v>9.6</v>
      </c>
      <c r="G141" s="329">
        <f t="shared" si="6"/>
        <v>9.25</v>
      </c>
      <c r="H141" s="329">
        <v>11.8</v>
      </c>
      <c r="I141" s="329">
        <f t="shared" si="7"/>
        <v>11.050000000000002</v>
      </c>
      <c r="L141" s="331">
        <v>40477</v>
      </c>
      <c r="M141" s="329">
        <v>43.65</v>
      </c>
      <c r="N141" s="329">
        <v>43.85</v>
      </c>
      <c r="O141" s="329">
        <v>9.25</v>
      </c>
      <c r="P141" s="329">
        <v>11.050000000000002</v>
      </c>
      <c r="S141" s="331">
        <v>40568</v>
      </c>
      <c r="T141" s="329">
        <v>48.333333333333336</v>
      </c>
      <c r="U141" s="329">
        <v>46.283333333333331</v>
      </c>
      <c r="V141" s="329">
        <v>1.9166666666666667</v>
      </c>
      <c r="W141" s="329">
        <v>3.1833333333333336</v>
      </c>
      <c r="X141" s="197">
        <v>0.2</v>
      </c>
      <c r="Y141" s="197">
        <v>-0.1</v>
      </c>
    </row>
    <row r="142" spans="1:25">
      <c r="A142" s="331">
        <v>40477</v>
      </c>
      <c r="B142" s="329">
        <v>43.9</v>
      </c>
      <c r="C142" s="329">
        <f t="shared" si="8"/>
        <v>43.65</v>
      </c>
      <c r="D142" s="329">
        <v>43.9</v>
      </c>
      <c r="E142" s="329">
        <f t="shared" si="5"/>
        <v>43.85</v>
      </c>
      <c r="F142" s="329">
        <v>8.8000000000000007</v>
      </c>
      <c r="G142" s="329">
        <f t="shared" si="6"/>
        <v>9.25</v>
      </c>
      <c r="H142" s="329">
        <v>11.4</v>
      </c>
      <c r="I142" s="329">
        <f t="shared" si="7"/>
        <v>11.050000000000002</v>
      </c>
      <c r="L142" s="331">
        <v>40477</v>
      </c>
      <c r="M142" s="329">
        <v>43.65</v>
      </c>
      <c r="N142" s="329">
        <v>43.85</v>
      </c>
      <c r="O142" s="329">
        <v>9.25</v>
      </c>
      <c r="P142" s="329">
        <v>11.050000000000002</v>
      </c>
      <c r="S142" s="331">
        <v>40569</v>
      </c>
      <c r="T142" s="329">
        <v>48.266666666666673</v>
      </c>
      <c r="U142" s="329">
        <v>46.199999999999996</v>
      </c>
      <c r="V142" s="329">
        <v>2.4</v>
      </c>
      <c r="W142" s="329">
        <v>3.1500000000000004</v>
      </c>
      <c r="X142" s="197">
        <v>0</v>
      </c>
      <c r="Y142" s="197">
        <v>1</v>
      </c>
    </row>
    <row r="143" spans="1:25">
      <c r="A143" s="331">
        <v>40477</v>
      </c>
      <c r="B143" s="329">
        <v>44.3</v>
      </c>
      <c r="C143" s="329">
        <f t="shared" si="8"/>
        <v>43.65</v>
      </c>
      <c r="D143" s="329">
        <v>43.6</v>
      </c>
      <c r="E143" s="329">
        <f t="shared" si="5"/>
        <v>43.85</v>
      </c>
      <c r="F143" s="329">
        <v>8</v>
      </c>
      <c r="G143" s="329">
        <f t="shared" si="6"/>
        <v>9.25</v>
      </c>
      <c r="H143" s="329">
        <v>11</v>
      </c>
      <c r="I143" s="329">
        <f t="shared" si="7"/>
        <v>11.050000000000002</v>
      </c>
      <c r="L143" s="331">
        <v>40477</v>
      </c>
      <c r="M143" s="329">
        <v>43.65</v>
      </c>
      <c r="N143" s="329">
        <v>43.85</v>
      </c>
      <c r="O143" s="329">
        <v>9.25</v>
      </c>
      <c r="P143" s="329">
        <v>11.050000000000002</v>
      </c>
      <c r="S143" s="331">
        <v>40570</v>
      </c>
      <c r="T143" s="329">
        <v>48.183333333333337</v>
      </c>
      <c r="U143" s="329">
        <v>46.183333333333337</v>
      </c>
      <c r="V143" s="329">
        <v>2.5666666666666669</v>
      </c>
      <c r="W143" s="329">
        <v>3.3333333333333335</v>
      </c>
      <c r="X143" s="197">
        <v>0</v>
      </c>
      <c r="Y143" s="197">
        <v>3.9</v>
      </c>
    </row>
    <row r="144" spans="1:25">
      <c r="A144" s="331">
        <v>40477</v>
      </c>
      <c r="B144" s="329">
        <v>43.5</v>
      </c>
      <c r="C144" s="329">
        <f t="shared" si="8"/>
        <v>43.65</v>
      </c>
      <c r="D144" s="329">
        <v>43.6</v>
      </c>
      <c r="E144" s="329">
        <f t="shared" si="5"/>
        <v>43.85</v>
      </c>
      <c r="F144" s="329">
        <v>8.6</v>
      </c>
      <c r="G144" s="329">
        <f t="shared" si="6"/>
        <v>9.25</v>
      </c>
      <c r="H144" s="329">
        <v>10.7</v>
      </c>
      <c r="I144" s="329">
        <f t="shared" si="7"/>
        <v>11.050000000000002</v>
      </c>
      <c r="L144" s="331">
        <v>40477</v>
      </c>
      <c r="M144" s="329">
        <v>43.65</v>
      </c>
      <c r="N144" s="329">
        <v>43.85</v>
      </c>
      <c r="O144" s="329">
        <v>9.25</v>
      </c>
      <c r="P144" s="329">
        <v>11.050000000000002</v>
      </c>
      <c r="S144" s="331">
        <v>40571</v>
      </c>
      <c r="T144" s="329">
        <v>48.050000000000004</v>
      </c>
      <c r="U144" s="329">
        <v>46.1</v>
      </c>
      <c r="V144" s="329">
        <v>4.1000000000000005</v>
      </c>
      <c r="W144" s="329">
        <v>3.9333333333333336</v>
      </c>
      <c r="X144" s="197">
        <v>0</v>
      </c>
      <c r="Y144" s="197">
        <v>7.5</v>
      </c>
    </row>
    <row r="145" spans="1:25">
      <c r="A145" s="331">
        <v>40477</v>
      </c>
      <c r="B145" s="329">
        <v>43</v>
      </c>
      <c r="C145" s="329">
        <f t="shared" si="8"/>
        <v>43.65</v>
      </c>
      <c r="D145" s="329">
        <v>43.6</v>
      </c>
      <c r="E145" s="329">
        <f t="shared" si="5"/>
        <v>43.85</v>
      </c>
      <c r="F145" s="329">
        <v>10.5</v>
      </c>
      <c r="G145" s="329">
        <f t="shared" si="6"/>
        <v>9.25</v>
      </c>
      <c r="H145" s="329">
        <v>10.6</v>
      </c>
      <c r="I145" s="329">
        <f t="shared" si="7"/>
        <v>11.050000000000002</v>
      </c>
      <c r="L145" s="331">
        <v>40477</v>
      </c>
      <c r="M145" s="329">
        <v>43.65</v>
      </c>
      <c r="N145" s="329">
        <v>43.85</v>
      </c>
      <c r="O145" s="329">
        <v>9.25</v>
      </c>
      <c r="P145" s="329">
        <v>11.050000000000002</v>
      </c>
      <c r="S145" s="331">
        <v>40572</v>
      </c>
      <c r="T145" s="329">
        <v>51.033333333333339</v>
      </c>
      <c r="U145" s="329">
        <v>46.1</v>
      </c>
      <c r="V145" s="329">
        <v>5.166666666666667</v>
      </c>
      <c r="W145" s="329">
        <v>4.7833333333333341</v>
      </c>
      <c r="X145" s="197">
        <v>10.9</v>
      </c>
      <c r="Y145" s="197">
        <v>5.0999999999999996</v>
      </c>
    </row>
    <row r="146" spans="1:25">
      <c r="A146" s="331">
        <v>40477</v>
      </c>
      <c r="B146" s="329">
        <v>43.2</v>
      </c>
      <c r="C146" s="329">
        <f t="shared" si="8"/>
        <v>43.65</v>
      </c>
      <c r="D146" s="329">
        <v>43.5</v>
      </c>
      <c r="E146" s="329">
        <f t="shared" si="5"/>
        <v>43.85</v>
      </c>
      <c r="F146" s="329">
        <v>10</v>
      </c>
      <c r="G146" s="329">
        <f t="shared" si="6"/>
        <v>9.25</v>
      </c>
      <c r="H146" s="329">
        <v>10.8</v>
      </c>
      <c r="I146" s="329">
        <f t="shared" si="7"/>
        <v>11.050000000000002</v>
      </c>
      <c r="L146" s="331">
        <v>40477</v>
      </c>
      <c r="M146" s="329">
        <v>43.65</v>
      </c>
      <c r="N146" s="329">
        <v>43.85</v>
      </c>
      <c r="O146" s="329">
        <v>9.25</v>
      </c>
      <c r="P146" s="329">
        <v>11.050000000000002</v>
      </c>
      <c r="S146" s="331">
        <v>40573</v>
      </c>
      <c r="T146" s="329">
        <v>55.983333333333341</v>
      </c>
      <c r="U146" s="329">
        <v>46.1</v>
      </c>
      <c r="V146" s="329">
        <v>4.9666666666666668</v>
      </c>
      <c r="W146" s="329">
        <v>5.0166666666666666</v>
      </c>
      <c r="X146" s="197">
        <v>0</v>
      </c>
      <c r="Y146" s="197">
        <v>4</v>
      </c>
    </row>
    <row r="147" spans="1:25">
      <c r="A147" s="331">
        <v>40478</v>
      </c>
      <c r="B147" s="329">
        <v>42.7</v>
      </c>
      <c r="C147" s="329">
        <f t="shared" si="8"/>
        <v>42.65</v>
      </c>
      <c r="D147" s="329">
        <v>43.5</v>
      </c>
      <c r="E147" s="329">
        <f t="shared" si="5"/>
        <v>43.400000000000006</v>
      </c>
      <c r="F147" s="329">
        <v>8.9</v>
      </c>
      <c r="G147" s="329">
        <f t="shared" si="6"/>
        <v>8.8833333333333329</v>
      </c>
      <c r="H147" s="329">
        <v>10.8</v>
      </c>
      <c r="I147" s="329">
        <f t="shared" si="7"/>
        <v>10.316666666666666</v>
      </c>
      <c r="L147" s="331">
        <v>40478</v>
      </c>
      <c r="M147" s="329">
        <v>42.65</v>
      </c>
      <c r="N147" s="329">
        <v>43.400000000000006</v>
      </c>
      <c r="O147" s="329">
        <v>8.8833333333333329</v>
      </c>
      <c r="P147" s="329">
        <v>10.316666666666666</v>
      </c>
      <c r="S147" s="331">
        <v>40574</v>
      </c>
      <c r="T147" s="329">
        <v>50.766666666666659</v>
      </c>
      <c r="U147" s="329">
        <v>46.199999999999996</v>
      </c>
      <c r="V147" s="329">
        <v>4.5</v>
      </c>
      <c r="W147" s="329">
        <v>4.916666666666667</v>
      </c>
      <c r="X147" s="197">
        <v>0</v>
      </c>
      <c r="Y147" s="197">
        <v>1</v>
      </c>
    </row>
    <row r="148" spans="1:25">
      <c r="A148" s="331">
        <v>40478</v>
      </c>
      <c r="B148" s="329">
        <v>42.7</v>
      </c>
      <c r="C148" s="329">
        <f t="shared" si="8"/>
        <v>42.65</v>
      </c>
      <c r="D148" s="329">
        <v>43.4</v>
      </c>
      <c r="E148" s="329">
        <f t="shared" si="5"/>
        <v>43.400000000000006</v>
      </c>
      <c r="F148" s="329">
        <v>7.9</v>
      </c>
      <c r="G148" s="329">
        <f t="shared" si="6"/>
        <v>8.8833333333333329</v>
      </c>
      <c r="H148" s="329">
        <v>10.6</v>
      </c>
      <c r="I148" s="329">
        <f t="shared" si="7"/>
        <v>10.316666666666666</v>
      </c>
      <c r="L148" s="331">
        <v>40478</v>
      </c>
      <c r="M148" s="329">
        <v>42.65</v>
      </c>
      <c r="N148" s="329">
        <v>43.400000000000006</v>
      </c>
      <c r="O148" s="329">
        <v>8.8833333333333329</v>
      </c>
      <c r="P148" s="329">
        <v>10.316666666666666</v>
      </c>
      <c r="S148" s="331">
        <v>40575</v>
      </c>
      <c r="T148" s="329">
        <v>49.766666666666659</v>
      </c>
      <c r="U148" s="329">
        <v>46.266666666666673</v>
      </c>
      <c r="V148" s="329">
        <v>3.2833333333333328</v>
      </c>
      <c r="W148" s="329">
        <v>4.3</v>
      </c>
      <c r="X148" s="197">
        <v>0</v>
      </c>
      <c r="Y148" s="197">
        <v>-0.5</v>
      </c>
    </row>
    <row r="149" spans="1:25">
      <c r="A149" s="331">
        <v>40478</v>
      </c>
      <c r="B149" s="329">
        <v>43.5</v>
      </c>
      <c r="C149" s="329">
        <f t="shared" si="8"/>
        <v>42.65</v>
      </c>
      <c r="D149" s="329">
        <v>43.4</v>
      </c>
      <c r="E149" s="329">
        <f t="shared" si="5"/>
        <v>43.400000000000006</v>
      </c>
      <c r="F149" s="329">
        <v>7.1</v>
      </c>
      <c r="G149" s="329">
        <f t="shared" si="6"/>
        <v>8.8833333333333329</v>
      </c>
      <c r="H149" s="329">
        <v>10.3</v>
      </c>
      <c r="I149" s="329">
        <f t="shared" si="7"/>
        <v>10.316666666666666</v>
      </c>
      <c r="L149" s="331">
        <v>40478</v>
      </c>
      <c r="M149" s="329">
        <v>42.65</v>
      </c>
      <c r="N149" s="329">
        <v>43.400000000000006</v>
      </c>
      <c r="O149" s="329">
        <v>8.8833333333333329</v>
      </c>
      <c r="P149" s="329">
        <v>10.316666666666666</v>
      </c>
      <c r="S149" s="331">
        <v>40576</v>
      </c>
      <c r="T149" s="329">
        <v>49.400000000000006</v>
      </c>
      <c r="U149" s="329">
        <v>46.300000000000004</v>
      </c>
      <c r="V149" s="329">
        <v>2.7666666666666671</v>
      </c>
      <c r="W149" s="329">
        <v>3.6833333333333336</v>
      </c>
      <c r="X149" s="197">
        <v>0</v>
      </c>
      <c r="Y149" s="197">
        <v>2</v>
      </c>
    </row>
    <row r="150" spans="1:25">
      <c r="A150" s="331">
        <v>40478</v>
      </c>
      <c r="B150" s="329">
        <v>42.5</v>
      </c>
      <c r="C150" s="329">
        <f t="shared" si="8"/>
        <v>42.65</v>
      </c>
      <c r="D150" s="329">
        <v>43.4</v>
      </c>
      <c r="E150" s="329">
        <f t="shared" si="5"/>
        <v>43.400000000000006</v>
      </c>
      <c r="F150" s="329">
        <v>7.9</v>
      </c>
      <c r="G150" s="329">
        <f t="shared" si="6"/>
        <v>8.8833333333333329</v>
      </c>
      <c r="H150" s="329">
        <v>9.9</v>
      </c>
      <c r="I150" s="329">
        <f t="shared" si="7"/>
        <v>10.316666666666666</v>
      </c>
      <c r="L150" s="331">
        <v>40478</v>
      </c>
      <c r="M150" s="329">
        <v>42.65</v>
      </c>
      <c r="N150" s="329">
        <v>43.400000000000006</v>
      </c>
      <c r="O150" s="329">
        <v>8.8833333333333329</v>
      </c>
      <c r="P150" s="329">
        <v>10.316666666666666</v>
      </c>
      <c r="S150" s="331">
        <v>40577</v>
      </c>
      <c r="T150" s="329">
        <v>49.1</v>
      </c>
      <c r="U150" s="329">
        <v>46.283333333333331</v>
      </c>
      <c r="V150" s="329">
        <v>4.3666666666666671</v>
      </c>
      <c r="W150" s="329">
        <v>4.0999999999999996</v>
      </c>
      <c r="X150" s="197">
        <v>0</v>
      </c>
      <c r="Y150" s="197">
        <v>7.6</v>
      </c>
    </row>
    <row r="151" spans="1:25">
      <c r="A151" s="331">
        <v>40478</v>
      </c>
      <c r="B151" s="329">
        <v>42.3</v>
      </c>
      <c r="C151" s="329">
        <f t="shared" si="8"/>
        <v>42.65</v>
      </c>
      <c r="D151" s="329">
        <v>43.4</v>
      </c>
      <c r="E151" s="329">
        <f t="shared" si="5"/>
        <v>43.400000000000006</v>
      </c>
      <c r="F151" s="329">
        <v>10.9</v>
      </c>
      <c r="G151" s="329">
        <f t="shared" si="6"/>
        <v>8.8833333333333329</v>
      </c>
      <c r="H151" s="329">
        <v>9.9</v>
      </c>
      <c r="I151" s="329">
        <f t="shared" si="7"/>
        <v>10.316666666666666</v>
      </c>
      <c r="L151" s="331">
        <v>40478</v>
      </c>
      <c r="M151" s="329">
        <v>42.65</v>
      </c>
      <c r="N151" s="329">
        <v>43.400000000000006</v>
      </c>
      <c r="O151" s="329">
        <v>8.8833333333333329</v>
      </c>
      <c r="P151" s="329">
        <v>10.316666666666666</v>
      </c>
      <c r="S151" s="331">
        <v>40578</v>
      </c>
      <c r="T151" s="329">
        <v>48.849999999999994</v>
      </c>
      <c r="U151" s="329">
        <v>46.25</v>
      </c>
      <c r="V151" s="329">
        <v>6.1166666666666671</v>
      </c>
      <c r="W151" s="329">
        <v>5.2</v>
      </c>
      <c r="X151" s="197">
        <v>0</v>
      </c>
      <c r="Y151" s="197">
        <v>9.3000000000000007</v>
      </c>
    </row>
    <row r="152" spans="1:25">
      <c r="A152" s="331">
        <v>40478</v>
      </c>
      <c r="B152" s="329">
        <v>42.2</v>
      </c>
      <c r="C152" s="329">
        <f t="shared" si="8"/>
        <v>42.65</v>
      </c>
      <c r="D152" s="329">
        <v>43.3</v>
      </c>
      <c r="E152" s="329">
        <f t="shared" si="5"/>
        <v>43.400000000000006</v>
      </c>
      <c r="F152" s="329">
        <v>10.6</v>
      </c>
      <c r="G152" s="329">
        <f t="shared" si="6"/>
        <v>8.8833333333333329</v>
      </c>
      <c r="H152" s="329">
        <v>10.4</v>
      </c>
      <c r="I152" s="329">
        <f t="shared" si="7"/>
        <v>10.316666666666666</v>
      </c>
      <c r="L152" s="331">
        <v>40478</v>
      </c>
      <c r="M152" s="329">
        <v>42.65</v>
      </c>
      <c r="N152" s="329">
        <v>43.400000000000006</v>
      </c>
      <c r="O152" s="329">
        <v>8.8833333333333329</v>
      </c>
      <c r="P152" s="329">
        <v>10.316666666666666</v>
      </c>
      <c r="S152" s="331">
        <v>40579</v>
      </c>
      <c r="T152" s="329">
        <v>48.666666666666664</v>
      </c>
      <c r="U152" s="329">
        <v>46.199999999999996</v>
      </c>
      <c r="V152" s="329">
        <v>6.2333333333333334</v>
      </c>
      <c r="W152" s="329">
        <v>5.8833333333333329</v>
      </c>
      <c r="X152" s="197">
        <v>0</v>
      </c>
      <c r="Y152" s="197">
        <v>7</v>
      </c>
    </row>
    <row r="153" spans="1:25">
      <c r="A153" s="331">
        <v>40479</v>
      </c>
      <c r="B153" s="329">
        <v>42.2</v>
      </c>
      <c r="C153" s="329">
        <f t="shared" si="8"/>
        <v>42.199999999999996</v>
      </c>
      <c r="D153" s="329">
        <v>43.3</v>
      </c>
      <c r="E153" s="329">
        <f t="shared" si="5"/>
        <v>43.433333333333337</v>
      </c>
      <c r="F153" s="329">
        <v>9.4</v>
      </c>
      <c r="G153" s="329">
        <f t="shared" si="6"/>
        <v>9.7999999999999989</v>
      </c>
      <c r="H153" s="329">
        <v>10.7</v>
      </c>
      <c r="I153" s="329">
        <f t="shared" si="7"/>
        <v>10.499999999999998</v>
      </c>
      <c r="L153" s="331">
        <v>40479</v>
      </c>
      <c r="M153" s="329">
        <v>42.199999999999996</v>
      </c>
      <c r="N153" s="329">
        <v>43.433333333333337</v>
      </c>
      <c r="O153" s="329">
        <v>9.7999999999999989</v>
      </c>
      <c r="P153" s="329">
        <v>10.499999999999998</v>
      </c>
      <c r="S153" s="331">
        <v>40580</v>
      </c>
      <c r="T153" s="329">
        <v>48.566666666666663</v>
      </c>
      <c r="U153" s="329">
        <v>46.183333333333337</v>
      </c>
      <c r="V153" s="329">
        <v>5.2166666666666659</v>
      </c>
      <c r="W153" s="329">
        <v>5.6500000000000012</v>
      </c>
      <c r="X153" s="197">
        <v>0.4</v>
      </c>
      <c r="Y153" s="197">
        <v>2.9</v>
      </c>
    </row>
    <row r="154" spans="1:25">
      <c r="A154" s="331">
        <v>40479</v>
      </c>
      <c r="B154" s="329">
        <v>42.4</v>
      </c>
      <c r="C154" s="329">
        <f t="shared" si="8"/>
        <v>42.199999999999996</v>
      </c>
      <c r="D154" s="329">
        <v>43.5</v>
      </c>
      <c r="E154" s="329">
        <f t="shared" si="5"/>
        <v>43.433333333333337</v>
      </c>
      <c r="F154" s="329">
        <v>8.6</v>
      </c>
      <c r="G154" s="329">
        <f t="shared" si="6"/>
        <v>9.7999999999999989</v>
      </c>
      <c r="H154" s="329">
        <v>10.6</v>
      </c>
      <c r="I154" s="329">
        <f t="shared" si="7"/>
        <v>10.499999999999998</v>
      </c>
      <c r="L154" s="331">
        <v>40479</v>
      </c>
      <c r="M154" s="329">
        <v>42.199999999999996</v>
      </c>
      <c r="N154" s="329">
        <v>43.433333333333337</v>
      </c>
      <c r="O154" s="329">
        <v>9.7999999999999989</v>
      </c>
      <c r="P154" s="329">
        <v>10.499999999999998</v>
      </c>
      <c r="S154" s="331">
        <v>40581</v>
      </c>
      <c r="T154" s="329">
        <v>48.433333333333337</v>
      </c>
      <c r="U154" s="329">
        <v>46.116666666666667</v>
      </c>
      <c r="V154" s="329">
        <v>5.083333333333333</v>
      </c>
      <c r="W154" s="329">
        <v>5.3</v>
      </c>
      <c r="X154" s="197">
        <v>0.2</v>
      </c>
      <c r="Y154" s="197">
        <v>5.6</v>
      </c>
    </row>
    <row r="155" spans="1:25">
      <c r="A155" s="331">
        <v>40479</v>
      </c>
      <c r="B155" s="329">
        <v>42.3</v>
      </c>
      <c r="C155" s="329">
        <f t="shared" si="8"/>
        <v>42.199999999999996</v>
      </c>
      <c r="D155" s="329">
        <v>43.5</v>
      </c>
      <c r="E155" s="329">
        <f t="shared" si="5"/>
        <v>43.433333333333337</v>
      </c>
      <c r="F155" s="329">
        <v>8.1999999999999993</v>
      </c>
      <c r="G155" s="329">
        <f t="shared" si="6"/>
        <v>9.7999999999999989</v>
      </c>
      <c r="H155" s="329">
        <v>10.4</v>
      </c>
      <c r="I155" s="329">
        <f t="shared" si="7"/>
        <v>10.499999999999998</v>
      </c>
      <c r="L155" s="331">
        <v>40479</v>
      </c>
      <c r="M155" s="329">
        <v>42.199999999999996</v>
      </c>
      <c r="N155" s="329">
        <v>43.433333333333337</v>
      </c>
      <c r="O155" s="329">
        <v>9.7999999999999989</v>
      </c>
      <c r="P155" s="329">
        <v>10.499999999999998</v>
      </c>
      <c r="S155" s="331">
        <v>40582</v>
      </c>
      <c r="T155" s="329">
        <v>48.25</v>
      </c>
      <c r="U155" s="329">
        <v>46.116666666666667</v>
      </c>
      <c r="V155" s="329">
        <v>6.05</v>
      </c>
      <c r="W155" s="329">
        <v>5.7166666666666659</v>
      </c>
      <c r="X155" s="197">
        <v>0.2</v>
      </c>
      <c r="Y155" s="197">
        <v>7.2</v>
      </c>
    </row>
    <row r="156" spans="1:25">
      <c r="A156" s="331">
        <v>40479</v>
      </c>
      <c r="B156" s="329">
        <v>42.2</v>
      </c>
      <c r="C156" s="329">
        <f t="shared" si="8"/>
        <v>42.199999999999996</v>
      </c>
      <c r="D156" s="329">
        <v>43.5</v>
      </c>
      <c r="E156" s="329">
        <f t="shared" si="5"/>
        <v>43.433333333333337</v>
      </c>
      <c r="F156" s="329">
        <v>9.1</v>
      </c>
      <c r="G156" s="329">
        <f t="shared" si="6"/>
        <v>9.7999999999999989</v>
      </c>
      <c r="H156" s="329">
        <v>10.199999999999999</v>
      </c>
      <c r="I156" s="329">
        <f t="shared" si="7"/>
        <v>10.499999999999998</v>
      </c>
      <c r="L156" s="331">
        <v>40479</v>
      </c>
      <c r="M156" s="329">
        <v>42.199999999999996</v>
      </c>
      <c r="N156" s="329">
        <v>43.433333333333337</v>
      </c>
      <c r="O156" s="329">
        <v>9.7999999999999989</v>
      </c>
      <c r="P156" s="329">
        <v>10.499999999999998</v>
      </c>
      <c r="S156" s="331">
        <v>40583</v>
      </c>
      <c r="T156" s="329">
        <v>48.050000000000004</v>
      </c>
      <c r="U156" s="329">
        <v>45.966666666666669</v>
      </c>
      <c r="V156" s="329">
        <v>6.2</v>
      </c>
      <c r="W156" s="329">
        <v>5.95</v>
      </c>
      <c r="X156" s="197">
        <v>0.2</v>
      </c>
      <c r="Y156" s="197">
        <v>6.8</v>
      </c>
    </row>
    <row r="157" spans="1:25">
      <c r="A157" s="331">
        <v>40479</v>
      </c>
      <c r="B157" s="329">
        <v>42.1</v>
      </c>
      <c r="C157" s="329">
        <f t="shared" si="8"/>
        <v>42.199999999999996</v>
      </c>
      <c r="D157" s="329">
        <v>43.4</v>
      </c>
      <c r="E157" s="329">
        <f t="shared" si="5"/>
        <v>43.433333333333337</v>
      </c>
      <c r="F157" s="329">
        <v>11.9</v>
      </c>
      <c r="G157" s="329">
        <f t="shared" si="6"/>
        <v>9.7999999999999989</v>
      </c>
      <c r="H157" s="329">
        <v>10.3</v>
      </c>
      <c r="I157" s="329">
        <f t="shared" si="7"/>
        <v>10.499999999999998</v>
      </c>
      <c r="L157" s="331">
        <v>40479</v>
      </c>
      <c r="M157" s="329">
        <v>42.199999999999996</v>
      </c>
      <c r="N157" s="329">
        <v>43.433333333333337</v>
      </c>
      <c r="O157" s="329">
        <v>9.7999999999999989</v>
      </c>
      <c r="P157" s="329">
        <v>10.499999999999998</v>
      </c>
      <c r="S157" s="331">
        <v>40584</v>
      </c>
      <c r="T157" s="329">
        <v>47.866666666666667</v>
      </c>
      <c r="U157" s="329">
        <v>45.866666666666667</v>
      </c>
      <c r="V157" s="329">
        <v>6.3</v>
      </c>
      <c r="W157" s="329">
        <v>6.166666666666667</v>
      </c>
      <c r="X157" s="197">
        <v>0</v>
      </c>
      <c r="Y157" s="197">
        <v>6.1</v>
      </c>
    </row>
    <row r="158" spans="1:25">
      <c r="A158" s="331">
        <v>40479</v>
      </c>
      <c r="B158" s="329">
        <v>42</v>
      </c>
      <c r="C158" s="329">
        <f t="shared" si="8"/>
        <v>42.199999999999996</v>
      </c>
      <c r="D158" s="329">
        <v>43.4</v>
      </c>
      <c r="E158" s="329">
        <f t="shared" si="5"/>
        <v>43.433333333333337</v>
      </c>
      <c r="F158" s="329">
        <v>11.6</v>
      </c>
      <c r="G158" s="329">
        <f t="shared" si="6"/>
        <v>9.7999999999999989</v>
      </c>
      <c r="H158" s="329">
        <v>10.8</v>
      </c>
      <c r="I158" s="329">
        <f t="shared" si="7"/>
        <v>10.499999999999998</v>
      </c>
      <c r="L158" s="331">
        <v>40479</v>
      </c>
      <c r="M158" s="329">
        <v>42.199999999999996</v>
      </c>
      <c r="N158" s="329">
        <v>43.433333333333337</v>
      </c>
      <c r="O158" s="329">
        <v>9.7999999999999989</v>
      </c>
      <c r="P158" s="329">
        <v>10.499999999999998</v>
      </c>
      <c r="S158" s="331">
        <v>40585</v>
      </c>
      <c r="T158" s="329">
        <v>47.733333333333327</v>
      </c>
      <c r="U158" s="329">
        <v>45.783333333333331</v>
      </c>
      <c r="V158" s="329">
        <v>6.6333333333333329</v>
      </c>
      <c r="W158" s="329">
        <v>6.3166666666666664</v>
      </c>
      <c r="X158" s="197">
        <v>0</v>
      </c>
      <c r="Y158" s="197">
        <v>8.3000000000000007</v>
      </c>
    </row>
    <row r="159" spans="1:25">
      <c r="A159" s="331">
        <v>40480</v>
      </c>
      <c r="B159" s="329">
        <v>42</v>
      </c>
      <c r="C159" s="329">
        <f t="shared" si="8"/>
        <v>41.866666666666667</v>
      </c>
      <c r="D159" s="329">
        <v>43.4</v>
      </c>
      <c r="E159" s="329">
        <f t="shared" si="5"/>
        <v>43.316666666666663</v>
      </c>
      <c r="F159" s="329">
        <v>10.4</v>
      </c>
      <c r="G159" s="329">
        <f t="shared" si="6"/>
        <v>11.050000000000002</v>
      </c>
      <c r="H159" s="329">
        <v>11.1</v>
      </c>
      <c r="I159" s="329">
        <f t="shared" si="7"/>
        <v>11.083333333333334</v>
      </c>
      <c r="L159" s="331">
        <v>40480</v>
      </c>
      <c r="M159" s="329">
        <v>41.866666666666667</v>
      </c>
      <c r="N159" s="329">
        <v>43.316666666666663</v>
      </c>
      <c r="O159" s="329">
        <v>11.050000000000002</v>
      </c>
      <c r="P159" s="329">
        <v>11.083333333333334</v>
      </c>
      <c r="S159" s="331">
        <v>40586</v>
      </c>
      <c r="T159" s="329">
        <v>47.516666666666673</v>
      </c>
      <c r="U159" s="329">
        <v>45.699999999999996</v>
      </c>
      <c r="V159" s="329">
        <v>6.8666666666666663</v>
      </c>
      <c r="W159" s="329">
        <v>6.5166666666666666</v>
      </c>
      <c r="X159" s="197">
        <v>1.2</v>
      </c>
      <c r="Y159" s="197">
        <v>7.2</v>
      </c>
    </row>
    <row r="160" spans="1:25">
      <c r="A160" s="331">
        <v>40480</v>
      </c>
      <c r="B160" s="329">
        <v>42</v>
      </c>
      <c r="C160" s="329">
        <f t="shared" si="8"/>
        <v>41.866666666666667</v>
      </c>
      <c r="D160" s="329">
        <v>43.4</v>
      </c>
      <c r="E160" s="329">
        <f t="shared" si="5"/>
        <v>43.316666666666663</v>
      </c>
      <c r="F160" s="329">
        <v>9.8000000000000007</v>
      </c>
      <c r="G160" s="329">
        <f t="shared" si="6"/>
        <v>11.050000000000002</v>
      </c>
      <c r="H160" s="329">
        <v>11</v>
      </c>
      <c r="I160" s="329">
        <f t="shared" si="7"/>
        <v>11.083333333333334</v>
      </c>
      <c r="L160" s="331">
        <v>40480</v>
      </c>
      <c r="M160" s="329">
        <v>41.866666666666667</v>
      </c>
      <c r="N160" s="329">
        <v>43.316666666666663</v>
      </c>
      <c r="O160" s="329">
        <v>11.050000000000002</v>
      </c>
      <c r="P160" s="329">
        <v>11.083333333333334</v>
      </c>
      <c r="S160" s="331">
        <v>40587</v>
      </c>
      <c r="T160" s="329">
        <v>47.266666666666659</v>
      </c>
      <c r="U160" s="329">
        <v>45.666666666666664</v>
      </c>
      <c r="V160" s="329">
        <v>7.1166666666666671</v>
      </c>
      <c r="W160" s="329">
        <v>6.7833333333333323</v>
      </c>
      <c r="X160" s="197">
        <v>0.2</v>
      </c>
      <c r="Y160" s="197">
        <v>7</v>
      </c>
    </row>
    <row r="161" spans="1:25">
      <c r="A161" s="331">
        <v>40480</v>
      </c>
      <c r="B161" s="329">
        <v>41.9</v>
      </c>
      <c r="C161" s="329">
        <f t="shared" si="8"/>
        <v>41.866666666666667</v>
      </c>
      <c r="D161" s="329">
        <v>43.3</v>
      </c>
      <c r="E161" s="329">
        <f t="shared" si="5"/>
        <v>43.316666666666663</v>
      </c>
      <c r="F161" s="329">
        <v>10</v>
      </c>
      <c r="G161" s="329">
        <f t="shared" si="6"/>
        <v>11.050000000000002</v>
      </c>
      <c r="H161" s="329">
        <v>10.9</v>
      </c>
      <c r="I161" s="329">
        <f t="shared" si="7"/>
        <v>11.083333333333334</v>
      </c>
      <c r="L161" s="331">
        <v>40480</v>
      </c>
      <c r="M161" s="329">
        <v>41.866666666666667</v>
      </c>
      <c r="N161" s="329">
        <v>43.316666666666663</v>
      </c>
      <c r="O161" s="329">
        <v>11.050000000000002</v>
      </c>
      <c r="P161" s="329">
        <v>11.083333333333334</v>
      </c>
      <c r="S161" s="331">
        <v>40588</v>
      </c>
      <c r="T161" s="329">
        <v>47.233333333333327</v>
      </c>
      <c r="U161" s="329">
        <v>45.6</v>
      </c>
      <c r="V161" s="329">
        <v>7.3</v>
      </c>
      <c r="W161" s="329">
        <v>6.916666666666667</v>
      </c>
      <c r="X161" s="197">
        <v>0.6</v>
      </c>
      <c r="Y161" s="197">
        <v>7.4</v>
      </c>
    </row>
    <row r="162" spans="1:25">
      <c r="A162" s="331">
        <v>40480</v>
      </c>
      <c r="B162" s="329">
        <v>41.9</v>
      </c>
      <c r="C162" s="329">
        <f t="shared" si="8"/>
        <v>41.866666666666667</v>
      </c>
      <c r="D162" s="329">
        <v>43.3</v>
      </c>
      <c r="E162" s="329">
        <f t="shared" ref="E162:E225" si="9">AVERAGEIFS($D$33:$D$1494,$A$33:$A$1494,A162)</f>
        <v>43.316666666666663</v>
      </c>
      <c r="F162" s="329">
        <v>11.1</v>
      </c>
      <c r="G162" s="329">
        <f t="shared" ref="G162:G225" si="10">AVERAGEIFS($F$33:$F$1494,$A$33:$A$1494,A162)</f>
        <v>11.050000000000002</v>
      </c>
      <c r="H162" s="329">
        <v>10.9</v>
      </c>
      <c r="I162" s="329">
        <f t="shared" ref="I162:I225" si="11">AVERAGEIFS($H$33:$H$1494,$A$33:$A$1494,A162)</f>
        <v>11.083333333333334</v>
      </c>
      <c r="L162" s="331">
        <v>40480</v>
      </c>
      <c r="M162" s="329">
        <v>41.866666666666667</v>
      </c>
      <c r="N162" s="329">
        <v>43.316666666666663</v>
      </c>
      <c r="O162" s="329">
        <v>11.050000000000002</v>
      </c>
      <c r="P162" s="329">
        <v>11.083333333333334</v>
      </c>
      <c r="S162" s="331">
        <v>40589</v>
      </c>
      <c r="T162" s="329">
        <v>47.033333333333331</v>
      </c>
      <c r="U162" s="329">
        <v>45.566666666666663</v>
      </c>
      <c r="V162" s="329">
        <v>7.0333333333333323</v>
      </c>
      <c r="W162" s="329">
        <v>6.833333333333333</v>
      </c>
      <c r="X162" s="197">
        <v>0.2</v>
      </c>
      <c r="Y162" s="197">
        <v>9.4</v>
      </c>
    </row>
    <row r="163" spans="1:25">
      <c r="A163" s="331">
        <v>40480</v>
      </c>
      <c r="B163" s="329">
        <v>41.7</v>
      </c>
      <c r="C163" s="329">
        <f t="shared" si="8"/>
        <v>41.866666666666667</v>
      </c>
      <c r="D163" s="329">
        <v>43.3</v>
      </c>
      <c r="E163" s="329">
        <f t="shared" si="9"/>
        <v>43.316666666666663</v>
      </c>
      <c r="F163" s="329">
        <v>12.5</v>
      </c>
      <c r="G163" s="329">
        <f t="shared" si="10"/>
        <v>11.050000000000002</v>
      </c>
      <c r="H163" s="329">
        <v>11.1</v>
      </c>
      <c r="I163" s="329">
        <f t="shared" si="11"/>
        <v>11.083333333333334</v>
      </c>
      <c r="L163" s="331">
        <v>40480</v>
      </c>
      <c r="M163" s="329">
        <v>41.866666666666667</v>
      </c>
      <c r="N163" s="329">
        <v>43.316666666666663</v>
      </c>
      <c r="O163" s="329">
        <v>11.050000000000002</v>
      </c>
      <c r="P163" s="329">
        <v>11.083333333333334</v>
      </c>
      <c r="S163" s="331">
        <v>40590</v>
      </c>
      <c r="T163" s="329">
        <v>46.866666666666667</v>
      </c>
      <c r="U163" s="329">
        <v>45.466666666666669</v>
      </c>
      <c r="V163" s="329">
        <v>7.6000000000000005</v>
      </c>
      <c r="W163" s="329">
        <v>7.1500000000000012</v>
      </c>
      <c r="X163" s="197">
        <v>0</v>
      </c>
      <c r="Y163" s="197">
        <v>9</v>
      </c>
    </row>
    <row r="164" spans="1:25">
      <c r="A164" s="331">
        <v>40480</v>
      </c>
      <c r="B164" s="329">
        <v>41.7</v>
      </c>
      <c r="C164" s="329">
        <f t="shared" si="8"/>
        <v>41.866666666666667</v>
      </c>
      <c r="D164" s="329">
        <v>43.2</v>
      </c>
      <c r="E164" s="329">
        <f t="shared" si="9"/>
        <v>43.316666666666663</v>
      </c>
      <c r="F164" s="329">
        <v>12.5</v>
      </c>
      <c r="G164" s="329">
        <f t="shared" si="10"/>
        <v>11.050000000000002</v>
      </c>
      <c r="H164" s="329">
        <v>11.5</v>
      </c>
      <c r="I164" s="329">
        <f t="shared" si="11"/>
        <v>11.083333333333334</v>
      </c>
      <c r="L164" s="331">
        <v>40480</v>
      </c>
      <c r="M164" s="329">
        <v>41.866666666666667</v>
      </c>
      <c r="N164" s="329">
        <v>43.316666666666663</v>
      </c>
      <c r="O164" s="329">
        <v>11.050000000000002</v>
      </c>
      <c r="P164" s="329">
        <v>11.083333333333334</v>
      </c>
      <c r="S164" s="331">
        <v>40591</v>
      </c>
      <c r="T164" s="329">
        <v>46.766666666666659</v>
      </c>
      <c r="U164" s="329">
        <v>45.4</v>
      </c>
      <c r="V164" s="329">
        <v>7.416666666666667</v>
      </c>
      <c r="W164" s="329">
        <v>7.2166666666666677</v>
      </c>
      <c r="X164" s="197">
        <v>0</v>
      </c>
      <c r="Y164" s="197">
        <v>7.7</v>
      </c>
    </row>
    <row r="165" spans="1:25">
      <c r="A165" s="331">
        <v>40481</v>
      </c>
      <c r="B165" s="329">
        <v>41.6</v>
      </c>
      <c r="C165" s="329">
        <f t="shared" si="8"/>
        <v>41.516666666666673</v>
      </c>
      <c r="D165" s="329">
        <v>43.2</v>
      </c>
      <c r="E165" s="329">
        <f t="shared" si="9"/>
        <v>43.233333333333341</v>
      </c>
      <c r="F165" s="329">
        <v>12.4</v>
      </c>
      <c r="G165" s="329">
        <f t="shared" si="10"/>
        <v>12.35</v>
      </c>
      <c r="H165" s="329">
        <v>11.7</v>
      </c>
      <c r="I165" s="329">
        <f t="shared" si="11"/>
        <v>11.916666666666666</v>
      </c>
      <c r="L165" s="331">
        <v>40481</v>
      </c>
      <c r="M165" s="329">
        <v>41.516666666666673</v>
      </c>
      <c r="N165" s="329">
        <v>43.233333333333341</v>
      </c>
      <c r="O165" s="329">
        <v>12.35</v>
      </c>
      <c r="P165" s="329">
        <v>11.916666666666666</v>
      </c>
      <c r="S165" s="331">
        <v>40592</v>
      </c>
      <c r="T165" s="329">
        <v>46.616666666666674</v>
      </c>
      <c r="U165" s="329">
        <v>45.416666666666664</v>
      </c>
      <c r="V165" s="329">
        <v>7.8666666666666671</v>
      </c>
      <c r="W165" s="329">
        <v>7.3166666666666664</v>
      </c>
      <c r="X165" s="197">
        <v>0</v>
      </c>
      <c r="Y165" s="197">
        <v>9.1</v>
      </c>
    </row>
    <row r="166" spans="1:25">
      <c r="A166" s="331">
        <v>40481</v>
      </c>
      <c r="B166" s="329">
        <v>41.6</v>
      </c>
      <c r="C166" s="329">
        <f t="shared" si="8"/>
        <v>41.516666666666673</v>
      </c>
      <c r="D166" s="329">
        <v>43.2</v>
      </c>
      <c r="E166" s="329">
        <f t="shared" si="9"/>
        <v>43.233333333333341</v>
      </c>
      <c r="F166" s="329">
        <v>12.3</v>
      </c>
      <c r="G166" s="329">
        <f t="shared" si="10"/>
        <v>12.35</v>
      </c>
      <c r="H166" s="329">
        <v>11.9</v>
      </c>
      <c r="I166" s="329">
        <f t="shared" si="11"/>
        <v>11.916666666666666</v>
      </c>
      <c r="L166" s="331">
        <v>40481</v>
      </c>
      <c r="M166" s="329">
        <v>41.516666666666673</v>
      </c>
      <c r="N166" s="329">
        <v>43.233333333333341</v>
      </c>
      <c r="O166" s="329">
        <v>12.35</v>
      </c>
      <c r="P166" s="329">
        <v>11.916666666666666</v>
      </c>
      <c r="S166" s="331">
        <v>40593</v>
      </c>
      <c r="T166" s="329">
        <v>46.533333333333339</v>
      </c>
      <c r="U166" s="329">
        <v>45.199999999999996</v>
      </c>
      <c r="V166" s="329">
        <v>7.0666666666666664</v>
      </c>
      <c r="W166" s="329">
        <v>7.2333333333333334</v>
      </c>
      <c r="X166" s="197">
        <v>3.8</v>
      </c>
      <c r="Y166" s="197">
        <v>7.3</v>
      </c>
    </row>
    <row r="167" spans="1:25">
      <c r="A167" s="331">
        <v>40481</v>
      </c>
      <c r="B167" s="329">
        <v>41.6</v>
      </c>
      <c r="C167" s="329">
        <f t="shared" si="8"/>
        <v>41.516666666666673</v>
      </c>
      <c r="D167" s="329">
        <v>43.5</v>
      </c>
      <c r="E167" s="329">
        <f t="shared" si="9"/>
        <v>43.233333333333341</v>
      </c>
      <c r="F167" s="329">
        <v>11.8</v>
      </c>
      <c r="G167" s="329">
        <f t="shared" si="10"/>
        <v>12.35</v>
      </c>
      <c r="H167" s="329">
        <v>11.9</v>
      </c>
      <c r="I167" s="329">
        <f t="shared" si="11"/>
        <v>11.916666666666666</v>
      </c>
      <c r="L167" s="331">
        <v>40481</v>
      </c>
      <c r="M167" s="329">
        <v>41.516666666666673</v>
      </c>
      <c r="N167" s="329">
        <v>43.233333333333341</v>
      </c>
      <c r="O167" s="329">
        <v>12.35</v>
      </c>
      <c r="P167" s="329">
        <v>11.916666666666666</v>
      </c>
      <c r="S167" s="331">
        <v>40594</v>
      </c>
      <c r="T167" s="329">
        <v>46.433333333333337</v>
      </c>
      <c r="U167" s="329">
        <v>45.133333333333333</v>
      </c>
      <c r="V167" s="329">
        <v>8.2000000000000011</v>
      </c>
      <c r="W167" s="329">
        <v>7.4833333333333343</v>
      </c>
      <c r="X167" s="197">
        <v>0</v>
      </c>
      <c r="Y167" s="197">
        <v>9</v>
      </c>
    </row>
    <row r="168" spans="1:25">
      <c r="A168" s="331">
        <v>40481</v>
      </c>
      <c r="B168" s="329">
        <v>41.5</v>
      </c>
      <c r="C168" s="329">
        <f t="shared" ref="C168:C231" si="12">AVERAGEIFS($B$33:$B$1494,$A$33:$A$1494,A168)</f>
        <v>41.516666666666673</v>
      </c>
      <c r="D168" s="329">
        <v>43.2</v>
      </c>
      <c r="E168" s="329">
        <f t="shared" si="9"/>
        <v>43.233333333333341</v>
      </c>
      <c r="F168" s="329">
        <v>11.9</v>
      </c>
      <c r="G168" s="329">
        <f t="shared" si="10"/>
        <v>12.35</v>
      </c>
      <c r="H168" s="329">
        <v>11.9</v>
      </c>
      <c r="I168" s="329">
        <f t="shared" si="11"/>
        <v>11.916666666666666</v>
      </c>
      <c r="L168" s="331">
        <v>40481</v>
      </c>
      <c r="M168" s="329">
        <v>41.516666666666673</v>
      </c>
      <c r="N168" s="329">
        <v>43.233333333333341</v>
      </c>
      <c r="O168" s="329">
        <v>12.35</v>
      </c>
      <c r="P168" s="329">
        <v>11.916666666666666</v>
      </c>
      <c r="S168" s="331">
        <v>40595</v>
      </c>
      <c r="T168" s="329">
        <v>48.583333333333336</v>
      </c>
      <c r="U168" s="329">
        <v>45.1</v>
      </c>
      <c r="V168" s="329">
        <v>7.7666666666666657</v>
      </c>
      <c r="W168" s="329">
        <v>7.6000000000000005</v>
      </c>
      <c r="X168" s="197">
        <v>10.7</v>
      </c>
      <c r="Y168" s="197">
        <v>9.1999999999999993</v>
      </c>
    </row>
    <row r="169" spans="1:25">
      <c r="A169" s="331">
        <v>40481</v>
      </c>
      <c r="B169" s="329">
        <v>41.4</v>
      </c>
      <c r="C169" s="329">
        <f t="shared" si="12"/>
        <v>41.516666666666673</v>
      </c>
      <c r="D169" s="329">
        <v>43.1</v>
      </c>
      <c r="E169" s="329">
        <f t="shared" si="9"/>
        <v>43.233333333333341</v>
      </c>
      <c r="F169" s="329">
        <v>13</v>
      </c>
      <c r="G169" s="329">
        <f t="shared" si="10"/>
        <v>12.35</v>
      </c>
      <c r="H169" s="329">
        <v>11.9</v>
      </c>
      <c r="I169" s="329">
        <f t="shared" si="11"/>
        <v>11.916666666666666</v>
      </c>
      <c r="L169" s="331">
        <v>40481</v>
      </c>
      <c r="M169" s="329">
        <v>41.516666666666673</v>
      </c>
      <c r="N169" s="329">
        <v>43.233333333333341</v>
      </c>
      <c r="O169" s="329">
        <v>12.35</v>
      </c>
      <c r="P169" s="329">
        <v>11.916666666666666</v>
      </c>
      <c r="S169" s="331">
        <v>40596</v>
      </c>
      <c r="T169" s="329">
        <v>61.083333333333336</v>
      </c>
      <c r="U169" s="329">
        <v>45.566666666666663</v>
      </c>
      <c r="V169" s="329">
        <v>8.5</v>
      </c>
      <c r="W169" s="329">
        <v>7.8499999999999988</v>
      </c>
      <c r="X169" s="197">
        <v>3.2</v>
      </c>
      <c r="Y169" s="197">
        <v>8.5</v>
      </c>
    </row>
    <row r="170" spans="1:25">
      <c r="A170" s="331">
        <v>40481</v>
      </c>
      <c r="B170" s="329">
        <v>41.4</v>
      </c>
      <c r="C170" s="329">
        <f t="shared" si="12"/>
        <v>41.516666666666673</v>
      </c>
      <c r="D170" s="329">
        <v>43.2</v>
      </c>
      <c r="E170" s="329">
        <f t="shared" si="9"/>
        <v>43.233333333333341</v>
      </c>
      <c r="F170" s="329">
        <v>12.7</v>
      </c>
      <c r="G170" s="329">
        <f t="shared" si="10"/>
        <v>12.35</v>
      </c>
      <c r="H170" s="329">
        <v>12.2</v>
      </c>
      <c r="I170" s="329">
        <f t="shared" si="11"/>
        <v>11.916666666666666</v>
      </c>
      <c r="L170" s="331">
        <v>40481</v>
      </c>
      <c r="M170" s="329">
        <v>41.516666666666673</v>
      </c>
      <c r="N170" s="329">
        <v>43.233333333333341</v>
      </c>
      <c r="O170" s="329">
        <v>12.35</v>
      </c>
      <c r="P170" s="329">
        <v>11.916666666666666</v>
      </c>
      <c r="S170" s="331">
        <v>40597</v>
      </c>
      <c r="T170" s="329">
        <v>54.300000000000004</v>
      </c>
      <c r="U170" s="329">
        <v>45.949999999999996</v>
      </c>
      <c r="V170" s="329">
        <v>8.1</v>
      </c>
      <c r="W170" s="329">
        <v>7.7833333333333323</v>
      </c>
      <c r="X170" s="197">
        <v>2.6</v>
      </c>
      <c r="Y170" s="197">
        <v>9</v>
      </c>
    </row>
    <row r="171" spans="1:25">
      <c r="A171" s="331">
        <v>40482</v>
      </c>
      <c r="B171" s="329">
        <v>41.4</v>
      </c>
      <c r="C171" s="329">
        <f t="shared" si="12"/>
        <v>41.383333333333333</v>
      </c>
      <c r="D171" s="329">
        <v>43.1</v>
      </c>
      <c r="E171" s="329">
        <f t="shared" si="9"/>
        <v>43.033333333333331</v>
      </c>
      <c r="F171" s="329">
        <v>12</v>
      </c>
      <c r="G171" s="329">
        <f t="shared" si="10"/>
        <v>11.466666666666667</v>
      </c>
      <c r="H171" s="329">
        <v>12.2</v>
      </c>
      <c r="I171" s="329">
        <f t="shared" si="11"/>
        <v>11.933333333333332</v>
      </c>
      <c r="L171" s="331">
        <v>40482</v>
      </c>
      <c r="M171" s="329">
        <v>41.383333333333333</v>
      </c>
      <c r="N171" s="329">
        <v>43.033333333333331</v>
      </c>
      <c r="O171" s="329">
        <v>11.466666666666667</v>
      </c>
      <c r="P171" s="329">
        <v>11.933333333333332</v>
      </c>
      <c r="S171" s="331">
        <v>40598</v>
      </c>
      <c r="T171" s="329">
        <v>59.783333333333331</v>
      </c>
      <c r="U171" s="329">
        <v>46.166666666666664</v>
      </c>
      <c r="V171" s="329">
        <v>9.15</v>
      </c>
      <c r="W171" s="329">
        <v>8.1666666666666661</v>
      </c>
      <c r="X171" s="197">
        <v>0.6</v>
      </c>
      <c r="Y171" s="197">
        <v>11.1</v>
      </c>
    </row>
    <row r="172" spans="1:25">
      <c r="A172" s="331">
        <v>40482</v>
      </c>
      <c r="B172" s="329">
        <v>41.4</v>
      </c>
      <c r="C172" s="329">
        <f t="shared" si="12"/>
        <v>41.383333333333333</v>
      </c>
      <c r="D172" s="329">
        <v>43.1</v>
      </c>
      <c r="E172" s="329">
        <f t="shared" si="9"/>
        <v>43.033333333333331</v>
      </c>
      <c r="F172" s="329">
        <v>11.3</v>
      </c>
      <c r="G172" s="329">
        <f t="shared" si="10"/>
        <v>11.466666666666667</v>
      </c>
      <c r="H172" s="329">
        <v>12.1</v>
      </c>
      <c r="I172" s="329">
        <f t="shared" si="11"/>
        <v>11.933333333333332</v>
      </c>
      <c r="L172" s="331">
        <v>40482</v>
      </c>
      <c r="M172" s="329">
        <v>41.383333333333333</v>
      </c>
      <c r="N172" s="329">
        <v>43.033333333333331</v>
      </c>
      <c r="O172" s="329">
        <v>11.466666666666667</v>
      </c>
      <c r="P172" s="329">
        <v>11.933333333333332</v>
      </c>
      <c r="S172" s="331">
        <v>40599</v>
      </c>
      <c r="T172" s="329">
        <v>51.716666666666661</v>
      </c>
      <c r="U172" s="329">
        <v>46.283333333333331</v>
      </c>
      <c r="V172" s="329">
        <v>9.75</v>
      </c>
      <c r="W172" s="329">
        <v>8.7333333333333325</v>
      </c>
      <c r="X172" s="197">
        <v>0</v>
      </c>
      <c r="Y172" s="197">
        <v>10.7</v>
      </c>
    </row>
    <row r="173" spans="1:25">
      <c r="A173" s="331">
        <v>40482</v>
      </c>
      <c r="B173" s="329">
        <v>41.4</v>
      </c>
      <c r="C173" s="329">
        <f t="shared" si="12"/>
        <v>41.383333333333333</v>
      </c>
      <c r="D173" s="329">
        <v>43</v>
      </c>
      <c r="E173" s="329">
        <f t="shared" si="9"/>
        <v>43.033333333333331</v>
      </c>
      <c r="F173" s="329">
        <v>10.8</v>
      </c>
      <c r="G173" s="329">
        <f t="shared" si="10"/>
        <v>11.466666666666667</v>
      </c>
      <c r="H173" s="329">
        <v>12</v>
      </c>
      <c r="I173" s="329">
        <f t="shared" si="11"/>
        <v>11.933333333333332</v>
      </c>
      <c r="L173" s="331">
        <v>40482</v>
      </c>
      <c r="M173" s="329">
        <v>41.383333333333333</v>
      </c>
      <c r="N173" s="329">
        <v>43.033333333333331</v>
      </c>
      <c r="O173" s="329">
        <v>11.466666666666667</v>
      </c>
      <c r="P173" s="329">
        <v>11.933333333333332</v>
      </c>
      <c r="S173" s="331">
        <v>40600</v>
      </c>
      <c r="T173" s="329">
        <v>50.083333333333336</v>
      </c>
      <c r="U173" s="329">
        <v>46.199999999999996</v>
      </c>
      <c r="V173" s="329">
        <v>8.7833333333333332</v>
      </c>
      <c r="W173" s="329">
        <v>8.6666666666666661</v>
      </c>
      <c r="X173" s="197">
        <v>4</v>
      </c>
      <c r="Y173" s="197">
        <v>9.3000000000000007</v>
      </c>
    </row>
    <row r="174" spans="1:25">
      <c r="A174" s="331">
        <v>40482</v>
      </c>
      <c r="B174" s="329">
        <v>41.5</v>
      </c>
      <c r="C174" s="329">
        <f t="shared" si="12"/>
        <v>41.383333333333333</v>
      </c>
      <c r="D174" s="329">
        <v>43</v>
      </c>
      <c r="E174" s="329">
        <f t="shared" si="9"/>
        <v>43.033333333333331</v>
      </c>
      <c r="F174" s="329">
        <v>11.1</v>
      </c>
      <c r="G174" s="329">
        <f t="shared" si="10"/>
        <v>11.466666666666667</v>
      </c>
      <c r="H174" s="329">
        <v>11.8</v>
      </c>
      <c r="I174" s="329">
        <f t="shared" si="11"/>
        <v>11.933333333333332</v>
      </c>
      <c r="L174" s="331">
        <v>40482</v>
      </c>
      <c r="M174" s="329">
        <v>41.383333333333333</v>
      </c>
      <c r="N174" s="329">
        <v>43.033333333333331</v>
      </c>
      <c r="O174" s="329">
        <v>11.466666666666667</v>
      </c>
      <c r="P174" s="329">
        <v>11.933333333333332</v>
      </c>
      <c r="S174" s="331">
        <v>40601</v>
      </c>
      <c r="T174" s="329">
        <v>53.75</v>
      </c>
      <c r="U174" s="329">
        <v>46.083333333333336</v>
      </c>
      <c r="V174" s="329">
        <v>8.4833333333333325</v>
      </c>
      <c r="W174" s="329">
        <v>8.4333333333333353</v>
      </c>
      <c r="X174" s="197">
        <v>2</v>
      </c>
      <c r="Y174" s="197">
        <v>7.2</v>
      </c>
    </row>
    <row r="175" spans="1:25">
      <c r="A175" s="331">
        <v>40482</v>
      </c>
      <c r="B175" s="329">
        <v>41.3</v>
      </c>
      <c r="C175" s="329">
        <f t="shared" si="12"/>
        <v>41.383333333333333</v>
      </c>
      <c r="D175" s="329">
        <v>43</v>
      </c>
      <c r="E175" s="329">
        <f t="shared" si="9"/>
        <v>43.033333333333331</v>
      </c>
      <c r="F175" s="329">
        <v>11.8</v>
      </c>
      <c r="G175" s="329">
        <f t="shared" si="10"/>
        <v>11.466666666666667</v>
      </c>
      <c r="H175" s="329">
        <v>11.7</v>
      </c>
      <c r="I175" s="329">
        <f t="shared" si="11"/>
        <v>11.933333333333332</v>
      </c>
      <c r="L175" s="331">
        <v>40482</v>
      </c>
      <c r="M175" s="329">
        <v>41.383333333333333</v>
      </c>
      <c r="N175" s="329">
        <v>43.033333333333331</v>
      </c>
      <c r="O175" s="329">
        <v>11.466666666666667</v>
      </c>
      <c r="P175" s="329">
        <v>11.933333333333332</v>
      </c>
      <c r="S175" s="331">
        <v>40602</v>
      </c>
      <c r="T175" s="329">
        <v>61.666666666666664</v>
      </c>
      <c r="U175" s="329">
        <v>46.15</v>
      </c>
      <c r="V175" s="329">
        <v>7.2833333333333323</v>
      </c>
      <c r="W175" s="329">
        <v>7.75</v>
      </c>
      <c r="X175" s="197">
        <v>0.6</v>
      </c>
      <c r="Y175" s="197">
        <v>6.1</v>
      </c>
    </row>
    <row r="176" spans="1:25">
      <c r="A176" s="331">
        <v>40482</v>
      </c>
      <c r="B176" s="329">
        <v>41.3</v>
      </c>
      <c r="C176" s="329">
        <f t="shared" si="12"/>
        <v>41.383333333333333</v>
      </c>
      <c r="D176" s="329">
        <v>43</v>
      </c>
      <c r="E176" s="329">
        <f t="shared" si="9"/>
        <v>43.033333333333331</v>
      </c>
      <c r="F176" s="329">
        <v>11.8</v>
      </c>
      <c r="G176" s="329">
        <f t="shared" si="10"/>
        <v>11.466666666666667</v>
      </c>
      <c r="H176" s="329">
        <v>11.8</v>
      </c>
      <c r="I176" s="329">
        <f t="shared" si="11"/>
        <v>11.933333333333332</v>
      </c>
      <c r="L176" s="331">
        <v>40482</v>
      </c>
      <c r="M176" s="329">
        <v>41.383333333333333</v>
      </c>
      <c r="N176" s="329">
        <v>43.033333333333331</v>
      </c>
      <c r="O176" s="329">
        <v>11.466666666666667</v>
      </c>
      <c r="P176" s="329">
        <v>11.933333333333332</v>
      </c>
      <c r="S176" s="331">
        <v>40603</v>
      </c>
      <c r="T176" s="329">
        <v>52.433333333333337</v>
      </c>
      <c r="U176" s="329">
        <v>46.416666666666664</v>
      </c>
      <c r="V176" s="329">
        <v>6.4666666666666659</v>
      </c>
      <c r="W176" s="329">
        <v>7.2166666666666659</v>
      </c>
      <c r="X176" s="197">
        <v>0.2</v>
      </c>
      <c r="Y176" s="197">
        <v>4.7</v>
      </c>
    </row>
    <row r="177" spans="1:25">
      <c r="A177" s="331">
        <v>40483</v>
      </c>
      <c r="B177" s="329">
        <v>41.3</v>
      </c>
      <c r="C177" s="329">
        <f t="shared" si="12"/>
        <v>42.416666666666664</v>
      </c>
      <c r="D177" s="329">
        <v>42.9</v>
      </c>
      <c r="E177" s="329">
        <f t="shared" si="9"/>
        <v>43.04999999999999</v>
      </c>
      <c r="F177" s="329">
        <v>11.5</v>
      </c>
      <c r="G177" s="329">
        <f t="shared" si="10"/>
        <v>11.716666666666667</v>
      </c>
      <c r="H177" s="329">
        <v>11.8</v>
      </c>
      <c r="I177" s="329">
        <f t="shared" si="11"/>
        <v>11.816666666666668</v>
      </c>
      <c r="L177" s="331">
        <v>40483</v>
      </c>
      <c r="M177" s="329">
        <v>42.416666666666664</v>
      </c>
      <c r="N177" s="329">
        <v>43.04999999999999</v>
      </c>
      <c r="O177" s="329">
        <v>11.716666666666667</v>
      </c>
      <c r="P177" s="329">
        <v>11.816666666666668</v>
      </c>
      <c r="S177" s="331">
        <v>40604</v>
      </c>
      <c r="T177" s="329">
        <v>50.833333333333336</v>
      </c>
      <c r="U177" s="329">
        <v>46.300000000000004</v>
      </c>
      <c r="V177" s="329">
        <v>6.1166666666666671</v>
      </c>
      <c r="W177" s="329">
        <v>6.75</v>
      </c>
      <c r="X177" s="197">
        <v>0</v>
      </c>
      <c r="Y177" s="197">
        <v>4.7</v>
      </c>
    </row>
    <row r="178" spans="1:25">
      <c r="A178" s="331">
        <v>40483</v>
      </c>
      <c r="B178" s="329">
        <v>41.3</v>
      </c>
      <c r="C178" s="329">
        <f t="shared" si="12"/>
        <v>42.416666666666664</v>
      </c>
      <c r="D178" s="329">
        <v>42.9</v>
      </c>
      <c r="E178" s="329">
        <f t="shared" si="9"/>
        <v>43.04999999999999</v>
      </c>
      <c r="F178" s="329">
        <v>11.4</v>
      </c>
      <c r="G178" s="329">
        <f t="shared" si="10"/>
        <v>11.716666666666667</v>
      </c>
      <c r="H178" s="329">
        <v>11.8</v>
      </c>
      <c r="I178" s="329">
        <f t="shared" si="11"/>
        <v>11.816666666666668</v>
      </c>
      <c r="L178" s="331">
        <v>40483</v>
      </c>
      <c r="M178" s="329">
        <v>42.416666666666664</v>
      </c>
      <c r="N178" s="329">
        <v>43.04999999999999</v>
      </c>
      <c r="O178" s="329">
        <v>11.716666666666667</v>
      </c>
      <c r="P178" s="329">
        <v>11.816666666666668</v>
      </c>
      <c r="S178" s="331">
        <v>40605</v>
      </c>
      <c r="T178" s="329">
        <v>50.216666666666661</v>
      </c>
      <c r="U178" s="329">
        <v>46.216666666666661</v>
      </c>
      <c r="V178" s="329">
        <v>5.6833333333333336</v>
      </c>
      <c r="W178" s="329">
        <v>6.3833333333333329</v>
      </c>
      <c r="X178" s="197">
        <v>1.8</v>
      </c>
      <c r="Y178" s="197">
        <v>3.7</v>
      </c>
    </row>
    <row r="179" spans="1:25">
      <c r="A179" s="331">
        <v>40483</v>
      </c>
      <c r="B179" s="329">
        <v>41.3</v>
      </c>
      <c r="C179" s="329">
        <f t="shared" si="12"/>
        <v>42.416666666666664</v>
      </c>
      <c r="D179" s="329">
        <v>42.9</v>
      </c>
      <c r="E179" s="329">
        <f t="shared" si="9"/>
        <v>43.04999999999999</v>
      </c>
      <c r="F179" s="329">
        <v>11.5</v>
      </c>
      <c r="G179" s="329">
        <f t="shared" si="10"/>
        <v>11.716666666666667</v>
      </c>
      <c r="H179" s="329">
        <v>11.8</v>
      </c>
      <c r="I179" s="329">
        <f t="shared" si="11"/>
        <v>11.816666666666668</v>
      </c>
      <c r="L179" s="331">
        <v>40483</v>
      </c>
      <c r="M179" s="329">
        <v>42.416666666666664</v>
      </c>
      <c r="N179" s="329">
        <v>43.04999999999999</v>
      </c>
      <c r="O179" s="329">
        <v>11.716666666666667</v>
      </c>
      <c r="P179" s="329">
        <v>11.816666666666668</v>
      </c>
      <c r="S179" s="331">
        <v>40606</v>
      </c>
      <c r="T179" s="329">
        <v>49.733333333333327</v>
      </c>
      <c r="U179" s="329">
        <v>46.116666666666667</v>
      </c>
      <c r="V179" s="329">
        <v>5.45</v>
      </c>
      <c r="W179" s="329">
        <v>6.0333333333333341</v>
      </c>
      <c r="X179" s="197">
        <v>0.2</v>
      </c>
      <c r="Y179" s="197">
        <v>6.8</v>
      </c>
    </row>
    <row r="180" spans="1:25">
      <c r="A180" s="331">
        <v>40483</v>
      </c>
      <c r="B180" s="329">
        <v>43.7</v>
      </c>
      <c r="C180" s="329">
        <f t="shared" si="12"/>
        <v>42.416666666666664</v>
      </c>
      <c r="D180" s="329">
        <v>43.2</v>
      </c>
      <c r="E180" s="329">
        <f t="shared" si="9"/>
        <v>43.04999999999999</v>
      </c>
      <c r="F180" s="329">
        <v>11.6</v>
      </c>
      <c r="G180" s="329">
        <f t="shared" si="10"/>
        <v>11.716666666666667</v>
      </c>
      <c r="H180" s="329">
        <v>11.8</v>
      </c>
      <c r="I180" s="329">
        <f t="shared" si="11"/>
        <v>11.816666666666668</v>
      </c>
      <c r="L180" s="331">
        <v>40483</v>
      </c>
      <c r="M180" s="329">
        <v>42.416666666666664</v>
      </c>
      <c r="N180" s="329">
        <v>43.04999999999999</v>
      </c>
      <c r="O180" s="329">
        <v>11.716666666666667</v>
      </c>
      <c r="P180" s="329">
        <v>11.816666666666668</v>
      </c>
      <c r="S180" s="331">
        <v>40607</v>
      </c>
      <c r="T180" s="329">
        <v>49.383333333333333</v>
      </c>
      <c r="U180" s="329">
        <v>45.866666666666667</v>
      </c>
      <c r="V180" s="329">
        <v>6.0666666666666664</v>
      </c>
      <c r="W180" s="329">
        <v>6.2333333333333334</v>
      </c>
      <c r="X180" s="197">
        <v>0</v>
      </c>
      <c r="Y180" s="197">
        <v>8.1</v>
      </c>
    </row>
    <row r="181" spans="1:25">
      <c r="A181" s="331">
        <v>40483</v>
      </c>
      <c r="B181" s="329">
        <v>43.5</v>
      </c>
      <c r="C181" s="329">
        <f t="shared" si="12"/>
        <v>42.416666666666664</v>
      </c>
      <c r="D181" s="329">
        <v>43.1</v>
      </c>
      <c r="E181" s="329">
        <f t="shared" si="9"/>
        <v>43.04999999999999</v>
      </c>
      <c r="F181" s="329">
        <v>12.1</v>
      </c>
      <c r="G181" s="329">
        <f t="shared" si="10"/>
        <v>11.716666666666667</v>
      </c>
      <c r="H181" s="329">
        <v>11.8</v>
      </c>
      <c r="I181" s="329">
        <f t="shared" si="11"/>
        <v>11.816666666666668</v>
      </c>
      <c r="L181" s="331">
        <v>40483</v>
      </c>
      <c r="M181" s="329">
        <v>42.416666666666664</v>
      </c>
      <c r="N181" s="329">
        <v>43.04999999999999</v>
      </c>
      <c r="O181" s="329">
        <v>11.716666666666667</v>
      </c>
      <c r="P181" s="329">
        <v>11.816666666666668</v>
      </c>
      <c r="S181" s="331">
        <v>40608</v>
      </c>
      <c r="T181" s="329">
        <v>49.066666666666663</v>
      </c>
      <c r="U181" s="329">
        <v>45.766666666666659</v>
      </c>
      <c r="V181" s="329">
        <v>6.5333333333333341</v>
      </c>
      <c r="W181" s="329">
        <v>6.4833333333333334</v>
      </c>
      <c r="X181" s="197">
        <v>0</v>
      </c>
      <c r="Y181" s="197">
        <v>7.4</v>
      </c>
    </row>
    <row r="182" spans="1:25">
      <c r="A182" s="331">
        <v>40483</v>
      </c>
      <c r="B182" s="329">
        <v>43.4</v>
      </c>
      <c r="C182" s="329">
        <f t="shared" si="12"/>
        <v>42.416666666666664</v>
      </c>
      <c r="D182" s="329">
        <v>43.3</v>
      </c>
      <c r="E182" s="329">
        <f t="shared" si="9"/>
        <v>43.04999999999999</v>
      </c>
      <c r="F182" s="329">
        <v>12.2</v>
      </c>
      <c r="G182" s="329">
        <f t="shared" si="10"/>
        <v>11.716666666666667</v>
      </c>
      <c r="H182" s="329">
        <v>11.9</v>
      </c>
      <c r="I182" s="329">
        <f t="shared" si="11"/>
        <v>11.816666666666668</v>
      </c>
      <c r="L182" s="331">
        <v>40483</v>
      </c>
      <c r="M182" s="329">
        <v>42.416666666666664</v>
      </c>
      <c r="N182" s="329">
        <v>43.04999999999999</v>
      </c>
      <c r="O182" s="329">
        <v>11.716666666666667</v>
      </c>
      <c r="P182" s="329">
        <v>11.816666666666668</v>
      </c>
      <c r="S182" s="331">
        <v>40609</v>
      </c>
      <c r="T182" s="329">
        <v>49.116666666666667</v>
      </c>
      <c r="U182" s="329">
        <v>45.666666666666664</v>
      </c>
      <c r="V182" s="329">
        <v>6.2833333333333341</v>
      </c>
      <c r="W182" s="329">
        <v>6.5</v>
      </c>
      <c r="X182" s="197">
        <v>0</v>
      </c>
      <c r="Y182" s="197">
        <v>9.1</v>
      </c>
    </row>
    <row r="183" spans="1:25">
      <c r="A183" s="331">
        <v>40484</v>
      </c>
      <c r="B183" s="329">
        <v>43.3</v>
      </c>
      <c r="C183" s="329">
        <f t="shared" si="12"/>
        <v>43.116666666666667</v>
      </c>
      <c r="D183" s="329">
        <v>43.4</v>
      </c>
      <c r="E183" s="329">
        <f t="shared" si="9"/>
        <v>43.599999999999994</v>
      </c>
      <c r="F183" s="329">
        <v>12</v>
      </c>
      <c r="G183" s="329">
        <f t="shared" si="10"/>
        <v>12.15</v>
      </c>
      <c r="H183" s="329">
        <v>12</v>
      </c>
      <c r="I183" s="329">
        <f t="shared" si="11"/>
        <v>11.983333333333333</v>
      </c>
      <c r="L183" s="331">
        <v>40484</v>
      </c>
      <c r="M183" s="329">
        <v>43.116666666666667</v>
      </c>
      <c r="N183" s="329">
        <v>43.599999999999994</v>
      </c>
      <c r="O183" s="329">
        <v>12.15</v>
      </c>
      <c r="P183" s="329">
        <v>11.983333333333333</v>
      </c>
      <c r="S183" s="331">
        <v>40610</v>
      </c>
      <c r="T183" s="329">
        <v>48.68333333333333</v>
      </c>
      <c r="U183" s="329">
        <v>45.533333333333331</v>
      </c>
      <c r="V183" s="329">
        <v>7.7666666666666657</v>
      </c>
      <c r="W183" s="329">
        <v>7.0166666666666657</v>
      </c>
      <c r="X183" s="197">
        <v>0</v>
      </c>
      <c r="Y183" s="197">
        <v>10.199999999999999</v>
      </c>
    </row>
    <row r="184" spans="1:25">
      <c r="A184" s="331">
        <v>40484</v>
      </c>
      <c r="B184" s="329">
        <v>43.2</v>
      </c>
      <c r="C184" s="329">
        <f t="shared" si="12"/>
        <v>43.116666666666667</v>
      </c>
      <c r="D184" s="329">
        <v>43.6</v>
      </c>
      <c r="E184" s="329">
        <f t="shared" si="9"/>
        <v>43.599999999999994</v>
      </c>
      <c r="F184" s="329">
        <v>11.8</v>
      </c>
      <c r="G184" s="329">
        <f t="shared" si="10"/>
        <v>12.15</v>
      </c>
      <c r="H184" s="329">
        <v>12</v>
      </c>
      <c r="I184" s="329">
        <f t="shared" si="11"/>
        <v>11.983333333333333</v>
      </c>
      <c r="L184" s="331">
        <v>40484</v>
      </c>
      <c r="M184" s="329">
        <v>43.116666666666667</v>
      </c>
      <c r="N184" s="329">
        <v>43.599999999999994</v>
      </c>
      <c r="O184" s="329">
        <v>12.15</v>
      </c>
      <c r="P184" s="329">
        <v>11.983333333333333</v>
      </c>
      <c r="S184" s="331">
        <v>40611</v>
      </c>
      <c r="T184" s="329">
        <v>48.116666666666667</v>
      </c>
      <c r="U184" s="329">
        <v>45.366666666666667</v>
      </c>
      <c r="V184" s="329">
        <v>8.0833333333333339</v>
      </c>
      <c r="W184" s="329">
        <v>7.45</v>
      </c>
      <c r="X184" s="197">
        <v>0</v>
      </c>
      <c r="Y184" s="197">
        <v>10.4</v>
      </c>
    </row>
    <row r="185" spans="1:25">
      <c r="A185" s="331">
        <v>40484</v>
      </c>
      <c r="B185" s="329">
        <v>43.2</v>
      </c>
      <c r="C185" s="329">
        <f t="shared" si="12"/>
        <v>43.116666666666667</v>
      </c>
      <c r="D185" s="329">
        <v>43.7</v>
      </c>
      <c r="E185" s="329">
        <f t="shared" si="9"/>
        <v>43.599999999999994</v>
      </c>
      <c r="F185" s="329">
        <v>11.5</v>
      </c>
      <c r="G185" s="329">
        <f t="shared" si="10"/>
        <v>12.15</v>
      </c>
      <c r="H185" s="329">
        <v>12</v>
      </c>
      <c r="I185" s="329">
        <f t="shared" si="11"/>
        <v>11.983333333333333</v>
      </c>
      <c r="L185" s="331">
        <v>40484</v>
      </c>
      <c r="M185" s="329">
        <v>43.116666666666667</v>
      </c>
      <c r="N185" s="329">
        <v>43.599999999999994</v>
      </c>
      <c r="O185" s="329">
        <v>12.15</v>
      </c>
      <c r="P185" s="329">
        <v>11.983333333333333</v>
      </c>
      <c r="S185" s="331">
        <v>40612</v>
      </c>
      <c r="T185" s="329">
        <v>47.566666666666663</v>
      </c>
      <c r="U185" s="329">
        <v>45.416666666666664</v>
      </c>
      <c r="V185" s="329">
        <v>7.6333333333333329</v>
      </c>
      <c r="W185" s="329">
        <v>7.5166666666666666</v>
      </c>
      <c r="X185" s="197">
        <v>0</v>
      </c>
      <c r="Y185" s="197">
        <v>7.7</v>
      </c>
    </row>
    <row r="186" spans="1:25">
      <c r="A186" s="331">
        <v>40484</v>
      </c>
      <c r="B186" s="329">
        <v>43.2</v>
      </c>
      <c r="C186" s="329">
        <f t="shared" si="12"/>
        <v>43.116666666666667</v>
      </c>
      <c r="D186" s="329">
        <v>43.7</v>
      </c>
      <c r="E186" s="329">
        <f t="shared" si="9"/>
        <v>43.599999999999994</v>
      </c>
      <c r="F186" s="329">
        <v>11.7</v>
      </c>
      <c r="G186" s="329">
        <f t="shared" si="10"/>
        <v>12.15</v>
      </c>
      <c r="H186" s="329">
        <v>11.9</v>
      </c>
      <c r="I186" s="329">
        <f t="shared" si="11"/>
        <v>11.983333333333333</v>
      </c>
      <c r="L186" s="331">
        <v>40484</v>
      </c>
      <c r="M186" s="329">
        <v>43.116666666666667</v>
      </c>
      <c r="N186" s="329">
        <v>43.599999999999994</v>
      </c>
      <c r="O186" s="329">
        <v>12.15</v>
      </c>
      <c r="P186" s="329">
        <v>11.983333333333333</v>
      </c>
      <c r="S186" s="331">
        <v>40613</v>
      </c>
      <c r="T186" s="329">
        <v>47.033333333333331</v>
      </c>
      <c r="U186" s="329">
        <v>45.233333333333327</v>
      </c>
      <c r="V186" s="329">
        <v>7.2833333333333341</v>
      </c>
      <c r="W186" s="329">
        <v>7.2666666666666657</v>
      </c>
      <c r="X186" s="197">
        <v>0</v>
      </c>
      <c r="Y186" s="197">
        <v>8.3000000000000007</v>
      </c>
    </row>
    <row r="187" spans="1:25">
      <c r="A187" s="331">
        <v>40484</v>
      </c>
      <c r="B187" s="329">
        <v>42.9</v>
      </c>
      <c r="C187" s="329">
        <f t="shared" si="12"/>
        <v>43.116666666666667</v>
      </c>
      <c r="D187" s="329">
        <v>43.6</v>
      </c>
      <c r="E187" s="329">
        <f t="shared" si="9"/>
        <v>43.599999999999994</v>
      </c>
      <c r="F187" s="329">
        <v>13.1</v>
      </c>
      <c r="G187" s="329">
        <f t="shared" si="10"/>
        <v>12.15</v>
      </c>
      <c r="H187" s="329">
        <v>11.9</v>
      </c>
      <c r="I187" s="329">
        <f t="shared" si="11"/>
        <v>11.983333333333333</v>
      </c>
      <c r="L187" s="331">
        <v>40484</v>
      </c>
      <c r="M187" s="329">
        <v>43.116666666666667</v>
      </c>
      <c r="N187" s="329">
        <v>43.599999999999994</v>
      </c>
      <c r="O187" s="329">
        <v>12.15</v>
      </c>
      <c r="P187" s="329">
        <v>11.983333333333333</v>
      </c>
      <c r="S187" s="331">
        <v>40614</v>
      </c>
      <c r="T187" s="329">
        <v>46.966666666666669</v>
      </c>
      <c r="U187" s="329">
        <v>45.1</v>
      </c>
      <c r="V187" s="329">
        <v>8.4</v>
      </c>
      <c r="W187" s="329">
        <v>7.7333333333333334</v>
      </c>
      <c r="X187" s="197">
        <v>6.8</v>
      </c>
      <c r="Y187" s="197">
        <v>10.9</v>
      </c>
    </row>
    <row r="188" spans="1:25">
      <c r="A188" s="331">
        <v>40484</v>
      </c>
      <c r="B188" s="329">
        <v>42.9</v>
      </c>
      <c r="C188" s="329">
        <f t="shared" si="12"/>
        <v>43.116666666666667</v>
      </c>
      <c r="D188" s="329">
        <v>43.6</v>
      </c>
      <c r="E188" s="329">
        <f t="shared" si="9"/>
        <v>43.599999999999994</v>
      </c>
      <c r="F188" s="329">
        <v>12.8</v>
      </c>
      <c r="G188" s="329">
        <f t="shared" si="10"/>
        <v>12.15</v>
      </c>
      <c r="H188" s="329">
        <v>12.1</v>
      </c>
      <c r="I188" s="329">
        <f t="shared" si="11"/>
        <v>11.983333333333333</v>
      </c>
      <c r="L188" s="331">
        <v>40484</v>
      </c>
      <c r="M188" s="329">
        <v>43.116666666666667</v>
      </c>
      <c r="N188" s="329">
        <v>43.599999999999994</v>
      </c>
      <c r="O188" s="329">
        <v>12.15</v>
      </c>
      <c r="P188" s="329">
        <v>11.983333333333333</v>
      </c>
      <c r="S188" s="331">
        <v>40615</v>
      </c>
      <c r="T188" s="329">
        <v>48.93333333333333</v>
      </c>
      <c r="U188" s="329">
        <v>45.066666666666663</v>
      </c>
      <c r="V188" s="329">
        <v>9.3166666666666682</v>
      </c>
      <c r="W188" s="329">
        <v>8.2333333333333325</v>
      </c>
      <c r="X188" s="197">
        <v>0</v>
      </c>
      <c r="Y188" s="197">
        <v>12.2</v>
      </c>
    </row>
    <row r="189" spans="1:25">
      <c r="A189" s="331">
        <v>40485</v>
      </c>
      <c r="B189" s="329">
        <v>42.9</v>
      </c>
      <c r="C189" s="329">
        <f t="shared" si="12"/>
        <v>42.85</v>
      </c>
      <c r="D189" s="329">
        <v>43.6</v>
      </c>
      <c r="E189" s="329">
        <f t="shared" si="9"/>
        <v>43.6</v>
      </c>
      <c r="F189" s="329">
        <v>12.6</v>
      </c>
      <c r="G189" s="329">
        <f t="shared" si="10"/>
        <v>12.833333333333334</v>
      </c>
      <c r="H189" s="329">
        <v>12.3</v>
      </c>
      <c r="I189" s="329">
        <f t="shared" si="11"/>
        <v>12.366666666666667</v>
      </c>
      <c r="L189" s="331">
        <v>40485</v>
      </c>
      <c r="M189" s="329">
        <v>42.85</v>
      </c>
      <c r="N189" s="329">
        <v>43.6</v>
      </c>
      <c r="O189" s="329">
        <v>12.833333333333334</v>
      </c>
      <c r="P189" s="329">
        <v>12.366666666666667</v>
      </c>
      <c r="S189" s="331">
        <v>40616</v>
      </c>
      <c r="T189" s="329">
        <v>46.816666666666663</v>
      </c>
      <c r="U189" s="329">
        <v>44.933333333333337</v>
      </c>
      <c r="V189" s="329">
        <v>9.9666666666666668</v>
      </c>
      <c r="W189" s="329">
        <v>8.8666666666666671</v>
      </c>
      <c r="X189" s="197">
        <v>0</v>
      </c>
      <c r="Y189" s="197">
        <v>13.3</v>
      </c>
    </row>
    <row r="190" spans="1:25">
      <c r="A190" s="331">
        <v>40485</v>
      </c>
      <c r="B190" s="329">
        <v>42.9</v>
      </c>
      <c r="C190" s="329">
        <f t="shared" si="12"/>
        <v>42.85</v>
      </c>
      <c r="D190" s="329">
        <v>43.6</v>
      </c>
      <c r="E190" s="329">
        <f t="shared" si="9"/>
        <v>43.6</v>
      </c>
      <c r="F190" s="329">
        <v>12.4</v>
      </c>
      <c r="G190" s="329">
        <f t="shared" si="10"/>
        <v>12.833333333333334</v>
      </c>
      <c r="H190" s="329">
        <v>12.3</v>
      </c>
      <c r="I190" s="329">
        <f t="shared" si="11"/>
        <v>12.366666666666667</v>
      </c>
      <c r="L190" s="331">
        <v>40485</v>
      </c>
      <c r="M190" s="329">
        <v>42.85</v>
      </c>
      <c r="N190" s="329">
        <v>43.6</v>
      </c>
      <c r="O190" s="329">
        <v>12.833333333333334</v>
      </c>
      <c r="P190" s="329">
        <v>12.366666666666667</v>
      </c>
      <c r="S190" s="331">
        <v>40617</v>
      </c>
      <c r="T190" s="329">
        <v>46.016666666666659</v>
      </c>
      <c r="U190" s="329">
        <v>44.800000000000004</v>
      </c>
      <c r="V190" s="329">
        <v>10.616666666666665</v>
      </c>
      <c r="W190" s="329">
        <v>9.4333333333333336</v>
      </c>
      <c r="X190" s="197">
        <v>8.8000000000000007</v>
      </c>
      <c r="Y190" s="197">
        <v>13.2</v>
      </c>
    </row>
    <row r="191" spans="1:25">
      <c r="A191" s="331">
        <v>40485</v>
      </c>
      <c r="B191" s="329">
        <v>42.9</v>
      </c>
      <c r="C191" s="329">
        <f t="shared" si="12"/>
        <v>42.85</v>
      </c>
      <c r="D191" s="329">
        <v>43.6</v>
      </c>
      <c r="E191" s="329">
        <f t="shared" si="9"/>
        <v>43.6</v>
      </c>
      <c r="F191" s="329">
        <v>12.3</v>
      </c>
      <c r="G191" s="329">
        <f t="shared" si="10"/>
        <v>12.833333333333334</v>
      </c>
      <c r="H191" s="329">
        <v>12.3</v>
      </c>
      <c r="I191" s="329">
        <f t="shared" si="11"/>
        <v>12.366666666666667</v>
      </c>
      <c r="L191" s="331">
        <v>40485</v>
      </c>
      <c r="M191" s="329">
        <v>42.85</v>
      </c>
      <c r="N191" s="329">
        <v>43.6</v>
      </c>
      <c r="O191" s="329">
        <v>12.833333333333334</v>
      </c>
      <c r="P191" s="329">
        <v>12.366666666666667</v>
      </c>
      <c r="S191" s="331">
        <v>40618</v>
      </c>
      <c r="T191" s="329">
        <v>48.933333333333337</v>
      </c>
      <c r="U191" s="329">
        <v>44.716666666666661</v>
      </c>
      <c r="V191" s="329">
        <v>10.649999999999999</v>
      </c>
      <c r="W191" s="329">
        <v>9.7166666666666668</v>
      </c>
      <c r="X191" s="197">
        <v>1.6</v>
      </c>
      <c r="Y191" s="197">
        <v>11.8</v>
      </c>
    </row>
    <row r="192" spans="1:25">
      <c r="A192" s="331">
        <v>40485</v>
      </c>
      <c r="B192" s="329">
        <v>42.8</v>
      </c>
      <c r="C192" s="329">
        <f t="shared" si="12"/>
        <v>42.85</v>
      </c>
      <c r="D192" s="329">
        <v>43.6</v>
      </c>
      <c r="E192" s="329">
        <f t="shared" si="9"/>
        <v>43.6</v>
      </c>
      <c r="F192" s="329">
        <v>12.6</v>
      </c>
      <c r="G192" s="329">
        <f t="shared" si="10"/>
        <v>12.833333333333334</v>
      </c>
      <c r="H192" s="329">
        <v>12.3</v>
      </c>
      <c r="I192" s="329">
        <f t="shared" si="11"/>
        <v>12.366666666666667</v>
      </c>
      <c r="L192" s="331">
        <v>40485</v>
      </c>
      <c r="M192" s="329">
        <v>42.85</v>
      </c>
      <c r="N192" s="329">
        <v>43.6</v>
      </c>
      <c r="O192" s="329">
        <v>12.833333333333334</v>
      </c>
      <c r="P192" s="329">
        <v>12.366666666666667</v>
      </c>
      <c r="S192" s="331">
        <v>40619</v>
      </c>
      <c r="T192" s="329">
        <v>47.616666666666674</v>
      </c>
      <c r="U192" s="329">
        <v>44.666666666666664</v>
      </c>
      <c r="V192" s="329">
        <v>10.483333333333333</v>
      </c>
      <c r="W192" s="329">
        <v>9.8166666666666682</v>
      </c>
      <c r="X192" s="197">
        <v>0</v>
      </c>
      <c r="Y192" s="197">
        <v>10.9</v>
      </c>
    </row>
    <row r="193" spans="1:25">
      <c r="A193" s="331">
        <v>40485</v>
      </c>
      <c r="B193" s="329">
        <v>42.8</v>
      </c>
      <c r="C193" s="329">
        <f t="shared" si="12"/>
        <v>42.85</v>
      </c>
      <c r="D193" s="329">
        <v>43.6</v>
      </c>
      <c r="E193" s="329">
        <f t="shared" si="9"/>
        <v>43.6</v>
      </c>
      <c r="F193" s="329">
        <v>13.4</v>
      </c>
      <c r="G193" s="329">
        <f t="shared" si="10"/>
        <v>12.833333333333334</v>
      </c>
      <c r="H193" s="329">
        <v>12.4</v>
      </c>
      <c r="I193" s="329">
        <f t="shared" si="11"/>
        <v>12.366666666666667</v>
      </c>
      <c r="L193" s="331">
        <v>40485</v>
      </c>
      <c r="M193" s="329">
        <v>42.85</v>
      </c>
      <c r="N193" s="329">
        <v>43.6</v>
      </c>
      <c r="O193" s="329">
        <v>12.833333333333334</v>
      </c>
      <c r="P193" s="329">
        <v>12.366666666666667</v>
      </c>
      <c r="S193" s="331">
        <v>40620</v>
      </c>
      <c r="T193" s="329">
        <v>46.766666666666673</v>
      </c>
      <c r="U193" s="329">
        <v>44.516666666666673</v>
      </c>
      <c r="V193" s="329">
        <v>9.7333333333333343</v>
      </c>
      <c r="W193" s="329">
        <v>9.466666666666665</v>
      </c>
      <c r="X193" s="197">
        <v>0.2</v>
      </c>
      <c r="Y193" s="197">
        <v>11.1</v>
      </c>
    </row>
    <row r="194" spans="1:25">
      <c r="A194" s="331">
        <v>40485</v>
      </c>
      <c r="B194" s="329">
        <v>42.8</v>
      </c>
      <c r="C194" s="329">
        <f t="shared" si="12"/>
        <v>42.85</v>
      </c>
      <c r="D194" s="329">
        <v>43.6</v>
      </c>
      <c r="E194" s="329">
        <f t="shared" si="9"/>
        <v>43.6</v>
      </c>
      <c r="F194" s="329">
        <v>13.7</v>
      </c>
      <c r="G194" s="329">
        <f t="shared" si="10"/>
        <v>12.833333333333334</v>
      </c>
      <c r="H194" s="329">
        <v>12.6</v>
      </c>
      <c r="I194" s="329">
        <f t="shared" si="11"/>
        <v>12.366666666666667</v>
      </c>
      <c r="L194" s="331">
        <v>40485</v>
      </c>
      <c r="M194" s="329">
        <v>42.85</v>
      </c>
      <c r="N194" s="329">
        <v>43.6</v>
      </c>
      <c r="O194" s="329">
        <v>12.833333333333334</v>
      </c>
      <c r="P194" s="329">
        <v>12.366666666666667</v>
      </c>
      <c r="S194" s="331">
        <v>40621</v>
      </c>
      <c r="T194" s="329">
        <v>46.066666666666663</v>
      </c>
      <c r="U194" s="329">
        <v>44.35</v>
      </c>
      <c r="V194" s="329">
        <v>10.233333333333334</v>
      </c>
      <c r="W194" s="329">
        <v>9.5166666666666675</v>
      </c>
      <c r="X194" s="197">
        <v>0</v>
      </c>
      <c r="Y194" s="197">
        <v>11.6</v>
      </c>
    </row>
    <row r="195" spans="1:25">
      <c r="A195" s="331">
        <v>40486</v>
      </c>
      <c r="B195" s="329">
        <v>42.8</v>
      </c>
      <c r="C195" s="329">
        <f t="shared" si="12"/>
        <v>42.716666666666661</v>
      </c>
      <c r="D195" s="329">
        <v>43.7</v>
      </c>
      <c r="E195" s="329">
        <f t="shared" si="9"/>
        <v>43.733333333333341</v>
      </c>
      <c r="F195" s="329">
        <v>13.6</v>
      </c>
      <c r="G195" s="329">
        <f t="shared" si="10"/>
        <v>13.600000000000001</v>
      </c>
      <c r="H195" s="329">
        <v>12.8</v>
      </c>
      <c r="I195" s="329">
        <f t="shared" si="11"/>
        <v>12.9</v>
      </c>
      <c r="L195" s="331">
        <v>40486</v>
      </c>
      <c r="M195" s="329">
        <v>42.716666666666661</v>
      </c>
      <c r="N195" s="329">
        <v>43.733333333333341</v>
      </c>
      <c r="O195" s="329">
        <v>13.600000000000001</v>
      </c>
      <c r="P195" s="329">
        <v>12.9</v>
      </c>
      <c r="S195" s="331">
        <v>40622</v>
      </c>
      <c r="T195" s="329">
        <v>45.4</v>
      </c>
      <c r="U195" s="329">
        <v>44.133333333333333</v>
      </c>
      <c r="V195" s="329">
        <v>9.9166666666666661</v>
      </c>
      <c r="W195" s="329">
        <v>9.5499999999999989</v>
      </c>
      <c r="X195" s="197">
        <v>0</v>
      </c>
      <c r="Y195" s="197">
        <v>10.1</v>
      </c>
    </row>
    <row r="196" spans="1:25">
      <c r="A196" s="331">
        <v>40486</v>
      </c>
      <c r="B196" s="329">
        <v>42.8</v>
      </c>
      <c r="C196" s="329">
        <f t="shared" si="12"/>
        <v>42.716666666666661</v>
      </c>
      <c r="D196" s="329">
        <v>43.7</v>
      </c>
      <c r="E196" s="329">
        <f t="shared" si="9"/>
        <v>43.733333333333341</v>
      </c>
      <c r="F196" s="329">
        <v>13.1</v>
      </c>
      <c r="G196" s="329">
        <f t="shared" si="10"/>
        <v>13.600000000000001</v>
      </c>
      <c r="H196" s="329">
        <v>12.9</v>
      </c>
      <c r="I196" s="329">
        <f t="shared" si="11"/>
        <v>12.9</v>
      </c>
      <c r="L196" s="331">
        <v>40486</v>
      </c>
      <c r="M196" s="329">
        <v>42.716666666666661</v>
      </c>
      <c r="N196" s="329">
        <v>43.733333333333341</v>
      </c>
      <c r="O196" s="329">
        <v>13.600000000000001</v>
      </c>
      <c r="P196" s="329">
        <v>12.9</v>
      </c>
      <c r="S196" s="331">
        <v>40623</v>
      </c>
      <c r="T196" s="329">
        <v>42.983333333333327</v>
      </c>
      <c r="U196" s="329">
        <v>43.916666666666664</v>
      </c>
      <c r="V196" s="329">
        <v>9.0666666666666647</v>
      </c>
      <c r="W196" s="329">
        <v>9.1833333333333336</v>
      </c>
      <c r="X196" s="197">
        <v>0</v>
      </c>
      <c r="Y196" s="197">
        <v>10.199999999999999</v>
      </c>
    </row>
    <row r="197" spans="1:25">
      <c r="A197" s="331">
        <v>40486</v>
      </c>
      <c r="B197" s="329">
        <v>42.8</v>
      </c>
      <c r="C197" s="329">
        <f t="shared" si="12"/>
        <v>42.716666666666661</v>
      </c>
      <c r="D197" s="329">
        <v>43.7</v>
      </c>
      <c r="E197" s="329">
        <f t="shared" si="9"/>
        <v>43.733333333333341</v>
      </c>
      <c r="F197" s="329">
        <v>13</v>
      </c>
      <c r="G197" s="329">
        <f t="shared" si="10"/>
        <v>13.600000000000001</v>
      </c>
      <c r="H197" s="329">
        <v>12.8</v>
      </c>
      <c r="I197" s="329">
        <f t="shared" si="11"/>
        <v>12.9</v>
      </c>
      <c r="L197" s="331">
        <v>40486</v>
      </c>
      <c r="M197" s="329">
        <v>42.716666666666661</v>
      </c>
      <c r="N197" s="329">
        <v>43.733333333333341</v>
      </c>
      <c r="O197" s="329">
        <v>13.600000000000001</v>
      </c>
      <c r="P197" s="329">
        <v>12.9</v>
      </c>
      <c r="S197" s="331">
        <v>40624</v>
      </c>
      <c r="T197" s="329">
        <v>34.283333333333331</v>
      </c>
      <c r="U197" s="329">
        <v>43.583333333333336</v>
      </c>
      <c r="V197" s="329">
        <v>9.2333333333333325</v>
      </c>
      <c r="W197" s="329">
        <v>9</v>
      </c>
      <c r="X197" s="197">
        <v>0</v>
      </c>
      <c r="Y197" s="197">
        <v>11.5</v>
      </c>
    </row>
    <row r="198" spans="1:25">
      <c r="A198" s="331">
        <v>40486</v>
      </c>
      <c r="B198" s="329">
        <v>42.7</v>
      </c>
      <c r="C198" s="329">
        <f t="shared" si="12"/>
        <v>42.716666666666661</v>
      </c>
      <c r="D198" s="329">
        <v>43.8</v>
      </c>
      <c r="E198" s="329">
        <f t="shared" si="9"/>
        <v>43.733333333333341</v>
      </c>
      <c r="F198" s="329">
        <v>13.1</v>
      </c>
      <c r="G198" s="329">
        <f t="shared" si="10"/>
        <v>13.600000000000001</v>
      </c>
      <c r="H198" s="329">
        <v>12.8</v>
      </c>
      <c r="I198" s="329">
        <f t="shared" si="11"/>
        <v>12.9</v>
      </c>
      <c r="L198" s="331">
        <v>40486</v>
      </c>
      <c r="M198" s="329">
        <v>42.716666666666661</v>
      </c>
      <c r="N198" s="329">
        <v>43.733333333333341</v>
      </c>
      <c r="O198" s="329">
        <v>13.600000000000001</v>
      </c>
      <c r="P198" s="329">
        <v>12.9</v>
      </c>
      <c r="S198" s="331">
        <v>40625</v>
      </c>
      <c r="T198" s="329">
        <v>33.483333333333327</v>
      </c>
      <c r="U198" s="329">
        <v>43.166666666666664</v>
      </c>
      <c r="V198" s="329">
        <v>9.1666666666666661</v>
      </c>
      <c r="W198" s="329">
        <v>8.9333333333333336</v>
      </c>
      <c r="X198" s="197">
        <v>0</v>
      </c>
      <c r="Y198" s="197">
        <v>12.1</v>
      </c>
    </row>
    <row r="199" spans="1:25">
      <c r="A199" s="331">
        <v>40486</v>
      </c>
      <c r="B199" s="329">
        <v>42.6</v>
      </c>
      <c r="C199" s="329">
        <f t="shared" si="12"/>
        <v>42.716666666666661</v>
      </c>
      <c r="D199" s="329">
        <v>43.8</v>
      </c>
      <c r="E199" s="329">
        <f t="shared" si="9"/>
        <v>43.733333333333341</v>
      </c>
      <c r="F199" s="329">
        <v>14.5</v>
      </c>
      <c r="G199" s="329">
        <f t="shared" si="10"/>
        <v>13.600000000000001</v>
      </c>
      <c r="H199" s="329">
        <v>12.9</v>
      </c>
      <c r="I199" s="329">
        <f t="shared" si="11"/>
        <v>12.9</v>
      </c>
      <c r="L199" s="331">
        <v>40486</v>
      </c>
      <c r="M199" s="329">
        <v>42.716666666666661</v>
      </c>
      <c r="N199" s="329">
        <v>43.733333333333341</v>
      </c>
      <c r="O199" s="329">
        <v>13.600000000000001</v>
      </c>
      <c r="P199" s="329">
        <v>12.9</v>
      </c>
      <c r="S199" s="331">
        <v>40626</v>
      </c>
      <c r="T199" s="329">
        <v>33.38333333333334</v>
      </c>
      <c r="U199" s="329">
        <v>42.6</v>
      </c>
      <c r="V199" s="329">
        <v>9.3833333333333346</v>
      </c>
      <c r="W199" s="329">
        <v>8.9499999999999993</v>
      </c>
      <c r="X199" s="197">
        <v>0</v>
      </c>
      <c r="Y199" s="197">
        <v>12.7</v>
      </c>
    </row>
    <row r="200" spans="1:25">
      <c r="A200" s="331">
        <v>40486</v>
      </c>
      <c r="B200" s="329">
        <v>42.6</v>
      </c>
      <c r="C200" s="329">
        <f t="shared" si="12"/>
        <v>42.716666666666661</v>
      </c>
      <c r="D200" s="329">
        <v>43.7</v>
      </c>
      <c r="E200" s="329">
        <f t="shared" si="9"/>
        <v>43.733333333333341</v>
      </c>
      <c r="F200" s="329">
        <v>14.3</v>
      </c>
      <c r="G200" s="329">
        <f t="shared" si="10"/>
        <v>13.600000000000001</v>
      </c>
      <c r="H200" s="329">
        <v>13.2</v>
      </c>
      <c r="I200" s="329">
        <f t="shared" si="11"/>
        <v>12.9</v>
      </c>
      <c r="L200" s="331">
        <v>40486</v>
      </c>
      <c r="M200" s="329">
        <v>42.716666666666661</v>
      </c>
      <c r="N200" s="329">
        <v>43.733333333333341</v>
      </c>
      <c r="O200" s="329">
        <v>13.600000000000001</v>
      </c>
      <c r="P200" s="329">
        <v>12.9</v>
      </c>
      <c r="S200" s="331">
        <v>40627</v>
      </c>
      <c r="T200" s="329">
        <v>32.883333333333333</v>
      </c>
      <c r="U200" s="329">
        <v>42.016666666666659</v>
      </c>
      <c r="V200" s="329">
        <v>9.9833333333333343</v>
      </c>
      <c r="W200" s="329">
        <v>9.2666666666666657</v>
      </c>
      <c r="X200" s="197">
        <v>0</v>
      </c>
      <c r="Y200" s="197">
        <v>12.1</v>
      </c>
    </row>
    <row r="201" spans="1:25">
      <c r="A201" s="331">
        <v>40487</v>
      </c>
      <c r="B201" s="329">
        <v>42.6</v>
      </c>
      <c r="C201" s="329">
        <f t="shared" si="12"/>
        <v>42.533333333333331</v>
      </c>
      <c r="D201" s="329">
        <v>43.8</v>
      </c>
      <c r="E201" s="329">
        <f t="shared" si="9"/>
        <v>43.9</v>
      </c>
      <c r="F201" s="329">
        <v>13.9</v>
      </c>
      <c r="G201" s="329">
        <f t="shared" si="10"/>
        <v>13.899999999999999</v>
      </c>
      <c r="H201" s="329">
        <v>13.3</v>
      </c>
      <c r="I201" s="329">
        <f t="shared" si="11"/>
        <v>13.333333333333336</v>
      </c>
      <c r="L201" s="331">
        <v>40487</v>
      </c>
      <c r="M201" s="329">
        <v>42.533333333333331</v>
      </c>
      <c r="N201" s="329">
        <v>43.9</v>
      </c>
      <c r="O201" s="329">
        <v>13.899999999999999</v>
      </c>
      <c r="P201" s="329">
        <v>13.333333333333336</v>
      </c>
      <c r="S201" s="331">
        <v>40628</v>
      </c>
      <c r="T201" s="329">
        <v>32.199999999999996</v>
      </c>
      <c r="U201" s="329">
        <v>41.516666666666659</v>
      </c>
      <c r="V201" s="329">
        <v>10.6</v>
      </c>
      <c r="W201" s="329">
        <v>9.6666666666666661</v>
      </c>
      <c r="X201" s="197">
        <v>0</v>
      </c>
      <c r="Y201" s="197">
        <v>13.6</v>
      </c>
    </row>
    <row r="202" spans="1:25">
      <c r="A202" s="331">
        <v>40487</v>
      </c>
      <c r="B202" s="329">
        <v>42.6</v>
      </c>
      <c r="C202" s="329">
        <f t="shared" si="12"/>
        <v>42.533333333333331</v>
      </c>
      <c r="D202" s="329">
        <v>43.9</v>
      </c>
      <c r="E202" s="329">
        <f t="shared" si="9"/>
        <v>43.9</v>
      </c>
      <c r="F202" s="329">
        <v>13.8</v>
      </c>
      <c r="G202" s="329">
        <f t="shared" si="10"/>
        <v>13.899999999999999</v>
      </c>
      <c r="H202" s="329">
        <v>13.3</v>
      </c>
      <c r="I202" s="329">
        <f t="shared" si="11"/>
        <v>13.333333333333336</v>
      </c>
      <c r="L202" s="331">
        <v>40487</v>
      </c>
      <c r="M202" s="329">
        <v>42.533333333333331</v>
      </c>
      <c r="N202" s="329">
        <v>43.9</v>
      </c>
      <c r="O202" s="329">
        <v>13.899999999999999</v>
      </c>
      <c r="P202" s="329">
        <v>13.333333333333336</v>
      </c>
      <c r="S202" s="331">
        <v>40629</v>
      </c>
      <c r="T202" s="329">
        <v>32.416666666666664</v>
      </c>
      <c r="U202" s="329">
        <v>41.116666666666667</v>
      </c>
      <c r="V202" s="329">
        <v>11.116666666666667</v>
      </c>
      <c r="W202" s="329">
        <v>10.183333333333332</v>
      </c>
      <c r="X202" s="197">
        <v>4.2</v>
      </c>
      <c r="Y202" s="197">
        <v>12.6</v>
      </c>
    </row>
    <row r="203" spans="1:25">
      <c r="A203" s="331">
        <v>40487</v>
      </c>
      <c r="B203" s="329">
        <v>42.5</v>
      </c>
      <c r="C203" s="329">
        <f t="shared" si="12"/>
        <v>42.533333333333331</v>
      </c>
      <c r="D203" s="329">
        <v>43.9</v>
      </c>
      <c r="E203" s="329">
        <f t="shared" si="9"/>
        <v>43.9</v>
      </c>
      <c r="F203" s="329">
        <v>13.8</v>
      </c>
      <c r="G203" s="329">
        <f t="shared" si="10"/>
        <v>13.899999999999999</v>
      </c>
      <c r="H203" s="329">
        <v>13.3</v>
      </c>
      <c r="I203" s="329">
        <f t="shared" si="11"/>
        <v>13.333333333333336</v>
      </c>
      <c r="L203" s="331">
        <v>40487</v>
      </c>
      <c r="M203" s="329">
        <v>42.533333333333331</v>
      </c>
      <c r="N203" s="329">
        <v>43.9</v>
      </c>
      <c r="O203" s="329">
        <v>13.899999999999999</v>
      </c>
      <c r="P203" s="329">
        <v>13.333333333333336</v>
      </c>
      <c r="S203" s="331">
        <v>40630</v>
      </c>
      <c r="T203" s="329">
        <v>32.316666666666663</v>
      </c>
      <c r="U203" s="329">
        <v>40.966666666666669</v>
      </c>
      <c r="V203" s="329">
        <v>10.966666666666667</v>
      </c>
      <c r="W203" s="329">
        <v>10.283333333333333</v>
      </c>
      <c r="X203" s="197">
        <v>2.6</v>
      </c>
      <c r="Y203" s="197">
        <v>11.4</v>
      </c>
    </row>
    <row r="204" spans="1:25">
      <c r="A204" s="331">
        <v>40487</v>
      </c>
      <c r="B204" s="329">
        <v>42.5</v>
      </c>
      <c r="C204" s="329">
        <f t="shared" si="12"/>
        <v>42.533333333333331</v>
      </c>
      <c r="D204" s="329">
        <v>43.9</v>
      </c>
      <c r="E204" s="329">
        <f t="shared" si="9"/>
        <v>43.9</v>
      </c>
      <c r="F204" s="329">
        <v>13.8</v>
      </c>
      <c r="G204" s="329">
        <f t="shared" si="10"/>
        <v>13.899999999999999</v>
      </c>
      <c r="H204" s="329">
        <v>13.3</v>
      </c>
      <c r="I204" s="329">
        <f t="shared" si="11"/>
        <v>13.333333333333336</v>
      </c>
      <c r="L204" s="331">
        <v>40487</v>
      </c>
      <c r="M204" s="329">
        <v>42.533333333333331</v>
      </c>
      <c r="N204" s="329">
        <v>43.9</v>
      </c>
      <c r="O204" s="329">
        <v>13.899999999999999</v>
      </c>
      <c r="P204" s="329">
        <v>13.333333333333336</v>
      </c>
      <c r="S204" s="331">
        <v>40631</v>
      </c>
      <c r="T204" s="329">
        <v>32.133333333333333</v>
      </c>
      <c r="U204" s="329">
        <v>40.866666666666667</v>
      </c>
      <c r="V204" s="329">
        <v>10.666666666666666</v>
      </c>
      <c r="W204" s="329">
        <v>10.200000000000001</v>
      </c>
      <c r="X204" s="197">
        <v>7.2</v>
      </c>
      <c r="Y204" s="197">
        <v>11.1</v>
      </c>
    </row>
    <row r="205" spans="1:25">
      <c r="A205" s="331">
        <v>40487</v>
      </c>
      <c r="B205" s="329">
        <v>42.5</v>
      </c>
      <c r="C205" s="329">
        <f t="shared" si="12"/>
        <v>42.533333333333331</v>
      </c>
      <c r="D205" s="329">
        <v>43.9</v>
      </c>
      <c r="E205" s="329">
        <f t="shared" si="9"/>
        <v>43.9</v>
      </c>
      <c r="F205" s="329">
        <v>14</v>
      </c>
      <c r="G205" s="329">
        <f t="shared" si="10"/>
        <v>13.899999999999999</v>
      </c>
      <c r="H205" s="329">
        <v>13.4</v>
      </c>
      <c r="I205" s="329">
        <f t="shared" si="11"/>
        <v>13.333333333333336</v>
      </c>
      <c r="L205" s="331">
        <v>40487</v>
      </c>
      <c r="M205" s="329">
        <v>42.533333333333331</v>
      </c>
      <c r="N205" s="329">
        <v>43.9</v>
      </c>
      <c r="O205" s="329">
        <v>13.899999999999999</v>
      </c>
      <c r="P205" s="329">
        <v>13.333333333333336</v>
      </c>
      <c r="S205" s="331">
        <v>40632</v>
      </c>
      <c r="T205" s="329">
        <v>32</v>
      </c>
      <c r="U205" s="329">
        <v>40.916666666666664</v>
      </c>
      <c r="V205" s="329">
        <v>10.533333333333333</v>
      </c>
      <c r="W205" s="329">
        <v>10.1</v>
      </c>
      <c r="X205" s="197">
        <v>2</v>
      </c>
      <c r="Y205" s="197">
        <v>11.9</v>
      </c>
    </row>
    <row r="206" spans="1:25">
      <c r="A206" s="331">
        <v>40487</v>
      </c>
      <c r="B206" s="329">
        <v>42.5</v>
      </c>
      <c r="C206" s="329">
        <f t="shared" si="12"/>
        <v>42.533333333333331</v>
      </c>
      <c r="D206" s="329">
        <v>44</v>
      </c>
      <c r="E206" s="329">
        <f t="shared" si="9"/>
        <v>43.9</v>
      </c>
      <c r="F206" s="329">
        <v>14.1</v>
      </c>
      <c r="G206" s="329">
        <f t="shared" si="10"/>
        <v>13.899999999999999</v>
      </c>
      <c r="H206" s="329">
        <v>13.4</v>
      </c>
      <c r="I206" s="329">
        <f t="shared" si="11"/>
        <v>13.333333333333336</v>
      </c>
      <c r="L206" s="331">
        <v>40487</v>
      </c>
      <c r="M206" s="329">
        <v>42.533333333333331</v>
      </c>
      <c r="N206" s="329">
        <v>43.9</v>
      </c>
      <c r="O206" s="329">
        <v>13.899999999999999</v>
      </c>
      <c r="P206" s="329">
        <v>13.333333333333336</v>
      </c>
      <c r="S206" s="331">
        <v>40633</v>
      </c>
      <c r="T206" s="329">
        <v>32.033333333333331</v>
      </c>
      <c r="U206" s="329">
        <v>40.5</v>
      </c>
      <c r="V206" s="329">
        <v>11.233333333333334</v>
      </c>
      <c r="W206" s="329">
        <v>10.333333333333334</v>
      </c>
      <c r="X206" s="197">
        <v>0.2</v>
      </c>
      <c r="Y206" s="197">
        <v>13.7</v>
      </c>
    </row>
    <row r="207" spans="1:25">
      <c r="A207" s="331">
        <v>40488</v>
      </c>
      <c r="B207" s="329">
        <v>42.5</v>
      </c>
      <c r="C207" s="329">
        <f t="shared" si="12"/>
        <v>42.466666666666669</v>
      </c>
      <c r="D207" s="329">
        <v>44</v>
      </c>
      <c r="E207" s="329">
        <f t="shared" si="9"/>
        <v>44</v>
      </c>
      <c r="F207" s="329">
        <v>13.9</v>
      </c>
      <c r="G207" s="329">
        <f t="shared" si="10"/>
        <v>13.983333333333334</v>
      </c>
      <c r="H207" s="329">
        <v>13.5</v>
      </c>
      <c r="I207" s="329">
        <f t="shared" si="11"/>
        <v>13.5</v>
      </c>
      <c r="L207" s="331">
        <v>40488</v>
      </c>
      <c r="M207" s="329">
        <v>42.466666666666669</v>
      </c>
      <c r="N207" s="329">
        <v>44</v>
      </c>
      <c r="O207" s="329">
        <v>13.983333333333334</v>
      </c>
      <c r="P207" s="329">
        <v>13.5</v>
      </c>
      <c r="S207" s="331">
        <v>40634</v>
      </c>
      <c r="T207" s="329">
        <v>31.950000000000003</v>
      </c>
      <c r="U207" s="329">
        <v>40.133333333333333</v>
      </c>
      <c r="V207" s="329">
        <v>11.433333333333332</v>
      </c>
      <c r="W207" s="329">
        <v>10.6</v>
      </c>
      <c r="X207" s="197">
        <v>0.2</v>
      </c>
      <c r="Y207" s="197">
        <v>15.3</v>
      </c>
    </row>
    <row r="208" spans="1:25">
      <c r="A208" s="331">
        <v>40488</v>
      </c>
      <c r="B208" s="329">
        <v>42.5</v>
      </c>
      <c r="C208" s="329">
        <f t="shared" si="12"/>
        <v>42.466666666666669</v>
      </c>
      <c r="D208" s="329">
        <v>44</v>
      </c>
      <c r="E208" s="329">
        <f t="shared" si="9"/>
        <v>44</v>
      </c>
      <c r="F208" s="329">
        <v>13.8</v>
      </c>
      <c r="G208" s="329">
        <f t="shared" si="10"/>
        <v>13.983333333333334</v>
      </c>
      <c r="H208" s="329">
        <v>13.5</v>
      </c>
      <c r="I208" s="329">
        <f t="shared" si="11"/>
        <v>13.5</v>
      </c>
      <c r="L208" s="331">
        <v>40488</v>
      </c>
      <c r="M208" s="329">
        <v>42.466666666666669</v>
      </c>
      <c r="N208" s="329">
        <v>44</v>
      </c>
      <c r="O208" s="329">
        <v>13.983333333333334</v>
      </c>
      <c r="P208" s="329">
        <v>13.5</v>
      </c>
      <c r="S208" s="331">
        <v>40635</v>
      </c>
      <c r="T208" s="329">
        <v>31.733333333333334</v>
      </c>
      <c r="U208" s="329">
        <v>39.799999999999997</v>
      </c>
      <c r="V208" s="329">
        <v>12.316666666666665</v>
      </c>
      <c r="W208" s="329">
        <v>11.100000000000001</v>
      </c>
      <c r="X208" s="197">
        <v>0</v>
      </c>
      <c r="Y208" s="197">
        <v>14.7</v>
      </c>
    </row>
    <row r="209" spans="1:25">
      <c r="A209" s="331">
        <v>40488</v>
      </c>
      <c r="B209" s="329">
        <v>42.5</v>
      </c>
      <c r="C209" s="329">
        <f t="shared" si="12"/>
        <v>42.466666666666669</v>
      </c>
      <c r="D209" s="329">
        <v>44</v>
      </c>
      <c r="E209" s="329">
        <f t="shared" si="9"/>
        <v>44</v>
      </c>
      <c r="F209" s="329">
        <v>13.7</v>
      </c>
      <c r="G209" s="329">
        <f t="shared" si="10"/>
        <v>13.983333333333334</v>
      </c>
      <c r="H209" s="329">
        <v>13.5</v>
      </c>
      <c r="I209" s="329">
        <f t="shared" si="11"/>
        <v>13.5</v>
      </c>
      <c r="L209" s="331">
        <v>40488</v>
      </c>
      <c r="M209" s="329">
        <v>42.466666666666669</v>
      </c>
      <c r="N209" s="329">
        <v>44</v>
      </c>
      <c r="O209" s="329">
        <v>13.983333333333334</v>
      </c>
      <c r="P209" s="329">
        <v>13.5</v>
      </c>
      <c r="S209" s="331">
        <v>40636</v>
      </c>
      <c r="T209" s="329">
        <v>31.5</v>
      </c>
      <c r="U209" s="329">
        <v>39.550000000000004</v>
      </c>
      <c r="V209" s="329">
        <v>12.566666666666665</v>
      </c>
      <c r="W209" s="329">
        <v>11.533333333333333</v>
      </c>
      <c r="X209" s="197">
        <v>0</v>
      </c>
      <c r="Y209" s="197">
        <v>13.6</v>
      </c>
    </row>
    <row r="210" spans="1:25">
      <c r="A210" s="331">
        <v>40488</v>
      </c>
      <c r="B210" s="329">
        <v>42.5</v>
      </c>
      <c r="C210" s="329">
        <f t="shared" si="12"/>
        <v>42.466666666666669</v>
      </c>
      <c r="D210" s="329">
        <v>44</v>
      </c>
      <c r="E210" s="329">
        <f t="shared" si="9"/>
        <v>44</v>
      </c>
      <c r="F210" s="329">
        <v>13.8</v>
      </c>
      <c r="G210" s="329">
        <f t="shared" si="10"/>
        <v>13.983333333333334</v>
      </c>
      <c r="H210" s="329">
        <v>13.4</v>
      </c>
      <c r="I210" s="329">
        <f t="shared" si="11"/>
        <v>13.5</v>
      </c>
      <c r="L210" s="331">
        <v>40488</v>
      </c>
      <c r="M210" s="329">
        <v>42.466666666666669</v>
      </c>
      <c r="N210" s="329">
        <v>44</v>
      </c>
      <c r="O210" s="329">
        <v>13.983333333333334</v>
      </c>
      <c r="P210" s="329">
        <v>13.5</v>
      </c>
      <c r="S210" s="331">
        <v>40637</v>
      </c>
      <c r="T210" s="329">
        <v>31.349999999999998</v>
      </c>
      <c r="U210" s="329">
        <v>39.383333333333333</v>
      </c>
      <c r="V210" s="329">
        <v>12.050000000000002</v>
      </c>
      <c r="W210" s="329">
        <v>11.399999999999999</v>
      </c>
      <c r="X210" s="197">
        <v>0</v>
      </c>
      <c r="Y210" s="197">
        <v>12.8</v>
      </c>
    </row>
    <row r="211" spans="1:25">
      <c r="A211" s="331">
        <v>40488</v>
      </c>
      <c r="B211" s="329">
        <v>42.4</v>
      </c>
      <c r="C211" s="329">
        <f t="shared" si="12"/>
        <v>42.466666666666669</v>
      </c>
      <c r="D211" s="329">
        <v>44</v>
      </c>
      <c r="E211" s="329">
        <f t="shared" si="9"/>
        <v>44</v>
      </c>
      <c r="F211" s="329">
        <v>14.4</v>
      </c>
      <c r="G211" s="329">
        <f t="shared" si="10"/>
        <v>13.983333333333334</v>
      </c>
      <c r="H211" s="329">
        <v>13.5</v>
      </c>
      <c r="I211" s="329">
        <f t="shared" si="11"/>
        <v>13.5</v>
      </c>
      <c r="L211" s="331">
        <v>40488</v>
      </c>
      <c r="M211" s="329">
        <v>42.466666666666669</v>
      </c>
      <c r="N211" s="329">
        <v>44</v>
      </c>
      <c r="O211" s="329">
        <v>13.983333333333334</v>
      </c>
      <c r="P211" s="329">
        <v>13.5</v>
      </c>
      <c r="S211" s="331">
        <v>40638</v>
      </c>
      <c r="T211" s="329">
        <v>31.000000000000004</v>
      </c>
      <c r="U211" s="329">
        <v>38.983333333333334</v>
      </c>
      <c r="V211" s="329">
        <v>11.016666666666666</v>
      </c>
      <c r="W211" s="329">
        <v>10.9</v>
      </c>
      <c r="X211" s="197">
        <v>0</v>
      </c>
      <c r="Y211" s="197">
        <v>13.4</v>
      </c>
    </row>
    <row r="212" spans="1:25">
      <c r="A212" s="331">
        <v>40488</v>
      </c>
      <c r="B212" s="329">
        <v>42.4</v>
      </c>
      <c r="C212" s="329">
        <f t="shared" si="12"/>
        <v>42.466666666666669</v>
      </c>
      <c r="D212" s="329">
        <v>44</v>
      </c>
      <c r="E212" s="329">
        <f t="shared" si="9"/>
        <v>44</v>
      </c>
      <c r="F212" s="329">
        <v>14.3</v>
      </c>
      <c r="G212" s="329">
        <f t="shared" si="10"/>
        <v>13.983333333333334</v>
      </c>
      <c r="H212" s="329">
        <v>13.6</v>
      </c>
      <c r="I212" s="329">
        <f t="shared" si="11"/>
        <v>13.5</v>
      </c>
      <c r="L212" s="331">
        <v>40488</v>
      </c>
      <c r="M212" s="329">
        <v>42.466666666666669</v>
      </c>
      <c r="N212" s="329">
        <v>44</v>
      </c>
      <c r="O212" s="329">
        <v>13.983333333333334</v>
      </c>
      <c r="P212" s="329">
        <v>13.5</v>
      </c>
      <c r="S212" s="331">
        <v>40639</v>
      </c>
      <c r="T212" s="329">
        <v>30.600000000000005</v>
      </c>
      <c r="U212" s="329">
        <v>38.433333333333337</v>
      </c>
      <c r="V212" s="329">
        <v>11.166666666666666</v>
      </c>
      <c r="W212" s="329">
        <v>10.666666666666666</v>
      </c>
      <c r="X212" s="197">
        <v>0</v>
      </c>
      <c r="Y212" s="197">
        <v>16.8</v>
      </c>
    </row>
    <row r="213" spans="1:25">
      <c r="A213" s="331">
        <v>40489</v>
      </c>
      <c r="B213" s="329">
        <v>42.4</v>
      </c>
      <c r="C213" s="329">
        <f t="shared" si="12"/>
        <v>42.35</v>
      </c>
      <c r="D213" s="329">
        <v>44</v>
      </c>
      <c r="E213" s="329">
        <f t="shared" si="9"/>
        <v>44.033333333333331</v>
      </c>
      <c r="F213" s="329">
        <v>13.9</v>
      </c>
      <c r="G213" s="329">
        <f t="shared" si="10"/>
        <v>13.216666666666667</v>
      </c>
      <c r="H213" s="329">
        <v>13.6</v>
      </c>
      <c r="I213" s="329">
        <f t="shared" si="11"/>
        <v>13.433333333333335</v>
      </c>
      <c r="L213" s="331">
        <v>40489</v>
      </c>
      <c r="M213" s="329">
        <v>42.35</v>
      </c>
      <c r="N213" s="329">
        <v>44.033333333333331</v>
      </c>
      <c r="O213" s="329">
        <v>13.216666666666667</v>
      </c>
      <c r="P213" s="329">
        <v>13.433333333333335</v>
      </c>
      <c r="S213" s="331">
        <v>40640</v>
      </c>
      <c r="T213" s="329">
        <v>30.100000000000005</v>
      </c>
      <c r="U213" s="329">
        <v>37.699999999999996</v>
      </c>
      <c r="V213" s="329">
        <v>12.41666666666667</v>
      </c>
      <c r="W213" s="329">
        <v>11.233333333333333</v>
      </c>
      <c r="X213" s="197">
        <v>0</v>
      </c>
      <c r="Y213" s="197">
        <v>18.899999999999999</v>
      </c>
    </row>
    <row r="214" spans="1:25">
      <c r="A214" s="331">
        <v>40489</v>
      </c>
      <c r="B214" s="329">
        <v>42.4</v>
      </c>
      <c r="C214" s="329">
        <f t="shared" si="12"/>
        <v>42.35</v>
      </c>
      <c r="D214" s="329">
        <v>44</v>
      </c>
      <c r="E214" s="329">
        <f t="shared" si="9"/>
        <v>44.033333333333331</v>
      </c>
      <c r="F214" s="329">
        <v>13.6</v>
      </c>
      <c r="G214" s="329">
        <f t="shared" si="10"/>
        <v>13.216666666666667</v>
      </c>
      <c r="H214" s="329">
        <v>13.6</v>
      </c>
      <c r="I214" s="329">
        <f t="shared" si="11"/>
        <v>13.433333333333335</v>
      </c>
      <c r="L214" s="331">
        <v>40489</v>
      </c>
      <c r="M214" s="329">
        <v>42.35</v>
      </c>
      <c r="N214" s="329">
        <v>44.033333333333331</v>
      </c>
      <c r="O214" s="329">
        <v>13.216666666666667</v>
      </c>
      <c r="P214" s="329">
        <v>13.433333333333335</v>
      </c>
      <c r="S214" s="331">
        <v>40641</v>
      </c>
      <c r="T214" s="329">
        <v>29.600000000000005</v>
      </c>
      <c r="U214" s="329">
        <v>37.000000000000007</v>
      </c>
      <c r="V214" s="329">
        <v>13.333333333333334</v>
      </c>
      <c r="W214" s="329">
        <v>11.966666666666667</v>
      </c>
      <c r="X214" s="197">
        <v>0</v>
      </c>
      <c r="Y214" s="197">
        <v>19.100000000000001</v>
      </c>
    </row>
    <row r="215" spans="1:25">
      <c r="A215" s="331">
        <v>40489</v>
      </c>
      <c r="B215" s="329">
        <v>42.4</v>
      </c>
      <c r="C215" s="329">
        <f t="shared" si="12"/>
        <v>42.35</v>
      </c>
      <c r="D215" s="329">
        <v>44.1</v>
      </c>
      <c r="E215" s="329">
        <f t="shared" si="9"/>
        <v>44.033333333333331</v>
      </c>
      <c r="F215" s="329">
        <v>13.3</v>
      </c>
      <c r="G215" s="329">
        <f t="shared" si="10"/>
        <v>13.216666666666667</v>
      </c>
      <c r="H215" s="329">
        <v>13.5</v>
      </c>
      <c r="I215" s="329">
        <f t="shared" si="11"/>
        <v>13.433333333333335</v>
      </c>
      <c r="L215" s="331">
        <v>40489</v>
      </c>
      <c r="M215" s="329">
        <v>42.35</v>
      </c>
      <c r="N215" s="329">
        <v>44.033333333333331</v>
      </c>
      <c r="O215" s="329">
        <v>13.216666666666667</v>
      </c>
      <c r="P215" s="329">
        <v>13.433333333333335</v>
      </c>
      <c r="S215" s="331">
        <v>40642</v>
      </c>
      <c r="T215" s="329">
        <v>29.033333333333335</v>
      </c>
      <c r="U215" s="329">
        <v>36.15</v>
      </c>
      <c r="V215" s="329">
        <v>13.566666666666665</v>
      </c>
      <c r="W215" s="329">
        <v>12.366666666666667</v>
      </c>
      <c r="X215" s="197">
        <v>0</v>
      </c>
      <c r="Y215" s="197">
        <v>19.100000000000001</v>
      </c>
    </row>
    <row r="216" spans="1:25">
      <c r="A216" s="331">
        <v>40489</v>
      </c>
      <c r="B216" s="329">
        <v>42.3</v>
      </c>
      <c r="C216" s="329">
        <f t="shared" si="12"/>
        <v>42.35</v>
      </c>
      <c r="D216" s="329">
        <v>44</v>
      </c>
      <c r="E216" s="329">
        <f t="shared" si="9"/>
        <v>44.033333333333331</v>
      </c>
      <c r="F216" s="329">
        <v>13</v>
      </c>
      <c r="G216" s="329">
        <f t="shared" si="10"/>
        <v>13.216666666666667</v>
      </c>
      <c r="H216" s="329">
        <v>13.4</v>
      </c>
      <c r="I216" s="329">
        <f t="shared" si="11"/>
        <v>13.433333333333335</v>
      </c>
      <c r="L216" s="331">
        <v>40489</v>
      </c>
      <c r="M216" s="329">
        <v>42.35</v>
      </c>
      <c r="N216" s="329">
        <v>44.033333333333331</v>
      </c>
      <c r="O216" s="329">
        <v>13.216666666666667</v>
      </c>
      <c r="P216" s="329">
        <v>13.433333333333335</v>
      </c>
      <c r="S216" s="331">
        <v>40643</v>
      </c>
      <c r="T216" s="329">
        <v>28.816666666666663</v>
      </c>
      <c r="U216" s="329">
        <v>35.4</v>
      </c>
      <c r="V216" s="329">
        <v>13.883333333333333</v>
      </c>
      <c r="W216" s="329">
        <v>12.816666666666668</v>
      </c>
      <c r="X216" s="197">
        <v>0</v>
      </c>
      <c r="Y216" s="197">
        <v>14.9</v>
      </c>
    </row>
    <row r="217" spans="1:25">
      <c r="A217" s="331">
        <v>40489</v>
      </c>
      <c r="B217" s="329">
        <v>42.3</v>
      </c>
      <c r="C217" s="329">
        <f t="shared" si="12"/>
        <v>42.35</v>
      </c>
      <c r="D217" s="329">
        <v>44</v>
      </c>
      <c r="E217" s="329">
        <f t="shared" si="9"/>
        <v>44.033333333333331</v>
      </c>
      <c r="F217" s="329">
        <v>13</v>
      </c>
      <c r="G217" s="329">
        <f t="shared" si="10"/>
        <v>13.216666666666667</v>
      </c>
      <c r="H217" s="329">
        <v>13.3</v>
      </c>
      <c r="I217" s="329">
        <f t="shared" si="11"/>
        <v>13.433333333333335</v>
      </c>
      <c r="L217" s="331">
        <v>40489</v>
      </c>
      <c r="M217" s="329">
        <v>42.35</v>
      </c>
      <c r="N217" s="329">
        <v>44.033333333333331</v>
      </c>
      <c r="O217" s="329">
        <v>13.216666666666667</v>
      </c>
      <c r="P217" s="329">
        <v>13.433333333333335</v>
      </c>
      <c r="S217" s="331">
        <v>40644</v>
      </c>
      <c r="T217" s="329">
        <v>28.45</v>
      </c>
      <c r="U217" s="329">
        <v>35.150000000000006</v>
      </c>
      <c r="V217" s="329">
        <v>13.516666666666666</v>
      </c>
      <c r="W217" s="329">
        <v>12.633333333333333</v>
      </c>
      <c r="X217" s="197">
        <v>0.2</v>
      </c>
      <c r="Y217" s="197">
        <v>15.3</v>
      </c>
    </row>
    <row r="218" spans="1:25">
      <c r="A218" s="331">
        <v>40489</v>
      </c>
      <c r="B218" s="329">
        <v>42.3</v>
      </c>
      <c r="C218" s="329">
        <f t="shared" si="12"/>
        <v>42.35</v>
      </c>
      <c r="D218" s="329">
        <v>44.1</v>
      </c>
      <c r="E218" s="329">
        <f t="shared" si="9"/>
        <v>44.033333333333331</v>
      </c>
      <c r="F218" s="329">
        <v>12.5</v>
      </c>
      <c r="G218" s="329">
        <f t="shared" si="10"/>
        <v>13.216666666666667</v>
      </c>
      <c r="H218" s="329">
        <v>13.2</v>
      </c>
      <c r="I218" s="329">
        <f t="shared" si="11"/>
        <v>13.433333333333335</v>
      </c>
      <c r="L218" s="331">
        <v>40489</v>
      </c>
      <c r="M218" s="329">
        <v>42.35</v>
      </c>
      <c r="N218" s="329">
        <v>44.033333333333331</v>
      </c>
      <c r="O218" s="329">
        <v>13.216666666666667</v>
      </c>
      <c r="P218" s="329">
        <v>13.433333333333335</v>
      </c>
      <c r="S218" s="331">
        <v>40645</v>
      </c>
      <c r="T218" s="329">
        <v>28.066666666666666</v>
      </c>
      <c r="U218" s="329">
        <v>34.616666666666667</v>
      </c>
      <c r="V218" s="329">
        <v>13.233333333333334</v>
      </c>
      <c r="W218" s="329">
        <v>12.6</v>
      </c>
      <c r="X218" s="197">
        <v>1.8</v>
      </c>
      <c r="Y218" s="197">
        <v>13.2</v>
      </c>
    </row>
    <row r="219" spans="1:25">
      <c r="A219" s="331">
        <v>40490</v>
      </c>
      <c r="B219" s="329">
        <v>42.3</v>
      </c>
      <c r="C219" s="329">
        <f t="shared" si="12"/>
        <v>42.43333333333333</v>
      </c>
      <c r="D219" s="329">
        <v>44.1</v>
      </c>
      <c r="E219" s="329">
        <f t="shared" si="9"/>
        <v>44.1</v>
      </c>
      <c r="F219" s="329">
        <v>11.6</v>
      </c>
      <c r="G219" s="329">
        <f t="shared" si="10"/>
        <v>10.683333333333332</v>
      </c>
      <c r="H219" s="329">
        <v>13</v>
      </c>
      <c r="I219" s="329">
        <f t="shared" si="11"/>
        <v>12.216666666666667</v>
      </c>
      <c r="L219" s="331">
        <v>40490</v>
      </c>
      <c r="M219" s="329">
        <v>42.43333333333333</v>
      </c>
      <c r="N219" s="329">
        <v>44.1</v>
      </c>
      <c r="O219" s="329">
        <v>10.683333333333332</v>
      </c>
      <c r="P219" s="329">
        <v>12.216666666666667</v>
      </c>
      <c r="S219" s="331">
        <v>40646</v>
      </c>
      <c r="T219" s="329">
        <v>27.583333333333332</v>
      </c>
      <c r="U219" s="329">
        <v>33.866666666666667</v>
      </c>
      <c r="V219" s="329">
        <v>11.583333333333334</v>
      </c>
      <c r="W219" s="329">
        <v>11.85</v>
      </c>
      <c r="X219" s="197">
        <v>0</v>
      </c>
      <c r="Y219" s="197">
        <v>11.9</v>
      </c>
    </row>
    <row r="220" spans="1:25">
      <c r="A220" s="331">
        <v>40490</v>
      </c>
      <c r="B220" s="329">
        <v>42.3</v>
      </c>
      <c r="C220" s="329">
        <f t="shared" si="12"/>
        <v>42.43333333333333</v>
      </c>
      <c r="D220" s="329">
        <v>44.1</v>
      </c>
      <c r="E220" s="329">
        <f t="shared" si="9"/>
        <v>44.1</v>
      </c>
      <c r="F220" s="329">
        <v>10.8</v>
      </c>
      <c r="G220" s="329">
        <f t="shared" si="10"/>
        <v>10.683333333333332</v>
      </c>
      <c r="H220" s="329">
        <v>12.7</v>
      </c>
      <c r="I220" s="329">
        <f t="shared" si="11"/>
        <v>12.216666666666667</v>
      </c>
      <c r="L220" s="331">
        <v>40490</v>
      </c>
      <c r="M220" s="329">
        <v>42.43333333333333</v>
      </c>
      <c r="N220" s="329">
        <v>44.1</v>
      </c>
      <c r="O220" s="329">
        <v>10.683333333333332</v>
      </c>
      <c r="P220" s="329">
        <v>12.216666666666667</v>
      </c>
      <c r="S220" s="331">
        <v>40647</v>
      </c>
      <c r="T220" s="329">
        <v>27.05</v>
      </c>
      <c r="U220" s="329">
        <v>33.016666666666666</v>
      </c>
      <c r="V220" s="329">
        <v>11.233333333333334</v>
      </c>
      <c r="W220" s="329">
        <v>11.266666666666666</v>
      </c>
      <c r="X220" s="197">
        <v>0</v>
      </c>
      <c r="Y220" s="197">
        <v>13.7</v>
      </c>
    </row>
    <row r="221" spans="1:25">
      <c r="A221" s="331">
        <v>40490</v>
      </c>
      <c r="B221" s="329">
        <v>42.3</v>
      </c>
      <c r="C221" s="329">
        <f t="shared" si="12"/>
        <v>42.43333333333333</v>
      </c>
      <c r="D221" s="329">
        <v>44.1</v>
      </c>
      <c r="E221" s="329">
        <f t="shared" si="9"/>
        <v>44.1</v>
      </c>
      <c r="F221" s="329">
        <v>10.3</v>
      </c>
      <c r="G221" s="329">
        <f t="shared" si="10"/>
        <v>10.683333333333332</v>
      </c>
      <c r="H221" s="329">
        <v>12.3</v>
      </c>
      <c r="I221" s="329">
        <f t="shared" si="11"/>
        <v>12.216666666666667</v>
      </c>
      <c r="L221" s="331">
        <v>40490</v>
      </c>
      <c r="M221" s="329">
        <v>42.43333333333333</v>
      </c>
      <c r="N221" s="329">
        <v>44.1</v>
      </c>
      <c r="O221" s="329">
        <v>10.683333333333332</v>
      </c>
      <c r="P221" s="329">
        <v>12.216666666666667</v>
      </c>
      <c r="S221" s="331">
        <v>40648</v>
      </c>
      <c r="T221" s="329">
        <v>26.433333333333334</v>
      </c>
      <c r="U221" s="329">
        <v>32.1</v>
      </c>
      <c r="V221" s="329">
        <v>11.549999999999999</v>
      </c>
      <c r="W221" s="329">
        <v>11.233333333333334</v>
      </c>
      <c r="X221" s="197">
        <v>0</v>
      </c>
      <c r="Y221" s="197">
        <v>12.9</v>
      </c>
    </row>
    <row r="222" spans="1:25">
      <c r="A222" s="331">
        <v>40490</v>
      </c>
      <c r="B222" s="329">
        <v>42.3</v>
      </c>
      <c r="C222" s="329">
        <f t="shared" si="12"/>
        <v>42.43333333333333</v>
      </c>
      <c r="D222" s="329">
        <v>44.1</v>
      </c>
      <c r="E222" s="329">
        <f t="shared" si="9"/>
        <v>44.1</v>
      </c>
      <c r="F222" s="329">
        <v>10.3</v>
      </c>
      <c r="G222" s="329">
        <f t="shared" si="10"/>
        <v>10.683333333333332</v>
      </c>
      <c r="H222" s="329">
        <v>12</v>
      </c>
      <c r="I222" s="329">
        <f t="shared" si="11"/>
        <v>12.216666666666667</v>
      </c>
      <c r="L222" s="331">
        <v>40490</v>
      </c>
      <c r="M222" s="329">
        <v>42.43333333333333</v>
      </c>
      <c r="N222" s="329">
        <v>44.1</v>
      </c>
      <c r="O222" s="329">
        <v>10.683333333333332</v>
      </c>
      <c r="P222" s="329">
        <v>12.216666666666667</v>
      </c>
      <c r="S222" s="331">
        <v>40649</v>
      </c>
      <c r="T222" s="329">
        <v>25.95</v>
      </c>
      <c r="U222" s="329">
        <v>31.25</v>
      </c>
      <c r="V222" s="329">
        <v>11.366666666666667</v>
      </c>
      <c r="W222" s="329">
        <v>11.166666666666666</v>
      </c>
      <c r="X222" s="197">
        <v>0</v>
      </c>
      <c r="Y222" s="197">
        <v>13.4</v>
      </c>
    </row>
    <row r="223" spans="1:25">
      <c r="A223" s="331">
        <v>40490</v>
      </c>
      <c r="B223" s="329">
        <v>42.3</v>
      </c>
      <c r="C223" s="329">
        <f t="shared" si="12"/>
        <v>42.43333333333333</v>
      </c>
      <c r="D223" s="329">
        <v>44.1</v>
      </c>
      <c r="E223" s="329">
        <f t="shared" si="9"/>
        <v>44.1</v>
      </c>
      <c r="F223" s="329">
        <v>10.5</v>
      </c>
      <c r="G223" s="329">
        <f t="shared" si="10"/>
        <v>10.683333333333332</v>
      </c>
      <c r="H223" s="329">
        <v>11.7</v>
      </c>
      <c r="I223" s="329">
        <f t="shared" si="11"/>
        <v>12.216666666666667</v>
      </c>
      <c r="L223" s="331">
        <v>40490</v>
      </c>
      <c r="M223" s="329">
        <v>42.43333333333333</v>
      </c>
      <c r="N223" s="329">
        <v>44.1</v>
      </c>
      <c r="O223" s="329">
        <v>10.683333333333332</v>
      </c>
      <c r="P223" s="329">
        <v>12.216666666666667</v>
      </c>
      <c r="S223" s="331">
        <v>40650</v>
      </c>
      <c r="T223" s="329">
        <v>25.533333333333335</v>
      </c>
      <c r="U223" s="329">
        <v>30.3</v>
      </c>
      <c r="V223" s="329">
        <v>11.6</v>
      </c>
      <c r="W223" s="329">
        <v>11.15</v>
      </c>
      <c r="X223" s="197">
        <v>0</v>
      </c>
      <c r="Y223" s="197">
        <v>14.8</v>
      </c>
    </row>
    <row r="224" spans="1:25">
      <c r="A224" s="331">
        <v>40490</v>
      </c>
      <c r="B224" s="329">
        <v>43.1</v>
      </c>
      <c r="C224" s="329">
        <f t="shared" si="12"/>
        <v>42.43333333333333</v>
      </c>
      <c r="D224" s="329">
        <v>44.1</v>
      </c>
      <c r="E224" s="329">
        <f t="shared" si="9"/>
        <v>44.1</v>
      </c>
      <c r="F224" s="329">
        <v>10.6</v>
      </c>
      <c r="G224" s="329">
        <f t="shared" si="10"/>
        <v>10.683333333333332</v>
      </c>
      <c r="H224" s="329">
        <v>11.6</v>
      </c>
      <c r="I224" s="329">
        <f t="shared" si="11"/>
        <v>12.216666666666667</v>
      </c>
      <c r="L224" s="331">
        <v>40490</v>
      </c>
      <c r="M224" s="329">
        <v>42.43333333333333</v>
      </c>
      <c r="N224" s="329">
        <v>44.1</v>
      </c>
      <c r="O224" s="329">
        <v>10.683333333333332</v>
      </c>
      <c r="P224" s="329">
        <v>12.216666666666667</v>
      </c>
      <c r="S224" s="331">
        <v>40651</v>
      </c>
      <c r="T224" s="329">
        <v>25.099999999999998</v>
      </c>
      <c r="U224" s="329">
        <v>29.400000000000002</v>
      </c>
      <c r="V224" s="329">
        <v>12.950000000000001</v>
      </c>
      <c r="W224" s="329">
        <v>11.833333333333334</v>
      </c>
      <c r="X224" s="197">
        <v>0</v>
      </c>
      <c r="Y224" s="197">
        <v>16.100000000000001</v>
      </c>
    </row>
    <row r="225" spans="1:25">
      <c r="A225" s="331">
        <v>40491</v>
      </c>
      <c r="B225" s="329">
        <v>43.7</v>
      </c>
      <c r="C225" s="329">
        <f t="shared" si="12"/>
        <v>45.233333333333341</v>
      </c>
      <c r="D225" s="329">
        <v>44.4</v>
      </c>
      <c r="E225" s="329">
        <f t="shared" si="9"/>
        <v>46.65</v>
      </c>
      <c r="F225" s="329">
        <v>10.4</v>
      </c>
      <c r="G225" s="329">
        <f t="shared" si="10"/>
        <v>10.466666666666667</v>
      </c>
      <c r="H225" s="329">
        <v>11.5</v>
      </c>
      <c r="I225" s="329">
        <f t="shared" si="11"/>
        <v>11.300000000000002</v>
      </c>
      <c r="L225" s="331">
        <v>40491</v>
      </c>
      <c r="M225" s="329">
        <v>45.233333333333341</v>
      </c>
      <c r="N225" s="329">
        <v>46.65</v>
      </c>
      <c r="O225" s="329">
        <v>10.466666666666667</v>
      </c>
      <c r="P225" s="329">
        <v>11.300000000000002</v>
      </c>
      <c r="S225" s="331">
        <v>40652</v>
      </c>
      <c r="T225" s="329">
        <v>24.566666666666666</v>
      </c>
      <c r="U225" s="329">
        <v>28.616666666666664</v>
      </c>
      <c r="V225" s="329">
        <v>13.066666666666665</v>
      </c>
      <c r="W225" s="329">
        <v>12.266666666666667</v>
      </c>
      <c r="X225" s="197">
        <v>0</v>
      </c>
      <c r="Y225" s="197">
        <v>14.9</v>
      </c>
    </row>
    <row r="226" spans="1:25">
      <c r="A226" s="331">
        <v>40491</v>
      </c>
      <c r="B226" s="329">
        <v>44</v>
      </c>
      <c r="C226" s="329">
        <f t="shared" si="12"/>
        <v>45.233333333333341</v>
      </c>
      <c r="D226" s="329">
        <v>44.8</v>
      </c>
      <c r="E226" s="329">
        <f t="shared" ref="E226:E289" si="13">AVERAGEIFS($D$33:$D$1494,$A$33:$A$1494,A226)</f>
        <v>46.65</v>
      </c>
      <c r="F226" s="329">
        <v>10.3</v>
      </c>
      <c r="G226" s="329">
        <f t="shared" ref="G226:G289" si="14">AVERAGEIFS($F$33:$F$1494,$A$33:$A$1494,A226)</f>
        <v>10.466666666666667</v>
      </c>
      <c r="H226" s="329">
        <v>11.4</v>
      </c>
      <c r="I226" s="329">
        <f t="shared" ref="I226:I289" si="15">AVERAGEIFS($H$33:$H$1494,$A$33:$A$1494,A226)</f>
        <v>11.300000000000002</v>
      </c>
      <c r="L226" s="331">
        <v>40491</v>
      </c>
      <c r="M226" s="329">
        <v>45.233333333333341</v>
      </c>
      <c r="N226" s="329">
        <v>46.65</v>
      </c>
      <c r="O226" s="329">
        <v>10.466666666666667</v>
      </c>
      <c r="P226" s="329">
        <v>11.300000000000002</v>
      </c>
      <c r="S226" s="331">
        <v>40653</v>
      </c>
      <c r="T226" s="329">
        <v>24.05</v>
      </c>
      <c r="U226" s="329">
        <v>27.916666666666668</v>
      </c>
      <c r="V226" s="329">
        <v>13.333333333333334</v>
      </c>
      <c r="W226" s="329">
        <v>12.4</v>
      </c>
      <c r="X226" s="197">
        <v>0.4</v>
      </c>
      <c r="Y226" s="197">
        <v>15.8</v>
      </c>
    </row>
    <row r="227" spans="1:25">
      <c r="A227" s="331">
        <v>40491</v>
      </c>
      <c r="B227" s="329">
        <v>47.8</v>
      </c>
      <c r="C227" s="329">
        <f t="shared" si="12"/>
        <v>45.233333333333341</v>
      </c>
      <c r="D227" s="329">
        <v>47.1</v>
      </c>
      <c r="E227" s="329">
        <f t="shared" si="13"/>
        <v>46.65</v>
      </c>
      <c r="F227" s="329">
        <v>10.1</v>
      </c>
      <c r="G227" s="329">
        <f t="shared" si="14"/>
        <v>10.466666666666667</v>
      </c>
      <c r="H227" s="329">
        <v>11.3</v>
      </c>
      <c r="I227" s="329">
        <f t="shared" si="15"/>
        <v>11.300000000000002</v>
      </c>
      <c r="L227" s="331">
        <v>40491</v>
      </c>
      <c r="M227" s="329">
        <v>45.233333333333341</v>
      </c>
      <c r="N227" s="329">
        <v>46.65</v>
      </c>
      <c r="O227" s="329">
        <v>10.466666666666667</v>
      </c>
      <c r="P227" s="329">
        <v>11.300000000000002</v>
      </c>
      <c r="S227" s="331">
        <v>40654</v>
      </c>
      <c r="T227" s="329">
        <v>23.633333333333336</v>
      </c>
      <c r="U227" s="329">
        <v>27.283333333333335</v>
      </c>
      <c r="V227" s="329">
        <v>13.866666666666665</v>
      </c>
      <c r="W227" s="329">
        <v>12.733333333333334</v>
      </c>
      <c r="X227" s="197">
        <v>0</v>
      </c>
      <c r="Y227" s="197">
        <v>16.7</v>
      </c>
    </row>
    <row r="228" spans="1:25">
      <c r="A228" s="331">
        <v>40491</v>
      </c>
      <c r="B228" s="329">
        <v>46.3</v>
      </c>
      <c r="C228" s="329">
        <f t="shared" si="12"/>
        <v>45.233333333333341</v>
      </c>
      <c r="D228" s="329">
        <v>48.6</v>
      </c>
      <c r="E228" s="329">
        <f t="shared" si="13"/>
        <v>46.65</v>
      </c>
      <c r="F228" s="329">
        <v>10.199999999999999</v>
      </c>
      <c r="G228" s="329">
        <f t="shared" si="14"/>
        <v>10.466666666666667</v>
      </c>
      <c r="H228" s="329">
        <v>11.2</v>
      </c>
      <c r="I228" s="329">
        <f t="shared" si="15"/>
        <v>11.300000000000002</v>
      </c>
      <c r="L228" s="331">
        <v>40491</v>
      </c>
      <c r="M228" s="329">
        <v>45.233333333333341</v>
      </c>
      <c r="N228" s="329">
        <v>46.65</v>
      </c>
      <c r="O228" s="329">
        <v>10.466666666666667</v>
      </c>
      <c r="P228" s="329">
        <v>11.300000000000002</v>
      </c>
      <c r="S228" s="331">
        <v>40655</v>
      </c>
      <c r="T228" s="329">
        <v>23.233333333333334</v>
      </c>
      <c r="U228" s="329">
        <v>26.666666666666671</v>
      </c>
      <c r="V228" s="329">
        <v>14.166666666666666</v>
      </c>
      <c r="W228" s="329">
        <v>13.1</v>
      </c>
      <c r="X228" s="197">
        <v>0</v>
      </c>
      <c r="Y228" s="197">
        <v>15.6</v>
      </c>
    </row>
    <row r="229" spans="1:25">
      <c r="A229" s="331">
        <v>40491</v>
      </c>
      <c r="B229" s="329">
        <v>45</v>
      </c>
      <c r="C229" s="329">
        <f t="shared" si="12"/>
        <v>45.233333333333341</v>
      </c>
      <c r="D229" s="329">
        <v>47.8</v>
      </c>
      <c r="E229" s="329">
        <f t="shared" si="13"/>
        <v>46.65</v>
      </c>
      <c r="F229" s="329">
        <v>10.9</v>
      </c>
      <c r="G229" s="329">
        <f t="shared" si="14"/>
        <v>10.466666666666667</v>
      </c>
      <c r="H229" s="329">
        <v>11.1</v>
      </c>
      <c r="I229" s="329">
        <f t="shared" si="15"/>
        <v>11.300000000000002</v>
      </c>
      <c r="L229" s="331">
        <v>40491</v>
      </c>
      <c r="M229" s="329">
        <v>45.233333333333341</v>
      </c>
      <c r="N229" s="329">
        <v>46.65</v>
      </c>
      <c r="O229" s="329">
        <v>10.466666666666667</v>
      </c>
      <c r="P229" s="329">
        <v>11.300000000000002</v>
      </c>
      <c r="S229" s="331">
        <v>40656</v>
      </c>
      <c r="T229" s="329">
        <v>22.933333333333337</v>
      </c>
      <c r="U229" s="329">
        <v>26.3</v>
      </c>
      <c r="V229" s="329">
        <v>13.616666666666667</v>
      </c>
      <c r="W229" s="329">
        <v>13.066666666666668</v>
      </c>
      <c r="X229" s="197">
        <v>4.2</v>
      </c>
      <c r="Y229" s="197">
        <v>13.4</v>
      </c>
    </row>
    <row r="230" spans="1:25">
      <c r="A230" s="331">
        <v>40491</v>
      </c>
      <c r="B230" s="329">
        <v>44.6</v>
      </c>
      <c r="C230" s="329">
        <f t="shared" si="12"/>
        <v>45.233333333333341</v>
      </c>
      <c r="D230" s="329">
        <v>47.2</v>
      </c>
      <c r="E230" s="329">
        <f t="shared" si="13"/>
        <v>46.65</v>
      </c>
      <c r="F230" s="329">
        <v>10.9</v>
      </c>
      <c r="G230" s="329">
        <f t="shared" si="14"/>
        <v>10.466666666666667</v>
      </c>
      <c r="H230" s="329">
        <v>11.3</v>
      </c>
      <c r="I230" s="329">
        <f t="shared" si="15"/>
        <v>11.300000000000002</v>
      </c>
      <c r="L230" s="331">
        <v>40491</v>
      </c>
      <c r="M230" s="329">
        <v>45.233333333333341</v>
      </c>
      <c r="N230" s="329">
        <v>46.65</v>
      </c>
      <c r="O230" s="329">
        <v>10.466666666666667</v>
      </c>
      <c r="P230" s="329">
        <v>11.300000000000002</v>
      </c>
      <c r="S230" s="331">
        <v>40657</v>
      </c>
      <c r="T230" s="329">
        <v>22.866666666666664</v>
      </c>
      <c r="U230" s="329">
        <v>26.200000000000003</v>
      </c>
      <c r="V230" s="329">
        <v>13.816666666666665</v>
      </c>
      <c r="W230" s="329">
        <v>12.916666666666666</v>
      </c>
      <c r="X230" s="197">
        <v>0</v>
      </c>
      <c r="Y230" s="197">
        <v>16.3</v>
      </c>
    </row>
    <row r="231" spans="1:25">
      <c r="A231" s="331">
        <v>40492</v>
      </c>
      <c r="B231" s="329">
        <v>44.4</v>
      </c>
      <c r="C231" s="329">
        <f t="shared" si="12"/>
        <v>44.683333333333337</v>
      </c>
      <c r="D231" s="329">
        <v>46.9</v>
      </c>
      <c r="E231" s="329">
        <f t="shared" si="13"/>
        <v>46.68333333333333</v>
      </c>
      <c r="F231" s="329">
        <v>10.6</v>
      </c>
      <c r="G231" s="329">
        <f t="shared" si="14"/>
        <v>10.333333333333334</v>
      </c>
      <c r="H231" s="329">
        <v>11.3</v>
      </c>
      <c r="I231" s="329">
        <f t="shared" si="15"/>
        <v>11.1</v>
      </c>
      <c r="L231" s="331">
        <v>40492</v>
      </c>
      <c r="M231" s="329">
        <v>44.683333333333337</v>
      </c>
      <c r="N231" s="329">
        <v>46.68333333333333</v>
      </c>
      <c r="O231" s="329">
        <v>10.333333333333334</v>
      </c>
      <c r="P231" s="329">
        <v>11.1</v>
      </c>
      <c r="S231" s="331">
        <v>40658</v>
      </c>
      <c r="T231" s="329">
        <v>22.7</v>
      </c>
      <c r="U231" s="329">
        <v>25.950000000000003</v>
      </c>
      <c r="V231" s="329">
        <v>14.216666666666667</v>
      </c>
      <c r="W231" s="329">
        <v>13.183333333333335</v>
      </c>
      <c r="X231" s="197">
        <v>29.7</v>
      </c>
      <c r="Y231" s="197">
        <v>15.8</v>
      </c>
    </row>
    <row r="232" spans="1:25">
      <c r="A232" s="331">
        <v>40492</v>
      </c>
      <c r="B232" s="329">
        <v>44.2</v>
      </c>
      <c r="C232" s="329">
        <f t="shared" ref="C232:C295" si="16">AVERAGEIFS($B$33:$B$1494,$A$33:$A$1494,A232)</f>
        <v>44.683333333333337</v>
      </c>
      <c r="D232" s="329">
        <v>46.7</v>
      </c>
      <c r="E232" s="329">
        <f t="shared" si="13"/>
        <v>46.68333333333333</v>
      </c>
      <c r="F232" s="329">
        <v>10.3</v>
      </c>
      <c r="G232" s="329">
        <f t="shared" si="14"/>
        <v>10.333333333333334</v>
      </c>
      <c r="H232" s="329">
        <v>11.2</v>
      </c>
      <c r="I232" s="329">
        <f t="shared" si="15"/>
        <v>11.1</v>
      </c>
      <c r="L232" s="331">
        <v>40492</v>
      </c>
      <c r="M232" s="329">
        <v>44.683333333333337</v>
      </c>
      <c r="N232" s="329">
        <v>46.68333333333333</v>
      </c>
      <c r="O232" s="329">
        <v>10.333333333333334</v>
      </c>
      <c r="P232" s="329">
        <v>11.1</v>
      </c>
      <c r="S232" s="331">
        <v>40659</v>
      </c>
      <c r="T232" s="329">
        <v>22.666666666666668</v>
      </c>
      <c r="U232" s="329">
        <v>25.866666666666671</v>
      </c>
      <c r="V232" s="329">
        <v>14.65</v>
      </c>
      <c r="W232" s="329">
        <v>13.466666666666669</v>
      </c>
      <c r="X232" s="197">
        <v>0</v>
      </c>
      <c r="Y232" s="197">
        <v>17.2</v>
      </c>
    </row>
    <row r="233" spans="1:25">
      <c r="A233" s="331">
        <v>40492</v>
      </c>
      <c r="B233" s="329">
        <v>44.2</v>
      </c>
      <c r="C233" s="329">
        <f t="shared" si="16"/>
        <v>44.683333333333337</v>
      </c>
      <c r="D233" s="329">
        <v>46.5</v>
      </c>
      <c r="E233" s="329">
        <f t="shared" si="13"/>
        <v>46.68333333333333</v>
      </c>
      <c r="F233" s="329">
        <v>10</v>
      </c>
      <c r="G233" s="329">
        <f t="shared" si="14"/>
        <v>10.333333333333334</v>
      </c>
      <c r="H233" s="329">
        <v>11.1</v>
      </c>
      <c r="I233" s="329">
        <f t="shared" si="15"/>
        <v>11.1</v>
      </c>
      <c r="L233" s="331">
        <v>40492</v>
      </c>
      <c r="M233" s="329">
        <v>44.683333333333337</v>
      </c>
      <c r="N233" s="329">
        <v>46.68333333333333</v>
      </c>
      <c r="O233" s="329">
        <v>10.333333333333334</v>
      </c>
      <c r="P233" s="329">
        <v>11.1</v>
      </c>
      <c r="S233" s="331">
        <v>40660</v>
      </c>
      <c r="T233" s="329">
        <v>22.566666666666666</v>
      </c>
      <c r="U233" s="329">
        <v>25.75</v>
      </c>
      <c r="V233" s="329">
        <v>15.033333333333333</v>
      </c>
      <c r="W233" s="329">
        <v>13.799999999999999</v>
      </c>
      <c r="X233" s="197">
        <v>0</v>
      </c>
      <c r="Y233" s="197">
        <v>16.8</v>
      </c>
    </row>
    <row r="234" spans="1:25">
      <c r="A234" s="331">
        <v>40492</v>
      </c>
      <c r="B234" s="329">
        <v>44.5</v>
      </c>
      <c r="C234" s="329">
        <f t="shared" si="16"/>
        <v>44.683333333333337</v>
      </c>
      <c r="D234" s="329">
        <v>46.4</v>
      </c>
      <c r="E234" s="329">
        <f t="shared" si="13"/>
        <v>46.68333333333333</v>
      </c>
      <c r="F234" s="329">
        <v>10.1</v>
      </c>
      <c r="G234" s="329">
        <f t="shared" si="14"/>
        <v>10.333333333333334</v>
      </c>
      <c r="H234" s="329">
        <v>11</v>
      </c>
      <c r="I234" s="329">
        <f t="shared" si="15"/>
        <v>11.1</v>
      </c>
      <c r="L234" s="331">
        <v>40492</v>
      </c>
      <c r="M234" s="329">
        <v>44.683333333333337</v>
      </c>
      <c r="N234" s="329">
        <v>46.68333333333333</v>
      </c>
      <c r="O234" s="329">
        <v>10.333333333333334</v>
      </c>
      <c r="P234" s="329">
        <v>11.1</v>
      </c>
      <c r="S234" s="331">
        <v>40661</v>
      </c>
      <c r="T234" s="329">
        <v>22.349999999999998</v>
      </c>
      <c r="U234" s="329">
        <v>25.500000000000004</v>
      </c>
      <c r="V234" s="329">
        <v>14.516666666666666</v>
      </c>
      <c r="W234" s="329">
        <v>13.733333333333333</v>
      </c>
      <c r="X234" s="197">
        <v>0</v>
      </c>
      <c r="Y234" s="197">
        <v>15.6</v>
      </c>
    </row>
    <row r="235" spans="1:25">
      <c r="A235" s="331">
        <v>40492</v>
      </c>
      <c r="B235" s="329">
        <v>44.6</v>
      </c>
      <c r="C235" s="329">
        <f t="shared" si="16"/>
        <v>44.683333333333337</v>
      </c>
      <c r="D235" s="329">
        <v>46.7</v>
      </c>
      <c r="E235" s="329">
        <f t="shared" si="13"/>
        <v>46.68333333333333</v>
      </c>
      <c r="F235" s="329">
        <v>10.6</v>
      </c>
      <c r="G235" s="329">
        <f t="shared" si="14"/>
        <v>10.333333333333334</v>
      </c>
      <c r="H235" s="329">
        <v>11</v>
      </c>
      <c r="I235" s="329">
        <f t="shared" si="15"/>
        <v>11.1</v>
      </c>
      <c r="L235" s="331">
        <v>40492</v>
      </c>
      <c r="M235" s="329">
        <v>44.683333333333337</v>
      </c>
      <c r="N235" s="329">
        <v>46.68333333333333</v>
      </c>
      <c r="O235" s="329">
        <v>10.333333333333334</v>
      </c>
      <c r="P235" s="329">
        <v>11.1</v>
      </c>
      <c r="S235" s="331">
        <v>40662</v>
      </c>
      <c r="T235" s="329">
        <v>22.099999999999998</v>
      </c>
      <c r="U235" s="329">
        <v>25.133333333333336</v>
      </c>
      <c r="V235" s="329">
        <v>13.983333333333334</v>
      </c>
      <c r="W235" s="329">
        <v>13.466666666666667</v>
      </c>
      <c r="X235" s="197">
        <v>0</v>
      </c>
      <c r="Y235" s="197">
        <v>15.2</v>
      </c>
    </row>
    <row r="236" spans="1:25">
      <c r="A236" s="331">
        <v>40492</v>
      </c>
      <c r="B236" s="329">
        <v>46.2</v>
      </c>
      <c r="C236" s="329">
        <f t="shared" si="16"/>
        <v>44.683333333333337</v>
      </c>
      <c r="D236" s="329">
        <v>46.9</v>
      </c>
      <c r="E236" s="329">
        <f t="shared" si="13"/>
        <v>46.68333333333333</v>
      </c>
      <c r="F236" s="329">
        <v>10.4</v>
      </c>
      <c r="G236" s="329">
        <f t="shared" si="14"/>
        <v>10.333333333333334</v>
      </c>
      <c r="H236" s="329">
        <v>11</v>
      </c>
      <c r="I236" s="329">
        <f t="shared" si="15"/>
        <v>11.1</v>
      </c>
      <c r="L236" s="331">
        <v>40492</v>
      </c>
      <c r="M236" s="329">
        <v>44.683333333333337</v>
      </c>
      <c r="N236" s="329">
        <v>46.68333333333333</v>
      </c>
      <c r="O236" s="329">
        <v>10.333333333333334</v>
      </c>
      <c r="P236" s="329">
        <v>11.1</v>
      </c>
      <c r="S236" s="331">
        <v>40663</v>
      </c>
      <c r="T236" s="329">
        <v>21.916666666666671</v>
      </c>
      <c r="U236" s="329">
        <v>24.799999999999997</v>
      </c>
      <c r="V236" s="329">
        <v>14.783333333333333</v>
      </c>
      <c r="W236" s="329">
        <v>13.649999999999999</v>
      </c>
      <c r="X236" s="197">
        <v>0</v>
      </c>
      <c r="Y236" s="197">
        <v>16.7</v>
      </c>
    </row>
    <row r="237" spans="1:25">
      <c r="A237" s="331">
        <v>40493</v>
      </c>
      <c r="B237" s="329">
        <v>45.5</v>
      </c>
      <c r="C237" s="329">
        <f t="shared" si="16"/>
        <v>44.79999999999999</v>
      </c>
      <c r="D237" s="329">
        <v>47.4</v>
      </c>
      <c r="E237" s="329">
        <f t="shared" si="13"/>
        <v>47.016666666666673</v>
      </c>
      <c r="F237" s="329">
        <v>10</v>
      </c>
      <c r="G237" s="329">
        <f t="shared" si="14"/>
        <v>9.6999999999999993</v>
      </c>
      <c r="H237" s="329">
        <v>11</v>
      </c>
      <c r="I237" s="329">
        <f t="shared" si="15"/>
        <v>10.65</v>
      </c>
      <c r="L237" s="331">
        <v>40493</v>
      </c>
      <c r="M237" s="329">
        <v>44.79999999999999</v>
      </c>
      <c r="N237" s="329">
        <v>47.016666666666673</v>
      </c>
      <c r="O237" s="329">
        <v>9.6999999999999993</v>
      </c>
      <c r="P237" s="329">
        <v>10.65</v>
      </c>
      <c r="S237" s="331">
        <v>40664</v>
      </c>
      <c r="T237" s="329">
        <v>21.75</v>
      </c>
      <c r="U237" s="329">
        <v>24.500000000000004</v>
      </c>
      <c r="V237" s="329">
        <v>15.299999999999999</v>
      </c>
      <c r="W237" s="329">
        <v>14.033333333333333</v>
      </c>
      <c r="X237" s="197">
        <v>0</v>
      </c>
      <c r="Y237" s="197">
        <v>17.399999999999999</v>
      </c>
    </row>
    <row r="238" spans="1:25">
      <c r="A238" s="331">
        <v>40493</v>
      </c>
      <c r="B238" s="329">
        <v>45.1</v>
      </c>
      <c r="C238" s="329">
        <f t="shared" si="16"/>
        <v>44.79999999999999</v>
      </c>
      <c r="D238" s="329">
        <v>47.4</v>
      </c>
      <c r="E238" s="329">
        <f t="shared" si="13"/>
        <v>47.016666666666673</v>
      </c>
      <c r="F238" s="329">
        <v>9.5</v>
      </c>
      <c r="G238" s="329">
        <f t="shared" si="14"/>
        <v>9.6999999999999993</v>
      </c>
      <c r="H238" s="329">
        <v>10.8</v>
      </c>
      <c r="I238" s="329">
        <f t="shared" si="15"/>
        <v>10.65</v>
      </c>
      <c r="L238" s="331">
        <v>40493</v>
      </c>
      <c r="M238" s="329">
        <v>44.79999999999999</v>
      </c>
      <c r="N238" s="329">
        <v>47.016666666666673</v>
      </c>
      <c r="O238" s="329">
        <v>9.6999999999999993</v>
      </c>
      <c r="P238" s="329">
        <v>10.65</v>
      </c>
      <c r="S238" s="331">
        <v>40665</v>
      </c>
      <c r="T238" s="329">
        <v>21.616666666666664</v>
      </c>
      <c r="U238" s="329">
        <v>24.233333333333334</v>
      </c>
      <c r="V238" s="329">
        <v>15.833333333333334</v>
      </c>
      <c r="W238" s="329">
        <v>14.516666666666667</v>
      </c>
      <c r="X238" s="197">
        <v>2.2000000000000002</v>
      </c>
      <c r="Y238" s="197">
        <v>16.8</v>
      </c>
    </row>
    <row r="239" spans="1:25">
      <c r="A239" s="331">
        <v>40493</v>
      </c>
      <c r="B239" s="329">
        <v>44.8</v>
      </c>
      <c r="C239" s="329">
        <f t="shared" si="16"/>
        <v>44.79999999999999</v>
      </c>
      <c r="D239" s="329">
        <v>47.2</v>
      </c>
      <c r="E239" s="329">
        <f t="shared" si="13"/>
        <v>47.016666666666673</v>
      </c>
      <c r="F239" s="329">
        <v>9</v>
      </c>
      <c r="G239" s="329">
        <f t="shared" si="14"/>
        <v>9.6999999999999993</v>
      </c>
      <c r="H239" s="329">
        <v>10.7</v>
      </c>
      <c r="I239" s="329">
        <f t="shared" si="15"/>
        <v>10.65</v>
      </c>
      <c r="L239" s="331">
        <v>40493</v>
      </c>
      <c r="M239" s="329">
        <v>44.79999999999999</v>
      </c>
      <c r="N239" s="329">
        <v>47.016666666666673</v>
      </c>
      <c r="O239" s="329">
        <v>9.6999999999999993</v>
      </c>
      <c r="P239" s="329">
        <v>10.65</v>
      </c>
      <c r="S239" s="331">
        <v>40666</v>
      </c>
      <c r="T239" s="329">
        <v>21.516666666666666</v>
      </c>
      <c r="U239" s="329">
        <v>24.066666666666666</v>
      </c>
      <c r="V239" s="329">
        <v>15.583333333333334</v>
      </c>
      <c r="W239" s="329">
        <v>14.583333333333334</v>
      </c>
      <c r="X239" s="197">
        <v>2.4</v>
      </c>
      <c r="Y239" s="197">
        <v>15.9</v>
      </c>
    </row>
    <row r="240" spans="1:25">
      <c r="A240" s="331">
        <v>40493</v>
      </c>
      <c r="B240" s="329">
        <v>44.7</v>
      </c>
      <c r="C240" s="329">
        <f t="shared" si="16"/>
        <v>44.79999999999999</v>
      </c>
      <c r="D240" s="329">
        <v>46.9</v>
      </c>
      <c r="E240" s="329">
        <f t="shared" si="13"/>
        <v>47.016666666666673</v>
      </c>
      <c r="F240" s="329">
        <v>8.9</v>
      </c>
      <c r="G240" s="329">
        <f t="shared" si="14"/>
        <v>9.6999999999999993</v>
      </c>
      <c r="H240" s="329">
        <v>10.5</v>
      </c>
      <c r="I240" s="329">
        <f t="shared" si="15"/>
        <v>10.65</v>
      </c>
      <c r="L240" s="331">
        <v>40493</v>
      </c>
      <c r="M240" s="329">
        <v>44.79999999999999</v>
      </c>
      <c r="N240" s="329">
        <v>47.016666666666673</v>
      </c>
      <c r="O240" s="329">
        <v>9.6999999999999993</v>
      </c>
      <c r="P240" s="329">
        <v>10.65</v>
      </c>
      <c r="S240" s="331">
        <v>40667</v>
      </c>
      <c r="T240" s="329">
        <v>21.433333333333337</v>
      </c>
      <c r="U240" s="329">
        <v>23.950000000000003</v>
      </c>
      <c r="V240" s="329">
        <v>15.066666666666668</v>
      </c>
      <c r="W240" s="329">
        <v>14.283333333333331</v>
      </c>
      <c r="X240" s="197">
        <v>0</v>
      </c>
      <c r="Y240" s="197">
        <v>16</v>
      </c>
    </row>
    <row r="241" spans="1:25">
      <c r="A241" s="331">
        <v>40493</v>
      </c>
      <c r="B241" s="329">
        <v>44.4</v>
      </c>
      <c r="C241" s="329">
        <f t="shared" si="16"/>
        <v>44.79999999999999</v>
      </c>
      <c r="D241" s="329">
        <v>46.7</v>
      </c>
      <c r="E241" s="329">
        <f t="shared" si="13"/>
        <v>47.016666666666673</v>
      </c>
      <c r="F241" s="329">
        <v>10.199999999999999</v>
      </c>
      <c r="G241" s="329">
        <f t="shared" si="14"/>
        <v>9.6999999999999993</v>
      </c>
      <c r="H241" s="329">
        <v>10.4</v>
      </c>
      <c r="I241" s="329">
        <f t="shared" si="15"/>
        <v>10.65</v>
      </c>
      <c r="L241" s="331">
        <v>40493</v>
      </c>
      <c r="M241" s="329">
        <v>44.79999999999999</v>
      </c>
      <c r="N241" s="329">
        <v>47.016666666666673</v>
      </c>
      <c r="O241" s="329">
        <v>9.6999999999999993</v>
      </c>
      <c r="P241" s="329">
        <v>10.65</v>
      </c>
      <c r="S241" s="331">
        <v>40668</v>
      </c>
      <c r="T241" s="329">
        <v>21.283333333333335</v>
      </c>
      <c r="U241" s="329">
        <v>23.75</v>
      </c>
      <c r="V241" s="329">
        <v>15.133333333333335</v>
      </c>
      <c r="W241" s="329">
        <v>14.200000000000001</v>
      </c>
      <c r="X241" s="197">
        <v>0</v>
      </c>
      <c r="Y241" s="197">
        <v>17.7</v>
      </c>
    </row>
    <row r="242" spans="1:25">
      <c r="A242" s="331">
        <v>40493</v>
      </c>
      <c r="B242" s="329">
        <v>44.3</v>
      </c>
      <c r="C242" s="329">
        <f t="shared" si="16"/>
        <v>44.79999999999999</v>
      </c>
      <c r="D242" s="329">
        <v>46.5</v>
      </c>
      <c r="E242" s="329">
        <f t="shared" si="13"/>
        <v>47.016666666666673</v>
      </c>
      <c r="F242" s="329">
        <v>10.6</v>
      </c>
      <c r="G242" s="329">
        <f t="shared" si="14"/>
        <v>9.6999999999999993</v>
      </c>
      <c r="H242" s="329">
        <v>10.5</v>
      </c>
      <c r="I242" s="329">
        <f t="shared" si="15"/>
        <v>10.65</v>
      </c>
      <c r="L242" s="331">
        <v>40493</v>
      </c>
      <c r="M242" s="329">
        <v>44.79999999999999</v>
      </c>
      <c r="N242" s="329">
        <v>47.016666666666673</v>
      </c>
      <c r="O242" s="329">
        <v>9.6999999999999993</v>
      </c>
      <c r="P242" s="329">
        <v>10.65</v>
      </c>
      <c r="S242" s="331">
        <v>40669</v>
      </c>
      <c r="T242" s="329">
        <v>21.216666666666669</v>
      </c>
      <c r="U242" s="329">
        <v>23.599999999999998</v>
      </c>
      <c r="V242" s="329">
        <v>16.399999999999999</v>
      </c>
      <c r="W242" s="329">
        <v>14.833333333333334</v>
      </c>
      <c r="X242" s="197">
        <v>0</v>
      </c>
      <c r="Y242" s="197">
        <v>18.2</v>
      </c>
    </row>
    <row r="243" spans="1:25">
      <c r="A243" s="331">
        <v>40494</v>
      </c>
      <c r="B243" s="329">
        <v>44.3</v>
      </c>
      <c r="C243" s="329">
        <f t="shared" si="16"/>
        <v>44.066666666666663</v>
      </c>
      <c r="D243" s="329">
        <v>46.5</v>
      </c>
      <c r="E243" s="329">
        <f t="shared" si="13"/>
        <v>46.166666666666664</v>
      </c>
      <c r="F243" s="329">
        <v>10.7</v>
      </c>
      <c r="G243" s="329">
        <f t="shared" si="14"/>
        <v>11.633333333333335</v>
      </c>
      <c r="H243" s="329">
        <v>10.7</v>
      </c>
      <c r="I243" s="329">
        <f t="shared" si="15"/>
        <v>11.066666666666665</v>
      </c>
      <c r="L243" s="331">
        <v>40494</v>
      </c>
      <c r="M243" s="329">
        <v>44.066666666666663</v>
      </c>
      <c r="N243" s="329">
        <v>46.166666666666664</v>
      </c>
      <c r="O243" s="329">
        <v>11.633333333333335</v>
      </c>
      <c r="P243" s="329">
        <v>11.066666666666665</v>
      </c>
      <c r="S243" s="331">
        <v>40670</v>
      </c>
      <c r="T243" s="329">
        <v>21.133333333333329</v>
      </c>
      <c r="U243" s="329">
        <v>23.483333333333334</v>
      </c>
      <c r="V243" s="329">
        <v>16.166666666666668</v>
      </c>
      <c r="W243" s="329">
        <v>15.200000000000001</v>
      </c>
      <c r="X243" s="197">
        <v>0</v>
      </c>
      <c r="Y243" s="197">
        <v>17</v>
      </c>
    </row>
    <row r="244" spans="1:25">
      <c r="A244" s="331">
        <v>40494</v>
      </c>
      <c r="B244" s="329">
        <v>44.2</v>
      </c>
      <c r="C244" s="329">
        <f t="shared" si="16"/>
        <v>44.066666666666663</v>
      </c>
      <c r="D244" s="329">
        <v>46.4</v>
      </c>
      <c r="E244" s="329">
        <f t="shared" si="13"/>
        <v>46.166666666666664</v>
      </c>
      <c r="F244" s="329">
        <v>10.9</v>
      </c>
      <c r="G244" s="329">
        <f t="shared" si="14"/>
        <v>11.633333333333335</v>
      </c>
      <c r="H244" s="329">
        <v>10.8</v>
      </c>
      <c r="I244" s="329">
        <f t="shared" si="15"/>
        <v>11.066666666666665</v>
      </c>
      <c r="L244" s="331">
        <v>40494</v>
      </c>
      <c r="M244" s="329">
        <v>44.066666666666663</v>
      </c>
      <c r="N244" s="329">
        <v>46.166666666666664</v>
      </c>
      <c r="O244" s="329">
        <v>11.633333333333335</v>
      </c>
      <c r="P244" s="329">
        <v>11.066666666666665</v>
      </c>
      <c r="S244" s="331">
        <v>40671</v>
      </c>
      <c r="T244" s="329">
        <v>21.05</v>
      </c>
      <c r="U244" s="329">
        <v>23.366666666666664</v>
      </c>
      <c r="V244" s="329">
        <v>16.5</v>
      </c>
      <c r="W244" s="329">
        <v>15.049999999999999</v>
      </c>
      <c r="X244" s="197">
        <v>0</v>
      </c>
      <c r="Y244" s="197">
        <v>19.5</v>
      </c>
    </row>
    <row r="245" spans="1:25">
      <c r="A245" s="331">
        <v>40494</v>
      </c>
      <c r="B245" s="329">
        <v>44.1</v>
      </c>
      <c r="C245" s="329">
        <f t="shared" si="16"/>
        <v>44.066666666666663</v>
      </c>
      <c r="D245" s="329">
        <v>46.3</v>
      </c>
      <c r="E245" s="329">
        <f t="shared" si="13"/>
        <v>46.166666666666664</v>
      </c>
      <c r="F245" s="329">
        <v>11.3</v>
      </c>
      <c r="G245" s="329">
        <f t="shared" si="14"/>
        <v>11.633333333333335</v>
      </c>
      <c r="H245" s="329">
        <v>10.9</v>
      </c>
      <c r="I245" s="329">
        <f t="shared" si="15"/>
        <v>11.066666666666665</v>
      </c>
      <c r="L245" s="331">
        <v>40494</v>
      </c>
      <c r="M245" s="329">
        <v>44.066666666666663</v>
      </c>
      <c r="N245" s="329">
        <v>46.166666666666664</v>
      </c>
      <c r="O245" s="329">
        <v>11.633333333333335</v>
      </c>
      <c r="P245" s="329">
        <v>11.066666666666665</v>
      </c>
      <c r="S245" s="331">
        <v>40672</v>
      </c>
      <c r="T245" s="329">
        <v>21.016666666666666</v>
      </c>
      <c r="U245" s="329">
        <v>23.233333333333334</v>
      </c>
      <c r="V245" s="329">
        <v>17.333333333333332</v>
      </c>
      <c r="W245" s="329">
        <v>15.633333333333335</v>
      </c>
      <c r="X245" s="197">
        <v>0</v>
      </c>
      <c r="Y245" s="197">
        <v>19.600000000000001</v>
      </c>
    </row>
    <row r="246" spans="1:25">
      <c r="A246" s="331">
        <v>40494</v>
      </c>
      <c r="B246" s="329">
        <v>44</v>
      </c>
      <c r="C246" s="329">
        <f t="shared" si="16"/>
        <v>44.066666666666663</v>
      </c>
      <c r="D246" s="329">
        <v>46.2</v>
      </c>
      <c r="E246" s="329">
        <f t="shared" si="13"/>
        <v>46.166666666666664</v>
      </c>
      <c r="F246" s="329">
        <v>11.7</v>
      </c>
      <c r="G246" s="329">
        <f t="shared" si="14"/>
        <v>11.633333333333335</v>
      </c>
      <c r="H246" s="329">
        <v>11.1</v>
      </c>
      <c r="I246" s="329">
        <f t="shared" si="15"/>
        <v>11.066666666666665</v>
      </c>
      <c r="L246" s="331">
        <v>40494</v>
      </c>
      <c r="M246" s="329">
        <v>44.066666666666663</v>
      </c>
      <c r="N246" s="329">
        <v>46.166666666666664</v>
      </c>
      <c r="O246" s="329">
        <v>11.633333333333335</v>
      </c>
      <c r="P246" s="329">
        <v>11.066666666666665</v>
      </c>
      <c r="S246" s="331">
        <v>40673</v>
      </c>
      <c r="T246" s="329">
        <v>20.95</v>
      </c>
      <c r="U246" s="329">
        <v>23.133333333333329</v>
      </c>
      <c r="V246" s="329">
        <v>17.866666666666664</v>
      </c>
      <c r="W246" s="329">
        <v>16.183333333333334</v>
      </c>
      <c r="X246" s="197">
        <v>0</v>
      </c>
      <c r="Y246" s="197">
        <v>19</v>
      </c>
    </row>
    <row r="247" spans="1:25">
      <c r="A247" s="331">
        <v>40494</v>
      </c>
      <c r="B247" s="329">
        <v>43.9</v>
      </c>
      <c r="C247" s="329">
        <f t="shared" si="16"/>
        <v>44.066666666666663</v>
      </c>
      <c r="D247" s="329">
        <v>45.8</v>
      </c>
      <c r="E247" s="329">
        <f t="shared" si="13"/>
        <v>46.166666666666664</v>
      </c>
      <c r="F247" s="329">
        <v>12.6</v>
      </c>
      <c r="G247" s="329">
        <f t="shared" si="14"/>
        <v>11.633333333333335</v>
      </c>
      <c r="H247" s="329">
        <v>11.3</v>
      </c>
      <c r="I247" s="329">
        <f t="shared" si="15"/>
        <v>11.066666666666665</v>
      </c>
      <c r="L247" s="331">
        <v>40494</v>
      </c>
      <c r="M247" s="329">
        <v>44.066666666666663</v>
      </c>
      <c r="N247" s="329">
        <v>46.166666666666664</v>
      </c>
      <c r="O247" s="329">
        <v>11.633333333333335</v>
      </c>
      <c r="P247" s="329">
        <v>11.066666666666665</v>
      </c>
      <c r="S247" s="331">
        <v>40674</v>
      </c>
      <c r="T247" s="329">
        <v>20.866666666666664</v>
      </c>
      <c r="U247" s="329">
        <v>22.983333333333334</v>
      </c>
      <c r="V247" s="329">
        <v>18.033333333333335</v>
      </c>
      <c r="W247" s="329">
        <v>16.416666666666668</v>
      </c>
      <c r="X247" s="197">
        <v>0</v>
      </c>
      <c r="Y247" s="197">
        <v>20.9</v>
      </c>
    </row>
    <row r="248" spans="1:25">
      <c r="A248" s="331">
        <v>40494</v>
      </c>
      <c r="B248" s="329">
        <v>43.9</v>
      </c>
      <c r="C248" s="329">
        <f t="shared" si="16"/>
        <v>44.066666666666663</v>
      </c>
      <c r="D248" s="329">
        <v>45.8</v>
      </c>
      <c r="E248" s="329">
        <f t="shared" si="13"/>
        <v>46.166666666666664</v>
      </c>
      <c r="F248" s="329">
        <v>12.6</v>
      </c>
      <c r="G248" s="329">
        <f t="shared" si="14"/>
        <v>11.633333333333335</v>
      </c>
      <c r="H248" s="329">
        <v>11.6</v>
      </c>
      <c r="I248" s="329">
        <f t="shared" si="15"/>
        <v>11.066666666666665</v>
      </c>
      <c r="L248" s="331">
        <v>40494</v>
      </c>
      <c r="M248" s="329">
        <v>44.066666666666663</v>
      </c>
      <c r="N248" s="329">
        <v>46.166666666666664</v>
      </c>
      <c r="O248" s="329">
        <v>11.633333333333335</v>
      </c>
      <c r="P248" s="329">
        <v>11.066666666666665</v>
      </c>
      <c r="S248" s="331">
        <v>40675</v>
      </c>
      <c r="T248" s="329">
        <v>20.816666666666666</v>
      </c>
      <c r="U248" s="329">
        <v>22.916666666666668</v>
      </c>
      <c r="V248" s="329">
        <v>18.316666666666666</v>
      </c>
      <c r="W248" s="329">
        <v>16.850000000000001</v>
      </c>
      <c r="X248" s="197">
        <v>0</v>
      </c>
      <c r="Y248" s="197">
        <v>18.8</v>
      </c>
    </row>
    <row r="249" spans="1:25">
      <c r="A249" s="331">
        <v>40495</v>
      </c>
      <c r="B249" s="329">
        <v>44</v>
      </c>
      <c r="C249" s="329">
        <f t="shared" si="16"/>
        <v>43.866666666666667</v>
      </c>
      <c r="D249" s="329">
        <v>45.8</v>
      </c>
      <c r="E249" s="329">
        <f t="shared" si="13"/>
        <v>45.68333333333333</v>
      </c>
      <c r="F249" s="329">
        <v>12</v>
      </c>
      <c r="G249" s="329">
        <f t="shared" si="14"/>
        <v>11.633333333333335</v>
      </c>
      <c r="H249" s="329">
        <v>11.8</v>
      </c>
      <c r="I249" s="329">
        <f t="shared" si="15"/>
        <v>11.633333333333333</v>
      </c>
      <c r="L249" s="331">
        <v>40495</v>
      </c>
      <c r="M249" s="329">
        <v>43.866666666666667</v>
      </c>
      <c r="N249" s="329">
        <v>45.68333333333333</v>
      </c>
      <c r="O249" s="329">
        <v>11.633333333333335</v>
      </c>
      <c r="P249" s="329">
        <v>11.633333333333333</v>
      </c>
      <c r="S249" s="331">
        <v>40676</v>
      </c>
      <c r="T249" s="329">
        <v>20.8</v>
      </c>
      <c r="U249" s="329">
        <v>22.849999999999998</v>
      </c>
      <c r="V249" s="329">
        <v>18.666666666666668</v>
      </c>
      <c r="W249" s="329">
        <v>16.783333333333331</v>
      </c>
      <c r="X249" s="197">
        <v>0</v>
      </c>
      <c r="Y249" s="197">
        <v>21</v>
      </c>
    </row>
    <row r="250" spans="1:25">
      <c r="A250" s="331">
        <v>40495</v>
      </c>
      <c r="B250" s="329">
        <v>43.9</v>
      </c>
      <c r="C250" s="329">
        <f t="shared" si="16"/>
        <v>43.866666666666667</v>
      </c>
      <c r="D250" s="329">
        <v>45.8</v>
      </c>
      <c r="E250" s="329">
        <f t="shared" si="13"/>
        <v>45.68333333333333</v>
      </c>
      <c r="F250" s="329">
        <v>11.5</v>
      </c>
      <c r="G250" s="329">
        <f t="shared" si="14"/>
        <v>11.633333333333335</v>
      </c>
      <c r="H250" s="329">
        <v>11.8</v>
      </c>
      <c r="I250" s="329">
        <f t="shared" si="15"/>
        <v>11.633333333333333</v>
      </c>
      <c r="L250" s="331">
        <v>40495</v>
      </c>
      <c r="M250" s="329">
        <v>43.866666666666667</v>
      </c>
      <c r="N250" s="329">
        <v>45.68333333333333</v>
      </c>
      <c r="O250" s="329">
        <v>11.633333333333335</v>
      </c>
      <c r="P250" s="329">
        <v>11.633333333333333</v>
      </c>
      <c r="S250" s="331">
        <v>40677</v>
      </c>
      <c r="T250" s="329">
        <v>20.766666666666666</v>
      </c>
      <c r="U250" s="329">
        <v>22.8</v>
      </c>
      <c r="V250" s="329">
        <v>17.916666666666664</v>
      </c>
      <c r="W250" s="329">
        <v>17.150000000000002</v>
      </c>
      <c r="X250" s="197">
        <v>4.8</v>
      </c>
      <c r="Y250" s="197">
        <v>15.1</v>
      </c>
    </row>
    <row r="251" spans="1:25" ht="15">
      <c r="A251" s="331">
        <v>40495</v>
      </c>
      <c r="B251" s="329">
        <v>43.9</v>
      </c>
      <c r="C251" s="329">
        <f t="shared" si="16"/>
        <v>43.866666666666667</v>
      </c>
      <c r="D251" s="329">
        <v>45.8</v>
      </c>
      <c r="E251" s="329">
        <f t="shared" si="13"/>
        <v>45.68333333333333</v>
      </c>
      <c r="F251" s="329">
        <v>10.9</v>
      </c>
      <c r="G251" s="329">
        <f t="shared" si="14"/>
        <v>11.633333333333335</v>
      </c>
      <c r="H251" s="329">
        <v>11.7</v>
      </c>
      <c r="I251" s="329">
        <f t="shared" si="15"/>
        <v>11.633333333333333</v>
      </c>
      <c r="L251" s="331">
        <v>40495</v>
      </c>
      <c r="M251" s="329">
        <v>43.866666666666667</v>
      </c>
      <c r="N251" s="329">
        <v>45.68333333333333</v>
      </c>
      <c r="O251" s="329">
        <v>11.633333333333335</v>
      </c>
      <c r="P251" s="329">
        <v>11.633333333333333</v>
      </c>
      <c r="S251" s="331">
        <v>40678</v>
      </c>
      <c r="T251" s="329">
        <v>20.700000000000003</v>
      </c>
      <c r="U251" s="329">
        <v>22.75</v>
      </c>
      <c r="V251" s="329">
        <v>15.616666666666667</v>
      </c>
      <c r="W251" s="329">
        <v>15.65</v>
      </c>
      <c r="X251" s="232" t="s">
        <v>7709</v>
      </c>
      <c r="Y251" s="232" t="s">
        <v>7709</v>
      </c>
    </row>
    <row r="252" spans="1:25">
      <c r="A252" s="331">
        <v>40495</v>
      </c>
      <c r="B252" s="329">
        <v>43.9</v>
      </c>
      <c r="C252" s="329">
        <f t="shared" si="16"/>
        <v>43.866666666666667</v>
      </c>
      <c r="D252" s="329">
        <v>45.7</v>
      </c>
      <c r="E252" s="329">
        <f t="shared" si="13"/>
        <v>45.68333333333333</v>
      </c>
      <c r="F252" s="329">
        <v>10.8</v>
      </c>
      <c r="G252" s="329">
        <f t="shared" si="14"/>
        <v>11.633333333333335</v>
      </c>
      <c r="H252" s="329">
        <v>11.5</v>
      </c>
      <c r="I252" s="329">
        <f t="shared" si="15"/>
        <v>11.633333333333333</v>
      </c>
      <c r="L252" s="331">
        <v>40495</v>
      </c>
      <c r="M252" s="329">
        <v>43.866666666666667</v>
      </c>
      <c r="N252" s="329">
        <v>45.68333333333333</v>
      </c>
      <c r="O252" s="329">
        <v>11.633333333333335</v>
      </c>
      <c r="P252" s="329">
        <v>11.633333333333333</v>
      </c>
      <c r="S252" s="331">
        <v>40679</v>
      </c>
      <c r="T252" s="329">
        <v>20.633333333333333</v>
      </c>
      <c r="U252" s="329">
        <v>22.683333333333334</v>
      </c>
      <c r="V252" s="329">
        <v>14.866666666666665</v>
      </c>
      <c r="W252" s="329">
        <v>14.816666666666668</v>
      </c>
      <c r="X252" s="197">
        <v>0</v>
      </c>
      <c r="Y252" s="197">
        <v>16.100000000000001</v>
      </c>
    </row>
    <row r="253" spans="1:25">
      <c r="A253" s="331">
        <v>40495</v>
      </c>
      <c r="B253" s="329">
        <v>43.8</v>
      </c>
      <c r="C253" s="329">
        <f t="shared" si="16"/>
        <v>43.866666666666667</v>
      </c>
      <c r="D253" s="329">
        <v>45.5</v>
      </c>
      <c r="E253" s="329">
        <f t="shared" si="13"/>
        <v>45.68333333333333</v>
      </c>
      <c r="F253" s="329">
        <v>12.2</v>
      </c>
      <c r="G253" s="329">
        <f t="shared" si="14"/>
        <v>11.633333333333335</v>
      </c>
      <c r="H253" s="329">
        <v>11.4</v>
      </c>
      <c r="I253" s="329">
        <f t="shared" si="15"/>
        <v>11.633333333333333</v>
      </c>
      <c r="L253" s="331">
        <v>40495</v>
      </c>
      <c r="M253" s="329">
        <v>43.866666666666667</v>
      </c>
      <c r="N253" s="329">
        <v>45.68333333333333</v>
      </c>
      <c r="O253" s="329">
        <v>11.633333333333335</v>
      </c>
      <c r="P253" s="329">
        <v>11.633333333333333</v>
      </c>
      <c r="S253" s="331">
        <v>40680</v>
      </c>
      <c r="T253" s="329">
        <v>20.65</v>
      </c>
      <c r="U253" s="329">
        <v>22.7</v>
      </c>
      <c r="V253" s="329">
        <v>15.916666666666666</v>
      </c>
      <c r="W253" s="329">
        <v>15</v>
      </c>
      <c r="X253" s="197">
        <v>0</v>
      </c>
      <c r="Y253" s="197">
        <v>19.2</v>
      </c>
    </row>
    <row r="254" spans="1:25">
      <c r="A254" s="331">
        <v>40495</v>
      </c>
      <c r="B254" s="329">
        <v>43.7</v>
      </c>
      <c r="C254" s="329">
        <f t="shared" si="16"/>
        <v>43.866666666666667</v>
      </c>
      <c r="D254" s="329">
        <v>45.5</v>
      </c>
      <c r="E254" s="329">
        <f t="shared" si="13"/>
        <v>45.68333333333333</v>
      </c>
      <c r="F254" s="329">
        <v>12.4</v>
      </c>
      <c r="G254" s="329">
        <f t="shared" si="14"/>
        <v>11.633333333333335</v>
      </c>
      <c r="H254" s="329">
        <v>11.6</v>
      </c>
      <c r="I254" s="329">
        <f t="shared" si="15"/>
        <v>11.633333333333333</v>
      </c>
      <c r="L254" s="331">
        <v>40495</v>
      </c>
      <c r="M254" s="329">
        <v>43.866666666666667</v>
      </c>
      <c r="N254" s="329">
        <v>45.68333333333333</v>
      </c>
      <c r="O254" s="329">
        <v>11.633333333333335</v>
      </c>
      <c r="P254" s="329">
        <v>11.633333333333333</v>
      </c>
      <c r="S254" s="331">
        <v>40681</v>
      </c>
      <c r="T254" s="329">
        <v>20.683333333333334</v>
      </c>
      <c r="U254" s="329">
        <v>22.75</v>
      </c>
      <c r="V254" s="329">
        <v>17.216666666666665</v>
      </c>
      <c r="W254" s="329">
        <v>15.733333333333333</v>
      </c>
      <c r="X254" s="197">
        <v>0</v>
      </c>
      <c r="Y254" s="197">
        <v>20.100000000000001</v>
      </c>
    </row>
    <row r="255" spans="1:25">
      <c r="A255" s="331">
        <v>40496</v>
      </c>
      <c r="B255" s="329">
        <v>43.7</v>
      </c>
      <c r="C255" s="329">
        <f t="shared" si="16"/>
        <v>43.633333333333333</v>
      </c>
      <c r="D255" s="329">
        <v>45.5</v>
      </c>
      <c r="E255" s="329">
        <f t="shared" si="13"/>
        <v>45.433333333333337</v>
      </c>
      <c r="F255" s="329">
        <v>12.2</v>
      </c>
      <c r="G255" s="329">
        <f t="shared" si="14"/>
        <v>12.333333333333334</v>
      </c>
      <c r="H255" s="329">
        <v>11.8</v>
      </c>
      <c r="I255" s="329">
        <f t="shared" si="15"/>
        <v>11.916666666666666</v>
      </c>
      <c r="L255" s="331">
        <v>40496</v>
      </c>
      <c r="M255" s="329">
        <v>43.633333333333333</v>
      </c>
      <c r="N255" s="329">
        <v>45.433333333333337</v>
      </c>
      <c r="O255" s="329">
        <v>12.333333333333334</v>
      </c>
      <c r="P255" s="329">
        <v>11.916666666666666</v>
      </c>
      <c r="S255" s="331">
        <v>40682</v>
      </c>
      <c r="T255" s="329">
        <v>20.75</v>
      </c>
      <c r="U255" s="329">
        <v>22.8</v>
      </c>
      <c r="V255" s="329">
        <v>18.216666666666669</v>
      </c>
      <c r="W255" s="329">
        <v>16.483333333333334</v>
      </c>
      <c r="X255" s="197">
        <v>0</v>
      </c>
      <c r="Y255" s="197">
        <v>19.5</v>
      </c>
    </row>
    <row r="256" spans="1:25">
      <c r="A256" s="331">
        <v>40496</v>
      </c>
      <c r="B256" s="329">
        <v>43.7</v>
      </c>
      <c r="C256" s="329">
        <f t="shared" si="16"/>
        <v>43.633333333333333</v>
      </c>
      <c r="D256" s="329">
        <v>45.5</v>
      </c>
      <c r="E256" s="329">
        <f t="shared" si="13"/>
        <v>45.433333333333337</v>
      </c>
      <c r="F256" s="329">
        <v>12</v>
      </c>
      <c r="G256" s="329">
        <f t="shared" si="14"/>
        <v>12.333333333333334</v>
      </c>
      <c r="H256" s="329">
        <v>11.9</v>
      </c>
      <c r="I256" s="329">
        <f t="shared" si="15"/>
        <v>11.916666666666666</v>
      </c>
      <c r="L256" s="331">
        <v>40496</v>
      </c>
      <c r="M256" s="329">
        <v>43.633333333333333</v>
      </c>
      <c r="N256" s="329">
        <v>45.433333333333337</v>
      </c>
      <c r="O256" s="329">
        <v>12.333333333333334</v>
      </c>
      <c r="P256" s="329">
        <v>11.916666666666666</v>
      </c>
      <c r="S256" s="331">
        <v>40683</v>
      </c>
      <c r="T256" s="329">
        <v>20.75</v>
      </c>
      <c r="U256" s="329">
        <v>22.900000000000002</v>
      </c>
      <c r="V256" s="329">
        <v>18.266666666666666</v>
      </c>
      <c r="W256" s="329">
        <v>16.833333333333332</v>
      </c>
      <c r="X256" s="197">
        <v>0</v>
      </c>
      <c r="Y256" s="197">
        <v>20.7</v>
      </c>
    </row>
    <row r="257" spans="1:25">
      <c r="A257" s="331">
        <v>40496</v>
      </c>
      <c r="B257" s="329">
        <v>43.7</v>
      </c>
      <c r="C257" s="329">
        <f t="shared" si="16"/>
        <v>43.633333333333333</v>
      </c>
      <c r="D257" s="329">
        <v>45.5</v>
      </c>
      <c r="E257" s="329">
        <f t="shared" si="13"/>
        <v>45.433333333333337</v>
      </c>
      <c r="F257" s="329">
        <v>11.9</v>
      </c>
      <c r="G257" s="329">
        <f t="shared" si="14"/>
        <v>12.333333333333334</v>
      </c>
      <c r="H257" s="329">
        <v>11.9</v>
      </c>
      <c r="I257" s="329">
        <f t="shared" si="15"/>
        <v>11.916666666666666</v>
      </c>
      <c r="L257" s="331">
        <v>40496</v>
      </c>
      <c r="M257" s="329">
        <v>43.633333333333333</v>
      </c>
      <c r="N257" s="329">
        <v>45.433333333333337</v>
      </c>
      <c r="O257" s="329">
        <v>12.333333333333334</v>
      </c>
      <c r="P257" s="329">
        <v>11.916666666666666</v>
      </c>
      <c r="S257" s="331">
        <v>40684</v>
      </c>
      <c r="T257" s="329">
        <v>20.766666666666666</v>
      </c>
      <c r="U257" s="329">
        <v>22.900000000000002</v>
      </c>
      <c r="V257" s="329">
        <v>19.316666666666666</v>
      </c>
      <c r="W257" s="329">
        <v>17.349999999999998</v>
      </c>
      <c r="X257" s="197">
        <v>0</v>
      </c>
      <c r="Y257" s="197">
        <v>21.7</v>
      </c>
    </row>
    <row r="258" spans="1:25">
      <c r="A258" s="331">
        <v>40496</v>
      </c>
      <c r="B258" s="329">
        <v>43.7</v>
      </c>
      <c r="C258" s="329">
        <f t="shared" si="16"/>
        <v>43.633333333333333</v>
      </c>
      <c r="D258" s="329">
        <v>45.5</v>
      </c>
      <c r="E258" s="329">
        <f t="shared" si="13"/>
        <v>45.433333333333337</v>
      </c>
      <c r="F258" s="329">
        <v>12</v>
      </c>
      <c r="G258" s="329">
        <f t="shared" si="14"/>
        <v>12.333333333333334</v>
      </c>
      <c r="H258" s="329">
        <v>11.9</v>
      </c>
      <c r="I258" s="329">
        <f t="shared" si="15"/>
        <v>11.916666666666666</v>
      </c>
      <c r="L258" s="331">
        <v>40496</v>
      </c>
      <c r="M258" s="329">
        <v>43.633333333333333</v>
      </c>
      <c r="N258" s="329">
        <v>45.433333333333337</v>
      </c>
      <c r="O258" s="329">
        <v>12.333333333333334</v>
      </c>
      <c r="P258" s="329">
        <v>11.916666666666666</v>
      </c>
      <c r="S258" s="331">
        <v>40685</v>
      </c>
      <c r="T258" s="329">
        <v>20.766666666666669</v>
      </c>
      <c r="U258" s="329">
        <v>22.950000000000003</v>
      </c>
      <c r="V258" s="329">
        <v>18.95</v>
      </c>
      <c r="W258" s="329">
        <v>17.733333333333334</v>
      </c>
      <c r="X258" s="197">
        <v>0</v>
      </c>
      <c r="Y258" s="197">
        <v>18.2</v>
      </c>
    </row>
    <row r="259" spans="1:25">
      <c r="A259" s="331">
        <v>40496</v>
      </c>
      <c r="B259" s="329">
        <v>43.5</v>
      </c>
      <c r="C259" s="329">
        <f t="shared" si="16"/>
        <v>43.633333333333333</v>
      </c>
      <c r="D259" s="329">
        <v>45.3</v>
      </c>
      <c r="E259" s="329">
        <f t="shared" si="13"/>
        <v>45.433333333333337</v>
      </c>
      <c r="F259" s="329">
        <v>13</v>
      </c>
      <c r="G259" s="329">
        <f t="shared" si="14"/>
        <v>12.333333333333334</v>
      </c>
      <c r="H259" s="329">
        <v>11.9</v>
      </c>
      <c r="I259" s="329">
        <f t="shared" si="15"/>
        <v>11.916666666666666</v>
      </c>
      <c r="L259" s="331">
        <v>40496</v>
      </c>
      <c r="M259" s="329">
        <v>43.633333333333333</v>
      </c>
      <c r="N259" s="329">
        <v>45.433333333333337</v>
      </c>
      <c r="O259" s="329">
        <v>12.333333333333334</v>
      </c>
      <c r="P259" s="329">
        <v>11.916666666666666</v>
      </c>
      <c r="S259" s="331">
        <v>40686</v>
      </c>
      <c r="T259" s="329">
        <v>20.7</v>
      </c>
      <c r="U259" s="329">
        <v>22.900000000000002</v>
      </c>
      <c r="V259" s="329">
        <v>18.383333333333336</v>
      </c>
      <c r="W259" s="329">
        <v>17.133333333333329</v>
      </c>
      <c r="X259" s="197">
        <v>0</v>
      </c>
      <c r="Y259" s="197">
        <v>21</v>
      </c>
    </row>
    <row r="260" spans="1:25">
      <c r="A260" s="331">
        <v>40496</v>
      </c>
      <c r="B260" s="329">
        <v>43.5</v>
      </c>
      <c r="C260" s="329">
        <f t="shared" si="16"/>
        <v>43.633333333333333</v>
      </c>
      <c r="D260" s="329">
        <v>45.3</v>
      </c>
      <c r="E260" s="329">
        <f t="shared" si="13"/>
        <v>45.433333333333337</v>
      </c>
      <c r="F260" s="329">
        <v>12.9</v>
      </c>
      <c r="G260" s="329">
        <f t="shared" si="14"/>
        <v>12.333333333333334</v>
      </c>
      <c r="H260" s="329">
        <v>12.1</v>
      </c>
      <c r="I260" s="329">
        <f t="shared" si="15"/>
        <v>11.916666666666666</v>
      </c>
      <c r="L260" s="331">
        <v>40496</v>
      </c>
      <c r="M260" s="329">
        <v>43.633333333333333</v>
      </c>
      <c r="N260" s="329">
        <v>45.433333333333337</v>
      </c>
      <c r="O260" s="329">
        <v>12.333333333333334</v>
      </c>
      <c r="P260" s="329">
        <v>11.916666666666666</v>
      </c>
      <c r="S260" s="331">
        <v>40687</v>
      </c>
      <c r="T260" s="329">
        <v>20.75</v>
      </c>
      <c r="U260" s="329">
        <v>22.900000000000002</v>
      </c>
      <c r="V260" s="329">
        <v>19.316666666666666</v>
      </c>
      <c r="W260" s="329">
        <v>17.666666666666668</v>
      </c>
      <c r="X260" s="197">
        <v>0</v>
      </c>
      <c r="Y260" s="197">
        <v>20.9</v>
      </c>
    </row>
    <row r="261" spans="1:25">
      <c r="A261" s="331">
        <v>40497</v>
      </c>
      <c r="B261" s="329">
        <v>44.1</v>
      </c>
      <c r="C261" s="329">
        <f t="shared" si="16"/>
        <v>46.416666666666664</v>
      </c>
      <c r="D261" s="329">
        <v>45.3</v>
      </c>
      <c r="E261" s="329">
        <f t="shared" si="13"/>
        <v>48.283333333333324</v>
      </c>
      <c r="F261" s="329">
        <v>12.4</v>
      </c>
      <c r="G261" s="329">
        <f t="shared" si="14"/>
        <v>11.749999999999998</v>
      </c>
      <c r="H261" s="329">
        <v>12.2</v>
      </c>
      <c r="I261" s="329">
        <f t="shared" si="15"/>
        <v>12</v>
      </c>
      <c r="L261" s="331">
        <v>40497</v>
      </c>
      <c r="M261" s="329">
        <v>46.416666666666664</v>
      </c>
      <c r="N261" s="329">
        <v>48.283333333333324</v>
      </c>
      <c r="O261" s="329">
        <v>11.749999999999998</v>
      </c>
      <c r="P261" s="329">
        <v>12</v>
      </c>
      <c r="S261" s="331">
        <v>40688</v>
      </c>
      <c r="T261" s="329">
        <v>20.783333333333331</v>
      </c>
      <c r="U261" s="329">
        <v>23</v>
      </c>
      <c r="V261" s="329">
        <v>20.233333333333331</v>
      </c>
      <c r="W261" s="329">
        <v>18.216666666666665</v>
      </c>
      <c r="X261" s="197">
        <v>0</v>
      </c>
      <c r="Y261" s="197">
        <v>22.9</v>
      </c>
    </row>
    <row r="262" spans="1:25">
      <c r="A262" s="331">
        <v>40497</v>
      </c>
      <c r="B262" s="329">
        <v>43.7</v>
      </c>
      <c r="C262" s="329">
        <f t="shared" si="16"/>
        <v>46.416666666666664</v>
      </c>
      <c r="D262" s="329">
        <v>45.3</v>
      </c>
      <c r="E262" s="329">
        <f t="shared" si="13"/>
        <v>48.283333333333324</v>
      </c>
      <c r="F262" s="329">
        <v>11.9</v>
      </c>
      <c r="G262" s="329">
        <f t="shared" si="14"/>
        <v>11.749999999999998</v>
      </c>
      <c r="H262" s="329">
        <v>12.2</v>
      </c>
      <c r="I262" s="329">
        <f t="shared" si="15"/>
        <v>12</v>
      </c>
      <c r="L262" s="331">
        <v>40497</v>
      </c>
      <c r="M262" s="329">
        <v>46.416666666666664</v>
      </c>
      <c r="N262" s="329">
        <v>48.283333333333324</v>
      </c>
      <c r="O262" s="329">
        <v>11.749999999999998</v>
      </c>
      <c r="P262" s="329">
        <v>12</v>
      </c>
      <c r="S262" s="331">
        <v>40689</v>
      </c>
      <c r="T262" s="329">
        <v>20.816666666666666</v>
      </c>
      <c r="U262" s="329">
        <v>23</v>
      </c>
      <c r="V262" s="329">
        <v>19.866666666666664</v>
      </c>
      <c r="W262" s="329">
        <v>18.683333333333334</v>
      </c>
      <c r="X262" s="197">
        <v>0</v>
      </c>
      <c r="Y262" s="197">
        <v>19.600000000000001</v>
      </c>
    </row>
    <row r="263" spans="1:25">
      <c r="A263" s="331">
        <v>40497</v>
      </c>
      <c r="B263" s="329">
        <v>44.1</v>
      </c>
      <c r="C263" s="329">
        <f t="shared" si="16"/>
        <v>46.416666666666664</v>
      </c>
      <c r="D263" s="329">
        <v>45.3</v>
      </c>
      <c r="E263" s="329">
        <f t="shared" si="13"/>
        <v>48.283333333333324</v>
      </c>
      <c r="F263" s="329">
        <v>11.5</v>
      </c>
      <c r="G263" s="329">
        <f t="shared" si="14"/>
        <v>11.749999999999998</v>
      </c>
      <c r="H263" s="329">
        <v>12.1</v>
      </c>
      <c r="I263" s="329">
        <f t="shared" si="15"/>
        <v>12</v>
      </c>
      <c r="L263" s="331">
        <v>40497</v>
      </c>
      <c r="M263" s="329">
        <v>46.416666666666664</v>
      </c>
      <c r="N263" s="329">
        <v>48.283333333333324</v>
      </c>
      <c r="O263" s="329">
        <v>11.749999999999998</v>
      </c>
      <c r="P263" s="329">
        <v>12</v>
      </c>
      <c r="S263" s="331">
        <v>40690</v>
      </c>
      <c r="T263" s="329">
        <v>20.716666666666669</v>
      </c>
      <c r="U263" s="329">
        <v>22.933333333333337</v>
      </c>
      <c r="V263" s="329">
        <v>18.55</v>
      </c>
      <c r="W263" s="329">
        <v>17.883333333333333</v>
      </c>
      <c r="X263" s="197">
        <v>0</v>
      </c>
      <c r="Y263" s="197">
        <v>16.3</v>
      </c>
    </row>
    <row r="264" spans="1:25">
      <c r="A264" s="331">
        <v>40497</v>
      </c>
      <c r="B264" s="329">
        <v>52.4</v>
      </c>
      <c r="C264" s="329">
        <f t="shared" si="16"/>
        <v>46.416666666666664</v>
      </c>
      <c r="D264" s="329">
        <v>51.7</v>
      </c>
      <c r="E264" s="329">
        <f t="shared" si="13"/>
        <v>48.283333333333324</v>
      </c>
      <c r="F264" s="329">
        <v>11.4</v>
      </c>
      <c r="G264" s="329">
        <f t="shared" si="14"/>
        <v>11.749999999999998</v>
      </c>
      <c r="H264" s="329">
        <v>11.9</v>
      </c>
      <c r="I264" s="329">
        <f t="shared" si="15"/>
        <v>12</v>
      </c>
      <c r="L264" s="331">
        <v>40497</v>
      </c>
      <c r="M264" s="329">
        <v>46.416666666666664</v>
      </c>
      <c r="N264" s="329">
        <v>48.283333333333324</v>
      </c>
      <c r="O264" s="329">
        <v>11.749999999999998</v>
      </c>
      <c r="P264" s="329">
        <v>12</v>
      </c>
      <c r="S264" s="331">
        <v>40691</v>
      </c>
      <c r="T264" s="329">
        <v>20.666666666666668</v>
      </c>
      <c r="U264" s="329">
        <v>22.900000000000002</v>
      </c>
      <c r="V264" s="329">
        <v>18.166666666666668</v>
      </c>
      <c r="W264" s="329">
        <v>17.399999999999999</v>
      </c>
      <c r="X264" s="197">
        <v>0</v>
      </c>
      <c r="Y264" s="197">
        <v>18</v>
      </c>
    </row>
    <row r="265" spans="1:25">
      <c r="A265" s="331">
        <v>40497</v>
      </c>
      <c r="B265" s="329">
        <v>48.1</v>
      </c>
      <c r="C265" s="329">
        <f t="shared" si="16"/>
        <v>46.416666666666664</v>
      </c>
      <c r="D265" s="329">
        <v>51.7</v>
      </c>
      <c r="E265" s="329">
        <f t="shared" si="13"/>
        <v>48.283333333333324</v>
      </c>
      <c r="F265" s="329">
        <v>11.7</v>
      </c>
      <c r="G265" s="329">
        <f t="shared" si="14"/>
        <v>11.749999999999998</v>
      </c>
      <c r="H265" s="329">
        <v>11.8</v>
      </c>
      <c r="I265" s="329">
        <f t="shared" si="15"/>
        <v>12</v>
      </c>
      <c r="L265" s="331">
        <v>40497</v>
      </c>
      <c r="M265" s="329">
        <v>46.416666666666664</v>
      </c>
      <c r="N265" s="329">
        <v>48.283333333333324</v>
      </c>
      <c r="O265" s="329">
        <v>11.749999999999998</v>
      </c>
      <c r="P265" s="329">
        <v>12</v>
      </c>
      <c r="S265" s="331">
        <v>40692</v>
      </c>
      <c r="T265" s="329">
        <v>20.7</v>
      </c>
      <c r="U265" s="329">
        <v>22.900000000000002</v>
      </c>
      <c r="V265" s="329">
        <v>18.916666666666668</v>
      </c>
      <c r="W265" s="329">
        <v>17.75</v>
      </c>
      <c r="X265" s="197">
        <v>0</v>
      </c>
      <c r="Y265" s="197">
        <v>21</v>
      </c>
    </row>
    <row r="266" spans="1:25">
      <c r="A266" s="331">
        <v>40497</v>
      </c>
      <c r="B266" s="329">
        <v>46.1</v>
      </c>
      <c r="C266" s="329">
        <f t="shared" si="16"/>
        <v>46.416666666666664</v>
      </c>
      <c r="D266" s="329">
        <v>50.4</v>
      </c>
      <c r="E266" s="329">
        <f t="shared" si="13"/>
        <v>48.283333333333324</v>
      </c>
      <c r="F266" s="329">
        <v>11.6</v>
      </c>
      <c r="G266" s="329">
        <f t="shared" si="14"/>
        <v>11.749999999999998</v>
      </c>
      <c r="H266" s="329">
        <v>11.8</v>
      </c>
      <c r="I266" s="329">
        <f t="shared" si="15"/>
        <v>12</v>
      </c>
      <c r="L266" s="331">
        <v>40497</v>
      </c>
      <c r="M266" s="329">
        <v>46.416666666666664</v>
      </c>
      <c r="N266" s="329">
        <v>48.283333333333324</v>
      </c>
      <c r="O266" s="329">
        <v>11.749999999999998</v>
      </c>
      <c r="P266" s="329">
        <v>12</v>
      </c>
      <c r="S266" s="331">
        <v>40693</v>
      </c>
      <c r="T266" s="329">
        <v>20.783333333333335</v>
      </c>
      <c r="U266" s="329">
        <v>23</v>
      </c>
      <c r="V266" s="329">
        <v>19.966666666666665</v>
      </c>
      <c r="W266" s="329">
        <v>18.633333333333333</v>
      </c>
      <c r="X266" s="197">
        <v>9.6999999999999993</v>
      </c>
      <c r="Y266" s="197">
        <v>20.100000000000001</v>
      </c>
    </row>
    <row r="267" spans="1:25">
      <c r="A267" s="331">
        <v>40498</v>
      </c>
      <c r="B267" s="329">
        <v>45.5</v>
      </c>
      <c r="C267" s="329">
        <f t="shared" si="16"/>
        <v>45.066666666666663</v>
      </c>
      <c r="D267" s="329">
        <v>49.5</v>
      </c>
      <c r="E267" s="329">
        <f t="shared" si="13"/>
        <v>47.54999999999999</v>
      </c>
      <c r="F267" s="329">
        <v>11.1</v>
      </c>
      <c r="G267" s="329">
        <f t="shared" si="14"/>
        <v>10.616666666666665</v>
      </c>
      <c r="H267" s="329">
        <v>11.8</v>
      </c>
      <c r="I267" s="329">
        <f t="shared" si="15"/>
        <v>11.433333333333335</v>
      </c>
      <c r="L267" s="331">
        <v>40498</v>
      </c>
      <c r="M267" s="329">
        <v>45.066666666666663</v>
      </c>
      <c r="N267" s="329">
        <v>47.54999999999999</v>
      </c>
      <c r="O267" s="329">
        <v>10.616666666666665</v>
      </c>
      <c r="P267" s="329">
        <v>11.433333333333335</v>
      </c>
      <c r="S267" s="331">
        <v>40694</v>
      </c>
      <c r="T267" s="329">
        <v>26.216666666666669</v>
      </c>
      <c r="U267" s="329">
        <v>23</v>
      </c>
      <c r="V267" s="329">
        <v>18.166666666666668</v>
      </c>
      <c r="W267" s="329">
        <v>18.083333333333332</v>
      </c>
      <c r="X267" s="197">
        <v>2.4</v>
      </c>
      <c r="Y267" s="197">
        <v>15.3</v>
      </c>
    </row>
    <row r="268" spans="1:25">
      <c r="A268" s="331">
        <v>40498</v>
      </c>
      <c r="B268" s="329">
        <v>45.3</v>
      </c>
      <c r="C268" s="329">
        <f t="shared" si="16"/>
        <v>45.066666666666663</v>
      </c>
      <c r="D268" s="329">
        <v>48.2</v>
      </c>
      <c r="E268" s="329">
        <f t="shared" si="13"/>
        <v>47.54999999999999</v>
      </c>
      <c r="F268" s="329">
        <v>10.7</v>
      </c>
      <c r="G268" s="329">
        <f t="shared" si="14"/>
        <v>10.616666666666665</v>
      </c>
      <c r="H268" s="329">
        <v>11.6</v>
      </c>
      <c r="I268" s="329">
        <f t="shared" si="15"/>
        <v>11.433333333333335</v>
      </c>
      <c r="L268" s="331">
        <v>40498</v>
      </c>
      <c r="M268" s="329">
        <v>45.066666666666663</v>
      </c>
      <c r="N268" s="329">
        <v>47.54999999999999</v>
      </c>
      <c r="O268" s="329">
        <v>10.616666666666665</v>
      </c>
      <c r="P268" s="329">
        <v>11.433333333333335</v>
      </c>
      <c r="S268" s="331">
        <v>40695</v>
      </c>
      <c r="T268" s="329">
        <v>24.783333333333335</v>
      </c>
      <c r="U268" s="329">
        <v>22.933333333333337</v>
      </c>
      <c r="V268" s="329">
        <v>15.600000000000001</v>
      </c>
      <c r="W268" s="329">
        <v>16.533333333333331</v>
      </c>
      <c r="X268" s="197">
        <v>5</v>
      </c>
      <c r="Y268" s="197">
        <v>12.9</v>
      </c>
    </row>
    <row r="269" spans="1:25">
      <c r="A269" s="331">
        <v>40498</v>
      </c>
      <c r="B269" s="329">
        <v>45.1</v>
      </c>
      <c r="C269" s="329">
        <f t="shared" si="16"/>
        <v>45.066666666666663</v>
      </c>
      <c r="D269" s="329">
        <v>47.5</v>
      </c>
      <c r="E269" s="329">
        <f t="shared" si="13"/>
        <v>47.54999999999999</v>
      </c>
      <c r="F269" s="329">
        <v>10.4</v>
      </c>
      <c r="G269" s="329">
        <f t="shared" si="14"/>
        <v>10.616666666666665</v>
      </c>
      <c r="H269" s="329">
        <v>11.5</v>
      </c>
      <c r="I269" s="329">
        <f t="shared" si="15"/>
        <v>11.433333333333335</v>
      </c>
      <c r="L269" s="331">
        <v>40498</v>
      </c>
      <c r="M269" s="329">
        <v>45.066666666666663</v>
      </c>
      <c r="N269" s="329">
        <v>47.54999999999999</v>
      </c>
      <c r="O269" s="329">
        <v>10.616666666666665</v>
      </c>
      <c r="P269" s="329">
        <v>11.433333333333335</v>
      </c>
      <c r="S269" s="331">
        <v>40696</v>
      </c>
      <c r="T269" s="329">
        <v>23.849999999999998</v>
      </c>
      <c r="U269" s="329">
        <v>22.833333333333332</v>
      </c>
      <c r="V269" s="329">
        <v>14.850000000000001</v>
      </c>
      <c r="W269" s="329">
        <v>15.399999999999999</v>
      </c>
      <c r="X269" s="197">
        <v>1.8</v>
      </c>
      <c r="Y269" s="197">
        <v>13.3</v>
      </c>
    </row>
    <row r="270" spans="1:25">
      <c r="A270" s="331">
        <v>40498</v>
      </c>
      <c r="B270" s="329">
        <v>45</v>
      </c>
      <c r="C270" s="329">
        <f t="shared" si="16"/>
        <v>45.066666666666663</v>
      </c>
      <c r="D270" s="329">
        <v>47.1</v>
      </c>
      <c r="E270" s="329">
        <f t="shared" si="13"/>
        <v>47.54999999999999</v>
      </c>
      <c r="F270" s="329">
        <v>10.4</v>
      </c>
      <c r="G270" s="329">
        <f t="shared" si="14"/>
        <v>10.616666666666665</v>
      </c>
      <c r="H270" s="329">
        <v>11.3</v>
      </c>
      <c r="I270" s="329">
        <f t="shared" si="15"/>
        <v>11.433333333333335</v>
      </c>
      <c r="L270" s="331">
        <v>40498</v>
      </c>
      <c r="M270" s="329">
        <v>45.066666666666663</v>
      </c>
      <c r="N270" s="329">
        <v>47.54999999999999</v>
      </c>
      <c r="O270" s="329">
        <v>10.616666666666665</v>
      </c>
      <c r="P270" s="329">
        <v>11.433333333333335</v>
      </c>
      <c r="S270" s="331">
        <v>40697</v>
      </c>
      <c r="T270" s="329">
        <v>23.55</v>
      </c>
      <c r="U270" s="329">
        <v>22.816666666666666</v>
      </c>
      <c r="V270" s="329">
        <v>16.166666666666668</v>
      </c>
      <c r="W270" s="329">
        <v>15.466666666666667</v>
      </c>
      <c r="X270" s="197">
        <v>0</v>
      </c>
      <c r="Y270" s="197">
        <v>17.2</v>
      </c>
    </row>
    <row r="271" spans="1:25">
      <c r="A271" s="331">
        <v>40498</v>
      </c>
      <c r="B271" s="329">
        <v>44.8</v>
      </c>
      <c r="C271" s="329">
        <f t="shared" si="16"/>
        <v>45.066666666666663</v>
      </c>
      <c r="D271" s="329">
        <v>46.5</v>
      </c>
      <c r="E271" s="329">
        <f t="shared" si="13"/>
        <v>47.54999999999999</v>
      </c>
      <c r="F271" s="329">
        <v>10.7</v>
      </c>
      <c r="G271" s="329">
        <f t="shared" si="14"/>
        <v>10.616666666666665</v>
      </c>
      <c r="H271" s="329">
        <v>11.2</v>
      </c>
      <c r="I271" s="329">
        <f t="shared" si="15"/>
        <v>11.433333333333335</v>
      </c>
      <c r="L271" s="331">
        <v>40498</v>
      </c>
      <c r="M271" s="329">
        <v>45.066666666666663</v>
      </c>
      <c r="N271" s="329">
        <v>47.54999999999999</v>
      </c>
      <c r="O271" s="329">
        <v>10.616666666666665</v>
      </c>
      <c r="P271" s="329">
        <v>11.433333333333335</v>
      </c>
      <c r="S271" s="331">
        <v>40698</v>
      </c>
      <c r="T271" s="329">
        <v>23.533333333333331</v>
      </c>
      <c r="U271" s="329">
        <v>22.900000000000002</v>
      </c>
      <c r="V271" s="329">
        <v>16.966666666666665</v>
      </c>
      <c r="W271" s="329">
        <v>16.233333333333331</v>
      </c>
      <c r="X271" s="197">
        <v>2.2000000000000002</v>
      </c>
      <c r="Y271" s="197">
        <v>17.600000000000001</v>
      </c>
    </row>
    <row r="272" spans="1:25">
      <c r="A272" s="331">
        <v>40498</v>
      </c>
      <c r="B272" s="329">
        <v>44.7</v>
      </c>
      <c r="C272" s="329">
        <f t="shared" si="16"/>
        <v>45.066666666666663</v>
      </c>
      <c r="D272" s="329">
        <v>46.5</v>
      </c>
      <c r="E272" s="329">
        <f t="shared" si="13"/>
        <v>47.54999999999999</v>
      </c>
      <c r="F272" s="329">
        <v>10.4</v>
      </c>
      <c r="G272" s="329">
        <f t="shared" si="14"/>
        <v>10.616666666666665</v>
      </c>
      <c r="H272" s="329">
        <v>11.2</v>
      </c>
      <c r="I272" s="329">
        <f t="shared" si="15"/>
        <v>11.433333333333335</v>
      </c>
      <c r="L272" s="331">
        <v>40498</v>
      </c>
      <c r="M272" s="329">
        <v>45.066666666666663</v>
      </c>
      <c r="N272" s="329">
        <v>47.54999999999999</v>
      </c>
      <c r="O272" s="329">
        <v>10.616666666666665</v>
      </c>
      <c r="P272" s="329">
        <v>11.433333333333335</v>
      </c>
      <c r="S272" s="331">
        <v>40699</v>
      </c>
      <c r="T272" s="329">
        <v>23.533333333333331</v>
      </c>
      <c r="U272" s="329">
        <v>22.933333333333334</v>
      </c>
      <c r="V272" s="329">
        <v>17.416666666666668</v>
      </c>
      <c r="W272" s="329">
        <v>16.416666666666668</v>
      </c>
      <c r="X272" s="197">
        <v>0</v>
      </c>
      <c r="Y272" s="197">
        <v>19</v>
      </c>
    </row>
    <row r="273" spans="1:25">
      <c r="A273" s="331">
        <v>40499</v>
      </c>
      <c r="B273" s="329">
        <v>44.7</v>
      </c>
      <c r="C273" s="329">
        <f t="shared" si="16"/>
        <v>46.916666666666664</v>
      </c>
      <c r="D273" s="329">
        <v>46.4</v>
      </c>
      <c r="E273" s="329">
        <f t="shared" si="13"/>
        <v>50.716666666666661</v>
      </c>
      <c r="F273" s="329">
        <v>9.5</v>
      </c>
      <c r="G273" s="329">
        <f t="shared" si="14"/>
        <v>8.6</v>
      </c>
      <c r="H273" s="329">
        <v>11.1</v>
      </c>
      <c r="I273" s="329">
        <f t="shared" si="15"/>
        <v>10.416666666666666</v>
      </c>
      <c r="L273" s="331">
        <v>40499</v>
      </c>
      <c r="M273" s="329">
        <v>46.916666666666664</v>
      </c>
      <c r="N273" s="329">
        <v>50.716666666666661</v>
      </c>
      <c r="O273" s="329">
        <v>8.6</v>
      </c>
      <c r="P273" s="329">
        <v>10.416666666666666</v>
      </c>
      <c r="S273" s="331">
        <v>40700</v>
      </c>
      <c r="T273" s="329">
        <v>23.583333333333332</v>
      </c>
      <c r="U273" s="329">
        <v>23</v>
      </c>
      <c r="V273" s="329">
        <v>18.133333333333333</v>
      </c>
      <c r="W273" s="329">
        <v>16.916666666666668</v>
      </c>
      <c r="X273" s="197">
        <v>0</v>
      </c>
      <c r="Y273" s="197">
        <v>19.600000000000001</v>
      </c>
    </row>
    <row r="274" spans="1:25">
      <c r="A274" s="331">
        <v>40499</v>
      </c>
      <c r="B274" s="329">
        <v>44.6</v>
      </c>
      <c r="C274" s="329">
        <f t="shared" si="16"/>
        <v>46.916666666666664</v>
      </c>
      <c r="D274" s="329">
        <v>46.3</v>
      </c>
      <c r="E274" s="329">
        <f t="shared" si="13"/>
        <v>50.716666666666661</v>
      </c>
      <c r="F274" s="329">
        <v>8.6999999999999993</v>
      </c>
      <c r="G274" s="329">
        <f t="shared" si="14"/>
        <v>8.6</v>
      </c>
      <c r="H274" s="329">
        <v>10.8</v>
      </c>
      <c r="I274" s="329">
        <f t="shared" si="15"/>
        <v>10.416666666666666</v>
      </c>
      <c r="L274" s="331">
        <v>40499</v>
      </c>
      <c r="M274" s="329">
        <v>46.916666666666664</v>
      </c>
      <c r="N274" s="329">
        <v>50.716666666666661</v>
      </c>
      <c r="O274" s="329">
        <v>8.6</v>
      </c>
      <c r="P274" s="329">
        <v>10.416666666666666</v>
      </c>
      <c r="S274" s="331">
        <v>40701</v>
      </c>
      <c r="T274" s="329">
        <v>23.616666666666664</v>
      </c>
      <c r="U274" s="329">
        <v>23.083333333333332</v>
      </c>
      <c r="V274" s="329">
        <v>17.7</v>
      </c>
      <c r="W274" s="329">
        <v>17.216666666666669</v>
      </c>
      <c r="X274" s="197">
        <v>18</v>
      </c>
      <c r="Y274" s="197">
        <v>15.4</v>
      </c>
    </row>
    <row r="275" spans="1:25">
      <c r="A275" s="331">
        <v>40499</v>
      </c>
      <c r="B275" s="329">
        <v>44.6</v>
      </c>
      <c r="C275" s="329">
        <f t="shared" si="16"/>
        <v>46.916666666666664</v>
      </c>
      <c r="D275" s="329">
        <v>46.3</v>
      </c>
      <c r="E275" s="329">
        <f t="shared" si="13"/>
        <v>50.716666666666661</v>
      </c>
      <c r="F275" s="329">
        <v>8.1</v>
      </c>
      <c r="G275" s="329">
        <f t="shared" si="14"/>
        <v>8.6</v>
      </c>
      <c r="H275" s="329">
        <v>10.5</v>
      </c>
      <c r="I275" s="329">
        <f t="shared" si="15"/>
        <v>10.416666666666666</v>
      </c>
      <c r="L275" s="331">
        <v>40499</v>
      </c>
      <c r="M275" s="329">
        <v>46.916666666666664</v>
      </c>
      <c r="N275" s="329">
        <v>50.716666666666661</v>
      </c>
      <c r="O275" s="329">
        <v>8.6</v>
      </c>
      <c r="P275" s="329">
        <v>10.416666666666666</v>
      </c>
      <c r="S275" s="331">
        <v>40702</v>
      </c>
      <c r="T275" s="329">
        <v>23.524999999999999</v>
      </c>
      <c r="U275" s="329">
        <v>23</v>
      </c>
      <c r="V275" s="329">
        <v>15.925000000000001</v>
      </c>
      <c r="W275" s="329">
        <v>16.399999999999999</v>
      </c>
      <c r="X275" s="197">
        <v>3.2</v>
      </c>
      <c r="Y275" s="197">
        <v>15.1</v>
      </c>
    </row>
    <row r="276" spans="1:25" ht="15">
      <c r="A276" s="331">
        <v>40499</v>
      </c>
      <c r="B276" s="329">
        <v>44.5</v>
      </c>
      <c r="C276" s="329">
        <f t="shared" si="16"/>
        <v>46.916666666666664</v>
      </c>
      <c r="D276" s="329">
        <v>46.1</v>
      </c>
      <c r="E276" s="329">
        <f t="shared" si="13"/>
        <v>50.716666666666661</v>
      </c>
      <c r="F276" s="329">
        <v>8</v>
      </c>
      <c r="G276" s="329">
        <f t="shared" si="14"/>
        <v>8.6</v>
      </c>
      <c r="H276" s="329">
        <v>10.199999999999999</v>
      </c>
      <c r="I276" s="329">
        <f t="shared" si="15"/>
        <v>10.416666666666666</v>
      </c>
      <c r="L276" s="331">
        <v>40499</v>
      </c>
      <c r="M276" s="329">
        <v>46.916666666666664</v>
      </c>
      <c r="N276" s="329">
        <v>50.716666666666661</v>
      </c>
      <c r="O276" s="329">
        <v>8.6</v>
      </c>
      <c r="P276" s="329">
        <v>10.416666666666666</v>
      </c>
      <c r="S276" s="331">
        <v>40703</v>
      </c>
      <c r="T276" s="330" t="s">
        <v>7709</v>
      </c>
      <c r="U276" s="330" t="s">
        <v>7709</v>
      </c>
      <c r="V276" s="330" t="s">
        <v>7709</v>
      </c>
      <c r="W276" s="330" t="s">
        <v>7709</v>
      </c>
      <c r="X276" s="197">
        <v>0.4</v>
      </c>
      <c r="Y276" s="197">
        <v>17</v>
      </c>
    </row>
    <row r="277" spans="1:25" ht="15">
      <c r="A277" s="331">
        <v>40499</v>
      </c>
      <c r="B277" s="329">
        <v>44.5</v>
      </c>
      <c r="C277" s="329">
        <f t="shared" si="16"/>
        <v>46.916666666666664</v>
      </c>
      <c r="D277" s="329">
        <v>46.1</v>
      </c>
      <c r="E277" s="329">
        <f t="shared" si="13"/>
        <v>50.716666666666661</v>
      </c>
      <c r="F277" s="329">
        <v>8.5</v>
      </c>
      <c r="G277" s="329">
        <f t="shared" si="14"/>
        <v>8.6</v>
      </c>
      <c r="H277" s="329">
        <v>10</v>
      </c>
      <c r="I277" s="329">
        <f t="shared" si="15"/>
        <v>10.416666666666666</v>
      </c>
      <c r="L277" s="331">
        <v>40499</v>
      </c>
      <c r="M277" s="329">
        <v>46.916666666666664</v>
      </c>
      <c r="N277" s="329">
        <v>50.716666666666661</v>
      </c>
      <c r="O277" s="329">
        <v>8.6</v>
      </c>
      <c r="P277" s="329">
        <v>10.416666666666666</v>
      </c>
      <c r="S277" s="331">
        <v>40704</v>
      </c>
      <c r="T277" s="330" t="s">
        <v>7709</v>
      </c>
      <c r="U277" s="330" t="s">
        <v>7709</v>
      </c>
      <c r="V277" s="330" t="s">
        <v>7709</v>
      </c>
      <c r="W277" s="330" t="s">
        <v>7709</v>
      </c>
      <c r="X277" s="197">
        <v>0.6</v>
      </c>
      <c r="Y277" s="197">
        <v>15.7</v>
      </c>
    </row>
    <row r="278" spans="1:25">
      <c r="A278" s="331">
        <v>40499</v>
      </c>
      <c r="B278" s="329">
        <v>58.6</v>
      </c>
      <c r="C278" s="329">
        <f t="shared" si="16"/>
        <v>46.916666666666664</v>
      </c>
      <c r="D278" s="329">
        <v>73.099999999999994</v>
      </c>
      <c r="E278" s="329">
        <f>AVERAGEIFS($D$33:$D$1494,$A$33:$A$1494,A278)</f>
        <v>50.716666666666661</v>
      </c>
      <c r="F278" s="329">
        <v>8.8000000000000007</v>
      </c>
      <c r="G278" s="329">
        <f t="shared" si="14"/>
        <v>8.6</v>
      </c>
      <c r="H278" s="329">
        <v>9.9</v>
      </c>
      <c r="I278" s="329">
        <f t="shared" si="15"/>
        <v>10.416666666666666</v>
      </c>
      <c r="L278" s="331">
        <v>40499</v>
      </c>
      <c r="M278" s="329">
        <v>46.916666666666664</v>
      </c>
      <c r="N278" s="329">
        <v>50.716666666666661</v>
      </c>
      <c r="O278" s="329">
        <v>8.6</v>
      </c>
      <c r="P278" s="329">
        <v>10.416666666666666</v>
      </c>
    </row>
    <row r="279" spans="1:25">
      <c r="A279" s="331">
        <v>40500</v>
      </c>
      <c r="B279" s="329">
        <v>55.9</v>
      </c>
      <c r="C279" s="329">
        <f t="shared" si="16"/>
        <v>48.75</v>
      </c>
      <c r="D279" s="329">
        <v>73.400000000000006</v>
      </c>
      <c r="E279" s="329">
        <f t="shared" si="13"/>
        <v>62.833333333333336</v>
      </c>
      <c r="F279" s="329">
        <v>9</v>
      </c>
      <c r="G279" s="329">
        <f t="shared" si="14"/>
        <v>9.1166666666666671</v>
      </c>
      <c r="H279" s="329">
        <v>9.9</v>
      </c>
      <c r="I279" s="329">
        <f t="shared" si="15"/>
        <v>9.8666666666666654</v>
      </c>
      <c r="L279" s="331">
        <v>40500</v>
      </c>
      <c r="M279" s="329">
        <v>48.75</v>
      </c>
      <c r="N279" s="329">
        <v>62.833333333333336</v>
      </c>
      <c r="O279" s="329">
        <v>9.1166666666666671</v>
      </c>
      <c r="P279" s="329">
        <v>9.8666666666666654</v>
      </c>
    </row>
    <row r="280" spans="1:25">
      <c r="A280" s="331">
        <v>40500</v>
      </c>
      <c r="B280" s="329">
        <v>51</v>
      </c>
      <c r="C280" s="329">
        <f t="shared" si="16"/>
        <v>48.75</v>
      </c>
      <c r="D280" s="329">
        <v>73.5</v>
      </c>
      <c r="E280" s="329">
        <f t="shared" si="13"/>
        <v>62.833333333333336</v>
      </c>
      <c r="F280" s="329">
        <v>9.1</v>
      </c>
      <c r="G280" s="329">
        <f t="shared" si="14"/>
        <v>9.1166666666666671</v>
      </c>
      <c r="H280" s="329">
        <v>9.9</v>
      </c>
      <c r="I280" s="329">
        <f t="shared" si="15"/>
        <v>9.8666666666666654</v>
      </c>
      <c r="L280" s="331">
        <v>40500</v>
      </c>
      <c r="M280" s="329">
        <v>48.75</v>
      </c>
      <c r="N280" s="329">
        <v>62.833333333333336</v>
      </c>
      <c r="O280" s="329">
        <v>9.1166666666666671</v>
      </c>
      <c r="P280" s="329">
        <v>9.8666666666666654</v>
      </c>
    </row>
    <row r="281" spans="1:25">
      <c r="A281" s="331">
        <v>40500</v>
      </c>
      <c r="B281" s="329">
        <v>47.6</v>
      </c>
      <c r="C281" s="329">
        <f t="shared" si="16"/>
        <v>48.75</v>
      </c>
      <c r="D281" s="329">
        <v>66.3</v>
      </c>
      <c r="E281" s="329">
        <f t="shared" si="13"/>
        <v>62.833333333333336</v>
      </c>
      <c r="F281" s="329">
        <v>8.8000000000000007</v>
      </c>
      <c r="G281" s="329">
        <f t="shared" si="14"/>
        <v>9.1166666666666671</v>
      </c>
      <c r="H281" s="329">
        <v>9.9</v>
      </c>
      <c r="I281" s="329">
        <f t="shared" si="15"/>
        <v>9.8666666666666654</v>
      </c>
      <c r="L281" s="331">
        <v>40500</v>
      </c>
      <c r="M281" s="329">
        <v>48.75</v>
      </c>
      <c r="N281" s="329">
        <v>62.833333333333336</v>
      </c>
      <c r="O281" s="329">
        <v>9.1166666666666671</v>
      </c>
      <c r="P281" s="329">
        <v>9.8666666666666654</v>
      </c>
    </row>
    <row r="282" spans="1:25">
      <c r="A282" s="331">
        <v>40500</v>
      </c>
      <c r="B282" s="329">
        <v>46.5</v>
      </c>
      <c r="C282" s="329">
        <f t="shared" si="16"/>
        <v>48.75</v>
      </c>
      <c r="D282" s="329">
        <v>58.1</v>
      </c>
      <c r="E282" s="329">
        <f t="shared" si="13"/>
        <v>62.833333333333336</v>
      </c>
      <c r="F282" s="329">
        <v>8.8000000000000007</v>
      </c>
      <c r="G282" s="329">
        <f t="shared" si="14"/>
        <v>9.1166666666666671</v>
      </c>
      <c r="H282" s="329">
        <v>9.8000000000000007</v>
      </c>
      <c r="I282" s="329">
        <f t="shared" si="15"/>
        <v>9.8666666666666654</v>
      </c>
      <c r="L282" s="331">
        <v>40500</v>
      </c>
      <c r="M282" s="329">
        <v>48.75</v>
      </c>
      <c r="N282" s="329">
        <v>62.833333333333336</v>
      </c>
      <c r="O282" s="329">
        <v>9.1166666666666671</v>
      </c>
      <c r="P282" s="329">
        <v>9.8666666666666654</v>
      </c>
    </row>
    <row r="283" spans="1:25">
      <c r="A283" s="331">
        <v>40500</v>
      </c>
      <c r="B283" s="329">
        <v>45.9</v>
      </c>
      <c r="C283" s="329">
        <f t="shared" si="16"/>
        <v>48.75</v>
      </c>
      <c r="D283" s="329">
        <v>54.2</v>
      </c>
      <c r="E283" s="329">
        <f t="shared" si="13"/>
        <v>62.833333333333336</v>
      </c>
      <c r="F283" s="329">
        <v>9.5</v>
      </c>
      <c r="G283" s="329">
        <f t="shared" si="14"/>
        <v>9.1166666666666671</v>
      </c>
      <c r="H283" s="329">
        <v>9.8000000000000007</v>
      </c>
      <c r="I283" s="329">
        <f t="shared" si="15"/>
        <v>9.8666666666666654</v>
      </c>
      <c r="L283" s="331">
        <v>40500</v>
      </c>
      <c r="M283" s="329">
        <v>48.75</v>
      </c>
      <c r="N283" s="329">
        <v>62.833333333333336</v>
      </c>
      <c r="O283" s="329">
        <v>9.1166666666666671</v>
      </c>
      <c r="P283" s="329">
        <v>9.8666666666666654</v>
      </c>
    </row>
    <row r="284" spans="1:25">
      <c r="A284" s="331">
        <v>40500</v>
      </c>
      <c r="B284" s="329">
        <v>45.6</v>
      </c>
      <c r="C284" s="329">
        <f t="shared" si="16"/>
        <v>48.75</v>
      </c>
      <c r="D284" s="329">
        <v>51.5</v>
      </c>
      <c r="E284" s="329">
        <f t="shared" si="13"/>
        <v>62.833333333333336</v>
      </c>
      <c r="F284" s="329">
        <v>9.5</v>
      </c>
      <c r="G284" s="329">
        <f t="shared" si="14"/>
        <v>9.1166666666666671</v>
      </c>
      <c r="H284" s="329">
        <v>9.9</v>
      </c>
      <c r="I284" s="329">
        <f t="shared" si="15"/>
        <v>9.8666666666666654</v>
      </c>
      <c r="L284" s="331">
        <v>40500</v>
      </c>
      <c r="M284" s="329">
        <v>48.75</v>
      </c>
      <c r="N284" s="329">
        <v>62.833333333333336</v>
      </c>
      <c r="O284" s="329">
        <v>9.1166666666666671</v>
      </c>
      <c r="P284" s="329">
        <v>9.8666666666666654</v>
      </c>
    </row>
    <row r="285" spans="1:25">
      <c r="A285" s="331">
        <v>40501</v>
      </c>
      <c r="B285" s="329">
        <v>45.4</v>
      </c>
      <c r="C285" s="329">
        <f t="shared" si="16"/>
        <v>45.18333333333333</v>
      </c>
      <c r="D285" s="329">
        <v>49.9</v>
      </c>
      <c r="E285" s="329">
        <f t="shared" si="13"/>
        <v>48.199999999999996</v>
      </c>
      <c r="F285" s="329">
        <v>9.4</v>
      </c>
      <c r="G285" s="329">
        <f t="shared" si="14"/>
        <v>9.1</v>
      </c>
      <c r="H285" s="329">
        <v>10</v>
      </c>
      <c r="I285" s="329">
        <f t="shared" si="15"/>
        <v>9.8333333333333339</v>
      </c>
      <c r="L285" s="331">
        <v>40501</v>
      </c>
      <c r="M285" s="329">
        <v>45.18333333333333</v>
      </c>
      <c r="N285" s="329">
        <v>48.199999999999996</v>
      </c>
      <c r="O285" s="329">
        <v>9.1</v>
      </c>
      <c r="P285" s="329">
        <v>9.8333333333333339</v>
      </c>
    </row>
    <row r="286" spans="1:25">
      <c r="A286" s="331">
        <v>40501</v>
      </c>
      <c r="B286" s="329">
        <v>45.3</v>
      </c>
      <c r="C286" s="329">
        <f t="shared" si="16"/>
        <v>45.18333333333333</v>
      </c>
      <c r="D286" s="329">
        <v>48.5</v>
      </c>
      <c r="E286" s="329">
        <f t="shared" si="13"/>
        <v>48.199999999999996</v>
      </c>
      <c r="F286" s="329">
        <v>9.1</v>
      </c>
      <c r="G286" s="329">
        <f t="shared" si="14"/>
        <v>9.1</v>
      </c>
      <c r="H286" s="329">
        <v>9.9</v>
      </c>
      <c r="I286" s="329">
        <f t="shared" si="15"/>
        <v>9.8333333333333339</v>
      </c>
      <c r="L286" s="331">
        <v>40501</v>
      </c>
      <c r="M286" s="329">
        <v>45.18333333333333</v>
      </c>
      <c r="N286" s="329">
        <v>48.199999999999996</v>
      </c>
      <c r="O286" s="329">
        <v>9.1</v>
      </c>
      <c r="P286" s="329">
        <v>9.8333333333333339</v>
      </c>
    </row>
    <row r="287" spans="1:25">
      <c r="A287" s="331">
        <v>40501</v>
      </c>
      <c r="B287" s="329">
        <v>45.2</v>
      </c>
      <c r="C287" s="329">
        <f t="shared" si="16"/>
        <v>45.18333333333333</v>
      </c>
      <c r="D287" s="329">
        <v>48.1</v>
      </c>
      <c r="E287" s="329">
        <f t="shared" si="13"/>
        <v>48.199999999999996</v>
      </c>
      <c r="F287" s="329">
        <v>8.6999999999999993</v>
      </c>
      <c r="G287" s="329">
        <f t="shared" si="14"/>
        <v>9.1</v>
      </c>
      <c r="H287" s="329">
        <v>9.9</v>
      </c>
      <c r="I287" s="329">
        <f t="shared" si="15"/>
        <v>9.8333333333333339</v>
      </c>
      <c r="L287" s="331">
        <v>40501</v>
      </c>
      <c r="M287" s="329">
        <v>45.18333333333333</v>
      </c>
      <c r="N287" s="329">
        <v>48.199999999999996</v>
      </c>
      <c r="O287" s="329">
        <v>9.1</v>
      </c>
      <c r="P287" s="329">
        <v>9.8333333333333339</v>
      </c>
    </row>
    <row r="288" spans="1:25">
      <c r="A288" s="331">
        <v>40501</v>
      </c>
      <c r="B288" s="329">
        <v>45.2</v>
      </c>
      <c r="C288" s="329">
        <f t="shared" si="16"/>
        <v>45.18333333333333</v>
      </c>
      <c r="D288" s="329">
        <v>47.8</v>
      </c>
      <c r="E288" s="329">
        <f t="shared" si="13"/>
        <v>48.199999999999996</v>
      </c>
      <c r="F288" s="329">
        <v>8.5</v>
      </c>
      <c r="G288" s="329">
        <f t="shared" si="14"/>
        <v>9.1</v>
      </c>
      <c r="H288" s="329">
        <v>9.6999999999999993</v>
      </c>
      <c r="I288" s="329">
        <f t="shared" si="15"/>
        <v>9.8333333333333339</v>
      </c>
      <c r="L288" s="331">
        <v>40501</v>
      </c>
      <c r="M288" s="329">
        <v>45.18333333333333</v>
      </c>
      <c r="N288" s="329">
        <v>48.199999999999996</v>
      </c>
      <c r="O288" s="329">
        <v>9.1</v>
      </c>
      <c r="P288" s="329">
        <v>9.8333333333333339</v>
      </c>
    </row>
    <row r="289" spans="1:16">
      <c r="A289" s="331">
        <v>40501</v>
      </c>
      <c r="B289" s="329">
        <v>45</v>
      </c>
      <c r="C289" s="329">
        <f t="shared" si="16"/>
        <v>45.18333333333333</v>
      </c>
      <c r="D289" s="329">
        <v>47.5</v>
      </c>
      <c r="E289" s="329">
        <f t="shared" si="13"/>
        <v>48.199999999999996</v>
      </c>
      <c r="F289" s="329">
        <v>9.3000000000000007</v>
      </c>
      <c r="G289" s="329">
        <f t="shared" si="14"/>
        <v>9.1</v>
      </c>
      <c r="H289" s="329">
        <v>9.6999999999999993</v>
      </c>
      <c r="I289" s="329">
        <f t="shared" si="15"/>
        <v>9.8333333333333339</v>
      </c>
      <c r="L289" s="331">
        <v>40501</v>
      </c>
      <c r="M289" s="329">
        <v>45.18333333333333</v>
      </c>
      <c r="N289" s="329">
        <v>48.199999999999996</v>
      </c>
      <c r="O289" s="329">
        <v>9.1</v>
      </c>
      <c r="P289" s="329">
        <v>9.8333333333333339</v>
      </c>
    </row>
    <row r="290" spans="1:16">
      <c r="A290" s="331">
        <v>40501</v>
      </c>
      <c r="B290" s="329">
        <v>45</v>
      </c>
      <c r="C290" s="329">
        <f t="shared" si="16"/>
        <v>45.18333333333333</v>
      </c>
      <c r="D290" s="329">
        <v>47.4</v>
      </c>
      <c r="E290" s="329">
        <f t="shared" ref="E290:E353" si="17">AVERAGEIFS($D$33:$D$1494,$A$33:$A$1494,A290)</f>
        <v>48.199999999999996</v>
      </c>
      <c r="F290" s="329">
        <v>9.6</v>
      </c>
      <c r="G290" s="329">
        <f t="shared" ref="G290:G353" si="18">AVERAGEIFS($F$33:$F$1494,$A$33:$A$1494,A290)</f>
        <v>9.1</v>
      </c>
      <c r="H290" s="329">
        <v>9.8000000000000007</v>
      </c>
      <c r="I290" s="329">
        <f t="shared" ref="I290:I353" si="19">AVERAGEIFS($H$33:$H$1494,$A$33:$A$1494,A290)</f>
        <v>9.8333333333333339</v>
      </c>
      <c r="L290" s="331">
        <v>40501</v>
      </c>
      <c r="M290" s="329">
        <v>45.18333333333333</v>
      </c>
      <c r="N290" s="329">
        <v>48.199999999999996</v>
      </c>
      <c r="O290" s="329">
        <v>9.1</v>
      </c>
      <c r="P290" s="329">
        <v>9.8333333333333339</v>
      </c>
    </row>
    <row r="291" spans="1:16">
      <c r="A291" s="331">
        <v>40502</v>
      </c>
      <c r="B291" s="329">
        <v>44.9</v>
      </c>
      <c r="C291" s="329">
        <f t="shared" si="16"/>
        <v>44.816666666666663</v>
      </c>
      <c r="D291" s="329">
        <v>47.3</v>
      </c>
      <c r="E291" s="329">
        <f t="shared" si="17"/>
        <v>47.066666666666663</v>
      </c>
      <c r="F291" s="329">
        <v>9.5</v>
      </c>
      <c r="G291" s="329">
        <f t="shared" si="18"/>
        <v>9.3333333333333339</v>
      </c>
      <c r="H291" s="329">
        <v>9.9</v>
      </c>
      <c r="I291" s="329">
        <f t="shared" si="19"/>
        <v>9.8666666666666654</v>
      </c>
      <c r="L291" s="331">
        <v>40502</v>
      </c>
      <c r="M291" s="329">
        <v>44.816666666666663</v>
      </c>
      <c r="N291" s="329">
        <v>47.066666666666663</v>
      </c>
      <c r="O291" s="329">
        <v>9.3333333333333339</v>
      </c>
      <c r="P291" s="329">
        <v>9.8666666666666654</v>
      </c>
    </row>
    <row r="292" spans="1:16">
      <c r="A292" s="331">
        <v>40502</v>
      </c>
      <c r="B292" s="329">
        <v>44.9</v>
      </c>
      <c r="C292" s="329">
        <f t="shared" si="16"/>
        <v>44.816666666666663</v>
      </c>
      <c r="D292" s="329">
        <v>47.2</v>
      </c>
      <c r="E292" s="329">
        <f t="shared" si="17"/>
        <v>47.066666666666663</v>
      </c>
      <c r="F292" s="329">
        <v>9.1999999999999993</v>
      </c>
      <c r="G292" s="329">
        <f t="shared" si="18"/>
        <v>9.3333333333333339</v>
      </c>
      <c r="H292" s="329">
        <v>9.9</v>
      </c>
      <c r="I292" s="329">
        <f t="shared" si="19"/>
        <v>9.8666666666666654</v>
      </c>
      <c r="L292" s="331">
        <v>40502</v>
      </c>
      <c r="M292" s="329">
        <v>44.816666666666663</v>
      </c>
      <c r="N292" s="329">
        <v>47.066666666666663</v>
      </c>
      <c r="O292" s="329">
        <v>9.3333333333333339</v>
      </c>
      <c r="P292" s="329">
        <v>9.8666666666666654</v>
      </c>
    </row>
    <row r="293" spans="1:16">
      <c r="A293" s="331">
        <v>40502</v>
      </c>
      <c r="B293" s="329">
        <v>44.8</v>
      </c>
      <c r="C293" s="329">
        <f t="shared" si="16"/>
        <v>44.816666666666663</v>
      </c>
      <c r="D293" s="329">
        <v>47.1</v>
      </c>
      <c r="E293" s="329">
        <f t="shared" si="17"/>
        <v>47.066666666666663</v>
      </c>
      <c r="F293" s="329">
        <v>8.9</v>
      </c>
      <c r="G293" s="329">
        <f t="shared" si="18"/>
        <v>9.3333333333333339</v>
      </c>
      <c r="H293" s="329">
        <v>9.9</v>
      </c>
      <c r="I293" s="329">
        <f t="shared" si="19"/>
        <v>9.8666666666666654</v>
      </c>
      <c r="L293" s="331">
        <v>40502</v>
      </c>
      <c r="M293" s="329">
        <v>44.816666666666663</v>
      </c>
      <c r="N293" s="329">
        <v>47.066666666666663</v>
      </c>
      <c r="O293" s="329">
        <v>9.3333333333333339</v>
      </c>
      <c r="P293" s="329">
        <v>9.8666666666666654</v>
      </c>
    </row>
    <row r="294" spans="1:16">
      <c r="A294" s="331">
        <v>40502</v>
      </c>
      <c r="B294" s="329">
        <v>44.8</v>
      </c>
      <c r="C294" s="329">
        <f t="shared" si="16"/>
        <v>44.816666666666663</v>
      </c>
      <c r="D294" s="329">
        <v>47</v>
      </c>
      <c r="E294" s="329">
        <f t="shared" si="17"/>
        <v>47.066666666666663</v>
      </c>
      <c r="F294" s="329">
        <v>9</v>
      </c>
      <c r="G294" s="329">
        <f t="shared" si="18"/>
        <v>9.3333333333333339</v>
      </c>
      <c r="H294" s="329">
        <v>9.8000000000000007</v>
      </c>
      <c r="I294" s="329">
        <f t="shared" si="19"/>
        <v>9.8666666666666654</v>
      </c>
      <c r="L294" s="331">
        <v>40502</v>
      </c>
      <c r="M294" s="329">
        <v>44.816666666666663</v>
      </c>
      <c r="N294" s="329">
        <v>47.066666666666663</v>
      </c>
      <c r="O294" s="329">
        <v>9.3333333333333339</v>
      </c>
      <c r="P294" s="329">
        <v>9.8666666666666654</v>
      </c>
    </row>
    <row r="295" spans="1:16">
      <c r="A295" s="331">
        <v>40502</v>
      </c>
      <c r="B295" s="329">
        <v>44.8</v>
      </c>
      <c r="C295" s="329">
        <f t="shared" si="16"/>
        <v>44.816666666666663</v>
      </c>
      <c r="D295" s="329">
        <v>46.9</v>
      </c>
      <c r="E295" s="329">
        <f t="shared" si="17"/>
        <v>47.066666666666663</v>
      </c>
      <c r="F295" s="329">
        <v>9.6999999999999993</v>
      </c>
      <c r="G295" s="329">
        <f t="shared" si="18"/>
        <v>9.3333333333333339</v>
      </c>
      <c r="H295" s="329">
        <v>9.8000000000000007</v>
      </c>
      <c r="I295" s="329">
        <f t="shared" si="19"/>
        <v>9.8666666666666654</v>
      </c>
      <c r="L295" s="331">
        <v>40502</v>
      </c>
      <c r="M295" s="329">
        <v>44.816666666666663</v>
      </c>
      <c r="N295" s="329">
        <v>47.066666666666663</v>
      </c>
      <c r="O295" s="329">
        <v>9.3333333333333339</v>
      </c>
      <c r="P295" s="329">
        <v>9.8666666666666654</v>
      </c>
    </row>
    <row r="296" spans="1:16">
      <c r="A296" s="331">
        <v>40502</v>
      </c>
      <c r="B296" s="329">
        <v>44.7</v>
      </c>
      <c r="C296" s="329">
        <f t="shared" ref="C296:C359" si="20">AVERAGEIFS($B$33:$B$1494,$A$33:$A$1494,A296)</f>
        <v>44.816666666666663</v>
      </c>
      <c r="D296" s="329">
        <v>46.9</v>
      </c>
      <c r="E296" s="329">
        <f t="shared" si="17"/>
        <v>47.066666666666663</v>
      </c>
      <c r="F296" s="329">
        <v>9.6999999999999993</v>
      </c>
      <c r="G296" s="329">
        <f t="shared" si="18"/>
        <v>9.3333333333333339</v>
      </c>
      <c r="H296" s="329">
        <v>9.9</v>
      </c>
      <c r="I296" s="329">
        <f t="shared" si="19"/>
        <v>9.8666666666666654</v>
      </c>
      <c r="L296" s="331">
        <v>40502</v>
      </c>
      <c r="M296" s="329">
        <v>44.816666666666663</v>
      </c>
      <c r="N296" s="329">
        <v>47.066666666666663</v>
      </c>
      <c r="O296" s="329">
        <v>9.3333333333333339</v>
      </c>
      <c r="P296" s="329">
        <v>9.8666666666666654</v>
      </c>
    </row>
    <row r="297" spans="1:16">
      <c r="A297" s="331">
        <v>40503</v>
      </c>
      <c r="B297" s="329">
        <v>44.7</v>
      </c>
      <c r="C297" s="329">
        <f t="shared" si="20"/>
        <v>44.716666666666669</v>
      </c>
      <c r="D297" s="329">
        <v>46.8</v>
      </c>
      <c r="E297" s="329">
        <f t="shared" si="17"/>
        <v>46.816666666666663</v>
      </c>
      <c r="F297" s="329">
        <v>9.3000000000000007</v>
      </c>
      <c r="G297" s="329">
        <f t="shared" si="18"/>
        <v>9.3500000000000014</v>
      </c>
      <c r="H297" s="329">
        <v>9.9</v>
      </c>
      <c r="I297" s="329">
        <f t="shared" si="19"/>
        <v>9.8666666666666654</v>
      </c>
      <c r="L297" s="331">
        <v>40503</v>
      </c>
      <c r="M297" s="329">
        <v>44.716666666666669</v>
      </c>
      <c r="N297" s="329">
        <v>46.816666666666663</v>
      </c>
      <c r="O297" s="329">
        <v>9.3500000000000014</v>
      </c>
      <c r="P297" s="329">
        <v>9.8666666666666654</v>
      </c>
    </row>
    <row r="298" spans="1:16">
      <c r="A298" s="331">
        <v>40503</v>
      </c>
      <c r="B298" s="329">
        <v>44.7</v>
      </c>
      <c r="C298" s="329">
        <f t="shared" si="20"/>
        <v>44.716666666666669</v>
      </c>
      <c r="D298" s="329">
        <v>46.8</v>
      </c>
      <c r="E298" s="329">
        <f t="shared" si="17"/>
        <v>46.816666666666663</v>
      </c>
      <c r="F298" s="329">
        <v>9.3000000000000007</v>
      </c>
      <c r="G298" s="329">
        <f t="shared" si="18"/>
        <v>9.3500000000000014</v>
      </c>
      <c r="H298" s="329">
        <v>9.9</v>
      </c>
      <c r="I298" s="329">
        <f t="shared" si="19"/>
        <v>9.8666666666666654</v>
      </c>
      <c r="L298" s="331">
        <v>40503</v>
      </c>
      <c r="M298" s="329">
        <v>44.716666666666669</v>
      </c>
      <c r="N298" s="329">
        <v>46.816666666666663</v>
      </c>
      <c r="O298" s="329">
        <v>9.3500000000000014</v>
      </c>
      <c r="P298" s="329">
        <v>9.8666666666666654</v>
      </c>
    </row>
    <row r="299" spans="1:16">
      <c r="A299" s="331">
        <v>40503</v>
      </c>
      <c r="B299" s="329">
        <v>44.7</v>
      </c>
      <c r="C299" s="329">
        <f t="shared" si="20"/>
        <v>44.716666666666669</v>
      </c>
      <c r="D299" s="329">
        <v>46.8</v>
      </c>
      <c r="E299" s="329">
        <f t="shared" si="17"/>
        <v>46.816666666666663</v>
      </c>
      <c r="F299" s="329">
        <v>9.1</v>
      </c>
      <c r="G299" s="329">
        <f t="shared" si="18"/>
        <v>9.3500000000000014</v>
      </c>
      <c r="H299" s="329">
        <v>9.9</v>
      </c>
      <c r="I299" s="329">
        <f t="shared" si="19"/>
        <v>9.8666666666666654</v>
      </c>
      <c r="L299" s="331">
        <v>40503</v>
      </c>
      <c r="M299" s="329">
        <v>44.716666666666669</v>
      </c>
      <c r="N299" s="329">
        <v>46.816666666666663</v>
      </c>
      <c r="O299" s="329">
        <v>9.3500000000000014</v>
      </c>
      <c r="P299" s="329">
        <v>9.8666666666666654</v>
      </c>
    </row>
    <row r="300" spans="1:16">
      <c r="A300" s="331">
        <v>40503</v>
      </c>
      <c r="B300" s="329">
        <v>44.7</v>
      </c>
      <c r="C300" s="329">
        <f t="shared" si="20"/>
        <v>44.716666666666669</v>
      </c>
      <c r="D300" s="329">
        <v>46.9</v>
      </c>
      <c r="E300" s="329">
        <f t="shared" si="17"/>
        <v>46.816666666666663</v>
      </c>
      <c r="F300" s="329">
        <v>9.1</v>
      </c>
      <c r="G300" s="329">
        <f t="shared" si="18"/>
        <v>9.3500000000000014</v>
      </c>
      <c r="H300" s="329">
        <v>9.8000000000000007</v>
      </c>
      <c r="I300" s="329">
        <f t="shared" si="19"/>
        <v>9.8666666666666654</v>
      </c>
      <c r="L300" s="331">
        <v>40503</v>
      </c>
      <c r="M300" s="329">
        <v>44.716666666666669</v>
      </c>
      <c r="N300" s="329">
        <v>46.816666666666663</v>
      </c>
      <c r="O300" s="329">
        <v>9.3500000000000014</v>
      </c>
      <c r="P300" s="329">
        <v>9.8666666666666654</v>
      </c>
    </row>
    <row r="301" spans="1:16">
      <c r="A301" s="331">
        <v>40503</v>
      </c>
      <c r="B301" s="329">
        <v>44.7</v>
      </c>
      <c r="C301" s="329">
        <f t="shared" si="20"/>
        <v>44.716666666666669</v>
      </c>
      <c r="D301" s="329">
        <v>46.8</v>
      </c>
      <c r="E301" s="329">
        <f t="shared" si="17"/>
        <v>46.816666666666663</v>
      </c>
      <c r="F301" s="329">
        <v>9.6</v>
      </c>
      <c r="G301" s="329">
        <f t="shared" si="18"/>
        <v>9.3500000000000014</v>
      </c>
      <c r="H301" s="329">
        <v>9.8000000000000007</v>
      </c>
      <c r="I301" s="329">
        <f t="shared" si="19"/>
        <v>9.8666666666666654</v>
      </c>
      <c r="L301" s="331">
        <v>40503</v>
      </c>
      <c r="M301" s="329">
        <v>44.716666666666669</v>
      </c>
      <c r="N301" s="329">
        <v>46.816666666666663</v>
      </c>
      <c r="O301" s="329">
        <v>9.3500000000000014</v>
      </c>
      <c r="P301" s="329">
        <v>9.8666666666666654</v>
      </c>
    </row>
    <row r="302" spans="1:16">
      <c r="A302" s="331">
        <v>40503</v>
      </c>
      <c r="B302" s="329">
        <v>44.8</v>
      </c>
      <c r="C302" s="329">
        <f t="shared" si="20"/>
        <v>44.716666666666669</v>
      </c>
      <c r="D302" s="329">
        <v>46.8</v>
      </c>
      <c r="E302" s="329">
        <f t="shared" si="17"/>
        <v>46.816666666666663</v>
      </c>
      <c r="F302" s="329">
        <v>9.6999999999999993</v>
      </c>
      <c r="G302" s="329">
        <f t="shared" si="18"/>
        <v>9.3500000000000014</v>
      </c>
      <c r="H302" s="329">
        <v>9.9</v>
      </c>
      <c r="I302" s="329">
        <f t="shared" si="19"/>
        <v>9.8666666666666654</v>
      </c>
      <c r="L302" s="331">
        <v>40503</v>
      </c>
      <c r="M302" s="329">
        <v>44.716666666666669</v>
      </c>
      <c r="N302" s="329">
        <v>46.816666666666663</v>
      </c>
      <c r="O302" s="329">
        <v>9.3500000000000014</v>
      </c>
      <c r="P302" s="329">
        <v>9.8666666666666654</v>
      </c>
    </row>
    <row r="303" spans="1:16">
      <c r="A303" s="331">
        <v>40504</v>
      </c>
      <c r="B303" s="329">
        <v>72.7</v>
      </c>
      <c r="C303" s="329">
        <f t="shared" si="20"/>
        <v>62.45000000000001</v>
      </c>
      <c r="D303" s="329">
        <v>71.3</v>
      </c>
      <c r="E303" s="329">
        <f t="shared" si="17"/>
        <v>69.099999999999994</v>
      </c>
      <c r="F303" s="329">
        <v>9.6</v>
      </c>
      <c r="G303" s="329">
        <f t="shared" si="18"/>
        <v>9.3166666666666664</v>
      </c>
      <c r="H303" s="329">
        <v>9.9</v>
      </c>
      <c r="I303" s="329">
        <f t="shared" si="19"/>
        <v>9.8333333333333339</v>
      </c>
      <c r="L303" s="331">
        <v>40504</v>
      </c>
      <c r="M303" s="329">
        <v>62.45000000000001</v>
      </c>
      <c r="N303" s="329">
        <v>69.099999999999994</v>
      </c>
      <c r="O303" s="329">
        <v>9.3166666666666664</v>
      </c>
      <c r="P303" s="329">
        <v>9.8333333333333339</v>
      </c>
    </row>
    <row r="304" spans="1:16">
      <c r="A304" s="331">
        <v>40504</v>
      </c>
      <c r="B304" s="329">
        <v>72.900000000000006</v>
      </c>
      <c r="C304" s="329">
        <f t="shared" si="20"/>
        <v>62.45000000000001</v>
      </c>
      <c r="D304" s="329">
        <v>72.3</v>
      </c>
      <c r="E304" s="329">
        <f t="shared" si="17"/>
        <v>69.099999999999994</v>
      </c>
      <c r="F304" s="329">
        <v>9.5</v>
      </c>
      <c r="G304" s="329">
        <f t="shared" si="18"/>
        <v>9.3166666666666664</v>
      </c>
      <c r="H304" s="329">
        <v>9.9</v>
      </c>
      <c r="I304" s="329">
        <f t="shared" si="19"/>
        <v>9.8333333333333339</v>
      </c>
      <c r="L304" s="331">
        <v>40504</v>
      </c>
      <c r="M304" s="329">
        <v>62.45000000000001</v>
      </c>
      <c r="N304" s="329">
        <v>69.099999999999994</v>
      </c>
      <c r="O304" s="329">
        <v>9.3166666666666664</v>
      </c>
      <c r="P304" s="329">
        <v>9.8333333333333339</v>
      </c>
    </row>
    <row r="305" spans="1:16">
      <c r="A305" s="331">
        <v>40504</v>
      </c>
      <c r="B305" s="329">
        <v>72.5</v>
      </c>
      <c r="C305" s="329">
        <f t="shared" si="20"/>
        <v>62.45000000000001</v>
      </c>
      <c r="D305" s="329">
        <v>72.599999999999994</v>
      </c>
      <c r="E305" s="329">
        <f t="shared" si="17"/>
        <v>69.099999999999994</v>
      </c>
      <c r="F305" s="329">
        <v>9.3000000000000007</v>
      </c>
      <c r="G305" s="329">
        <f t="shared" si="18"/>
        <v>9.3166666666666664</v>
      </c>
      <c r="H305" s="329">
        <v>9.9</v>
      </c>
      <c r="I305" s="329">
        <f t="shared" si="19"/>
        <v>9.8333333333333339</v>
      </c>
      <c r="L305" s="331">
        <v>40504</v>
      </c>
      <c r="M305" s="329">
        <v>62.45000000000001</v>
      </c>
      <c r="N305" s="329">
        <v>69.099999999999994</v>
      </c>
      <c r="O305" s="329">
        <v>9.3166666666666664</v>
      </c>
      <c r="P305" s="329">
        <v>9.8333333333333339</v>
      </c>
    </row>
    <row r="306" spans="1:16">
      <c r="A306" s="331">
        <v>40504</v>
      </c>
      <c r="B306" s="329">
        <v>56.1</v>
      </c>
      <c r="C306" s="329">
        <f t="shared" si="20"/>
        <v>62.45000000000001</v>
      </c>
      <c r="D306" s="329">
        <v>72.7</v>
      </c>
      <c r="E306" s="329">
        <f t="shared" si="17"/>
        <v>69.099999999999994</v>
      </c>
      <c r="F306" s="329">
        <v>9.1999999999999993</v>
      </c>
      <c r="G306" s="329">
        <f t="shared" si="18"/>
        <v>9.3166666666666664</v>
      </c>
      <c r="H306" s="329">
        <v>9.8000000000000007</v>
      </c>
      <c r="I306" s="329">
        <f t="shared" si="19"/>
        <v>9.8333333333333339</v>
      </c>
      <c r="L306" s="331">
        <v>40504</v>
      </c>
      <c r="M306" s="329">
        <v>62.45000000000001</v>
      </c>
      <c r="N306" s="329">
        <v>69.099999999999994</v>
      </c>
      <c r="O306" s="329">
        <v>9.3166666666666664</v>
      </c>
      <c r="P306" s="329">
        <v>9.8333333333333339</v>
      </c>
    </row>
    <row r="307" spans="1:16">
      <c r="A307" s="331">
        <v>40504</v>
      </c>
      <c r="B307" s="329">
        <v>51.7</v>
      </c>
      <c r="C307" s="329">
        <f t="shared" si="20"/>
        <v>62.45000000000001</v>
      </c>
      <c r="D307" s="329">
        <v>69.3</v>
      </c>
      <c r="E307" s="329">
        <f t="shared" si="17"/>
        <v>69.099999999999994</v>
      </c>
      <c r="F307" s="329">
        <v>9.1999999999999993</v>
      </c>
      <c r="G307" s="329">
        <f t="shared" si="18"/>
        <v>9.3166666666666664</v>
      </c>
      <c r="H307" s="329">
        <v>9.8000000000000007</v>
      </c>
      <c r="I307" s="329">
        <f t="shared" si="19"/>
        <v>9.8333333333333339</v>
      </c>
      <c r="L307" s="331">
        <v>40504</v>
      </c>
      <c r="M307" s="329">
        <v>62.45000000000001</v>
      </c>
      <c r="N307" s="329">
        <v>69.099999999999994</v>
      </c>
      <c r="O307" s="329">
        <v>9.3166666666666664</v>
      </c>
      <c r="P307" s="329">
        <v>9.8333333333333339</v>
      </c>
    </row>
    <row r="308" spans="1:16">
      <c r="A308" s="331">
        <v>40504</v>
      </c>
      <c r="B308" s="329">
        <v>48.8</v>
      </c>
      <c r="C308" s="329">
        <f t="shared" si="20"/>
        <v>62.45000000000001</v>
      </c>
      <c r="D308" s="329">
        <v>56.4</v>
      </c>
      <c r="E308" s="329">
        <f t="shared" si="17"/>
        <v>69.099999999999994</v>
      </c>
      <c r="F308" s="329">
        <v>9.1</v>
      </c>
      <c r="G308" s="329">
        <f t="shared" si="18"/>
        <v>9.3166666666666664</v>
      </c>
      <c r="H308" s="329">
        <v>9.6999999999999993</v>
      </c>
      <c r="I308" s="329">
        <f t="shared" si="19"/>
        <v>9.8333333333333339</v>
      </c>
      <c r="L308" s="331">
        <v>40504</v>
      </c>
      <c r="M308" s="329">
        <v>62.45000000000001</v>
      </c>
      <c r="N308" s="329">
        <v>69.099999999999994</v>
      </c>
      <c r="O308" s="329">
        <v>9.3166666666666664</v>
      </c>
      <c r="P308" s="329">
        <v>9.8333333333333339</v>
      </c>
    </row>
    <row r="309" spans="1:16">
      <c r="A309" s="331">
        <v>40505</v>
      </c>
      <c r="B309" s="329">
        <v>47.7</v>
      </c>
      <c r="C309" s="329">
        <f t="shared" si="20"/>
        <v>46.75</v>
      </c>
      <c r="D309" s="329">
        <v>53.8</v>
      </c>
      <c r="E309" s="329">
        <f t="shared" si="17"/>
        <v>51.083333333333336</v>
      </c>
      <c r="F309" s="329">
        <v>8.8000000000000007</v>
      </c>
      <c r="G309" s="329">
        <f t="shared" si="18"/>
        <v>8.7666666666666657</v>
      </c>
      <c r="H309" s="329">
        <v>9.6999999999999993</v>
      </c>
      <c r="I309" s="329">
        <f t="shared" si="19"/>
        <v>9.5333333333333332</v>
      </c>
      <c r="L309" s="331">
        <v>40505</v>
      </c>
      <c r="M309" s="329">
        <v>46.75</v>
      </c>
      <c r="N309" s="329">
        <v>51.083333333333336</v>
      </c>
      <c r="O309" s="329">
        <v>8.7666666666666657</v>
      </c>
      <c r="P309" s="329">
        <v>9.5333333333333332</v>
      </c>
    </row>
    <row r="310" spans="1:16">
      <c r="A310" s="331">
        <v>40505</v>
      </c>
      <c r="B310" s="329">
        <v>47.5</v>
      </c>
      <c r="C310" s="329">
        <f t="shared" si="20"/>
        <v>46.75</v>
      </c>
      <c r="D310" s="329">
        <v>52.2</v>
      </c>
      <c r="E310" s="329">
        <f t="shared" si="17"/>
        <v>51.083333333333336</v>
      </c>
      <c r="F310" s="329">
        <v>8.6999999999999993</v>
      </c>
      <c r="G310" s="329">
        <f t="shared" si="18"/>
        <v>8.7666666666666657</v>
      </c>
      <c r="H310" s="329">
        <v>9.6</v>
      </c>
      <c r="I310" s="329">
        <f t="shared" si="19"/>
        <v>9.5333333333333332</v>
      </c>
      <c r="L310" s="331">
        <v>40505</v>
      </c>
      <c r="M310" s="329">
        <v>46.75</v>
      </c>
      <c r="N310" s="329">
        <v>51.083333333333336</v>
      </c>
      <c r="O310" s="329">
        <v>8.7666666666666657</v>
      </c>
      <c r="P310" s="329">
        <v>9.5333333333333332</v>
      </c>
    </row>
    <row r="311" spans="1:16">
      <c r="A311" s="331">
        <v>40505</v>
      </c>
      <c r="B311" s="329">
        <v>47.1</v>
      </c>
      <c r="C311" s="329">
        <f t="shared" si="20"/>
        <v>46.75</v>
      </c>
      <c r="D311" s="329">
        <v>51.3</v>
      </c>
      <c r="E311" s="329">
        <f t="shared" si="17"/>
        <v>51.083333333333336</v>
      </c>
      <c r="F311" s="329">
        <v>8.6</v>
      </c>
      <c r="G311" s="329">
        <f t="shared" si="18"/>
        <v>8.7666666666666657</v>
      </c>
      <c r="H311" s="329">
        <v>9.5</v>
      </c>
      <c r="I311" s="329">
        <f t="shared" si="19"/>
        <v>9.5333333333333332</v>
      </c>
      <c r="L311" s="331">
        <v>40505</v>
      </c>
      <c r="M311" s="329">
        <v>46.75</v>
      </c>
      <c r="N311" s="329">
        <v>51.083333333333336</v>
      </c>
      <c r="O311" s="329">
        <v>8.7666666666666657</v>
      </c>
      <c r="P311" s="329">
        <v>9.5333333333333332</v>
      </c>
    </row>
    <row r="312" spans="1:16">
      <c r="A312" s="331">
        <v>40505</v>
      </c>
      <c r="B312" s="329">
        <v>46.3</v>
      </c>
      <c r="C312" s="329">
        <f t="shared" si="20"/>
        <v>46.75</v>
      </c>
      <c r="D312" s="329">
        <v>50.3</v>
      </c>
      <c r="E312" s="329">
        <f t="shared" si="17"/>
        <v>51.083333333333336</v>
      </c>
      <c r="F312" s="329">
        <v>8.6999999999999993</v>
      </c>
      <c r="G312" s="329">
        <f t="shared" si="18"/>
        <v>8.7666666666666657</v>
      </c>
      <c r="H312" s="329">
        <v>9.5</v>
      </c>
      <c r="I312" s="329">
        <f t="shared" si="19"/>
        <v>9.5333333333333332</v>
      </c>
      <c r="L312" s="331">
        <v>40505</v>
      </c>
      <c r="M312" s="329">
        <v>46.75</v>
      </c>
      <c r="N312" s="329">
        <v>51.083333333333336</v>
      </c>
      <c r="O312" s="329">
        <v>8.7666666666666657</v>
      </c>
      <c r="P312" s="329">
        <v>9.5333333333333332</v>
      </c>
    </row>
    <row r="313" spans="1:16">
      <c r="A313" s="331">
        <v>40505</v>
      </c>
      <c r="B313" s="329">
        <v>46.2</v>
      </c>
      <c r="C313" s="329">
        <f t="shared" si="20"/>
        <v>46.75</v>
      </c>
      <c r="D313" s="329">
        <v>49.7</v>
      </c>
      <c r="E313" s="329">
        <f t="shared" si="17"/>
        <v>51.083333333333336</v>
      </c>
      <c r="F313" s="329">
        <v>9</v>
      </c>
      <c r="G313" s="329">
        <f t="shared" si="18"/>
        <v>8.7666666666666657</v>
      </c>
      <c r="H313" s="329">
        <v>9.4</v>
      </c>
      <c r="I313" s="329">
        <f t="shared" si="19"/>
        <v>9.5333333333333332</v>
      </c>
      <c r="L313" s="331">
        <v>40505</v>
      </c>
      <c r="M313" s="329">
        <v>46.75</v>
      </c>
      <c r="N313" s="329">
        <v>51.083333333333336</v>
      </c>
      <c r="O313" s="329">
        <v>8.7666666666666657</v>
      </c>
      <c r="P313" s="329">
        <v>9.5333333333333332</v>
      </c>
    </row>
    <row r="314" spans="1:16">
      <c r="A314" s="331">
        <v>40505</v>
      </c>
      <c r="B314" s="329">
        <v>45.7</v>
      </c>
      <c r="C314" s="329">
        <f t="shared" si="20"/>
        <v>46.75</v>
      </c>
      <c r="D314" s="329">
        <v>49.2</v>
      </c>
      <c r="E314" s="329">
        <f t="shared" si="17"/>
        <v>51.083333333333336</v>
      </c>
      <c r="F314" s="329">
        <v>8.8000000000000007</v>
      </c>
      <c r="G314" s="329">
        <f t="shared" si="18"/>
        <v>8.7666666666666657</v>
      </c>
      <c r="H314" s="329">
        <v>9.5</v>
      </c>
      <c r="I314" s="329">
        <f t="shared" si="19"/>
        <v>9.5333333333333332</v>
      </c>
      <c r="L314" s="331">
        <v>40505</v>
      </c>
      <c r="M314" s="329">
        <v>46.75</v>
      </c>
      <c r="N314" s="329">
        <v>51.083333333333336</v>
      </c>
      <c r="O314" s="329">
        <v>8.7666666666666657</v>
      </c>
      <c r="P314" s="329">
        <v>9.5333333333333332</v>
      </c>
    </row>
    <row r="315" spans="1:16">
      <c r="A315" s="331">
        <v>40506</v>
      </c>
      <c r="B315" s="329">
        <v>45.6</v>
      </c>
      <c r="C315" s="329">
        <f t="shared" si="20"/>
        <v>45.883333333333333</v>
      </c>
      <c r="D315" s="329">
        <v>49</v>
      </c>
      <c r="E315" s="329">
        <f t="shared" si="17"/>
        <v>48.566666666666663</v>
      </c>
      <c r="F315" s="329">
        <v>8</v>
      </c>
      <c r="G315" s="329">
        <f t="shared" si="18"/>
        <v>7.3833333333333337</v>
      </c>
      <c r="H315" s="329">
        <v>9.4</v>
      </c>
      <c r="I315" s="329">
        <f t="shared" si="19"/>
        <v>8.9</v>
      </c>
      <c r="L315" s="331">
        <v>40506</v>
      </c>
      <c r="M315" s="329">
        <v>45.883333333333333</v>
      </c>
      <c r="N315" s="329">
        <v>48.566666666666663</v>
      </c>
      <c r="O315" s="329">
        <v>7.3833333333333337</v>
      </c>
      <c r="P315" s="329">
        <v>8.9</v>
      </c>
    </row>
    <row r="316" spans="1:16">
      <c r="A316" s="331">
        <v>40506</v>
      </c>
      <c r="B316" s="329">
        <v>46.5</v>
      </c>
      <c r="C316" s="329">
        <f t="shared" si="20"/>
        <v>45.883333333333333</v>
      </c>
      <c r="D316" s="329">
        <v>48.8</v>
      </c>
      <c r="E316" s="329">
        <f t="shared" si="17"/>
        <v>48.566666666666663</v>
      </c>
      <c r="F316" s="329">
        <v>7.4</v>
      </c>
      <c r="G316" s="329">
        <f t="shared" si="18"/>
        <v>7.3833333333333337</v>
      </c>
      <c r="H316" s="329">
        <v>9.1999999999999993</v>
      </c>
      <c r="I316" s="329">
        <f t="shared" si="19"/>
        <v>8.9</v>
      </c>
      <c r="L316" s="331">
        <v>40506</v>
      </c>
      <c r="M316" s="329">
        <v>45.883333333333333</v>
      </c>
      <c r="N316" s="329">
        <v>48.566666666666663</v>
      </c>
      <c r="O316" s="329">
        <v>7.3833333333333337</v>
      </c>
      <c r="P316" s="329">
        <v>8.9</v>
      </c>
    </row>
    <row r="317" spans="1:16">
      <c r="A317" s="331">
        <v>40506</v>
      </c>
      <c r="B317" s="329">
        <v>46.2</v>
      </c>
      <c r="C317" s="329">
        <f t="shared" si="20"/>
        <v>45.883333333333333</v>
      </c>
      <c r="D317" s="329">
        <v>48.6</v>
      </c>
      <c r="E317" s="329">
        <f t="shared" si="17"/>
        <v>48.566666666666663</v>
      </c>
      <c r="F317" s="329">
        <v>6.9</v>
      </c>
      <c r="G317" s="329">
        <f t="shared" si="18"/>
        <v>7.3833333333333337</v>
      </c>
      <c r="H317" s="329">
        <v>9</v>
      </c>
      <c r="I317" s="329">
        <f t="shared" si="19"/>
        <v>8.9</v>
      </c>
      <c r="L317" s="331">
        <v>40506</v>
      </c>
      <c r="M317" s="329">
        <v>45.883333333333333</v>
      </c>
      <c r="N317" s="329">
        <v>48.566666666666663</v>
      </c>
      <c r="O317" s="329">
        <v>7.3833333333333337</v>
      </c>
      <c r="P317" s="329">
        <v>8.9</v>
      </c>
    </row>
    <row r="318" spans="1:16">
      <c r="A318" s="331">
        <v>40506</v>
      </c>
      <c r="B318" s="329">
        <v>45.9</v>
      </c>
      <c r="C318" s="329">
        <f t="shared" si="20"/>
        <v>45.883333333333333</v>
      </c>
      <c r="D318" s="329">
        <v>48.5</v>
      </c>
      <c r="E318" s="329">
        <f t="shared" si="17"/>
        <v>48.566666666666663</v>
      </c>
      <c r="F318" s="329">
        <v>6.8</v>
      </c>
      <c r="G318" s="329">
        <f t="shared" si="18"/>
        <v>7.3833333333333337</v>
      </c>
      <c r="H318" s="329">
        <v>8.6999999999999993</v>
      </c>
      <c r="I318" s="329">
        <f t="shared" si="19"/>
        <v>8.9</v>
      </c>
      <c r="L318" s="331">
        <v>40506</v>
      </c>
      <c r="M318" s="329">
        <v>45.883333333333333</v>
      </c>
      <c r="N318" s="329">
        <v>48.566666666666663</v>
      </c>
      <c r="O318" s="329">
        <v>7.3833333333333337</v>
      </c>
      <c r="P318" s="329">
        <v>8.9</v>
      </c>
    </row>
    <row r="319" spans="1:16">
      <c r="A319" s="331">
        <v>40506</v>
      </c>
      <c r="B319" s="329">
        <v>45.6</v>
      </c>
      <c r="C319" s="329">
        <f t="shared" si="20"/>
        <v>45.883333333333333</v>
      </c>
      <c r="D319" s="329">
        <v>48.3</v>
      </c>
      <c r="E319" s="329">
        <f t="shared" si="17"/>
        <v>48.566666666666663</v>
      </c>
      <c r="F319" s="329">
        <v>7.6</v>
      </c>
      <c r="G319" s="329">
        <f t="shared" si="18"/>
        <v>7.3833333333333337</v>
      </c>
      <c r="H319" s="329">
        <v>8.5</v>
      </c>
      <c r="I319" s="329">
        <f t="shared" si="19"/>
        <v>8.9</v>
      </c>
      <c r="L319" s="331">
        <v>40506</v>
      </c>
      <c r="M319" s="329">
        <v>45.883333333333333</v>
      </c>
      <c r="N319" s="329">
        <v>48.566666666666663</v>
      </c>
      <c r="O319" s="329">
        <v>7.3833333333333337</v>
      </c>
      <c r="P319" s="329">
        <v>8.9</v>
      </c>
    </row>
    <row r="320" spans="1:16">
      <c r="A320" s="331">
        <v>40506</v>
      </c>
      <c r="B320" s="329">
        <v>45.5</v>
      </c>
      <c r="C320" s="329">
        <f t="shared" si="20"/>
        <v>45.883333333333333</v>
      </c>
      <c r="D320" s="329">
        <v>48.2</v>
      </c>
      <c r="E320" s="329">
        <f t="shared" si="17"/>
        <v>48.566666666666663</v>
      </c>
      <c r="F320" s="329">
        <v>7.6</v>
      </c>
      <c r="G320" s="329">
        <f t="shared" si="18"/>
        <v>7.3833333333333337</v>
      </c>
      <c r="H320" s="329">
        <v>8.6</v>
      </c>
      <c r="I320" s="329">
        <f t="shared" si="19"/>
        <v>8.9</v>
      </c>
      <c r="L320" s="331">
        <v>40506</v>
      </c>
      <c r="M320" s="329">
        <v>45.883333333333333</v>
      </c>
      <c r="N320" s="329">
        <v>48.566666666666663</v>
      </c>
      <c r="O320" s="329">
        <v>7.3833333333333337</v>
      </c>
      <c r="P320" s="329">
        <v>8.9</v>
      </c>
    </row>
    <row r="321" spans="1:16">
      <c r="A321" s="331">
        <v>40507</v>
      </c>
      <c r="B321" s="329">
        <v>45.5</v>
      </c>
      <c r="C321" s="329">
        <f t="shared" si="20"/>
        <v>45.383333333333333</v>
      </c>
      <c r="D321" s="329">
        <v>48.2</v>
      </c>
      <c r="E321" s="329">
        <f t="shared" si="17"/>
        <v>47.949999999999996</v>
      </c>
      <c r="F321" s="329">
        <v>7</v>
      </c>
      <c r="G321" s="329">
        <f t="shared" si="18"/>
        <v>7</v>
      </c>
      <c r="H321" s="329">
        <v>8.6</v>
      </c>
      <c r="I321" s="329">
        <f t="shared" si="19"/>
        <v>8.2666666666666657</v>
      </c>
      <c r="L321" s="331">
        <v>40507</v>
      </c>
      <c r="M321" s="329">
        <v>45.383333333333333</v>
      </c>
      <c r="N321" s="329">
        <v>47.949999999999996</v>
      </c>
      <c r="O321" s="329">
        <v>7</v>
      </c>
      <c r="P321" s="329">
        <v>8.2666666666666657</v>
      </c>
    </row>
    <row r="322" spans="1:16">
      <c r="A322" s="331">
        <v>40507</v>
      </c>
      <c r="B322" s="329">
        <v>45.4</v>
      </c>
      <c r="C322" s="329">
        <f t="shared" si="20"/>
        <v>45.383333333333333</v>
      </c>
      <c r="D322" s="329">
        <v>48.1</v>
      </c>
      <c r="E322" s="329">
        <f t="shared" si="17"/>
        <v>47.949999999999996</v>
      </c>
      <c r="F322" s="329">
        <v>6.8</v>
      </c>
      <c r="G322" s="329">
        <f t="shared" si="18"/>
        <v>7</v>
      </c>
      <c r="H322" s="329">
        <v>8.4</v>
      </c>
      <c r="I322" s="329">
        <f t="shared" si="19"/>
        <v>8.2666666666666657</v>
      </c>
      <c r="L322" s="331">
        <v>40507</v>
      </c>
      <c r="M322" s="329">
        <v>45.383333333333333</v>
      </c>
      <c r="N322" s="329">
        <v>47.949999999999996</v>
      </c>
      <c r="O322" s="329">
        <v>7</v>
      </c>
      <c r="P322" s="329">
        <v>8.2666666666666657</v>
      </c>
    </row>
    <row r="323" spans="1:16">
      <c r="A323" s="331">
        <v>40507</v>
      </c>
      <c r="B323" s="329">
        <v>45.4</v>
      </c>
      <c r="C323" s="329">
        <f t="shared" si="20"/>
        <v>45.383333333333333</v>
      </c>
      <c r="D323" s="329">
        <v>48</v>
      </c>
      <c r="E323" s="329">
        <f t="shared" si="17"/>
        <v>47.949999999999996</v>
      </c>
      <c r="F323" s="329">
        <v>6.6</v>
      </c>
      <c r="G323" s="329">
        <f t="shared" si="18"/>
        <v>7</v>
      </c>
      <c r="H323" s="329">
        <v>8.1999999999999993</v>
      </c>
      <c r="I323" s="329">
        <f t="shared" si="19"/>
        <v>8.2666666666666657</v>
      </c>
      <c r="L323" s="331">
        <v>40507</v>
      </c>
      <c r="M323" s="329">
        <v>45.383333333333333</v>
      </c>
      <c r="N323" s="329">
        <v>47.949999999999996</v>
      </c>
      <c r="O323" s="329">
        <v>7</v>
      </c>
      <c r="P323" s="329">
        <v>8.2666666666666657</v>
      </c>
    </row>
    <row r="324" spans="1:16">
      <c r="A324" s="331">
        <v>40507</v>
      </c>
      <c r="B324" s="329">
        <v>45.3</v>
      </c>
      <c r="C324" s="329">
        <f t="shared" si="20"/>
        <v>45.383333333333333</v>
      </c>
      <c r="D324" s="329">
        <v>47.9</v>
      </c>
      <c r="E324" s="329">
        <f t="shared" si="17"/>
        <v>47.949999999999996</v>
      </c>
      <c r="F324" s="329">
        <v>6.8</v>
      </c>
      <c r="G324" s="329">
        <f t="shared" si="18"/>
        <v>7</v>
      </c>
      <c r="H324" s="329">
        <v>8.1</v>
      </c>
      <c r="I324" s="329">
        <f t="shared" si="19"/>
        <v>8.2666666666666657</v>
      </c>
      <c r="L324" s="331">
        <v>40507</v>
      </c>
      <c r="M324" s="329">
        <v>45.383333333333333</v>
      </c>
      <c r="N324" s="329">
        <v>47.949999999999996</v>
      </c>
      <c r="O324" s="329">
        <v>7</v>
      </c>
      <c r="P324" s="329">
        <v>8.2666666666666657</v>
      </c>
    </row>
    <row r="325" spans="1:16">
      <c r="A325" s="331">
        <v>40507</v>
      </c>
      <c r="B325" s="329">
        <v>45.3</v>
      </c>
      <c r="C325" s="329">
        <f t="shared" si="20"/>
        <v>45.383333333333333</v>
      </c>
      <c r="D325" s="329">
        <v>47.8</v>
      </c>
      <c r="E325" s="329">
        <f t="shared" si="17"/>
        <v>47.949999999999996</v>
      </c>
      <c r="F325" s="329">
        <v>7.4</v>
      </c>
      <c r="G325" s="329">
        <f t="shared" si="18"/>
        <v>7</v>
      </c>
      <c r="H325" s="329">
        <v>8.1</v>
      </c>
      <c r="I325" s="329">
        <f t="shared" si="19"/>
        <v>8.2666666666666657</v>
      </c>
      <c r="L325" s="331">
        <v>40507</v>
      </c>
      <c r="M325" s="329">
        <v>45.383333333333333</v>
      </c>
      <c r="N325" s="329">
        <v>47.949999999999996</v>
      </c>
      <c r="O325" s="329">
        <v>7</v>
      </c>
      <c r="P325" s="329">
        <v>8.2666666666666657</v>
      </c>
    </row>
    <row r="326" spans="1:16">
      <c r="A326" s="331">
        <v>40507</v>
      </c>
      <c r="B326" s="329">
        <v>45.4</v>
      </c>
      <c r="C326" s="329">
        <f t="shared" si="20"/>
        <v>45.383333333333333</v>
      </c>
      <c r="D326" s="329">
        <v>47.7</v>
      </c>
      <c r="E326" s="329">
        <f t="shared" si="17"/>
        <v>47.949999999999996</v>
      </c>
      <c r="F326" s="329">
        <v>7.4</v>
      </c>
      <c r="G326" s="329">
        <f t="shared" si="18"/>
        <v>7</v>
      </c>
      <c r="H326" s="329">
        <v>8.1999999999999993</v>
      </c>
      <c r="I326" s="329">
        <f t="shared" si="19"/>
        <v>8.2666666666666657</v>
      </c>
      <c r="L326" s="331">
        <v>40507</v>
      </c>
      <c r="M326" s="329">
        <v>45.383333333333333</v>
      </c>
      <c r="N326" s="329">
        <v>47.949999999999996</v>
      </c>
      <c r="O326" s="329">
        <v>7</v>
      </c>
      <c r="P326" s="329">
        <v>8.2666666666666657</v>
      </c>
    </row>
    <row r="327" spans="1:16">
      <c r="A327" s="331">
        <v>40508</v>
      </c>
      <c r="B327" s="329">
        <v>45.6</v>
      </c>
      <c r="C327" s="329">
        <f t="shared" si="20"/>
        <v>45.550000000000004</v>
      </c>
      <c r="D327" s="329">
        <v>47.8</v>
      </c>
      <c r="E327" s="329">
        <f t="shared" si="17"/>
        <v>47.75</v>
      </c>
      <c r="F327" s="329">
        <v>7</v>
      </c>
      <c r="G327" s="329">
        <f t="shared" si="18"/>
        <v>6.583333333333333</v>
      </c>
      <c r="H327" s="329">
        <v>8.1999999999999993</v>
      </c>
      <c r="I327" s="329">
        <f t="shared" si="19"/>
        <v>7.916666666666667</v>
      </c>
      <c r="L327" s="331">
        <v>40508</v>
      </c>
      <c r="M327" s="329">
        <v>45.550000000000004</v>
      </c>
      <c r="N327" s="329">
        <v>47.75</v>
      </c>
      <c r="O327" s="329">
        <v>6.583333333333333</v>
      </c>
      <c r="P327" s="329">
        <v>7.916666666666667</v>
      </c>
    </row>
    <row r="328" spans="1:16">
      <c r="A328" s="331">
        <v>40508</v>
      </c>
      <c r="B328" s="329">
        <v>45.6</v>
      </c>
      <c r="C328" s="329">
        <f t="shared" si="20"/>
        <v>45.550000000000004</v>
      </c>
      <c r="D328" s="329">
        <v>47.8</v>
      </c>
      <c r="E328" s="329">
        <f t="shared" si="17"/>
        <v>47.75</v>
      </c>
      <c r="F328" s="329">
        <v>6.7</v>
      </c>
      <c r="G328" s="329">
        <f t="shared" si="18"/>
        <v>6.583333333333333</v>
      </c>
      <c r="H328" s="329">
        <v>8.1</v>
      </c>
      <c r="I328" s="329">
        <f t="shared" si="19"/>
        <v>7.916666666666667</v>
      </c>
      <c r="L328" s="331">
        <v>40508</v>
      </c>
      <c r="M328" s="329">
        <v>45.550000000000004</v>
      </c>
      <c r="N328" s="329">
        <v>47.75</v>
      </c>
      <c r="O328" s="329">
        <v>6.583333333333333</v>
      </c>
      <c r="P328" s="329">
        <v>7.916666666666667</v>
      </c>
    </row>
    <row r="329" spans="1:16">
      <c r="A329" s="331">
        <v>40508</v>
      </c>
      <c r="B329" s="329">
        <v>45.6</v>
      </c>
      <c r="C329" s="329">
        <f t="shared" si="20"/>
        <v>45.550000000000004</v>
      </c>
      <c r="D329" s="329">
        <v>47.8</v>
      </c>
      <c r="E329" s="329">
        <f t="shared" si="17"/>
        <v>47.75</v>
      </c>
      <c r="F329" s="329">
        <v>6.4</v>
      </c>
      <c r="G329" s="329">
        <f t="shared" si="18"/>
        <v>6.583333333333333</v>
      </c>
      <c r="H329" s="329">
        <v>8</v>
      </c>
      <c r="I329" s="329">
        <f t="shared" si="19"/>
        <v>7.916666666666667</v>
      </c>
      <c r="L329" s="331">
        <v>40508</v>
      </c>
      <c r="M329" s="329">
        <v>45.550000000000004</v>
      </c>
      <c r="N329" s="329">
        <v>47.75</v>
      </c>
      <c r="O329" s="329">
        <v>6.583333333333333</v>
      </c>
      <c r="P329" s="329">
        <v>7.916666666666667</v>
      </c>
    </row>
    <row r="330" spans="1:16">
      <c r="A330" s="331">
        <v>40508</v>
      </c>
      <c r="B330" s="329">
        <v>45.6</v>
      </c>
      <c r="C330" s="329">
        <f t="shared" si="20"/>
        <v>45.550000000000004</v>
      </c>
      <c r="D330" s="329">
        <v>47.8</v>
      </c>
      <c r="E330" s="329">
        <f t="shared" si="17"/>
        <v>47.75</v>
      </c>
      <c r="F330" s="329">
        <v>6.2</v>
      </c>
      <c r="G330" s="329">
        <f t="shared" si="18"/>
        <v>6.583333333333333</v>
      </c>
      <c r="H330" s="329">
        <v>7.8</v>
      </c>
      <c r="I330" s="329">
        <f t="shared" si="19"/>
        <v>7.916666666666667</v>
      </c>
      <c r="L330" s="331">
        <v>40508</v>
      </c>
      <c r="M330" s="329">
        <v>45.550000000000004</v>
      </c>
      <c r="N330" s="329">
        <v>47.75</v>
      </c>
      <c r="O330" s="329">
        <v>6.583333333333333</v>
      </c>
      <c r="P330" s="329">
        <v>7.916666666666667</v>
      </c>
    </row>
    <row r="331" spans="1:16">
      <c r="A331" s="331">
        <v>40508</v>
      </c>
      <c r="B331" s="329">
        <v>45.5</v>
      </c>
      <c r="C331" s="329">
        <f t="shared" si="20"/>
        <v>45.550000000000004</v>
      </c>
      <c r="D331" s="329">
        <v>47.7</v>
      </c>
      <c r="E331" s="329">
        <f t="shared" si="17"/>
        <v>47.75</v>
      </c>
      <c r="F331" s="329">
        <v>6.7</v>
      </c>
      <c r="G331" s="329">
        <f t="shared" si="18"/>
        <v>6.583333333333333</v>
      </c>
      <c r="H331" s="329">
        <v>7.7</v>
      </c>
      <c r="I331" s="329">
        <f t="shared" si="19"/>
        <v>7.916666666666667</v>
      </c>
      <c r="L331" s="331">
        <v>40508</v>
      </c>
      <c r="M331" s="329">
        <v>45.550000000000004</v>
      </c>
      <c r="N331" s="329">
        <v>47.75</v>
      </c>
      <c r="O331" s="329">
        <v>6.583333333333333</v>
      </c>
      <c r="P331" s="329">
        <v>7.916666666666667</v>
      </c>
    </row>
    <row r="332" spans="1:16">
      <c r="A332" s="331">
        <v>40508</v>
      </c>
      <c r="B332" s="329">
        <v>45.4</v>
      </c>
      <c r="C332" s="329">
        <f t="shared" si="20"/>
        <v>45.550000000000004</v>
      </c>
      <c r="D332" s="329">
        <v>47.6</v>
      </c>
      <c r="E332" s="329">
        <f t="shared" si="17"/>
        <v>47.75</v>
      </c>
      <c r="F332" s="329">
        <v>6.5</v>
      </c>
      <c r="G332" s="329">
        <f t="shared" si="18"/>
        <v>6.583333333333333</v>
      </c>
      <c r="H332" s="329">
        <v>7.7</v>
      </c>
      <c r="I332" s="329">
        <f t="shared" si="19"/>
        <v>7.916666666666667</v>
      </c>
      <c r="L332" s="331">
        <v>40508</v>
      </c>
      <c r="M332" s="329">
        <v>45.550000000000004</v>
      </c>
      <c r="N332" s="329">
        <v>47.75</v>
      </c>
      <c r="O332" s="329">
        <v>6.583333333333333</v>
      </c>
      <c r="P332" s="329">
        <v>7.916666666666667</v>
      </c>
    </row>
    <row r="333" spans="1:16">
      <c r="A333" s="331">
        <v>40509</v>
      </c>
      <c r="B333" s="329">
        <v>45.4</v>
      </c>
      <c r="C333" s="329">
        <f t="shared" si="20"/>
        <v>45.366666666666667</v>
      </c>
      <c r="D333" s="329">
        <v>47.9</v>
      </c>
      <c r="E333" s="329">
        <f t="shared" si="17"/>
        <v>47.800000000000004</v>
      </c>
      <c r="F333" s="329">
        <v>6</v>
      </c>
      <c r="G333" s="329">
        <f t="shared" si="18"/>
        <v>5.2833333333333341</v>
      </c>
      <c r="H333" s="329">
        <v>7.7</v>
      </c>
      <c r="I333" s="329">
        <f t="shared" si="19"/>
        <v>7.1833333333333327</v>
      </c>
      <c r="L333" s="331">
        <v>40509</v>
      </c>
      <c r="M333" s="329">
        <v>45.366666666666667</v>
      </c>
      <c r="N333" s="329">
        <v>47.800000000000004</v>
      </c>
      <c r="O333" s="329">
        <v>5.2833333333333341</v>
      </c>
      <c r="P333" s="329">
        <v>7.1833333333333327</v>
      </c>
    </row>
    <row r="334" spans="1:16">
      <c r="A334" s="331">
        <v>40509</v>
      </c>
      <c r="B334" s="329">
        <v>45.4</v>
      </c>
      <c r="C334" s="329">
        <f t="shared" si="20"/>
        <v>45.366666666666667</v>
      </c>
      <c r="D334" s="329">
        <v>47.8</v>
      </c>
      <c r="E334" s="329">
        <f t="shared" si="17"/>
        <v>47.800000000000004</v>
      </c>
      <c r="F334" s="329">
        <v>5.4</v>
      </c>
      <c r="G334" s="329">
        <f t="shared" si="18"/>
        <v>5.2833333333333341</v>
      </c>
      <c r="H334" s="329">
        <v>7.5</v>
      </c>
      <c r="I334" s="329">
        <f t="shared" si="19"/>
        <v>7.1833333333333327</v>
      </c>
      <c r="L334" s="331">
        <v>40509</v>
      </c>
      <c r="M334" s="329">
        <v>45.366666666666667</v>
      </c>
      <c r="N334" s="329">
        <v>47.800000000000004</v>
      </c>
      <c r="O334" s="329">
        <v>5.2833333333333341</v>
      </c>
      <c r="P334" s="329">
        <v>7.1833333333333327</v>
      </c>
    </row>
    <row r="335" spans="1:16">
      <c r="A335" s="331">
        <v>40509</v>
      </c>
      <c r="B335" s="329">
        <v>45.4</v>
      </c>
      <c r="C335" s="329">
        <f t="shared" si="20"/>
        <v>45.366666666666667</v>
      </c>
      <c r="D335" s="329">
        <v>47.8</v>
      </c>
      <c r="E335" s="329">
        <f t="shared" si="17"/>
        <v>47.800000000000004</v>
      </c>
      <c r="F335" s="329">
        <v>4.7</v>
      </c>
      <c r="G335" s="329">
        <f t="shared" si="18"/>
        <v>5.2833333333333341</v>
      </c>
      <c r="H335" s="329">
        <v>7.3</v>
      </c>
      <c r="I335" s="329">
        <f t="shared" si="19"/>
        <v>7.1833333333333327</v>
      </c>
      <c r="L335" s="331">
        <v>40509</v>
      </c>
      <c r="M335" s="329">
        <v>45.366666666666667</v>
      </c>
      <c r="N335" s="329">
        <v>47.800000000000004</v>
      </c>
      <c r="O335" s="329">
        <v>5.2833333333333341</v>
      </c>
      <c r="P335" s="329">
        <v>7.1833333333333327</v>
      </c>
    </row>
    <row r="336" spans="1:16">
      <c r="A336" s="331">
        <v>40509</v>
      </c>
      <c r="B336" s="329">
        <v>45.4</v>
      </c>
      <c r="C336" s="329">
        <f t="shared" si="20"/>
        <v>45.366666666666667</v>
      </c>
      <c r="D336" s="329">
        <v>48.1</v>
      </c>
      <c r="E336" s="329">
        <f t="shared" si="17"/>
        <v>47.800000000000004</v>
      </c>
      <c r="F336" s="329">
        <v>4.5999999999999996</v>
      </c>
      <c r="G336" s="329">
        <f t="shared" si="18"/>
        <v>5.2833333333333341</v>
      </c>
      <c r="H336" s="329">
        <v>7</v>
      </c>
      <c r="I336" s="329">
        <f t="shared" si="19"/>
        <v>7.1833333333333327</v>
      </c>
      <c r="L336" s="331">
        <v>40509</v>
      </c>
      <c r="M336" s="329">
        <v>45.366666666666667</v>
      </c>
      <c r="N336" s="329">
        <v>47.800000000000004</v>
      </c>
      <c r="O336" s="329">
        <v>5.2833333333333341</v>
      </c>
      <c r="P336" s="329">
        <v>7.1833333333333327</v>
      </c>
    </row>
    <row r="337" spans="1:16">
      <c r="A337" s="331">
        <v>40509</v>
      </c>
      <c r="B337" s="329">
        <v>45.3</v>
      </c>
      <c r="C337" s="329">
        <f t="shared" si="20"/>
        <v>45.366666666666667</v>
      </c>
      <c r="D337" s="329">
        <v>47.7</v>
      </c>
      <c r="E337" s="329">
        <f t="shared" si="17"/>
        <v>47.800000000000004</v>
      </c>
      <c r="F337" s="329">
        <v>5.3</v>
      </c>
      <c r="G337" s="329">
        <f t="shared" si="18"/>
        <v>5.2833333333333341</v>
      </c>
      <c r="H337" s="329">
        <v>6.8</v>
      </c>
      <c r="I337" s="329">
        <f t="shared" si="19"/>
        <v>7.1833333333333327</v>
      </c>
      <c r="L337" s="331">
        <v>40509</v>
      </c>
      <c r="M337" s="329">
        <v>45.366666666666667</v>
      </c>
      <c r="N337" s="329">
        <v>47.800000000000004</v>
      </c>
      <c r="O337" s="329">
        <v>5.2833333333333341</v>
      </c>
      <c r="P337" s="329">
        <v>7.1833333333333327</v>
      </c>
    </row>
    <row r="338" spans="1:16">
      <c r="A338" s="331">
        <v>40509</v>
      </c>
      <c r="B338" s="329">
        <v>45.3</v>
      </c>
      <c r="C338" s="329">
        <f t="shared" si="20"/>
        <v>45.366666666666667</v>
      </c>
      <c r="D338" s="329">
        <v>47.5</v>
      </c>
      <c r="E338" s="329">
        <f t="shared" si="17"/>
        <v>47.800000000000004</v>
      </c>
      <c r="F338" s="329">
        <v>5.7</v>
      </c>
      <c r="G338" s="329">
        <f t="shared" si="18"/>
        <v>5.2833333333333341</v>
      </c>
      <c r="H338" s="329">
        <v>6.8</v>
      </c>
      <c r="I338" s="329">
        <f t="shared" si="19"/>
        <v>7.1833333333333327</v>
      </c>
      <c r="L338" s="331">
        <v>40509</v>
      </c>
      <c r="M338" s="329">
        <v>45.366666666666667</v>
      </c>
      <c r="N338" s="329">
        <v>47.800000000000004</v>
      </c>
      <c r="O338" s="329">
        <v>5.2833333333333341</v>
      </c>
      <c r="P338" s="329">
        <v>7.1833333333333327</v>
      </c>
    </row>
    <row r="339" spans="1:16">
      <c r="A339" s="331">
        <v>40510</v>
      </c>
      <c r="B339" s="329">
        <v>45.3</v>
      </c>
      <c r="C339" s="329">
        <f t="shared" si="20"/>
        <v>45.266666666666659</v>
      </c>
      <c r="D339" s="329">
        <v>47.4</v>
      </c>
      <c r="E339" s="329">
        <f t="shared" si="17"/>
        <v>47.366666666666667</v>
      </c>
      <c r="F339" s="329">
        <v>5.5</v>
      </c>
      <c r="G339" s="329">
        <f t="shared" si="18"/>
        <v>5.166666666666667</v>
      </c>
      <c r="H339" s="329">
        <v>6.9</v>
      </c>
      <c r="I339" s="329">
        <f t="shared" si="19"/>
        <v>6.6833333333333336</v>
      </c>
      <c r="L339" s="331">
        <v>40510</v>
      </c>
      <c r="M339" s="329">
        <v>45.266666666666659</v>
      </c>
      <c r="N339" s="329">
        <v>47.366666666666667</v>
      </c>
      <c r="O339" s="329">
        <v>5.166666666666667</v>
      </c>
      <c r="P339" s="329">
        <v>6.6833333333333336</v>
      </c>
    </row>
    <row r="340" spans="1:16">
      <c r="A340" s="331">
        <v>40510</v>
      </c>
      <c r="B340" s="329">
        <v>45.3</v>
      </c>
      <c r="C340" s="329">
        <f t="shared" si="20"/>
        <v>45.266666666666659</v>
      </c>
      <c r="D340" s="329">
        <v>47.4</v>
      </c>
      <c r="E340" s="329">
        <f t="shared" si="17"/>
        <v>47.366666666666667</v>
      </c>
      <c r="F340" s="329">
        <v>5.2</v>
      </c>
      <c r="G340" s="329">
        <f t="shared" si="18"/>
        <v>5.166666666666667</v>
      </c>
      <c r="H340" s="329">
        <v>6.9</v>
      </c>
      <c r="I340" s="329">
        <f t="shared" si="19"/>
        <v>6.6833333333333336</v>
      </c>
      <c r="L340" s="331">
        <v>40510</v>
      </c>
      <c r="M340" s="329">
        <v>45.266666666666659</v>
      </c>
      <c r="N340" s="329">
        <v>47.366666666666667</v>
      </c>
      <c r="O340" s="329">
        <v>5.166666666666667</v>
      </c>
      <c r="P340" s="329">
        <v>6.6833333333333336</v>
      </c>
    </row>
    <row r="341" spans="1:16">
      <c r="A341" s="331">
        <v>40510</v>
      </c>
      <c r="B341" s="329">
        <v>45.3</v>
      </c>
      <c r="C341" s="329">
        <f t="shared" si="20"/>
        <v>45.266666666666659</v>
      </c>
      <c r="D341" s="329">
        <v>47.4</v>
      </c>
      <c r="E341" s="329">
        <f t="shared" si="17"/>
        <v>47.366666666666667</v>
      </c>
      <c r="F341" s="329">
        <v>4.7</v>
      </c>
      <c r="G341" s="329">
        <f t="shared" si="18"/>
        <v>5.166666666666667</v>
      </c>
      <c r="H341" s="329">
        <v>6.7</v>
      </c>
      <c r="I341" s="329">
        <f t="shared" si="19"/>
        <v>6.6833333333333336</v>
      </c>
      <c r="L341" s="331">
        <v>40510</v>
      </c>
      <c r="M341" s="329">
        <v>45.266666666666659</v>
      </c>
      <c r="N341" s="329">
        <v>47.366666666666667</v>
      </c>
      <c r="O341" s="329">
        <v>5.166666666666667</v>
      </c>
      <c r="P341" s="329">
        <v>6.6833333333333336</v>
      </c>
    </row>
    <row r="342" spans="1:16">
      <c r="A342" s="331">
        <v>40510</v>
      </c>
      <c r="B342" s="329">
        <v>45.3</v>
      </c>
      <c r="C342" s="329">
        <f t="shared" si="20"/>
        <v>45.266666666666659</v>
      </c>
      <c r="D342" s="329">
        <v>47.4</v>
      </c>
      <c r="E342" s="329">
        <f t="shared" si="17"/>
        <v>47.366666666666667</v>
      </c>
      <c r="F342" s="329">
        <v>4.5999999999999996</v>
      </c>
      <c r="G342" s="329">
        <f t="shared" si="18"/>
        <v>5.166666666666667</v>
      </c>
      <c r="H342" s="329">
        <v>6.6</v>
      </c>
      <c r="I342" s="329">
        <f t="shared" si="19"/>
        <v>6.6833333333333336</v>
      </c>
      <c r="L342" s="331">
        <v>40510</v>
      </c>
      <c r="M342" s="329">
        <v>45.266666666666659</v>
      </c>
      <c r="N342" s="329">
        <v>47.366666666666667</v>
      </c>
      <c r="O342" s="329">
        <v>5.166666666666667</v>
      </c>
      <c r="P342" s="329">
        <v>6.6833333333333336</v>
      </c>
    </row>
    <row r="343" spans="1:16">
      <c r="A343" s="331">
        <v>40510</v>
      </c>
      <c r="B343" s="329">
        <v>45.2</v>
      </c>
      <c r="C343" s="329">
        <f t="shared" si="20"/>
        <v>45.266666666666659</v>
      </c>
      <c r="D343" s="329">
        <v>47.3</v>
      </c>
      <c r="E343" s="329">
        <f t="shared" si="17"/>
        <v>47.366666666666667</v>
      </c>
      <c r="F343" s="329">
        <v>5.4</v>
      </c>
      <c r="G343" s="329">
        <f t="shared" si="18"/>
        <v>5.166666666666667</v>
      </c>
      <c r="H343" s="329">
        <v>6.5</v>
      </c>
      <c r="I343" s="329">
        <f t="shared" si="19"/>
        <v>6.6833333333333336</v>
      </c>
      <c r="L343" s="331">
        <v>40510</v>
      </c>
      <c r="M343" s="329">
        <v>45.266666666666659</v>
      </c>
      <c r="N343" s="329">
        <v>47.366666666666667</v>
      </c>
      <c r="O343" s="329">
        <v>5.166666666666667</v>
      </c>
      <c r="P343" s="329">
        <v>6.6833333333333336</v>
      </c>
    </row>
    <row r="344" spans="1:16">
      <c r="A344" s="331">
        <v>40510</v>
      </c>
      <c r="B344" s="329">
        <v>45.2</v>
      </c>
      <c r="C344" s="329">
        <f t="shared" si="20"/>
        <v>45.266666666666659</v>
      </c>
      <c r="D344" s="329">
        <v>47.3</v>
      </c>
      <c r="E344" s="329">
        <f t="shared" si="17"/>
        <v>47.366666666666667</v>
      </c>
      <c r="F344" s="329">
        <v>5.6</v>
      </c>
      <c r="G344" s="329">
        <f t="shared" si="18"/>
        <v>5.166666666666667</v>
      </c>
      <c r="H344" s="329">
        <v>6.5</v>
      </c>
      <c r="I344" s="329">
        <f t="shared" si="19"/>
        <v>6.6833333333333336</v>
      </c>
      <c r="L344" s="331">
        <v>40510</v>
      </c>
      <c r="M344" s="329">
        <v>45.266666666666659</v>
      </c>
      <c r="N344" s="329">
        <v>47.366666666666667</v>
      </c>
      <c r="O344" s="329">
        <v>5.166666666666667</v>
      </c>
      <c r="P344" s="329">
        <v>6.6833333333333336</v>
      </c>
    </row>
    <row r="345" spans="1:16">
      <c r="A345" s="331">
        <v>40511</v>
      </c>
      <c r="B345" s="329">
        <v>45.2</v>
      </c>
      <c r="C345" s="329">
        <f t="shared" si="20"/>
        <v>45.183333333333337</v>
      </c>
      <c r="D345" s="329">
        <v>47.3</v>
      </c>
      <c r="E345" s="329">
        <f t="shared" si="17"/>
        <v>47.249999999999993</v>
      </c>
      <c r="F345" s="329">
        <v>5.3</v>
      </c>
      <c r="G345" s="329">
        <f t="shared" si="18"/>
        <v>4.8666666666666663</v>
      </c>
      <c r="H345" s="329">
        <v>6.6</v>
      </c>
      <c r="I345" s="329">
        <f t="shared" si="19"/>
        <v>6.3833333333333337</v>
      </c>
      <c r="L345" s="331">
        <v>40511</v>
      </c>
      <c r="M345" s="329">
        <v>45.183333333333337</v>
      </c>
      <c r="N345" s="329">
        <v>47.249999999999993</v>
      </c>
      <c r="O345" s="329">
        <v>4.8666666666666663</v>
      </c>
      <c r="P345" s="329">
        <v>6.3833333333333337</v>
      </c>
    </row>
    <row r="346" spans="1:16">
      <c r="A346" s="331">
        <v>40511</v>
      </c>
      <c r="B346" s="329">
        <v>45.2</v>
      </c>
      <c r="C346" s="329">
        <f t="shared" si="20"/>
        <v>45.183333333333337</v>
      </c>
      <c r="D346" s="329">
        <v>47.3</v>
      </c>
      <c r="E346" s="329">
        <f t="shared" si="17"/>
        <v>47.249999999999993</v>
      </c>
      <c r="F346" s="329">
        <v>4.9000000000000004</v>
      </c>
      <c r="G346" s="329">
        <f t="shared" si="18"/>
        <v>4.8666666666666663</v>
      </c>
      <c r="H346" s="329">
        <v>6.6</v>
      </c>
      <c r="I346" s="329">
        <f t="shared" si="19"/>
        <v>6.3833333333333337</v>
      </c>
      <c r="L346" s="331">
        <v>40511</v>
      </c>
      <c r="M346" s="329">
        <v>45.183333333333337</v>
      </c>
      <c r="N346" s="329">
        <v>47.249999999999993</v>
      </c>
      <c r="O346" s="329">
        <v>4.8666666666666663</v>
      </c>
      <c r="P346" s="329">
        <v>6.3833333333333337</v>
      </c>
    </row>
    <row r="347" spans="1:16">
      <c r="A347" s="331">
        <v>40511</v>
      </c>
      <c r="B347" s="329">
        <v>45.2</v>
      </c>
      <c r="C347" s="329">
        <f t="shared" si="20"/>
        <v>45.183333333333337</v>
      </c>
      <c r="D347" s="329">
        <v>47.3</v>
      </c>
      <c r="E347" s="329">
        <f t="shared" si="17"/>
        <v>47.249999999999993</v>
      </c>
      <c r="F347" s="329">
        <v>4.5</v>
      </c>
      <c r="G347" s="329">
        <f t="shared" si="18"/>
        <v>4.8666666666666663</v>
      </c>
      <c r="H347" s="329">
        <v>6.4</v>
      </c>
      <c r="I347" s="329">
        <f t="shared" si="19"/>
        <v>6.3833333333333337</v>
      </c>
      <c r="L347" s="331">
        <v>40511</v>
      </c>
      <c r="M347" s="329">
        <v>45.183333333333337</v>
      </c>
      <c r="N347" s="329">
        <v>47.249999999999993</v>
      </c>
      <c r="O347" s="329">
        <v>4.8666666666666663</v>
      </c>
      <c r="P347" s="329">
        <v>6.3833333333333337</v>
      </c>
    </row>
    <row r="348" spans="1:16">
      <c r="A348" s="331">
        <v>40511</v>
      </c>
      <c r="B348" s="329">
        <v>45.2</v>
      </c>
      <c r="C348" s="329">
        <f t="shared" si="20"/>
        <v>45.183333333333337</v>
      </c>
      <c r="D348" s="329">
        <v>47.2</v>
      </c>
      <c r="E348" s="329">
        <f t="shared" si="17"/>
        <v>47.249999999999993</v>
      </c>
      <c r="F348" s="329">
        <v>4.3</v>
      </c>
      <c r="G348" s="329">
        <f t="shared" si="18"/>
        <v>4.8666666666666663</v>
      </c>
      <c r="H348" s="329">
        <v>6.3</v>
      </c>
      <c r="I348" s="329">
        <f t="shared" si="19"/>
        <v>6.3833333333333337</v>
      </c>
      <c r="L348" s="331">
        <v>40511</v>
      </c>
      <c r="M348" s="329">
        <v>45.183333333333337</v>
      </c>
      <c r="N348" s="329">
        <v>47.249999999999993</v>
      </c>
      <c r="O348" s="329">
        <v>4.8666666666666663</v>
      </c>
      <c r="P348" s="329">
        <v>6.3833333333333337</v>
      </c>
    </row>
    <row r="349" spans="1:16">
      <c r="A349" s="331">
        <v>40511</v>
      </c>
      <c r="B349" s="329">
        <v>45.2</v>
      </c>
      <c r="C349" s="329">
        <f t="shared" si="20"/>
        <v>45.183333333333337</v>
      </c>
      <c r="D349" s="329">
        <v>47.2</v>
      </c>
      <c r="E349" s="329">
        <f t="shared" si="17"/>
        <v>47.249999999999993</v>
      </c>
      <c r="F349" s="329">
        <v>5</v>
      </c>
      <c r="G349" s="329">
        <f t="shared" si="18"/>
        <v>4.8666666666666663</v>
      </c>
      <c r="H349" s="329">
        <v>6.2</v>
      </c>
      <c r="I349" s="329">
        <f t="shared" si="19"/>
        <v>6.3833333333333337</v>
      </c>
      <c r="L349" s="331">
        <v>40511</v>
      </c>
      <c r="M349" s="329">
        <v>45.183333333333337</v>
      </c>
      <c r="N349" s="329">
        <v>47.249999999999993</v>
      </c>
      <c r="O349" s="329">
        <v>4.8666666666666663</v>
      </c>
      <c r="P349" s="329">
        <v>6.3833333333333337</v>
      </c>
    </row>
    <row r="350" spans="1:16">
      <c r="A350" s="331">
        <v>40511</v>
      </c>
      <c r="B350" s="329">
        <v>45.1</v>
      </c>
      <c r="C350" s="329">
        <f t="shared" si="20"/>
        <v>45.183333333333337</v>
      </c>
      <c r="D350" s="329">
        <v>47.2</v>
      </c>
      <c r="E350" s="329">
        <f t="shared" si="17"/>
        <v>47.249999999999993</v>
      </c>
      <c r="F350" s="329">
        <v>5.2</v>
      </c>
      <c r="G350" s="329">
        <f t="shared" si="18"/>
        <v>4.8666666666666663</v>
      </c>
      <c r="H350" s="329">
        <v>6.2</v>
      </c>
      <c r="I350" s="329">
        <f t="shared" si="19"/>
        <v>6.3833333333333337</v>
      </c>
      <c r="L350" s="331">
        <v>40511</v>
      </c>
      <c r="M350" s="329">
        <v>45.183333333333337</v>
      </c>
      <c r="N350" s="329">
        <v>47.249999999999993</v>
      </c>
      <c r="O350" s="329">
        <v>4.8666666666666663</v>
      </c>
      <c r="P350" s="329">
        <v>6.3833333333333337</v>
      </c>
    </row>
    <row r="351" spans="1:16">
      <c r="A351" s="331">
        <v>40512</v>
      </c>
      <c r="B351" s="329">
        <v>45.1</v>
      </c>
      <c r="C351" s="329">
        <f t="shared" si="20"/>
        <v>45.016666666666673</v>
      </c>
      <c r="D351" s="329">
        <v>47.2</v>
      </c>
      <c r="E351" s="329">
        <f t="shared" si="17"/>
        <v>47.083333333333336</v>
      </c>
      <c r="F351" s="329">
        <v>4.8</v>
      </c>
      <c r="G351" s="329">
        <f t="shared" si="18"/>
        <v>5.1166666666666663</v>
      </c>
      <c r="H351" s="329">
        <v>6.3</v>
      </c>
      <c r="I351" s="329">
        <f t="shared" si="19"/>
        <v>6.2166666666666677</v>
      </c>
      <c r="L351" s="331">
        <v>40512</v>
      </c>
      <c r="M351" s="329">
        <v>45.016666666666673</v>
      </c>
      <c r="N351" s="329">
        <v>47.083333333333336</v>
      </c>
      <c r="O351" s="329">
        <v>5.1166666666666663</v>
      </c>
      <c r="P351" s="329">
        <v>6.2166666666666677</v>
      </c>
    </row>
    <row r="352" spans="1:16">
      <c r="A352" s="331">
        <v>40512</v>
      </c>
      <c r="B352" s="329">
        <v>45.1</v>
      </c>
      <c r="C352" s="329">
        <f t="shared" si="20"/>
        <v>45.016666666666673</v>
      </c>
      <c r="D352" s="329">
        <v>47.1</v>
      </c>
      <c r="E352" s="329">
        <f t="shared" si="17"/>
        <v>47.083333333333336</v>
      </c>
      <c r="F352" s="329">
        <v>4.5999999999999996</v>
      </c>
      <c r="G352" s="329">
        <f t="shared" si="18"/>
        <v>5.1166666666666663</v>
      </c>
      <c r="H352" s="329">
        <v>6.2</v>
      </c>
      <c r="I352" s="329">
        <f t="shared" si="19"/>
        <v>6.2166666666666677</v>
      </c>
      <c r="L352" s="331">
        <v>40512</v>
      </c>
      <c r="M352" s="329">
        <v>45.016666666666673</v>
      </c>
      <c r="N352" s="329">
        <v>47.083333333333336</v>
      </c>
      <c r="O352" s="329">
        <v>5.1166666666666663</v>
      </c>
      <c r="P352" s="329">
        <v>6.2166666666666677</v>
      </c>
    </row>
    <row r="353" spans="1:16">
      <c r="A353" s="331">
        <v>40512</v>
      </c>
      <c r="B353" s="329">
        <v>45.1</v>
      </c>
      <c r="C353" s="329">
        <f t="shared" si="20"/>
        <v>45.016666666666673</v>
      </c>
      <c r="D353" s="329">
        <v>47.1</v>
      </c>
      <c r="E353" s="329">
        <f t="shared" si="17"/>
        <v>47.083333333333336</v>
      </c>
      <c r="F353" s="329">
        <v>4.7</v>
      </c>
      <c r="G353" s="329">
        <f t="shared" si="18"/>
        <v>5.1166666666666663</v>
      </c>
      <c r="H353" s="329">
        <v>6.1</v>
      </c>
      <c r="I353" s="329">
        <f t="shared" si="19"/>
        <v>6.2166666666666677</v>
      </c>
      <c r="L353" s="331">
        <v>40512</v>
      </c>
      <c r="M353" s="329">
        <v>45.016666666666673</v>
      </c>
      <c r="N353" s="329">
        <v>47.083333333333336</v>
      </c>
      <c r="O353" s="329">
        <v>5.1166666666666663</v>
      </c>
      <c r="P353" s="329">
        <v>6.2166666666666677</v>
      </c>
    </row>
    <row r="354" spans="1:16">
      <c r="A354" s="331">
        <v>40512</v>
      </c>
      <c r="B354" s="329">
        <v>45</v>
      </c>
      <c r="C354" s="329">
        <f t="shared" si="20"/>
        <v>45.016666666666673</v>
      </c>
      <c r="D354" s="329">
        <v>47.1</v>
      </c>
      <c r="E354" s="329">
        <f t="shared" ref="E354:E417" si="21">AVERAGEIFS($D$33:$D$1494,$A$33:$A$1494,A354)</f>
        <v>47.083333333333336</v>
      </c>
      <c r="F354" s="329">
        <v>5</v>
      </c>
      <c r="G354" s="329">
        <f t="shared" ref="G354:G417" si="22">AVERAGEIFS($F$33:$F$1494,$A$33:$A$1494,A354)</f>
        <v>5.1166666666666663</v>
      </c>
      <c r="H354" s="329">
        <v>6.1</v>
      </c>
      <c r="I354" s="329">
        <f t="shared" ref="I354:I417" si="23">AVERAGEIFS($H$33:$H$1494,$A$33:$A$1494,A354)</f>
        <v>6.2166666666666677</v>
      </c>
      <c r="L354" s="331">
        <v>40512</v>
      </c>
      <c r="M354" s="329">
        <v>45.016666666666673</v>
      </c>
      <c r="N354" s="329">
        <v>47.083333333333336</v>
      </c>
      <c r="O354" s="329">
        <v>5.1166666666666663</v>
      </c>
      <c r="P354" s="329">
        <v>6.2166666666666677</v>
      </c>
    </row>
    <row r="355" spans="1:16">
      <c r="A355" s="331">
        <v>40512</v>
      </c>
      <c r="B355" s="329">
        <v>44.9</v>
      </c>
      <c r="C355" s="329">
        <f t="shared" si="20"/>
        <v>45.016666666666673</v>
      </c>
      <c r="D355" s="329">
        <v>47</v>
      </c>
      <c r="E355" s="329">
        <f t="shared" si="21"/>
        <v>47.083333333333336</v>
      </c>
      <c r="F355" s="329">
        <v>5.7</v>
      </c>
      <c r="G355" s="329">
        <f t="shared" si="22"/>
        <v>5.1166666666666663</v>
      </c>
      <c r="H355" s="329">
        <v>6.2</v>
      </c>
      <c r="I355" s="329">
        <f t="shared" si="23"/>
        <v>6.2166666666666677</v>
      </c>
      <c r="L355" s="331">
        <v>40512</v>
      </c>
      <c r="M355" s="329">
        <v>45.016666666666673</v>
      </c>
      <c r="N355" s="329">
        <v>47.083333333333336</v>
      </c>
      <c r="O355" s="329">
        <v>5.1166666666666663</v>
      </c>
      <c r="P355" s="329">
        <v>6.2166666666666677</v>
      </c>
    </row>
    <row r="356" spans="1:16">
      <c r="A356" s="331">
        <v>40512</v>
      </c>
      <c r="B356" s="329">
        <v>44.9</v>
      </c>
      <c r="C356" s="329">
        <f t="shared" si="20"/>
        <v>45.016666666666673</v>
      </c>
      <c r="D356" s="329">
        <v>47</v>
      </c>
      <c r="E356" s="329">
        <f t="shared" si="21"/>
        <v>47.083333333333336</v>
      </c>
      <c r="F356" s="329">
        <v>5.9</v>
      </c>
      <c r="G356" s="329">
        <f t="shared" si="22"/>
        <v>5.1166666666666663</v>
      </c>
      <c r="H356" s="329">
        <v>6.4</v>
      </c>
      <c r="I356" s="329">
        <f t="shared" si="23"/>
        <v>6.2166666666666677</v>
      </c>
      <c r="L356" s="331">
        <v>40512</v>
      </c>
      <c r="M356" s="329">
        <v>45.016666666666673</v>
      </c>
      <c r="N356" s="329">
        <v>47.083333333333336</v>
      </c>
      <c r="O356" s="329">
        <v>5.1166666666666663</v>
      </c>
      <c r="P356" s="329">
        <v>6.2166666666666677</v>
      </c>
    </row>
    <row r="357" spans="1:16">
      <c r="A357" s="331">
        <v>40513</v>
      </c>
      <c r="B357" s="329">
        <v>44.9</v>
      </c>
      <c r="C357" s="329">
        <f t="shared" si="20"/>
        <v>44.866666666666667</v>
      </c>
      <c r="D357" s="329">
        <v>46.9</v>
      </c>
      <c r="E357" s="329">
        <f t="shared" si="21"/>
        <v>46.883333333333333</v>
      </c>
      <c r="F357" s="329">
        <v>5.6</v>
      </c>
      <c r="G357" s="329">
        <f t="shared" si="22"/>
        <v>5.2166666666666668</v>
      </c>
      <c r="H357" s="329">
        <v>6.5</v>
      </c>
      <c r="I357" s="329">
        <f t="shared" si="23"/>
        <v>6.3833333333333329</v>
      </c>
      <c r="L357" s="331">
        <v>40513</v>
      </c>
      <c r="M357" s="329">
        <v>44.866666666666667</v>
      </c>
      <c r="N357" s="329">
        <v>46.883333333333333</v>
      </c>
      <c r="O357" s="329">
        <v>5.2166666666666668</v>
      </c>
      <c r="P357" s="329">
        <v>6.3833333333333329</v>
      </c>
    </row>
    <row r="358" spans="1:16">
      <c r="A358" s="331">
        <v>40513</v>
      </c>
      <c r="B358" s="329">
        <v>44.9</v>
      </c>
      <c r="C358" s="329">
        <f t="shared" si="20"/>
        <v>44.866666666666667</v>
      </c>
      <c r="D358" s="329">
        <v>46.9</v>
      </c>
      <c r="E358" s="329">
        <f t="shared" si="21"/>
        <v>46.883333333333333</v>
      </c>
      <c r="F358" s="329">
        <v>5.3</v>
      </c>
      <c r="G358" s="329">
        <f t="shared" si="22"/>
        <v>5.2166666666666668</v>
      </c>
      <c r="H358" s="329">
        <v>6.5</v>
      </c>
      <c r="I358" s="329">
        <f t="shared" si="23"/>
        <v>6.3833333333333329</v>
      </c>
      <c r="L358" s="331">
        <v>40513</v>
      </c>
      <c r="M358" s="329">
        <v>44.866666666666667</v>
      </c>
      <c r="N358" s="329">
        <v>46.883333333333333</v>
      </c>
      <c r="O358" s="329">
        <v>5.2166666666666668</v>
      </c>
      <c r="P358" s="329">
        <v>6.3833333333333329</v>
      </c>
    </row>
    <row r="359" spans="1:16">
      <c r="A359" s="331">
        <v>40513</v>
      </c>
      <c r="B359" s="329">
        <v>44.9</v>
      </c>
      <c r="C359" s="329">
        <f t="shared" si="20"/>
        <v>44.866666666666667</v>
      </c>
      <c r="D359" s="329">
        <v>46.9</v>
      </c>
      <c r="E359" s="329">
        <f t="shared" si="21"/>
        <v>46.883333333333333</v>
      </c>
      <c r="F359" s="329">
        <v>5</v>
      </c>
      <c r="G359" s="329">
        <f t="shared" si="22"/>
        <v>5.2166666666666668</v>
      </c>
      <c r="H359" s="329">
        <v>6.4</v>
      </c>
      <c r="I359" s="329">
        <f t="shared" si="23"/>
        <v>6.3833333333333329</v>
      </c>
      <c r="L359" s="331">
        <v>40513</v>
      </c>
      <c r="M359" s="329">
        <v>44.866666666666667</v>
      </c>
      <c r="N359" s="329">
        <v>46.883333333333333</v>
      </c>
      <c r="O359" s="329">
        <v>5.2166666666666668</v>
      </c>
      <c r="P359" s="329">
        <v>6.3833333333333329</v>
      </c>
    </row>
    <row r="360" spans="1:16">
      <c r="A360" s="331">
        <v>40513</v>
      </c>
      <c r="B360" s="329">
        <v>44.9</v>
      </c>
      <c r="C360" s="329">
        <f t="shared" ref="C360:C423" si="24">AVERAGEIFS($B$33:$B$1494,$A$33:$A$1494,A360)</f>
        <v>44.866666666666667</v>
      </c>
      <c r="D360" s="329">
        <v>46.9</v>
      </c>
      <c r="E360" s="329">
        <f t="shared" si="21"/>
        <v>46.883333333333333</v>
      </c>
      <c r="F360" s="329">
        <v>5.0999999999999996</v>
      </c>
      <c r="G360" s="329">
        <f t="shared" si="22"/>
        <v>5.2166666666666668</v>
      </c>
      <c r="H360" s="329">
        <v>6.3</v>
      </c>
      <c r="I360" s="329">
        <f t="shared" si="23"/>
        <v>6.3833333333333329</v>
      </c>
      <c r="L360" s="331">
        <v>40513</v>
      </c>
      <c r="M360" s="329">
        <v>44.866666666666667</v>
      </c>
      <c r="N360" s="329">
        <v>46.883333333333333</v>
      </c>
      <c r="O360" s="329">
        <v>5.2166666666666668</v>
      </c>
      <c r="P360" s="329">
        <v>6.3833333333333329</v>
      </c>
    </row>
    <row r="361" spans="1:16">
      <c r="A361" s="331">
        <v>40513</v>
      </c>
      <c r="B361" s="329">
        <v>44.8</v>
      </c>
      <c r="C361" s="329">
        <f t="shared" si="24"/>
        <v>44.866666666666667</v>
      </c>
      <c r="D361" s="329">
        <v>46.9</v>
      </c>
      <c r="E361" s="329">
        <f t="shared" si="21"/>
        <v>46.883333333333333</v>
      </c>
      <c r="F361" s="329">
        <v>5.3</v>
      </c>
      <c r="G361" s="329">
        <f t="shared" si="22"/>
        <v>5.2166666666666668</v>
      </c>
      <c r="H361" s="329">
        <v>6.3</v>
      </c>
      <c r="I361" s="329">
        <f t="shared" si="23"/>
        <v>6.3833333333333329</v>
      </c>
      <c r="L361" s="331">
        <v>40513</v>
      </c>
      <c r="M361" s="329">
        <v>44.866666666666667</v>
      </c>
      <c r="N361" s="329">
        <v>46.883333333333333</v>
      </c>
      <c r="O361" s="329">
        <v>5.2166666666666668</v>
      </c>
      <c r="P361" s="329">
        <v>6.3833333333333329</v>
      </c>
    </row>
    <row r="362" spans="1:16">
      <c r="A362" s="331">
        <v>40513</v>
      </c>
      <c r="B362" s="329">
        <v>44.8</v>
      </c>
      <c r="C362" s="329">
        <f t="shared" si="24"/>
        <v>44.866666666666667</v>
      </c>
      <c r="D362" s="329">
        <v>46.8</v>
      </c>
      <c r="E362" s="329">
        <f t="shared" si="21"/>
        <v>46.883333333333333</v>
      </c>
      <c r="F362" s="329">
        <v>5</v>
      </c>
      <c r="G362" s="329">
        <f t="shared" si="22"/>
        <v>5.2166666666666668</v>
      </c>
      <c r="H362" s="329">
        <v>6.3</v>
      </c>
      <c r="I362" s="329">
        <f t="shared" si="23"/>
        <v>6.3833333333333329</v>
      </c>
      <c r="L362" s="331">
        <v>40513</v>
      </c>
      <c r="M362" s="329">
        <v>44.866666666666667</v>
      </c>
      <c r="N362" s="329">
        <v>46.883333333333333</v>
      </c>
      <c r="O362" s="329">
        <v>5.2166666666666668</v>
      </c>
      <c r="P362" s="329">
        <v>6.3833333333333329</v>
      </c>
    </row>
    <row r="363" spans="1:16">
      <c r="A363" s="331">
        <v>40514</v>
      </c>
      <c r="B363" s="329">
        <v>44.8</v>
      </c>
      <c r="C363" s="329">
        <f t="shared" si="24"/>
        <v>45.25</v>
      </c>
      <c r="D363" s="329">
        <v>46.9</v>
      </c>
      <c r="E363" s="329">
        <f t="shared" si="21"/>
        <v>46.966666666666669</v>
      </c>
      <c r="F363" s="329">
        <v>4.5999999999999996</v>
      </c>
      <c r="G363" s="329">
        <f t="shared" si="22"/>
        <v>4.2833333333333332</v>
      </c>
      <c r="H363" s="329">
        <v>6.2</v>
      </c>
      <c r="I363" s="329">
        <f t="shared" si="23"/>
        <v>5.833333333333333</v>
      </c>
      <c r="L363" s="331">
        <v>40514</v>
      </c>
      <c r="M363" s="329">
        <v>45.25</v>
      </c>
      <c r="N363" s="329">
        <v>46.966666666666669</v>
      </c>
      <c r="O363" s="329">
        <v>4.2833333333333332</v>
      </c>
      <c r="P363" s="329">
        <v>5.833333333333333</v>
      </c>
    </row>
    <row r="364" spans="1:16">
      <c r="A364" s="331">
        <v>40514</v>
      </c>
      <c r="B364" s="329">
        <v>44.8</v>
      </c>
      <c r="C364" s="329">
        <f t="shared" si="24"/>
        <v>45.25</v>
      </c>
      <c r="D364" s="329">
        <v>47</v>
      </c>
      <c r="E364" s="329">
        <f t="shared" si="21"/>
        <v>46.966666666666669</v>
      </c>
      <c r="F364" s="329">
        <v>4</v>
      </c>
      <c r="G364" s="329">
        <f t="shared" si="22"/>
        <v>4.2833333333333332</v>
      </c>
      <c r="H364" s="329">
        <v>6</v>
      </c>
      <c r="I364" s="329">
        <f t="shared" si="23"/>
        <v>5.833333333333333</v>
      </c>
      <c r="L364" s="331">
        <v>40514</v>
      </c>
      <c r="M364" s="329">
        <v>45.25</v>
      </c>
      <c r="N364" s="329">
        <v>46.966666666666669</v>
      </c>
      <c r="O364" s="329">
        <v>4.2833333333333332</v>
      </c>
      <c r="P364" s="329">
        <v>5.833333333333333</v>
      </c>
    </row>
    <row r="365" spans="1:16">
      <c r="A365" s="331">
        <v>40514</v>
      </c>
      <c r="B365" s="329">
        <v>46.2</v>
      </c>
      <c r="C365" s="329">
        <f t="shared" si="24"/>
        <v>45.25</v>
      </c>
      <c r="D365" s="329">
        <v>47</v>
      </c>
      <c r="E365" s="329">
        <f t="shared" si="21"/>
        <v>46.966666666666669</v>
      </c>
      <c r="F365" s="329">
        <v>3.8</v>
      </c>
      <c r="G365" s="329">
        <f t="shared" si="22"/>
        <v>4.2833333333333332</v>
      </c>
      <c r="H365" s="329">
        <v>5.8</v>
      </c>
      <c r="I365" s="329">
        <f t="shared" si="23"/>
        <v>5.833333333333333</v>
      </c>
      <c r="L365" s="331">
        <v>40514</v>
      </c>
      <c r="M365" s="329">
        <v>45.25</v>
      </c>
      <c r="N365" s="329">
        <v>46.966666666666669</v>
      </c>
      <c r="O365" s="329">
        <v>4.2833333333333332</v>
      </c>
      <c r="P365" s="329">
        <v>5.833333333333333</v>
      </c>
    </row>
    <row r="366" spans="1:16">
      <c r="A366" s="331">
        <v>40514</v>
      </c>
      <c r="B366" s="329">
        <v>46</v>
      </c>
      <c r="C366" s="329">
        <f t="shared" si="24"/>
        <v>45.25</v>
      </c>
      <c r="D366" s="329">
        <v>47</v>
      </c>
      <c r="E366" s="329">
        <f t="shared" si="21"/>
        <v>46.966666666666669</v>
      </c>
      <c r="F366" s="329">
        <v>3.9</v>
      </c>
      <c r="G366" s="329">
        <f t="shared" si="22"/>
        <v>4.2833333333333332</v>
      </c>
      <c r="H366" s="329">
        <v>5.7</v>
      </c>
      <c r="I366" s="329">
        <f t="shared" si="23"/>
        <v>5.833333333333333</v>
      </c>
      <c r="L366" s="331">
        <v>40514</v>
      </c>
      <c r="M366" s="329">
        <v>45.25</v>
      </c>
      <c r="N366" s="329">
        <v>46.966666666666669</v>
      </c>
      <c r="O366" s="329">
        <v>4.2833333333333332</v>
      </c>
      <c r="P366" s="329">
        <v>5.833333333333333</v>
      </c>
    </row>
    <row r="367" spans="1:16">
      <c r="A367" s="331">
        <v>40514</v>
      </c>
      <c r="B367" s="329">
        <v>45</v>
      </c>
      <c r="C367" s="329">
        <f t="shared" si="24"/>
        <v>45.25</v>
      </c>
      <c r="D367" s="329">
        <v>46.9</v>
      </c>
      <c r="E367" s="329">
        <f t="shared" si="21"/>
        <v>46.966666666666669</v>
      </c>
      <c r="F367" s="329">
        <v>4.5999999999999996</v>
      </c>
      <c r="G367" s="329">
        <f t="shared" si="22"/>
        <v>4.2833333333333332</v>
      </c>
      <c r="H367" s="329">
        <v>5.6</v>
      </c>
      <c r="I367" s="329">
        <f t="shared" si="23"/>
        <v>5.833333333333333</v>
      </c>
      <c r="L367" s="331">
        <v>40514</v>
      </c>
      <c r="M367" s="329">
        <v>45.25</v>
      </c>
      <c r="N367" s="329">
        <v>46.966666666666669</v>
      </c>
      <c r="O367" s="329">
        <v>4.2833333333333332</v>
      </c>
      <c r="P367" s="329">
        <v>5.833333333333333</v>
      </c>
    </row>
    <row r="368" spans="1:16">
      <c r="A368" s="331">
        <v>40514</v>
      </c>
      <c r="B368" s="329">
        <v>44.7</v>
      </c>
      <c r="C368" s="329">
        <f t="shared" si="24"/>
        <v>45.25</v>
      </c>
      <c r="D368" s="329">
        <v>47</v>
      </c>
      <c r="E368" s="329">
        <f t="shared" si="21"/>
        <v>46.966666666666669</v>
      </c>
      <c r="F368" s="329">
        <v>4.8</v>
      </c>
      <c r="G368" s="329">
        <f t="shared" si="22"/>
        <v>4.2833333333333332</v>
      </c>
      <c r="H368" s="329">
        <v>5.7</v>
      </c>
      <c r="I368" s="329">
        <f t="shared" si="23"/>
        <v>5.833333333333333</v>
      </c>
      <c r="L368" s="331">
        <v>40514</v>
      </c>
      <c r="M368" s="329">
        <v>45.25</v>
      </c>
      <c r="N368" s="329">
        <v>46.966666666666669</v>
      </c>
      <c r="O368" s="329">
        <v>4.2833333333333332</v>
      </c>
      <c r="P368" s="329">
        <v>5.833333333333333</v>
      </c>
    </row>
    <row r="369" spans="1:16">
      <c r="A369" s="331">
        <v>40515</v>
      </c>
      <c r="B369" s="329">
        <v>44.7</v>
      </c>
      <c r="C369" s="329">
        <f t="shared" si="24"/>
        <v>44.833333333333343</v>
      </c>
      <c r="D369" s="329">
        <v>46.8</v>
      </c>
      <c r="E369" s="329">
        <f t="shared" si="21"/>
        <v>46.766666666666659</v>
      </c>
      <c r="F369" s="329">
        <v>4.5999999999999996</v>
      </c>
      <c r="G369" s="329">
        <f t="shared" si="22"/>
        <v>4.2833333333333332</v>
      </c>
      <c r="H369" s="329">
        <v>5.8</v>
      </c>
      <c r="I369" s="329">
        <f t="shared" si="23"/>
        <v>5.6000000000000005</v>
      </c>
      <c r="L369" s="331">
        <v>40515</v>
      </c>
      <c r="M369" s="329">
        <v>44.833333333333343</v>
      </c>
      <c r="N369" s="329">
        <v>46.766666666666659</v>
      </c>
      <c r="O369" s="329">
        <v>4.2833333333333332</v>
      </c>
      <c r="P369" s="329">
        <v>5.6000000000000005</v>
      </c>
    </row>
    <row r="370" spans="1:16">
      <c r="A370" s="331">
        <v>40515</v>
      </c>
      <c r="B370" s="329">
        <v>44.7</v>
      </c>
      <c r="C370" s="329">
        <f t="shared" si="24"/>
        <v>44.833333333333343</v>
      </c>
      <c r="D370" s="329">
        <v>46.8</v>
      </c>
      <c r="E370" s="329">
        <f t="shared" si="21"/>
        <v>46.766666666666659</v>
      </c>
      <c r="F370" s="329">
        <v>4.2</v>
      </c>
      <c r="G370" s="329">
        <f t="shared" si="22"/>
        <v>4.2833333333333332</v>
      </c>
      <c r="H370" s="329">
        <v>5.7</v>
      </c>
      <c r="I370" s="329">
        <f t="shared" si="23"/>
        <v>5.6000000000000005</v>
      </c>
      <c r="L370" s="331">
        <v>40515</v>
      </c>
      <c r="M370" s="329">
        <v>44.833333333333343</v>
      </c>
      <c r="N370" s="329">
        <v>46.766666666666659</v>
      </c>
      <c r="O370" s="329">
        <v>4.2833333333333332</v>
      </c>
      <c r="P370" s="329">
        <v>5.6000000000000005</v>
      </c>
    </row>
    <row r="371" spans="1:16">
      <c r="A371" s="331">
        <v>40515</v>
      </c>
      <c r="B371" s="329">
        <v>44.7</v>
      </c>
      <c r="C371" s="329">
        <f t="shared" si="24"/>
        <v>44.833333333333343</v>
      </c>
      <c r="D371" s="329">
        <v>46.8</v>
      </c>
      <c r="E371" s="329">
        <f t="shared" si="21"/>
        <v>46.766666666666659</v>
      </c>
      <c r="F371" s="329">
        <v>4.0999999999999996</v>
      </c>
      <c r="G371" s="329">
        <f t="shared" si="22"/>
        <v>4.2833333333333332</v>
      </c>
      <c r="H371" s="329">
        <v>5.6</v>
      </c>
      <c r="I371" s="329">
        <f t="shared" si="23"/>
        <v>5.6000000000000005</v>
      </c>
      <c r="L371" s="331">
        <v>40515</v>
      </c>
      <c r="M371" s="329">
        <v>44.833333333333343</v>
      </c>
      <c r="N371" s="329">
        <v>46.766666666666659</v>
      </c>
      <c r="O371" s="329">
        <v>4.2833333333333332</v>
      </c>
      <c r="P371" s="329">
        <v>5.6000000000000005</v>
      </c>
    </row>
    <row r="372" spans="1:16">
      <c r="A372" s="331">
        <v>40515</v>
      </c>
      <c r="B372" s="329">
        <v>45.3</v>
      </c>
      <c r="C372" s="329">
        <f t="shared" si="24"/>
        <v>44.833333333333343</v>
      </c>
      <c r="D372" s="329">
        <v>46.8</v>
      </c>
      <c r="E372" s="329">
        <f t="shared" si="21"/>
        <v>46.766666666666659</v>
      </c>
      <c r="F372" s="329">
        <v>4.0999999999999996</v>
      </c>
      <c r="G372" s="329">
        <f t="shared" si="22"/>
        <v>4.2833333333333332</v>
      </c>
      <c r="H372" s="329">
        <v>5.5</v>
      </c>
      <c r="I372" s="329">
        <f t="shared" si="23"/>
        <v>5.6000000000000005</v>
      </c>
      <c r="L372" s="331">
        <v>40515</v>
      </c>
      <c r="M372" s="329">
        <v>44.833333333333343</v>
      </c>
      <c r="N372" s="329">
        <v>46.766666666666659</v>
      </c>
      <c r="O372" s="329">
        <v>4.2833333333333332</v>
      </c>
      <c r="P372" s="329">
        <v>5.6000000000000005</v>
      </c>
    </row>
    <row r="373" spans="1:16">
      <c r="A373" s="331">
        <v>40515</v>
      </c>
      <c r="B373" s="329">
        <v>44.9</v>
      </c>
      <c r="C373" s="329">
        <f t="shared" si="24"/>
        <v>44.833333333333343</v>
      </c>
      <c r="D373" s="329">
        <v>46.7</v>
      </c>
      <c r="E373" s="329">
        <f t="shared" si="21"/>
        <v>46.766666666666659</v>
      </c>
      <c r="F373" s="329">
        <v>4.4000000000000004</v>
      </c>
      <c r="G373" s="329">
        <f t="shared" si="22"/>
        <v>4.2833333333333332</v>
      </c>
      <c r="H373" s="329">
        <v>5.5</v>
      </c>
      <c r="I373" s="329">
        <f t="shared" si="23"/>
        <v>5.6000000000000005</v>
      </c>
      <c r="L373" s="331">
        <v>40515</v>
      </c>
      <c r="M373" s="329">
        <v>44.833333333333343</v>
      </c>
      <c r="N373" s="329">
        <v>46.766666666666659</v>
      </c>
      <c r="O373" s="329">
        <v>4.2833333333333332</v>
      </c>
      <c r="P373" s="329">
        <v>5.6000000000000005</v>
      </c>
    </row>
    <row r="374" spans="1:16">
      <c r="A374" s="331">
        <v>40515</v>
      </c>
      <c r="B374" s="329">
        <v>44.7</v>
      </c>
      <c r="C374" s="329">
        <f t="shared" si="24"/>
        <v>44.833333333333343</v>
      </c>
      <c r="D374" s="329">
        <v>46.7</v>
      </c>
      <c r="E374" s="329">
        <f t="shared" si="21"/>
        <v>46.766666666666659</v>
      </c>
      <c r="F374" s="329">
        <v>4.3</v>
      </c>
      <c r="G374" s="329">
        <f t="shared" si="22"/>
        <v>4.2833333333333332</v>
      </c>
      <c r="H374" s="329">
        <v>5.5</v>
      </c>
      <c r="I374" s="329">
        <f t="shared" si="23"/>
        <v>5.6000000000000005</v>
      </c>
      <c r="L374" s="331">
        <v>40515</v>
      </c>
      <c r="M374" s="329">
        <v>44.833333333333343</v>
      </c>
      <c r="N374" s="329">
        <v>46.766666666666659</v>
      </c>
      <c r="O374" s="329">
        <v>4.2833333333333332</v>
      </c>
      <c r="P374" s="329">
        <v>5.6000000000000005</v>
      </c>
    </row>
    <row r="375" spans="1:16">
      <c r="A375" s="331">
        <v>40516</v>
      </c>
      <c r="B375" s="329">
        <v>44.7</v>
      </c>
      <c r="C375" s="329">
        <f t="shared" si="24"/>
        <v>44.916666666666679</v>
      </c>
      <c r="D375" s="329">
        <v>46.7</v>
      </c>
      <c r="E375" s="329">
        <f t="shared" si="21"/>
        <v>46.683333333333337</v>
      </c>
      <c r="F375" s="329">
        <v>4.0999999999999996</v>
      </c>
      <c r="G375" s="329">
        <f t="shared" si="22"/>
        <v>4.0666666666666664</v>
      </c>
      <c r="H375" s="329">
        <v>5.5</v>
      </c>
      <c r="I375" s="329">
        <f t="shared" si="23"/>
        <v>5.3166666666666664</v>
      </c>
      <c r="L375" s="331">
        <v>40516</v>
      </c>
      <c r="M375" s="329">
        <v>44.916666666666679</v>
      </c>
      <c r="N375" s="329">
        <v>46.683333333333337</v>
      </c>
      <c r="O375" s="329">
        <v>4.0666666666666664</v>
      </c>
      <c r="P375" s="329">
        <v>5.3166666666666664</v>
      </c>
    </row>
    <row r="376" spans="1:16">
      <c r="A376" s="331">
        <v>40516</v>
      </c>
      <c r="B376" s="329">
        <v>44.7</v>
      </c>
      <c r="C376" s="329">
        <f t="shared" si="24"/>
        <v>44.916666666666679</v>
      </c>
      <c r="D376" s="329">
        <v>46.7</v>
      </c>
      <c r="E376" s="329">
        <f t="shared" si="21"/>
        <v>46.683333333333337</v>
      </c>
      <c r="F376" s="329">
        <v>3.8</v>
      </c>
      <c r="G376" s="329">
        <f t="shared" si="22"/>
        <v>4.0666666666666664</v>
      </c>
      <c r="H376" s="329">
        <v>5.4</v>
      </c>
      <c r="I376" s="329">
        <f t="shared" si="23"/>
        <v>5.3166666666666664</v>
      </c>
      <c r="L376" s="331">
        <v>40516</v>
      </c>
      <c r="M376" s="329">
        <v>44.916666666666679</v>
      </c>
      <c r="N376" s="329">
        <v>46.683333333333337</v>
      </c>
      <c r="O376" s="329">
        <v>4.0666666666666664</v>
      </c>
      <c r="P376" s="329">
        <v>5.3166666666666664</v>
      </c>
    </row>
    <row r="377" spans="1:16">
      <c r="A377" s="331">
        <v>40516</v>
      </c>
      <c r="B377" s="329">
        <v>45.4</v>
      </c>
      <c r="C377" s="329">
        <f t="shared" si="24"/>
        <v>44.916666666666679</v>
      </c>
      <c r="D377" s="329">
        <v>46.7</v>
      </c>
      <c r="E377" s="329">
        <f t="shared" si="21"/>
        <v>46.683333333333337</v>
      </c>
      <c r="F377" s="329">
        <v>3.6</v>
      </c>
      <c r="G377" s="329">
        <f t="shared" si="22"/>
        <v>4.0666666666666664</v>
      </c>
      <c r="H377" s="329">
        <v>5.3</v>
      </c>
      <c r="I377" s="329">
        <f t="shared" si="23"/>
        <v>5.3166666666666664</v>
      </c>
      <c r="L377" s="331">
        <v>40516</v>
      </c>
      <c r="M377" s="329">
        <v>44.916666666666679</v>
      </c>
      <c r="N377" s="329">
        <v>46.683333333333337</v>
      </c>
      <c r="O377" s="329">
        <v>4.0666666666666664</v>
      </c>
      <c r="P377" s="329">
        <v>5.3166666666666664</v>
      </c>
    </row>
    <row r="378" spans="1:16">
      <c r="A378" s="331">
        <v>40516</v>
      </c>
      <c r="B378" s="329">
        <v>45.3</v>
      </c>
      <c r="C378" s="329">
        <f t="shared" si="24"/>
        <v>44.916666666666679</v>
      </c>
      <c r="D378" s="329">
        <v>46.7</v>
      </c>
      <c r="E378" s="329">
        <f t="shared" si="21"/>
        <v>46.683333333333337</v>
      </c>
      <c r="F378" s="329">
        <v>3.7</v>
      </c>
      <c r="G378" s="329">
        <f t="shared" si="22"/>
        <v>4.0666666666666664</v>
      </c>
      <c r="H378" s="329">
        <v>5.2</v>
      </c>
      <c r="I378" s="329">
        <f t="shared" si="23"/>
        <v>5.3166666666666664</v>
      </c>
      <c r="L378" s="331">
        <v>40516</v>
      </c>
      <c r="M378" s="329">
        <v>44.916666666666679</v>
      </c>
      <c r="N378" s="329">
        <v>46.683333333333337</v>
      </c>
      <c r="O378" s="329">
        <v>4.0666666666666664</v>
      </c>
      <c r="P378" s="329">
        <v>5.3166666666666664</v>
      </c>
    </row>
    <row r="379" spans="1:16">
      <c r="A379" s="331">
        <v>40516</v>
      </c>
      <c r="B379" s="329">
        <v>44.8</v>
      </c>
      <c r="C379" s="329">
        <f t="shared" si="24"/>
        <v>44.916666666666679</v>
      </c>
      <c r="D379" s="329">
        <v>46.7</v>
      </c>
      <c r="E379" s="329">
        <f t="shared" si="21"/>
        <v>46.683333333333337</v>
      </c>
      <c r="F379" s="329">
        <v>4.5999999999999996</v>
      </c>
      <c r="G379" s="329">
        <f t="shared" si="22"/>
        <v>4.0666666666666664</v>
      </c>
      <c r="H379" s="329">
        <v>5.2</v>
      </c>
      <c r="I379" s="329">
        <f t="shared" si="23"/>
        <v>5.3166666666666664</v>
      </c>
      <c r="L379" s="331">
        <v>40516</v>
      </c>
      <c r="M379" s="329">
        <v>44.916666666666679</v>
      </c>
      <c r="N379" s="329">
        <v>46.683333333333337</v>
      </c>
      <c r="O379" s="329">
        <v>4.0666666666666664</v>
      </c>
      <c r="P379" s="329">
        <v>5.3166666666666664</v>
      </c>
    </row>
    <row r="380" spans="1:16">
      <c r="A380" s="331">
        <v>40516</v>
      </c>
      <c r="B380" s="329">
        <v>44.6</v>
      </c>
      <c r="C380" s="329">
        <f t="shared" si="24"/>
        <v>44.916666666666679</v>
      </c>
      <c r="D380" s="329">
        <v>46.6</v>
      </c>
      <c r="E380" s="329">
        <f t="shared" si="21"/>
        <v>46.683333333333337</v>
      </c>
      <c r="F380" s="329">
        <v>4.5999999999999996</v>
      </c>
      <c r="G380" s="329">
        <f t="shared" si="22"/>
        <v>4.0666666666666664</v>
      </c>
      <c r="H380" s="329">
        <v>5.3</v>
      </c>
      <c r="I380" s="329">
        <f t="shared" si="23"/>
        <v>5.3166666666666664</v>
      </c>
      <c r="L380" s="331">
        <v>40516</v>
      </c>
      <c r="M380" s="329">
        <v>44.916666666666679</v>
      </c>
      <c r="N380" s="329">
        <v>46.683333333333337</v>
      </c>
      <c r="O380" s="329">
        <v>4.0666666666666664</v>
      </c>
      <c r="P380" s="329">
        <v>5.3166666666666664</v>
      </c>
    </row>
    <row r="381" spans="1:16">
      <c r="A381" s="331">
        <v>40517</v>
      </c>
      <c r="B381" s="329">
        <v>44.6</v>
      </c>
      <c r="C381" s="329">
        <f t="shared" si="24"/>
        <v>44.550000000000004</v>
      </c>
      <c r="D381" s="329">
        <v>47.6</v>
      </c>
      <c r="E381" s="329">
        <f t="shared" si="21"/>
        <v>46.65</v>
      </c>
      <c r="F381" s="329">
        <v>4.2</v>
      </c>
      <c r="G381" s="329">
        <f t="shared" si="22"/>
        <v>4.9333333333333327</v>
      </c>
      <c r="H381" s="329">
        <v>5.4</v>
      </c>
      <c r="I381" s="329">
        <f t="shared" si="23"/>
        <v>5.5166666666666666</v>
      </c>
      <c r="L381" s="331">
        <v>40517</v>
      </c>
      <c r="M381" s="329">
        <v>44.550000000000004</v>
      </c>
      <c r="N381" s="329">
        <v>46.65</v>
      </c>
      <c r="O381" s="329">
        <v>4.9333333333333327</v>
      </c>
      <c r="P381" s="329">
        <v>5.5166666666666666</v>
      </c>
    </row>
    <row r="382" spans="1:16">
      <c r="A382" s="331">
        <v>40517</v>
      </c>
      <c r="B382" s="329">
        <v>44.6</v>
      </c>
      <c r="C382" s="329">
        <f t="shared" si="24"/>
        <v>44.550000000000004</v>
      </c>
      <c r="D382" s="329">
        <v>47.4</v>
      </c>
      <c r="E382" s="329">
        <f t="shared" si="21"/>
        <v>46.65</v>
      </c>
      <c r="F382" s="329">
        <v>4.5</v>
      </c>
      <c r="G382" s="329">
        <f t="shared" si="22"/>
        <v>4.9333333333333327</v>
      </c>
      <c r="H382" s="329">
        <v>5.4</v>
      </c>
      <c r="I382" s="329">
        <f t="shared" si="23"/>
        <v>5.5166666666666666</v>
      </c>
      <c r="L382" s="331">
        <v>40517</v>
      </c>
      <c r="M382" s="329">
        <v>44.550000000000004</v>
      </c>
      <c r="N382" s="329">
        <v>46.65</v>
      </c>
      <c r="O382" s="329">
        <v>4.9333333333333327</v>
      </c>
      <c r="P382" s="329">
        <v>5.5166666666666666</v>
      </c>
    </row>
    <row r="383" spans="1:16">
      <c r="A383" s="331">
        <v>40517</v>
      </c>
      <c r="B383" s="329">
        <v>44.6</v>
      </c>
      <c r="C383" s="329">
        <f t="shared" si="24"/>
        <v>44.550000000000004</v>
      </c>
      <c r="D383" s="329">
        <v>46.3</v>
      </c>
      <c r="E383" s="329">
        <f t="shared" si="21"/>
        <v>46.65</v>
      </c>
      <c r="F383" s="329">
        <v>4.7</v>
      </c>
      <c r="G383" s="329">
        <f t="shared" si="22"/>
        <v>4.9333333333333327</v>
      </c>
      <c r="H383" s="329">
        <v>5.4</v>
      </c>
      <c r="I383" s="329">
        <f t="shared" si="23"/>
        <v>5.5166666666666666</v>
      </c>
      <c r="L383" s="331">
        <v>40517</v>
      </c>
      <c r="M383" s="329">
        <v>44.550000000000004</v>
      </c>
      <c r="N383" s="329">
        <v>46.65</v>
      </c>
      <c r="O383" s="329">
        <v>4.9333333333333327</v>
      </c>
      <c r="P383" s="329">
        <v>5.5166666666666666</v>
      </c>
    </row>
    <row r="384" spans="1:16">
      <c r="A384" s="331">
        <v>40517</v>
      </c>
      <c r="B384" s="329">
        <v>44.5</v>
      </c>
      <c r="C384" s="329">
        <f t="shared" si="24"/>
        <v>44.550000000000004</v>
      </c>
      <c r="D384" s="329">
        <v>46.2</v>
      </c>
      <c r="E384" s="329">
        <f t="shared" si="21"/>
        <v>46.65</v>
      </c>
      <c r="F384" s="329">
        <v>4.9000000000000004</v>
      </c>
      <c r="G384" s="329">
        <f t="shared" si="22"/>
        <v>4.9333333333333327</v>
      </c>
      <c r="H384" s="329">
        <v>5.5</v>
      </c>
      <c r="I384" s="329">
        <f t="shared" si="23"/>
        <v>5.5166666666666666</v>
      </c>
      <c r="L384" s="331">
        <v>40517</v>
      </c>
      <c r="M384" s="329">
        <v>44.550000000000004</v>
      </c>
      <c r="N384" s="329">
        <v>46.65</v>
      </c>
      <c r="O384" s="329">
        <v>4.9333333333333327</v>
      </c>
      <c r="P384" s="329">
        <v>5.5166666666666666</v>
      </c>
    </row>
    <row r="385" spans="1:16">
      <c r="A385" s="331">
        <v>40517</v>
      </c>
      <c r="B385" s="329">
        <v>44.5</v>
      </c>
      <c r="C385" s="329">
        <f t="shared" si="24"/>
        <v>44.550000000000004</v>
      </c>
      <c r="D385" s="329">
        <v>46.2</v>
      </c>
      <c r="E385" s="329">
        <f t="shared" si="21"/>
        <v>46.65</v>
      </c>
      <c r="F385" s="329">
        <v>5.4</v>
      </c>
      <c r="G385" s="329">
        <f t="shared" si="22"/>
        <v>4.9333333333333327</v>
      </c>
      <c r="H385" s="329">
        <v>5.6</v>
      </c>
      <c r="I385" s="329">
        <f t="shared" si="23"/>
        <v>5.5166666666666666</v>
      </c>
      <c r="L385" s="331">
        <v>40517</v>
      </c>
      <c r="M385" s="329">
        <v>44.550000000000004</v>
      </c>
      <c r="N385" s="329">
        <v>46.65</v>
      </c>
      <c r="O385" s="329">
        <v>4.9333333333333327</v>
      </c>
      <c r="P385" s="329">
        <v>5.5166666666666666</v>
      </c>
    </row>
    <row r="386" spans="1:16">
      <c r="A386" s="331">
        <v>40517</v>
      </c>
      <c r="B386" s="329">
        <v>44.5</v>
      </c>
      <c r="C386" s="329">
        <f t="shared" si="24"/>
        <v>44.550000000000004</v>
      </c>
      <c r="D386" s="329">
        <v>46.2</v>
      </c>
      <c r="E386" s="329">
        <f t="shared" si="21"/>
        <v>46.65</v>
      </c>
      <c r="F386" s="329">
        <v>5.9</v>
      </c>
      <c r="G386" s="329">
        <f t="shared" si="22"/>
        <v>4.9333333333333327</v>
      </c>
      <c r="H386" s="329">
        <v>5.8</v>
      </c>
      <c r="I386" s="329">
        <f t="shared" si="23"/>
        <v>5.5166666666666666</v>
      </c>
      <c r="L386" s="331">
        <v>40517</v>
      </c>
      <c r="M386" s="329">
        <v>44.550000000000004</v>
      </c>
      <c r="N386" s="329">
        <v>46.65</v>
      </c>
      <c r="O386" s="329">
        <v>4.9333333333333327</v>
      </c>
      <c r="P386" s="329">
        <v>5.5166666666666666</v>
      </c>
    </row>
    <row r="387" spans="1:16">
      <c r="A387" s="331">
        <v>40518</v>
      </c>
      <c r="B387" s="329">
        <v>44.5</v>
      </c>
      <c r="C387" s="329">
        <f t="shared" si="24"/>
        <v>44.449999999999996</v>
      </c>
      <c r="D387" s="329">
        <v>46.2</v>
      </c>
      <c r="E387" s="329">
        <f t="shared" si="21"/>
        <v>46.116666666666667</v>
      </c>
      <c r="F387" s="329">
        <v>6.2</v>
      </c>
      <c r="G387" s="329">
        <f t="shared" si="22"/>
        <v>7.333333333333333</v>
      </c>
      <c r="H387" s="329">
        <v>6</v>
      </c>
      <c r="I387" s="329">
        <f t="shared" si="23"/>
        <v>6.5500000000000007</v>
      </c>
      <c r="L387" s="331">
        <v>40518</v>
      </c>
      <c r="M387" s="329">
        <v>44.449999999999996</v>
      </c>
      <c r="N387" s="329">
        <v>46.116666666666667</v>
      </c>
      <c r="O387" s="329">
        <v>7.333333333333333</v>
      </c>
      <c r="P387" s="329">
        <v>6.5500000000000007</v>
      </c>
    </row>
    <row r="388" spans="1:16">
      <c r="A388" s="331">
        <v>40518</v>
      </c>
      <c r="B388" s="329">
        <v>44.5</v>
      </c>
      <c r="C388" s="329">
        <f t="shared" si="24"/>
        <v>44.449999999999996</v>
      </c>
      <c r="D388" s="329">
        <v>46.1</v>
      </c>
      <c r="E388" s="329">
        <f t="shared" si="21"/>
        <v>46.116666666666667</v>
      </c>
      <c r="F388" s="329">
        <v>6.6</v>
      </c>
      <c r="G388" s="329">
        <f t="shared" si="22"/>
        <v>7.333333333333333</v>
      </c>
      <c r="H388" s="329">
        <v>6.2</v>
      </c>
      <c r="I388" s="329">
        <f t="shared" si="23"/>
        <v>6.5500000000000007</v>
      </c>
      <c r="L388" s="331">
        <v>40518</v>
      </c>
      <c r="M388" s="329">
        <v>44.449999999999996</v>
      </c>
      <c r="N388" s="329">
        <v>46.116666666666667</v>
      </c>
      <c r="O388" s="329">
        <v>7.333333333333333</v>
      </c>
      <c r="P388" s="329">
        <v>6.5500000000000007</v>
      </c>
    </row>
    <row r="389" spans="1:16">
      <c r="A389" s="331">
        <v>40518</v>
      </c>
      <c r="B389" s="329">
        <v>44.5</v>
      </c>
      <c r="C389" s="329">
        <f t="shared" si="24"/>
        <v>44.449999999999996</v>
      </c>
      <c r="D389" s="329">
        <v>46.1</v>
      </c>
      <c r="E389" s="329">
        <f t="shared" si="21"/>
        <v>46.116666666666667</v>
      </c>
      <c r="F389" s="329">
        <v>7.1</v>
      </c>
      <c r="G389" s="329">
        <f t="shared" si="22"/>
        <v>7.333333333333333</v>
      </c>
      <c r="H389" s="329">
        <v>6.4</v>
      </c>
      <c r="I389" s="329">
        <f t="shared" si="23"/>
        <v>6.5500000000000007</v>
      </c>
      <c r="L389" s="331">
        <v>40518</v>
      </c>
      <c r="M389" s="329">
        <v>44.449999999999996</v>
      </c>
      <c r="N389" s="329">
        <v>46.116666666666667</v>
      </c>
      <c r="O389" s="329">
        <v>7.333333333333333</v>
      </c>
      <c r="P389" s="329">
        <v>6.5500000000000007</v>
      </c>
    </row>
    <row r="390" spans="1:16">
      <c r="A390" s="331">
        <v>40518</v>
      </c>
      <c r="B390" s="329">
        <v>44.4</v>
      </c>
      <c r="C390" s="329">
        <f t="shared" si="24"/>
        <v>44.449999999999996</v>
      </c>
      <c r="D390" s="329">
        <v>46.1</v>
      </c>
      <c r="E390" s="329">
        <f t="shared" si="21"/>
        <v>46.116666666666667</v>
      </c>
      <c r="F390" s="329">
        <v>7.4</v>
      </c>
      <c r="G390" s="329">
        <f t="shared" si="22"/>
        <v>7.333333333333333</v>
      </c>
      <c r="H390" s="329">
        <v>6.6</v>
      </c>
      <c r="I390" s="329">
        <f t="shared" si="23"/>
        <v>6.5500000000000007</v>
      </c>
      <c r="L390" s="331">
        <v>40518</v>
      </c>
      <c r="M390" s="329">
        <v>44.449999999999996</v>
      </c>
      <c r="N390" s="329">
        <v>46.116666666666667</v>
      </c>
      <c r="O390" s="329">
        <v>7.333333333333333</v>
      </c>
      <c r="P390" s="329">
        <v>6.5500000000000007</v>
      </c>
    </row>
    <row r="391" spans="1:16">
      <c r="A391" s="331">
        <v>40518</v>
      </c>
      <c r="B391" s="329">
        <v>44.4</v>
      </c>
      <c r="C391" s="329">
        <f t="shared" si="24"/>
        <v>44.449999999999996</v>
      </c>
      <c r="D391" s="329">
        <v>46.1</v>
      </c>
      <c r="E391" s="329">
        <f t="shared" si="21"/>
        <v>46.116666666666667</v>
      </c>
      <c r="F391" s="329">
        <v>8.1999999999999993</v>
      </c>
      <c r="G391" s="329">
        <f t="shared" si="22"/>
        <v>7.333333333333333</v>
      </c>
      <c r="H391" s="329">
        <v>6.9</v>
      </c>
      <c r="I391" s="329">
        <f t="shared" si="23"/>
        <v>6.5500000000000007</v>
      </c>
      <c r="L391" s="331">
        <v>40518</v>
      </c>
      <c r="M391" s="329">
        <v>44.449999999999996</v>
      </c>
      <c r="N391" s="329">
        <v>46.116666666666667</v>
      </c>
      <c r="O391" s="329">
        <v>7.333333333333333</v>
      </c>
      <c r="P391" s="329">
        <v>6.5500000000000007</v>
      </c>
    </row>
    <row r="392" spans="1:16">
      <c r="A392" s="331">
        <v>40518</v>
      </c>
      <c r="B392" s="329">
        <v>44.4</v>
      </c>
      <c r="C392" s="329">
        <f t="shared" si="24"/>
        <v>44.449999999999996</v>
      </c>
      <c r="D392" s="329">
        <v>46.1</v>
      </c>
      <c r="E392" s="329">
        <f t="shared" si="21"/>
        <v>46.116666666666667</v>
      </c>
      <c r="F392" s="329">
        <v>8.5</v>
      </c>
      <c r="G392" s="329">
        <f t="shared" si="22"/>
        <v>7.333333333333333</v>
      </c>
      <c r="H392" s="329">
        <v>7.2</v>
      </c>
      <c r="I392" s="329">
        <f t="shared" si="23"/>
        <v>6.5500000000000007</v>
      </c>
      <c r="L392" s="331">
        <v>40518</v>
      </c>
      <c r="M392" s="329">
        <v>44.449999999999996</v>
      </c>
      <c r="N392" s="329">
        <v>46.116666666666667</v>
      </c>
      <c r="O392" s="329">
        <v>7.333333333333333</v>
      </c>
      <c r="P392" s="329">
        <v>6.5500000000000007</v>
      </c>
    </row>
    <row r="393" spans="1:16">
      <c r="A393" s="331">
        <v>40519</v>
      </c>
      <c r="B393" s="329">
        <v>44.4</v>
      </c>
      <c r="C393" s="329">
        <f t="shared" si="24"/>
        <v>44.416666666666664</v>
      </c>
      <c r="D393" s="329">
        <v>46.1</v>
      </c>
      <c r="E393" s="329">
        <f t="shared" si="21"/>
        <v>46.033333333333331</v>
      </c>
      <c r="F393" s="329">
        <v>8.5</v>
      </c>
      <c r="G393" s="329">
        <f t="shared" si="22"/>
        <v>8.8666666666666671</v>
      </c>
      <c r="H393" s="329">
        <v>7.4</v>
      </c>
      <c r="I393" s="329">
        <f t="shared" si="23"/>
        <v>7.7833333333333341</v>
      </c>
      <c r="L393" s="331">
        <v>40519</v>
      </c>
      <c r="M393" s="329">
        <v>44.416666666666664</v>
      </c>
      <c r="N393" s="329">
        <v>46.033333333333331</v>
      </c>
      <c r="O393" s="329">
        <v>8.8666666666666671</v>
      </c>
      <c r="P393" s="329">
        <v>7.7833333333333341</v>
      </c>
    </row>
    <row r="394" spans="1:16">
      <c r="A394" s="331">
        <v>40519</v>
      </c>
      <c r="B394" s="329">
        <v>44.4</v>
      </c>
      <c r="C394" s="329">
        <f t="shared" si="24"/>
        <v>44.416666666666664</v>
      </c>
      <c r="D394" s="329">
        <v>46</v>
      </c>
      <c r="E394" s="329">
        <f t="shared" si="21"/>
        <v>46.033333333333331</v>
      </c>
      <c r="F394" s="329">
        <v>8.3000000000000007</v>
      </c>
      <c r="G394" s="329">
        <f t="shared" si="22"/>
        <v>8.8666666666666671</v>
      </c>
      <c r="H394" s="329">
        <v>7.6</v>
      </c>
      <c r="I394" s="329">
        <f t="shared" si="23"/>
        <v>7.7833333333333341</v>
      </c>
      <c r="L394" s="331">
        <v>40519</v>
      </c>
      <c r="M394" s="329">
        <v>44.416666666666664</v>
      </c>
      <c r="N394" s="329">
        <v>46.033333333333331</v>
      </c>
      <c r="O394" s="329">
        <v>8.8666666666666671</v>
      </c>
      <c r="P394" s="329">
        <v>7.7833333333333341</v>
      </c>
    </row>
    <row r="395" spans="1:16">
      <c r="A395" s="331">
        <v>40519</v>
      </c>
      <c r="B395" s="329">
        <v>44.4</v>
      </c>
      <c r="C395" s="329">
        <f t="shared" si="24"/>
        <v>44.416666666666664</v>
      </c>
      <c r="D395" s="329">
        <v>46.1</v>
      </c>
      <c r="E395" s="329">
        <f t="shared" si="21"/>
        <v>46.033333333333331</v>
      </c>
      <c r="F395" s="329">
        <v>8.3000000000000007</v>
      </c>
      <c r="G395" s="329">
        <f t="shared" si="22"/>
        <v>8.8666666666666671</v>
      </c>
      <c r="H395" s="329">
        <v>7.7</v>
      </c>
      <c r="I395" s="329">
        <f t="shared" si="23"/>
        <v>7.7833333333333341</v>
      </c>
      <c r="L395" s="331">
        <v>40519</v>
      </c>
      <c r="M395" s="329">
        <v>44.416666666666664</v>
      </c>
      <c r="N395" s="329">
        <v>46.033333333333331</v>
      </c>
      <c r="O395" s="329">
        <v>8.8666666666666671</v>
      </c>
      <c r="P395" s="329">
        <v>7.7833333333333341</v>
      </c>
    </row>
    <row r="396" spans="1:16">
      <c r="A396" s="331">
        <v>40519</v>
      </c>
      <c r="B396" s="329">
        <v>44.4</v>
      </c>
      <c r="C396" s="329">
        <f t="shared" si="24"/>
        <v>44.416666666666664</v>
      </c>
      <c r="D396" s="329">
        <v>46</v>
      </c>
      <c r="E396" s="329">
        <f t="shared" si="21"/>
        <v>46.033333333333331</v>
      </c>
      <c r="F396" s="329">
        <v>8.6999999999999993</v>
      </c>
      <c r="G396" s="329">
        <f t="shared" si="22"/>
        <v>8.8666666666666671</v>
      </c>
      <c r="H396" s="329">
        <v>7.8</v>
      </c>
      <c r="I396" s="329">
        <f t="shared" si="23"/>
        <v>7.7833333333333341</v>
      </c>
      <c r="L396" s="331">
        <v>40519</v>
      </c>
      <c r="M396" s="329">
        <v>44.416666666666664</v>
      </c>
      <c r="N396" s="329">
        <v>46.033333333333331</v>
      </c>
      <c r="O396" s="329">
        <v>8.8666666666666671</v>
      </c>
      <c r="P396" s="329">
        <v>7.7833333333333341</v>
      </c>
    </row>
    <row r="397" spans="1:16">
      <c r="A397" s="331">
        <v>40519</v>
      </c>
      <c r="B397" s="329">
        <v>44.6</v>
      </c>
      <c r="C397" s="329">
        <f t="shared" si="24"/>
        <v>44.416666666666664</v>
      </c>
      <c r="D397" s="329">
        <v>46</v>
      </c>
      <c r="E397" s="329">
        <f t="shared" si="21"/>
        <v>46.033333333333331</v>
      </c>
      <c r="F397" s="329">
        <v>9.6</v>
      </c>
      <c r="G397" s="329">
        <f t="shared" si="22"/>
        <v>8.8666666666666671</v>
      </c>
      <c r="H397" s="329">
        <v>7.9</v>
      </c>
      <c r="I397" s="329">
        <f t="shared" si="23"/>
        <v>7.7833333333333341</v>
      </c>
      <c r="L397" s="331">
        <v>40519</v>
      </c>
      <c r="M397" s="329">
        <v>44.416666666666664</v>
      </c>
      <c r="N397" s="329">
        <v>46.033333333333331</v>
      </c>
      <c r="O397" s="329">
        <v>8.8666666666666671</v>
      </c>
      <c r="P397" s="329">
        <v>7.7833333333333341</v>
      </c>
    </row>
    <row r="398" spans="1:16">
      <c r="A398" s="331">
        <v>40519</v>
      </c>
      <c r="B398" s="329">
        <v>44.3</v>
      </c>
      <c r="C398" s="329">
        <f t="shared" si="24"/>
        <v>44.416666666666664</v>
      </c>
      <c r="D398" s="329">
        <v>46</v>
      </c>
      <c r="E398" s="329">
        <f t="shared" si="21"/>
        <v>46.033333333333331</v>
      </c>
      <c r="F398" s="329">
        <v>9.8000000000000007</v>
      </c>
      <c r="G398" s="329">
        <f t="shared" si="22"/>
        <v>8.8666666666666671</v>
      </c>
      <c r="H398" s="329">
        <v>8.3000000000000007</v>
      </c>
      <c r="I398" s="329">
        <f t="shared" si="23"/>
        <v>7.7833333333333341</v>
      </c>
      <c r="L398" s="331">
        <v>40519</v>
      </c>
      <c r="M398" s="329">
        <v>44.416666666666664</v>
      </c>
      <c r="N398" s="329">
        <v>46.033333333333331</v>
      </c>
      <c r="O398" s="329">
        <v>8.8666666666666671</v>
      </c>
      <c r="P398" s="329">
        <v>7.7833333333333341</v>
      </c>
    </row>
    <row r="399" spans="1:16">
      <c r="A399" s="331">
        <v>40520</v>
      </c>
      <c r="B399" s="329">
        <v>44.3</v>
      </c>
      <c r="C399" s="329">
        <f t="shared" si="24"/>
        <v>44.300000000000004</v>
      </c>
      <c r="D399" s="329">
        <v>46</v>
      </c>
      <c r="E399" s="329">
        <f t="shared" si="21"/>
        <v>46</v>
      </c>
      <c r="F399" s="329">
        <v>9.6</v>
      </c>
      <c r="G399" s="329">
        <f t="shared" si="22"/>
        <v>9.85</v>
      </c>
      <c r="H399" s="329">
        <v>8.5</v>
      </c>
      <c r="I399" s="329">
        <f t="shared" si="23"/>
        <v>8.75</v>
      </c>
      <c r="L399" s="331">
        <v>40520</v>
      </c>
      <c r="M399" s="329">
        <v>44.300000000000004</v>
      </c>
      <c r="N399" s="329">
        <v>46</v>
      </c>
      <c r="O399" s="329">
        <v>9.85</v>
      </c>
      <c r="P399" s="329">
        <v>8.75</v>
      </c>
    </row>
    <row r="400" spans="1:16">
      <c r="A400" s="331">
        <v>40520</v>
      </c>
      <c r="B400" s="329">
        <v>44.3</v>
      </c>
      <c r="C400" s="329">
        <f t="shared" si="24"/>
        <v>44.300000000000004</v>
      </c>
      <c r="D400" s="329">
        <v>46</v>
      </c>
      <c r="E400" s="329">
        <f t="shared" si="21"/>
        <v>46</v>
      </c>
      <c r="F400" s="329">
        <v>9.5</v>
      </c>
      <c r="G400" s="329">
        <f t="shared" si="22"/>
        <v>9.85</v>
      </c>
      <c r="H400" s="329">
        <v>8.6</v>
      </c>
      <c r="I400" s="329">
        <f t="shared" si="23"/>
        <v>8.75</v>
      </c>
      <c r="L400" s="331">
        <v>40520</v>
      </c>
      <c r="M400" s="329">
        <v>44.300000000000004</v>
      </c>
      <c r="N400" s="329">
        <v>46</v>
      </c>
      <c r="O400" s="329">
        <v>9.85</v>
      </c>
      <c r="P400" s="329">
        <v>8.75</v>
      </c>
    </row>
    <row r="401" spans="1:16">
      <c r="A401" s="331">
        <v>40520</v>
      </c>
      <c r="B401" s="329">
        <v>44.3</v>
      </c>
      <c r="C401" s="329">
        <f t="shared" si="24"/>
        <v>44.300000000000004</v>
      </c>
      <c r="D401" s="329">
        <v>46</v>
      </c>
      <c r="E401" s="329">
        <f t="shared" si="21"/>
        <v>46</v>
      </c>
      <c r="F401" s="329">
        <v>9.5</v>
      </c>
      <c r="G401" s="329">
        <f t="shared" si="22"/>
        <v>9.85</v>
      </c>
      <c r="H401" s="329">
        <v>8.6999999999999993</v>
      </c>
      <c r="I401" s="329">
        <f t="shared" si="23"/>
        <v>8.75</v>
      </c>
      <c r="L401" s="331">
        <v>40520</v>
      </c>
      <c r="M401" s="329">
        <v>44.300000000000004</v>
      </c>
      <c r="N401" s="329">
        <v>46</v>
      </c>
      <c r="O401" s="329">
        <v>9.85</v>
      </c>
      <c r="P401" s="329">
        <v>8.75</v>
      </c>
    </row>
    <row r="402" spans="1:16">
      <c r="A402" s="331">
        <v>40520</v>
      </c>
      <c r="B402" s="329">
        <v>44.3</v>
      </c>
      <c r="C402" s="329">
        <f t="shared" si="24"/>
        <v>44.300000000000004</v>
      </c>
      <c r="D402" s="329">
        <v>46</v>
      </c>
      <c r="E402" s="329">
        <f t="shared" si="21"/>
        <v>46</v>
      </c>
      <c r="F402" s="329">
        <v>9.6</v>
      </c>
      <c r="G402" s="329">
        <f t="shared" si="22"/>
        <v>9.85</v>
      </c>
      <c r="H402" s="329">
        <v>8.6999999999999993</v>
      </c>
      <c r="I402" s="329">
        <f t="shared" si="23"/>
        <v>8.75</v>
      </c>
      <c r="L402" s="331">
        <v>40520</v>
      </c>
      <c r="M402" s="329">
        <v>44.300000000000004</v>
      </c>
      <c r="N402" s="329">
        <v>46</v>
      </c>
      <c r="O402" s="329">
        <v>9.85</v>
      </c>
      <c r="P402" s="329">
        <v>8.75</v>
      </c>
    </row>
    <row r="403" spans="1:16">
      <c r="A403" s="331">
        <v>40520</v>
      </c>
      <c r="B403" s="329">
        <v>44.3</v>
      </c>
      <c r="C403" s="329">
        <f t="shared" si="24"/>
        <v>44.300000000000004</v>
      </c>
      <c r="D403" s="329">
        <v>46</v>
      </c>
      <c r="E403" s="329">
        <f t="shared" si="21"/>
        <v>46</v>
      </c>
      <c r="F403" s="329">
        <v>10.5</v>
      </c>
      <c r="G403" s="329">
        <f t="shared" si="22"/>
        <v>9.85</v>
      </c>
      <c r="H403" s="329">
        <v>8.9</v>
      </c>
      <c r="I403" s="329">
        <f t="shared" si="23"/>
        <v>8.75</v>
      </c>
      <c r="L403" s="331">
        <v>40520</v>
      </c>
      <c r="M403" s="329">
        <v>44.300000000000004</v>
      </c>
      <c r="N403" s="329">
        <v>46</v>
      </c>
      <c r="O403" s="329">
        <v>9.85</v>
      </c>
      <c r="P403" s="329">
        <v>8.75</v>
      </c>
    </row>
    <row r="404" spans="1:16">
      <c r="A404" s="331">
        <v>40520</v>
      </c>
      <c r="B404" s="329">
        <v>44.3</v>
      </c>
      <c r="C404" s="329">
        <f t="shared" si="24"/>
        <v>44.300000000000004</v>
      </c>
      <c r="D404" s="329">
        <v>46</v>
      </c>
      <c r="E404" s="329">
        <f t="shared" si="21"/>
        <v>46</v>
      </c>
      <c r="F404" s="329">
        <v>10.4</v>
      </c>
      <c r="G404" s="329">
        <f t="shared" si="22"/>
        <v>9.85</v>
      </c>
      <c r="H404" s="329">
        <v>9.1</v>
      </c>
      <c r="I404" s="329">
        <f t="shared" si="23"/>
        <v>8.75</v>
      </c>
      <c r="L404" s="331">
        <v>40520</v>
      </c>
      <c r="M404" s="329">
        <v>44.300000000000004</v>
      </c>
      <c r="N404" s="329">
        <v>46</v>
      </c>
      <c r="O404" s="329">
        <v>9.85</v>
      </c>
      <c r="P404" s="329">
        <v>8.75</v>
      </c>
    </row>
    <row r="405" spans="1:16">
      <c r="A405" s="331">
        <v>40521</v>
      </c>
      <c r="B405" s="329">
        <v>44.3</v>
      </c>
      <c r="C405" s="329">
        <f t="shared" si="24"/>
        <v>44.266666666666659</v>
      </c>
      <c r="D405" s="329">
        <v>45.9</v>
      </c>
      <c r="E405" s="329">
        <f t="shared" si="21"/>
        <v>45.81666666666667</v>
      </c>
      <c r="F405" s="329">
        <v>10.199999999999999</v>
      </c>
      <c r="G405" s="329">
        <f t="shared" si="22"/>
        <v>8.9666666666666668</v>
      </c>
      <c r="H405" s="329">
        <v>9.3000000000000007</v>
      </c>
      <c r="I405" s="329">
        <f t="shared" si="23"/>
        <v>9.1</v>
      </c>
      <c r="L405" s="331">
        <v>40521</v>
      </c>
      <c r="M405" s="329">
        <v>44.266666666666659</v>
      </c>
      <c r="N405" s="329">
        <v>45.81666666666667</v>
      </c>
      <c r="O405" s="329">
        <v>8.9666666666666668</v>
      </c>
      <c r="P405" s="329">
        <v>9.1</v>
      </c>
    </row>
    <row r="406" spans="1:16">
      <c r="A406" s="331">
        <v>40521</v>
      </c>
      <c r="B406" s="329">
        <v>44.3</v>
      </c>
      <c r="C406" s="329">
        <f t="shared" si="24"/>
        <v>44.266666666666659</v>
      </c>
      <c r="D406" s="329">
        <v>45.8</v>
      </c>
      <c r="E406" s="329">
        <f t="shared" si="21"/>
        <v>45.81666666666667</v>
      </c>
      <c r="F406" s="329">
        <v>9.9</v>
      </c>
      <c r="G406" s="329">
        <f t="shared" si="22"/>
        <v>8.9666666666666668</v>
      </c>
      <c r="H406" s="329">
        <v>9.3000000000000007</v>
      </c>
      <c r="I406" s="329">
        <f t="shared" si="23"/>
        <v>9.1</v>
      </c>
      <c r="L406" s="331">
        <v>40521</v>
      </c>
      <c r="M406" s="329">
        <v>44.266666666666659</v>
      </c>
      <c r="N406" s="329">
        <v>45.81666666666667</v>
      </c>
      <c r="O406" s="329">
        <v>8.9666666666666668</v>
      </c>
      <c r="P406" s="329">
        <v>9.1</v>
      </c>
    </row>
    <row r="407" spans="1:16">
      <c r="A407" s="331">
        <v>40521</v>
      </c>
      <c r="B407" s="329">
        <v>44.3</v>
      </c>
      <c r="C407" s="329">
        <f t="shared" si="24"/>
        <v>44.266666666666659</v>
      </c>
      <c r="D407" s="329">
        <v>45.8</v>
      </c>
      <c r="E407" s="329">
        <f t="shared" si="21"/>
        <v>45.81666666666667</v>
      </c>
      <c r="F407" s="329">
        <v>9.1</v>
      </c>
      <c r="G407" s="329">
        <f t="shared" si="22"/>
        <v>8.9666666666666668</v>
      </c>
      <c r="H407" s="329">
        <v>9.3000000000000007</v>
      </c>
      <c r="I407" s="329">
        <f t="shared" si="23"/>
        <v>9.1</v>
      </c>
      <c r="L407" s="331">
        <v>40521</v>
      </c>
      <c r="M407" s="329">
        <v>44.266666666666659</v>
      </c>
      <c r="N407" s="329">
        <v>45.81666666666667</v>
      </c>
      <c r="O407" s="329">
        <v>8.9666666666666668</v>
      </c>
      <c r="P407" s="329">
        <v>9.1</v>
      </c>
    </row>
    <row r="408" spans="1:16">
      <c r="A408" s="331">
        <v>40521</v>
      </c>
      <c r="B408" s="329">
        <v>44.3</v>
      </c>
      <c r="C408" s="329">
        <f t="shared" si="24"/>
        <v>44.266666666666659</v>
      </c>
      <c r="D408" s="329">
        <v>45.8</v>
      </c>
      <c r="E408" s="329">
        <f t="shared" si="21"/>
        <v>45.81666666666667</v>
      </c>
      <c r="F408" s="329">
        <v>8.4</v>
      </c>
      <c r="G408" s="329">
        <f t="shared" si="22"/>
        <v>8.9666666666666668</v>
      </c>
      <c r="H408" s="329">
        <v>9.1</v>
      </c>
      <c r="I408" s="329">
        <f t="shared" si="23"/>
        <v>9.1</v>
      </c>
      <c r="L408" s="331">
        <v>40521</v>
      </c>
      <c r="M408" s="329">
        <v>44.266666666666659</v>
      </c>
      <c r="N408" s="329">
        <v>45.81666666666667</v>
      </c>
      <c r="O408" s="329">
        <v>8.9666666666666668</v>
      </c>
      <c r="P408" s="329">
        <v>9.1</v>
      </c>
    </row>
    <row r="409" spans="1:16">
      <c r="A409" s="331">
        <v>40521</v>
      </c>
      <c r="B409" s="329">
        <v>44.2</v>
      </c>
      <c r="C409" s="329">
        <f t="shared" si="24"/>
        <v>44.266666666666659</v>
      </c>
      <c r="D409" s="329">
        <v>45.8</v>
      </c>
      <c r="E409" s="329">
        <f t="shared" si="21"/>
        <v>45.81666666666667</v>
      </c>
      <c r="F409" s="329">
        <v>8.3000000000000007</v>
      </c>
      <c r="G409" s="329">
        <f t="shared" si="22"/>
        <v>8.9666666666666668</v>
      </c>
      <c r="H409" s="329">
        <v>8.9</v>
      </c>
      <c r="I409" s="329">
        <f t="shared" si="23"/>
        <v>9.1</v>
      </c>
      <c r="L409" s="331">
        <v>40521</v>
      </c>
      <c r="M409" s="329">
        <v>44.266666666666659</v>
      </c>
      <c r="N409" s="329">
        <v>45.81666666666667</v>
      </c>
      <c r="O409" s="329">
        <v>8.9666666666666668</v>
      </c>
      <c r="P409" s="329">
        <v>9.1</v>
      </c>
    </row>
    <row r="410" spans="1:16">
      <c r="A410" s="331">
        <v>40521</v>
      </c>
      <c r="B410" s="329">
        <v>44.2</v>
      </c>
      <c r="C410" s="329">
        <f t="shared" si="24"/>
        <v>44.266666666666659</v>
      </c>
      <c r="D410" s="329">
        <v>45.8</v>
      </c>
      <c r="E410" s="329">
        <f t="shared" si="21"/>
        <v>45.81666666666667</v>
      </c>
      <c r="F410" s="329">
        <v>7.9</v>
      </c>
      <c r="G410" s="329">
        <f t="shared" si="22"/>
        <v>8.9666666666666668</v>
      </c>
      <c r="H410" s="329">
        <v>8.6999999999999993</v>
      </c>
      <c r="I410" s="329">
        <f t="shared" si="23"/>
        <v>9.1</v>
      </c>
      <c r="L410" s="331">
        <v>40521</v>
      </c>
      <c r="M410" s="329">
        <v>44.266666666666659</v>
      </c>
      <c r="N410" s="329">
        <v>45.81666666666667</v>
      </c>
      <c r="O410" s="329">
        <v>8.9666666666666668</v>
      </c>
      <c r="P410" s="329">
        <v>9.1</v>
      </c>
    </row>
    <row r="411" spans="1:16">
      <c r="A411" s="331">
        <v>40522</v>
      </c>
      <c r="B411" s="329">
        <v>44.4</v>
      </c>
      <c r="C411" s="329">
        <f t="shared" si="24"/>
        <v>44.716666666666669</v>
      </c>
      <c r="D411" s="329">
        <v>45.8</v>
      </c>
      <c r="E411" s="329">
        <f t="shared" si="21"/>
        <v>45.800000000000004</v>
      </c>
      <c r="F411" s="329">
        <v>7.2</v>
      </c>
      <c r="G411" s="329">
        <f t="shared" si="22"/>
        <v>5.8500000000000005</v>
      </c>
      <c r="H411" s="329">
        <v>8.5</v>
      </c>
      <c r="I411" s="329">
        <f t="shared" si="23"/>
        <v>7.6833333333333336</v>
      </c>
      <c r="L411" s="331">
        <v>40522</v>
      </c>
      <c r="M411" s="329">
        <v>44.716666666666669</v>
      </c>
      <c r="N411" s="329">
        <v>45.800000000000004</v>
      </c>
      <c r="O411" s="329">
        <v>5.8500000000000005</v>
      </c>
      <c r="P411" s="329">
        <v>7.6833333333333336</v>
      </c>
    </row>
    <row r="412" spans="1:16">
      <c r="A412" s="331">
        <v>40522</v>
      </c>
      <c r="B412" s="329">
        <v>44.4</v>
      </c>
      <c r="C412" s="329">
        <f t="shared" si="24"/>
        <v>44.716666666666669</v>
      </c>
      <c r="D412" s="329">
        <v>45.8</v>
      </c>
      <c r="E412" s="329">
        <f t="shared" si="21"/>
        <v>45.800000000000004</v>
      </c>
      <c r="F412" s="329">
        <v>6.4</v>
      </c>
      <c r="G412" s="329">
        <f t="shared" si="22"/>
        <v>5.8500000000000005</v>
      </c>
      <c r="H412" s="329">
        <v>8.1999999999999993</v>
      </c>
      <c r="I412" s="329">
        <f t="shared" si="23"/>
        <v>7.6833333333333336</v>
      </c>
      <c r="L412" s="331">
        <v>40522</v>
      </c>
      <c r="M412" s="329">
        <v>44.716666666666669</v>
      </c>
      <c r="N412" s="329">
        <v>45.800000000000004</v>
      </c>
      <c r="O412" s="329">
        <v>5.8500000000000005</v>
      </c>
      <c r="P412" s="329">
        <v>7.6833333333333336</v>
      </c>
    </row>
    <row r="413" spans="1:16">
      <c r="A413" s="331">
        <v>40522</v>
      </c>
      <c r="B413" s="329">
        <v>44.6</v>
      </c>
      <c r="C413" s="329">
        <f t="shared" si="24"/>
        <v>44.716666666666669</v>
      </c>
      <c r="D413" s="329">
        <v>45.8</v>
      </c>
      <c r="E413" s="329">
        <f t="shared" si="21"/>
        <v>45.800000000000004</v>
      </c>
      <c r="F413" s="329">
        <v>5.5</v>
      </c>
      <c r="G413" s="329">
        <f t="shared" si="22"/>
        <v>5.8500000000000005</v>
      </c>
      <c r="H413" s="329">
        <v>7.8</v>
      </c>
      <c r="I413" s="329">
        <f t="shared" si="23"/>
        <v>7.6833333333333336</v>
      </c>
      <c r="L413" s="331">
        <v>40522</v>
      </c>
      <c r="M413" s="329">
        <v>44.716666666666669</v>
      </c>
      <c r="N413" s="329">
        <v>45.800000000000004</v>
      </c>
      <c r="O413" s="329">
        <v>5.8500000000000005</v>
      </c>
      <c r="P413" s="329">
        <v>7.6833333333333336</v>
      </c>
    </row>
    <row r="414" spans="1:16">
      <c r="A414" s="331">
        <v>40522</v>
      </c>
      <c r="B414" s="329">
        <v>44.9</v>
      </c>
      <c r="C414" s="329">
        <f t="shared" si="24"/>
        <v>44.716666666666669</v>
      </c>
      <c r="D414" s="329">
        <v>45.8</v>
      </c>
      <c r="E414" s="329">
        <f t="shared" si="21"/>
        <v>45.800000000000004</v>
      </c>
      <c r="F414" s="329">
        <v>5</v>
      </c>
      <c r="G414" s="329">
        <f t="shared" si="22"/>
        <v>5.8500000000000005</v>
      </c>
      <c r="H414" s="329">
        <v>7.5</v>
      </c>
      <c r="I414" s="329">
        <f t="shared" si="23"/>
        <v>7.6833333333333336</v>
      </c>
      <c r="L414" s="331">
        <v>40522</v>
      </c>
      <c r="M414" s="329">
        <v>44.716666666666669</v>
      </c>
      <c r="N414" s="329">
        <v>45.800000000000004</v>
      </c>
      <c r="O414" s="329">
        <v>5.8500000000000005</v>
      </c>
      <c r="P414" s="329">
        <v>7.6833333333333336</v>
      </c>
    </row>
    <row r="415" spans="1:16">
      <c r="A415" s="331">
        <v>40522</v>
      </c>
      <c r="B415" s="329">
        <v>45.1</v>
      </c>
      <c r="C415" s="329">
        <f t="shared" si="24"/>
        <v>44.716666666666669</v>
      </c>
      <c r="D415" s="329">
        <v>45.8</v>
      </c>
      <c r="E415" s="329">
        <f t="shared" si="21"/>
        <v>45.800000000000004</v>
      </c>
      <c r="F415" s="329">
        <v>5.5</v>
      </c>
      <c r="G415" s="329">
        <f t="shared" si="22"/>
        <v>5.8500000000000005</v>
      </c>
      <c r="H415" s="329">
        <v>7.1</v>
      </c>
      <c r="I415" s="329">
        <f t="shared" si="23"/>
        <v>7.6833333333333336</v>
      </c>
      <c r="L415" s="331">
        <v>40522</v>
      </c>
      <c r="M415" s="329">
        <v>44.716666666666669</v>
      </c>
      <c r="N415" s="329">
        <v>45.800000000000004</v>
      </c>
      <c r="O415" s="329">
        <v>5.8500000000000005</v>
      </c>
      <c r="P415" s="329">
        <v>7.6833333333333336</v>
      </c>
    </row>
    <row r="416" spans="1:16">
      <c r="A416" s="331">
        <v>40522</v>
      </c>
      <c r="B416" s="329">
        <v>44.9</v>
      </c>
      <c r="C416" s="329">
        <f t="shared" si="24"/>
        <v>44.716666666666669</v>
      </c>
      <c r="D416" s="329">
        <v>45.8</v>
      </c>
      <c r="E416" s="329">
        <f t="shared" si="21"/>
        <v>45.800000000000004</v>
      </c>
      <c r="F416" s="329">
        <v>5.5</v>
      </c>
      <c r="G416" s="329">
        <f t="shared" si="22"/>
        <v>5.8500000000000005</v>
      </c>
      <c r="H416" s="329">
        <v>7</v>
      </c>
      <c r="I416" s="329">
        <f t="shared" si="23"/>
        <v>7.6833333333333336</v>
      </c>
      <c r="L416" s="331">
        <v>40522</v>
      </c>
      <c r="M416" s="329">
        <v>44.716666666666669</v>
      </c>
      <c r="N416" s="329">
        <v>45.800000000000004</v>
      </c>
      <c r="O416" s="329">
        <v>5.8500000000000005</v>
      </c>
      <c r="P416" s="329">
        <v>7.6833333333333336</v>
      </c>
    </row>
    <row r="417" spans="1:16">
      <c r="A417" s="331">
        <v>40523</v>
      </c>
      <c r="B417" s="329">
        <v>45</v>
      </c>
      <c r="C417" s="329">
        <f t="shared" si="24"/>
        <v>44.85</v>
      </c>
      <c r="D417" s="329">
        <v>45.8</v>
      </c>
      <c r="E417" s="329">
        <f t="shared" si="21"/>
        <v>45.85</v>
      </c>
      <c r="F417" s="329">
        <v>4.8</v>
      </c>
      <c r="G417" s="329">
        <f t="shared" si="22"/>
        <v>4.3166666666666673</v>
      </c>
      <c r="H417" s="329">
        <v>6.9</v>
      </c>
      <c r="I417" s="329">
        <f t="shared" si="23"/>
        <v>6.3166666666666664</v>
      </c>
      <c r="L417" s="331">
        <v>40523</v>
      </c>
      <c r="M417" s="329">
        <v>44.85</v>
      </c>
      <c r="N417" s="329">
        <v>45.85</v>
      </c>
      <c r="O417" s="329">
        <v>4.3166666666666673</v>
      </c>
      <c r="P417" s="329">
        <v>6.3166666666666664</v>
      </c>
    </row>
    <row r="418" spans="1:16">
      <c r="A418" s="331">
        <v>40523</v>
      </c>
      <c r="B418" s="329">
        <v>44.5</v>
      </c>
      <c r="C418" s="329">
        <f t="shared" si="24"/>
        <v>44.85</v>
      </c>
      <c r="D418" s="329">
        <v>46</v>
      </c>
      <c r="E418" s="329">
        <f t="shared" ref="E418:E481" si="25">AVERAGEIFS($D$33:$D$1494,$A$33:$A$1494,A418)</f>
        <v>45.85</v>
      </c>
      <c r="F418" s="329">
        <v>4.3</v>
      </c>
      <c r="G418" s="329">
        <f t="shared" ref="G418:G481" si="26">AVERAGEIFS($F$33:$F$1494,$A$33:$A$1494,A418)</f>
        <v>4.3166666666666673</v>
      </c>
      <c r="H418" s="329">
        <v>6.7</v>
      </c>
      <c r="I418" s="329">
        <f t="shared" ref="I418:I481" si="27">AVERAGEIFS($H$33:$H$1494,$A$33:$A$1494,A418)</f>
        <v>6.3166666666666664</v>
      </c>
      <c r="L418" s="331">
        <v>40523</v>
      </c>
      <c r="M418" s="329">
        <v>44.85</v>
      </c>
      <c r="N418" s="329">
        <v>45.85</v>
      </c>
      <c r="O418" s="329">
        <v>4.3166666666666673</v>
      </c>
      <c r="P418" s="329">
        <v>6.3166666666666664</v>
      </c>
    </row>
    <row r="419" spans="1:16">
      <c r="A419" s="331">
        <v>40523</v>
      </c>
      <c r="B419" s="329">
        <v>44.8</v>
      </c>
      <c r="C419" s="329">
        <f t="shared" si="24"/>
        <v>44.85</v>
      </c>
      <c r="D419" s="329">
        <v>45.9</v>
      </c>
      <c r="E419" s="329">
        <f t="shared" si="25"/>
        <v>45.85</v>
      </c>
      <c r="F419" s="329">
        <v>3.8</v>
      </c>
      <c r="G419" s="329">
        <f t="shared" si="26"/>
        <v>4.3166666666666673</v>
      </c>
      <c r="H419" s="329">
        <v>6.4</v>
      </c>
      <c r="I419" s="329">
        <f t="shared" si="27"/>
        <v>6.3166666666666664</v>
      </c>
      <c r="L419" s="331">
        <v>40523</v>
      </c>
      <c r="M419" s="329">
        <v>44.85</v>
      </c>
      <c r="N419" s="329">
        <v>45.85</v>
      </c>
      <c r="O419" s="329">
        <v>4.3166666666666673</v>
      </c>
      <c r="P419" s="329">
        <v>6.3166666666666664</v>
      </c>
    </row>
    <row r="420" spans="1:16">
      <c r="A420" s="331">
        <v>40523</v>
      </c>
      <c r="B420" s="329">
        <v>44.6</v>
      </c>
      <c r="C420" s="329">
        <f t="shared" si="24"/>
        <v>44.85</v>
      </c>
      <c r="D420" s="329">
        <v>46.1</v>
      </c>
      <c r="E420" s="329">
        <f t="shared" si="25"/>
        <v>45.85</v>
      </c>
      <c r="F420" s="329">
        <v>3.6</v>
      </c>
      <c r="G420" s="329">
        <f t="shared" si="26"/>
        <v>4.3166666666666673</v>
      </c>
      <c r="H420" s="329">
        <v>6.1</v>
      </c>
      <c r="I420" s="329">
        <f t="shared" si="27"/>
        <v>6.3166666666666664</v>
      </c>
      <c r="L420" s="331">
        <v>40523</v>
      </c>
      <c r="M420" s="329">
        <v>44.85</v>
      </c>
      <c r="N420" s="329">
        <v>45.85</v>
      </c>
      <c r="O420" s="329">
        <v>4.3166666666666673</v>
      </c>
      <c r="P420" s="329">
        <v>6.3166666666666664</v>
      </c>
    </row>
    <row r="421" spans="1:16">
      <c r="A421" s="331">
        <v>40523</v>
      </c>
      <c r="B421" s="329">
        <v>44.6</v>
      </c>
      <c r="C421" s="329">
        <f t="shared" si="24"/>
        <v>44.85</v>
      </c>
      <c r="D421" s="329">
        <v>45.7</v>
      </c>
      <c r="E421" s="329">
        <f t="shared" si="25"/>
        <v>45.85</v>
      </c>
      <c r="F421" s="329">
        <v>4.5999999999999996</v>
      </c>
      <c r="G421" s="329">
        <f t="shared" si="26"/>
        <v>4.3166666666666673</v>
      </c>
      <c r="H421" s="329">
        <v>5.9</v>
      </c>
      <c r="I421" s="329">
        <f t="shared" si="27"/>
        <v>6.3166666666666664</v>
      </c>
      <c r="L421" s="331">
        <v>40523</v>
      </c>
      <c r="M421" s="329">
        <v>44.85</v>
      </c>
      <c r="N421" s="329">
        <v>45.85</v>
      </c>
      <c r="O421" s="329">
        <v>4.3166666666666673</v>
      </c>
      <c r="P421" s="329">
        <v>6.3166666666666664</v>
      </c>
    </row>
    <row r="422" spans="1:16">
      <c r="A422" s="331">
        <v>40523</v>
      </c>
      <c r="B422" s="329">
        <v>45.6</v>
      </c>
      <c r="C422" s="329">
        <f t="shared" si="24"/>
        <v>44.85</v>
      </c>
      <c r="D422" s="329">
        <v>45.6</v>
      </c>
      <c r="E422" s="329">
        <f t="shared" si="25"/>
        <v>45.85</v>
      </c>
      <c r="F422" s="329">
        <v>4.8</v>
      </c>
      <c r="G422" s="329">
        <f t="shared" si="26"/>
        <v>4.3166666666666673</v>
      </c>
      <c r="H422" s="329">
        <v>5.9</v>
      </c>
      <c r="I422" s="329">
        <f t="shared" si="27"/>
        <v>6.3166666666666664</v>
      </c>
      <c r="L422" s="331">
        <v>40523</v>
      </c>
      <c r="M422" s="329">
        <v>44.85</v>
      </c>
      <c r="N422" s="329">
        <v>45.85</v>
      </c>
      <c r="O422" s="329">
        <v>4.3166666666666673</v>
      </c>
      <c r="P422" s="329">
        <v>6.3166666666666664</v>
      </c>
    </row>
    <row r="423" spans="1:16">
      <c r="A423" s="331">
        <v>40524</v>
      </c>
      <c r="B423" s="329">
        <v>45.3</v>
      </c>
      <c r="C423" s="329">
        <f t="shared" si="24"/>
        <v>45</v>
      </c>
      <c r="D423" s="329">
        <v>45.6</v>
      </c>
      <c r="E423" s="329">
        <f t="shared" si="25"/>
        <v>45.65</v>
      </c>
      <c r="F423" s="329">
        <v>4.4000000000000004</v>
      </c>
      <c r="G423" s="329">
        <f t="shared" si="26"/>
        <v>4.333333333333333</v>
      </c>
      <c r="H423" s="329">
        <v>6</v>
      </c>
      <c r="I423" s="329">
        <f t="shared" si="27"/>
        <v>5.7</v>
      </c>
      <c r="L423" s="331">
        <v>40524</v>
      </c>
      <c r="M423" s="329">
        <v>45</v>
      </c>
      <c r="N423" s="329">
        <v>45.65</v>
      </c>
      <c r="O423" s="329">
        <v>4.333333333333333</v>
      </c>
      <c r="P423" s="329">
        <v>5.7</v>
      </c>
    </row>
    <row r="424" spans="1:16">
      <c r="A424" s="331">
        <v>40524</v>
      </c>
      <c r="B424" s="329">
        <v>45.1</v>
      </c>
      <c r="C424" s="329">
        <f t="shared" ref="C424:C487" si="28">AVERAGEIFS($B$33:$B$1494,$A$33:$A$1494,A424)</f>
        <v>45</v>
      </c>
      <c r="D424" s="329">
        <v>45.7</v>
      </c>
      <c r="E424" s="329">
        <f t="shared" si="25"/>
        <v>45.65</v>
      </c>
      <c r="F424" s="329">
        <v>4.0999999999999996</v>
      </c>
      <c r="G424" s="329">
        <f t="shared" si="26"/>
        <v>4.333333333333333</v>
      </c>
      <c r="H424" s="329">
        <v>5.9</v>
      </c>
      <c r="I424" s="329">
        <f t="shared" si="27"/>
        <v>5.7</v>
      </c>
      <c r="L424" s="331">
        <v>40524</v>
      </c>
      <c r="M424" s="329">
        <v>45</v>
      </c>
      <c r="N424" s="329">
        <v>45.65</v>
      </c>
      <c r="O424" s="329">
        <v>4.333333333333333</v>
      </c>
      <c r="P424" s="329">
        <v>5.7</v>
      </c>
    </row>
    <row r="425" spans="1:16">
      <c r="A425" s="331">
        <v>40524</v>
      </c>
      <c r="B425" s="329">
        <v>45</v>
      </c>
      <c r="C425" s="329">
        <f t="shared" si="28"/>
        <v>45</v>
      </c>
      <c r="D425" s="329">
        <v>45.6</v>
      </c>
      <c r="E425" s="329">
        <f t="shared" si="25"/>
        <v>45.65</v>
      </c>
      <c r="F425" s="329">
        <v>3.7</v>
      </c>
      <c r="G425" s="329">
        <f t="shared" si="26"/>
        <v>4.333333333333333</v>
      </c>
      <c r="H425" s="329">
        <v>5.7</v>
      </c>
      <c r="I425" s="329">
        <f t="shared" si="27"/>
        <v>5.7</v>
      </c>
      <c r="L425" s="331">
        <v>40524</v>
      </c>
      <c r="M425" s="329">
        <v>45</v>
      </c>
      <c r="N425" s="329">
        <v>45.65</v>
      </c>
      <c r="O425" s="329">
        <v>4.333333333333333</v>
      </c>
      <c r="P425" s="329">
        <v>5.7</v>
      </c>
    </row>
    <row r="426" spans="1:16">
      <c r="A426" s="331">
        <v>40524</v>
      </c>
      <c r="B426" s="329">
        <v>44.8</v>
      </c>
      <c r="C426" s="329">
        <f t="shared" si="28"/>
        <v>45</v>
      </c>
      <c r="D426" s="329">
        <v>45.8</v>
      </c>
      <c r="E426" s="329">
        <f t="shared" si="25"/>
        <v>45.65</v>
      </c>
      <c r="F426" s="329">
        <v>3.6</v>
      </c>
      <c r="G426" s="329">
        <f t="shared" si="26"/>
        <v>4.333333333333333</v>
      </c>
      <c r="H426" s="329">
        <v>5.5</v>
      </c>
      <c r="I426" s="329">
        <f t="shared" si="27"/>
        <v>5.7</v>
      </c>
      <c r="L426" s="331">
        <v>40524</v>
      </c>
      <c r="M426" s="329">
        <v>45</v>
      </c>
      <c r="N426" s="329">
        <v>45.65</v>
      </c>
      <c r="O426" s="329">
        <v>4.333333333333333</v>
      </c>
      <c r="P426" s="329">
        <v>5.7</v>
      </c>
    </row>
    <row r="427" spans="1:16">
      <c r="A427" s="331">
        <v>40524</v>
      </c>
      <c r="B427" s="329">
        <v>44.9</v>
      </c>
      <c r="C427" s="329">
        <f t="shared" si="28"/>
        <v>45</v>
      </c>
      <c r="D427" s="329">
        <v>45.7</v>
      </c>
      <c r="E427" s="329">
        <f t="shared" si="25"/>
        <v>45.65</v>
      </c>
      <c r="F427" s="329">
        <v>4.9000000000000004</v>
      </c>
      <c r="G427" s="329">
        <f t="shared" si="26"/>
        <v>4.333333333333333</v>
      </c>
      <c r="H427" s="329">
        <v>5.5</v>
      </c>
      <c r="I427" s="329">
        <f t="shared" si="27"/>
        <v>5.7</v>
      </c>
      <c r="L427" s="331">
        <v>40524</v>
      </c>
      <c r="M427" s="329">
        <v>45</v>
      </c>
      <c r="N427" s="329">
        <v>45.65</v>
      </c>
      <c r="O427" s="329">
        <v>4.333333333333333</v>
      </c>
      <c r="P427" s="329">
        <v>5.7</v>
      </c>
    </row>
    <row r="428" spans="1:16">
      <c r="A428" s="331">
        <v>40524</v>
      </c>
      <c r="B428" s="329">
        <v>44.9</v>
      </c>
      <c r="C428" s="329">
        <f t="shared" si="28"/>
        <v>45</v>
      </c>
      <c r="D428" s="329">
        <v>45.5</v>
      </c>
      <c r="E428" s="329">
        <f t="shared" si="25"/>
        <v>45.65</v>
      </c>
      <c r="F428" s="329">
        <v>5.3</v>
      </c>
      <c r="G428" s="329">
        <f t="shared" si="26"/>
        <v>4.333333333333333</v>
      </c>
      <c r="H428" s="329">
        <v>5.6</v>
      </c>
      <c r="I428" s="329">
        <f t="shared" si="27"/>
        <v>5.7</v>
      </c>
      <c r="L428" s="331">
        <v>40524</v>
      </c>
      <c r="M428" s="329">
        <v>45</v>
      </c>
      <c r="N428" s="329">
        <v>45.65</v>
      </c>
      <c r="O428" s="329">
        <v>4.333333333333333</v>
      </c>
      <c r="P428" s="329">
        <v>5.7</v>
      </c>
    </row>
    <row r="429" spans="1:16">
      <c r="A429" s="331">
        <v>40525</v>
      </c>
      <c r="B429" s="329">
        <v>44.8</v>
      </c>
      <c r="C429" s="329">
        <f t="shared" si="28"/>
        <v>44.699999999999996</v>
      </c>
      <c r="D429" s="329">
        <v>45.5</v>
      </c>
      <c r="E429" s="329">
        <f t="shared" si="25"/>
        <v>45.583333333333336</v>
      </c>
      <c r="F429" s="329">
        <v>4.9000000000000004</v>
      </c>
      <c r="G429" s="329">
        <f t="shared" si="26"/>
        <v>3.9833333333333329</v>
      </c>
      <c r="H429" s="329">
        <v>5.8</v>
      </c>
      <c r="I429" s="329">
        <f t="shared" si="27"/>
        <v>5.5</v>
      </c>
      <c r="L429" s="331">
        <v>40525</v>
      </c>
      <c r="M429" s="329">
        <v>44.699999999999996</v>
      </c>
      <c r="N429" s="329">
        <v>45.583333333333336</v>
      </c>
      <c r="O429" s="329">
        <v>3.9833333333333329</v>
      </c>
      <c r="P429" s="329">
        <v>5.5</v>
      </c>
    </row>
    <row r="430" spans="1:16">
      <c r="A430" s="331">
        <v>40525</v>
      </c>
      <c r="B430" s="329">
        <v>44.9</v>
      </c>
      <c r="C430" s="329">
        <f t="shared" si="28"/>
        <v>44.699999999999996</v>
      </c>
      <c r="D430" s="329">
        <v>45.6</v>
      </c>
      <c r="E430" s="329">
        <f t="shared" si="25"/>
        <v>45.583333333333336</v>
      </c>
      <c r="F430" s="329">
        <v>4.3</v>
      </c>
      <c r="G430" s="329">
        <f t="shared" si="26"/>
        <v>3.9833333333333329</v>
      </c>
      <c r="H430" s="329">
        <v>5.8</v>
      </c>
      <c r="I430" s="329">
        <f t="shared" si="27"/>
        <v>5.5</v>
      </c>
      <c r="L430" s="331">
        <v>40525</v>
      </c>
      <c r="M430" s="329">
        <v>44.699999999999996</v>
      </c>
      <c r="N430" s="329">
        <v>45.583333333333336</v>
      </c>
      <c r="O430" s="329">
        <v>3.9833333333333329</v>
      </c>
      <c r="P430" s="329">
        <v>5.5</v>
      </c>
    </row>
    <row r="431" spans="1:16">
      <c r="A431" s="331">
        <v>40525</v>
      </c>
      <c r="B431" s="329">
        <v>44.8</v>
      </c>
      <c r="C431" s="329">
        <f t="shared" si="28"/>
        <v>44.699999999999996</v>
      </c>
      <c r="D431" s="329">
        <v>45.6</v>
      </c>
      <c r="E431" s="329">
        <f t="shared" si="25"/>
        <v>45.583333333333336</v>
      </c>
      <c r="F431" s="329">
        <v>3.6</v>
      </c>
      <c r="G431" s="329">
        <f t="shared" si="26"/>
        <v>3.9833333333333329</v>
      </c>
      <c r="H431" s="329">
        <v>5.6</v>
      </c>
      <c r="I431" s="329">
        <f t="shared" si="27"/>
        <v>5.5</v>
      </c>
      <c r="L431" s="331">
        <v>40525</v>
      </c>
      <c r="M431" s="329">
        <v>44.699999999999996</v>
      </c>
      <c r="N431" s="329">
        <v>45.583333333333336</v>
      </c>
      <c r="O431" s="329">
        <v>3.9833333333333329</v>
      </c>
      <c r="P431" s="329">
        <v>5.5</v>
      </c>
    </row>
    <row r="432" spans="1:16">
      <c r="A432" s="331">
        <v>40525</v>
      </c>
      <c r="B432" s="329">
        <v>44.6</v>
      </c>
      <c r="C432" s="329">
        <f t="shared" si="28"/>
        <v>44.699999999999996</v>
      </c>
      <c r="D432" s="329">
        <v>45.6</v>
      </c>
      <c r="E432" s="329">
        <f t="shared" si="25"/>
        <v>45.583333333333336</v>
      </c>
      <c r="F432" s="329">
        <v>3.3</v>
      </c>
      <c r="G432" s="329">
        <f t="shared" si="26"/>
        <v>3.9833333333333329</v>
      </c>
      <c r="H432" s="329">
        <v>5.4</v>
      </c>
      <c r="I432" s="329">
        <f t="shared" si="27"/>
        <v>5.5</v>
      </c>
      <c r="L432" s="331">
        <v>40525</v>
      </c>
      <c r="M432" s="329">
        <v>44.699999999999996</v>
      </c>
      <c r="N432" s="329">
        <v>45.583333333333336</v>
      </c>
      <c r="O432" s="329">
        <v>3.9833333333333329</v>
      </c>
      <c r="P432" s="329">
        <v>5.5</v>
      </c>
    </row>
    <row r="433" spans="1:16">
      <c r="A433" s="331">
        <v>40525</v>
      </c>
      <c r="B433" s="329">
        <v>44.5</v>
      </c>
      <c r="C433" s="329">
        <f t="shared" si="28"/>
        <v>44.699999999999996</v>
      </c>
      <c r="D433" s="329">
        <v>45.6</v>
      </c>
      <c r="E433" s="329">
        <f t="shared" si="25"/>
        <v>45.583333333333336</v>
      </c>
      <c r="F433" s="329">
        <v>3.8</v>
      </c>
      <c r="G433" s="329">
        <f t="shared" si="26"/>
        <v>3.9833333333333329</v>
      </c>
      <c r="H433" s="329">
        <v>5.2</v>
      </c>
      <c r="I433" s="329">
        <f t="shared" si="27"/>
        <v>5.5</v>
      </c>
      <c r="L433" s="331">
        <v>40525</v>
      </c>
      <c r="M433" s="329">
        <v>44.699999999999996</v>
      </c>
      <c r="N433" s="329">
        <v>45.583333333333336</v>
      </c>
      <c r="O433" s="329">
        <v>3.9833333333333329</v>
      </c>
      <c r="P433" s="329">
        <v>5.5</v>
      </c>
    </row>
    <row r="434" spans="1:16">
      <c r="A434" s="331">
        <v>40525</v>
      </c>
      <c r="B434" s="329">
        <v>44.6</v>
      </c>
      <c r="C434" s="329">
        <f t="shared" si="28"/>
        <v>44.699999999999996</v>
      </c>
      <c r="D434" s="329">
        <v>45.6</v>
      </c>
      <c r="E434" s="329">
        <f t="shared" si="25"/>
        <v>45.583333333333336</v>
      </c>
      <c r="F434" s="329">
        <v>4</v>
      </c>
      <c r="G434" s="329">
        <f t="shared" si="26"/>
        <v>3.9833333333333329</v>
      </c>
      <c r="H434" s="329">
        <v>5.2</v>
      </c>
      <c r="I434" s="329">
        <f t="shared" si="27"/>
        <v>5.5</v>
      </c>
      <c r="L434" s="331">
        <v>40525</v>
      </c>
      <c r="M434" s="329">
        <v>44.699999999999996</v>
      </c>
      <c r="N434" s="329">
        <v>45.583333333333336</v>
      </c>
      <c r="O434" s="329">
        <v>3.9833333333333329</v>
      </c>
      <c r="P434" s="329">
        <v>5.5</v>
      </c>
    </row>
    <row r="435" spans="1:16">
      <c r="A435" s="331">
        <v>40526</v>
      </c>
      <c r="B435" s="329">
        <v>44.7</v>
      </c>
      <c r="C435" s="329">
        <f t="shared" si="28"/>
        <v>44.466666666666669</v>
      </c>
      <c r="D435" s="329">
        <v>45.8</v>
      </c>
      <c r="E435" s="329">
        <f t="shared" si="25"/>
        <v>45.583333333333336</v>
      </c>
      <c r="F435" s="329">
        <v>3.7</v>
      </c>
      <c r="G435" s="329">
        <f t="shared" si="26"/>
        <v>3.1999999999999997</v>
      </c>
      <c r="H435" s="329">
        <v>5.2</v>
      </c>
      <c r="I435" s="329">
        <f t="shared" si="27"/>
        <v>4.8500000000000005</v>
      </c>
      <c r="L435" s="331">
        <v>40526</v>
      </c>
      <c r="M435" s="329">
        <v>44.466666666666669</v>
      </c>
      <c r="N435" s="329">
        <v>45.583333333333336</v>
      </c>
      <c r="O435" s="329">
        <v>3.1999999999999997</v>
      </c>
      <c r="P435" s="329">
        <v>4.8500000000000005</v>
      </c>
    </row>
    <row r="436" spans="1:16">
      <c r="A436" s="331">
        <v>40526</v>
      </c>
      <c r="B436" s="329">
        <v>44.7</v>
      </c>
      <c r="C436" s="329">
        <f t="shared" si="28"/>
        <v>44.466666666666669</v>
      </c>
      <c r="D436" s="329">
        <v>45.7</v>
      </c>
      <c r="E436" s="329">
        <f t="shared" si="25"/>
        <v>45.583333333333336</v>
      </c>
      <c r="F436" s="329">
        <v>3.3</v>
      </c>
      <c r="G436" s="329">
        <f t="shared" si="26"/>
        <v>3.1999999999999997</v>
      </c>
      <c r="H436" s="329">
        <v>5.0999999999999996</v>
      </c>
      <c r="I436" s="329">
        <f t="shared" si="27"/>
        <v>4.8500000000000005</v>
      </c>
      <c r="L436" s="331">
        <v>40526</v>
      </c>
      <c r="M436" s="329">
        <v>44.466666666666669</v>
      </c>
      <c r="N436" s="329">
        <v>45.583333333333336</v>
      </c>
      <c r="O436" s="329">
        <v>3.1999999999999997</v>
      </c>
      <c r="P436" s="329">
        <v>4.8500000000000005</v>
      </c>
    </row>
    <row r="437" spans="1:16">
      <c r="A437" s="331">
        <v>40526</v>
      </c>
      <c r="B437" s="329">
        <v>44.3</v>
      </c>
      <c r="C437" s="329">
        <f t="shared" si="28"/>
        <v>44.466666666666669</v>
      </c>
      <c r="D437" s="329">
        <v>45.5</v>
      </c>
      <c r="E437" s="329">
        <f t="shared" si="25"/>
        <v>45.583333333333336</v>
      </c>
      <c r="F437" s="329">
        <v>2.9</v>
      </c>
      <c r="G437" s="329">
        <f t="shared" si="26"/>
        <v>3.1999999999999997</v>
      </c>
      <c r="H437" s="329">
        <v>4.9000000000000004</v>
      </c>
      <c r="I437" s="329">
        <f t="shared" si="27"/>
        <v>4.8500000000000005</v>
      </c>
      <c r="L437" s="331">
        <v>40526</v>
      </c>
      <c r="M437" s="329">
        <v>44.466666666666669</v>
      </c>
      <c r="N437" s="329">
        <v>45.583333333333336</v>
      </c>
      <c r="O437" s="329">
        <v>3.1999999999999997</v>
      </c>
      <c r="P437" s="329">
        <v>4.8500000000000005</v>
      </c>
    </row>
    <row r="438" spans="1:16">
      <c r="A438" s="331">
        <v>40526</v>
      </c>
      <c r="B438" s="329">
        <v>44.3</v>
      </c>
      <c r="C438" s="329">
        <f t="shared" si="28"/>
        <v>44.466666666666669</v>
      </c>
      <c r="D438" s="329">
        <v>45.5</v>
      </c>
      <c r="E438" s="329">
        <f t="shared" si="25"/>
        <v>45.583333333333336</v>
      </c>
      <c r="F438" s="329">
        <v>2.8</v>
      </c>
      <c r="G438" s="329">
        <f t="shared" si="26"/>
        <v>3.1999999999999997</v>
      </c>
      <c r="H438" s="329">
        <v>4.7</v>
      </c>
      <c r="I438" s="329">
        <f t="shared" si="27"/>
        <v>4.8500000000000005</v>
      </c>
      <c r="L438" s="331">
        <v>40526</v>
      </c>
      <c r="M438" s="329">
        <v>44.466666666666669</v>
      </c>
      <c r="N438" s="329">
        <v>45.583333333333336</v>
      </c>
      <c r="O438" s="329">
        <v>3.1999999999999997</v>
      </c>
      <c r="P438" s="329">
        <v>4.8500000000000005</v>
      </c>
    </row>
    <row r="439" spans="1:16">
      <c r="A439" s="331">
        <v>40526</v>
      </c>
      <c r="B439" s="329">
        <v>44.4</v>
      </c>
      <c r="C439" s="329">
        <f t="shared" si="28"/>
        <v>44.466666666666669</v>
      </c>
      <c r="D439" s="329">
        <v>45.5</v>
      </c>
      <c r="E439" s="329">
        <f t="shared" si="25"/>
        <v>45.583333333333336</v>
      </c>
      <c r="F439" s="329">
        <v>3.2</v>
      </c>
      <c r="G439" s="329">
        <f t="shared" si="26"/>
        <v>3.1999999999999997</v>
      </c>
      <c r="H439" s="329">
        <v>4.5999999999999996</v>
      </c>
      <c r="I439" s="329">
        <f t="shared" si="27"/>
        <v>4.8500000000000005</v>
      </c>
      <c r="L439" s="331">
        <v>40526</v>
      </c>
      <c r="M439" s="329">
        <v>44.466666666666669</v>
      </c>
      <c r="N439" s="329">
        <v>45.583333333333336</v>
      </c>
      <c r="O439" s="329">
        <v>3.1999999999999997</v>
      </c>
      <c r="P439" s="329">
        <v>4.8500000000000005</v>
      </c>
    </row>
    <row r="440" spans="1:16">
      <c r="A440" s="331">
        <v>40526</v>
      </c>
      <c r="B440" s="329">
        <v>44.4</v>
      </c>
      <c r="C440" s="329">
        <f t="shared" si="28"/>
        <v>44.466666666666669</v>
      </c>
      <c r="D440" s="329">
        <v>45.5</v>
      </c>
      <c r="E440" s="329">
        <f t="shared" si="25"/>
        <v>45.583333333333336</v>
      </c>
      <c r="F440" s="329">
        <v>3.3</v>
      </c>
      <c r="G440" s="329">
        <f t="shared" si="26"/>
        <v>3.1999999999999997</v>
      </c>
      <c r="H440" s="329">
        <v>4.5999999999999996</v>
      </c>
      <c r="I440" s="329">
        <f t="shared" si="27"/>
        <v>4.8500000000000005</v>
      </c>
      <c r="L440" s="331">
        <v>40526</v>
      </c>
      <c r="M440" s="329">
        <v>44.466666666666669</v>
      </c>
      <c r="N440" s="329">
        <v>45.583333333333336</v>
      </c>
      <c r="O440" s="329">
        <v>3.1999999999999997</v>
      </c>
      <c r="P440" s="329">
        <v>4.8500000000000005</v>
      </c>
    </row>
    <row r="441" spans="1:16">
      <c r="A441" s="331">
        <v>40527</v>
      </c>
      <c r="B441" s="329">
        <v>44.4</v>
      </c>
      <c r="C441" s="329">
        <f t="shared" si="28"/>
        <v>44.633333333333333</v>
      </c>
      <c r="D441" s="329">
        <v>45.5</v>
      </c>
      <c r="E441" s="329">
        <f t="shared" si="25"/>
        <v>45.5</v>
      </c>
      <c r="F441" s="329">
        <v>3.1</v>
      </c>
      <c r="G441" s="329">
        <f t="shared" si="26"/>
        <v>2.5166666666666671</v>
      </c>
      <c r="H441" s="329">
        <v>4.5999999999999996</v>
      </c>
      <c r="I441" s="329">
        <f t="shared" si="27"/>
        <v>4.3500000000000005</v>
      </c>
      <c r="L441" s="331">
        <v>40527</v>
      </c>
      <c r="M441" s="329">
        <v>44.633333333333333</v>
      </c>
      <c r="N441" s="329">
        <v>45.5</v>
      </c>
      <c r="O441" s="329">
        <v>2.5166666666666671</v>
      </c>
      <c r="P441" s="329">
        <v>4.3500000000000005</v>
      </c>
    </row>
    <row r="442" spans="1:16">
      <c r="A442" s="331">
        <v>40527</v>
      </c>
      <c r="B442" s="329">
        <v>44.5</v>
      </c>
      <c r="C442" s="329">
        <f t="shared" si="28"/>
        <v>44.633333333333333</v>
      </c>
      <c r="D442" s="329">
        <v>45.5</v>
      </c>
      <c r="E442" s="329">
        <f t="shared" si="25"/>
        <v>45.5</v>
      </c>
      <c r="F442" s="329">
        <v>2.7</v>
      </c>
      <c r="G442" s="329">
        <f t="shared" si="26"/>
        <v>2.5166666666666671</v>
      </c>
      <c r="H442" s="329">
        <v>4.5</v>
      </c>
      <c r="I442" s="329">
        <f t="shared" si="27"/>
        <v>4.3500000000000005</v>
      </c>
      <c r="L442" s="331">
        <v>40527</v>
      </c>
      <c r="M442" s="329">
        <v>44.633333333333333</v>
      </c>
      <c r="N442" s="329">
        <v>45.5</v>
      </c>
      <c r="O442" s="329">
        <v>2.5166666666666671</v>
      </c>
      <c r="P442" s="329">
        <v>4.3500000000000005</v>
      </c>
    </row>
    <row r="443" spans="1:16">
      <c r="A443" s="331">
        <v>40527</v>
      </c>
      <c r="B443" s="329">
        <v>44.5</v>
      </c>
      <c r="C443" s="329">
        <f t="shared" si="28"/>
        <v>44.633333333333333</v>
      </c>
      <c r="D443" s="329">
        <v>45.5</v>
      </c>
      <c r="E443" s="329">
        <f t="shared" si="25"/>
        <v>45.5</v>
      </c>
      <c r="F443" s="329">
        <v>2.5</v>
      </c>
      <c r="G443" s="329">
        <f t="shared" si="26"/>
        <v>2.5166666666666671</v>
      </c>
      <c r="H443" s="329">
        <v>4.4000000000000004</v>
      </c>
      <c r="I443" s="329">
        <f t="shared" si="27"/>
        <v>4.3500000000000005</v>
      </c>
      <c r="L443" s="331">
        <v>40527</v>
      </c>
      <c r="M443" s="329">
        <v>44.633333333333333</v>
      </c>
      <c r="N443" s="329">
        <v>45.5</v>
      </c>
      <c r="O443" s="329">
        <v>2.5166666666666671</v>
      </c>
      <c r="P443" s="329">
        <v>4.3500000000000005</v>
      </c>
    </row>
    <row r="444" spans="1:16">
      <c r="A444" s="331">
        <v>40527</v>
      </c>
      <c r="B444" s="329">
        <v>44.5</v>
      </c>
      <c r="C444" s="329">
        <f t="shared" si="28"/>
        <v>44.633333333333333</v>
      </c>
      <c r="D444" s="329">
        <v>45.5</v>
      </c>
      <c r="E444" s="329">
        <f t="shared" si="25"/>
        <v>45.5</v>
      </c>
      <c r="F444" s="329">
        <v>2.2999999999999998</v>
      </c>
      <c r="G444" s="329">
        <f t="shared" si="26"/>
        <v>2.5166666666666671</v>
      </c>
      <c r="H444" s="329">
        <v>4.3</v>
      </c>
      <c r="I444" s="329">
        <f t="shared" si="27"/>
        <v>4.3500000000000005</v>
      </c>
      <c r="L444" s="331">
        <v>40527</v>
      </c>
      <c r="M444" s="329">
        <v>44.633333333333333</v>
      </c>
      <c r="N444" s="329">
        <v>45.5</v>
      </c>
      <c r="O444" s="329">
        <v>2.5166666666666671</v>
      </c>
      <c r="P444" s="329">
        <v>4.3500000000000005</v>
      </c>
    </row>
    <row r="445" spans="1:16">
      <c r="A445" s="331">
        <v>40527</v>
      </c>
      <c r="B445" s="329">
        <v>44.5</v>
      </c>
      <c r="C445" s="329">
        <f t="shared" si="28"/>
        <v>44.633333333333333</v>
      </c>
      <c r="D445" s="329">
        <v>45.5</v>
      </c>
      <c r="E445" s="329">
        <f t="shared" si="25"/>
        <v>45.5</v>
      </c>
      <c r="F445" s="329">
        <v>2.2999999999999998</v>
      </c>
      <c r="G445" s="329">
        <f t="shared" si="26"/>
        <v>2.5166666666666671</v>
      </c>
      <c r="H445" s="329">
        <v>4.2</v>
      </c>
      <c r="I445" s="329">
        <f t="shared" si="27"/>
        <v>4.3500000000000005</v>
      </c>
      <c r="L445" s="331">
        <v>40527</v>
      </c>
      <c r="M445" s="329">
        <v>44.633333333333333</v>
      </c>
      <c r="N445" s="329">
        <v>45.5</v>
      </c>
      <c r="O445" s="329">
        <v>2.5166666666666671</v>
      </c>
      <c r="P445" s="329">
        <v>4.3500000000000005</v>
      </c>
    </row>
    <row r="446" spans="1:16">
      <c r="A446" s="331">
        <v>40527</v>
      </c>
      <c r="B446" s="329">
        <v>45.4</v>
      </c>
      <c r="C446" s="329">
        <f t="shared" si="28"/>
        <v>44.633333333333333</v>
      </c>
      <c r="D446" s="329">
        <v>45.5</v>
      </c>
      <c r="E446" s="329">
        <f t="shared" si="25"/>
        <v>45.5</v>
      </c>
      <c r="F446" s="329">
        <v>2.2000000000000002</v>
      </c>
      <c r="G446" s="329">
        <f t="shared" si="26"/>
        <v>2.5166666666666671</v>
      </c>
      <c r="H446" s="329">
        <v>4.0999999999999996</v>
      </c>
      <c r="I446" s="329">
        <f t="shared" si="27"/>
        <v>4.3500000000000005</v>
      </c>
      <c r="L446" s="331">
        <v>40527</v>
      </c>
      <c r="M446" s="329">
        <v>44.633333333333333</v>
      </c>
      <c r="N446" s="329">
        <v>45.5</v>
      </c>
      <c r="O446" s="329">
        <v>2.5166666666666671</v>
      </c>
      <c r="P446" s="329">
        <v>4.3500000000000005</v>
      </c>
    </row>
    <row r="447" spans="1:16">
      <c r="A447" s="331">
        <v>40528</v>
      </c>
      <c r="B447" s="329">
        <v>44.6</v>
      </c>
      <c r="C447" s="329">
        <f t="shared" si="28"/>
        <v>44.550000000000004</v>
      </c>
      <c r="D447" s="329">
        <v>45.5</v>
      </c>
      <c r="E447" s="329">
        <f t="shared" si="25"/>
        <v>45.516666666666673</v>
      </c>
      <c r="F447" s="329">
        <v>2.1</v>
      </c>
      <c r="G447" s="329">
        <f t="shared" si="26"/>
        <v>1.9166666666666667</v>
      </c>
      <c r="H447" s="329">
        <v>4</v>
      </c>
      <c r="I447" s="329">
        <f t="shared" si="27"/>
        <v>3.7833333333333332</v>
      </c>
      <c r="L447" s="331">
        <v>40528</v>
      </c>
      <c r="M447" s="329">
        <v>44.550000000000004</v>
      </c>
      <c r="N447" s="329">
        <v>45.516666666666673</v>
      </c>
      <c r="O447" s="329">
        <v>1.9166666666666667</v>
      </c>
      <c r="P447" s="329">
        <v>3.7833333333333332</v>
      </c>
    </row>
    <row r="448" spans="1:16">
      <c r="A448" s="331">
        <v>40528</v>
      </c>
      <c r="B448" s="329">
        <v>44.4</v>
      </c>
      <c r="C448" s="329">
        <f t="shared" si="28"/>
        <v>44.550000000000004</v>
      </c>
      <c r="D448" s="329">
        <v>45.6</v>
      </c>
      <c r="E448" s="329">
        <f t="shared" si="25"/>
        <v>45.516666666666673</v>
      </c>
      <c r="F448" s="329">
        <v>1.9</v>
      </c>
      <c r="G448" s="329">
        <f t="shared" si="26"/>
        <v>1.9166666666666667</v>
      </c>
      <c r="H448" s="329">
        <v>3.9</v>
      </c>
      <c r="I448" s="329">
        <f t="shared" si="27"/>
        <v>3.7833333333333332</v>
      </c>
      <c r="L448" s="331">
        <v>40528</v>
      </c>
      <c r="M448" s="329">
        <v>44.550000000000004</v>
      </c>
      <c r="N448" s="329">
        <v>45.516666666666673</v>
      </c>
      <c r="O448" s="329">
        <v>1.9166666666666667</v>
      </c>
      <c r="P448" s="329">
        <v>3.7833333333333332</v>
      </c>
    </row>
    <row r="449" spans="1:16">
      <c r="A449" s="331">
        <v>40528</v>
      </c>
      <c r="B449" s="329">
        <v>44.3</v>
      </c>
      <c r="C449" s="329">
        <f t="shared" si="28"/>
        <v>44.550000000000004</v>
      </c>
      <c r="D449" s="329">
        <v>45.5</v>
      </c>
      <c r="E449" s="329">
        <f t="shared" si="25"/>
        <v>45.516666666666673</v>
      </c>
      <c r="F449" s="329">
        <v>1.9</v>
      </c>
      <c r="G449" s="329">
        <f t="shared" si="26"/>
        <v>1.9166666666666667</v>
      </c>
      <c r="H449" s="329">
        <v>3.8</v>
      </c>
      <c r="I449" s="329">
        <f t="shared" si="27"/>
        <v>3.7833333333333332</v>
      </c>
      <c r="L449" s="331">
        <v>40528</v>
      </c>
      <c r="M449" s="329">
        <v>44.550000000000004</v>
      </c>
      <c r="N449" s="329">
        <v>45.516666666666673</v>
      </c>
      <c r="O449" s="329">
        <v>1.9166666666666667</v>
      </c>
      <c r="P449" s="329">
        <v>3.7833333333333332</v>
      </c>
    </row>
    <row r="450" spans="1:16">
      <c r="A450" s="331">
        <v>40528</v>
      </c>
      <c r="B450" s="329">
        <v>44.6</v>
      </c>
      <c r="C450" s="329">
        <f t="shared" si="28"/>
        <v>44.550000000000004</v>
      </c>
      <c r="D450" s="329">
        <v>45.5</v>
      </c>
      <c r="E450" s="329">
        <f t="shared" si="25"/>
        <v>45.516666666666673</v>
      </c>
      <c r="F450" s="329">
        <v>1.8</v>
      </c>
      <c r="G450" s="329">
        <f t="shared" si="26"/>
        <v>1.9166666666666667</v>
      </c>
      <c r="H450" s="329">
        <v>3.7</v>
      </c>
      <c r="I450" s="329">
        <f t="shared" si="27"/>
        <v>3.7833333333333332</v>
      </c>
      <c r="L450" s="331">
        <v>40528</v>
      </c>
      <c r="M450" s="329">
        <v>44.550000000000004</v>
      </c>
      <c r="N450" s="329">
        <v>45.516666666666673</v>
      </c>
      <c r="O450" s="329">
        <v>1.9166666666666667</v>
      </c>
      <c r="P450" s="329">
        <v>3.7833333333333332</v>
      </c>
    </row>
    <row r="451" spans="1:16">
      <c r="A451" s="331">
        <v>40528</v>
      </c>
      <c r="B451" s="329">
        <v>44.7</v>
      </c>
      <c r="C451" s="329">
        <f t="shared" si="28"/>
        <v>44.550000000000004</v>
      </c>
      <c r="D451" s="329">
        <v>45.5</v>
      </c>
      <c r="E451" s="329">
        <f t="shared" si="25"/>
        <v>45.516666666666673</v>
      </c>
      <c r="F451" s="329">
        <v>1.9</v>
      </c>
      <c r="G451" s="329">
        <f t="shared" si="26"/>
        <v>1.9166666666666667</v>
      </c>
      <c r="H451" s="329">
        <v>3.7</v>
      </c>
      <c r="I451" s="329">
        <f t="shared" si="27"/>
        <v>3.7833333333333332</v>
      </c>
      <c r="L451" s="331">
        <v>40528</v>
      </c>
      <c r="M451" s="329">
        <v>44.550000000000004</v>
      </c>
      <c r="N451" s="329">
        <v>45.516666666666673</v>
      </c>
      <c r="O451" s="329">
        <v>1.9166666666666667</v>
      </c>
      <c r="P451" s="329">
        <v>3.7833333333333332</v>
      </c>
    </row>
    <row r="452" spans="1:16">
      <c r="A452" s="331">
        <v>40528</v>
      </c>
      <c r="B452" s="329">
        <v>44.7</v>
      </c>
      <c r="C452" s="329">
        <f t="shared" si="28"/>
        <v>44.550000000000004</v>
      </c>
      <c r="D452" s="329">
        <v>45.5</v>
      </c>
      <c r="E452" s="329">
        <f t="shared" si="25"/>
        <v>45.516666666666673</v>
      </c>
      <c r="F452" s="329">
        <v>1.9</v>
      </c>
      <c r="G452" s="329">
        <f t="shared" si="26"/>
        <v>1.9166666666666667</v>
      </c>
      <c r="H452" s="329">
        <v>3.6</v>
      </c>
      <c r="I452" s="329">
        <f t="shared" si="27"/>
        <v>3.7833333333333332</v>
      </c>
      <c r="L452" s="331">
        <v>40528</v>
      </c>
      <c r="M452" s="329">
        <v>44.550000000000004</v>
      </c>
      <c r="N452" s="329">
        <v>45.516666666666673</v>
      </c>
      <c r="O452" s="329">
        <v>1.9166666666666667</v>
      </c>
      <c r="P452" s="329">
        <v>3.7833333333333332</v>
      </c>
    </row>
    <row r="453" spans="1:16">
      <c r="A453" s="331">
        <v>40529</v>
      </c>
      <c r="B453" s="329">
        <v>44.5</v>
      </c>
      <c r="C453" s="329">
        <f t="shared" si="28"/>
        <v>44.716666666666669</v>
      </c>
      <c r="D453" s="329">
        <v>45.5</v>
      </c>
      <c r="E453" s="329">
        <f t="shared" si="25"/>
        <v>45.433333333333337</v>
      </c>
      <c r="F453" s="329">
        <v>2.2999999999999998</v>
      </c>
      <c r="G453" s="329">
        <f t="shared" si="26"/>
        <v>3.3666666666666667</v>
      </c>
      <c r="H453" s="329">
        <v>3.6</v>
      </c>
      <c r="I453" s="329">
        <f t="shared" si="27"/>
        <v>3.9166666666666665</v>
      </c>
      <c r="L453" s="331">
        <v>40529</v>
      </c>
      <c r="M453" s="329">
        <v>44.716666666666669</v>
      </c>
      <c r="N453" s="329">
        <v>45.433333333333337</v>
      </c>
      <c r="O453" s="329">
        <v>3.3666666666666667</v>
      </c>
      <c r="P453" s="329">
        <v>3.9166666666666665</v>
      </c>
    </row>
    <row r="454" spans="1:16">
      <c r="A454" s="331">
        <v>40529</v>
      </c>
      <c r="B454" s="329">
        <v>44.4</v>
      </c>
      <c r="C454" s="329">
        <f t="shared" si="28"/>
        <v>44.716666666666669</v>
      </c>
      <c r="D454" s="329">
        <v>45.5</v>
      </c>
      <c r="E454" s="329">
        <f t="shared" si="25"/>
        <v>45.433333333333337</v>
      </c>
      <c r="F454" s="329">
        <v>2.9</v>
      </c>
      <c r="G454" s="329">
        <f t="shared" si="26"/>
        <v>3.3666666666666667</v>
      </c>
      <c r="H454" s="329">
        <v>3.6</v>
      </c>
      <c r="I454" s="329">
        <f t="shared" si="27"/>
        <v>3.9166666666666665</v>
      </c>
      <c r="L454" s="331">
        <v>40529</v>
      </c>
      <c r="M454" s="329">
        <v>44.716666666666669</v>
      </c>
      <c r="N454" s="329">
        <v>45.433333333333337</v>
      </c>
      <c r="O454" s="329">
        <v>3.3666666666666667</v>
      </c>
      <c r="P454" s="329">
        <v>3.9166666666666665</v>
      </c>
    </row>
    <row r="455" spans="1:16">
      <c r="A455" s="331">
        <v>40529</v>
      </c>
      <c r="B455" s="329">
        <v>44.3</v>
      </c>
      <c r="C455" s="329">
        <f t="shared" si="28"/>
        <v>44.716666666666669</v>
      </c>
      <c r="D455" s="329">
        <v>45.4</v>
      </c>
      <c r="E455" s="329">
        <f t="shared" si="25"/>
        <v>45.433333333333337</v>
      </c>
      <c r="F455" s="329">
        <v>3.4</v>
      </c>
      <c r="G455" s="329">
        <f t="shared" si="26"/>
        <v>3.3666666666666667</v>
      </c>
      <c r="H455" s="329">
        <v>3.8</v>
      </c>
      <c r="I455" s="329">
        <f t="shared" si="27"/>
        <v>3.9166666666666665</v>
      </c>
      <c r="L455" s="331">
        <v>40529</v>
      </c>
      <c r="M455" s="329">
        <v>44.716666666666669</v>
      </c>
      <c r="N455" s="329">
        <v>45.433333333333337</v>
      </c>
      <c r="O455" s="329">
        <v>3.3666666666666667</v>
      </c>
      <c r="P455" s="329">
        <v>3.9166666666666665</v>
      </c>
    </row>
    <row r="456" spans="1:16">
      <c r="A456" s="331">
        <v>40529</v>
      </c>
      <c r="B456" s="329">
        <v>44.6</v>
      </c>
      <c r="C456" s="329">
        <f t="shared" si="28"/>
        <v>44.716666666666669</v>
      </c>
      <c r="D456" s="329">
        <v>45.4</v>
      </c>
      <c r="E456" s="329">
        <f t="shared" si="25"/>
        <v>45.433333333333337</v>
      </c>
      <c r="F456" s="329">
        <v>3.7</v>
      </c>
      <c r="G456" s="329">
        <f t="shared" si="26"/>
        <v>3.3666666666666667</v>
      </c>
      <c r="H456" s="329">
        <v>4</v>
      </c>
      <c r="I456" s="329">
        <f t="shared" si="27"/>
        <v>3.9166666666666665</v>
      </c>
      <c r="L456" s="331">
        <v>40529</v>
      </c>
      <c r="M456" s="329">
        <v>44.716666666666669</v>
      </c>
      <c r="N456" s="329">
        <v>45.433333333333337</v>
      </c>
      <c r="O456" s="329">
        <v>3.3666666666666667</v>
      </c>
      <c r="P456" s="329">
        <v>3.9166666666666665</v>
      </c>
    </row>
    <row r="457" spans="1:16">
      <c r="A457" s="331">
        <v>40529</v>
      </c>
      <c r="B457" s="329">
        <v>45.4</v>
      </c>
      <c r="C457" s="329">
        <f t="shared" si="28"/>
        <v>44.716666666666669</v>
      </c>
      <c r="D457" s="329">
        <v>45.4</v>
      </c>
      <c r="E457" s="329">
        <f t="shared" si="25"/>
        <v>45.433333333333337</v>
      </c>
      <c r="F457" s="329">
        <v>4</v>
      </c>
      <c r="G457" s="329">
        <f t="shared" si="26"/>
        <v>3.3666666666666667</v>
      </c>
      <c r="H457" s="329">
        <v>4.2</v>
      </c>
      <c r="I457" s="329">
        <f t="shared" si="27"/>
        <v>3.9166666666666665</v>
      </c>
      <c r="L457" s="331">
        <v>40529</v>
      </c>
      <c r="M457" s="329">
        <v>44.716666666666669</v>
      </c>
      <c r="N457" s="329">
        <v>45.433333333333337</v>
      </c>
      <c r="O457" s="329">
        <v>3.3666666666666667</v>
      </c>
      <c r="P457" s="329">
        <v>3.9166666666666665</v>
      </c>
    </row>
    <row r="458" spans="1:16">
      <c r="A458" s="331">
        <v>40529</v>
      </c>
      <c r="B458" s="329">
        <v>45.1</v>
      </c>
      <c r="C458" s="329">
        <f t="shared" si="28"/>
        <v>44.716666666666669</v>
      </c>
      <c r="D458" s="329">
        <v>45.4</v>
      </c>
      <c r="E458" s="329">
        <f t="shared" si="25"/>
        <v>45.433333333333337</v>
      </c>
      <c r="F458" s="329">
        <v>3.9</v>
      </c>
      <c r="G458" s="329">
        <f t="shared" si="26"/>
        <v>3.3666666666666667</v>
      </c>
      <c r="H458" s="329">
        <v>4.3</v>
      </c>
      <c r="I458" s="329">
        <f t="shared" si="27"/>
        <v>3.9166666666666665</v>
      </c>
      <c r="L458" s="331">
        <v>40529</v>
      </c>
      <c r="M458" s="329">
        <v>44.716666666666669</v>
      </c>
      <c r="N458" s="329">
        <v>45.433333333333337</v>
      </c>
      <c r="O458" s="329">
        <v>3.3666666666666667</v>
      </c>
      <c r="P458" s="329">
        <v>3.9166666666666665</v>
      </c>
    </row>
    <row r="459" spans="1:16">
      <c r="A459" s="331">
        <v>40530</v>
      </c>
      <c r="B459" s="329">
        <v>44.9</v>
      </c>
      <c r="C459" s="329">
        <f t="shared" si="28"/>
        <v>45.283333333333331</v>
      </c>
      <c r="D459" s="329">
        <v>45.4</v>
      </c>
      <c r="E459" s="329">
        <f t="shared" si="25"/>
        <v>45.4</v>
      </c>
      <c r="F459" s="329">
        <v>3.4</v>
      </c>
      <c r="G459" s="329">
        <f t="shared" si="26"/>
        <v>2.7833333333333332</v>
      </c>
      <c r="H459" s="329">
        <v>4.4000000000000004</v>
      </c>
      <c r="I459" s="329">
        <f t="shared" si="27"/>
        <v>4.1166666666666663</v>
      </c>
      <c r="L459" s="331">
        <v>40530</v>
      </c>
      <c r="M459" s="329">
        <v>45.283333333333331</v>
      </c>
      <c r="N459" s="329">
        <v>45.4</v>
      </c>
      <c r="O459" s="329">
        <v>2.7833333333333332</v>
      </c>
      <c r="P459" s="329">
        <v>4.1166666666666663</v>
      </c>
    </row>
    <row r="460" spans="1:16">
      <c r="A460" s="331">
        <v>40530</v>
      </c>
      <c r="B460" s="329">
        <v>44.8</v>
      </c>
      <c r="C460" s="329">
        <f t="shared" si="28"/>
        <v>45.283333333333331</v>
      </c>
      <c r="D460" s="329">
        <v>45.4</v>
      </c>
      <c r="E460" s="329">
        <f t="shared" si="25"/>
        <v>45.4</v>
      </c>
      <c r="F460" s="329">
        <v>2.8</v>
      </c>
      <c r="G460" s="329">
        <f t="shared" si="26"/>
        <v>2.7833333333333332</v>
      </c>
      <c r="H460" s="329">
        <v>4.3</v>
      </c>
      <c r="I460" s="329">
        <f t="shared" si="27"/>
        <v>4.1166666666666663</v>
      </c>
      <c r="L460" s="331">
        <v>40530</v>
      </c>
      <c r="M460" s="329">
        <v>45.283333333333331</v>
      </c>
      <c r="N460" s="329">
        <v>45.4</v>
      </c>
      <c r="O460" s="329">
        <v>2.7833333333333332</v>
      </c>
      <c r="P460" s="329">
        <v>4.1166666666666663</v>
      </c>
    </row>
    <row r="461" spans="1:16">
      <c r="A461" s="331">
        <v>40530</v>
      </c>
      <c r="B461" s="329">
        <v>44.8</v>
      </c>
      <c r="C461" s="329">
        <f t="shared" si="28"/>
        <v>45.283333333333331</v>
      </c>
      <c r="D461" s="329">
        <v>45.4</v>
      </c>
      <c r="E461" s="329">
        <f t="shared" si="25"/>
        <v>45.4</v>
      </c>
      <c r="F461" s="329">
        <v>2.5</v>
      </c>
      <c r="G461" s="329">
        <f t="shared" si="26"/>
        <v>2.7833333333333332</v>
      </c>
      <c r="H461" s="329">
        <v>4.2</v>
      </c>
      <c r="I461" s="329">
        <f t="shared" si="27"/>
        <v>4.1166666666666663</v>
      </c>
      <c r="L461" s="331">
        <v>40530</v>
      </c>
      <c r="M461" s="329">
        <v>45.283333333333331</v>
      </c>
      <c r="N461" s="329">
        <v>45.4</v>
      </c>
      <c r="O461" s="329">
        <v>2.7833333333333332</v>
      </c>
      <c r="P461" s="329">
        <v>4.1166666666666663</v>
      </c>
    </row>
    <row r="462" spans="1:16">
      <c r="A462" s="331">
        <v>40530</v>
      </c>
      <c r="B462" s="329">
        <v>45.6</v>
      </c>
      <c r="C462" s="329">
        <f t="shared" si="28"/>
        <v>45.283333333333331</v>
      </c>
      <c r="D462" s="329">
        <v>45.4</v>
      </c>
      <c r="E462" s="329">
        <f t="shared" si="25"/>
        <v>45.4</v>
      </c>
      <c r="F462" s="329">
        <v>2.4</v>
      </c>
      <c r="G462" s="329">
        <f t="shared" si="26"/>
        <v>2.7833333333333332</v>
      </c>
      <c r="H462" s="329">
        <v>4</v>
      </c>
      <c r="I462" s="329">
        <f t="shared" si="27"/>
        <v>4.1166666666666663</v>
      </c>
      <c r="L462" s="331">
        <v>40530</v>
      </c>
      <c r="M462" s="329">
        <v>45.283333333333331</v>
      </c>
      <c r="N462" s="329">
        <v>45.4</v>
      </c>
      <c r="O462" s="329">
        <v>2.7833333333333332</v>
      </c>
      <c r="P462" s="329">
        <v>4.1166666666666663</v>
      </c>
    </row>
    <row r="463" spans="1:16">
      <c r="A463" s="331">
        <v>40530</v>
      </c>
      <c r="B463" s="329">
        <v>45.8</v>
      </c>
      <c r="C463" s="329">
        <f t="shared" si="28"/>
        <v>45.283333333333331</v>
      </c>
      <c r="D463" s="329">
        <v>45.4</v>
      </c>
      <c r="E463" s="329">
        <f t="shared" si="25"/>
        <v>45.4</v>
      </c>
      <c r="F463" s="329">
        <v>2.7</v>
      </c>
      <c r="G463" s="329">
        <f t="shared" si="26"/>
        <v>2.7833333333333332</v>
      </c>
      <c r="H463" s="329">
        <v>3.9</v>
      </c>
      <c r="I463" s="329">
        <f t="shared" si="27"/>
        <v>4.1166666666666663</v>
      </c>
      <c r="L463" s="331">
        <v>40530</v>
      </c>
      <c r="M463" s="329">
        <v>45.283333333333331</v>
      </c>
      <c r="N463" s="329">
        <v>45.4</v>
      </c>
      <c r="O463" s="329">
        <v>2.7833333333333332</v>
      </c>
      <c r="P463" s="329">
        <v>4.1166666666666663</v>
      </c>
    </row>
    <row r="464" spans="1:16">
      <c r="A464" s="331">
        <v>40530</v>
      </c>
      <c r="B464" s="329">
        <v>45.8</v>
      </c>
      <c r="C464" s="329">
        <f t="shared" si="28"/>
        <v>45.283333333333331</v>
      </c>
      <c r="D464" s="329">
        <v>45.4</v>
      </c>
      <c r="E464" s="329">
        <f t="shared" si="25"/>
        <v>45.4</v>
      </c>
      <c r="F464" s="329">
        <v>2.9</v>
      </c>
      <c r="G464" s="329">
        <f t="shared" si="26"/>
        <v>2.7833333333333332</v>
      </c>
      <c r="H464" s="329">
        <v>3.9</v>
      </c>
      <c r="I464" s="329">
        <f t="shared" si="27"/>
        <v>4.1166666666666663</v>
      </c>
      <c r="L464" s="331">
        <v>40530</v>
      </c>
      <c r="M464" s="329">
        <v>45.283333333333331</v>
      </c>
      <c r="N464" s="329">
        <v>45.4</v>
      </c>
      <c r="O464" s="329">
        <v>2.7833333333333332</v>
      </c>
      <c r="P464" s="329">
        <v>4.1166666666666663</v>
      </c>
    </row>
    <row r="465" spans="1:16">
      <c r="A465" s="331">
        <v>40531</v>
      </c>
      <c r="B465" s="329">
        <v>45.8</v>
      </c>
      <c r="C465" s="329">
        <f t="shared" si="28"/>
        <v>45.25</v>
      </c>
      <c r="D465" s="329">
        <v>45.4</v>
      </c>
      <c r="E465" s="329">
        <f t="shared" si="25"/>
        <v>45.416666666666664</v>
      </c>
      <c r="F465" s="329">
        <v>2.9</v>
      </c>
      <c r="G465" s="329">
        <f t="shared" si="26"/>
        <v>3.0666666666666664</v>
      </c>
      <c r="H465" s="329">
        <v>4</v>
      </c>
      <c r="I465" s="329">
        <f t="shared" si="27"/>
        <v>3.9333333333333336</v>
      </c>
      <c r="L465" s="331">
        <v>40531</v>
      </c>
      <c r="M465" s="329">
        <v>45.25</v>
      </c>
      <c r="N465" s="329">
        <v>45.416666666666664</v>
      </c>
      <c r="O465" s="329">
        <v>3.0666666666666664</v>
      </c>
      <c r="P465" s="329">
        <v>3.9333333333333336</v>
      </c>
    </row>
    <row r="466" spans="1:16">
      <c r="A466" s="331">
        <v>40531</v>
      </c>
      <c r="B466" s="329">
        <v>45.9</v>
      </c>
      <c r="C466" s="329">
        <f t="shared" si="28"/>
        <v>45.25</v>
      </c>
      <c r="D466" s="329">
        <v>45.4</v>
      </c>
      <c r="E466" s="329">
        <f t="shared" si="25"/>
        <v>45.416666666666664</v>
      </c>
      <c r="F466" s="329">
        <v>2.8</v>
      </c>
      <c r="G466" s="329">
        <f t="shared" si="26"/>
        <v>3.0666666666666664</v>
      </c>
      <c r="H466" s="329">
        <v>4</v>
      </c>
      <c r="I466" s="329">
        <f t="shared" si="27"/>
        <v>3.9333333333333336</v>
      </c>
      <c r="L466" s="331">
        <v>40531</v>
      </c>
      <c r="M466" s="329">
        <v>45.25</v>
      </c>
      <c r="N466" s="329">
        <v>45.416666666666664</v>
      </c>
      <c r="O466" s="329">
        <v>3.0666666666666664</v>
      </c>
      <c r="P466" s="329">
        <v>3.9333333333333336</v>
      </c>
    </row>
    <row r="467" spans="1:16">
      <c r="A467" s="331">
        <v>40531</v>
      </c>
      <c r="B467" s="329">
        <v>45.9</v>
      </c>
      <c r="C467" s="329">
        <f t="shared" si="28"/>
        <v>45.25</v>
      </c>
      <c r="D467" s="329">
        <v>45.4</v>
      </c>
      <c r="E467" s="329">
        <f t="shared" si="25"/>
        <v>45.416666666666664</v>
      </c>
      <c r="F467" s="329">
        <v>2.5</v>
      </c>
      <c r="G467" s="329">
        <f t="shared" si="26"/>
        <v>3.0666666666666664</v>
      </c>
      <c r="H467" s="329">
        <v>3.9</v>
      </c>
      <c r="I467" s="329">
        <f t="shared" si="27"/>
        <v>3.9333333333333336</v>
      </c>
      <c r="L467" s="331">
        <v>40531</v>
      </c>
      <c r="M467" s="329">
        <v>45.25</v>
      </c>
      <c r="N467" s="329">
        <v>45.416666666666664</v>
      </c>
      <c r="O467" s="329">
        <v>3.0666666666666664</v>
      </c>
      <c r="P467" s="329">
        <v>3.9333333333333336</v>
      </c>
    </row>
    <row r="468" spans="1:16">
      <c r="A468" s="331">
        <v>40531</v>
      </c>
      <c r="B468" s="329">
        <v>44.4</v>
      </c>
      <c r="C468" s="329">
        <f t="shared" si="28"/>
        <v>45.25</v>
      </c>
      <c r="D468" s="329">
        <v>45.4</v>
      </c>
      <c r="E468" s="329">
        <f t="shared" si="25"/>
        <v>45.416666666666664</v>
      </c>
      <c r="F468" s="329">
        <v>2.4</v>
      </c>
      <c r="G468" s="329">
        <f t="shared" si="26"/>
        <v>3.0666666666666664</v>
      </c>
      <c r="H468" s="329">
        <v>3.9</v>
      </c>
      <c r="I468" s="329">
        <f t="shared" si="27"/>
        <v>3.9333333333333336</v>
      </c>
      <c r="L468" s="331">
        <v>40531</v>
      </c>
      <c r="M468" s="329">
        <v>45.25</v>
      </c>
      <c r="N468" s="329">
        <v>45.416666666666664</v>
      </c>
      <c r="O468" s="329">
        <v>3.0666666666666664</v>
      </c>
      <c r="P468" s="329">
        <v>3.9333333333333336</v>
      </c>
    </row>
    <row r="469" spans="1:16">
      <c r="A469" s="331">
        <v>40531</v>
      </c>
      <c r="B469" s="329">
        <v>45.2</v>
      </c>
      <c r="C469" s="329">
        <f t="shared" si="28"/>
        <v>45.25</v>
      </c>
      <c r="D469" s="329">
        <v>45.4</v>
      </c>
      <c r="E469" s="329">
        <f t="shared" si="25"/>
        <v>45.416666666666664</v>
      </c>
      <c r="F469" s="329">
        <v>3.6</v>
      </c>
      <c r="G469" s="329">
        <f t="shared" si="26"/>
        <v>3.0666666666666664</v>
      </c>
      <c r="H469" s="329">
        <v>3.8</v>
      </c>
      <c r="I469" s="329">
        <f t="shared" si="27"/>
        <v>3.9333333333333336</v>
      </c>
      <c r="L469" s="331">
        <v>40531</v>
      </c>
      <c r="M469" s="329">
        <v>45.25</v>
      </c>
      <c r="N469" s="329">
        <v>45.416666666666664</v>
      </c>
      <c r="O469" s="329">
        <v>3.0666666666666664</v>
      </c>
      <c r="P469" s="329">
        <v>3.9333333333333336</v>
      </c>
    </row>
    <row r="470" spans="1:16">
      <c r="A470" s="331">
        <v>40531</v>
      </c>
      <c r="B470" s="329">
        <v>44.3</v>
      </c>
      <c r="C470" s="329">
        <f t="shared" si="28"/>
        <v>45.25</v>
      </c>
      <c r="D470" s="329">
        <v>45.5</v>
      </c>
      <c r="E470" s="329">
        <f t="shared" si="25"/>
        <v>45.416666666666664</v>
      </c>
      <c r="F470" s="329">
        <v>4.2</v>
      </c>
      <c r="G470" s="329">
        <f t="shared" si="26"/>
        <v>3.0666666666666664</v>
      </c>
      <c r="H470" s="329">
        <v>4</v>
      </c>
      <c r="I470" s="329">
        <f t="shared" si="27"/>
        <v>3.9333333333333336</v>
      </c>
      <c r="L470" s="331">
        <v>40531</v>
      </c>
      <c r="M470" s="329">
        <v>45.25</v>
      </c>
      <c r="N470" s="329">
        <v>45.416666666666664</v>
      </c>
      <c r="O470" s="329">
        <v>3.0666666666666664</v>
      </c>
      <c r="P470" s="329">
        <v>3.9333333333333336</v>
      </c>
    </row>
    <row r="471" spans="1:16">
      <c r="A471" s="331">
        <v>40532</v>
      </c>
      <c r="B471" s="329">
        <v>44.2</v>
      </c>
      <c r="C471" s="329">
        <f t="shared" si="28"/>
        <v>44.133333333333333</v>
      </c>
      <c r="D471" s="329">
        <v>45.5</v>
      </c>
      <c r="E471" s="329">
        <f t="shared" si="25"/>
        <v>45.5</v>
      </c>
      <c r="F471" s="329">
        <v>4.0999999999999996</v>
      </c>
      <c r="G471" s="329">
        <f t="shared" si="26"/>
        <v>4.583333333333333</v>
      </c>
      <c r="H471" s="329">
        <v>4.2</v>
      </c>
      <c r="I471" s="329">
        <f t="shared" si="27"/>
        <v>4.5500000000000007</v>
      </c>
      <c r="L471" s="331">
        <v>40532</v>
      </c>
      <c r="M471" s="329">
        <v>44.133333333333333</v>
      </c>
      <c r="N471" s="329">
        <v>45.5</v>
      </c>
      <c r="O471" s="329">
        <v>4.583333333333333</v>
      </c>
      <c r="P471" s="329">
        <v>4.5500000000000007</v>
      </c>
    </row>
    <row r="472" spans="1:16">
      <c r="A472" s="331">
        <v>40532</v>
      </c>
      <c r="B472" s="329">
        <v>44.2</v>
      </c>
      <c r="C472" s="329">
        <f t="shared" si="28"/>
        <v>44.133333333333333</v>
      </c>
      <c r="D472" s="329">
        <v>45.5</v>
      </c>
      <c r="E472" s="329">
        <f t="shared" si="25"/>
        <v>45.5</v>
      </c>
      <c r="F472" s="329">
        <v>4.2</v>
      </c>
      <c r="G472" s="329">
        <f t="shared" si="26"/>
        <v>4.583333333333333</v>
      </c>
      <c r="H472" s="329">
        <v>4.4000000000000004</v>
      </c>
      <c r="I472" s="329">
        <f t="shared" si="27"/>
        <v>4.5500000000000007</v>
      </c>
      <c r="L472" s="331">
        <v>40532</v>
      </c>
      <c r="M472" s="329">
        <v>44.133333333333333</v>
      </c>
      <c r="N472" s="329">
        <v>45.5</v>
      </c>
      <c r="O472" s="329">
        <v>4.583333333333333</v>
      </c>
      <c r="P472" s="329">
        <v>4.5500000000000007</v>
      </c>
    </row>
    <row r="473" spans="1:16">
      <c r="A473" s="331">
        <v>40532</v>
      </c>
      <c r="B473" s="329">
        <v>44.1</v>
      </c>
      <c r="C473" s="329">
        <f t="shared" si="28"/>
        <v>44.133333333333333</v>
      </c>
      <c r="D473" s="329">
        <v>45.5</v>
      </c>
      <c r="E473" s="329">
        <f t="shared" si="25"/>
        <v>45.5</v>
      </c>
      <c r="F473" s="329">
        <v>4.4000000000000004</v>
      </c>
      <c r="G473" s="329">
        <f t="shared" si="26"/>
        <v>4.583333333333333</v>
      </c>
      <c r="H473" s="329">
        <v>4.5</v>
      </c>
      <c r="I473" s="329">
        <f t="shared" si="27"/>
        <v>4.5500000000000007</v>
      </c>
      <c r="L473" s="331">
        <v>40532</v>
      </c>
      <c r="M473" s="329">
        <v>44.133333333333333</v>
      </c>
      <c r="N473" s="329">
        <v>45.5</v>
      </c>
      <c r="O473" s="329">
        <v>4.583333333333333</v>
      </c>
      <c r="P473" s="329">
        <v>4.5500000000000007</v>
      </c>
    </row>
    <row r="474" spans="1:16">
      <c r="A474" s="331">
        <v>40532</v>
      </c>
      <c r="B474" s="329">
        <v>44.1</v>
      </c>
      <c r="C474" s="329">
        <f t="shared" si="28"/>
        <v>44.133333333333333</v>
      </c>
      <c r="D474" s="329">
        <v>45.5</v>
      </c>
      <c r="E474" s="329">
        <f t="shared" si="25"/>
        <v>45.5</v>
      </c>
      <c r="F474" s="329">
        <v>4.3</v>
      </c>
      <c r="G474" s="329">
        <f t="shared" si="26"/>
        <v>4.583333333333333</v>
      </c>
      <c r="H474" s="329">
        <v>4.5999999999999996</v>
      </c>
      <c r="I474" s="329">
        <f t="shared" si="27"/>
        <v>4.5500000000000007</v>
      </c>
      <c r="L474" s="331">
        <v>40532</v>
      </c>
      <c r="M474" s="329">
        <v>44.133333333333333</v>
      </c>
      <c r="N474" s="329">
        <v>45.5</v>
      </c>
      <c r="O474" s="329">
        <v>4.583333333333333</v>
      </c>
      <c r="P474" s="329">
        <v>4.5500000000000007</v>
      </c>
    </row>
    <row r="475" spans="1:16">
      <c r="A475" s="331">
        <v>40532</v>
      </c>
      <c r="B475" s="329">
        <v>44.1</v>
      </c>
      <c r="C475" s="329">
        <f t="shared" si="28"/>
        <v>44.133333333333333</v>
      </c>
      <c r="D475" s="329">
        <v>45.5</v>
      </c>
      <c r="E475" s="329">
        <f t="shared" si="25"/>
        <v>45.5</v>
      </c>
      <c r="F475" s="329">
        <v>5.0999999999999996</v>
      </c>
      <c r="G475" s="329">
        <f t="shared" si="26"/>
        <v>4.583333333333333</v>
      </c>
      <c r="H475" s="329">
        <v>4.7</v>
      </c>
      <c r="I475" s="329">
        <f t="shared" si="27"/>
        <v>4.5500000000000007</v>
      </c>
      <c r="L475" s="331">
        <v>40532</v>
      </c>
      <c r="M475" s="329">
        <v>44.133333333333333</v>
      </c>
      <c r="N475" s="329">
        <v>45.5</v>
      </c>
      <c r="O475" s="329">
        <v>4.583333333333333</v>
      </c>
      <c r="P475" s="329">
        <v>4.5500000000000007</v>
      </c>
    </row>
    <row r="476" spans="1:16">
      <c r="A476" s="331">
        <v>40532</v>
      </c>
      <c r="B476" s="329">
        <v>44.1</v>
      </c>
      <c r="C476" s="329">
        <f t="shared" si="28"/>
        <v>44.133333333333333</v>
      </c>
      <c r="D476" s="329">
        <v>45.5</v>
      </c>
      <c r="E476" s="329">
        <f t="shared" si="25"/>
        <v>45.5</v>
      </c>
      <c r="F476" s="329">
        <v>5.4</v>
      </c>
      <c r="G476" s="329">
        <f t="shared" si="26"/>
        <v>4.583333333333333</v>
      </c>
      <c r="H476" s="329">
        <v>4.9000000000000004</v>
      </c>
      <c r="I476" s="329">
        <f t="shared" si="27"/>
        <v>4.5500000000000007</v>
      </c>
      <c r="L476" s="331">
        <v>40532</v>
      </c>
      <c r="M476" s="329">
        <v>44.133333333333333</v>
      </c>
      <c r="N476" s="329">
        <v>45.5</v>
      </c>
      <c r="O476" s="329">
        <v>4.583333333333333</v>
      </c>
      <c r="P476" s="329">
        <v>4.5500000000000007</v>
      </c>
    </row>
    <row r="477" spans="1:16">
      <c r="A477" s="331">
        <v>40533</v>
      </c>
      <c r="B477" s="329">
        <v>44.1</v>
      </c>
      <c r="C477" s="329">
        <f t="shared" si="28"/>
        <v>44.1</v>
      </c>
      <c r="D477" s="329">
        <v>45.5</v>
      </c>
      <c r="E477" s="329">
        <f t="shared" si="25"/>
        <v>45.5</v>
      </c>
      <c r="F477" s="329">
        <v>5.2</v>
      </c>
      <c r="G477" s="329">
        <f t="shared" si="26"/>
        <v>5.7666666666666666</v>
      </c>
      <c r="H477" s="329">
        <v>5.0999999999999996</v>
      </c>
      <c r="I477" s="329">
        <f t="shared" si="27"/>
        <v>5.3166666666666664</v>
      </c>
      <c r="L477" s="331">
        <v>40533</v>
      </c>
      <c r="M477" s="329">
        <v>44.1</v>
      </c>
      <c r="N477" s="329">
        <v>45.5</v>
      </c>
      <c r="O477" s="329">
        <v>5.7666666666666666</v>
      </c>
      <c r="P477" s="329">
        <v>5.3166666666666664</v>
      </c>
    </row>
    <row r="478" spans="1:16">
      <c r="A478" s="331">
        <v>40533</v>
      </c>
      <c r="B478" s="329">
        <v>44.1</v>
      </c>
      <c r="C478" s="329">
        <f t="shared" si="28"/>
        <v>44.1</v>
      </c>
      <c r="D478" s="329">
        <v>45.5</v>
      </c>
      <c r="E478" s="329">
        <f t="shared" si="25"/>
        <v>45.5</v>
      </c>
      <c r="F478" s="329">
        <v>5.0999999999999996</v>
      </c>
      <c r="G478" s="329">
        <f t="shared" si="26"/>
        <v>5.7666666666666666</v>
      </c>
      <c r="H478" s="329">
        <v>5.0999999999999996</v>
      </c>
      <c r="I478" s="329">
        <f t="shared" si="27"/>
        <v>5.3166666666666664</v>
      </c>
      <c r="L478" s="331">
        <v>40533</v>
      </c>
      <c r="M478" s="329">
        <v>44.1</v>
      </c>
      <c r="N478" s="329">
        <v>45.5</v>
      </c>
      <c r="O478" s="329">
        <v>5.7666666666666666</v>
      </c>
      <c r="P478" s="329">
        <v>5.3166666666666664</v>
      </c>
    </row>
    <row r="479" spans="1:16">
      <c r="A479" s="331">
        <v>40533</v>
      </c>
      <c r="B479" s="329">
        <v>44.1</v>
      </c>
      <c r="C479" s="329">
        <f t="shared" si="28"/>
        <v>44.1</v>
      </c>
      <c r="D479" s="329">
        <v>45.5</v>
      </c>
      <c r="E479" s="329">
        <f t="shared" si="25"/>
        <v>45.5</v>
      </c>
      <c r="F479" s="329">
        <v>5.5</v>
      </c>
      <c r="G479" s="329">
        <f t="shared" si="26"/>
        <v>5.7666666666666666</v>
      </c>
      <c r="H479" s="329">
        <v>5.2</v>
      </c>
      <c r="I479" s="329">
        <f t="shared" si="27"/>
        <v>5.3166666666666664</v>
      </c>
      <c r="L479" s="331">
        <v>40533</v>
      </c>
      <c r="M479" s="329">
        <v>44.1</v>
      </c>
      <c r="N479" s="329">
        <v>45.5</v>
      </c>
      <c r="O479" s="329">
        <v>5.7666666666666666</v>
      </c>
      <c r="P479" s="329">
        <v>5.3166666666666664</v>
      </c>
    </row>
    <row r="480" spans="1:16">
      <c r="A480" s="331">
        <v>40533</v>
      </c>
      <c r="B480" s="329">
        <v>44.1</v>
      </c>
      <c r="C480" s="329">
        <f t="shared" si="28"/>
        <v>44.1</v>
      </c>
      <c r="D480" s="329">
        <v>45.5</v>
      </c>
      <c r="E480" s="329">
        <f t="shared" si="25"/>
        <v>45.5</v>
      </c>
      <c r="F480" s="329">
        <v>5.8</v>
      </c>
      <c r="G480" s="329">
        <f t="shared" si="26"/>
        <v>5.7666666666666666</v>
      </c>
      <c r="H480" s="329">
        <v>5.3</v>
      </c>
      <c r="I480" s="329">
        <f t="shared" si="27"/>
        <v>5.3166666666666664</v>
      </c>
      <c r="L480" s="331">
        <v>40533</v>
      </c>
      <c r="M480" s="329">
        <v>44.1</v>
      </c>
      <c r="N480" s="329">
        <v>45.5</v>
      </c>
      <c r="O480" s="329">
        <v>5.7666666666666666</v>
      </c>
      <c r="P480" s="329">
        <v>5.3166666666666664</v>
      </c>
    </row>
    <row r="481" spans="1:16">
      <c r="A481" s="331">
        <v>40533</v>
      </c>
      <c r="B481" s="329">
        <v>44.1</v>
      </c>
      <c r="C481" s="329">
        <f t="shared" si="28"/>
        <v>44.1</v>
      </c>
      <c r="D481" s="329">
        <v>45.5</v>
      </c>
      <c r="E481" s="329">
        <f t="shared" si="25"/>
        <v>45.5</v>
      </c>
      <c r="F481" s="329">
        <v>6.4</v>
      </c>
      <c r="G481" s="329">
        <f t="shared" si="26"/>
        <v>5.7666666666666666</v>
      </c>
      <c r="H481" s="329">
        <v>5.5</v>
      </c>
      <c r="I481" s="329">
        <f t="shared" si="27"/>
        <v>5.3166666666666664</v>
      </c>
      <c r="L481" s="331">
        <v>40533</v>
      </c>
      <c r="M481" s="329">
        <v>44.1</v>
      </c>
      <c r="N481" s="329">
        <v>45.5</v>
      </c>
      <c r="O481" s="329">
        <v>5.7666666666666666</v>
      </c>
      <c r="P481" s="329">
        <v>5.3166666666666664</v>
      </c>
    </row>
    <row r="482" spans="1:16">
      <c r="A482" s="331">
        <v>40533</v>
      </c>
      <c r="B482" s="329">
        <v>44.1</v>
      </c>
      <c r="C482" s="329">
        <f t="shared" si="28"/>
        <v>44.1</v>
      </c>
      <c r="D482" s="329">
        <v>45.5</v>
      </c>
      <c r="E482" s="329">
        <f t="shared" ref="E482:E545" si="29">AVERAGEIFS($D$33:$D$1494,$A$33:$A$1494,A482)</f>
        <v>45.5</v>
      </c>
      <c r="F482" s="329">
        <v>6.6</v>
      </c>
      <c r="G482" s="329">
        <f t="shared" ref="G482:G545" si="30">AVERAGEIFS($F$33:$F$1494,$A$33:$A$1494,A482)</f>
        <v>5.7666666666666666</v>
      </c>
      <c r="H482" s="329">
        <v>5.7</v>
      </c>
      <c r="I482" s="329">
        <f t="shared" ref="I482:I545" si="31">AVERAGEIFS($H$33:$H$1494,$A$33:$A$1494,A482)</f>
        <v>5.3166666666666664</v>
      </c>
      <c r="L482" s="331">
        <v>40533</v>
      </c>
      <c r="M482" s="329">
        <v>44.1</v>
      </c>
      <c r="N482" s="329">
        <v>45.5</v>
      </c>
      <c r="O482" s="329">
        <v>5.7666666666666666</v>
      </c>
      <c r="P482" s="329">
        <v>5.3166666666666664</v>
      </c>
    </row>
    <row r="483" spans="1:16">
      <c r="A483" s="331">
        <v>40534</v>
      </c>
      <c r="B483" s="329">
        <v>44.1</v>
      </c>
      <c r="C483" s="329">
        <f t="shared" si="28"/>
        <v>44.066666666666663</v>
      </c>
      <c r="D483" s="329">
        <v>45.5</v>
      </c>
      <c r="E483" s="329">
        <f t="shared" si="29"/>
        <v>45.5</v>
      </c>
      <c r="F483" s="329">
        <v>6.6</v>
      </c>
      <c r="G483" s="329">
        <f t="shared" si="30"/>
        <v>6.833333333333333</v>
      </c>
      <c r="H483" s="329">
        <v>5.9</v>
      </c>
      <c r="I483" s="329">
        <f t="shared" si="31"/>
        <v>6.1333333333333329</v>
      </c>
      <c r="L483" s="331">
        <v>40534</v>
      </c>
      <c r="M483" s="329">
        <v>44.066666666666663</v>
      </c>
      <c r="N483" s="329">
        <v>45.5</v>
      </c>
      <c r="O483" s="329">
        <v>6.833333333333333</v>
      </c>
      <c r="P483" s="329">
        <v>6.1333333333333329</v>
      </c>
    </row>
    <row r="484" spans="1:16">
      <c r="A484" s="331">
        <v>40534</v>
      </c>
      <c r="B484" s="329">
        <v>44.1</v>
      </c>
      <c r="C484" s="329">
        <f t="shared" si="28"/>
        <v>44.066666666666663</v>
      </c>
      <c r="D484" s="329">
        <v>45.5</v>
      </c>
      <c r="E484" s="329">
        <f t="shared" si="29"/>
        <v>45.5</v>
      </c>
      <c r="F484" s="329">
        <v>6.3</v>
      </c>
      <c r="G484" s="329">
        <f t="shared" si="30"/>
        <v>6.833333333333333</v>
      </c>
      <c r="H484" s="329">
        <v>6</v>
      </c>
      <c r="I484" s="329">
        <f t="shared" si="31"/>
        <v>6.1333333333333329</v>
      </c>
      <c r="L484" s="331">
        <v>40534</v>
      </c>
      <c r="M484" s="329">
        <v>44.066666666666663</v>
      </c>
      <c r="N484" s="329">
        <v>45.5</v>
      </c>
      <c r="O484" s="329">
        <v>6.833333333333333</v>
      </c>
      <c r="P484" s="329">
        <v>6.1333333333333329</v>
      </c>
    </row>
    <row r="485" spans="1:16">
      <c r="A485" s="331">
        <v>40534</v>
      </c>
      <c r="B485" s="329">
        <v>44.1</v>
      </c>
      <c r="C485" s="329">
        <f t="shared" si="28"/>
        <v>44.066666666666663</v>
      </c>
      <c r="D485" s="329">
        <v>45.5</v>
      </c>
      <c r="E485" s="329">
        <f t="shared" si="29"/>
        <v>45.5</v>
      </c>
      <c r="F485" s="329">
        <v>6.2</v>
      </c>
      <c r="G485" s="329">
        <f t="shared" si="30"/>
        <v>6.833333333333333</v>
      </c>
      <c r="H485" s="329">
        <v>6.1</v>
      </c>
      <c r="I485" s="329">
        <f t="shared" si="31"/>
        <v>6.1333333333333329</v>
      </c>
      <c r="L485" s="331">
        <v>40534</v>
      </c>
      <c r="M485" s="329">
        <v>44.066666666666663</v>
      </c>
      <c r="N485" s="329">
        <v>45.5</v>
      </c>
      <c r="O485" s="329">
        <v>6.833333333333333</v>
      </c>
      <c r="P485" s="329">
        <v>6.1333333333333329</v>
      </c>
    </row>
    <row r="486" spans="1:16">
      <c r="A486" s="331">
        <v>40534</v>
      </c>
      <c r="B486" s="329">
        <v>44.1</v>
      </c>
      <c r="C486" s="329">
        <f t="shared" si="28"/>
        <v>44.066666666666663</v>
      </c>
      <c r="D486" s="329">
        <v>45.5</v>
      </c>
      <c r="E486" s="329">
        <f t="shared" si="29"/>
        <v>45.5</v>
      </c>
      <c r="F486" s="329">
        <v>6.7</v>
      </c>
      <c r="G486" s="329">
        <f t="shared" si="30"/>
        <v>6.833333333333333</v>
      </c>
      <c r="H486" s="329">
        <v>6.1</v>
      </c>
      <c r="I486" s="329">
        <f t="shared" si="31"/>
        <v>6.1333333333333329</v>
      </c>
      <c r="L486" s="331">
        <v>40534</v>
      </c>
      <c r="M486" s="329">
        <v>44.066666666666663</v>
      </c>
      <c r="N486" s="329">
        <v>45.5</v>
      </c>
      <c r="O486" s="329">
        <v>6.833333333333333</v>
      </c>
      <c r="P486" s="329">
        <v>6.1333333333333329</v>
      </c>
    </row>
    <row r="487" spans="1:16">
      <c r="A487" s="331">
        <v>40534</v>
      </c>
      <c r="B487" s="329">
        <v>44</v>
      </c>
      <c r="C487" s="329">
        <f t="shared" si="28"/>
        <v>44.066666666666663</v>
      </c>
      <c r="D487" s="329">
        <v>45.5</v>
      </c>
      <c r="E487" s="329">
        <f t="shared" si="29"/>
        <v>45.5</v>
      </c>
      <c r="F487" s="329">
        <v>7.5</v>
      </c>
      <c r="G487" s="329">
        <f t="shared" si="30"/>
        <v>6.833333333333333</v>
      </c>
      <c r="H487" s="329">
        <v>6.2</v>
      </c>
      <c r="I487" s="329">
        <f t="shared" si="31"/>
        <v>6.1333333333333329</v>
      </c>
      <c r="L487" s="331">
        <v>40534</v>
      </c>
      <c r="M487" s="329">
        <v>44.066666666666663</v>
      </c>
      <c r="N487" s="329">
        <v>45.5</v>
      </c>
      <c r="O487" s="329">
        <v>6.833333333333333</v>
      </c>
      <c r="P487" s="329">
        <v>6.1333333333333329</v>
      </c>
    </row>
    <row r="488" spans="1:16">
      <c r="A488" s="331">
        <v>40534</v>
      </c>
      <c r="B488" s="329">
        <v>44</v>
      </c>
      <c r="C488" s="329">
        <f t="shared" ref="C488:C551" si="32">AVERAGEIFS($B$33:$B$1494,$A$33:$A$1494,A488)</f>
        <v>44.066666666666663</v>
      </c>
      <c r="D488" s="329">
        <v>45.5</v>
      </c>
      <c r="E488" s="329">
        <f t="shared" si="29"/>
        <v>45.5</v>
      </c>
      <c r="F488" s="329">
        <v>7.7</v>
      </c>
      <c r="G488" s="329">
        <f t="shared" si="30"/>
        <v>6.833333333333333</v>
      </c>
      <c r="H488" s="329">
        <v>6.5</v>
      </c>
      <c r="I488" s="329">
        <f t="shared" si="31"/>
        <v>6.1333333333333329</v>
      </c>
      <c r="L488" s="331">
        <v>40534</v>
      </c>
      <c r="M488" s="329">
        <v>44.066666666666663</v>
      </c>
      <c r="N488" s="329">
        <v>45.5</v>
      </c>
      <c r="O488" s="329">
        <v>6.833333333333333</v>
      </c>
      <c r="P488" s="329">
        <v>6.1333333333333329</v>
      </c>
    </row>
    <row r="489" spans="1:16">
      <c r="A489" s="331">
        <v>40535</v>
      </c>
      <c r="B489" s="329">
        <v>44</v>
      </c>
      <c r="C489" s="329">
        <f t="shared" si="32"/>
        <v>58.300000000000004</v>
      </c>
      <c r="D489" s="329">
        <v>45.5</v>
      </c>
      <c r="E489" s="329">
        <f t="shared" si="29"/>
        <v>58.85</v>
      </c>
      <c r="F489" s="329">
        <v>7.5</v>
      </c>
      <c r="G489" s="329">
        <f t="shared" si="30"/>
        <v>7.5666666666666664</v>
      </c>
      <c r="H489" s="329">
        <v>6.7</v>
      </c>
      <c r="I489" s="329">
        <f t="shared" si="31"/>
        <v>6.916666666666667</v>
      </c>
      <c r="L489" s="331">
        <v>40535</v>
      </c>
      <c r="M489" s="329">
        <v>58.300000000000004</v>
      </c>
      <c r="N489" s="329">
        <v>58.85</v>
      </c>
      <c r="O489" s="329">
        <v>7.5666666666666664</v>
      </c>
      <c r="P489" s="329">
        <v>6.916666666666667</v>
      </c>
    </row>
    <row r="490" spans="1:16">
      <c r="A490" s="331">
        <v>40535</v>
      </c>
      <c r="B490" s="329">
        <v>44</v>
      </c>
      <c r="C490" s="329">
        <f t="shared" si="32"/>
        <v>58.300000000000004</v>
      </c>
      <c r="D490" s="329">
        <v>45.5</v>
      </c>
      <c r="E490" s="329">
        <f t="shared" si="29"/>
        <v>58.85</v>
      </c>
      <c r="F490" s="329">
        <v>7.6</v>
      </c>
      <c r="G490" s="329">
        <f t="shared" si="30"/>
        <v>7.5666666666666664</v>
      </c>
      <c r="H490" s="329">
        <v>6.8</v>
      </c>
      <c r="I490" s="329">
        <f t="shared" si="31"/>
        <v>6.916666666666667</v>
      </c>
      <c r="L490" s="331">
        <v>40535</v>
      </c>
      <c r="M490" s="329">
        <v>58.300000000000004</v>
      </c>
      <c r="N490" s="329">
        <v>58.85</v>
      </c>
      <c r="O490" s="329">
        <v>7.5666666666666664</v>
      </c>
      <c r="P490" s="329">
        <v>6.916666666666667</v>
      </c>
    </row>
    <row r="491" spans="1:16">
      <c r="A491" s="331">
        <v>40535</v>
      </c>
      <c r="B491" s="329">
        <v>44</v>
      </c>
      <c r="C491" s="329">
        <f t="shared" si="32"/>
        <v>58.300000000000004</v>
      </c>
      <c r="D491" s="329">
        <v>45.5</v>
      </c>
      <c r="E491" s="329">
        <f t="shared" si="29"/>
        <v>58.85</v>
      </c>
      <c r="F491" s="329">
        <v>7.6</v>
      </c>
      <c r="G491" s="329">
        <f t="shared" si="30"/>
        <v>7.5666666666666664</v>
      </c>
      <c r="H491" s="329">
        <v>6.9</v>
      </c>
      <c r="I491" s="329">
        <f t="shared" si="31"/>
        <v>6.916666666666667</v>
      </c>
      <c r="L491" s="331">
        <v>40535</v>
      </c>
      <c r="M491" s="329">
        <v>58.300000000000004</v>
      </c>
      <c r="N491" s="329">
        <v>58.85</v>
      </c>
      <c r="O491" s="329">
        <v>7.5666666666666664</v>
      </c>
      <c r="P491" s="329">
        <v>6.916666666666667</v>
      </c>
    </row>
    <row r="492" spans="1:16">
      <c r="A492" s="331">
        <v>40535</v>
      </c>
      <c r="B492" s="329">
        <v>72.5</v>
      </c>
      <c r="C492" s="329">
        <f t="shared" si="32"/>
        <v>58.300000000000004</v>
      </c>
      <c r="D492" s="329">
        <v>69.599999999999994</v>
      </c>
      <c r="E492" s="329">
        <f t="shared" si="29"/>
        <v>58.85</v>
      </c>
      <c r="F492" s="329">
        <v>7.6</v>
      </c>
      <c r="G492" s="329">
        <f t="shared" si="30"/>
        <v>7.5666666666666664</v>
      </c>
      <c r="H492" s="329">
        <v>7</v>
      </c>
      <c r="I492" s="329">
        <f t="shared" si="31"/>
        <v>6.916666666666667</v>
      </c>
      <c r="L492" s="331">
        <v>40535</v>
      </c>
      <c r="M492" s="329">
        <v>58.300000000000004</v>
      </c>
      <c r="N492" s="329">
        <v>58.85</v>
      </c>
      <c r="O492" s="329">
        <v>7.5666666666666664</v>
      </c>
      <c r="P492" s="329">
        <v>6.916666666666667</v>
      </c>
    </row>
    <row r="493" spans="1:16">
      <c r="A493" s="331">
        <v>40535</v>
      </c>
      <c r="B493" s="329">
        <v>72.5</v>
      </c>
      <c r="C493" s="329">
        <f t="shared" si="32"/>
        <v>58.300000000000004</v>
      </c>
      <c r="D493" s="329">
        <v>73.400000000000006</v>
      </c>
      <c r="E493" s="329">
        <f t="shared" si="29"/>
        <v>58.85</v>
      </c>
      <c r="F493" s="329">
        <v>7.7</v>
      </c>
      <c r="G493" s="329">
        <f t="shared" si="30"/>
        <v>7.5666666666666664</v>
      </c>
      <c r="H493" s="329">
        <v>7</v>
      </c>
      <c r="I493" s="329">
        <f t="shared" si="31"/>
        <v>6.916666666666667</v>
      </c>
      <c r="L493" s="331">
        <v>40535</v>
      </c>
      <c r="M493" s="329">
        <v>58.300000000000004</v>
      </c>
      <c r="N493" s="329">
        <v>58.85</v>
      </c>
      <c r="O493" s="329">
        <v>7.5666666666666664</v>
      </c>
      <c r="P493" s="329">
        <v>6.916666666666667</v>
      </c>
    </row>
    <row r="494" spans="1:16">
      <c r="A494" s="331">
        <v>40535</v>
      </c>
      <c r="B494" s="329">
        <v>72.8</v>
      </c>
      <c r="C494" s="329">
        <f t="shared" si="32"/>
        <v>58.300000000000004</v>
      </c>
      <c r="D494" s="329">
        <v>73.599999999999994</v>
      </c>
      <c r="E494" s="329">
        <f t="shared" si="29"/>
        <v>58.85</v>
      </c>
      <c r="F494" s="329">
        <v>7.4</v>
      </c>
      <c r="G494" s="329">
        <f t="shared" si="30"/>
        <v>7.5666666666666664</v>
      </c>
      <c r="H494" s="329">
        <v>7.1</v>
      </c>
      <c r="I494" s="329">
        <f t="shared" si="31"/>
        <v>6.916666666666667</v>
      </c>
      <c r="L494" s="331">
        <v>40535</v>
      </c>
      <c r="M494" s="329">
        <v>58.300000000000004</v>
      </c>
      <c r="N494" s="329">
        <v>58.85</v>
      </c>
      <c r="O494" s="329">
        <v>7.5666666666666664</v>
      </c>
      <c r="P494" s="329">
        <v>6.916666666666667</v>
      </c>
    </row>
    <row r="495" spans="1:16">
      <c r="A495" s="331">
        <v>40536</v>
      </c>
      <c r="B495" s="329">
        <v>61.2</v>
      </c>
      <c r="C495" s="329">
        <f t="shared" si="32"/>
        <v>55.150000000000006</v>
      </c>
      <c r="D495" s="329">
        <v>62.2</v>
      </c>
      <c r="E495" s="329">
        <f t="shared" si="29"/>
        <v>53.5</v>
      </c>
      <c r="F495" s="329">
        <v>6.7</v>
      </c>
      <c r="G495" s="329">
        <f t="shared" si="30"/>
        <v>5.3833333333333329</v>
      </c>
      <c r="H495" s="329">
        <v>7.1</v>
      </c>
      <c r="I495" s="329">
        <f t="shared" si="31"/>
        <v>6.4499999999999993</v>
      </c>
      <c r="L495" s="331">
        <v>40536</v>
      </c>
      <c r="M495" s="329">
        <v>55.150000000000006</v>
      </c>
      <c r="N495" s="329">
        <v>53.5</v>
      </c>
      <c r="O495" s="329">
        <v>5.3833333333333329</v>
      </c>
      <c r="P495" s="329">
        <v>6.4499999999999993</v>
      </c>
    </row>
    <row r="496" spans="1:16">
      <c r="A496" s="331">
        <v>40536</v>
      </c>
      <c r="B496" s="329">
        <v>49.5</v>
      </c>
      <c r="C496" s="329">
        <f t="shared" si="32"/>
        <v>55.150000000000006</v>
      </c>
      <c r="D496" s="329">
        <v>51</v>
      </c>
      <c r="E496" s="329">
        <f t="shared" si="29"/>
        <v>53.5</v>
      </c>
      <c r="F496" s="329">
        <v>5.8</v>
      </c>
      <c r="G496" s="329">
        <f t="shared" si="30"/>
        <v>5.3833333333333329</v>
      </c>
      <c r="H496" s="329">
        <v>6.9</v>
      </c>
      <c r="I496" s="329">
        <f t="shared" si="31"/>
        <v>6.4499999999999993</v>
      </c>
      <c r="L496" s="331">
        <v>40536</v>
      </c>
      <c r="M496" s="329">
        <v>55.150000000000006</v>
      </c>
      <c r="N496" s="329">
        <v>53.5</v>
      </c>
      <c r="O496" s="329">
        <v>5.3833333333333329</v>
      </c>
      <c r="P496" s="329">
        <v>6.4499999999999993</v>
      </c>
    </row>
    <row r="497" spans="1:16">
      <c r="A497" s="331">
        <v>40536</v>
      </c>
      <c r="B497" s="329">
        <v>54.2</v>
      </c>
      <c r="C497" s="329">
        <f t="shared" si="32"/>
        <v>55.150000000000006</v>
      </c>
      <c r="D497" s="329">
        <v>50.5</v>
      </c>
      <c r="E497" s="329">
        <f t="shared" si="29"/>
        <v>53.5</v>
      </c>
      <c r="F497" s="329">
        <v>5.0999999999999996</v>
      </c>
      <c r="G497" s="329">
        <f t="shared" si="30"/>
        <v>5.3833333333333329</v>
      </c>
      <c r="H497" s="329">
        <v>6.6</v>
      </c>
      <c r="I497" s="329">
        <f t="shared" si="31"/>
        <v>6.4499999999999993</v>
      </c>
      <c r="L497" s="331">
        <v>40536</v>
      </c>
      <c r="M497" s="329">
        <v>55.150000000000006</v>
      </c>
      <c r="N497" s="329">
        <v>53.5</v>
      </c>
      <c r="O497" s="329">
        <v>5.3833333333333329</v>
      </c>
      <c r="P497" s="329">
        <v>6.4499999999999993</v>
      </c>
    </row>
    <row r="498" spans="1:16">
      <c r="A498" s="331">
        <v>40536</v>
      </c>
      <c r="B498" s="329">
        <v>64.5</v>
      </c>
      <c r="C498" s="329">
        <f t="shared" si="32"/>
        <v>55.150000000000006</v>
      </c>
      <c r="D498" s="329">
        <v>53.2</v>
      </c>
      <c r="E498" s="329">
        <f t="shared" si="29"/>
        <v>53.5</v>
      </c>
      <c r="F498" s="329">
        <v>4.9000000000000004</v>
      </c>
      <c r="G498" s="329">
        <f t="shared" si="30"/>
        <v>5.3833333333333329</v>
      </c>
      <c r="H498" s="329">
        <v>6.2</v>
      </c>
      <c r="I498" s="329">
        <f t="shared" si="31"/>
        <v>6.4499999999999993</v>
      </c>
      <c r="L498" s="331">
        <v>40536</v>
      </c>
      <c r="M498" s="329">
        <v>55.150000000000006</v>
      </c>
      <c r="N498" s="329">
        <v>53.5</v>
      </c>
      <c r="O498" s="329">
        <v>5.3833333333333329</v>
      </c>
      <c r="P498" s="329">
        <v>6.4499999999999993</v>
      </c>
    </row>
    <row r="499" spans="1:16">
      <c r="A499" s="331">
        <v>40536</v>
      </c>
      <c r="B499" s="329">
        <v>52.7</v>
      </c>
      <c r="C499" s="329">
        <f t="shared" si="32"/>
        <v>55.150000000000006</v>
      </c>
      <c r="D499" s="329">
        <v>53</v>
      </c>
      <c r="E499" s="329">
        <f t="shared" si="29"/>
        <v>53.5</v>
      </c>
      <c r="F499" s="329">
        <v>5</v>
      </c>
      <c r="G499" s="329">
        <f t="shared" si="30"/>
        <v>5.3833333333333329</v>
      </c>
      <c r="H499" s="329">
        <v>6</v>
      </c>
      <c r="I499" s="329">
        <f t="shared" si="31"/>
        <v>6.4499999999999993</v>
      </c>
      <c r="L499" s="331">
        <v>40536</v>
      </c>
      <c r="M499" s="329">
        <v>55.150000000000006</v>
      </c>
      <c r="N499" s="329">
        <v>53.5</v>
      </c>
      <c r="O499" s="329">
        <v>5.3833333333333329</v>
      </c>
      <c r="P499" s="329">
        <v>6.4499999999999993</v>
      </c>
    </row>
    <row r="500" spans="1:16">
      <c r="A500" s="331">
        <v>40536</v>
      </c>
      <c r="B500" s="329">
        <v>48.8</v>
      </c>
      <c r="C500" s="329">
        <f t="shared" si="32"/>
        <v>55.150000000000006</v>
      </c>
      <c r="D500" s="329">
        <v>51.1</v>
      </c>
      <c r="E500" s="329">
        <f t="shared" si="29"/>
        <v>53.5</v>
      </c>
      <c r="F500" s="329">
        <v>4.8</v>
      </c>
      <c r="G500" s="329">
        <f t="shared" si="30"/>
        <v>5.3833333333333329</v>
      </c>
      <c r="H500" s="329">
        <v>5.9</v>
      </c>
      <c r="I500" s="329">
        <f t="shared" si="31"/>
        <v>6.4499999999999993</v>
      </c>
      <c r="L500" s="331">
        <v>40536</v>
      </c>
      <c r="M500" s="329">
        <v>55.150000000000006</v>
      </c>
      <c r="N500" s="329">
        <v>53.5</v>
      </c>
      <c r="O500" s="329">
        <v>5.3833333333333329</v>
      </c>
      <c r="P500" s="329">
        <v>6.4499999999999993</v>
      </c>
    </row>
    <row r="501" spans="1:16">
      <c r="A501" s="331">
        <v>40537</v>
      </c>
      <c r="B501" s="329">
        <v>47.9</v>
      </c>
      <c r="C501" s="329">
        <f t="shared" si="32"/>
        <v>47.31666666666667</v>
      </c>
      <c r="D501" s="329">
        <v>50.5</v>
      </c>
      <c r="E501" s="329">
        <f t="shared" si="29"/>
        <v>49.516666666666673</v>
      </c>
      <c r="F501" s="329">
        <v>4.5</v>
      </c>
      <c r="G501" s="329">
        <f t="shared" si="30"/>
        <v>3.7333333333333338</v>
      </c>
      <c r="H501" s="329">
        <v>5.8</v>
      </c>
      <c r="I501" s="329">
        <f t="shared" si="31"/>
        <v>5.3</v>
      </c>
      <c r="L501" s="331">
        <v>40537</v>
      </c>
      <c r="M501" s="329">
        <v>47.31666666666667</v>
      </c>
      <c r="N501" s="329">
        <v>49.516666666666673</v>
      </c>
      <c r="O501" s="329">
        <v>3.7333333333333338</v>
      </c>
      <c r="P501" s="329">
        <v>5.3</v>
      </c>
    </row>
    <row r="502" spans="1:16">
      <c r="A502" s="331">
        <v>40537</v>
      </c>
      <c r="B502" s="329">
        <v>47.6</v>
      </c>
      <c r="C502" s="329">
        <f t="shared" si="32"/>
        <v>47.31666666666667</v>
      </c>
      <c r="D502" s="329">
        <v>50</v>
      </c>
      <c r="E502" s="329">
        <f t="shared" si="29"/>
        <v>49.516666666666673</v>
      </c>
      <c r="F502" s="329">
        <v>4.2</v>
      </c>
      <c r="G502" s="329">
        <f t="shared" si="30"/>
        <v>3.7333333333333338</v>
      </c>
      <c r="H502" s="329">
        <v>5.6</v>
      </c>
      <c r="I502" s="329">
        <f t="shared" si="31"/>
        <v>5.3</v>
      </c>
      <c r="L502" s="331">
        <v>40537</v>
      </c>
      <c r="M502" s="329">
        <v>47.31666666666667</v>
      </c>
      <c r="N502" s="329">
        <v>49.516666666666673</v>
      </c>
      <c r="O502" s="329">
        <v>3.7333333333333338</v>
      </c>
      <c r="P502" s="329">
        <v>5.3</v>
      </c>
    </row>
    <row r="503" spans="1:16">
      <c r="A503" s="331">
        <v>40537</v>
      </c>
      <c r="B503" s="329">
        <v>47.4</v>
      </c>
      <c r="C503" s="329">
        <f t="shared" si="32"/>
        <v>47.31666666666667</v>
      </c>
      <c r="D503" s="329">
        <v>49.7</v>
      </c>
      <c r="E503" s="329">
        <f t="shared" si="29"/>
        <v>49.516666666666673</v>
      </c>
      <c r="F503" s="329">
        <v>3.9</v>
      </c>
      <c r="G503" s="329">
        <f t="shared" si="30"/>
        <v>3.7333333333333338</v>
      </c>
      <c r="H503" s="329">
        <v>5.4</v>
      </c>
      <c r="I503" s="329">
        <f t="shared" si="31"/>
        <v>5.3</v>
      </c>
      <c r="L503" s="331">
        <v>40537</v>
      </c>
      <c r="M503" s="329">
        <v>47.31666666666667</v>
      </c>
      <c r="N503" s="329">
        <v>49.516666666666673</v>
      </c>
      <c r="O503" s="329">
        <v>3.7333333333333338</v>
      </c>
      <c r="P503" s="329">
        <v>5.3</v>
      </c>
    </row>
    <row r="504" spans="1:16">
      <c r="A504" s="331">
        <v>40537</v>
      </c>
      <c r="B504" s="329">
        <v>47.2</v>
      </c>
      <c r="C504" s="329">
        <f t="shared" si="32"/>
        <v>47.31666666666667</v>
      </c>
      <c r="D504" s="329">
        <v>49.4</v>
      </c>
      <c r="E504" s="329">
        <f t="shared" si="29"/>
        <v>49.516666666666673</v>
      </c>
      <c r="F504" s="329">
        <v>3.4</v>
      </c>
      <c r="G504" s="329">
        <f t="shared" si="30"/>
        <v>3.7333333333333338</v>
      </c>
      <c r="H504" s="329">
        <v>5.2</v>
      </c>
      <c r="I504" s="329">
        <f t="shared" si="31"/>
        <v>5.3</v>
      </c>
      <c r="L504" s="331">
        <v>40537</v>
      </c>
      <c r="M504" s="329">
        <v>47.31666666666667</v>
      </c>
      <c r="N504" s="329">
        <v>49.516666666666673</v>
      </c>
      <c r="O504" s="329">
        <v>3.7333333333333338</v>
      </c>
      <c r="P504" s="329">
        <v>5.3</v>
      </c>
    </row>
    <row r="505" spans="1:16">
      <c r="A505" s="331">
        <v>40537</v>
      </c>
      <c r="B505" s="329">
        <v>47</v>
      </c>
      <c r="C505" s="329">
        <f t="shared" si="32"/>
        <v>47.31666666666667</v>
      </c>
      <c r="D505" s="329">
        <v>48.9</v>
      </c>
      <c r="E505" s="329">
        <f t="shared" si="29"/>
        <v>49.516666666666673</v>
      </c>
      <c r="F505" s="329">
        <v>3.3</v>
      </c>
      <c r="G505" s="329">
        <f t="shared" si="30"/>
        <v>3.7333333333333338</v>
      </c>
      <c r="H505" s="329">
        <v>5</v>
      </c>
      <c r="I505" s="329">
        <f t="shared" si="31"/>
        <v>5.3</v>
      </c>
      <c r="L505" s="331">
        <v>40537</v>
      </c>
      <c r="M505" s="329">
        <v>47.31666666666667</v>
      </c>
      <c r="N505" s="329">
        <v>49.516666666666673</v>
      </c>
      <c r="O505" s="329">
        <v>3.7333333333333338</v>
      </c>
      <c r="P505" s="329">
        <v>5.3</v>
      </c>
    </row>
    <row r="506" spans="1:16">
      <c r="A506" s="331">
        <v>40537</v>
      </c>
      <c r="B506" s="329">
        <v>46.8</v>
      </c>
      <c r="C506" s="329">
        <f t="shared" si="32"/>
        <v>47.31666666666667</v>
      </c>
      <c r="D506" s="329">
        <v>48.6</v>
      </c>
      <c r="E506" s="329">
        <f t="shared" si="29"/>
        <v>49.516666666666673</v>
      </c>
      <c r="F506" s="329">
        <v>3.1</v>
      </c>
      <c r="G506" s="329">
        <f t="shared" si="30"/>
        <v>3.7333333333333338</v>
      </c>
      <c r="H506" s="329">
        <v>4.8</v>
      </c>
      <c r="I506" s="329">
        <f t="shared" si="31"/>
        <v>5.3</v>
      </c>
      <c r="L506" s="331">
        <v>40537</v>
      </c>
      <c r="M506" s="329">
        <v>47.31666666666667</v>
      </c>
      <c r="N506" s="329">
        <v>49.516666666666673</v>
      </c>
      <c r="O506" s="329">
        <v>3.7333333333333338</v>
      </c>
      <c r="P506" s="329">
        <v>5.3</v>
      </c>
    </row>
    <row r="507" spans="1:16">
      <c r="A507" s="331">
        <v>40538</v>
      </c>
      <c r="B507" s="329">
        <v>47</v>
      </c>
      <c r="C507" s="329">
        <f t="shared" si="32"/>
        <v>46.65</v>
      </c>
      <c r="D507" s="329">
        <v>48.4</v>
      </c>
      <c r="E507" s="329">
        <f t="shared" si="29"/>
        <v>48.016666666666659</v>
      </c>
      <c r="F507" s="329">
        <v>2.8</v>
      </c>
      <c r="G507" s="329">
        <f t="shared" si="30"/>
        <v>2.2666666666666666</v>
      </c>
      <c r="H507" s="329">
        <v>4.5999999999999996</v>
      </c>
      <c r="I507" s="329">
        <f t="shared" si="31"/>
        <v>4.2166666666666668</v>
      </c>
      <c r="L507" s="331">
        <v>40538</v>
      </c>
      <c r="M507" s="329">
        <v>46.65</v>
      </c>
      <c r="N507" s="329">
        <v>48.016666666666659</v>
      </c>
      <c r="O507" s="329">
        <v>2.2666666666666666</v>
      </c>
      <c r="P507" s="329">
        <v>4.2166666666666668</v>
      </c>
    </row>
    <row r="508" spans="1:16">
      <c r="A508" s="331">
        <v>40538</v>
      </c>
      <c r="B508" s="329">
        <v>46.9</v>
      </c>
      <c r="C508" s="329">
        <f t="shared" si="32"/>
        <v>46.65</v>
      </c>
      <c r="D508" s="329">
        <v>48.3</v>
      </c>
      <c r="E508" s="329">
        <f t="shared" si="29"/>
        <v>48.016666666666659</v>
      </c>
      <c r="F508" s="329">
        <v>2.5</v>
      </c>
      <c r="G508" s="329">
        <f t="shared" si="30"/>
        <v>2.2666666666666666</v>
      </c>
      <c r="H508" s="329">
        <v>4.5</v>
      </c>
      <c r="I508" s="329">
        <f t="shared" si="31"/>
        <v>4.2166666666666668</v>
      </c>
      <c r="L508" s="331">
        <v>40538</v>
      </c>
      <c r="M508" s="329">
        <v>46.65</v>
      </c>
      <c r="N508" s="329">
        <v>48.016666666666659</v>
      </c>
      <c r="O508" s="329">
        <v>2.2666666666666666</v>
      </c>
      <c r="P508" s="329">
        <v>4.2166666666666668</v>
      </c>
    </row>
    <row r="509" spans="1:16">
      <c r="A509" s="331">
        <v>40538</v>
      </c>
      <c r="B509" s="329">
        <v>46.8</v>
      </c>
      <c r="C509" s="329">
        <f t="shared" si="32"/>
        <v>46.65</v>
      </c>
      <c r="D509" s="329">
        <v>48</v>
      </c>
      <c r="E509" s="329">
        <f t="shared" si="29"/>
        <v>48.016666666666659</v>
      </c>
      <c r="F509" s="329">
        <v>2.2000000000000002</v>
      </c>
      <c r="G509" s="329">
        <f t="shared" si="30"/>
        <v>2.2666666666666666</v>
      </c>
      <c r="H509" s="329">
        <v>4.3</v>
      </c>
      <c r="I509" s="329">
        <f t="shared" si="31"/>
        <v>4.2166666666666668</v>
      </c>
      <c r="L509" s="331">
        <v>40538</v>
      </c>
      <c r="M509" s="329">
        <v>46.65</v>
      </c>
      <c r="N509" s="329">
        <v>48.016666666666659</v>
      </c>
      <c r="O509" s="329">
        <v>2.2666666666666666</v>
      </c>
      <c r="P509" s="329">
        <v>4.2166666666666668</v>
      </c>
    </row>
    <row r="510" spans="1:16">
      <c r="A510" s="331">
        <v>40538</v>
      </c>
      <c r="B510" s="329">
        <v>46.6</v>
      </c>
      <c r="C510" s="329">
        <f t="shared" si="32"/>
        <v>46.65</v>
      </c>
      <c r="D510" s="329">
        <v>47.9</v>
      </c>
      <c r="E510" s="329">
        <f t="shared" si="29"/>
        <v>48.016666666666659</v>
      </c>
      <c r="F510" s="329">
        <v>2.1</v>
      </c>
      <c r="G510" s="329">
        <f t="shared" si="30"/>
        <v>2.2666666666666666</v>
      </c>
      <c r="H510" s="329">
        <v>4.0999999999999996</v>
      </c>
      <c r="I510" s="329">
        <f t="shared" si="31"/>
        <v>4.2166666666666668</v>
      </c>
      <c r="L510" s="331">
        <v>40538</v>
      </c>
      <c r="M510" s="329">
        <v>46.65</v>
      </c>
      <c r="N510" s="329">
        <v>48.016666666666659</v>
      </c>
      <c r="O510" s="329">
        <v>2.2666666666666666</v>
      </c>
      <c r="P510" s="329">
        <v>4.2166666666666668</v>
      </c>
    </row>
    <row r="511" spans="1:16">
      <c r="A511" s="331">
        <v>40538</v>
      </c>
      <c r="B511" s="329">
        <v>46.5</v>
      </c>
      <c r="C511" s="329">
        <f t="shared" si="32"/>
        <v>46.65</v>
      </c>
      <c r="D511" s="329">
        <v>47.8</v>
      </c>
      <c r="E511" s="329">
        <f t="shared" si="29"/>
        <v>48.016666666666659</v>
      </c>
      <c r="F511" s="329">
        <v>2.1</v>
      </c>
      <c r="G511" s="329">
        <f t="shared" si="30"/>
        <v>2.2666666666666666</v>
      </c>
      <c r="H511" s="329">
        <v>4</v>
      </c>
      <c r="I511" s="329">
        <f t="shared" si="31"/>
        <v>4.2166666666666668</v>
      </c>
      <c r="L511" s="331">
        <v>40538</v>
      </c>
      <c r="M511" s="329">
        <v>46.65</v>
      </c>
      <c r="N511" s="329">
        <v>48.016666666666659</v>
      </c>
      <c r="O511" s="329">
        <v>2.2666666666666666</v>
      </c>
      <c r="P511" s="329">
        <v>4.2166666666666668</v>
      </c>
    </row>
    <row r="512" spans="1:16">
      <c r="A512" s="331">
        <v>40538</v>
      </c>
      <c r="B512" s="329">
        <v>46.1</v>
      </c>
      <c r="C512" s="329">
        <f t="shared" si="32"/>
        <v>46.65</v>
      </c>
      <c r="D512" s="329">
        <v>47.7</v>
      </c>
      <c r="E512" s="329">
        <f t="shared" si="29"/>
        <v>48.016666666666659</v>
      </c>
      <c r="F512" s="329">
        <v>1.9</v>
      </c>
      <c r="G512" s="329">
        <f t="shared" si="30"/>
        <v>2.2666666666666666</v>
      </c>
      <c r="H512" s="329">
        <v>3.8</v>
      </c>
      <c r="I512" s="329">
        <f t="shared" si="31"/>
        <v>4.2166666666666668</v>
      </c>
      <c r="L512" s="331">
        <v>40538</v>
      </c>
      <c r="M512" s="329">
        <v>46.65</v>
      </c>
      <c r="N512" s="329">
        <v>48.016666666666659</v>
      </c>
      <c r="O512" s="329">
        <v>2.2666666666666666</v>
      </c>
      <c r="P512" s="329">
        <v>4.2166666666666668</v>
      </c>
    </row>
    <row r="513" spans="1:16">
      <c r="A513" s="331">
        <v>40539</v>
      </c>
      <c r="B513" s="329">
        <v>46.1</v>
      </c>
      <c r="C513" s="329">
        <f t="shared" si="32"/>
        <v>46.4</v>
      </c>
      <c r="D513" s="329">
        <v>47.7</v>
      </c>
      <c r="E513" s="329">
        <f t="shared" si="29"/>
        <v>47.616666666666674</v>
      </c>
      <c r="F513" s="329">
        <v>1.8</v>
      </c>
      <c r="G513" s="329">
        <f t="shared" si="30"/>
        <v>1.6666666666666663</v>
      </c>
      <c r="H513" s="329">
        <v>3.7</v>
      </c>
      <c r="I513" s="329">
        <f t="shared" si="31"/>
        <v>3.4666666666666668</v>
      </c>
      <c r="L513" s="331">
        <v>40539</v>
      </c>
      <c r="M513" s="329">
        <v>46.4</v>
      </c>
      <c r="N513" s="329">
        <v>47.616666666666674</v>
      </c>
      <c r="O513" s="329">
        <v>1.6666666666666663</v>
      </c>
      <c r="P513" s="329">
        <v>3.4666666666666668</v>
      </c>
    </row>
    <row r="514" spans="1:16">
      <c r="A514" s="331">
        <v>40539</v>
      </c>
      <c r="B514" s="329">
        <v>46.6</v>
      </c>
      <c r="C514" s="329">
        <f t="shared" si="32"/>
        <v>46.4</v>
      </c>
      <c r="D514" s="329">
        <v>47.6</v>
      </c>
      <c r="E514" s="329">
        <f t="shared" si="29"/>
        <v>47.616666666666674</v>
      </c>
      <c r="F514" s="329">
        <v>1.7</v>
      </c>
      <c r="G514" s="329">
        <f t="shared" si="30"/>
        <v>1.6666666666666663</v>
      </c>
      <c r="H514" s="329">
        <v>3.6</v>
      </c>
      <c r="I514" s="329">
        <f t="shared" si="31"/>
        <v>3.4666666666666668</v>
      </c>
      <c r="L514" s="331">
        <v>40539</v>
      </c>
      <c r="M514" s="329">
        <v>46.4</v>
      </c>
      <c r="N514" s="329">
        <v>47.616666666666674</v>
      </c>
      <c r="O514" s="329">
        <v>1.6666666666666663</v>
      </c>
      <c r="P514" s="329">
        <v>3.4666666666666668</v>
      </c>
    </row>
    <row r="515" spans="1:16">
      <c r="A515" s="331">
        <v>40539</v>
      </c>
      <c r="B515" s="329">
        <v>46.8</v>
      </c>
      <c r="C515" s="329">
        <f t="shared" si="32"/>
        <v>46.4</v>
      </c>
      <c r="D515" s="329">
        <v>47.6</v>
      </c>
      <c r="E515" s="329">
        <f t="shared" si="29"/>
        <v>47.616666666666674</v>
      </c>
      <c r="F515" s="329">
        <v>1.6</v>
      </c>
      <c r="G515" s="329">
        <f t="shared" si="30"/>
        <v>1.6666666666666663</v>
      </c>
      <c r="H515" s="329">
        <v>3.5</v>
      </c>
      <c r="I515" s="329">
        <f t="shared" si="31"/>
        <v>3.4666666666666668</v>
      </c>
      <c r="L515" s="331">
        <v>40539</v>
      </c>
      <c r="M515" s="329">
        <v>46.4</v>
      </c>
      <c r="N515" s="329">
        <v>47.616666666666674</v>
      </c>
      <c r="O515" s="329">
        <v>1.6666666666666663</v>
      </c>
      <c r="P515" s="329">
        <v>3.4666666666666668</v>
      </c>
    </row>
    <row r="516" spans="1:16">
      <c r="A516" s="331">
        <v>40539</v>
      </c>
      <c r="B516" s="329">
        <v>46.5</v>
      </c>
      <c r="C516" s="329">
        <f t="shared" si="32"/>
        <v>46.4</v>
      </c>
      <c r="D516" s="329">
        <v>47.7</v>
      </c>
      <c r="E516" s="329">
        <f t="shared" si="29"/>
        <v>47.616666666666674</v>
      </c>
      <c r="F516" s="329">
        <v>1.6</v>
      </c>
      <c r="G516" s="329">
        <f t="shared" si="30"/>
        <v>1.6666666666666663</v>
      </c>
      <c r="H516" s="329">
        <v>3.4</v>
      </c>
      <c r="I516" s="329">
        <f t="shared" si="31"/>
        <v>3.4666666666666668</v>
      </c>
      <c r="L516" s="331">
        <v>40539</v>
      </c>
      <c r="M516" s="329">
        <v>46.4</v>
      </c>
      <c r="N516" s="329">
        <v>47.616666666666674</v>
      </c>
      <c r="O516" s="329">
        <v>1.6666666666666663</v>
      </c>
      <c r="P516" s="329">
        <v>3.4666666666666668</v>
      </c>
    </row>
    <row r="517" spans="1:16">
      <c r="A517" s="331">
        <v>40539</v>
      </c>
      <c r="B517" s="329">
        <v>46.4</v>
      </c>
      <c r="C517" s="329">
        <f t="shared" si="32"/>
        <v>46.4</v>
      </c>
      <c r="D517" s="329">
        <v>47.6</v>
      </c>
      <c r="E517" s="329">
        <f t="shared" si="29"/>
        <v>47.616666666666674</v>
      </c>
      <c r="F517" s="329">
        <v>1.7</v>
      </c>
      <c r="G517" s="329">
        <f t="shared" si="30"/>
        <v>1.6666666666666663</v>
      </c>
      <c r="H517" s="329">
        <v>3.3</v>
      </c>
      <c r="I517" s="329">
        <f t="shared" si="31"/>
        <v>3.4666666666666668</v>
      </c>
      <c r="L517" s="331">
        <v>40539</v>
      </c>
      <c r="M517" s="329">
        <v>46.4</v>
      </c>
      <c r="N517" s="329">
        <v>47.616666666666674</v>
      </c>
      <c r="O517" s="329">
        <v>1.6666666666666663</v>
      </c>
      <c r="P517" s="329">
        <v>3.4666666666666668</v>
      </c>
    </row>
    <row r="518" spans="1:16">
      <c r="A518" s="331">
        <v>40539</v>
      </c>
      <c r="B518" s="329">
        <v>46</v>
      </c>
      <c r="C518" s="329">
        <f t="shared" si="32"/>
        <v>46.4</v>
      </c>
      <c r="D518" s="329">
        <v>47.5</v>
      </c>
      <c r="E518" s="329">
        <f t="shared" si="29"/>
        <v>47.616666666666674</v>
      </c>
      <c r="F518" s="329">
        <v>1.6</v>
      </c>
      <c r="G518" s="329">
        <f t="shared" si="30"/>
        <v>1.6666666666666663</v>
      </c>
      <c r="H518" s="329">
        <v>3.3</v>
      </c>
      <c r="I518" s="329">
        <f t="shared" si="31"/>
        <v>3.4666666666666668</v>
      </c>
      <c r="L518" s="331">
        <v>40539</v>
      </c>
      <c r="M518" s="329">
        <v>46.4</v>
      </c>
      <c r="N518" s="329">
        <v>47.616666666666674</v>
      </c>
      <c r="O518" s="329">
        <v>1.6666666666666663</v>
      </c>
      <c r="P518" s="329">
        <v>3.4666666666666668</v>
      </c>
    </row>
    <row r="519" spans="1:16">
      <c r="A519" s="331">
        <v>40540</v>
      </c>
      <c r="B519" s="329">
        <v>46</v>
      </c>
      <c r="C519" s="329">
        <f t="shared" si="32"/>
        <v>45.900000000000006</v>
      </c>
      <c r="D519" s="329">
        <v>47.4</v>
      </c>
      <c r="E519" s="329">
        <f t="shared" si="29"/>
        <v>47.466666666666669</v>
      </c>
      <c r="F519" s="329">
        <v>1.6</v>
      </c>
      <c r="G519" s="329">
        <f t="shared" si="30"/>
        <v>2.4666666666666668</v>
      </c>
      <c r="H519" s="329">
        <v>3.2</v>
      </c>
      <c r="I519" s="329">
        <f t="shared" si="31"/>
        <v>3.2833333333333337</v>
      </c>
      <c r="L519" s="331">
        <v>40540</v>
      </c>
      <c r="M519" s="329">
        <v>45.900000000000006</v>
      </c>
      <c r="N519" s="329">
        <v>47.466666666666669</v>
      </c>
      <c r="O519" s="329">
        <v>2.4666666666666668</v>
      </c>
      <c r="P519" s="329">
        <v>3.2833333333333337</v>
      </c>
    </row>
    <row r="520" spans="1:16">
      <c r="A520" s="331">
        <v>40540</v>
      </c>
      <c r="B520" s="329">
        <v>46</v>
      </c>
      <c r="C520" s="329">
        <f t="shared" si="32"/>
        <v>45.900000000000006</v>
      </c>
      <c r="D520" s="329">
        <v>47.3</v>
      </c>
      <c r="E520" s="329">
        <f t="shared" si="29"/>
        <v>47.466666666666669</v>
      </c>
      <c r="F520" s="329">
        <v>1.7</v>
      </c>
      <c r="G520" s="329">
        <f t="shared" si="30"/>
        <v>2.4666666666666668</v>
      </c>
      <c r="H520" s="329">
        <v>3.2</v>
      </c>
      <c r="I520" s="329">
        <f t="shared" si="31"/>
        <v>3.2833333333333337</v>
      </c>
      <c r="L520" s="331">
        <v>40540</v>
      </c>
      <c r="M520" s="329">
        <v>45.900000000000006</v>
      </c>
      <c r="N520" s="329">
        <v>47.466666666666669</v>
      </c>
      <c r="O520" s="329">
        <v>2.4666666666666668</v>
      </c>
      <c r="P520" s="329">
        <v>3.2833333333333337</v>
      </c>
    </row>
    <row r="521" spans="1:16">
      <c r="A521" s="331">
        <v>40540</v>
      </c>
      <c r="B521" s="329">
        <v>45.9</v>
      </c>
      <c r="C521" s="329">
        <f t="shared" si="32"/>
        <v>45.900000000000006</v>
      </c>
      <c r="D521" s="329">
        <v>47.3</v>
      </c>
      <c r="E521" s="329">
        <f t="shared" si="29"/>
        <v>47.466666666666669</v>
      </c>
      <c r="F521" s="329">
        <v>1.8</v>
      </c>
      <c r="G521" s="329">
        <f t="shared" si="30"/>
        <v>2.4666666666666668</v>
      </c>
      <c r="H521" s="329">
        <v>3.2</v>
      </c>
      <c r="I521" s="329">
        <f t="shared" si="31"/>
        <v>3.2833333333333337</v>
      </c>
      <c r="L521" s="331">
        <v>40540</v>
      </c>
      <c r="M521" s="329">
        <v>45.900000000000006</v>
      </c>
      <c r="N521" s="329">
        <v>47.466666666666669</v>
      </c>
      <c r="O521" s="329">
        <v>2.4666666666666668</v>
      </c>
      <c r="P521" s="329">
        <v>3.2833333333333337</v>
      </c>
    </row>
    <row r="522" spans="1:16">
      <c r="A522" s="331">
        <v>40540</v>
      </c>
      <c r="B522" s="329">
        <v>45.9</v>
      </c>
      <c r="C522" s="329">
        <f t="shared" si="32"/>
        <v>45.900000000000006</v>
      </c>
      <c r="D522" s="329">
        <v>47.4</v>
      </c>
      <c r="E522" s="329">
        <f t="shared" si="29"/>
        <v>47.466666666666669</v>
      </c>
      <c r="F522" s="329">
        <v>2.2000000000000002</v>
      </c>
      <c r="G522" s="329">
        <f t="shared" si="30"/>
        <v>2.4666666666666668</v>
      </c>
      <c r="H522" s="329">
        <v>3.2</v>
      </c>
      <c r="I522" s="329">
        <f t="shared" si="31"/>
        <v>3.2833333333333337</v>
      </c>
      <c r="L522" s="331">
        <v>40540</v>
      </c>
      <c r="M522" s="329">
        <v>45.900000000000006</v>
      </c>
      <c r="N522" s="329">
        <v>47.466666666666669</v>
      </c>
      <c r="O522" s="329">
        <v>2.4666666666666668</v>
      </c>
      <c r="P522" s="329">
        <v>3.2833333333333337</v>
      </c>
    </row>
    <row r="523" spans="1:16">
      <c r="A523" s="331">
        <v>40540</v>
      </c>
      <c r="B523" s="329">
        <v>45.8</v>
      </c>
      <c r="C523" s="329">
        <f t="shared" si="32"/>
        <v>45.900000000000006</v>
      </c>
      <c r="D523" s="329">
        <v>47.5</v>
      </c>
      <c r="E523" s="329">
        <f t="shared" si="29"/>
        <v>47.466666666666669</v>
      </c>
      <c r="F523" s="329">
        <v>3.6</v>
      </c>
      <c r="G523" s="329">
        <f t="shared" si="30"/>
        <v>2.4666666666666668</v>
      </c>
      <c r="H523" s="329">
        <v>3.3</v>
      </c>
      <c r="I523" s="329">
        <f t="shared" si="31"/>
        <v>3.2833333333333337</v>
      </c>
      <c r="L523" s="331">
        <v>40540</v>
      </c>
      <c r="M523" s="329">
        <v>45.900000000000006</v>
      </c>
      <c r="N523" s="329">
        <v>47.466666666666669</v>
      </c>
      <c r="O523" s="329">
        <v>2.4666666666666668</v>
      </c>
      <c r="P523" s="329">
        <v>3.2833333333333337</v>
      </c>
    </row>
    <row r="524" spans="1:16">
      <c r="A524" s="331">
        <v>40540</v>
      </c>
      <c r="B524" s="329">
        <v>45.8</v>
      </c>
      <c r="C524" s="329">
        <f t="shared" si="32"/>
        <v>45.900000000000006</v>
      </c>
      <c r="D524" s="329">
        <v>47.9</v>
      </c>
      <c r="E524" s="329">
        <f t="shared" si="29"/>
        <v>47.466666666666669</v>
      </c>
      <c r="F524" s="329">
        <v>3.9</v>
      </c>
      <c r="G524" s="329">
        <f t="shared" si="30"/>
        <v>2.4666666666666668</v>
      </c>
      <c r="H524" s="329">
        <v>3.6</v>
      </c>
      <c r="I524" s="329">
        <f t="shared" si="31"/>
        <v>3.2833333333333337</v>
      </c>
      <c r="L524" s="331">
        <v>40540</v>
      </c>
      <c r="M524" s="329">
        <v>45.900000000000006</v>
      </c>
      <c r="N524" s="329">
        <v>47.466666666666669</v>
      </c>
      <c r="O524" s="329">
        <v>2.4666666666666668</v>
      </c>
      <c r="P524" s="329">
        <v>3.2833333333333337</v>
      </c>
    </row>
    <row r="525" spans="1:16">
      <c r="A525" s="331">
        <v>40541</v>
      </c>
      <c r="B525" s="329">
        <v>45.8</v>
      </c>
      <c r="C525" s="329">
        <f t="shared" si="32"/>
        <v>45.68333333333333</v>
      </c>
      <c r="D525" s="329">
        <v>46.4</v>
      </c>
      <c r="E525" s="329">
        <f t="shared" si="29"/>
        <v>46.29999999999999</v>
      </c>
      <c r="F525" s="329">
        <v>3.7</v>
      </c>
      <c r="G525" s="329">
        <f t="shared" si="30"/>
        <v>4.5666666666666664</v>
      </c>
      <c r="H525" s="329">
        <v>3.9</v>
      </c>
      <c r="I525" s="329">
        <f t="shared" si="31"/>
        <v>4.2333333333333334</v>
      </c>
      <c r="L525" s="331">
        <v>40541</v>
      </c>
      <c r="M525" s="329">
        <v>45.68333333333333</v>
      </c>
      <c r="N525" s="329">
        <v>46.29999999999999</v>
      </c>
      <c r="O525" s="329">
        <v>4.5666666666666664</v>
      </c>
      <c r="P525" s="329">
        <v>4.2333333333333334</v>
      </c>
    </row>
    <row r="526" spans="1:16">
      <c r="A526" s="331">
        <v>40541</v>
      </c>
      <c r="B526" s="329">
        <v>45.7</v>
      </c>
      <c r="C526" s="329">
        <f t="shared" si="32"/>
        <v>45.68333333333333</v>
      </c>
      <c r="D526" s="329">
        <v>46.4</v>
      </c>
      <c r="E526" s="329">
        <f t="shared" si="29"/>
        <v>46.29999999999999</v>
      </c>
      <c r="F526" s="329">
        <v>3.8</v>
      </c>
      <c r="G526" s="329">
        <f t="shared" si="30"/>
        <v>4.5666666666666664</v>
      </c>
      <c r="H526" s="329">
        <v>4</v>
      </c>
      <c r="I526" s="329">
        <f t="shared" si="31"/>
        <v>4.2333333333333334</v>
      </c>
      <c r="L526" s="331">
        <v>40541</v>
      </c>
      <c r="M526" s="329">
        <v>45.68333333333333</v>
      </c>
      <c r="N526" s="329">
        <v>46.29999999999999</v>
      </c>
      <c r="O526" s="329">
        <v>4.5666666666666664</v>
      </c>
      <c r="P526" s="329">
        <v>4.2333333333333334</v>
      </c>
    </row>
    <row r="527" spans="1:16">
      <c r="A527" s="331">
        <v>40541</v>
      </c>
      <c r="B527" s="329">
        <v>45.7</v>
      </c>
      <c r="C527" s="329">
        <f t="shared" si="32"/>
        <v>45.68333333333333</v>
      </c>
      <c r="D527" s="329">
        <v>46.3</v>
      </c>
      <c r="E527" s="329">
        <f t="shared" si="29"/>
        <v>46.29999999999999</v>
      </c>
      <c r="F527" s="329">
        <v>4</v>
      </c>
      <c r="G527" s="329">
        <f t="shared" si="30"/>
        <v>4.5666666666666664</v>
      </c>
      <c r="H527" s="329">
        <v>4.0999999999999996</v>
      </c>
      <c r="I527" s="329">
        <f t="shared" si="31"/>
        <v>4.2333333333333334</v>
      </c>
      <c r="L527" s="331">
        <v>40541</v>
      </c>
      <c r="M527" s="329">
        <v>45.68333333333333</v>
      </c>
      <c r="N527" s="329">
        <v>46.29999999999999</v>
      </c>
      <c r="O527" s="329">
        <v>4.5666666666666664</v>
      </c>
      <c r="P527" s="329">
        <v>4.2333333333333334</v>
      </c>
    </row>
    <row r="528" spans="1:16">
      <c r="A528" s="331">
        <v>40541</v>
      </c>
      <c r="B528" s="329">
        <v>45.7</v>
      </c>
      <c r="C528" s="329">
        <f t="shared" si="32"/>
        <v>45.68333333333333</v>
      </c>
      <c r="D528" s="329">
        <v>46.3</v>
      </c>
      <c r="E528" s="329">
        <f t="shared" si="29"/>
        <v>46.29999999999999</v>
      </c>
      <c r="F528" s="329">
        <v>4.5</v>
      </c>
      <c r="G528" s="329">
        <f t="shared" si="30"/>
        <v>4.5666666666666664</v>
      </c>
      <c r="H528" s="329">
        <v>4.2</v>
      </c>
      <c r="I528" s="329">
        <f t="shared" si="31"/>
        <v>4.2333333333333334</v>
      </c>
      <c r="L528" s="331">
        <v>40541</v>
      </c>
      <c r="M528" s="329">
        <v>45.68333333333333</v>
      </c>
      <c r="N528" s="329">
        <v>46.29999999999999</v>
      </c>
      <c r="O528" s="329">
        <v>4.5666666666666664</v>
      </c>
      <c r="P528" s="329">
        <v>4.2333333333333334</v>
      </c>
    </row>
    <row r="529" spans="1:16">
      <c r="A529" s="331">
        <v>40541</v>
      </c>
      <c r="B529" s="329">
        <v>45.6</v>
      </c>
      <c r="C529" s="329">
        <f t="shared" si="32"/>
        <v>45.68333333333333</v>
      </c>
      <c r="D529" s="329">
        <v>46.2</v>
      </c>
      <c r="E529" s="329">
        <f t="shared" si="29"/>
        <v>46.29999999999999</v>
      </c>
      <c r="F529" s="329">
        <v>5.5</v>
      </c>
      <c r="G529" s="329">
        <f t="shared" si="30"/>
        <v>4.5666666666666664</v>
      </c>
      <c r="H529" s="329">
        <v>4.4000000000000004</v>
      </c>
      <c r="I529" s="329">
        <f t="shared" si="31"/>
        <v>4.2333333333333334</v>
      </c>
      <c r="L529" s="331">
        <v>40541</v>
      </c>
      <c r="M529" s="329">
        <v>45.68333333333333</v>
      </c>
      <c r="N529" s="329">
        <v>46.29999999999999</v>
      </c>
      <c r="O529" s="329">
        <v>4.5666666666666664</v>
      </c>
      <c r="P529" s="329">
        <v>4.2333333333333334</v>
      </c>
    </row>
    <row r="530" spans="1:16">
      <c r="A530" s="331">
        <v>40541</v>
      </c>
      <c r="B530" s="329">
        <v>45.6</v>
      </c>
      <c r="C530" s="329">
        <f t="shared" si="32"/>
        <v>45.68333333333333</v>
      </c>
      <c r="D530" s="329">
        <v>46.2</v>
      </c>
      <c r="E530" s="329">
        <f t="shared" si="29"/>
        <v>46.29999999999999</v>
      </c>
      <c r="F530" s="329">
        <v>5.9</v>
      </c>
      <c r="G530" s="329">
        <f t="shared" si="30"/>
        <v>4.5666666666666664</v>
      </c>
      <c r="H530" s="329">
        <v>4.8</v>
      </c>
      <c r="I530" s="329">
        <f t="shared" si="31"/>
        <v>4.2333333333333334</v>
      </c>
      <c r="L530" s="331">
        <v>40541</v>
      </c>
      <c r="M530" s="329">
        <v>45.68333333333333</v>
      </c>
      <c r="N530" s="329">
        <v>46.29999999999999</v>
      </c>
      <c r="O530" s="329">
        <v>4.5666666666666664</v>
      </c>
      <c r="P530" s="329">
        <v>4.2333333333333334</v>
      </c>
    </row>
    <row r="531" spans="1:16">
      <c r="A531" s="331">
        <v>40542</v>
      </c>
      <c r="B531" s="329">
        <v>45.6</v>
      </c>
      <c r="C531" s="329">
        <f t="shared" si="32"/>
        <v>45.483333333333327</v>
      </c>
      <c r="D531" s="329">
        <v>46.5</v>
      </c>
      <c r="E531" s="329">
        <f t="shared" si="29"/>
        <v>46.5</v>
      </c>
      <c r="F531" s="329">
        <v>5.9</v>
      </c>
      <c r="G531" s="329">
        <f t="shared" si="30"/>
        <v>6.4499999999999993</v>
      </c>
      <c r="H531" s="329">
        <v>5</v>
      </c>
      <c r="I531" s="329">
        <f t="shared" si="31"/>
        <v>5.4666666666666659</v>
      </c>
      <c r="L531" s="331">
        <v>40542</v>
      </c>
      <c r="M531" s="329">
        <v>45.483333333333327</v>
      </c>
      <c r="N531" s="329">
        <v>46.5</v>
      </c>
      <c r="O531" s="329">
        <v>6.4499999999999993</v>
      </c>
      <c r="P531" s="329">
        <v>5.4666666666666659</v>
      </c>
    </row>
    <row r="532" spans="1:16">
      <c r="A532" s="331">
        <v>40542</v>
      </c>
      <c r="B532" s="329">
        <v>45.5</v>
      </c>
      <c r="C532" s="329">
        <f t="shared" si="32"/>
        <v>45.483333333333327</v>
      </c>
      <c r="D532" s="329">
        <v>46.5</v>
      </c>
      <c r="E532" s="329">
        <f t="shared" si="29"/>
        <v>46.5</v>
      </c>
      <c r="F532" s="329">
        <v>6</v>
      </c>
      <c r="G532" s="329">
        <f t="shared" si="30"/>
        <v>6.4499999999999993</v>
      </c>
      <c r="H532" s="329">
        <v>5.2</v>
      </c>
      <c r="I532" s="329">
        <f t="shared" si="31"/>
        <v>5.4666666666666659</v>
      </c>
      <c r="L532" s="331">
        <v>40542</v>
      </c>
      <c r="M532" s="329">
        <v>45.483333333333327</v>
      </c>
      <c r="N532" s="329">
        <v>46.5</v>
      </c>
      <c r="O532" s="329">
        <v>6.4499999999999993</v>
      </c>
      <c r="P532" s="329">
        <v>5.4666666666666659</v>
      </c>
    </row>
    <row r="533" spans="1:16">
      <c r="A533" s="331">
        <v>40542</v>
      </c>
      <c r="B533" s="329">
        <v>45.5</v>
      </c>
      <c r="C533" s="329">
        <f t="shared" si="32"/>
        <v>45.483333333333327</v>
      </c>
      <c r="D533" s="329">
        <v>46.5</v>
      </c>
      <c r="E533" s="329">
        <f t="shared" si="29"/>
        <v>46.5</v>
      </c>
      <c r="F533" s="329">
        <v>6.1</v>
      </c>
      <c r="G533" s="329">
        <f t="shared" si="30"/>
        <v>6.4499999999999993</v>
      </c>
      <c r="H533" s="329">
        <v>5.4</v>
      </c>
      <c r="I533" s="329">
        <f t="shared" si="31"/>
        <v>5.4666666666666659</v>
      </c>
      <c r="L533" s="331">
        <v>40542</v>
      </c>
      <c r="M533" s="329">
        <v>45.483333333333327</v>
      </c>
      <c r="N533" s="329">
        <v>46.5</v>
      </c>
      <c r="O533" s="329">
        <v>6.4499999999999993</v>
      </c>
      <c r="P533" s="329">
        <v>5.4666666666666659</v>
      </c>
    </row>
    <row r="534" spans="1:16">
      <c r="A534" s="331">
        <v>40542</v>
      </c>
      <c r="B534" s="329">
        <v>45.5</v>
      </c>
      <c r="C534" s="329">
        <f t="shared" si="32"/>
        <v>45.483333333333327</v>
      </c>
      <c r="D534" s="329">
        <v>46.5</v>
      </c>
      <c r="E534" s="329">
        <f t="shared" si="29"/>
        <v>46.5</v>
      </c>
      <c r="F534" s="329">
        <v>6.3</v>
      </c>
      <c r="G534" s="329">
        <f t="shared" si="30"/>
        <v>6.4499999999999993</v>
      </c>
      <c r="H534" s="329">
        <v>5.5</v>
      </c>
      <c r="I534" s="329">
        <f t="shared" si="31"/>
        <v>5.4666666666666659</v>
      </c>
      <c r="L534" s="331">
        <v>40542</v>
      </c>
      <c r="M534" s="329">
        <v>45.483333333333327</v>
      </c>
      <c r="N534" s="329">
        <v>46.5</v>
      </c>
      <c r="O534" s="329">
        <v>6.4499999999999993</v>
      </c>
      <c r="P534" s="329">
        <v>5.4666666666666659</v>
      </c>
    </row>
    <row r="535" spans="1:16">
      <c r="A535" s="331">
        <v>40542</v>
      </c>
      <c r="B535" s="329">
        <v>45.4</v>
      </c>
      <c r="C535" s="329">
        <f t="shared" si="32"/>
        <v>45.483333333333327</v>
      </c>
      <c r="D535" s="329">
        <v>46.5</v>
      </c>
      <c r="E535" s="329">
        <f t="shared" si="29"/>
        <v>46.5</v>
      </c>
      <c r="F535" s="329">
        <v>7.1</v>
      </c>
      <c r="G535" s="329">
        <f t="shared" si="30"/>
        <v>6.4499999999999993</v>
      </c>
      <c r="H535" s="329">
        <v>5.7</v>
      </c>
      <c r="I535" s="329">
        <f t="shared" si="31"/>
        <v>5.4666666666666659</v>
      </c>
      <c r="L535" s="331">
        <v>40542</v>
      </c>
      <c r="M535" s="329">
        <v>45.483333333333327</v>
      </c>
      <c r="N535" s="329">
        <v>46.5</v>
      </c>
      <c r="O535" s="329">
        <v>6.4499999999999993</v>
      </c>
      <c r="P535" s="329">
        <v>5.4666666666666659</v>
      </c>
    </row>
    <row r="536" spans="1:16">
      <c r="A536" s="331">
        <v>40542</v>
      </c>
      <c r="B536" s="329">
        <v>45.4</v>
      </c>
      <c r="C536" s="329">
        <f t="shared" si="32"/>
        <v>45.483333333333327</v>
      </c>
      <c r="D536" s="329">
        <v>46.5</v>
      </c>
      <c r="E536" s="329">
        <f t="shared" si="29"/>
        <v>46.5</v>
      </c>
      <c r="F536" s="329">
        <v>7.3</v>
      </c>
      <c r="G536" s="329">
        <f t="shared" si="30"/>
        <v>6.4499999999999993</v>
      </c>
      <c r="H536" s="329">
        <v>6</v>
      </c>
      <c r="I536" s="329">
        <f t="shared" si="31"/>
        <v>5.4666666666666659</v>
      </c>
      <c r="L536" s="331">
        <v>40542</v>
      </c>
      <c r="M536" s="329">
        <v>45.483333333333327</v>
      </c>
      <c r="N536" s="329">
        <v>46.5</v>
      </c>
      <c r="O536" s="329">
        <v>6.4499999999999993</v>
      </c>
      <c r="P536" s="329">
        <v>5.4666666666666659</v>
      </c>
    </row>
    <row r="537" spans="1:16">
      <c r="A537" s="331">
        <v>40543</v>
      </c>
      <c r="B537" s="329">
        <v>45.4</v>
      </c>
      <c r="C537" s="329">
        <f t="shared" si="32"/>
        <v>45.416666666666664</v>
      </c>
      <c r="D537" s="329">
        <v>46.5</v>
      </c>
      <c r="E537" s="329">
        <f t="shared" si="29"/>
        <v>46.449999999999996</v>
      </c>
      <c r="F537" s="329">
        <v>7.3</v>
      </c>
      <c r="G537" s="329">
        <f t="shared" si="30"/>
        <v>7.7666666666666657</v>
      </c>
      <c r="H537" s="329">
        <v>6.2</v>
      </c>
      <c r="I537" s="329">
        <f t="shared" si="31"/>
        <v>6.5500000000000007</v>
      </c>
      <c r="L537" s="331">
        <v>40543</v>
      </c>
      <c r="M537" s="329">
        <v>45.416666666666664</v>
      </c>
      <c r="N537" s="329">
        <v>46.449999999999996</v>
      </c>
      <c r="O537" s="329">
        <v>7.7666666666666657</v>
      </c>
      <c r="P537" s="329">
        <v>6.5500000000000007</v>
      </c>
    </row>
    <row r="538" spans="1:16">
      <c r="A538" s="331">
        <v>40543</v>
      </c>
      <c r="B538" s="329">
        <v>45.4</v>
      </c>
      <c r="C538" s="329">
        <f t="shared" si="32"/>
        <v>45.416666666666664</v>
      </c>
      <c r="D538" s="329">
        <v>46.5</v>
      </c>
      <c r="E538" s="329">
        <f t="shared" si="29"/>
        <v>46.449999999999996</v>
      </c>
      <c r="F538" s="329">
        <v>7.5</v>
      </c>
      <c r="G538" s="329">
        <f t="shared" si="30"/>
        <v>7.7666666666666657</v>
      </c>
      <c r="H538" s="329">
        <v>6.3</v>
      </c>
      <c r="I538" s="329">
        <f t="shared" si="31"/>
        <v>6.5500000000000007</v>
      </c>
      <c r="L538" s="331">
        <v>40543</v>
      </c>
      <c r="M538" s="329">
        <v>45.416666666666664</v>
      </c>
      <c r="N538" s="329">
        <v>46.449999999999996</v>
      </c>
      <c r="O538" s="329">
        <v>7.7666666666666657</v>
      </c>
      <c r="P538" s="329">
        <v>6.5500000000000007</v>
      </c>
    </row>
    <row r="539" spans="1:16">
      <c r="A539" s="331">
        <v>40543</v>
      </c>
      <c r="B539" s="329">
        <v>45.3</v>
      </c>
      <c r="C539" s="329">
        <f t="shared" si="32"/>
        <v>45.416666666666664</v>
      </c>
      <c r="D539" s="329">
        <v>46.5</v>
      </c>
      <c r="E539" s="329">
        <f t="shared" si="29"/>
        <v>46.449999999999996</v>
      </c>
      <c r="F539" s="329">
        <v>7.5</v>
      </c>
      <c r="G539" s="329">
        <f t="shared" si="30"/>
        <v>7.7666666666666657</v>
      </c>
      <c r="H539" s="329">
        <v>6.5</v>
      </c>
      <c r="I539" s="329">
        <f t="shared" si="31"/>
        <v>6.5500000000000007</v>
      </c>
      <c r="L539" s="331">
        <v>40543</v>
      </c>
      <c r="M539" s="329">
        <v>45.416666666666664</v>
      </c>
      <c r="N539" s="329">
        <v>46.449999999999996</v>
      </c>
      <c r="O539" s="329">
        <v>7.7666666666666657</v>
      </c>
      <c r="P539" s="329">
        <v>6.5500000000000007</v>
      </c>
    </row>
    <row r="540" spans="1:16">
      <c r="A540" s="331">
        <v>40543</v>
      </c>
      <c r="B540" s="329">
        <v>45.8</v>
      </c>
      <c r="C540" s="329">
        <f t="shared" si="32"/>
        <v>45.416666666666664</v>
      </c>
      <c r="D540" s="329">
        <v>46.4</v>
      </c>
      <c r="E540" s="329">
        <f t="shared" si="29"/>
        <v>46.449999999999996</v>
      </c>
      <c r="F540" s="329">
        <v>7.6</v>
      </c>
      <c r="G540" s="329">
        <f t="shared" si="30"/>
        <v>7.7666666666666657</v>
      </c>
      <c r="H540" s="329">
        <v>6.6</v>
      </c>
      <c r="I540" s="329">
        <f t="shared" si="31"/>
        <v>6.5500000000000007</v>
      </c>
      <c r="L540" s="331">
        <v>40543</v>
      </c>
      <c r="M540" s="329">
        <v>45.416666666666664</v>
      </c>
      <c r="N540" s="329">
        <v>46.449999999999996</v>
      </c>
      <c r="O540" s="329">
        <v>7.7666666666666657</v>
      </c>
      <c r="P540" s="329">
        <v>6.5500000000000007</v>
      </c>
    </row>
    <row r="541" spans="1:16">
      <c r="A541" s="331">
        <v>40543</v>
      </c>
      <c r="B541" s="329">
        <v>45.3</v>
      </c>
      <c r="C541" s="329">
        <f t="shared" si="32"/>
        <v>45.416666666666664</v>
      </c>
      <c r="D541" s="329">
        <v>46.4</v>
      </c>
      <c r="E541" s="329">
        <f t="shared" si="29"/>
        <v>46.449999999999996</v>
      </c>
      <c r="F541" s="329">
        <v>8.4</v>
      </c>
      <c r="G541" s="329">
        <f t="shared" si="30"/>
        <v>7.7666666666666657</v>
      </c>
      <c r="H541" s="329">
        <v>6.7</v>
      </c>
      <c r="I541" s="329">
        <f t="shared" si="31"/>
        <v>6.5500000000000007</v>
      </c>
      <c r="L541" s="331">
        <v>40543</v>
      </c>
      <c r="M541" s="329">
        <v>45.416666666666664</v>
      </c>
      <c r="N541" s="329">
        <v>46.449999999999996</v>
      </c>
      <c r="O541" s="329">
        <v>7.7666666666666657</v>
      </c>
      <c r="P541" s="329">
        <v>6.5500000000000007</v>
      </c>
    </row>
    <row r="542" spans="1:16">
      <c r="A542" s="331">
        <v>40543</v>
      </c>
      <c r="B542" s="329">
        <v>45.3</v>
      </c>
      <c r="C542" s="329">
        <f t="shared" si="32"/>
        <v>45.416666666666664</v>
      </c>
      <c r="D542" s="329">
        <v>46.4</v>
      </c>
      <c r="E542" s="329">
        <f t="shared" si="29"/>
        <v>46.449999999999996</v>
      </c>
      <c r="F542" s="329">
        <v>8.3000000000000007</v>
      </c>
      <c r="G542" s="329">
        <f t="shared" si="30"/>
        <v>7.7666666666666657</v>
      </c>
      <c r="H542" s="329">
        <v>7</v>
      </c>
      <c r="I542" s="329">
        <f t="shared" si="31"/>
        <v>6.5500000000000007</v>
      </c>
      <c r="L542" s="331">
        <v>40543</v>
      </c>
      <c r="M542" s="329">
        <v>45.416666666666664</v>
      </c>
      <c r="N542" s="329">
        <v>46.449999999999996</v>
      </c>
      <c r="O542" s="329">
        <v>7.7666666666666657</v>
      </c>
      <c r="P542" s="329">
        <v>6.5500000000000007</v>
      </c>
    </row>
    <row r="543" spans="1:16">
      <c r="A543" s="331">
        <v>40544</v>
      </c>
      <c r="B543" s="329">
        <v>45.3</v>
      </c>
      <c r="C543" s="329">
        <f t="shared" si="32"/>
        <v>45.433333333333337</v>
      </c>
      <c r="D543" s="329">
        <v>46.4</v>
      </c>
      <c r="E543" s="329">
        <f t="shared" si="29"/>
        <v>46.333333333333336</v>
      </c>
      <c r="F543" s="329">
        <v>7.6</v>
      </c>
      <c r="G543" s="329">
        <f t="shared" si="30"/>
        <v>6.8833333333333329</v>
      </c>
      <c r="H543" s="329">
        <v>7.1</v>
      </c>
      <c r="I543" s="329">
        <f t="shared" si="31"/>
        <v>6.8833333333333337</v>
      </c>
      <c r="L543" s="331">
        <v>40544</v>
      </c>
      <c r="M543" s="329">
        <v>45.433333333333337</v>
      </c>
      <c r="N543" s="329">
        <v>46.333333333333336</v>
      </c>
      <c r="O543" s="329">
        <v>6.8833333333333329</v>
      </c>
      <c r="P543" s="329">
        <v>6.8833333333333337</v>
      </c>
    </row>
    <row r="544" spans="1:16">
      <c r="A544" s="331">
        <v>40544</v>
      </c>
      <c r="B544" s="329">
        <v>45.3</v>
      </c>
      <c r="C544" s="329">
        <f t="shared" si="32"/>
        <v>45.433333333333337</v>
      </c>
      <c r="D544" s="329">
        <v>46.4</v>
      </c>
      <c r="E544" s="329">
        <f t="shared" si="29"/>
        <v>46.333333333333336</v>
      </c>
      <c r="F544" s="329">
        <v>7</v>
      </c>
      <c r="G544" s="329">
        <f t="shared" si="30"/>
        <v>6.8833333333333329</v>
      </c>
      <c r="H544" s="329">
        <v>7.1</v>
      </c>
      <c r="I544" s="329">
        <f t="shared" si="31"/>
        <v>6.8833333333333337</v>
      </c>
      <c r="L544" s="331">
        <v>40544</v>
      </c>
      <c r="M544" s="329">
        <v>45.433333333333337</v>
      </c>
      <c r="N544" s="329">
        <v>46.333333333333336</v>
      </c>
      <c r="O544" s="329">
        <v>6.8833333333333329</v>
      </c>
      <c r="P544" s="329">
        <v>6.8833333333333337</v>
      </c>
    </row>
    <row r="545" spans="1:16">
      <c r="A545" s="331">
        <v>40544</v>
      </c>
      <c r="B545" s="329">
        <v>45.3</v>
      </c>
      <c r="C545" s="329">
        <f t="shared" si="32"/>
        <v>45.433333333333337</v>
      </c>
      <c r="D545" s="329">
        <v>46.3</v>
      </c>
      <c r="E545" s="329">
        <f t="shared" si="29"/>
        <v>46.333333333333336</v>
      </c>
      <c r="F545" s="329">
        <v>6.5</v>
      </c>
      <c r="G545" s="329">
        <f t="shared" si="30"/>
        <v>6.8833333333333329</v>
      </c>
      <c r="H545" s="329">
        <v>6.9</v>
      </c>
      <c r="I545" s="329">
        <f t="shared" si="31"/>
        <v>6.8833333333333337</v>
      </c>
      <c r="L545" s="331">
        <v>40544</v>
      </c>
      <c r="M545" s="329">
        <v>45.433333333333337</v>
      </c>
      <c r="N545" s="329">
        <v>46.333333333333336</v>
      </c>
      <c r="O545" s="329">
        <v>6.8833333333333329</v>
      </c>
      <c r="P545" s="329">
        <v>6.8833333333333337</v>
      </c>
    </row>
    <row r="546" spans="1:16">
      <c r="A546" s="331">
        <v>40544</v>
      </c>
      <c r="B546" s="329">
        <v>45.4</v>
      </c>
      <c r="C546" s="329">
        <f t="shared" si="32"/>
        <v>45.433333333333337</v>
      </c>
      <c r="D546" s="329">
        <v>46.3</v>
      </c>
      <c r="E546" s="329">
        <f t="shared" ref="E546:E609" si="33">AVERAGEIFS($D$33:$D$1494,$A$33:$A$1494,A546)</f>
        <v>46.333333333333336</v>
      </c>
      <c r="F546" s="329">
        <v>6.4</v>
      </c>
      <c r="G546" s="329">
        <f t="shared" ref="G546:G609" si="34">AVERAGEIFS($F$33:$F$1494,$A$33:$A$1494,A546)</f>
        <v>6.8833333333333329</v>
      </c>
      <c r="H546" s="329">
        <v>6.8</v>
      </c>
      <c r="I546" s="329">
        <f t="shared" ref="I546:I609" si="35">AVERAGEIFS($H$33:$H$1494,$A$33:$A$1494,A546)</f>
        <v>6.8833333333333337</v>
      </c>
      <c r="L546" s="331">
        <v>40544</v>
      </c>
      <c r="M546" s="329">
        <v>45.433333333333337</v>
      </c>
      <c r="N546" s="329">
        <v>46.333333333333336</v>
      </c>
      <c r="O546" s="329">
        <v>6.8833333333333329</v>
      </c>
      <c r="P546" s="329">
        <v>6.8833333333333337</v>
      </c>
    </row>
    <row r="547" spans="1:16">
      <c r="A547" s="331">
        <v>40544</v>
      </c>
      <c r="B547" s="329">
        <v>45.7</v>
      </c>
      <c r="C547" s="329">
        <f t="shared" si="32"/>
        <v>45.433333333333337</v>
      </c>
      <c r="D547" s="329">
        <v>46.3</v>
      </c>
      <c r="E547" s="329">
        <f t="shared" si="33"/>
        <v>46.333333333333336</v>
      </c>
      <c r="F547" s="329">
        <v>6.9</v>
      </c>
      <c r="G547" s="329">
        <f t="shared" si="34"/>
        <v>6.8833333333333329</v>
      </c>
      <c r="H547" s="329">
        <v>6.7</v>
      </c>
      <c r="I547" s="329">
        <f t="shared" si="35"/>
        <v>6.8833333333333337</v>
      </c>
      <c r="L547" s="331">
        <v>40544</v>
      </c>
      <c r="M547" s="329">
        <v>45.433333333333337</v>
      </c>
      <c r="N547" s="329">
        <v>46.333333333333336</v>
      </c>
      <c r="O547" s="329">
        <v>6.8833333333333329</v>
      </c>
      <c r="P547" s="329">
        <v>6.8833333333333337</v>
      </c>
    </row>
    <row r="548" spans="1:16">
      <c r="A548" s="331">
        <v>40544</v>
      </c>
      <c r="B548" s="329">
        <v>45.6</v>
      </c>
      <c r="C548" s="329">
        <f t="shared" si="32"/>
        <v>45.433333333333337</v>
      </c>
      <c r="D548" s="329">
        <v>46.3</v>
      </c>
      <c r="E548" s="329">
        <f t="shared" si="33"/>
        <v>46.333333333333336</v>
      </c>
      <c r="F548" s="329">
        <v>6.9</v>
      </c>
      <c r="G548" s="329">
        <f t="shared" si="34"/>
        <v>6.8833333333333329</v>
      </c>
      <c r="H548" s="329">
        <v>6.7</v>
      </c>
      <c r="I548" s="329">
        <f t="shared" si="35"/>
        <v>6.8833333333333337</v>
      </c>
      <c r="L548" s="331">
        <v>40544</v>
      </c>
      <c r="M548" s="329">
        <v>45.433333333333337</v>
      </c>
      <c r="N548" s="329">
        <v>46.333333333333336</v>
      </c>
      <c r="O548" s="329">
        <v>6.8833333333333329</v>
      </c>
      <c r="P548" s="329">
        <v>6.8833333333333337</v>
      </c>
    </row>
    <row r="549" spans="1:16">
      <c r="A549" s="331">
        <v>40545</v>
      </c>
      <c r="B549" s="329">
        <v>45.7</v>
      </c>
      <c r="C549" s="329">
        <f t="shared" si="32"/>
        <v>45.616666666666667</v>
      </c>
      <c r="D549" s="329">
        <v>46.3</v>
      </c>
      <c r="E549" s="329">
        <f t="shared" si="33"/>
        <v>46.266666666666659</v>
      </c>
      <c r="F549" s="329">
        <v>6.7</v>
      </c>
      <c r="G549" s="329">
        <f t="shared" si="34"/>
        <v>6.2166666666666677</v>
      </c>
      <c r="H549" s="329">
        <v>6.7</v>
      </c>
      <c r="I549" s="329">
        <f t="shared" si="35"/>
        <v>6.583333333333333</v>
      </c>
      <c r="L549" s="331">
        <v>40545</v>
      </c>
      <c r="M549" s="329">
        <v>45.616666666666667</v>
      </c>
      <c r="N549" s="329">
        <v>46.266666666666659</v>
      </c>
      <c r="O549" s="329">
        <v>6.2166666666666677</v>
      </c>
      <c r="P549" s="329">
        <v>6.583333333333333</v>
      </c>
    </row>
    <row r="550" spans="1:16">
      <c r="A550" s="331">
        <v>40545</v>
      </c>
      <c r="B550" s="329">
        <v>45.6</v>
      </c>
      <c r="C550" s="329">
        <f t="shared" si="32"/>
        <v>45.616666666666667</v>
      </c>
      <c r="D550" s="329">
        <v>46.3</v>
      </c>
      <c r="E550" s="329">
        <f t="shared" si="33"/>
        <v>46.266666666666659</v>
      </c>
      <c r="F550" s="329">
        <v>6.8</v>
      </c>
      <c r="G550" s="329">
        <f t="shared" si="34"/>
        <v>6.2166666666666677</v>
      </c>
      <c r="H550" s="329">
        <v>6.7</v>
      </c>
      <c r="I550" s="329">
        <f t="shared" si="35"/>
        <v>6.583333333333333</v>
      </c>
      <c r="L550" s="331">
        <v>40545</v>
      </c>
      <c r="M550" s="329">
        <v>45.616666666666667</v>
      </c>
      <c r="N550" s="329">
        <v>46.266666666666659</v>
      </c>
      <c r="O550" s="329">
        <v>6.2166666666666677</v>
      </c>
      <c r="P550" s="329">
        <v>6.583333333333333</v>
      </c>
    </row>
    <row r="551" spans="1:16">
      <c r="A551" s="331">
        <v>40545</v>
      </c>
      <c r="B551" s="329">
        <v>45.6</v>
      </c>
      <c r="C551" s="329">
        <f t="shared" si="32"/>
        <v>45.616666666666667</v>
      </c>
      <c r="D551" s="329">
        <v>46.3</v>
      </c>
      <c r="E551" s="329">
        <f t="shared" si="33"/>
        <v>46.266666666666659</v>
      </c>
      <c r="F551" s="329">
        <v>6.6</v>
      </c>
      <c r="G551" s="329">
        <f t="shared" si="34"/>
        <v>6.2166666666666677</v>
      </c>
      <c r="H551" s="329">
        <v>6.7</v>
      </c>
      <c r="I551" s="329">
        <f t="shared" si="35"/>
        <v>6.583333333333333</v>
      </c>
      <c r="L551" s="331">
        <v>40545</v>
      </c>
      <c r="M551" s="329">
        <v>45.616666666666667</v>
      </c>
      <c r="N551" s="329">
        <v>46.266666666666659</v>
      </c>
      <c r="O551" s="329">
        <v>6.2166666666666677</v>
      </c>
      <c r="P551" s="329">
        <v>6.583333333333333</v>
      </c>
    </row>
    <row r="552" spans="1:16">
      <c r="A552" s="331">
        <v>40545</v>
      </c>
      <c r="B552" s="329">
        <v>45.6</v>
      </c>
      <c r="C552" s="329">
        <f t="shared" ref="C552:C615" si="36">AVERAGEIFS($B$33:$B$1494,$A$33:$A$1494,A552)</f>
        <v>45.616666666666667</v>
      </c>
      <c r="D552" s="329">
        <v>46.3</v>
      </c>
      <c r="E552" s="329">
        <f t="shared" si="33"/>
        <v>46.266666666666659</v>
      </c>
      <c r="F552" s="329">
        <v>6.1</v>
      </c>
      <c r="G552" s="329">
        <f t="shared" si="34"/>
        <v>6.2166666666666677</v>
      </c>
      <c r="H552" s="329">
        <v>6.6</v>
      </c>
      <c r="I552" s="329">
        <f t="shared" si="35"/>
        <v>6.583333333333333</v>
      </c>
      <c r="L552" s="331">
        <v>40545</v>
      </c>
      <c r="M552" s="329">
        <v>45.616666666666667</v>
      </c>
      <c r="N552" s="329">
        <v>46.266666666666659</v>
      </c>
      <c r="O552" s="329">
        <v>6.2166666666666677</v>
      </c>
      <c r="P552" s="329">
        <v>6.583333333333333</v>
      </c>
    </row>
    <row r="553" spans="1:16">
      <c r="A553" s="331">
        <v>40545</v>
      </c>
      <c r="B553" s="329">
        <v>45.6</v>
      </c>
      <c r="C553" s="329">
        <f t="shared" si="36"/>
        <v>45.616666666666667</v>
      </c>
      <c r="D553" s="329">
        <v>46.2</v>
      </c>
      <c r="E553" s="329">
        <f t="shared" si="33"/>
        <v>46.266666666666659</v>
      </c>
      <c r="F553" s="329">
        <v>5.7</v>
      </c>
      <c r="G553" s="329">
        <f t="shared" si="34"/>
        <v>6.2166666666666677</v>
      </c>
      <c r="H553" s="329">
        <v>6.5</v>
      </c>
      <c r="I553" s="329">
        <f t="shared" si="35"/>
        <v>6.583333333333333</v>
      </c>
      <c r="L553" s="331">
        <v>40545</v>
      </c>
      <c r="M553" s="329">
        <v>45.616666666666667</v>
      </c>
      <c r="N553" s="329">
        <v>46.266666666666659</v>
      </c>
      <c r="O553" s="329">
        <v>6.2166666666666677</v>
      </c>
      <c r="P553" s="329">
        <v>6.583333333333333</v>
      </c>
    </row>
    <row r="554" spans="1:16">
      <c r="A554" s="331">
        <v>40545</v>
      </c>
      <c r="B554" s="329">
        <v>45.6</v>
      </c>
      <c r="C554" s="329">
        <f t="shared" si="36"/>
        <v>45.616666666666667</v>
      </c>
      <c r="D554" s="329">
        <v>46.2</v>
      </c>
      <c r="E554" s="329">
        <f t="shared" si="33"/>
        <v>46.266666666666659</v>
      </c>
      <c r="F554" s="329">
        <v>5.4</v>
      </c>
      <c r="G554" s="329">
        <f t="shared" si="34"/>
        <v>6.2166666666666677</v>
      </c>
      <c r="H554" s="329">
        <v>6.3</v>
      </c>
      <c r="I554" s="329">
        <f t="shared" si="35"/>
        <v>6.583333333333333</v>
      </c>
      <c r="L554" s="331">
        <v>40545</v>
      </c>
      <c r="M554" s="329">
        <v>45.616666666666667</v>
      </c>
      <c r="N554" s="329">
        <v>46.266666666666659</v>
      </c>
      <c r="O554" s="329">
        <v>6.2166666666666677</v>
      </c>
      <c r="P554" s="329">
        <v>6.583333333333333</v>
      </c>
    </row>
    <row r="555" spans="1:16">
      <c r="A555" s="331">
        <v>40546</v>
      </c>
      <c r="B555" s="329">
        <v>45.6</v>
      </c>
      <c r="C555" s="329">
        <f t="shared" si="36"/>
        <v>46.449999999999996</v>
      </c>
      <c r="D555" s="329">
        <v>46.2</v>
      </c>
      <c r="E555" s="329">
        <f t="shared" si="33"/>
        <v>46.199999999999996</v>
      </c>
      <c r="F555" s="329">
        <v>5</v>
      </c>
      <c r="G555" s="329">
        <f t="shared" si="34"/>
        <v>4.7666666666666666</v>
      </c>
      <c r="H555" s="329">
        <v>6.1</v>
      </c>
      <c r="I555" s="329">
        <f t="shared" si="35"/>
        <v>5.75</v>
      </c>
      <c r="L555" s="331">
        <v>40546</v>
      </c>
      <c r="M555" s="329">
        <v>46.449999999999996</v>
      </c>
      <c r="N555" s="329">
        <v>46.199999999999996</v>
      </c>
      <c r="O555" s="329">
        <v>4.7666666666666666</v>
      </c>
      <c r="P555" s="329">
        <v>5.75</v>
      </c>
    </row>
    <row r="556" spans="1:16">
      <c r="A556" s="331">
        <v>40546</v>
      </c>
      <c r="B556" s="329">
        <v>45.7</v>
      </c>
      <c r="C556" s="329">
        <f t="shared" si="36"/>
        <v>46.449999999999996</v>
      </c>
      <c r="D556" s="329">
        <v>46.2</v>
      </c>
      <c r="E556" s="329">
        <f t="shared" si="33"/>
        <v>46.199999999999996</v>
      </c>
      <c r="F556" s="329">
        <v>4.9000000000000004</v>
      </c>
      <c r="G556" s="329">
        <f t="shared" si="34"/>
        <v>4.7666666666666666</v>
      </c>
      <c r="H556" s="329">
        <v>6</v>
      </c>
      <c r="I556" s="329">
        <f t="shared" si="35"/>
        <v>5.75</v>
      </c>
      <c r="L556" s="331">
        <v>40546</v>
      </c>
      <c r="M556" s="329">
        <v>46.449999999999996</v>
      </c>
      <c r="N556" s="329">
        <v>46.199999999999996</v>
      </c>
      <c r="O556" s="329">
        <v>4.7666666666666666</v>
      </c>
      <c r="P556" s="329">
        <v>5.75</v>
      </c>
    </row>
    <row r="557" spans="1:16">
      <c r="A557" s="331">
        <v>40546</v>
      </c>
      <c r="B557" s="329">
        <v>46.7</v>
      </c>
      <c r="C557" s="329">
        <f t="shared" si="36"/>
        <v>46.449999999999996</v>
      </c>
      <c r="D557" s="329">
        <v>46.2</v>
      </c>
      <c r="E557" s="329">
        <f t="shared" si="33"/>
        <v>46.199999999999996</v>
      </c>
      <c r="F557" s="329">
        <v>4.7</v>
      </c>
      <c r="G557" s="329">
        <f t="shared" si="34"/>
        <v>4.7666666666666666</v>
      </c>
      <c r="H557" s="329">
        <v>5.8</v>
      </c>
      <c r="I557" s="329">
        <f t="shared" si="35"/>
        <v>5.75</v>
      </c>
      <c r="L557" s="331">
        <v>40546</v>
      </c>
      <c r="M557" s="329">
        <v>46.449999999999996</v>
      </c>
      <c r="N557" s="329">
        <v>46.199999999999996</v>
      </c>
      <c r="O557" s="329">
        <v>4.7666666666666666</v>
      </c>
      <c r="P557" s="329">
        <v>5.75</v>
      </c>
    </row>
    <row r="558" spans="1:16">
      <c r="A558" s="331">
        <v>40546</v>
      </c>
      <c r="B558" s="329">
        <v>46.9</v>
      </c>
      <c r="C558" s="329">
        <f t="shared" si="36"/>
        <v>46.449999999999996</v>
      </c>
      <c r="D558" s="329">
        <v>46.2</v>
      </c>
      <c r="E558" s="329">
        <f t="shared" si="33"/>
        <v>46.199999999999996</v>
      </c>
      <c r="F558" s="329">
        <v>4.7</v>
      </c>
      <c r="G558" s="329">
        <f t="shared" si="34"/>
        <v>4.7666666666666666</v>
      </c>
      <c r="H558" s="329">
        <v>5.6</v>
      </c>
      <c r="I558" s="329">
        <f t="shared" si="35"/>
        <v>5.75</v>
      </c>
      <c r="L558" s="331">
        <v>40546</v>
      </c>
      <c r="M558" s="329">
        <v>46.449999999999996</v>
      </c>
      <c r="N558" s="329">
        <v>46.199999999999996</v>
      </c>
      <c r="O558" s="329">
        <v>4.7666666666666666</v>
      </c>
      <c r="P558" s="329">
        <v>5.75</v>
      </c>
    </row>
    <row r="559" spans="1:16">
      <c r="A559" s="331">
        <v>40546</v>
      </c>
      <c r="B559" s="329">
        <v>46.9</v>
      </c>
      <c r="C559" s="329">
        <f t="shared" si="36"/>
        <v>46.449999999999996</v>
      </c>
      <c r="D559" s="329">
        <v>46.2</v>
      </c>
      <c r="E559" s="329">
        <f t="shared" si="33"/>
        <v>46.199999999999996</v>
      </c>
      <c r="F559" s="329">
        <v>4.7</v>
      </c>
      <c r="G559" s="329">
        <f t="shared" si="34"/>
        <v>4.7666666666666666</v>
      </c>
      <c r="H559" s="329">
        <v>5.5</v>
      </c>
      <c r="I559" s="329">
        <f t="shared" si="35"/>
        <v>5.75</v>
      </c>
      <c r="L559" s="331">
        <v>40546</v>
      </c>
      <c r="M559" s="329">
        <v>46.449999999999996</v>
      </c>
      <c r="N559" s="329">
        <v>46.199999999999996</v>
      </c>
      <c r="O559" s="329">
        <v>4.7666666666666666</v>
      </c>
      <c r="P559" s="329">
        <v>5.75</v>
      </c>
    </row>
    <row r="560" spans="1:16">
      <c r="A560" s="331">
        <v>40546</v>
      </c>
      <c r="B560" s="329">
        <v>46.9</v>
      </c>
      <c r="C560" s="329">
        <f t="shared" si="36"/>
        <v>46.449999999999996</v>
      </c>
      <c r="D560" s="329">
        <v>46.2</v>
      </c>
      <c r="E560" s="329">
        <f t="shared" si="33"/>
        <v>46.199999999999996</v>
      </c>
      <c r="F560" s="329">
        <v>4.5999999999999996</v>
      </c>
      <c r="G560" s="329">
        <f t="shared" si="34"/>
        <v>4.7666666666666666</v>
      </c>
      <c r="H560" s="329">
        <v>5.5</v>
      </c>
      <c r="I560" s="329">
        <f t="shared" si="35"/>
        <v>5.75</v>
      </c>
      <c r="L560" s="331">
        <v>40546</v>
      </c>
      <c r="M560" s="329">
        <v>46.449999999999996</v>
      </c>
      <c r="N560" s="329">
        <v>46.199999999999996</v>
      </c>
      <c r="O560" s="329">
        <v>4.7666666666666666</v>
      </c>
      <c r="P560" s="329">
        <v>5.75</v>
      </c>
    </row>
    <row r="561" spans="1:16">
      <c r="A561" s="331">
        <v>40547</v>
      </c>
      <c r="B561" s="329">
        <v>46.8</v>
      </c>
      <c r="C561" s="329">
        <f t="shared" si="36"/>
        <v>46.866666666666667</v>
      </c>
      <c r="D561" s="329">
        <v>46.2</v>
      </c>
      <c r="E561" s="329">
        <f t="shared" si="33"/>
        <v>46.150000000000006</v>
      </c>
      <c r="F561" s="329">
        <v>4.5</v>
      </c>
      <c r="G561" s="329">
        <f t="shared" si="34"/>
        <v>4.3</v>
      </c>
      <c r="H561" s="329">
        <v>5.4</v>
      </c>
      <c r="I561" s="329">
        <f t="shared" si="35"/>
        <v>5.1833333333333336</v>
      </c>
      <c r="L561" s="331">
        <v>40547</v>
      </c>
      <c r="M561" s="329">
        <v>46.866666666666667</v>
      </c>
      <c r="N561" s="329">
        <v>46.150000000000006</v>
      </c>
      <c r="O561" s="329">
        <v>4.3</v>
      </c>
      <c r="P561" s="329">
        <v>5.1833333333333336</v>
      </c>
    </row>
    <row r="562" spans="1:16">
      <c r="A562" s="331">
        <v>40547</v>
      </c>
      <c r="B562" s="329">
        <v>46.8</v>
      </c>
      <c r="C562" s="329">
        <f t="shared" si="36"/>
        <v>46.866666666666667</v>
      </c>
      <c r="D562" s="329">
        <v>46.2</v>
      </c>
      <c r="E562" s="329">
        <f t="shared" si="33"/>
        <v>46.150000000000006</v>
      </c>
      <c r="F562" s="329">
        <v>4.4000000000000004</v>
      </c>
      <c r="G562" s="329">
        <f t="shared" si="34"/>
        <v>4.3</v>
      </c>
      <c r="H562" s="329">
        <v>5.3</v>
      </c>
      <c r="I562" s="329">
        <f t="shared" si="35"/>
        <v>5.1833333333333336</v>
      </c>
      <c r="L562" s="331">
        <v>40547</v>
      </c>
      <c r="M562" s="329">
        <v>46.866666666666667</v>
      </c>
      <c r="N562" s="329">
        <v>46.150000000000006</v>
      </c>
      <c r="O562" s="329">
        <v>4.3</v>
      </c>
      <c r="P562" s="329">
        <v>5.1833333333333336</v>
      </c>
    </row>
    <row r="563" spans="1:16">
      <c r="A563" s="331">
        <v>40547</v>
      </c>
      <c r="B563" s="329">
        <v>46.9</v>
      </c>
      <c r="C563" s="329">
        <f t="shared" si="36"/>
        <v>46.866666666666667</v>
      </c>
      <c r="D563" s="329">
        <v>46.2</v>
      </c>
      <c r="E563" s="329">
        <f t="shared" si="33"/>
        <v>46.150000000000006</v>
      </c>
      <c r="F563" s="329">
        <v>4.0999999999999996</v>
      </c>
      <c r="G563" s="329">
        <f t="shared" si="34"/>
        <v>4.3</v>
      </c>
      <c r="H563" s="329">
        <v>5.2</v>
      </c>
      <c r="I563" s="329">
        <f t="shared" si="35"/>
        <v>5.1833333333333336</v>
      </c>
      <c r="L563" s="331">
        <v>40547</v>
      </c>
      <c r="M563" s="329">
        <v>46.866666666666667</v>
      </c>
      <c r="N563" s="329">
        <v>46.150000000000006</v>
      </c>
      <c r="O563" s="329">
        <v>4.3</v>
      </c>
      <c r="P563" s="329">
        <v>5.1833333333333336</v>
      </c>
    </row>
    <row r="564" spans="1:16">
      <c r="A564" s="331">
        <v>40547</v>
      </c>
      <c r="B564" s="329">
        <v>46.9</v>
      </c>
      <c r="C564" s="329">
        <f t="shared" si="36"/>
        <v>46.866666666666667</v>
      </c>
      <c r="D564" s="329">
        <v>46.1</v>
      </c>
      <c r="E564" s="329">
        <f t="shared" si="33"/>
        <v>46.150000000000006</v>
      </c>
      <c r="F564" s="329">
        <v>4</v>
      </c>
      <c r="G564" s="329">
        <f t="shared" si="34"/>
        <v>4.3</v>
      </c>
      <c r="H564" s="329">
        <v>5.0999999999999996</v>
      </c>
      <c r="I564" s="329">
        <f t="shared" si="35"/>
        <v>5.1833333333333336</v>
      </c>
      <c r="L564" s="331">
        <v>40547</v>
      </c>
      <c r="M564" s="329">
        <v>46.866666666666667</v>
      </c>
      <c r="N564" s="329">
        <v>46.150000000000006</v>
      </c>
      <c r="O564" s="329">
        <v>4.3</v>
      </c>
      <c r="P564" s="329">
        <v>5.1833333333333336</v>
      </c>
    </row>
    <row r="565" spans="1:16">
      <c r="A565" s="331">
        <v>40547</v>
      </c>
      <c r="B565" s="329">
        <v>46.8</v>
      </c>
      <c r="C565" s="329">
        <f t="shared" si="36"/>
        <v>46.866666666666667</v>
      </c>
      <c r="D565" s="329">
        <v>46.1</v>
      </c>
      <c r="E565" s="329">
        <f t="shared" si="33"/>
        <v>46.150000000000006</v>
      </c>
      <c r="F565" s="329">
        <v>4.5</v>
      </c>
      <c r="G565" s="329">
        <f t="shared" si="34"/>
        <v>4.3</v>
      </c>
      <c r="H565" s="329">
        <v>5</v>
      </c>
      <c r="I565" s="329">
        <f t="shared" si="35"/>
        <v>5.1833333333333336</v>
      </c>
      <c r="L565" s="331">
        <v>40547</v>
      </c>
      <c r="M565" s="329">
        <v>46.866666666666667</v>
      </c>
      <c r="N565" s="329">
        <v>46.150000000000006</v>
      </c>
      <c r="O565" s="329">
        <v>4.3</v>
      </c>
      <c r="P565" s="329">
        <v>5.1833333333333336</v>
      </c>
    </row>
    <row r="566" spans="1:16">
      <c r="A566" s="331">
        <v>40547</v>
      </c>
      <c r="B566" s="329">
        <v>47</v>
      </c>
      <c r="C566" s="329">
        <f t="shared" si="36"/>
        <v>46.866666666666667</v>
      </c>
      <c r="D566" s="329">
        <v>46.1</v>
      </c>
      <c r="E566" s="329">
        <f t="shared" si="33"/>
        <v>46.150000000000006</v>
      </c>
      <c r="F566" s="329">
        <v>4.3</v>
      </c>
      <c r="G566" s="329">
        <f t="shared" si="34"/>
        <v>4.3</v>
      </c>
      <c r="H566" s="329">
        <v>5.0999999999999996</v>
      </c>
      <c r="I566" s="329">
        <f t="shared" si="35"/>
        <v>5.1833333333333336</v>
      </c>
      <c r="L566" s="331">
        <v>40547</v>
      </c>
      <c r="M566" s="329">
        <v>46.866666666666667</v>
      </c>
      <c r="N566" s="329">
        <v>46.150000000000006</v>
      </c>
      <c r="O566" s="329">
        <v>4.3</v>
      </c>
      <c r="P566" s="329">
        <v>5.1833333333333336</v>
      </c>
    </row>
    <row r="567" spans="1:16">
      <c r="A567" s="331">
        <v>40548</v>
      </c>
      <c r="B567" s="329">
        <v>47</v>
      </c>
      <c r="C567" s="329">
        <f t="shared" si="36"/>
        <v>46.966666666666669</v>
      </c>
      <c r="D567" s="329">
        <v>46.1</v>
      </c>
      <c r="E567" s="329">
        <f t="shared" si="33"/>
        <v>46.1</v>
      </c>
      <c r="F567" s="329">
        <v>4.2</v>
      </c>
      <c r="G567" s="329">
        <f t="shared" si="34"/>
        <v>4.5333333333333323</v>
      </c>
      <c r="H567" s="329">
        <v>5.0999999999999996</v>
      </c>
      <c r="I567" s="329">
        <f t="shared" si="35"/>
        <v>5.0666666666666664</v>
      </c>
      <c r="L567" s="331">
        <v>40548</v>
      </c>
      <c r="M567" s="329">
        <v>46.966666666666669</v>
      </c>
      <c r="N567" s="329">
        <v>46.1</v>
      </c>
      <c r="O567" s="329">
        <v>4.5333333333333323</v>
      </c>
      <c r="P567" s="329">
        <v>5.0666666666666664</v>
      </c>
    </row>
    <row r="568" spans="1:16">
      <c r="A568" s="331">
        <v>40548</v>
      </c>
      <c r="B568" s="329">
        <v>47</v>
      </c>
      <c r="C568" s="329">
        <f t="shared" si="36"/>
        <v>46.966666666666669</v>
      </c>
      <c r="D568" s="329">
        <v>46.1</v>
      </c>
      <c r="E568" s="329">
        <f t="shared" si="33"/>
        <v>46.1</v>
      </c>
      <c r="F568" s="329">
        <v>4.2</v>
      </c>
      <c r="G568" s="329">
        <f t="shared" si="34"/>
        <v>4.5333333333333323</v>
      </c>
      <c r="H568" s="329">
        <v>5.0999999999999996</v>
      </c>
      <c r="I568" s="329">
        <f t="shared" si="35"/>
        <v>5.0666666666666664</v>
      </c>
      <c r="L568" s="331">
        <v>40548</v>
      </c>
      <c r="M568" s="329">
        <v>46.966666666666669</v>
      </c>
      <c r="N568" s="329">
        <v>46.1</v>
      </c>
      <c r="O568" s="329">
        <v>4.5333333333333323</v>
      </c>
      <c r="P568" s="329">
        <v>5.0666666666666664</v>
      </c>
    </row>
    <row r="569" spans="1:16">
      <c r="A569" s="331">
        <v>40548</v>
      </c>
      <c r="B569" s="329">
        <v>47</v>
      </c>
      <c r="C569" s="329">
        <f t="shared" si="36"/>
        <v>46.966666666666669</v>
      </c>
      <c r="D569" s="329">
        <v>46.1</v>
      </c>
      <c r="E569" s="329">
        <f t="shared" si="33"/>
        <v>46.1</v>
      </c>
      <c r="F569" s="329">
        <v>4.0999999999999996</v>
      </c>
      <c r="G569" s="329">
        <f t="shared" si="34"/>
        <v>4.5333333333333323</v>
      </c>
      <c r="H569" s="329">
        <v>5</v>
      </c>
      <c r="I569" s="329">
        <f t="shared" si="35"/>
        <v>5.0666666666666664</v>
      </c>
      <c r="L569" s="331">
        <v>40548</v>
      </c>
      <c r="M569" s="329">
        <v>46.966666666666669</v>
      </c>
      <c r="N569" s="329">
        <v>46.1</v>
      </c>
      <c r="O569" s="329">
        <v>4.5333333333333323</v>
      </c>
      <c r="P569" s="329">
        <v>5.0666666666666664</v>
      </c>
    </row>
    <row r="570" spans="1:16">
      <c r="A570" s="331">
        <v>40548</v>
      </c>
      <c r="B570" s="329">
        <v>47</v>
      </c>
      <c r="C570" s="329">
        <f t="shared" si="36"/>
        <v>46.966666666666669</v>
      </c>
      <c r="D570" s="329">
        <v>46.1</v>
      </c>
      <c r="E570" s="329">
        <f t="shared" si="33"/>
        <v>46.1</v>
      </c>
      <c r="F570" s="329">
        <v>4.2</v>
      </c>
      <c r="G570" s="329">
        <f t="shared" si="34"/>
        <v>4.5333333333333323</v>
      </c>
      <c r="H570" s="329">
        <v>5</v>
      </c>
      <c r="I570" s="329">
        <f t="shared" si="35"/>
        <v>5.0666666666666664</v>
      </c>
      <c r="L570" s="331">
        <v>40548</v>
      </c>
      <c r="M570" s="329">
        <v>46.966666666666669</v>
      </c>
      <c r="N570" s="329">
        <v>46.1</v>
      </c>
      <c r="O570" s="329">
        <v>4.5333333333333323</v>
      </c>
      <c r="P570" s="329">
        <v>5.0666666666666664</v>
      </c>
    </row>
    <row r="571" spans="1:16">
      <c r="A571" s="331">
        <v>40548</v>
      </c>
      <c r="B571" s="329">
        <v>46.9</v>
      </c>
      <c r="C571" s="329">
        <f t="shared" si="36"/>
        <v>46.966666666666669</v>
      </c>
      <c r="D571" s="329">
        <v>46.1</v>
      </c>
      <c r="E571" s="329">
        <f t="shared" si="33"/>
        <v>46.1</v>
      </c>
      <c r="F571" s="329">
        <v>5.0999999999999996</v>
      </c>
      <c r="G571" s="329">
        <f t="shared" si="34"/>
        <v>4.5333333333333323</v>
      </c>
      <c r="H571" s="329">
        <v>5</v>
      </c>
      <c r="I571" s="329">
        <f t="shared" si="35"/>
        <v>5.0666666666666664</v>
      </c>
      <c r="L571" s="331">
        <v>40548</v>
      </c>
      <c r="M571" s="329">
        <v>46.966666666666669</v>
      </c>
      <c r="N571" s="329">
        <v>46.1</v>
      </c>
      <c r="O571" s="329">
        <v>4.5333333333333323</v>
      </c>
      <c r="P571" s="329">
        <v>5.0666666666666664</v>
      </c>
    </row>
    <row r="572" spans="1:16">
      <c r="A572" s="331">
        <v>40548</v>
      </c>
      <c r="B572" s="329">
        <v>46.9</v>
      </c>
      <c r="C572" s="329">
        <f t="shared" si="36"/>
        <v>46.966666666666669</v>
      </c>
      <c r="D572" s="329">
        <v>46.1</v>
      </c>
      <c r="E572" s="329">
        <f t="shared" si="33"/>
        <v>46.1</v>
      </c>
      <c r="F572" s="329">
        <v>5.4</v>
      </c>
      <c r="G572" s="329">
        <f t="shared" si="34"/>
        <v>4.5333333333333323</v>
      </c>
      <c r="H572" s="329">
        <v>5.2</v>
      </c>
      <c r="I572" s="329">
        <f t="shared" si="35"/>
        <v>5.0666666666666664</v>
      </c>
      <c r="L572" s="331">
        <v>40548</v>
      </c>
      <c r="M572" s="329">
        <v>46.966666666666669</v>
      </c>
      <c r="N572" s="329">
        <v>46.1</v>
      </c>
      <c r="O572" s="329">
        <v>4.5333333333333323</v>
      </c>
      <c r="P572" s="329">
        <v>5.0666666666666664</v>
      </c>
    </row>
    <row r="573" spans="1:16">
      <c r="A573" s="331">
        <v>40549</v>
      </c>
      <c r="B573" s="329">
        <v>46.9</v>
      </c>
      <c r="C573" s="329">
        <f t="shared" si="36"/>
        <v>47.050000000000004</v>
      </c>
      <c r="D573" s="329">
        <v>46</v>
      </c>
      <c r="E573" s="329">
        <f t="shared" si="33"/>
        <v>46</v>
      </c>
      <c r="F573" s="329">
        <v>5.5</v>
      </c>
      <c r="G573" s="329">
        <f t="shared" si="34"/>
        <v>6.6333333333333329</v>
      </c>
      <c r="H573" s="329">
        <v>5.3</v>
      </c>
      <c r="I573" s="329">
        <f t="shared" si="35"/>
        <v>5.7833333333333323</v>
      </c>
      <c r="L573" s="331">
        <v>40549</v>
      </c>
      <c r="M573" s="329">
        <v>47.050000000000004</v>
      </c>
      <c r="N573" s="329">
        <v>46</v>
      </c>
      <c r="O573" s="329">
        <v>6.6333333333333329</v>
      </c>
      <c r="P573" s="329">
        <v>5.7833333333333323</v>
      </c>
    </row>
    <row r="574" spans="1:16">
      <c r="A574" s="331">
        <v>40549</v>
      </c>
      <c r="B574" s="329">
        <v>46.9</v>
      </c>
      <c r="C574" s="329">
        <f t="shared" si="36"/>
        <v>47.050000000000004</v>
      </c>
      <c r="D574" s="329">
        <v>46</v>
      </c>
      <c r="E574" s="329">
        <f t="shared" si="33"/>
        <v>46</v>
      </c>
      <c r="F574" s="329">
        <v>5.9</v>
      </c>
      <c r="G574" s="329">
        <f t="shared" si="34"/>
        <v>6.6333333333333329</v>
      </c>
      <c r="H574" s="329">
        <v>5.5</v>
      </c>
      <c r="I574" s="329">
        <f t="shared" si="35"/>
        <v>5.7833333333333323</v>
      </c>
      <c r="L574" s="331">
        <v>40549</v>
      </c>
      <c r="M574" s="329">
        <v>47.050000000000004</v>
      </c>
      <c r="N574" s="329">
        <v>46</v>
      </c>
      <c r="O574" s="329">
        <v>6.6333333333333329</v>
      </c>
      <c r="P574" s="329">
        <v>5.7833333333333323</v>
      </c>
    </row>
    <row r="575" spans="1:16">
      <c r="A575" s="331">
        <v>40549</v>
      </c>
      <c r="B575" s="329">
        <v>46.9</v>
      </c>
      <c r="C575" s="329">
        <f t="shared" si="36"/>
        <v>47.050000000000004</v>
      </c>
      <c r="D575" s="329">
        <v>46</v>
      </c>
      <c r="E575" s="329">
        <f t="shared" si="33"/>
        <v>46</v>
      </c>
      <c r="F575" s="329">
        <v>6.3</v>
      </c>
      <c r="G575" s="329">
        <f t="shared" si="34"/>
        <v>6.6333333333333329</v>
      </c>
      <c r="H575" s="329">
        <v>5.6</v>
      </c>
      <c r="I575" s="329">
        <f t="shared" si="35"/>
        <v>5.7833333333333323</v>
      </c>
      <c r="L575" s="331">
        <v>40549</v>
      </c>
      <c r="M575" s="329">
        <v>47.050000000000004</v>
      </c>
      <c r="N575" s="329">
        <v>46</v>
      </c>
      <c r="O575" s="329">
        <v>6.6333333333333329</v>
      </c>
      <c r="P575" s="329">
        <v>5.7833333333333323</v>
      </c>
    </row>
    <row r="576" spans="1:16">
      <c r="A576" s="331">
        <v>40549</v>
      </c>
      <c r="B576" s="329">
        <v>46.9</v>
      </c>
      <c r="C576" s="329">
        <f t="shared" si="36"/>
        <v>47.050000000000004</v>
      </c>
      <c r="D576" s="329">
        <v>46</v>
      </c>
      <c r="E576" s="329">
        <f t="shared" si="33"/>
        <v>46</v>
      </c>
      <c r="F576" s="329">
        <v>6.8</v>
      </c>
      <c r="G576" s="329">
        <f t="shared" si="34"/>
        <v>6.6333333333333329</v>
      </c>
      <c r="H576" s="329">
        <v>5.8</v>
      </c>
      <c r="I576" s="329">
        <f t="shared" si="35"/>
        <v>5.7833333333333323</v>
      </c>
      <c r="L576" s="331">
        <v>40549</v>
      </c>
      <c r="M576" s="329">
        <v>47.050000000000004</v>
      </c>
      <c r="N576" s="329">
        <v>46</v>
      </c>
      <c r="O576" s="329">
        <v>6.6333333333333329</v>
      </c>
      <c r="P576" s="329">
        <v>5.7833333333333323</v>
      </c>
    </row>
    <row r="577" spans="1:16">
      <c r="A577" s="331">
        <v>40549</v>
      </c>
      <c r="B577" s="329">
        <v>47.4</v>
      </c>
      <c r="C577" s="329">
        <f t="shared" si="36"/>
        <v>47.050000000000004</v>
      </c>
      <c r="D577" s="329">
        <v>46</v>
      </c>
      <c r="E577" s="329">
        <f t="shared" si="33"/>
        <v>46</v>
      </c>
      <c r="F577" s="329">
        <v>7.5</v>
      </c>
      <c r="G577" s="329">
        <f t="shared" si="34"/>
        <v>6.6333333333333329</v>
      </c>
      <c r="H577" s="329">
        <v>6.1</v>
      </c>
      <c r="I577" s="329">
        <f t="shared" si="35"/>
        <v>5.7833333333333323</v>
      </c>
      <c r="L577" s="331">
        <v>40549</v>
      </c>
      <c r="M577" s="329">
        <v>47.050000000000004</v>
      </c>
      <c r="N577" s="329">
        <v>46</v>
      </c>
      <c r="O577" s="329">
        <v>6.6333333333333329</v>
      </c>
      <c r="P577" s="329">
        <v>5.7833333333333323</v>
      </c>
    </row>
    <row r="578" spans="1:16">
      <c r="A578" s="331">
        <v>40549</v>
      </c>
      <c r="B578" s="329">
        <v>47.3</v>
      </c>
      <c r="C578" s="329">
        <f t="shared" si="36"/>
        <v>47.050000000000004</v>
      </c>
      <c r="D578" s="329">
        <v>46</v>
      </c>
      <c r="E578" s="329">
        <f t="shared" si="33"/>
        <v>46</v>
      </c>
      <c r="F578" s="329">
        <v>7.8</v>
      </c>
      <c r="G578" s="329">
        <f t="shared" si="34"/>
        <v>6.6333333333333329</v>
      </c>
      <c r="H578" s="329">
        <v>6.4</v>
      </c>
      <c r="I578" s="329">
        <f t="shared" si="35"/>
        <v>5.7833333333333323</v>
      </c>
      <c r="L578" s="331">
        <v>40549</v>
      </c>
      <c r="M578" s="329">
        <v>47.050000000000004</v>
      </c>
      <c r="N578" s="329">
        <v>46</v>
      </c>
      <c r="O578" s="329">
        <v>6.6333333333333329</v>
      </c>
      <c r="P578" s="329">
        <v>5.7833333333333323</v>
      </c>
    </row>
    <row r="579" spans="1:16">
      <c r="A579" s="331">
        <v>40550</v>
      </c>
      <c r="B579" s="329">
        <v>47.4</v>
      </c>
      <c r="C579" s="329">
        <f t="shared" si="36"/>
        <v>47.466666666666661</v>
      </c>
      <c r="D579" s="329">
        <v>46</v>
      </c>
      <c r="E579" s="329">
        <f t="shared" si="33"/>
        <v>45.966666666666669</v>
      </c>
      <c r="F579" s="329">
        <v>7.8</v>
      </c>
      <c r="G579" s="329">
        <f t="shared" si="34"/>
        <v>8.1999999999999993</v>
      </c>
      <c r="H579" s="329">
        <v>6.6</v>
      </c>
      <c r="I579" s="329">
        <f t="shared" si="35"/>
        <v>7</v>
      </c>
      <c r="L579" s="331">
        <v>40550</v>
      </c>
      <c r="M579" s="329">
        <v>47.466666666666661</v>
      </c>
      <c r="N579" s="329">
        <v>45.966666666666669</v>
      </c>
      <c r="O579" s="329">
        <v>8.1999999999999993</v>
      </c>
      <c r="P579" s="329">
        <v>7</v>
      </c>
    </row>
    <row r="580" spans="1:16">
      <c r="A580" s="331">
        <v>40550</v>
      </c>
      <c r="B580" s="329">
        <v>47.4</v>
      </c>
      <c r="C580" s="329">
        <f t="shared" si="36"/>
        <v>47.466666666666661</v>
      </c>
      <c r="D580" s="329">
        <v>46</v>
      </c>
      <c r="E580" s="329">
        <f t="shared" si="33"/>
        <v>45.966666666666669</v>
      </c>
      <c r="F580" s="329">
        <v>7.8</v>
      </c>
      <c r="G580" s="329">
        <f t="shared" si="34"/>
        <v>8.1999999999999993</v>
      </c>
      <c r="H580" s="329">
        <v>6.8</v>
      </c>
      <c r="I580" s="329">
        <f t="shared" si="35"/>
        <v>7</v>
      </c>
      <c r="L580" s="331">
        <v>40550</v>
      </c>
      <c r="M580" s="329">
        <v>47.466666666666661</v>
      </c>
      <c r="N580" s="329">
        <v>45.966666666666669</v>
      </c>
      <c r="O580" s="329">
        <v>8.1999999999999993</v>
      </c>
      <c r="P580" s="329">
        <v>7</v>
      </c>
    </row>
    <row r="581" spans="1:16">
      <c r="A581" s="331">
        <v>40550</v>
      </c>
      <c r="B581" s="329">
        <v>47.4</v>
      </c>
      <c r="C581" s="329">
        <f t="shared" si="36"/>
        <v>47.466666666666661</v>
      </c>
      <c r="D581" s="329">
        <v>46</v>
      </c>
      <c r="E581" s="329">
        <f t="shared" si="33"/>
        <v>45.966666666666669</v>
      </c>
      <c r="F581" s="329">
        <v>8</v>
      </c>
      <c r="G581" s="329">
        <f t="shared" si="34"/>
        <v>8.1999999999999993</v>
      </c>
      <c r="H581" s="329">
        <v>6.9</v>
      </c>
      <c r="I581" s="329">
        <f t="shared" si="35"/>
        <v>7</v>
      </c>
      <c r="L581" s="331">
        <v>40550</v>
      </c>
      <c r="M581" s="329">
        <v>47.466666666666661</v>
      </c>
      <c r="N581" s="329">
        <v>45.966666666666669</v>
      </c>
      <c r="O581" s="329">
        <v>8.1999999999999993</v>
      </c>
      <c r="P581" s="329">
        <v>7</v>
      </c>
    </row>
    <row r="582" spans="1:16">
      <c r="A582" s="331">
        <v>40550</v>
      </c>
      <c r="B582" s="329">
        <v>47.5</v>
      </c>
      <c r="C582" s="329">
        <f t="shared" si="36"/>
        <v>47.466666666666661</v>
      </c>
      <c r="D582" s="329">
        <v>46</v>
      </c>
      <c r="E582" s="329">
        <f t="shared" si="33"/>
        <v>45.966666666666669</v>
      </c>
      <c r="F582" s="329">
        <v>8</v>
      </c>
      <c r="G582" s="329">
        <f t="shared" si="34"/>
        <v>8.1999999999999993</v>
      </c>
      <c r="H582" s="329">
        <v>7.1</v>
      </c>
      <c r="I582" s="329">
        <f t="shared" si="35"/>
        <v>7</v>
      </c>
      <c r="L582" s="331">
        <v>40550</v>
      </c>
      <c r="M582" s="329">
        <v>47.466666666666661</v>
      </c>
      <c r="N582" s="329">
        <v>45.966666666666669</v>
      </c>
      <c r="O582" s="329">
        <v>8.1999999999999993</v>
      </c>
      <c r="P582" s="329">
        <v>7</v>
      </c>
    </row>
    <row r="583" spans="1:16">
      <c r="A583" s="331">
        <v>40550</v>
      </c>
      <c r="B583" s="329">
        <v>47.6</v>
      </c>
      <c r="C583" s="329">
        <f t="shared" si="36"/>
        <v>47.466666666666661</v>
      </c>
      <c r="D583" s="329">
        <v>45.9</v>
      </c>
      <c r="E583" s="329">
        <f t="shared" si="33"/>
        <v>45.966666666666669</v>
      </c>
      <c r="F583" s="329">
        <v>8.6999999999999993</v>
      </c>
      <c r="G583" s="329">
        <f t="shared" si="34"/>
        <v>8.1999999999999993</v>
      </c>
      <c r="H583" s="329">
        <v>7.2</v>
      </c>
      <c r="I583" s="329">
        <f t="shared" si="35"/>
        <v>7</v>
      </c>
      <c r="L583" s="331">
        <v>40550</v>
      </c>
      <c r="M583" s="329">
        <v>47.466666666666661</v>
      </c>
      <c r="N583" s="329">
        <v>45.966666666666669</v>
      </c>
      <c r="O583" s="329">
        <v>8.1999999999999993</v>
      </c>
      <c r="P583" s="329">
        <v>7</v>
      </c>
    </row>
    <row r="584" spans="1:16">
      <c r="A584" s="331">
        <v>40550</v>
      </c>
      <c r="B584" s="329">
        <v>47.5</v>
      </c>
      <c r="C584" s="329">
        <f t="shared" si="36"/>
        <v>47.466666666666661</v>
      </c>
      <c r="D584" s="329">
        <v>45.9</v>
      </c>
      <c r="E584" s="329">
        <f t="shared" si="33"/>
        <v>45.966666666666669</v>
      </c>
      <c r="F584" s="329">
        <v>8.9</v>
      </c>
      <c r="G584" s="329">
        <f t="shared" si="34"/>
        <v>8.1999999999999993</v>
      </c>
      <c r="H584" s="329">
        <v>7.4</v>
      </c>
      <c r="I584" s="329">
        <f t="shared" si="35"/>
        <v>7</v>
      </c>
      <c r="L584" s="331">
        <v>40550</v>
      </c>
      <c r="M584" s="329">
        <v>47.466666666666661</v>
      </c>
      <c r="N584" s="329">
        <v>45.966666666666669</v>
      </c>
      <c r="O584" s="329">
        <v>8.1999999999999993</v>
      </c>
      <c r="P584" s="329">
        <v>7</v>
      </c>
    </row>
    <row r="585" spans="1:16">
      <c r="A585" s="331">
        <v>40551</v>
      </c>
      <c r="B585" s="329">
        <v>47.5</v>
      </c>
      <c r="C585" s="329">
        <f t="shared" si="36"/>
        <v>47.583333333333336</v>
      </c>
      <c r="D585" s="329">
        <v>45.9</v>
      </c>
      <c r="E585" s="329">
        <f t="shared" si="33"/>
        <v>45.9</v>
      </c>
      <c r="F585" s="329">
        <v>8.6</v>
      </c>
      <c r="G585" s="329">
        <f t="shared" si="34"/>
        <v>8.65</v>
      </c>
      <c r="H585" s="329">
        <v>7.6</v>
      </c>
      <c r="I585" s="329">
        <f t="shared" si="35"/>
        <v>7.6833333333333327</v>
      </c>
      <c r="L585" s="331">
        <v>40551</v>
      </c>
      <c r="M585" s="329">
        <v>47.583333333333336</v>
      </c>
      <c r="N585" s="329">
        <v>45.9</v>
      </c>
      <c r="O585" s="329">
        <v>8.65</v>
      </c>
      <c r="P585" s="329">
        <v>7.6833333333333327</v>
      </c>
    </row>
    <row r="586" spans="1:16">
      <c r="A586" s="331">
        <v>40551</v>
      </c>
      <c r="B586" s="329">
        <v>47.6</v>
      </c>
      <c r="C586" s="329">
        <f t="shared" si="36"/>
        <v>47.583333333333336</v>
      </c>
      <c r="D586" s="329">
        <v>45.9</v>
      </c>
      <c r="E586" s="329">
        <f t="shared" si="33"/>
        <v>45.9</v>
      </c>
      <c r="F586" s="329">
        <v>8.4</v>
      </c>
      <c r="G586" s="329">
        <f t="shared" si="34"/>
        <v>8.65</v>
      </c>
      <c r="H586" s="329">
        <v>7.6</v>
      </c>
      <c r="I586" s="329">
        <f t="shared" si="35"/>
        <v>7.6833333333333327</v>
      </c>
      <c r="L586" s="331">
        <v>40551</v>
      </c>
      <c r="M586" s="329">
        <v>47.583333333333336</v>
      </c>
      <c r="N586" s="329">
        <v>45.9</v>
      </c>
      <c r="O586" s="329">
        <v>8.65</v>
      </c>
      <c r="P586" s="329">
        <v>7.6833333333333327</v>
      </c>
    </row>
    <row r="587" spans="1:16">
      <c r="A587" s="331">
        <v>40551</v>
      </c>
      <c r="B587" s="329">
        <v>47.6</v>
      </c>
      <c r="C587" s="329">
        <f t="shared" si="36"/>
        <v>47.583333333333336</v>
      </c>
      <c r="D587" s="329">
        <v>45.9</v>
      </c>
      <c r="E587" s="329">
        <f t="shared" si="33"/>
        <v>45.9</v>
      </c>
      <c r="F587" s="329">
        <v>8.3000000000000007</v>
      </c>
      <c r="G587" s="329">
        <f t="shared" si="34"/>
        <v>8.65</v>
      </c>
      <c r="H587" s="329">
        <v>7.6</v>
      </c>
      <c r="I587" s="329">
        <f t="shared" si="35"/>
        <v>7.6833333333333327</v>
      </c>
      <c r="L587" s="331">
        <v>40551</v>
      </c>
      <c r="M587" s="329">
        <v>47.583333333333336</v>
      </c>
      <c r="N587" s="329">
        <v>45.9</v>
      </c>
      <c r="O587" s="329">
        <v>8.65</v>
      </c>
      <c r="P587" s="329">
        <v>7.6833333333333327</v>
      </c>
    </row>
    <row r="588" spans="1:16">
      <c r="A588" s="331">
        <v>40551</v>
      </c>
      <c r="B588" s="329">
        <v>47.6</v>
      </c>
      <c r="C588" s="329">
        <f t="shared" si="36"/>
        <v>47.583333333333336</v>
      </c>
      <c r="D588" s="329">
        <v>45.9</v>
      </c>
      <c r="E588" s="329">
        <f t="shared" si="33"/>
        <v>45.9</v>
      </c>
      <c r="F588" s="329">
        <v>8.4</v>
      </c>
      <c r="G588" s="329">
        <f t="shared" si="34"/>
        <v>8.65</v>
      </c>
      <c r="H588" s="329">
        <v>7.7</v>
      </c>
      <c r="I588" s="329">
        <f t="shared" si="35"/>
        <v>7.6833333333333327</v>
      </c>
      <c r="L588" s="331">
        <v>40551</v>
      </c>
      <c r="M588" s="329">
        <v>47.583333333333336</v>
      </c>
      <c r="N588" s="329">
        <v>45.9</v>
      </c>
      <c r="O588" s="329">
        <v>8.65</v>
      </c>
      <c r="P588" s="329">
        <v>7.6833333333333327</v>
      </c>
    </row>
    <row r="589" spans="1:16">
      <c r="A589" s="331">
        <v>40551</v>
      </c>
      <c r="B589" s="329">
        <v>47.6</v>
      </c>
      <c r="C589" s="329">
        <f t="shared" si="36"/>
        <v>47.583333333333336</v>
      </c>
      <c r="D589" s="329">
        <v>45.9</v>
      </c>
      <c r="E589" s="329">
        <f t="shared" si="33"/>
        <v>45.9</v>
      </c>
      <c r="F589" s="329">
        <v>9</v>
      </c>
      <c r="G589" s="329">
        <f t="shared" si="34"/>
        <v>8.65</v>
      </c>
      <c r="H589" s="329">
        <v>7.7</v>
      </c>
      <c r="I589" s="329">
        <f t="shared" si="35"/>
        <v>7.6833333333333327</v>
      </c>
      <c r="L589" s="331">
        <v>40551</v>
      </c>
      <c r="M589" s="329">
        <v>47.583333333333336</v>
      </c>
      <c r="N589" s="329">
        <v>45.9</v>
      </c>
      <c r="O589" s="329">
        <v>8.65</v>
      </c>
      <c r="P589" s="329">
        <v>7.6833333333333327</v>
      </c>
    </row>
    <row r="590" spans="1:16">
      <c r="A590" s="331">
        <v>40551</v>
      </c>
      <c r="B590" s="329">
        <v>47.6</v>
      </c>
      <c r="C590" s="329">
        <f t="shared" si="36"/>
        <v>47.583333333333336</v>
      </c>
      <c r="D590" s="329">
        <v>45.9</v>
      </c>
      <c r="E590" s="329">
        <f t="shared" si="33"/>
        <v>45.9</v>
      </c>
      <c r="F590" s="329">
        <v>9.1999999999999993</v>
      </c>
      <c r="G590" s="329">
        <f t="shared" si="34"/>
        <v>8.65</v>
      </c>
      <c r="H590" s="329">
        <v>7.9</v>
      </c>
      <c r="I590" s="329">
        <f t="shared" si="35"/>
        <v>7.6833333333333327</v>
      </c>
      <c r="L590" s="331">
        <v>40551</v>
      </c>
      <c r="M590" s="329">
        <v>47.583333333333336</v>
      </c>
      <c r="N590" s="329">
        <v>45.9</v>
      </c>
      <c r="O590" s="329">
        <v>8.65</v>
      </c>
      <c r="P590" s="329">
        <v>7.6833333333333327</v>
      </c>
    </row>
    <row r="591" spans="1:16">
      <c r="A591" s="331">
        <v>40552</v>
      </c>
      <c r="B591" s="329">
        <v>47.6</v>
      </c>
      <c r="C591" s="329">
        <f t="shared" si="36"/>
        <v>48.1</v>
      </c>
      <c r="D591" s="329">
        <v>45.9</v>
      </c>
      <c r="E591" s="329">
        <f t="shared" si="33"/>
        <v>45.9</v>
      </c>
      <c r="F591" s="329">
        <v>9</v>
      </c>
      <c r="G591" s="329">
        <f t="shared" si="34"/>
        <v>8.6166666666666671</v>
      </c>
      <c r="H591" s="329">
        <v>8</v>
      </c>
      <c r="I591" s="329">
        <f t="shared" si="35"/>
        <v>8</v>
      </c>
      <c r="L591" s="331">
        <v>40552</v>
      </c>
      <c r="M591" s="329">
        <v>48.1</v>
      </c>
      <c r="N591" s="329">
        <v>45.9</v>
      </c>
      <c r="O591" s="329">
        <v>8.6166666666666671</v>
      </c>
      <c r="P591" s="329">
        <v>8</v>
      </c>
    </row>
    <row r="592" spans="1:16">
      <c r="A592" s="331">
        <v>40552</v>
      </c>
      <c r="B592" s="329">
        <v>47.6</v>
      </c>
      <c r="C592" s="329">
        <f t="shared" si="36"/>
        <v>48.1</v>
      </c>
      <c r="D592" s="329">
        <v>45.9</v>
      </c>
      <c r="E592" s="329">
        <f t="shared" si="33"/>
        <v>45.9</v>
      </c>
      <c r="F592" s="329">
        <v>8.8000000000000007</v>
      </c>
      <c r="G592" s="329">
        <f t="shared" si="34"/>
        <v>8.6166666666666671</v>
      </c>
      <c r="H592" s="329">
        <v>8</v>
      </c>
      <c r="I592" s="329">
        <f t="shared" si="35"/>
        <v>8</v>
      </c>
      <c r="L592" s="331">
        <v>40552</v>
      </c>
      <c r="M592" s="329">
        <v>48.1</v>
      </c>
      <c r="N592" s="329">
        <v>45.9</v>
      </c>
      <c r="O592" s="329">
        <v>8.6166666666666671</v>
      </c>
      <c r="P592" s="329">
        <v>8</v>
      </c>
    </row>
    <row r="593" spans="1:16">
      <c r="A593" s="331">
        <v>40552</v>
      </c>
      <c r="B593" s="329">
        <v>47.6</v>
      </c>
      <c r="C593" s="329">
        <f t="shared" si="36"/>
        <v>48.1</v>
      </c>
      <c r="D593" s="329">
        <v>45.9</v>
      </c>
      <c r="E593" s="329">
        <f t="shared" si="33"/>
        <v>45.9</v>
      </c>
      <c r="F593" s="329">
        <v>8.6</v>
      </c>
      <c r="G593" s="329">
        <f t="shared" si="34"/>
        <v>8.6166666666666671</v>
      </c>
      <c r="H593" s="329">
        <v>8</v>
      </c>
      <c r="I593" s="329">
        <f t="shared" si="35"/>
        <v>8</v>
      </c>
      <c r="L593" s="331">
        <v>40552</v>
      </c>
      <c r="M593" s="329">
        <v>48.1</v>
      </c>
      <c r="N593" s="329">
        <v>45.9</v>
      </c>
      <c r="O593" s="329">
        <v>8.6166666666666671</v>
      </c>
      <c r="P593" s="329">
        <v>8</v>
      </c>
    </row>
    <row r="594" spans="1:16">
      <c r="A594" s="331">
        <v>40552</v>
      </c>
      <c r="B594" s="329">
        <v>47.6</v>
      </c>
      <c r="C594" s="329">
        <f t="shared" si="36"/>
        <v>48.1</v>
      </c>
      <c r="D594" s="329">
        <v>45.9</v>
      </c>
      <c r="E594" s="329">
        <f t="shared" si="33"/>
        <v>45.9</v>
      </c>
      <c r="F594" s="329">
        <v>8.5</v>
      </c>
      <c r="G594" s="329">
        <f t="shared" si="34"/>
        <v>8.6166666666666671</v>
      </c>
      <c r="H594" s="329">
        <v>8</v>
      </c>
      <c r="I594" s="329">
        <f t="shared" si="35"/>
        <v>8</v>
      </c>
      <c r="L594" s="331">
        <v>40552</v>
      </c>
      <c r="M594" s="329">
        <v>48.1</v>
      </c>
      <c r="N594" s="329">
        <v>45.9</v>
      </c>
      <c r="O594" s="329">
        <v>8.6166666666666671</v>
      </c>
      <c r="P594" s="329">
        <v>8</v>
      </c>
    </row>
    <row r="595" spans="1:16">
      <c r="A595" s="331">
        <v>40552</v>
      </c>
      <c r="B595" s="329">
        <v>49.6</v>
      </c>
      <c r="C595" s="329">
        <f t="shared" si="36"/>
        <v>48.1</v>
      </c>
      <c r="D595" s="329">
        <v>45.9</v>
      </c>
      <c r="E595" s="329">
        <f t="shared" si="33"/>
        <v>45.9</v>
      </c>
      <c r="F595" s="329">
        <v>8.6</v>
      </c>
      <c r="G595" s="329">
        <f t="shared" si="34"/>
        <v>8.6166666666666671</v>
      </c>
      <c r="H595" s="329">
        <v>8</v>
      </c>
      <c r="I595" s="329">
        <f t="shared" si="35"/>
        <v>8</v>
      </c>
      <c r="L595" s="331">
        <v>40552</v>
      </c>
      <c r="M595" s="329">
        <v>48.1</v>
      </c>
      <c r="N595" s="329">
        <v>45.9</v>
      </c>
      <c r="O595" s="329">
        <v>8.6166666666666671</v>
      </c>
      <c r="P595" s="329">
        <v>8</v>
      </c>
    </row>
    <row r="596" spans="1:16">
      <c r="A596" s="331">
        <v>40552</v>
      </c>
      <c r="B596" s="329">
        <v>48.6</v>
      </c>
      <c r="C596" s="329">
        <f t="shared" si="36"/>
        <v>48.1</v>
      </c>
      <c r="D596" s="329">
        <v>45.9</v>
      </c>
      <c r="E596" s="329">
        <f t="shared" si="33"/>
        <v>45.9</v>
      </c>
      <c r="F596" s="329">
        <v>8.1999999999999993</v>
      </c>
      <c r="G596" s="329">
        <f t="shared" si="34"/>
        <v>8.6166666666666671</v>
      </c>
      <c r="H596" s="329">
        <v>8</v>
      </c>
      <c r="I596" s="329">
        <f t="shared" si="35"/>
        <v>8</v>
      </c>
      <c r="L596" s="331">
        <v>40552</v>
      </c>
      <c r="M596" s="329">
        <v>48.1</v>
      </c>
      <c r="N596" s="329">
        <v>45.9</v>
      </c>
      <c r="O596" s="329">
        <v>8.6166666666666671</v>
      </c>
      <c r="P596" s="329">
        <v>8</v>
      </c>
    </row>
    <row r="597" spans="1:16">
      <c r="A597" s="331">
        <v>40553</v>
      </c>
      <c r="B597" s="329">
        <v>48.2</v>
      </c>
      <c r="C597" s="329">
        <f t="shared" si="36"/>
        <v>47.966666666666669</v>
      </c>
      <c r="D597" s="329">
        <v>45.9</v>
      </c>
      <c r="E597" s="329">
        <f t="shared" si="33"/>
        <v>45.81666666666667</v>
      </c>
      <c r="F597" s="329">
        <v>7.3</v>
      </c>
      <c r="G597" s="329">
        <f t="shared" si="34"/>
        <v>6.1499999999999995</v>
      </c>
      <c r="H597" s="329">
        <v>7.9</v>
      </c>
      <c r="I597" s="329">
        <f t="shared" si="35"/>
        <v>7.2</v>
      </c>
      <c r="L597" s="331">
        <v>40553</v>
      </c>
      <c r="M597" s="329">
        <v>47.966666666666669</v>
      </c>
      <c r="N597" s="329">
        <v>45.81666666666667</v>
      </c>
      <c r="O597" s="329">
        <v>6.1499999999999995</v>
      </c>
      <c r="P597" s="329">
        <v>7.2</v>
      </c>
    </row>
    <row r="598" spans="1:16">
      <c r="A598" s="331">
        <v>40553</v>
      </c>
      <c r="B598" s="329">
        <v>48.1</v>
      </c>
      <c r="C598" s="329">
        <f t="shared" si="36"/>
        <v>47.966666666666669</v>
      </c>
      <c r="D598" s="329">
        <v>45.8</v>
      </c>
      <c r="E598" s="329">
        <f t="shared" si="33"/>
        <v>45.81666666666667</v>
      </c>
      <c r="F598" s="329">
        <v>6.5</v>
      </c>
      <c r="G598" s="329">
        <f t="shared" si="34"/>
        <v>6.1499999999999995</v>
      </c>
      <c r="H598" s="329">
        <v>7.6</v>
      </c>
      <c r="I598" s="329">
        <f t="shared" si="35"/>
        <v>7.2</v>
      </c>
      <c r="L598" s="331">
        <v>40553</v>
      </c>
      <c r="M598" s="329">
        <v>47.966666666666669</v>
      </c>
      <c r="N598" s="329">
        <v>45.81666666666667</v>
      </c>
      <c r="O598" s="329">
        <v>6.1499999999999995</v>
      </c>
      <c r="P598" s="329">
        <v>7.2</v>
      </c>
    </row>
    <row r="599" spans="1:16">
      <c r="A599" s="331">
        <v>40553</v>
      </c>
      <c r="B599" s="329">
        <v>47.9</v>
      </c>
      <c r="C599" s="329">
        <f t="shared" si="36"/>
        <v>47.966666666666669</v>
      </c>
      <c r="D599" s="329">
        <v>45.8</v>
      </c>
      <c r="E599" s="329">
        <f t="shared" si="33"/>
        <v>45.81666666666667</v>
      </c>
      <c r="F599" s="329">
        <v>5.7</v>
      </c>
      <c r="G599" s="329">
        <f t="shared" si="34"/>
        <v>6.1499999999999995</v>
      </c>
      <c r="H599" s="329">
        <v>7.3</v>
      </c>
      <c r="I599" s="329">
        <f t="shared" si="35"/>
        <v>7.2</v>
      </c>
      <c r="L599" s="331">
        <v>40553</v>
      </c>
      <c r="M599" s="329">
        <v>47.966666666666669</v>
      </c>
      <c r="N599" s="329">
        <v>45.81666666666667</v>
      </c>
      <c r="O599" s="329">
        <v>6.1499999999999995</v>
      </c>
      <c r="P599" s="329">
        <v>7.2</v>
      </c>
    </row>
    <row r="600" spans="1:16">
      <c r="A600" s="331">
        <v>40553</v>
      </c>
      <c r="B600" s="329">
        <v>47.9</v>
      </c>
      <c r="C600" s="329">
        <f t="shared" si="36"/>
        <v>47.966666666666669</v>
      </c>
      <c r="D600" s="329">
        <v>45.8</v>
      </c>
      <c r="E600" s="329">
        <f t="shared" si="33"/>
        <v>45.81666666666667</v>
      </c>
      <c r="F600" s="329">
        <v>5.2</v>
      </c>
      <c r="G600" s="329">
        <f t="shared" si="34"/>
        <v>6.1499999999999995</v>
      </c>
      <c r="H600" s="329">
        <v>7</v>
      </c>
      <c r="I600" s="329">
        <f t="shared" si="35"/>
        <v>7.2</v>
      </c>
      <c r="L600" s="331">
        <v>40553</v>
      </c>
      <c r="M600" s="329">
        <v>47.966666666666669</v>
      </c>
      <c r="N600" s="329">
        <v>45.81666666666667</v>
      </c>
      <c r="O600" s="329">
        <v>6.1499999999999995</v>
      </c>
      <c r="P600" s="329">
        <v>7.2</v>
      </c>
    </row>
    <row r="601" spans="1:16">
      <c r="A601" s="331">
        <v>40553</v>
      </c>
      <c r="B601" s="329">
        <v>47.9</v>
      </c>
      <c r="C601" s="329">
        <f t="shared" si="36"/>
        <v>47.966666666666669</v>
      </c>
      <c r="D601" s="329">
        <v>45.8</v>
      </c>
      <c r="E601" s="329">
        <f t="shared" si="33"/>
        <v>45.81666666666667</v>
      </c>
      <c r="F601" s="329">
        <v>6.1</v>
      </c>
      <c r="G601" s="329">
        <f t="shared" si="34"/>
        <v>6.1499999999999995</v>
      </c>
      <c r="H601" s="329">
        <v>6.7</v>
      </c>
      <c r="I601" s="329">
        <f t="shared" si="35"/>
        <v>7.2</v>
      </c>
      <c r="L601" s="331">
        <v>40553</v>
      </c>
      <c r="M601" s="329">
        <v>47.966666666666669</v>
      </c>
      <c r="N601" s="329">
        <v>45.81666666666667</v>
      </c>
      <c r="O601" s="329">
        <v>6.1499999999999995</v>
      </c>
      <c r="P601" s="329">
        <v>7.2</v>
      </c>
    </row>
    <row r="602" spans="1:16">
      <c r="A602" s="331">
        <v>40553</v>
      </c>
      <c r="B602" s="329">
        <v>47.8</v>
      </c>
      <c r="C602" s="329">
        <f t="shared" si="36"/>
        <v>47.966666666666669</v>
      </c>
      <c r="D602" s="329">
        <v>45.8</v>
      </c>
      <c r="E602" s="329">
        <f t="shared" si="33"/>
        <v>45.81666666666667</v>
      </c>
      <c r="F602" s="329">
        <v>6.1</v>
      </c>
      <c r="G602" s="329">
        <f t="shared" si="34"/>
        <v>6.1499999999999995</v>
      </c>
      <c r="H602" s="329">
        <v>6.7</v>
      </c>
      <c r="I602" s="329">
        <f t="shared" si="35"/>
        <v>7.2</v>
      </c>
      <c r="L602" s="331">
        <v>40553</v>
      </c>
      <c r="M602" s="329">
        <v>47.966666666666669</v>
      </c>
      <c r="N602" s="329">
        <v>45.81666666666667</v>
      </c>
      <c r="O602" s="329">
        <v>6.1499999999999995</v>
      </c>
      <c r="P602" s="329">
        <v>7.2</v>
      </c>
    </row>
    <row r="603" spans="1:16">
      <c r="A603" s="331">
        <v>40554</v>
      </c>
      <c r="B603" s="329">
        <v>47.8</v>
      </c>
      <c r="C603" s="329">
        <f t="shared" si="36"/>
        <v>58.016666666666673</v>
      </c>
      <c r="D603" s="329">
        <v>45.8</v>
      </c>
      <c r="E603" s="329">
        <f t="shared" si="33"/>
        <v>59.75</v>
      </c>
      <c r="F603" s="329">
        <v>5.5</v>
      </c>
      <c r="G603" s="329">
        <f t="shared" si="34"/>
        <v>6.3499999999999988</v>
      </c>
      <c r="H603" s="329">
        <v>6.6</v>
      </c>
      <c r="I603" s="329">
        <f t="shared" si="35"/>
        <v>6.5333333333333323</v>
      </c>
      <c r="L603" s="331">
        <v>40554</v>
      </c>
      <c r="M603" s="329">
        <v>58.016666666666673</v>
      </c>
      <c r="N603" s="329">
        <v>59.75</v>
      </c>
      <c r="O603" s="329">
        <v>6.3499999999999988</v>
      </c>
      <c r="P603" s="329">
        <v>6.5333333333333323</v>
      </c>
    </row>
    <row r="604" spans="1:16">
      <c r="A604" s="331">
        <v>40554</v>
      </c>
      <c r="B604" s="329">
        <v>47.8</v>
      </c>
      <c r="C604" s="329">
        <f t="shared" si="36"/>
        <v>58.016666666666673</v>
      </c>
      <c r="D604" s="329">
        <v>45.8</v>
      </c>
      <c r="E604" s="329">
        <f t="shared" si="33"/>
        <v>59.75</v>
      </c>
      <c r="F604" s="329">
        <v>5.5</v>
      </c>
      <c r="G604" s="329">
        <f t="shared" si="34"/>
        <v>6.3499999999999988</v>
      </c>
      <c r="H604" s="329">
        <v>6.5</v>
      </c>
      <c r="I604" s="329">
        <f t="shared" si="35"/>
        <v>6.5333333333333323</v>
      </c>
      <c r="L604" s="331">
        <v>40554</v>
      </c>
      <c r="M604" s="329">
        <v>58.016666666666673</v>
      </c>
      <c r="N604" s="329">
        <v>59.75</v>
      </c>
      <c r="O604" s="329">
        <v>6.3499999999999988</v>
      </c>
      <c r="P604" s="329">
        <v>6.5333333333333323</v>
      </c>
    </row>
    <row r="605" spans="1:16">
      <c r="A605" s="331">
        <v>40554</v>
      </c>
      <c r="B605" s="329">
        <v>51.7</v>
      </c>
      <c r="C605" s="329">
        <f t="shared" si="36"/>
        <v>58.016666666666673</v>
      </c>
      <c r="D605" s="329">
        <v>45.8</v>
      </c>
      <c r="E605" s="329">
        <f t="shared" si="33"/>
        <v>59.75</v>
      </c>
      <c r="F605" s="329">
        <v>5.7</v>
      </c>
      <c r="G605" s="329">
        <f t="shared" si="34"/>
        <v>6.3499999999999988</v>
      </c>
      <c r="H605" s="329">
        <v>6.4</v>
      </c>
      <c r="I605" s="329">
        <f t="shared" si="35"/>
        <v>6.5333333333333323</v>
      </c>
      <c r="L605" s="331">
        <v>40554</v>
      </c>
      <c r="M605" s="329">
        <v>58.016666666666673</v>
      </c>
      <c r="N605" s="329">
        <v>59.75</v>
      </c>
      <c r="O605" s="329">
        <v>6.3499999999999988</v>
      </c>
      <c r="P605" s="329">
        <v>6.5333333333333323</v>
      </c>
    </row>
    <row r="606" spans="1:16">
      <c r="A606" s="331">
        <v>40554</v>
      </c>
      <c r="B606" s="329">
        <v>66.900000000000006</v>
      </c>
      <c r="C606" s="329">
        <f t="shared" si="36"/>
        <v>58.016666666666673</v>
      </c>
      <c r="D606" s="329">
        <v>73.3</v>
      </c>
      <c r="E606" s="329">
        <f t="shared" si="33"/>
        <v>59.75</v>
      </c>
      <c r="F606" s="329">
        <v>6.2</v>
      </c>
      <c r="G606" s="329">
        <f t="shared" si="34"/>
        <v>6.3499999999999988</v>
      </c>
      <c r="H606" s="329">
        <v>6.4</v>
      </c>
      <c r="I606" s="329">
        <f t="shared" si="35"/>
        <v>6.5333333333333323</v>
      </c>
      <c r="L606" s="331">
        <v>40554</v>
      </c>
      <c r="M606" s="329">
        <v>58.016666666666673</v>
      </c>
      <c r="N606" s="329">
        <v>59.75</v>
      </c>
      <c r="O606" s="329">
        <v>6.3499999999999988</v>
      </c>
      <c r="P606" s="329">
        <v>6.5333333333333323</v>
      </c>
    </row>
    <row r="607" spans="1:16">
      <c r="A607" s="331">
        <v>40554</v>
      </c>
      <c r="B607" s="329">
        <v>67</v>
      </c>
      <c r="C607" s="329">
        <f t="shared" si="36"/>
        <v>58.016666666666673</v>
      </c>
      <c r="D607" s="329">
        <v>73.8</v>
      </c>
      <c r="E607" s="329">
        <f t="shared" si="33"/>
        <v>59.75</v>
      </c>
      <c r="F607" s="329">
        <v>7.4</v>
      </c>
      <c r="G607" s="329">
        <f t="shared" si="34"/>
        <v>6.3499999999999988</v>
      </c>
      <c r="H607" s="329">
        <v>6.5</v>
      </c>
      <c r="I607" s="329">
        <f t="shared" si="35"/>
        <v>6.5333333333333323</v>
      </c>
      <c r="L607" s="331">
        <v>40554</v>
      </c>
      <c r="M607" s="329">
        <v>58.016666666666673</v>
      </c>
      <c r="N607" s="329">
        <v>59.75</v>
      </c>
      <c r="O607" s="329">
        <v>6.3499999999999988</v>
      </c>
      <c r="P607" s="329">
        <v>6.5333333333333323</v>
      </c>
    </row>
    <row r="608" spans="1:16">
      <c r="A608" s="331">
        <v>40554</v>
      </c>
      <c r="B608" s="329">
        <v>66.900000000000006</v>
      </c>
      <c r="C608" s="329">
        <f t="shared" si="36"/>
        <v>58.016666666666673</v>
      </c>
      <c r="D608" s="329">
        <v>74</v>
      </c>
      <c r="E608" s="329">
        <f t="shared" si="33"/>
        <v>59.75</v>
      </c>
      <c r="F608" s="329">
        <v>7.8</v>
      </c>
      <c r="G608" s="329">
        <f t="shared" si="34"/>
        <v>6.3499999999999988</v>
      </c>
      <c r="H608" s="329">
        <v>6.8</v>
      </c>
      <c r="I608" s="329">
        <f t="shared" si="35"/>
        <v>6.5333333333333323</v>
      </c>
      <c r="L608" s="331">
        <v>40554</v>
      </c>
      <c r="M608" s="329">
        <v>58.016666666666673</v>
      </c>
      <c r="N608" s="329">
        <v>59.75</v>
      </c>
      <c r="O608" s="329">
        <v>6.3499999999999988</v>
      </c>
      <c r="P608" s="329">
        <v>6.5333333333333323</v>
      </c>
    </row>
    <row r="609" spans="1:16">
      <c r="A609" s="331">
        <v>40555</v>
      </c>
      <c r="B609" s="329">
        <v>60</v>
      </c>
      <c r="C609" s="329">
        <f t="shared" si="36"/>
        <v>53.583333333333336</v>
      </c>
      <c r="D609" s="329">
        <v>74.099999999999994</v>
      </c>
      <c r="E609" s="329">
        <f t="shared" si="33"/>
        <v>55.883333333333333</v>
      </c>
      <c r="F609" s="329">
        <v>7.7</v>
      </c>
      <c r="G609" s="329">
        <f t="shared" si="34"/>
        <v>7.7</v>
      </c>
      <c r="H609" s="329">
        <v>7</v>
      </c>
      <c r="I609" s="329">
        <f t="shared" si="35"/>
        <v>7.2166666666666659</v>
      </c>
      <c r="L609" s="331">
        <v>40555</v>
      </c>
      <c r="M609" s="329">
        <v>53.583333333333336</v>
      </c>
      <c r="N609" s="329">
        <v>55.883333333333333</v>
      </c>
      <c r="O609" s="329">
        <v>7.7</v>
      </c>
      <c r="P609" s="329">
        <v>7.2166666666666659</v>
      </c>
    </row>
    <row r="610" spans="1:16">
      <c r="A610" s="331">
        <v>40555</v>
      </c>
      <c r="B610" s="329">
        <v>54.5</v>
      </c>
      <c r="C610" s="329">
        <f t="shared" si="36"/>
        <v>53.583333333333336</v>
      </c>
      <c r="D610" s="329">
        <v>60.7</v>
      </c>
      <c r="E610" s="329">
        <f t="shared" ref="E610:E673" si="37">AVERAGEIFS($D$33:$D$1494,$A$33:$A$1494,A610)</f>
        <v>55.883333333333333</v>
      </c>
      <c r="F610" s="329">
        <v>7.6</v>
      </c>
      <c r="G610" s="329">
        <f t="shared" ref="G610:G673" si="38">AVERAGEIFS($F$33:$F$1494,$A$33:$A$1494,A610)</f>
        <v>7.7</v>
      </c>
      <c r="H610" s="329">
        <v>7.2</v>
      </c>
      <c r="I610" s="329">
        <f t="shared" ref="I610:I673" si="39">AVERAGEIFS($H$33:$H$1494,$A$33:$A$1494,A610)</f>
        <v>7.2166666666666659</v>
      </c>
      <c r="L610" s="331">
        <v>40555</v>
      </c>
      <c r="M610" s="329">
        <v>53.583333333333336</v>
      </c>
      <c r="N610" s="329">
        <v>55.883333333333333</v>
      </c>
      <c r="O610" s="329">
        <v>7.7</v>
      </c>
      <c r="P610" s="329">
        <v>7.2166666666666659</v>
      </c>
    </row>
    <row r="611" spans="1:16">
      <c r="A611" s="331">
        <v>40555</v>
      </c>
      <c r="B611" s="329">
        <v>52.5</v>
      </c>
      <c r="C611" s="329">
        <f t="shared" si="36"/>
        <v>53.583333333333336</v>
      </c>
      <c r="D611" s="329">
        <v>50.4</v>
      </c>
      <c r="E611" s="329">
        <f t="shared" si="37"/>
        <v>55.883333333333333</v>
      </c>
      <c r="F611" s="329">
        <v>7.5</v>
      </c>
      <c r="G611" s="329">
        <f t="shared" si="38"/>
        <v>7.7</v>
      </c>
      <c r="H611" s="329">
        <v>7.2</v>
      </c>
      <c r="I611" s="329">
        <f t="shared" si="39"/>
        <v>7.2166666666666659</v>
      </c>
      <c r="L611" s="331">
        <v>40555</v>
      </c>
      <c r="M611" s="329">
        <v>53.583333333333336</v>
      </c>
      <c r="N611" s="329">
        <v>55.883333333333333</v>
      </c>
      <c r="O611" s="329">
        <v>7.7</v>
      </c>
      <c r="P611" s="329">
        <v>7.2166666666666659</v>
      </c>
    </row>
    <row r="612" spans="1:16">
      <c r="A612" s="331">
        <v>40555</v>
      </c>
      <c r="B612" s="329">
        <v>51.7</v>
      </c>
      <c r="C612" s="329">
        <f t="shared" si="36"/>
        <v>53.583333333333336</v>
      </c>
      <c r="D612" s="329">
        <v>50.3</v>
      </c>
      <c r="E612" s="329">
        <f t="shared" si="37"/>
        <v>55.883333333333333</v>
      </c>
      <c r="F612" s="329">
        <v>7.5</v>
      </c>
      <c r="G612" s="329">
        <f t="shared" si="38"/>
        <v>7.7</v>
      </c>
      <c r="H612" s="329">
        <v>7.2</v>
      </c>
      <c r="I612" s="329">
        <f t="shared" si="39"/>
        <v>7.2166666666666659</v>
      </c>
      <c r="L612" s="331">
        <v>40555</v>
      </c>
      <c r="M612" s="329">
        <v>53.583333333333336</v>
      </c>
      <c r="N612" s="329">
        <v>55.883333333333333</v>
      </c>
      <c r="O612" s="329">
        <v>7.7</v>
      </c>
      <c r="P612" s="329">
        <v>7.2166666666666659</v>
      </c>
    </row>
    <row r="613" spans="1:16">
      <c r="A613" s="331">
        <v>40555</v>
      </c>
      <c r="B613" s="329">
        <v>51.3</v>
      </c>
      <c r="C613" s="329">
        <f t="shared" si="36"/>
        <v>53.583333333333336</v>
      </c>
      <c r="D613" s="329">
        <v>50.1</v>
      </c>
      <c r="E613" s="329">
        <f t="shared" si="37"/>
        <v>55.883333333333333</v>
      </c>
      <c r="F613" s="329">
        <v>7.7</v>
      </c>
      <c r="G613" s="329">
        <f t="shared" si="38"/>
        <v>7.7</v>
      </c>
      <c r="H613" s="329">
        <v>7.3</v>
      </c>
      <c r="I613" s="329">
        <f t="shared" si="39"/>
        <v>7.2166666666666659</v>
      </c>
      <c r="L613" s="331">
        <v>40555</v>
      </c>
      <c r="M613" s="329">
        <v>53.583333333333336</v>
      </c>
      <c r="N613" s="329">
        <v>55.883333333333333</v>
      </c>
      <c r="O613" s="329">
        <v>7.7</v>
      </c>
      <c r="P613" s="329">
        <v>7.2166666666666659</v>
      </c>
    </row>
    <row r="614" spans="1:16">
      <c r="A614" s="331">
        <v>40555</v>
      </c>
      <c r="B614" s="329">
        <v>51.5</v>
      </c>
      <c r="C614" s="329">
        <f t="shared" si="36"/>
        <v>53.583333333333336</v>
      </c>
      <c r="D614" s="329">
        <v>49.7</v>
      </c>
      <c r="E614" s="329">
        <f t="shared" si="37"/>
        <v>55.883333333333333</v>
      </c>
      <c r="F614" s="329">
        <v>8.1999999999999993</v>
      </c>
      <c r="G614" s="329">
        <f t="shared" si="38"/>
        <v>7.7</v>
      </c>
      <c r="H614" s="329">
        <v>7.4</v>
      </c>
      <c r="I614" s="329">
        <f t="shared" si="39"/>
        <v>7.2166666666666659</v>
      </c>
      <c r="L614" s="331">
        <v>40555</v>
      </c>
      <c r="M614" s="329">
        <v>53.583333333333336</v>
      </c>
      <c r="N614" s="329">
        <v>55.883333333333333</v>
      </c>
      <c r="O614" s="329">
        <v>7.7</v>
      </c>
      <c r="P614" s="329">
        <v>7.2166666666666659</v>
      </c>
    </row>
    <row r="615" spans="1:16">
      <c r="A615" s="331">
        <v>40556</v>
      </c>
      <c r="B615" s="329">
        <v>51.3</v>
      </c>
      <c r="C615" s="329">
        <f t="shared" si="36"/>
        <v>50.9</v>
      </c>
      <c r="D615" s="329">
        <v>49.3</v>
      </c>
      <c r="E615" s="329">
        <f t="shared" si="37"/>
        <v>48.6</v>
      </c>
      <c r="F615" s="329">
        <v>8.5</v>
      </c>
      <c r="G615" s="329">
        <f t="shared" si="38"/>
        <v>8.9500000000000011</v>
      </c>
      <c r="H615" s="329">
        <v>7.5</v>
      </c>
      <c r="I615" s="329">
        <f t="shared" si="39"/>
        <v>7.8666666666666671</v>
      </c>
      <c r="L615" s="331">
        <v>40556</v>
      </c>
      <c r="M615" s="329">
        <v>50.9</v>
      </c>
      <c r="N615" s="329">
        <v>48.6</v>
      </c>
      <c r="O615" s="329">
        <v>8.9500000000000011</v>
      </c>
      <c r="P615" s="329">
        <v>7.8666666666666671</v>
      </c>
    </row>
    <row r="616" spans="1:16">
      <c r="A616" s="331">
        <v>40556</v>
      </c>
      <c r="B616" s="329">
        <v>51.1</v>
      </c>
      <c r="C616" s="329">
        <f t="shared" ref="C616:C679" si="40">AVERAGEIFS($B$33:$B$1494,$A$33:$A$1494,A616)</f>
        <v>50.9</v>
      </c>
      <c r="D616" s="329">
        <v>49</v>
      </c>
      <c r="E616" s="329">
        <f t="shared" si="37"/>
        <v>48.6</v>
      </c>
      <c r="F616" s="329">
        <v>8.6</v>
      </c>
      <c r="G616" s="329">
        <f t="shared" si="38"/>
        <v>8.9500000000000011</v>
      </c>
      <c r="H616" s="329">
        <v>7.7</v>
      </c>
      <c r="I616" s="329">
        <f t="shared" si="39"/>
        <v>7.8666666666666671</v>
      </c>
      <c r="L616" s="331">
        <v>40556</v>
      </c>
      <c r="M616" s="329">
        <v>50.9</v>
      </c>
      <c r="N616" s="329">
        <v>48.6</v>
      </c>
      <c r="O616" s="329">
        <v>8.9500000000000011</v>
      </c>
      <c r="P616" s="329">
        <v>7.8666666666666671</v>
      </c>
    </row>
    <row r="617" spans="1:16">
      <c r="A617" s="331">
        <v>40556</v>
      </c>
      <c r="B617" s="329">
        <v>51</v>
      </c>
      <c r="C617" s="329">
        <f t="shared" si="40"/>
        <v>50.9</v>
      </c>
      <c r="D617" s="329">
        <v>48.6</v>
      </c>
      <c r="E617" s="329">
        <f t="shared" si="37"/>
        <v>48.6</v>
      </c>
      <c r="F617" s="329">
        <v>8.6999999999999993</v>
      </c>
      <c r="G617" s="329">
        <f t="shared" si="38"/>
        <v>8.9500000000000011</v>
      </c>
      <c r="H617" s="329">
        <v>7.8</v>
      </c>
      <c r="I617" s="329">
        <f t="shared" si="39"/>
        <v>7.8666666666666671</v>
      </c>
      <c r="L617" s="331">
        <v>40556</v>
      </c>
      <c r="M617" s="329">
        <v>50.9</v>
      </c>
      <c r="N617" s="329">
        <v>48.6</v>
      </c>
      <c r="O617" s="329">
        <v>8.9500000000000011</v>
      </c>
      <c r="P617" s="329">
        <v>7.8666666666666671</v>
      </c>
    </row>
    <row r="618" spans="1:16">
      <c r="A618" s="331">
        <v>40556</v>
      </c>
      <c r="B618" s="329">
        <v>50.8</v>
      </c>
      <c r="C618" s="329">
        <f t="shared" si="40"/>
        <v>50.9</v>
      </c>
      <c r="D618" s="329">
        <v>48.4</v>
      </c>
      <c r="E618" s="329">
        <f t="shared" si="37"/>
        <v>48.6</v>
      </c>
      <c r="F618" s="329">
        <v>8.8000000000000007</v>
      </c>
      <c r="G618" s="329">
        <f t="shared" si="38"/>
        <v>8.9500000000000011</v>
      </c>
      <c r="H618" s="329">
        <v>7.9</v>
      </c>
      <c r="I618" s="329">
        <f t="shared" si="39"/>
        <v>7.8666666666666671</v>
      </c>
      <c r="L618" s="331">
        <v>40556</v>
      </c>
      <c r="M618" s="329">
        <v>50.9</v>
      </c>
      <c r="N618" s="329">
        <v>48.6</v>
      </c>
      <c r="O618" s="329">
        <v>8.9500000000000011</v>
      </c>
      <c r="P618" s="329">
        <v>7.8666666666666671</v>
      </c>
    </row>
    <row r="619" spans="1:16">
      <c r="A619" s="331">
        <v>40556</v>
      </c>
      <c r="B619" s="329">
        <v>50.7</v>
      </c>
      <c r="C619" s="329">
        <f t="shared" si="40"/>
        <v>50.9</v>
      </c>
      <c r="D619" s="329">
        <v>48.2</v>
      </c>
      <c r="E619" s="329">
        <f t="shared" si="37"/>
        <v>48.6</v>
      </c>
      <c r="F619" s="329">
        <v>9.6</v>
      </c>
      <c r="G619" s="329">
        <f t="shared" si="38"/>
        <v>8.9500000000000011</v>
      </c>
      <c r="H619" s="329">
        <v>8</v>
      </c>
      <c r="I619" s="329">
        <f t="shared" si="39"/>
        <v>7.8666666666666671</v>
      </c>
      <c r="L619" s="331">
        <v>40556</v>
      </c>
      <c r="M619" s="329">
        <v>50.9</v>
      </c>
      <c r="N619" s="329">
        <v>48.6</v>
      </c>
      <c r="O619" s="329">
        <v>8.9500000000000011</v>
      </c>
      <c r="P619" s="329">
        <v>7.8666666666666671</v>
      </c>
    </row>
    <row r="620" spans="1:16">
      <c r="A620" s="331">
        <v>40556</v>
      </c>
      <c r="B620" s="329">
        <v>50.5</v>
      </c>
      <c r="C620" s="329">
        <f t="shared" si="40"/>
        <v>50.9</v>
      </c>
      <c r="D620" s="329">
        <v>48.1</v>
      </c>
      <c r="E620" s="329">
        <f t="shared" si="37"/>
        <v>48.6</v>
      </c>
      <c r="F620" s="329">
        <v>9.5</v>
      </c>
      <c r="G620" s="329">
        <f t="shared" si="38"/>
        <v>8.9500000000000011</v>
      </c>
      <c r="H620" s="329">
        <v>8.3000000000000007</v>
      </c>
      <c r="I620" s="329">
        <f t="shared" si="39"/>
        <v>7.8666666666666671</v>
      </c>
      <c r="L620" s="331">
        <v>40556</v>
      </c>
      <c r="M620" s="329">
        <v>50.9</v>
      </c>
      <c r="N620" s="329">
        <v>48.6</v>
      </c>
      <c r="O620" s="329">
        <v>8.9500000000000011</v>
      </c>
      <c r="P620" s="329">
        <v>7.8666666666666671</v>
      </c>
    </row>
    <row r="621" spans="1:16">
      <c r="A621" s="331">
        <v>40557</v>
      </c>
      <c r="B621" s="329">
        <v>50.4</v>
      </c>
      <c r="C621" s="329">
        <f t="shared" si="40"/>
        <v>50.066666666666663</v>
      </c>
      <c r="D621" s="329">
        <v>47.9</v>
      </c>
      <c r="E621" s="329">
        <f t="shared" si="37"/>
        <v>47.68333333333333</v>
      </c>
      <c r="F621" s="329">
        <v>8.6</v>
      </c>
      <c r="G621" s="329">
        <f t="shared" si="38"/>
        <v>7.8833333333333329</v>
      </c>
      <c r="H621" s="329">
        <v>8.4</v>
      </c>
      <c r="I621" s="329">
        <f t="shared" si="39"/>
        <v>7.9833333333333334</v>
      </c>
      <c r="L621" s="331">
        <v>40557</v>
      </c>
      <c r="M621" s="329">
        <v>50.066666666666663</v>
      </c>
      <c r="N621" s="329">
        <v>47.68333333333333</v>
      </c>
      <c r="O621" s="329">
        <v>7.8833333333333329</v>
      </c>
      <c r="P621" s="329">
        <v>7.9833333333333334</v>
      </c>
    </row>
    <row r="622" spans="1:16">
      <c r="A622" s="331">
        <v>40557</v>
      </c>
      <c r="B622" s="329">
        <v>50.2</v>
      </c>
      <c r="C622" s="329">
        <f t="shared" si="40"/>
        <v>50.066666666666663</v>
      </c>
      <c r="D622" s="329">
        <v>47.8</v>
      </c>
      <c r="E622" s="329">
        <f t="shared" si="37"/>
        <v>47.68333333333333</v>
      </c>
      <c r="F622" s="329">
        <v>7.8</v>
      </c>
      <c r="G622" s="329">
        <f t="shared" si="38"/>
        <v>7.8833333333333329</v>
      </c>
      <c r="H622" s="329">
        <v>8.1999999999999993</v>
      </c>
      <c r="I622" s="329">
        <f t="shared" si="39"/>
        <v>7.9833333333333334</v>
      </c>
      <c r="L622" s="331">
        <v>40557</v>
      </c>
      <c r="M622" s="329">
        <v>50.066666666666663</v>
      </c>
      <c r="N622" s="329">
        <v>47.68333333333333</v>
      </c>
      <c r="O622" s="329">
        <v>7.8833333333333329</v>
      </c>
      <c r="P622" s="329">
        <v>7.9833333333333334</v>
      </c>
    </row>
    <row r="623" spans="1:16">
      <c r="A623" s="331">
        <v>40557</v>
      </c>
      <c r="B623" s="329">
        <v>50.1</v>
      </c>
      <c r="C623" s="329">
        <f t="shared" si="40"/>
        <v>50.066666666666663</v>
      </c>
      <c r="D623" s="329">
        <v>47.7</v>
      </c>
      <c r="E623" s="329">
        <f t="shared" si="37"/>
        <v>47.68333333333333</v>
      </c>
      <c r="F623" s="329">
        <v>7.3</v>
      </c>
      <c r="G623" s="329">
        <f t="shared" si="38"/>
        <v>7.8833333333333329</v>
      </c>
      <c r="H623" s="329">
        <v>8</v>
      </c>
      <c r="I623" s="329">
        <f t="shared" si="39"/>
        <v>7.9833333333333334</v>
      </c>
      <c r="L623" s="331">
        <v>40557</v>
      </c>
      <c r="M623" s="329">
        <v>50.066666666666663</v>
      </c>
      <c r="N623" s="329">
        <v>47.68333333333333</v>
      </c>
      <c r="O623" s="329">
        <v>7.8833333333333329</v>
      </c>
      <c r="P623" s="329">
        <v>7.9833333333333334</v>
      </c>
    </row>
    <row r="624" spans="1:16">
      <c r="A624" s="331">
        <v>40557</v>
      </c>
      <c r="B624" s="329">
        <v>50</v>
      </c>
      <c r="C624" s="329">
        <f t="shared" si="40"/>
        <v>50.066666666666663</v>
      </c>
      <c r="D624" s="329">
        <v>47.6</v>
      </c>
      <c r="E624" s="329">
        <f t="shared" si="37"/>
        <v>47.68333333333333</v>
      </c>
      <c r="F624" s="329">
        <v>7.3</v>
      </c>
      <c r="G624" s="329">
        <f t="shared" si="38"/>
        <v>7.8833333333333329</v>
      </c>
      <c r="H624" s="329">
        <v>7.8</v>
      </c>
      <c r="I624" s="329">
        <f t="shared" si="39"/>
        <v>7.9833333333333334</v>
      </c>
      <c r="L624" s="331">
        <v>40557</v>
      </c>
      <c r="M624" s="329">
        <v>50.066666666666663</v>
      </c>
      <c r="N624" s="329">
        <v>47.68333333333333</v>
      </c>
      <c r="O624" s="329">
        <v>7.8833333333333329</v>
      </c>
      <c r="P624" s="329">
        <v>7.9833333333333334</v>
      </c>
    </row>
    <row r="625" spans="1:16">
      <c r="A625" s="331">
        <v>40557</v>
      </c>
      <c r="B625" s="329">
        <v>49.9</v>
      </c>
      <c r="C625" s="329">
        <f t="shared" si="40"/>
        <v>50.066666666666663</v>
      </c>
      <c r="D625" s="329">
        <v>47.6</v>
      </c>
      <c r="E625" s="329">
        <f t="shared" si="37"/>
        <v>47.68333333333333</v>
      </c>
      <c r="F625" s="329">
        <v>8.1</v>
      </c>
      <c r="G625" s="329">
        <f t="shared" si="38"/>
        <v>7.8833333333333329</v>
      </c>
      <c r="H625" s="329">
        <v>7.7</v>
      </c>
      <c r="I625" s="329">
        <f t="shared" si="39"/>
        <v>7.9833333333333334</v>
      </c>
      <c r="L625" s="331">
        <v>40557</v>
      </c>
      <c r="M625" s="329">
        <v>50.066666666666663</v>
      </c>
      <c r="N625" s="329">
        <v>47.68333333333333</v>
      </c>
      <c r="O625" s="329">
        <v>7.8833333333333329</v>
      </c>
      <c r="P625" s="329">
        <v>7.9833333333333334</v>
      </c>
    </row>
    <row r="626" spans="1:16">
      <c r="A626" s="331">
        <v>40557</v>
      </c>
      <c r="B626" s="329">
        <v>49.8</v>
      </c>
      <c r="C626" s="329">
        <f t="shared" si="40"/>
        <v>50.066666666666663</v>
      </c>
      <c r="D626" s="329">
        <v>47.5</v>
      </c>
      <c r="E626" s="329">
        <f t="shared" si="37"/>
        <v>47.68333333333333</v>
      </c>
      <c r="F626" s="329">
        <v>8.1999999999999993</v>
      </c>
      <c r="G626" s="329">
        <f t="shared" si="38"/>
        <v>7.8833333333333329</v>
      </c>
      <c r="H626" s="329">
        <v>7.8</v>
      </c>
      <c r="I626" s="329">
        <f t="shared" si="39"/>
        <v>7.9833333333333334</v>
      </c>
      <c r="L626" s="331">
        <v>40557</v>
      </c>
      <c r="M626" s="329">
        <v>50.066666666666663</v>
      </c>
      <c r="N626" s="329">
        <v>47.68333333333333</v>
      </c>
      <c r="O626" s="329">
        <v>7.8833333333333329</v>
      </c>
      <c r="P626" s="329">
        <v>7.9833333333333334</v>
      </c>
    </row>
    <row r="627" spans="1:16">
      <c r="A627" s="331">
        <v>40558</v>
      </c>
      <c r="B627" s="329">
        <v>49.8</v>
      </c>
      <c r="C627" s="329">
        <f t="shared" si="40"/>
        <v>49.633333333333326</v>
      </c>
      <c r="D627" s="329">
        <v>47.4</v>
      </c>
      <c r="E627" s="329">
        <f t="shared" si="37"/>
        <v>47.283333333333331</v>
      </c>
      <c r="F627" s="329">
        <v>7.8</v>
      </c>
      <c r="G627" s="329">
        <f t="shared" si="38"/>
        <v>7.4499999999999993</v>
      </c>
      <c r="H627" s="329">
        <v>7.8</v>
      </c>
      <c r="I627" s="329">
        <f t="shared" si="39"/>
        <v>7.5666666666666664</v>
      </c>
      <c r="L627" s="331">
        <v>40558</v>
      </c>
      <c r="M627" s="329">
        <v>49.633333333333326</v>
      </c>
      <c r="N627" s="329">
        <v>47.283333333333331</v>
      </c>
      <c r="O627" s="329">
        <v>7.4499999999999993</v>
      </c>
      <c r="P627" s="329">
        <v>7.5666666666666664</v>
      </c>
    </row>
    <row r="628" spans="1:16">
      <c r="A628" s="331">
        <v>40558</v>
      </c>
      <c r="B628" s="329">
        <v>49.7</v>
      </c>
      <c r="C628" s="329">
        <f t="shared" si="40"/>
        <v>49.633333333333326</v>
      </c>
      <c r="D628" s="329">
        <v>47.3</v>
      </c>
      <c r="E628" s="329">
        <f t="shared" si="37"/>
        <v>47.283333333333331</v>
      </c>
      <c r="F628" s="329">
        <v>7.1</v>
      </c>
      <c r="G628" s="329">
        <f t="shared" si="38"/>
        <v>7.4499999999999993</v>
      </c>
      <c r="H628" s="329">
        <v>7.7</v>
      </c>
      <c r="I628" s="329">
        <f t="shared" si="39"/>
        <v>7.5666666666666664</v>
      </c>
      <c r="L628" s="331">
        <v>40558</v>
      </c>
      <c r="M628" s="329">
        <v>49.633333333333326</v>
      </c>
      <c r="N628" s="329">
        <v>47.283333333333331</v>
      </c>
      <c r="O628" s="329">
        <v>7.4499999999999993</v>
      </c>
      <c r="P628" s="329">
        <v>7.5666666666666664</v>
      </c>
    </row>
    <row r="629" spans="1:16">
      <c r="A629" s="331">
        <v>40558</v>
      </c>
      <c r="B629" s="329">
        <v>49.7</v>
      </c>
      <c r="C629" s="329">
        <f t="shared" si="40"/>
        <v>49.633333333333326</v>
      </c>
      <c r="D629" s="329">
        <v>47.3</v>
      </c>
      <c r="E629" s="329">
        <f t="shared" si="37"/>
        <v>47.283333333333331</v>
      </c>
      <c r="F629" s="329">
        <v>6.9</v>
      </c>
      <c r="G629" s="329">
        <f t="shared" si="38"/>
        <v>7.4499999999999993</v>
      </c>
      <c r="H629" s="329">
        <v>7.6</v>
      </c>
      <c r="I629" s="329">
        <f t="shared" si="39"/>
        <v>7.5666666666666664</v>
      </c>
      <c r="L629" s="331">
        <v>40558</v>
      </c>
      <c r="M629" s="329">
        <v>49.633333333333326</v>
      </c>
      <c r="N629" s="329">
        <v>47.283333333333331</v>
      </c>
      <c r="O629" s="329">
        <v>7.4499999999999993</v>
      </c>
      <c r="P629" s="329">
        <v>7.5666666666666664</v>
      </c>
    </row>
    <row r="630" spans="1:16">
      <c r="A630" s="331">
        <v>40558</v>
      </c>
      <c r="B630" s="329">
        <v>49.6</v>
      </c>
      <c r="C630" s="329">
        <f t="shared" si="40"/>
        <v>49.633333333333326</v>
      </c>
      <c r="D630" s="329">
        <v>47.3</v>
      </c>
      <c r="E630" s="329">
        <f t="shared" si="37"/>
        <v>47.283333333333331</v>
      </c>
      <c r="F630" s="329">
        <v>7</v>
      </c>
      <c r="G630" s="329">
        <f t="shared" si="38"/>
        <v>7.4499999999999993</v>
      </c>
      <c r="H630" s="329">
        <v>7.4</v>
      </c>
      <c r="I630" s="329">
        <f t="shared" si="39"/>
        <v>7.5666666666666664</v>
      </c>
      <c r="L630" s="331">
        <v>40558</v>
      </c>
      <c r="M630" s="329">
        <v>49.633333333333326</v>
      </c>
      <c r="N630" s="329">
        <v>47.283333333333331</v>
      </c>
      <c r="O630" s="329">
        <v>7.4499999999999993</v>
      </c>
      <c r="P630" s="329">
        <v>7.5666666666666664</v>
      </c>
    </row>
    <row r="631" spans="1:16">
      <c r="A631" s="331">
        <v>40558</v>
      </c>
      <c r="B631" s="329">
        <v>49.5</v>
      </c>
      <c r="C631" s="329">
        <f t="shared" si="40"/>
        <v>49.633333333333326</v>
      </c>
      <c r="D631" s="329">
        <v>47.2</v>
      </c>
      <c r="E631" s="329">
        <f t="shared" si="37"/>
        <v>47.283333333333331</v>
      </c>
      <c r="F631" s="329">
        <v>7.9</v>
      </c>
      <c r="G631" s="329">
        <f t="shared" si="38"/>
        <v>7.4499999999999993</v>
      </c>
      <c r="H631" s="329">
        <v>7.4</v>
      </c>
      <c r="I631" s="329">
        <f t="shared" si="39"/>
        <v>7.5666666666666664</v>
      </c>
      <c r="L631" s="331">
        <v>40558</v>
      </c>
      <c r="M631" s="329">
        <v>49.633333333333326</v>
      </c>
      <c r="N631" s="329">
        <v>47.283333333333331</v>
      </c>
      <c r="O631" s="329">
        <v>7.4499999999999993</v>
      </c>
      <c r="P631" s="329">
        <v>7.5666666666666664</v>
      </c>
    </row>
    <row r="632" spans="1:16">
      <c r="A632" s="331">
        <v>40558</v>
      </c>
      <c r="B632" s="329">
        <v>49.5</v>
      </c>
      <c r="C632" s="329">
        <f t="shared" si="40"/>
        <v>49.633333333333326</v>
      </c>
      <c r="D632" s="329">
        <v>47.2</v>
      </c>
      <c r="E632" s="329">
        <f t="shared" si="37"/>
        <v>47.283333333333331</v>
      </c>
      <c r="F632" s="329">
        <v>8</v>
      </c>
      <c r="G632" s="329">
        <f t="shared" si="38"/>
        <v>7.4499999999999993</v>
      </c>
      <c r="H632" s="329">
        <v>7.5</v>
      </c>
      <c r="I632" s="329">
        <f t="shared" si="39"/>
        <v>7.5666666666666664</v>
      </c>
      <c r="L632" s="331">
        <v>40558</v>
      </c>
      <c r="M632" s="329">
        <v>49.633333333333326</v>
      </c>
      <c r="N632" s="329">
        <v>47.283333333333331</v>
      </c>
      <c r="O632" s="329">
        <v>7.4499999999999993</v>
      </c>
      <c r="P632" s="329">
        <v>7.5666666666666664</v>
      </c>
    </row>
    <row r="633" spans="1:16">
      <c r="A633" s="331">
        <v>40559</v>
      </c>
      <c r="B633" s="329">
        <v>49.4</v>
      </c>
      <c r="C633" s="329">
        <f t="shared" si="40"/>
        <v>49.349999999999994</v>
      </c>
      <c r="D633" s="329">
        <v>47.1</v>
      </c>
      <c r="E633" s="329">
        <f t="shared" si="37"/>
        <v>47.050000000000004</v>
      </c>
      <c r="F633" s="329">
        <v>7.3</v>
      </c>
      <c r="G633" s="329">
        <f t="shared" si="38"/>
        <v>6.9666666666666659</v>
      </c>
      <c r="H633" s="329">
        <v>7.6</v>
      </c>
      <c r="I633" s="329">
        <f t="shared" si="39"/>
        <v>7.2833333333333341</v>
      </c>
      <c r="L633" s="331">
        <v>40559</v>
      </c>
      <c r="M633" s="329">
        <v>49.349999999999994</v>
      </c>
      <c r="N633" s="329">
        <v>47.050000000000004</v>
      </c>
      <c r="O633" s="329">
        <v>6.9666666666666659</v>
      </c>
      <c r="P633" s="329">
        <v>7.2833333333333341</v>
      </c>
    </row>
    <row r="634" spans="1:16">
      <c r="A634" s="331">
        <v>40559</v>
      </c>
      <c r="B634" s="329">
        <v>49.4</v>
      </c>
      <c r="C634" s="329">
        <f t="shared" si="40"/>
        <v>49.349999999999994</v>
      </c>
      <c r="D634" s="329">
        <v>47.1</v>
      </c>
      <c r="E634" s="329">
        <f t="shared" si="37"/>
        <v>47.050000000000004</v>
      </c>
      <c r="F634" s="329">
        <v>6.6</v>
      </c>
      <c r="G634" s="329">
        <f t="shared" si="38"/>
        <v>6.9666666666666659</v>
      </c>
      <c r="H634" s="329">
        <v>7.5</v>
      </c>
      <c r="I634" s="329">
        <f t="shared" si="39"/>
        <v>7.2833333333333341</v>
      </c>
      <c r="L634" s="331">
        <v>40559</v>
      </c>
      <c r="M634" s="329">
        <v>49.349999999999994</v>
      </c>
      <c r="N634" s="329">
        <v>47.050000000000004</v>
      </c>
      <c r="O634" s="329">
        <v>6.9666666666666659</v>
      </c>
      <c r="P634" s="329">
        <v>7.2833333333333341</v>
      </c>
    </row>
    <row r="635" spans="1:16">
      <c r="A635" s="331">
        <v>40559</v>
      </c>
      <c r="B635" s="329">
        <v>49.4</v>
      </c>
      <c r="C635" s="329">
        <f t="shared" si="40"/>
        <v>49.349999999999994</v>
      </c>
      <c r="D635" s="329">
        <v>47.1</v>
      </c>
      <c r="E635" s="329">
        <f t="shared" si="37"/>
        <v>47.050000000000004</v>
      </c>
      <c r="F635" s="329">
        <v>6.2</v>
      </c>
      <c r="G635" s="329">
        <f t="shared" si="38"/>
        <v>6.9666666666666659</v>
      </c>
      <c r="H635" s="329">
        <v>7.3</v>
      </c>
      <c r="I635" s="329">
        <f t="shared" si="39"/>
        <v>7.2833333333333341</v>
      </c>
      <c r="L635" s="331">
        <v>40559</v>
      </c>
      <c r="M635" s="329">
        <v>49.349999999999994</v>
      </c>
      <c r="N635" s="329">
        <v>47.050000000000004</v>
      </c>
      <c r="O635" s="329">
        <v>6.9666666666666659</v>
      </c>
      <c r="P635" s="329">
        <v>7.2833333333333341</v>
      </c>
    </row>
    <row r="636" spans="1:16">
      <c r="A636" s="331">
        <v>40559</v>
      </c>
      <c r="B636" s="329">
        <v>49.4</v>
      </c>
      <c r="C636" s="329">
        <f t="shared" si="40"/>
        <v>49.349999999999994</v>
      </c>
      <c r="D636" s="329">
        <v>47</v>
      </c>
      <c r="E636" s="329">
        <f t="shared" si="37"/>
        <v>47.050000000000004</v>
      </c>
      <c r="F636" s="329">
        <v>6.4</v>
      </c>
      <c r="G636" s="329">
        <f t="shared" si="38"/>
        <v>6.9666666666666659</v>
      </c>
      <c r="H636" s="329">
        <v>7.1</v>
      </c>
      <c r="I636" s="329">
        <f t="shared" si="39"/>
        <v>7.2833333333333341</v>
      </c>
      <c r="L636" s="331">
        <v>40559</v>
      </c>
      <c r="M636" s="329">
        <v>49.349999999999994</v>
      </c>
      <c r="N636" s="329">
        <v>47.050000000000004</v>
      </c>
      <c r="O636" s="329">
        <v>6.9666666666666659</v>
      </c>
      <c r="P636" s="329">
        <v>7.2833333333333341</v>
      </c>
    </row>
    <row r="637" spans="1:16">
      <c r="A637" s="331">
        <v>40559</v>
      </c>
      <c r="B637" s="329">
        <v>49.3</v>
      </c>
      <c r="C637" s="329">
        <f t="shared" si="40"/>
        <v>49.349999999999994</v>
      </c>
      <c r="D637" s="329">
        <v>47</v>
      </c>
      <c r="E637" s="329">
        <f t="shared" si="37"/>
        <v>47.050000000000004</v>
      </c>
      <c r="F637" s="329">
        <v>7.5</v>
      </c>
      <c r="G637" s="329">
        <f t="shared" si="38"/>
        <v>6.9666666666666659</v>
      </c>
      <c r="H637" s="329">
        <v>7</v>
      </c>
      <c r="I637" s="329">
        <f t="shared" si="39"/>
        <v>7.2833333333333341</v>
      </c>
      <c r="L637" s="331">
        <v>40559</v>
      </c>
      <c r="M637" s="329">
        <v>49.349999999999994</v>
      </c>
      <c r="N637" s="329">
        <v>47.050000000000004</v>
      </c>
      <c r="O637" s="329">
        <v>6.9666666666666659</v>
      </c>
      <c r="P637" s="329">
        <v>7.2833333333333341</v>
      </c>
    </row>
    <row r="638" spans="1:16">
      <c r="A638" s="331">
        <v>40559</v>
      </c>
      <c r="B638" s="329">
        <v>49.2</v>
      </c>
      <c r="C638" s="329">
        <f t="shared" si="40"/>
        <v>49.349999999999994</v>
      </c>
      <c r="D638" s="329">
        <v>47</v>
      </c>
      <c r="E638" s="329">
        <f t="shared" si="37"/>
        <v>47.050000000000004</v>
      </c>
      <c r="F638" s="329">
        <v>7.8</v>
      </c>
      <c r="G638" s="329">
        <f t="shared" si="38"/>
        <v>6.9666666666666659</v>
      </c>
      <c r="H638" s="329">
        <v>7.2</v>
      </c>
      <c r="I638" s="329">
        <f t="shared" si="39"/>
        <v>7.2833333333333341</v>
      </c>
      <c r="L638" s="331">
        <v>40559</v>
      </c>
      <c r="M638" s="329">
        <v>49.349999999999994</v>
      </c>
      <c r="N638" s="329">
        <v>47.050000000000004</v>
      </c>
      <c r="O638" s="329">
        <v>6.9666666666666659</v>
      </c>
      <c r="P638" s="329">
        <v>7.2833333333333341</v>
      </c>
    </row>
    <row r="639" spans="1:16">
      <c r="A639" s="331">
        <v>40560</v>
      </c>
      <c r="B639" s="329">
        <v>49.2</v>
      </c>
      <c r="C639" s="329">
        <f t="shared" si="40"/>
        <v>49.116666666666667</v>
      </c>
      <c r="D639" s="329">
        <v>47</v>
      </c>
      <c r="E639" s="329">
        <f t="shared" si="37"/>
        <v>46.883333333333333</v>
      </c>
      <c r="F639" s="329">
        <v>7.6</v>
      </c>
      <c r="G639" s="329">
        <f t="shared" si="38"/>
        <v>7.5999999999999988</v>
      </c>
      <c r="H639" s="329">
        <v>7.3</v>
      </c>
      <c r="I639" s="329">
        <f t="shared" si="39"/>
        <v>7.3666666666666671</v>
      </c>
      <c r="L639" s="331">
        <v>40560</v>
      </c>
      <c r="M639" s="329">
        <v>49.116666666666667</v>
      </c>
      <c r="N639" s="329">
        <v>46.883333333333333</v>
      </c>
      <c r="O639" s="329">
        <v>7.5999999999999988</v>
      </c>
      <c r="P639" s="329">
        <v>7.3666666666666671</v>
      </c>
    </row>
    <row r="640" spans="1:16">
      <c r="A640" s="331">
        <v>40560</v>
      </c>
      <c r="B640" s="329">
        <v>49.2</v>
      </c>
      <c r="C640" s="329">
        <f t="shared" si="40"/>
        <v>49.116666666666667</v>
      </c>
      <c r="D640" s="329">
        <v>46.9</v>
      </c>
      <c r="E640" s="329">
        <f t="shared" si="37"/>
        <v>46.883333333333333</v>
      </c>
      <c r="F640" s="329">
        <v>7.5</v>
      </c>
      <c r="G640" s="329">
        <f t="shared" si="38"/>
        <v>7.5999999999999988</v>
      </c>
      <c r="H640" s="329">
        <v>7.4</v>
      </c>
      <c r="I640" s="329">
        <f t="shared" si="39"/>
        <v>7.3666666666666671</v>
      </c>
      <c r="L640" s="331">
        <v>40560</v>
      </c>
      <c r="M640" s="329">
        <v>49.116666666666667</v>
      </c>
      <c r="N640" s="329">
        <v>46.883333333333333</v>
      </c>
      <c r="O640" s="329">
        <v>7.5999999999999988</v>
      </c>
      <c r="P640" s="329">
        <v>7.3666666666666671</v>
      </c>
    </row>
    <row r="641" spans="1:16">
      <c r="A641" s="331">
        <v>40560</v>
      </c>
      <c r="B641" s="329">
        <v>49.1</v>
      </c>
      <c r="C641" s="329">
        <f t="shared" si="40"/>
        <v>49.116666666666667</v>
      </c>
      <c r="D641" s="329">
        <v>46.9</v>
      </c>
      <c r="E641" s="329">
        <f t="shared" si="37"/>
        <v>46.883333333333333</v>
      </c>
      <c r="F641" s="329">
        <v>7.1</v>
      </c>
      <c r="G641" s="329">
        <f t="shared" si="38"/>
        <v>7.5999999999999988</v>
      </c>
      <c r="H641" s="329">
        <v>7.4</v>
      </c>
      <c r="I641" s="329">
        <f t="shared" si="39"/>
        <v>7.3666666666666671</v>
      </c>
      <c r="L641" s="331">
        <v>40560</v>
      </c>
      <c r="M641" s="329">
        <v>49.116666666666667</v>
      </c>
      <c r="N641" s="329">
        <v>46.883333333333333</v>
      </c>
      <c r="O641" s="329">
        <v>7.5999999999999988</v>
      </c>
      <c r="P641" s="329">
        <v>7.3666666666666671</v>
      </c>
    </row>
    <row r="642" spans="1:16">
      <c r="A642" s="331">
        <v>40560</v>
      </c>
      <c r="B642" s="329">
        <v>49.1</v>
      </c>
      <c r="C642" s="329">
        <f t="shared" si="40"/>
        <v>49.116666666666667</v>
      </c>
      <c r="D642" s="329">
        <v>46.9</v>
      </c>
      <c r="E642" s="329">
        <f t="shared" si="37"/>
        <v>46.883333333333333</v>
      </c>
      <c r="F642" s="329">
        <v>7.1</v>
      </c>
      <c r="G642" s="329">
        <f t="shared" si="38"/>
        <v>7.5999999999999988</v>
      </c>
      <c r="H642" s="329">
        <v>7.3</v>
      </c>
      <c r="I642" s="329">
        <f t="shared" si="39"/>
        <v>7.3666666666666671</v>
      </c>
      <c r="L642" s="331">
        <v>40560</v>
      </c>
      <c r="M642" s="329">
        <v>49.116666666666667</v>
      </c>
      <c r="N642" s="329">
        <v>46.883333333333333</v>
      </c>
      <c r="O642" s="329">
        <v>7.5999999999999988</v>
      </c>
      <c r="P642" s="329">
        <v>7.3666666666666671</v>
      </c>
    </row>
    <row r="643" spans="1:16">
      <c r="A643" s="331">
        <v>40560</v>
      </c>
      <c r="B643" s="329">
        <v>49.1</v>
      </c>
      <c r="C643" s="329">
        <f t="shared" si="40"/>
        <v>49.116666666666667</v>
      </c>
      <c r="D643" s="329">
        <v>46.8</v>
      </c>
      <c r="E643" s="329">
        <f t="shared" si="37"/>
        <v>46.883333333333333</v>
      </c>
      <c r="F643" s="329">
        <v>8</v>
      </c>
      <c r="G643" s="329">
        <f t="shared" si="38"/>
        <v>7.5999999999999988</v>
      </c>
      <c r="H643" s="329">
        <v>7.3</v>
      </c>
      <c r="I643" s="329">
        <f t="shared" si="39"/>
        <v>7.3666666666666671</v>
      </c>
      <c r="L643" s="331">
        <v>40560</v>
      </c>
      <c r="M643" s="329">
        <v>49.116666666666667</v>
      </c>
      <c r="N643" s="329">
        <v>46.883333333333333</v>
      </c>
      <c r="O643" s="329">
        <v>7.5999999999999988</v>
      </c>
      <c r="P643" s="329">
        <v>7.3666666666666671</v>
      </c>
    </row>
    <row r="644" spans="1:16">
      <c r="A644" s="331">
        <v>40560</v>
      </c>
      <c r="B644" s="329">
        <v>49</v>
      </c>
      <c r="C644" s="329">
        <f t="shared" si="40"/>
        <v>49.116666666666667</v>
      </c>
      <c r="D644" s="329">
        <v>46.8</v>
      </c>
      <c r="E644" s="329">
        <f t="shared" si="37"/>
        <v>46.883333333333333</v>
      </c>
      <c r="F644" s="329">
        <v>8.3000000000000007</v>
      </c>
      <c r="G644" s="329">
        <f t="shared" si="38"/>
        <v>7.5999999999999988</v>
      </c>
      <c r="H644" s="329">
        <v>7.5</v>
      </c>
      <c r="I644" s="329">
        <f t="shared" si="39"/>
        <v>7.3666666666666671</v>
      </c>
      <c r="L644" s="331">
        <v>40560</v>
      </c>
      <c r="M644" s="329">
        <v>49.116666666666667</v>
      </c>
      <c r="N644" s="329">
        <v>46.883333333333333</v>
      </c>
      <c r="O644" s="329">
        <v>7.5999999999999988</v>
      </c>
      <c r="P644" s="329">
        <v>7.3666666666666671</v>
      </c>
    </row>
    <row r="645" spans="1:16">
      <c r="A645" s="331">
        <v>40561</v>
      </c>
      <c r="B645" s="329">
        <v>49</v>
      </c>
      <c r="C645" s="329">
        <f t="shared" si="40"/>
        <v>48.966666666666669</v>
      </c>
      <c r="D645" s="329">
        <v>46.8</v>
      </c>
      <c r="E645" s="329">
        <f t="shared" si="37"/>
        <v>46.749999999999993</v>
      </c>
      <c r="F645" s="329">
        <v>7.6</v>
      </c>
      <c r="G645" s="329">
        <f t="shared" si="38"/>
        <v>7.6166666666666671</v>
      </c>
      <c r="H645" s="329">
        <v>7.6</v>
      </c>
      <c r="I645" s="329">
        <f t="shared" si="39"/>
        <v>7.5166666666666666</v>
      </c>
      <c r="L645" s="331">
        <v>40561</v>
      </c>
      <c r="M645" s="329">
        <v>48.966666666666669</v>
      </c>
      <c r="N645" s="329">
        <v>46.749999999999993</v>
      </c>
      <c r="O645" s="329">
        <v>7.6166666666666671</v>
      </c>
      <c r="P645" s="329">
        <v>7.5166666666666666</v>
      </c>
    </row>
    <row r="646" spans="1:16">
      <c r="A646" s="331">
        <v>40561</v>
      </c>
      <c r="B646" s="329">
        <v>49</v>
      </c>
      <c r="C646" s="329">
        <f t="shared" si="40"/>
        <v>48.966666666666669</v>
      </c>
      <c r="D646" s="329">
        <v>46.8</v>
      </c>
      <c r="E646" s="329">
        <f t="shared" si="37"/>
        <v>46.749999999999993</v>
      </c>
      <c r="F646" s="329">
        <v>7.4</v>
      </c>
      <c r="G646" s="329">
        <f t="shared" si="38"/>
        <v>7.6166666666666671</v>
      </c>
      <c r="H646" s="329">
        <v>7.6</v>
      </c>
      <c r="I646" s="329">
        <f t="shared" si="39"/>
        <v>7.5166666666666666</v>
      </c>
      <c r="L646" s="331">
        <v>40561</v>
      </c>
      <c r="M646" s="329">
        <v>48.966666666666669</v>
      </c>
      <c r="N646" s="329">
        <v>46.749999999999993</v>
      </c>
      <c r="O646" s="329">
        <v>7.6166666666666671</v>
      </c>
      <c r="P646" s="329">
        <v>7.5166666666666666</v>
      </c>
    </row>
    <row r="647" spans="1:16">
      <c r="A647" s="331">
        <v>40561</v>
      </c>
      <c r="B647" s="329">
        <v>49</v>
      </c>
      <c r="C647" s="329">
        <f t="shared" si="40"/>
        <v>48.966666666666669</v>
      </c>
      <c r="D647" s="329">
        <v>46.8</v>
      </c>
      <c r="E647" s="329">
        <f t="shared" si="37"/>
        <v>46.749999999999993</v>
      </c>
      <c r="F647" s="329">
        <v>7.2</v>
      </c>
      <c r="G647" s="329">
        <f t="shared" si="38"/>
        <v>7.6166666666666671</v>
      </c>
      <c r="H647" s="329">
        <v>7.5</v>
      </c>
      <c r="I647" s="329">
        <f t="shared" si="39"/>
        <v>7.5166666666666666</v>
      </c>
      <c r="L647" s="331">
        <v>40561</v>
      </c>
      <c r="M647" s="329">
        <v>48.966666666666669</v>
      </c>
      <c r="N647" s="329">
        <v>46.749999999999993</v>
      </c>
      <c r="O647" s="329">
        <v>7.6166666666666671</v>
      </c>
      <c r="P647" s="329">
        <v>7.5166666666666666</v>
      </c>
    </row>
    <row r="648" spans="1:16">
      <c r="A648" s="331">
        <v>40561</v>
      </c>
      <c r="B648" s="329">
        <v>49</v>
      </c>
      <c r="C648" s="329">
        <f t="shared" si="40"/>
        <v>48.966666666666669</v>
      </c>
      <c r="D648" s="329">
        <v>46.7</v>
      </c>
      <c r="E648" s="329">
        <f t="shared" si="37"/>
        <v>46.749999999999993</v>
      </c>
      <c r="F648" s="329">
        <v>7.2</v>
      </c>
      <c r="G648" s="329">
        <f t="shared" si="38"/>
        <v>7.6166666666666671</v>
      </c>
      <c r="H648" s="329">
        <v>7.4</v>
      </c>
      <c r="I648" s="329">
        <f t="shared" si="39"/>
        <v>7.5166666666666666</v>
      </c>
      <c r="L648" s="331">
        <v>40561</v>
      </c>
      <c r="M648" s="329">
        <v>48.966666666666669</v>
      </c>
      <c r="N648" s="329">
        <v>46.749999999999993</v>
      </c>
      <c r="O648" s="329">
        <v>7.6166666666666671</v>
      </c>
      <c r="P648" s="329">
        <v>7.5166666666666666</v>
      </c>
    </row>
    <row r="649" spans="1:16">
      <c r="A649" s="331">
        <v>40561</v>
      </c>
      <c r="B649" s="329">
        <v>48.9</v>
      </c>
      <c r="C649" s="329">
        <f t="shared" si="40"/>
        <v>48.966666666666669</v>
      </c>
      <c r="D649" s="329">
        <v>46.7</v>
      </c>
      <c r="E649" s="329">
        <f t="shared" si="37"/>
        <v>46.749999999999993</v>
      </c>
      <c r="F649" s="329">
        <v>8.1</v>
      </c>
      <c r="G649" s="329">
        <f t="shared" si="38"/>
        <v>7.6166666666666671</v>
      </c>
      <c r="H649" s="329">
        <v>7.4</v>
      </c>
      <c r="I649" s="329">
        <f t="shared" si="39"/>
        <v>7.5166666666666666</v>
      </c>
      <c r="L649" s="331">
        <v>40561</v>
      </c>
      <c r="M649" s="329">
        <v>48.966666666666669</v>
      </c>
      <c r="N649" s="329">
        <v>46.749999999999993</v>
      </c>
      <c r="O649" s="329">
        <v>7.6166666666666671</v>
      </c>
      <c r="P649" s="329">
        <v>7.5166666666666666</v>
      </c>
    </row>
    <row r="650" spans="1:16">
      <c r="A650" s="331">
        <v>40561</v>
      </c>
      <c r="B650" s="329">
        <v>48.9</v>
      </c>
      <c r="C650" s="329">
        <f t="shared" si="40"/>
        <v>48.966666666666669</v>
      </c>
      <c r="D650" s="329">
        <v>46.7</v>
      </c>
      <c r="E650" s="329">
        <f t="shared" si="37"/>
        <v>46.749999999999993</v>
      </c>
      <c r="F650" s="329">
        <v>8.1999999999999993</v>
      </c>
      <c r="G650" s="329">
        <f t="shared" si="38"/>
        <v>7.6166666666666671</v>
      </c>
      <c r="H650" s="329">
        <v>7.6</v>
      </c>
      <c r="I650" s="329">
        <f t="shared" si="39"/>
        <v>7.5166666666666666</v>
      </c>
      <c r="L650" s="331">
        <v>40561</v>
      </c>
      <c r="M650" s="329">
        <v>48.966666666666669</v>
      </c>
      <c r="N650" s="329">
        <v>46.749999999999993</v>
      </c>
      <c r="O650" s="329">
        <v>7.6166666666666671</v>
      </c>
      <c r="P650" s="329">
        <v>7.5166666666666666</v>
      </c>
    </row>
    <row r="651" spans="1:16">
      <c r="A651" s="331">
        <v>40562</v>
      </c>
      <c r="B651" s="329">
        <v>48.9</v>
      </c>
      <c r="C651" s="329">
        <f t="shared" si="40"/>
        <v>48.833333333333336</v>
      </c>
      <c r="D651" s="329">
        <v>46.7</v>
      </c>
      <c r="E651" s="329">
        <f t="shared" si="37"/>
        <v>46.666666666666664</v>
      </c>
      <c r="F651" s="329">
        <v>7.8</v>
      </c>
      <c r="G651" s="329">
        <f t="shared" si="38"/>
        <v>7.5666666666666664</v>
      </c>
      <c r="H651" s="329">
        <v>7.6</v>
      </c>
      <c r="I651" s="329">
        <f t="shared" si="39"/>
        <v>7.55</v>
      </c>
      <c r="L651" s="331">
        <v>40562</v>
      </c>
      <c r="M651" s="329">
        <v>48.833333333333336</v>
      </c>
      <c r="N651" s="329">
        <v>46.666666666666664</v>
      </c>
      <c r="O651" s="329">
        <v>7.5666666666666664</v>
      </c>
      <c r="P651" s="329">
        <v>7.55</v>
      </c>
    </row>
    <row r="652" spans="1:16">
      <c r="A652" s="331">
        <v>40562</v>
      </c>
      <c r="B652" s="329">
        <v>48.9</v>
      </c>
      <c r="C652" s="329">
        <f t="shared" si="40"/>
        <v>48.833333333333336</v>
      </c>
      <c r="D652" s="329">
        <v>46.7</v>
      </c>
      <c r="E652" s="329">
        <f t="shared" si="37"/>
        <v>46.666666666666664</v>
      </c>
      <c r="F652" s="329">
        <v>7.6</v>
      </c>
      <c r="G652" s="329">
        <f t="shared" si="38"/>
        <v>7.5666666666666664</v>
      </c>
      <c r="H652" s="329">
        <v>7.6</v>
      </c>
      <c r="I652" s="329">
        <f t="shared" si="39"/>
        <v>7.55</v>
      </c>
      <c r="L652" s="331">
        <v>40562</v>
      </c>
      <c r="M652" s="329">
        <v>48.833333333333336</v>
      </c>
      <c r="N652" s="329">
        <v>46.666666666666664</v>
      </c>
      <c r="O652" s="329">
        <v>7.5666666666666664</v>
      </c>
      <c r="P652" s="329">
        <v>7.55</v>
      </c>
    </row>
    <row r="653" spans="1:16">
      <c r="A653" s="331">
        <v>40562</v>
      </c>
      <c r="B653" s="329">
        <v>48.8</v>
      </c>
      <c r="C653" s="329">
        <f t="shared" si="40"/>
        <v>48.833333333333336</v>
      </c>
      <c r="D653" s="329">
        <v>46.7</v>
      </c>
      <c r="E653" s="329">
        <f t="shared" si="37"/>
        <v>46.666666666666664</v>
      </c>
      <c r="F653" s="329">
        <v>7.4</v>
      </c>
      <c r="G653" s="329">
        <f t="shared" si="38"/>
        <v>7.5666666666666664</v>
      </c>
      <c r="H653" s="329">
        <v>7.6</v>
      </c>
      <c r="I653" s="329">
        <f t="shared" si="39"/>
        <v>7.55</v>
      </c>
      <c r="L653" s="331">
        <v>40562</v>
      </c>
      <c r="M653" s="329">
        <v>48.833333333333336</v>
      </c>
      <c r="N653" s="329">
        <v>46.666666666666664</v>
      </c>
      <c r="O653" s="329">
        <v>7.5666666666666664</v>
      </c>
      <c r="P653" s="329">
        <v>7.55</v>
      </c>
    </row>
    <row r="654" spans="1:16">
      <c r="A654" s="331">
        <v>40562</v>
      </c>
      <c r="B654" s="329">
        <v>48.8</v>
      </c>
      <c r="C654" s="329">
        <f t="shared" si="40"/>
        <v>48.833333333333336</v>
      </c>
      <c r="D654" s="329">
        <v>46.7</v>
      </c>
      <c r="E654" s="329">
        <f t="shared" si="37"/>
        <v>46.666666666666664</v>
      </c>
      <c r="F654" s="329">
        <v>7.3</v>
      </c>
      <c r="G654" s="329">
        <f t="shared" si="38"/>
        <v>7.5666666666666664</v>
      </c>
      <c r="H654" s="329">
        <v>7.5</v>
      </c>
      <c r="I654" s="329">
        <f t="shared" si="39"/>
        <v>7.55</v>
      </c>
      <c r="L654" s="331">
        <v>40562</v>
      </c>
      <c r="M654" s="329">
        <v>48.833333333333336</v>
      </c>
      <c r="N654" s="329">
        <v>46.666666666666664</v>
      </c>
      <c r="O654" s="329">
        <v>7.5666666666666664</v>
      </c>
      <c r="P654" s="329">
        <v>7.55</v>
      </c>
    </row>
    <row r="655" spans="1:16">
      <c r="A655" s="331">
        <v>40562</v>
      </c>
      <c r="B655" s="329">
        <v>48.8</v>
      </c>
      <c r="C655" s="329">
        <f t="shared" si="40"/>
        <v>48.833333333333336</v>
      </c>
      <c r="D655" s="329">
        <v>46.6</v>
      </c>
      <c r="E655" s="329">
        <f t="shared" si="37"/>
        <v>46.666666666666664</v>
      </c>
      <c r="F655" s="329">
        <v>7.8</v>
      </c>
      <c r="G655" s="329">
        <f t="shared" si="38"/>
        <v>7.5666666666666664</v>
      </c>
      <c r="H655" s="329">
        <v>7.5</v>
      </c>
      <c r="I655" s="329">
        <f t="shared" si="39"/>
        <v>7.55</v>
      </c>
      <c r="L655" s="331">
        <v>40562</v>
      </c>
      <c r="M655" s="329">
        <v>48.833333333333336</v>
      </c>
      <c r="N655" s="329">
        <v>46.666666666666664</v>
      </c>
      <c r="O655" s="329">
        <v>7.5666666666666664</v>
      </c>
      <c r="P655" s="329">
        <v>7.55</v>
      </c>
    </row>
    <row r="656" spans="1:16">
      <c r="A656" s="331">
        <v>40562</v>
      </c>
      <c r="B656" s="329">
        <v>48.8</v>
      </c>
      <c r="C656" s="329">
        <f t="shared" si="40"/>
        <v>48.833333333333336</v>
      </c>
      <c r="D656" s="329">
        <v>46.6</v>
      </c>
      <c r="E656" s="329">
        <f t="shared" si="37"/>
        <v>46.666666666666664</v>
      </c>
      <c r="F656" s="329">
        <v>7.5</v>
      </c>
      <c r="G656" s="329">
        <f t="shared" si="38"/>
        <v>7.5666666666666664</v>
      </c>
      <c r="H656" s="329">
        <v>7.5</v>
      </c>
      <c r="I656" s="329">
        <f t="shared" si="39"/>
        <v>7.55</v>
      </c>
      <c r="L656" s="331">
        <v>40562</v>
      </c>
      <c r="M656" s="329">
        <v>48.833333333333336</v>
      </c>
      <c r="N656" s="329">
        <v>46.666666666666664</v>
      </c>
      <c r="O656" s="329">
        <v>7.5666666666666664</v>
      </c>
      <c r="P656" s="329">
        <v>7.55</v>
      </c>
    </row>
    <row r="657" spans="1:16">
      <c r="A657" s="331">
        <v>40563</v>
      </c>
      <c r="B657" s="329">
        <v>48.8</v>
      </c>
      <c r="C657" s="329">
        <f t="shared" si="40"/>
        <v>48.766666666666659</v>
      </c>
      <c r="D657" s="329">
        <v>46.6</v>
      </c>
      <c r="E657" s="329">
        <f t="shared" si="37"/>
        <v>46.566666666666663</v>
      </c>
      <c r="F657" s="329">
        <v>6.6</v>
      </c>
      <c r="G657" s="329">
        <f t="shared" si="38"/>
        <v>5.2666666666666666</v>
      </c>
      <c r="H657" s="329">
        <v>7.5</v>
      </c>
      <c r="I657" s="329">
        <f t="shared" si="39"/>
        <v>6.8166666666666664</v>
      </c>
      <c r="L657" s="331">
        <v>40563</v>
      </c>
      <c r="M657" s="329">
        <v>48.766666666666659</v>
      </c>
      <c r="N657" s="329">
        <v>46.566666666666663</v>
      </c>
      <c r="O657" s="329">
        <v>5.2666666666666666</v>
      </c>
      <c r="P657" s="329">
        <v>6.8166666666666664</v>
      </c>
    </row>
    <row r="658" spans="1:16">
      <c r="A658" s="331">
        <v>40563</v>
      </c>
      <c r="B658" s="329">
        <v>48.8</v>
      </c>
      <c r="C658" s="329">
        <f t="shared" si="40"/>
        <v>48.766666666666659</v>
      </c>
      <c r="D658" s="329">
        <v>46.6</v>
      </c>
      <c r="E658" s="329">
        <f t="shared" si="37"/>
        <v>46.566666666666663</v>
      </c>
      <c r="F658" s="329">
        <v>5.7</v>
      </c>
      <c r="G658" s="329">
        <f t="shared" si="38"/>
        <v>5.2666666666666666</v>
      </c>
      <c r="H658" s="329">
        <v>7.3</v>
      </c>
      <c r="I658" s="329">
        <f t="shared" si="39"/>
        <v>6.8166666666666664</v>
      </c>
      <c r="L658" s="331">
        <v>40563</v>
      </c>
      <c r="M658" s="329">
        <v>48.766666666666659</v>
      </c>
      <c r="N658" s="329">
        <v>46.566666666666663</v>
      </c>
      <c r="O658" s="329">
        <v>5.2666666666666666</v>
      </c>
      <c r="P658" s="329">
        <v>6.8166666666666664</v>
      </c>
    </row>
    <row r="659" spans="1:16">
      <c r="A659" s="331">
        <v>40563</v>
      </c>
      <c r="B659" s="329">
        <v>48.8</v>
      </c>
      <c r="C659" s="329">
        <f t="shared" si="40"/>
        <v>48.766666666666659</v>
      </c>
      <c r="D659" s="329">
        <v>46.6</v>
      </c>
      <c r="E659" s="329">
        <f t="shared" si="37"/>
        <v>46.566666666666663</v>
      </c>
      <c r="F659" s="329">
        <v>4.8</v>
      </c>
      <c r="G659" s="329">
        <f t="shared" si="38"/>
        <v>5.2666666666666666</v>
      </c>
      <c r="H659" s="329">
        <v>7</v>
      </c>
      <c r="I659" s="329">
        <f t="shared" si="39"/>
        <v>6.8166666666666664</v>
      </c>
      <c r="L659" s="331">
        <v>40563</v>
      </c>
      <c r="M659" s="329">
        <v>48.766666666666659</v>
      </c>
      <c r="N659" s="329">
        <v>46.566666666666663</v>
      </c>
      <c r="O659" s="329">
        <v>5.2666666666666666</v>
      </c>
      <c r="P659" s="329">
        <v>6.8166666666666664</v>
      </c>
    </row>
    <row r="660" spans="1:16">
      <c r="A660" s="331">
        <v>40563</v>
      </c>
      <c r="B660" s="329">
        <v>48.8</v>
      </c>
      <c r="C660" s="329">
        <f t="shared" si="40"/>
        <v>48.766666666666659</v>
      </c>
      <c r="D660" s="329">
        <v>46.6</v>
      </c>
      <c r="E660" s="329">
        <f t="shared" si="37"/>
        <v>46.566666666666663</v>
      </c>
      <c r="F660" s="329">
        <v>4.4000000000000004</v>
      </c>
      <c r="G660" s="329">
        <f t="shared" si="38"/>
        <v>5.2666666666666666</v>
      </c>
      <c r="H660" s="329">
        <v>6.6</v>
      </c>
      <c r="I660" s="329">
        <f t="shared" si="39"/>
        <v>6.8166666666666664</v>
      </c>
      <c r="L660" s="331">
        <v>40563</v>
      </c>
      <c r="M660" s="329">
        <v>48.766666666666659</v>
      </c>
      <c r="N660" s="329">
        <v>46.566666666666663</v>
      </c>
      <c r="O660" s="329">
        <v>5.2666666666666666</v>
      </c>
      <c r="P660" s="329">
        <v>6.8166666666666664</v>
      </c>
    </row>
    <row r="661" spans="1:16">
      <c r="A661" s="331">
        <v>40563</v>
      </c>
      <c r="B661" s="329">
        <v>48.7</v>
      </c>
      <c r="C661" s="329">
        <f t="shared" si="40"/>
        <v>48.766666666666659</v>
      </c>
      <c r="D661" s="329">
        <v>46.5</v>
      </c>
      <c r="E661" s="329">
        <f t="shared" si="37"/>
        <v>46.566666666666663</v>
      </c>
      <c r="F661" s="329">
        <v>5</v>
      </c>
      <c r="G661" s="329">
        <f t="shared" si="38"/>
        <v>5.2666666666666666</v>
      </c>
      <c r="H661" s="329">
        <v>6.3</v>
      </c>
      <c r="I661" s="329">
        <f t="shared" si="39"/>
        <v>6.8166666666666664</v>
      </c>
      <c r="L661" s="331">
        <v>40563</v>
      </c>
      <c r="M661" s="329">
        <v>48.766666666666659</v>
      </c>
      <c r="N661" s="329">
        <v>46.566666666666663</v>
      </c>
      <c r="O661" s="329">
        <v>5.2666666666666666</v>
      </c>
      <c r="P661" s="329">
        <v>6.8166666666666664</v>
      </c>
    </row>
    <row r="662" spans="1:16">
      <c r="A662" s="331">
        <v>40563</v>
      </c>
      <c r="B662" s="329">
        <v>48.7</v>
      </c>
      <c r="C662" s="329">
        <f t="shared" si="40"/>
        <v>48.766666666666659</v>
      </c>
      <c r="D662" s="329">
        <v>46.5</v>
      </c>
      <c r="E662" s="329">
        <f t="shared" si="37"/>
        <v>46.566666666666663</v>
      </c>
      <c r="F662" s="329">
        <v>5.0999999999999996</v>
      </c>
      <c r="G662" s="329">
        <f t="shared" si="38"/>
        <v>5.2666666666666666</v>
      </c>
      <c r="H662" s="329">
        <v>6.2</v>
      </c>
      <c r="I662" s="329">
        <f t="shared" si="39"/>
        <v>6.8166666666666664</v>
      </c>
      <c r="L662" s="331">
        <v>40563</v>
      </c>
      <c r="M662" s="329">
        <v>48.766666666666659</v>
      </c>
      <c r="N662" s="329">
        <v>46.566666666666663</v>
      </c>
      <c r="O662" s="329">
        <v>5.2666666666666666</v>
      </c>
      <c r="P662" s="329">
        <v>6.8166666666666664</v>
      </c>
    </row>
    <row r="663" spans="1:16">
      <c r="A663" s="331">
        <v>40564</v>
      </c>
      <c r="B663" s="329">
        <v>48.7</v>
      </c>
      <c r="C663" s="329">
        <f t="shared" si="40"/>
        <v>48.683333333333337</v>
      </c>
      <c r="D663" s="329">
        <v>46.5</v>
      </c>
      <c r="E663" s="329">
        <f t="shared" si="37"/>
        <v>46.483333333333327</v>
      </c>
      <c r="F663" s="329">
        <v>4.5999999999999996</v>
      </c>
      <c r="G663" s="329">
        <f t="shared" si="38"/>
        <v>3.9333333333333336</v>
      </c>
      <c r="H663" s="329">
        <v>6.1</v>
      </c>
      <c r="I663" s="329">
        <f t="shared" si="39"/>
        <v>5.583333333333333</v>
      </c>
      <c r="L663" s="331">
        <v>40564</v>
      </c>
      <c r="M663" s="329">
        <v>48.683333333333337</v>
      </c>
      <c r="N663" s="329">
        <v>46.483333333333327</v>
      </c>
      <c r="O663" s="329">
        <v>3.9333333333333336</v>
      </c>
      <c r="P663" s="329">
        <v>5.583333333333333</v>
      </c>
    </row>
    <row r="664" spans="1:16">
      <c r="A664" s="331">
        <v>40564</v>
      </c>
      <c r="B664" s="329">
        <v>48.7</v>
      </c>
      <c r="C664" s="329">
        <f t="shared" si="40"/>
        <v>48.683333333333337</v>
      </c>
      <c r="D664" s="329">
        <v>46.5</v>
      </c>
      <c r="E664" s="329">
        <f t="shared" si="37"/>
        <v>46.483333333333327</v>
      </c>
      <c r="F664" s="329">
        <v>4.2</v>
      </c>
      <c r="G664" s="329">
        <f t="shared" si="38"/>
        <v>3.9333333333333336</v>
      </c>
      <c r="H664" s="329">
        <v>6</v>
      </c>
      <c r="I664" s="329">
        <f t="shared" si="39"/>
        <v>5.583333333333333</v>
      </c>
      <c r="L664" s="331">
        <v>40564</v>
      </c>
      <c r="M664" s="329">
        <v>48.683333333333337</v>
      </c>
      <c r="N664" s="329">
        <v>46.483333333333327</v>
      </c>
      <c r="O664" s="329">
        <v>3.9333333333333336</v>
      </c>
      <c r="P664" s="329">
        <v>5.583333333333333</v>
      </c>
    </row>
    <row r="665" spans="1:16">
      <c r="A665" s="331">
        <v>40564</v>
      </c>
      <c r="B665" s="329">
        <v>48.7</v>
      </c>
      <c r="C665" s="329">
        <f t="shared" si="40"/>
        <v>48.683333333333337</v>
      </c>
      <c r="D665" s="329">
        <v>46.5</v>
      </c>
      <c r="E665" s="329">
        <f t="shared" si="37"/>
        <v>46.483333333333327</v>
      </c>
      <c r="F665" s="329">
        <v>3.7</v>
      </c>
      <c r="G665" s="329">
        <f t="shared" si="38"/>
        <v>3.9333333333333336</v>
      </c>
      <c r="H665" s="329">
        <v>5.7</v>
      </c>
      <c r="I665" s="329">
        <f t="shared" si="39"/>
        <v>5.583333333333333</v>
      </c>
      <c r="L665" s="331">
        <v>40564</v>
      </c>
      <c r="M665" s="329">
        <v>48.683333333333337</v>
      </c>
      <c r="N665" s="329">
        <v>46.483333333333327</v>
      </c>
      <c r="O665" s="329">
        <v>3.9333333333333336</v>
      </c>
      <c r="P665" s="329">
        <v>5.583333333333333</v>
      </c>
    </row>
    <row r="666" spans="1:16">
      <c r="A666" s="331">
        <v>40564</v>
      </c>
      <c r="B666" s="329">
        <v>48.7</v>
      </c>
      <c r="C666" s="329">
        <f t="shared" si="40"/>
        <v>48.683333333333337</v>
      </c>
      <c r="D666" s="329">
        <v>46.5</v>
      </c>
      <c r="E666" s="329">
        <f t="shared" si="37"/>
        <v>46.483333333333327</v>
      </c>
      <c r="F666" s="329">
        <v>3.5</v>
      </c>
      <c r="G666" s="329">
        <f t="shared" si="38"/>
        <v>3.9333333333333336</v>
      </c>
      <c r="H666" s="329">
        <v>5.4</v>
      </c>
      <c r="I666" s="329">
        <f t="shared" si="39"/>
        <v>5.583333333333333</v>
      </c>
      <c r="L666" s="331">
        <v>40564</v>
      </c>
      <c r="M666" s="329">
        <v>48.683333333333337</v>
      </c>
      <c r="N666" s="329">
        <v>46.483333333333327</v>
      </c>
      <c r="O666" s="329">
        <v>3.9333333333333336</v>
      </c>
      <c r="P666" s="329">
        <v>5.583333333333333</v>
      </c>
    </row>
    <row r="667" spans="1:16">
      <c r="A667" s="331">
        <v>40564</v>
      </c>
      <c r="B667" s="329">
        <v>48.7</v>
      </c>
      <c r="C667" s="329">
        <f t="shared" si="40"/>
        <v>48.683333333333337</v>
      </c>
      <c r="D667" s="329">
        <v>46.5</v>
      </c>
      <c r="E667" s="329">
        <f t="shared" si="37"/>
        <v>46.483333333333327</v>
      </c>
      <c r="F667" s="329">
        <v>3.8</v>
      </c>
      <c r="G667" s="329">
        <f t="shared" si="38"/>
        <v>3.9333333333333336</v>
      </c>
      <c r="H667" s="329">
        <v>5.2</v>
      </c>
      <c r="I667" s="329">
        <f t="shared" si="39"/>
        <v>5.583333333333333</v>
      </c>
      <c r="L667" s="331">
        <v>40564</v>
      </c>
      <c r="M667" s="329">
        <v>48.683333333333337</v>
      </c>
      <c r="N667" s="329">
        <v>46.483333333333327</v>
      </c>
      <c r="O667" s="329">
        <v>3.9333333333333336</v>
      </c>
      <c r="P667" s="329">
        <v>5.583333333333333</v>
      </c>
    </row>
    <row r="668" spans="1:16">
      <c r="A668" s="331">
        <v>40564</v>
      </c>
      <c r="B668" s="329">
        <v>48.6</v>
      </c>
      <c r="C668" s="329">
        <f t="shared" si="40"/>
        <v>48.683333333333337</v>
      </c>
      <c r="D668" s="329">
        <v>46.4</v>
      </c>
      <c r="E668" s="329">
        <f t="shared" si="37"/>
        <v>46.483333333333327</v>
      </c>
      <c r="F668" s="329">
        <v>3.8</v>
      </c>
      <c r="G668" s="329">
        <f t="shared" si="38"/>
        <v>3.9333333333333336</v>
      </c>
      <c r="H668" s="329">
        <v>5.0999999999999996</v>
      </c>
      <c r="I668" s="329">
        <f t="shared" si="39"/>
        <v>5.583333333333333</v>
      </c>
      <c r="L668" s="331">
        <v>40564</v>
      </c>
      <c r="M668" s="329">
        <v>48.683333333333337</v>
      </c>
      <c r="N668" s="329">
        <v>46.483333333333327</v>
      </c>
      <c r="O668" s="329">
        <v>3.9333333333333336</v>
      </c>
      <c r="P668" s="329">
        <v>5.583333333333333</v>
      </c>
    </row>
    <row r="669" spans="1:16">
      <c r="A669" s="331">
        <v>40565</v>
      </c>
      <c r="B669" s="329">
        <v>48.6</v>
      </c>
      <c r="C669" s="329">
        <f t="shared" si="40"/>
        <v>48.6</v>
      </c>
      <c r="D669" s="329">
        <v>46.4</v>
      </c>
      <c r="E669" s="329">
        <f t="shared" si="37"/>
        <v>46.4</v>
      </c>
      <c r="F669" s="329">
        <v>3.3</v>
      </c>
      <c r="G669" s="329">
        <f t="shared" si="38"/>
        <v>2.6666666666666665</v>
      </c>
      <c r="H669" s="329">
        <v>5</v>
      </c>
      <c r="I669" s="329">
        <f t="shared" si="39"/>
        <v>4.55</v>
      </c>
      <c r="L669" s="331">
        <v>40565</v>
      </c>
      <c r="M669" s="329">
        <v>48.6</v>
      </c>
      <c r="N669" s="329">
        <v>46.4</v>
      </c>
      <c r="O669" s="329">
        <v>2.6666666666666665</v>
      </c>
      <c r="P669" s="329">
        <v>4.55</v>
      </c>
    </row>
    <row r="670" spans="1:16">
      <c r="A670" s="331">
        <v>40565</v>
      </c>
      <c r="B670" s="329">
        <v>48.6</v>
      </c>
      <c r="C670" s="329">
        <f t="shared" si="40"/>
        <v>48.6</v>
      </c>
      <c r="D670" s="329">
        <v>46.4</v>
      </c>
      <c r="E670" s="329">
        <f t="shared" si="37"/>
        <v>46.4</v>
      </c>
      <c r="F670" s="329">
        <v>2.9</v>
      </c>
      <c r="G670" s="329">
        <f t="shared" si="38"/>
        <v>2.6666666666666665</v>
      </c>
      <c r="H670" s="329">
        <v>4.8</v>
      </c>
      <c r="I670" s="329">
        <f t="shared" si="39"/>
        <v>4.55</v>
      </c>
      <c r="L670" s="331">
        <v>40565</v>
      </c>
      <c r="M670" s="329">
        <v>48.6</v>
      </c>
      <c r="N670" s="329">
        <v>46.4</v>
      </c>
      <c r="O670" s="329">
        <v>2.6666666666666665</v>
      </c>
      <c r="P670" s="329">
        <v>4.55</v>
      </c>
    </row>
    <row r="671" spans="1:16">
      <c r="A671" s="331">
        <v>40565</v>
      </c>
      <c r="B671" s="329">
        <v>48.6</v>
      </c>
      <c r="C671" s="329">
        <f t="shared" si="40"/>
        <v>48.6</v>
      </c>
      <c r="D671" s="329">
        <v>46.4</v>
      </c>
      <c r="E671" s="329">
        <f t="shared" si="37"/>
        <v>46.4</v>
      </c>
      <c r="F671" s="329">
        <v>2.6</v>
      </c>
      <c r="G671" s="329">
        <f t="shared" si="38"/>
        <v>2.6666666666666665</v>
      </c>
      <c r="H671" s="329">
        <v>4.5999999999999996</v>
      </c>
      <c r="I671" s="329">
        <f t="shared" si="39"/>
        <v>4.55</v>
      </c>
      <c r="L671" s="331">
        <v>40565</v>
      </c>
      <c r="M671" s="329">
        <v>48.6</v>
      </c>
      <c r="N671" s="329">
        <v>46.4</v>
      </c>
      <c r="O671" s="329">
        <v>2.6666666666666665</v>
      </c>
      <c r="P671" s="329">
        <v>4.55</v>
      </c>
    </row>
    <row r="672" spans="1:16">
      <c r="A672" s="331">
        <v>40565</v>
      </c>
      <c r="B672" s="329">
        <v>48.6</v>
      </c>
      <c r="C672" s="329">
        <f t="shared" si="40"/>
        <v>48.6</v>
      </c>
      <c r="D672" s="329">
        <v>46.4</v>
      </c>
      <c r="E672" s="329">
        <f t="shared" si="37"/>
        <v>46.4</v>
      </c>
      <c r="F672" s="329">
        <v>2.4</v>
      </c>
      <c r="G672" s="329">
        <f t="shared" si="38"/>
        <v>2.6666666666666665</v>
      </c>
      <c r="H672" s="329">
        <v>4.5</v>
      </c>
      <c r="I672" s="329">
        <f t="shared" si="39"/>
        <v>4.55</v>
      </c>
      <c r="L672" s="331">
        <v>40565</v>
      </c>
      <c r="M672" s="329">
        <v>48.6</v>
      </c>
      <c r="N672" s="329">
        <v>46.4</v>
      </c>
      <c r="O672" s="329">
        <v>2.6666666666666665</v>
      </c>
      <c r="P672" s="329">
        <v>4.55</v>
      </c>
    </row>
    <row r="673" spans="1:16">
      <c r="A673" s="331">
        <v>40565</v>
      </c>
      <c r="B673" s="329">
        <v>48.6</v>
      </c>
      <c r="C673" s="329">
        <f t="shared" si="40"/>
        <v>48.6</v>
      </c>
      <c r="D673" s="329">
        <v>46.4</v>
      </c>
      <c r="E673" s="329">
        <f t="shared" si="37"/>
        <v>46.4</v>
      </c>
      <c r="F673" s="329">
        <v>2.4</v>
      </c>
      <c r="G673" s="329">
        <f t="shared" si="38"/>
        <v>2.6666666666666665</v>
      </c>
      <c r="H673" s="329">
        <v>4.3</v>
      </c>
      <c r="I673" s="329">
        <f t="shared" si="39"/>
        <v>4.55</v>
      </c>
      <c r="L673" s="331">
        <v>40565</v>
      </c>
      <c r="M673" s="329">
        <v>48.6</v>
      </c>
      <c r="N673" s="329">
        <v>46.4</v>
      </c>
      <c r="O673" s="329">
        <v>2.6666666666666665</v>
      </c>
      <c r="P673" s="329">
        <v>4.55</v>
      </c>
    </row>
    <row r="674" spans="1:16">
      <c r="A674" s="331">
        <v>40565</v>
      </c>
      <c r="B674" s="329">
        <v>48.6</v>
      </c>
      <c r="C674" s="329">
        <f t="shared" si="40"/>
        <v>48.6</v>
      </c>
      <c r="D674" s="329">
        <v>46.4</v>
      </c>
      <c r="E674" s="329">
        <f t="shared" ref="E674:E737" si="41">AVERAGEIFS($D$33:$D$1494,$A$33:$A$1494,A674)</f>
        <v>46.4</v>
      </c>
      <c r="F674" s="329">
        <v>2.4</v>
      </c>
      <c r="G674" s="329">
        <f t="shared" ref="G674:G737" si="42">AVERAGEIFS($F$33:$F$1494,$A$33:$A$1494,A674)</f>
        <v>2.6666666666666665</v>
      </c>
      <c r="H674" s="329">
        <v>4.0999999999999996</v>
      </c>
      <c r="I674" s="329">
        <f t="shared" ref="I674:I737" si="43">AVERAGEIFS($H$33:$H$1494,$A$33:$A$1494,A674)</f>
        <v>4.55</v>
      </c>
      <c r="L674" s="331">
        <v>40565</v>
      </c>
      <c r="M674" s="329">
        <v>48.6</v>
      </c>
      <c r="N674" s="329">
        <v>46.4</v>
      </c>
      <c r="O674" s="329">
        <v>2.6666666666666665</v>
      </c>
      <c r="P674" s="329">
        <v>4.55</v>
      </c>
    </row>
    <row r="675" spans="1:16">
      <c r="A675" s="331">
        <v>40566</v>
      </c>
      <c r="B675" s="329">
        <v>48.6</v>
      </c>
      <c r="C675" s="329">
        <f t="shared" si="40"/>
        <v>48.566666666666663</v>
      </c>
      <c r="D675" s="329">
        <v>46.4</v>
      </c>
      <c r="E675" s="329">
        <f t="shared" si="41"/>
        <v>46.366666666666667</v>
      </c>
      <c r="F675" s="329">
        <v>2.2000000000000002</v>
      </c>
      <c r="G675" s="329">
        <f t="shared" si="42"/>
        <v>2.2833333333333332</v>
      </c>
      <c r="H675" s="329">
        <v>4</v>
      </c>
      <c r="I675" s="329">
        <f t="shared" si="43"/>
        <v>3.7666666666666671</v>
      </c>
      <c r="L675" s="331">
        <v>40566</v>
      </c>
      <c r="M675" s="329">
        <v>48.566666666666663</v>
      </c>
      <c r="N675" s="329">
        <v>46.366666666666667</v>
      </c>
      <c r="O675" s="329">
        <v>2.2833333333333332</v>
      </c>
      <c r="P675" s="329">
        <v>3.7666666666666671</v>
      </c>
    </row>
    <row r="676" spans="1:16">
      <c r="A676" s="331">
        <v>40566</v>
      </c>
      <c r="B676" s="329">
        <v>48.6</v>
      </c>
      <c r="C676" s="329">
        <f t="shared" si="40"/>
        <v>48.566666666666663</v>
      </c>
      <c r="D676" s="329">
        <v>46.4</v>
      </c>
      <c r="E676" s="329">
        <f t="shared" si="41"/>
        <v>46.366666666666667</v>
      </c>
      <c r="F676" s="329">
        <v>2.1</v>
      </c>
      <c r="G676" s="329">
        <f t="shared" si="42"/>
        <v>2.2833333333333332</v>
      </c>
      <c r="H676" s="329">
        <v>3.9</v>
      </c>
      <c r="I676" s="329">
        <f t="shared" si="43"/>
        <v>3.7666666666666671</v>
      </c>
      <c r="L676" s="331">
        <v>40566</v>
      </c>
      <c r="M676" s="329">
        <v>48.566666666666663</v>
      </c>
      <c r="N676" s="329">
        <v>46.366666666666667</v>
      </c>
      <c r="O676" s="329">
        <v>2.2833333333333332</v>
      </c>
      <c r="P676" s="329">
        <v>3.7666666666666671</v>
      </c>
    </row>
    <row r="677" spans="1:16">
      <c r="A677" s="331">
        <v>40566</v>
      </c>
      <c r="B677" s="329">
        <v>48.6</v>
      </c>
      <c r="C677" s="329">
        <f t="shared" si="40"/>
        <v>48.566666666666663</v>
      </c>
      <c r="D677" s="329">
        <v>46.4</v>
      </c>
      <c r="E677" s="329">
        <f t="shared" si="41"/>
        <v>46.366666666666667</v>
      </c>
      <c r="F677" s="329">
        <v>2</v>
      </c>
      <c r="G677" s="329">
        <f t="shared" si="42"/>
        <v>2.2833333333333332</v>
      </c>
      <c r="H677" s="329">
        <v>3.8</v>
      </c>
      <c r="I677" s="329">
        <f t="shared" si="43"/>
        <v>3.7666666666666671</v>
      </c>
      <c r="L677" s="331">
        <v>40566</v>
      </c>
      <c r="M677" s="329">
        <v>48.566666666666663</v>
      </c>
      <c r="N677" s="329">
        <v>46.366666666666667</v>
      </c>
      <c r="O677" s="329">
        <v>2.2833333333333332</v>
      </c>
      <c r="P677" s="329">
        <v>3.7666666666666671</v>
      </c>
    </row>
    <row r="678" spans="1:16">
      <c r="A678" s="331">
        <v>40566</v>
      </c>
      <c r="B678" s="329">
        <v>48.6</v>
      </c>
      <c r="C678" s="329">
        <f t="shared" si="40"/>
        <v>48.566666666666663</v>
      </c>
      <c r="D678" s="329">
        <v>46.4</v>
      </c>
      <c r="E678" s="329">
        <f t="shared" si="41"/>
        <v>46.366666666666667</v>
      </c>
      <c r="F678" s="329">
        <v>2.1</v>
      </c>
      <c r="G678" s="329">
        <f t="shared" si="42"/>
        <v>2.2833333333333332</v>
      </c>
      <c r="H678" s="329">
        <v>3.7</v>
      </c>
      <c r="I678" s="329">
        <f t="shared" si="43"/>
        <v>3.7666666666666671</v>
      </c>
      <c r="L678" s="331">
        <v>40566</v>
      </c>
      <c r="M678" s="329">
        <v>48.566666666666663</v>
      </c>
      <c r="N678" s="329">
        <v>46.366666666666667</v>
      </c>
      <c r="O678" s="329">
        <v>2.2833333333333332</v>
      </c>
      <c r="P678" s="329">
        <v>3.7666666666666671</v>
      </c>
    </row>
    <row r="679" spans="1:16">
      <c r="A679" s="331">
        <v>40566</v>
      </c>
      <c r="B679" s="329">
        <v>48.5</v>
      </c>
      <c r="C679" s="329">
        <f t="shared" si="40"/>
        <v>48.566666666666663</v>
      </c>
      <c r="D679" s="329">
        <v>46.3</v>
      </c>
      <c r="E679" s="329">
        <f t="shared" si="41"/>
        <v>46.366666666666667</v>
      </c>
      <c r="F679" s="329">
        <v>2.6</v>
      </c>
      <c r="G679" s="329">
        <f t="shared" si="42"/>
        <v>2.2833333333333332</v>
      </c>
      <c r="H679" s="329">
        <v>3.6</v>
      </c>
      <c r="I679" s="329">
        <f t="shared" si="43"/>
        <v>3.7666666666666671</v>
      </c>
      <c r="L679" s="331">
        <v>40566</v>
      </c>
      <c r="M679" s="329">
        <v>48.566666666666663</v>
      </c>
      <c r="N679" s="329">
        <v>46.366666666666667</v>
      </c>
      <c r="O679" s="329">
        <v>2.2833333333333332</v>
      </c>
      <c r="P679" s="329">
        <v>3.7666666666666671</v>
      </c>
    </row>
    <row r="680" spans="1:16">
      <c r="A680" s="331">
        <v>40566</v>
      </c>
      <c r="B680" s="329">
        <v>48.5</v>
      </c>
      <c r="C680" s="329">
        <f t="shared" ref="C680:C743" si="44">AVERAGEIFS($B$33:$B$1494,$A$33:$A$1494,A680)</f>
        <v>48.566666666666663</v>
      </c>
      <c r="D680" s="329">
        <v>46.3</v>
      </c>
      <c r="E680" s="329">
        <f t="shared" si="41"/>
        <v>46.366666666666667</v>
      </c>
      <c r="F680" s="329">
        <v>2.7</v>
      </c>
      <c r="G680" s="329">
        <f t="shared" si="42"/>
        <v>2.2833333333333332</v>
      </c>
      <c r="H680" s="329">
        <v>3.6</v>
      </c>
      <c r="I680" s="329">
        <f t="shared" si="43"/>
        <v>3.7666666666666671</v>
      </c>
      <c r="L680" s="331">
        <v>40566</v>
      </c>
      <c r="M680" s="329">
        <v>48.566666666666663</v>
      </c>
      <c r="N680" s="329">
        <v>46.366666666666667</v>
      </c>
      <c r="O680" s="329">
        <v>2.2833333333333332</v>
      </c>
      <c r="P680" s="329">
        <v>3.7666666666666671</v>
      </c>
    </row>
    <row r="681" spans="1:16">
      <c r="A681" s="331">
        <v>40567</v>
      </c>
      <c r="B681" s="329">
        <v>48.5</v>
      </c>
      <c r="C681" s="329">
        <f t="shared" si="44"/>
        <v>48.449999999999996</v>
      </c>
      <c r="D681" s="329">
        <v>46.3</v>
      </c>
      <c r="E681" s="329">
        <f t="shared" si="41"/>
        <v>46.300000000000004</v>
      </c>
      <c r="F681" s="329">
        <v>2.2000000000000002</v>
      </c>
      <c r="G681" s="329">
        <f t="shared" si="42"/>
        <v>1.9833333333333332</v>
      </c>
      <c r="H681" s="329">
        <v>3.7</v>
      </c>
      <c r="I681" s="329">
        <f t="shared" si="43"/>
        <v>3.4666666666666668</v>
      </c>
      <c r="L681" s="331">
        <v>40567</v>
      </c>
      <c r="M681" s="329">
        <v>48.449999999999996</v>
      </c>
      <c r="N681" s="329">
        <v>46.300000000000004</v>
      </c>
      <c r="O681" s="329">
        <v>1.9833333333333332</v>
      </c>
      <c r="P681" s="329">
        <v>3.4666666666666668</v>
      </c>
    </row>
    <row r="682" spans="1:16">
      <c r="A682" s="331">
        <v>40567</v>
      </c>
      <c r="B682" s="329">
        <v>48.5</v>
      </c>
      <c r="C682" s="329">
        <f t="shared" si="44"/>
        <v>48.449999999999996</v>
      </c>
      <c r="D682" s="329">
        <v>46.3</v>
      </c>
      <c r="E682" s="329">
        <f t="shared" si="41"/>
        <v>46.300000000000004</v>
      </c>
      <c r="F682" s="329">
        <v>1.9</v>
      </c>
      <c r="G682" s="329">
        <f t="shared" si="42"/>
        <v>1.9833333333333332</v>
      </c>
      <c r="H682" s="329">
        <v>3.6</v>
      </c>
      <c r="I682" s="329">
        <f t="shared" si="43"/>
        <v>3.4666666666666668</v>
      </c>
      <c r="L682" s="331">
        <v>40567</v>
      </c>
      <c r="M682" s="329">
        <v>48.449999999999996</v>
      </c>
      <c r="N682" s="329">
        <v>46.300000000000004</v>
      </c>
      <c r="O682" s="329">
        <v>1.9833333333333332</v>
      </c>
      <c r="P682" s="329">
        <v>3.4666666666666668</v>
      </c>
    </row>
    <row r="683" spans="1:16">
      <c r="A683" s="331">
        <v>40567</v>
      </c>
      <c r="B683" s="329">
        <v>48.5</v>
      </c>
      <c r="C683" s="329">
        <f t="shared" si="44"/>
        <v>48.449999999999996</v>
      </c>
      <c r="D683" s="329">
        <v>46.3</v>
      </c>
      <c r="E683" s="329">
        <f t="shared" si="41"/>
        <v>46.300000000000004</v>
      </c>
      <c r="F683" s="329">
        <v>1.8</v>
      </c>
      <c r="G683" s="329">
        <f t="shared" si="42"/>
        <v>1.9833333333333332</v>
      </c>
      <c r="H683" s="329">
        <v>3.5</v>
      </c>
      <c r="I683" s="329">
        <f t="shared" si="43"/>
        <v>3.4666666666666668</v>
      </c>
      <c r="L683" s="331">
        <v>40567</v>
      </c>
      <c r="M683" s="329">
        <v>48.449999999999996</v>
      </c>
      <c r="N683" s="329">
        <v>46.300000000000004</v>
      </c>
      <c r="O683" s="329">
        <v>1.9833333333333332</v>
      </c>
      <c r="P683" s="329">
        <v>3.4666666666666668</v>
      </c>
    </row>
    <row r="684" spans="1:16">
      <c r="A684" s="331">
        <v>40567</v>
      </c>
      <c r="B684" s="329">
        <v>48.4</v>
      </c>
      <c r="C684" s="329">
        <f t="shared" si="44"/>
        <v>48.449999999999996</v>
      </c>
      <c r="D684" s="329">
        <v>46.3</v>
      </c>
      <c r="E684" s="329">
        <f t="shared" si="41"/>
        <v>46.300000000000004</v>
      </c>
      <c r="F684" s="329">
        <v>1.9</v>
      </c>
      <c r="G684" s="329">
        <f t="shared" si="42"/>
        <v>1.9833333333333332</v>
      </c>
      <c r="H684" s="329">
        <v>3.4</v>
      </c>
      <c r="I684" s="329">
        <f t="shared" si="43"/>
        <v>3.4666666666666668</v>
      </c>
      <c r="L684" s="331">
        <v>40567</v>
      </c>
      <c r="M684" s="329">
        <v>48.449999999999996</v>
      </c>
      <c r="N684" s="329">
        <v>46.300000000000004</v>
      </c>
      <c r="O684" s="329">
        <v>1.9833333333333332</v>
      </c>
      <c r="P684" s="329">
        <v>3.4666666666666668</v>
      </c>
    </row>
    <row r="685" spans="1:16">
      <c r="A685" s="331">
        <v>40567</v>
      </c>
      <c r="B685" s="329">
        <v>48.4</v>
      </c>
      <c r="C685" s="329">
        <f t="shared" si="44"/>
        <v>48.449999999999996</v>
      </c>
      <c r="D685" s="329">
        <v>46.3</v>
      </c>
      <c r="E685" s="329">
        <f t="shared" si="41"/>
        <v>46.300000000000004</v>
      </c>
      <c r="F685" s="329">
        <v>2.1</v>
      </c>
      <c r="G685" s="329">
        <f t="shared" si="42"/>
        <v>1.9833333333333332</v>
      </c>
      <c r="H685" s="329">
        <v>3.3</v>
      </c>
      <c r="I685" s="329">
        <f t="shared" si="43"/>
        <v>3.4666666666666668</v>
      </c>
      <c r="L685" s="331">
        <v>40567</v>
      </c>
      <c r="M685" s="329">
        <v>48.449999999999996</v>
      </c>
      <c r="N685" s="329">
        <v>46.300000000000004</v>
      </c>
      <c r="O685" s="329">
        <v>1.9833333333333332</v>
      </c>
      <c r="P685" s="329">
        <v>3.4666666666666668</v>
      </c>
    </row>
    <row r="686" spans="1:16">
      <c r="A686" s="331">
        <v>40567</v>
      </c>
      <c r="B686" s="329">
        <v>48.4</v>
      </c>
      <c r="C686" s="329">
        <f t="shared" si="44"/>
        <v>48.449999999999996</v>
      </c>
      <c r="D686" s="329">
        <v>46.3</v>
      </c>
      <c r="E686" s="329">
        <f t="shared" si="41"/>
        <v>46.300000000000004</v>
      </c>
      <c r="F686" s="329">
        <v>2</v>
      </c>
      <c r="G686" s="329">
        <f t="shared" si="42"/>
        <v>1.9833333333333332</v>
      </c>
      <c r="H686" s="329">
        <v>3.3</v>
      </c>
      <c r="I686" s="329">
        <f t="shared" si="43"/>
        <v>3.4666666666666668</v>
      </c>
      <c r="L686" s="331">
        <v>40567</v>
      </c>
      <c r="M686" s="329">
        <v>48.449999999999996</v>
      </c>
      <c r="N686" s="329">
        <v>46.300000000000004</v>
      </c>
      <c r="O686" s="329">
        <v>1.9833333333333332</v>
      </c>
      <c r="P686" s="329">
        <v>3.4666666666666668</v>
      </c>
    </row>
    <row r="687" spans="1:16">
      <c r="A687" s="331">
        <v>40568</v>
      </c>
      <c r="B687" s="329">
        <v>48.4</v>
      </c>
      <c r="C687" s="329">
        <f t="shared" si="44"/>
        <v>48.333333333333336</v>
      </c>
      <c r="D687" s="329">
        <v>46.3</v>
      </c>
      <c r="E687" s="329">
        <f t="shared" si="41"/>
        <v>46.283333333333331</v>
      </c>
      <c r="F687" s="329">
        <v>1.9</v>
      </c>
      <c r="G687" s="329">
        <f t="shared" si="42"/>
        <v>1.9166666666666667</v>
      </c>
      <c r="H687" s="329">
        <v>3.3</v>
      </c>
      <c r="I687" s="329">
        <f t="shared" si="43"/>
        <v>3.1833333333333336</v>
      </c>
      <c r="L687" s="331">
        <v>40568</v>
      </c>
      <c r="M687" s="329">
        <v>48.333333333333336</v>
      </c>
      <c r="N687" s="329">
        <v>46.283333333333331</v>
      </c>
      <c r="O687" s="329">
        <v>1.9166666666666667</v>
      </c>
      <c r="P687" s="329">
        <v>3.1833333333333336</v>
      </c>
    </row>
    <row r="688" spans="1:16">
      <c r="A688" s="331">
        <v>40568</v>
      </c>
      <c r="B688" s="329">
        <v>48.4</v>
      </c>
      <c r="C688" s="329">
        <f t="shared" si="44"/>
        <v>48.333333333333336</v>
      </c>
      <c r="D688" s="329">
        <v>46.3</v>
      </c>
      <c r="E688" s="329">
        <f t="shared" si="41"/>
        <v>46.283333333333331</v>
      </c>
      <c r="F688" s="329">
        <v>1.8</v>
      </c>
      <c r="G688" s="329">
        <f t="shared" si="42"/>
        <v>1.9166666666666667</v>
      </c>
      <c r="H688" s="329">
        <v>3.3</v>
      </c>
      <c r="I688" s="329">
        <f t="shared" si="43"/>
        <v>3.1833333333333336</v>
      </c>
      <c r="L688" s="331">
        <v>40568</v>
      </c>
      <c r="M688" s="329">
        <v>48.333333333333336</v>
      </c>
      <c r="N688" s="329">
        <v>46.283333333333331</v>
      </c>
      <c r="O688" s="329">
        <v>1.9166666666666667</v>
      </c>
      <c r="P688" s="329">
        <v>3.1833333333333336</v>
      </c>
    </row>
    <row r="689" spans="1:16">
      <c r="A689" s="331">
        <v>40568</v>
      </c>
      <c r="B689" s="329">
        <v>48.3</v>
      </c>
      <c r="C689" s="329">
        <f t="shared" si="44"/>
        <v>48.333333333333336</v>
      </c>
      <c r="D689" s="329">
        <v>46.3</v>
      </c>
      <c r="E689" s="329">
        <f t="shared" si="41"/>
        <v>46.283333333333331</v>
      </c>
      <c r="F689" s="329">
        <v>1.7</v>
      </c>
      <c r="G689" s="329">
        <f t="shared" si="42"/>
        <v>1.9166666666666667</v>
      </c>
      <c r="H689" s="329">
        <v>3.2</v>
      </c>
      <c r="I689" s="329">
        <f t="shared" si="43"/>
        <v>3.1833333333333336</v>
      </c>
      <c r="L689" s="331">
        <v>40568</v>
      </c>
      <c r="M689" s="329">
        <v>48.333333333333336</v>
      </c>
      <c r="N689" s="329">
        <v>46.283333333333331</v>
      </c>
      <c r="O689" s="329">
        <v>1.9166666666666667</v>
      </c>
      <c r="P689" s="329">
        <v>3.1833333333333336</v>
      </c>
    </row>
    <row r="690" spans="1:16">
      <c r="A690" s="331">
        <v>40568</v>
      </c>
      <c r="B690" s="329">
        <v>48.3</v>
      </c>
      <c r="C690" s="329">
        <f t="shared" si="44"/>
        <v>48.333333333333336</v>
      </c>
      <c r="D690" s="329">
        <v>46.3</v>
      </c>
      <c r="E690" s="329">
        <f t="shared" si="41"/>
        <v>46.283333333333331</v>
      </c>
      <c r="F690" s="329">
        <v>1.8</v>
      </c>
      <c r="G690" s="329">
        <f t="shared" si="42"/>
        <v>1.9166666666666667</v>
      </c>
      <c r="H690" s="329">
        <v>3.1</v>
      </c>
      <c r="I690" s="329">
        <f t="shared" si="43"/>
        <v>3.1833333333333336</v>
      </c>
      <c r="L690" s="331">
        <v>40568</v>
      </c>
      <c r="M690" s="329">
        <v>48.333333333333336</v>
      </c>
      <c r="N690" s="329">
        <v>46.283333333333331</v>
      </c>
      <c r="O690" s="329">
        <v>1.9166666666666667</v>
      </c>
      <c r="P690" s="329">
        <v>3.1833333333333336</v>
      </c>
    </row>
    <row r="691" spans="1:16">
      <c r="A691" s="331">
        <v>40568</v>
      </c>
      <c r="B691" s="329">
        <v>48.3</v>
      </c>
      <c r="C691" s="329">
        <f t="shared" si="44"/>
        <v>48.333333333333336</v>
      </c>
      <c r="D691" s="329">
        <v>46.3</v>
      </c>
      <c r="E691" s="329">
        <f t="shared" si="41"/>
        <v>46.283333333333331</v>
      </c>
      <c r="F691" s="329">
        <v>2</v>
      </c>
      <c r="G691" s="329">
        <f t="shared" si="42"/>
        <v>1.9166666666666667</v>
      </c>
      <c r="H691" s="329">
        <v>3.1</v>
      </c>
      <c r="I691" s="329">
        <f t="shared" si="43"/>
        <v>3.1833333333333336</v>
      </c>
      <c r="L691" s="331">
        <v>40568</v>
      </c>
      <c r="M691" s="329">
        <v>48.333333333333336</v>
      </c>
      <c r="N691" s="329">
        <v>46.283333333333331</v>
      </c>
      <c r="O691" s="329">
        <v>1.9166666666666667</v>
      </c>
      <c r="P691" s="329">
        <v>3.1833333333333336</v>
      </c>
    </row>
    <row r="692" spans="1:16">
      <c r="A692" s="331">
        <v>40568</v>
      </c>
      <c r="B692" s="329">
        <v>48.3</v>
      </c>
      <c r="C692" s="329">
        <f t="shared" si="44"/>
        <v>48.333333333333336</v>
      </c>
      <c r="D692" s="329">
        <v>46.2</v>
      </c>
      <c r="E692" s="329">
        <f t="shared" si="41"/>
        <v>46.283333333333331</v>
      </c>
      <c r="F692" s="329">
        <v>2.2999999999999998</v>
      </c>
      <c r="G692" s="329">
        <f t="shared" si="42"/>
        <v>1.9166666666666667</v>
      </c>
      <c r="H692" s="329">
        <v>3.1</v>
      </c>
      <c r="I692" s="329">
        <f t="shared" si="43"/>
        <v>3.1833333333333336</v>
      </c>
      <c r="L692" s="331">
        <v>40568</v>
      </c>
      <c r="M692" s="329">
        <v>48.333333333333336</v>
      </c>
      <c r="N692" s="329">
        <v>46.283333333333331</v>
      </c>
      <c r="O692" s="329">
        <v>1.9166666666666667</v>
      </c>
      <c r="P692" s="329">
        <v>3.1833333333333336</v>
      </c>
    </row>
    <row r="693" spans="1:16">
      <c r="A693" s="331">
        <v>40569</v>
      </c>
      <c r="B693" s="329">
        <v>48.3</v>
      </c>
      <c r="C693" s="329">
        <f t="shared" si="44"/>
        <v>48.266666666666673</v>
      </c>
      <c r="D693" s="329">
        <v>46.2</v>
      </c>
      <c r="E693" s="329">
        <f t="shared" si="41"/>
        <v>46.199999999999996</v>
      </c>
      <c r="F693" s="329">
        <v>2.2000000000000002</v>
      </c>
      <c r="G693" s="329">
        <f t="shared" si="42"/>
        <v>2.4</v>
      </c>
      <c r="H693" s="329">
        <v>3.1</v>
      </c>
      <c r="I693" s="329">
        <f t="shared" si="43"/>
        <v>3.1500000000000004</v>
      </c>
      <c r="L693" s="331">
        <v>40569</v>
      </c>
      <c r="M693" s="329">
        <v>48.266666666666673</v>
      </c>
      <c r="N693" s="329">
        <v>46.199999999999996</v>
      </c>
      <c r="O693" s="329">
        <v>2.4</v>
      </c>
      <c r="P693" s="329">
        <v>3.1500000000000004</v>
      </c>
    </row>
    <row r="694" spans="1:16">
      <c r="A694" s="331">
        <v>40569</v>
      </c>
      <c r="B694" s="329">
        <v>48.2</v>
      </c>
      <c r="C694" s="329">
        <f t="shared" si="44"/>
        <v>48.266666666666673</v>
      </c>
      <c r="D694" s="329">
        <v>46.2</v>
      </c>
      <c r="E694" s="329">
        <f t="shared" si="41"/>
        <v>46.199999999999996</v>
      </c>
      <c r="F694" s="329">
        <v>2.1</v>
      </c>
      <c r="G694" s="329">
        <f t="shared" si="42"/>
        <v>2.4</v>
      </c>
      <c r="H694" s="329">
        <v>3.1</v>
      </c>
      <c r="I694" s="329">
        <f t="shared" si="43"/>
        <v>3.1500000000000004</v>
      </c>
      <c r="L694" s="331">
        <v>40569</v>
      </c>
      <c r="M694" s="329">
        <v>48.266666666666673</v>
      </c>
      <c r="N694" s="329">
        <v>46.199999999999996</v>
      </c>
      <c r="O694" s="329">
        <v>2.4</v>
      </c>
      <c r="P694" s="329">
        <v>3.1500000000000004</v>
      </c>
    </row>
    <row r="695" spans="1:16">
      <c r="A695" s="331">
        <v>40569</v>
      </c>
      <c r="B695" s="329">
        <v>48.3</v>
      </c>
      <c r="C695" s="329">
        <f t="shared" si="44"/>
        <v>48.266666666666673</v>
      </c>
      <c r="D695" s="329">
        <v>46.2</v>
      </c>
      <c r="E695" s="329">
        <f t="shared" si="41"/>
        <v>46.199999999999996</v>
      </c>
      <c r="F695" s="329">
        <v>2</v>
      </c>
      <c r="G695" s="329">
        <f t="shared" si="42"/>
        <v>2.4</v>
      </c>
      <c r="H695" s="329">
        <v>3.1</v>
      </c>
      <c r="I695" s="329">
        <f t="shared" si="43"/>
        <v>3.1500000000000004</v>
      </c>
      <c r="L695" s="331">
        <v>40569</v>
      </c>
      <c r="M695" s="329">
        <v>48.266666666666673</v>
      </c>
      <c r="N695" s="329">
        <v>46.199999999999996</v>
      </c>
      <c r="O695" s="329">
        <v>2.4</v>
      </c>
      <c r="P695" s="329">
        <v>3.1500000000000004</v>
      </c>
    </row>
    <row r="696" spans="1:16">
      <c r="A696" s="331">
        <v>40569</v>
      </c>
      <c r="B696" s="329">
        <v>48.3</v>
      </c>
      <c r="C696" s="329">
        <f t="shared" si="44"/>
        <v>48.266666666666673</v>
      </c>
      <c r="D696" s="329">
        <v>46.2</v>
      </c>
      <c r="E696" s="329">
        <f t="shared" si="41"/>
        <v>46.199999999999996</v>
      </c>
      <c r="F696" s="329">
        <v>2.1</v>
      </c>
      <c r="G696" s="329">
        <f t="shared" si="42"/>
        <v>2.4</v>
      </c>
      <c r="H696" s="329">
        <v>3.1</v>
      </c>
      <c r="I696" s="329">
        <f t="shared" si="43"/>
        <v>3.1500000000000004</v>
      </c>
      <c r="L696" s="331">
        <v>40569</v>
      </c>
      <c r="M696" s="329">
        <v>48.266666666666673</v>
      </c>
      <c r="N696" s="329">
        <v>46.199999999999996</v>
      </c>
      <c r="O696" s="329">
        <v>2.4</v>
      </c>
      <c r="P696" s="329">
        <v>3.1500000000000004</v>
      </c>
    </row>
    <row r="697" spans="1:16">
      <c r="A697" s="331">
        <v>40569</v>
      </c>
      <c r="B697" s="329">
        <v>48.3</v>
      </c>
      <c r="C697" s="329">
        <f t="shared" si="44"/>
        <v>48.266666666666673</v>
      </c>
      <c r="D697" s="329">
        <v>46.2</v>
      </c>
      <c r="E697" s="329">
        <f t="shared" si="41"/>
        <v>46.199999999999996</v>
      </c>
      <c r="F697" s="329">
        <v>3</v>
      </c>
      <c r="G697" s="329">
        <f t="shared" si="42"/>
        <v>2.4</v>
      </c>
      <c r="H697" s="329">
        <v>3.2</v>
      </c>
      <c r="I697" s="329">
        <f t="shared" si="43"/>
        <v>3.1500000000000004</v>
      </c>
      <c r="L697" s="331">
        <v>40569</v>
      </c>
      <c r="M697" s="329">
        <v>48.266666666666673</v>
      </c>
      <c r="N697" s="329">
        <v>46.199999999999996</v>
      </c>
      <c r="O697" s="329">
        <v>2.4</v>
      </c>
      <c r="P697" s="329">
        <v>3.1500000000000004</v>
      </c>
    </row>
    <row r="698" spans="1:16">
      <c r="A698" s="331">
        <v>40569</v>
      </c>
      <c r="B698" s="329">
        <v>48.2</v>
      </c>
      <c r="C698" s="329">
        <f t="shared" si="44"/>
        <v>48.266666666666673</v>
      </c>
      <c r="D698" s="329">
        <v>46.2</v>
      </c>
      <c r="E698" s="329">
        <f t="shared" si="41"/>
        <v>46.199999999999996</v>
      </c>
      <c r="F698" s="329">
        <v>3</v>
      </c>
      <c r="G698" s="329">
        <f t="shared" si="42"/>
        <v>2.4</v>
      </c>
      <c r="H698" s="329">
        <v>3.3</v>
      </c>
      <c r="I698" s="329">
        <f t="shared" si="43"/>
        <v>3.1500000000000004</v>
      </c>
      <c r="L698" s="331">
        <v>40569</v>
      </c>
      <c r="M698" s="329">
        <v>48.266666666666673</v>
      </c>
      <c r="N698" s="329">
        <v>46.199999999999996</v>
      </c>
      <c r="O698" s="329">
        <v>2.4</v>
      </c>
      <c r="P698" s="329">
        <v>3.1500000000000004</v>
      </c>
    </row>
    <row r="699" spans="1:16">
      <c r="A699" s="331">
        <v>40570</v>
      </c>
      <c r="B699" s="329">
        <v>48.2</v>
      </c>
      <c r="C699" s="329">
        <f t="shared" si="44"/>
        <v>48.183333333333337</v>
      </c>
      <c r="D699" s="329">
        <v>46.2</v>
      </c>
      <c r="E699" s="329">
        <f t="shared" si="41"/>
        <v>46.183333333333337</v>
      </c>
      <c r="F699" s="329">
        <v>2.5</v>
      </c>
      <c r="G699" s="329">
        <f t="shared" si="42"/>
        <v>2.5666666666666669</v>
      </c>
      <c r="H699" s="329">
        <v>3.4</v>
      </c>
      <c r="I699" s="329">
        <f t="shared" si="43"/>
        <v>3.3333333333333335</v>
      </c>
      <c r="L699" s="331">
        <v>40570</v>
      </c>
      <c r="M699" s="329">
        <v>48.183333333333337</v>
      </c>
      <c r="N699" s="329">
        <v>46.183333333333337</v>
      </c>
      <c r="O699" s="329">
        <v>2.5666666666666669</v>
      </c>
      <c r="P699" s="329">
        <v>3.3333333333333335</v>
      </c>
    </row>
    <row r="700" spans="1:16">
      <c r="A700" s="331">
        <v>40570</v>
      </c>
      <c r="B700" s="329">
        <v>48.2</v>
      </c>
      <c r="C700" s="329">
        <f t="shared" si="44"/>
        <v>48.183333333333337</v>
      </c>
      <c r="D700" s="329">
        <v>46.2</v>
      </c>
      <c r="E700" s="329">
        <f t="shared" si="41"/>
        <v>46.183333333333337</v>
      </c>
      <c r="F700" s="329">
        <v>2.1</v>
      </c>
      <c r="G700" s="329">
        <f t="shared" si="42"/>
        <v>2.5666666666666669</v>
      </c>
      <c r="H700" s="329">
        <v>3.4</v>
      </c>
      <c r="I700" s="329">
        <f t="shared" si="43"/>
        <v>3.3333333333333335</v>
      </c>
      <c r="L700" s="331">
        <v>40570</v>
      </c>
      <c r="M700" s="329">
        <v>48.183333333333337</v>
      </c>
      <c r="N700" s="329">
        <v>46.183333333333337</v>
      </c>
      <c r="O700" s="329">
        <v>2.5666666666666669</v>
      </c>
      <c r="P700" s="329">
        <v>3.3333333333333335</v>
      </c>
    </row>
    <row r="701" spans="1:16">
      <c r="A701" s="331">
        <v>40570</v>
      </c>
      <c r="B701" s="329">
        <v>48.2</v>
      </c>
      <c r="C701" s="329">
        <f t="shared" si="44"/>
        <v>48.183333333333337</v>
      </c>
      <c r="D701" s="329">
        <v>46.2</v>
      </c>
      <c r="E701" s="329">
        <f t="shared" si="41"/>
        <v>46.183333333333337</v>
      </c>
      <c r="F701" s="329">
        <v>1.9</v>
      </c>
      <c r="G701" s="329">
        <f t="shared" si="42"/>
        <v>2.5666666666666669</v>
      </c>
      <c r="H701" s="329">
        <v>3.3</v>
      </c>
      <c r="I701" s="329">
        <f t="shared" si="43"/>
        <v>3.3333333333333335</v>
      </c>
      <c r="L701" s="331">
        <v>40570</v>
      </c>
      <c r="M701" s="329">
        <v>48.183333333333337</v>
      </c>
      <c r="N701" s="329">
        <v>46.183333333333337</v>
      </c>
      <c r="O701" s="329">
        <v>2.5666666666666669</v>
      </c>
      <c r="P701" s="329">
        <v>3.3333333333333335</v>
      </c>
    </row>
    <row r="702" spans="1:16">
      <c r="A702" s="331">
        <v>40570</v>
      </c>
      <c r="B702" s="329">
        <v>48.2</v>
      </c>
      <c r="C702" s="329">
        <f t="shared" si="44"/>
        <v>48.183333333333337</v>
      </c>
      <c r="D702" s="329">
        <v>46.2</v>
      </c>
      <c r="E702" s="329">
        <f t="shared" si="41"/>
        <v>46.183333333333337</v>
      </c>
      <c r="F702" s="329">
        <v>1.9</v>
      </c>
      <c r="G702" s="329">
        <f t="shared" si="42"/>
        <v>2.5666666666666669</v>
      </c>
      <c r="H702" s="329">
        <v>3.2</v>
      </c>
      <c r="I702" s="329">
        <f t="shared" si="43"/>
        <v>3.3333333333333335</v>
      </c>
      <c r="L702" s="331">
        <v>40570</v>
      </c>
      <c r="M702" s="329">
        <v>48.183333333333337</v>
      </c>
      <c r="N702" s="329">
        <v>46.183333333333337</v>
      </c>
      <c r="O702" s="329">
        <v>2.5666666666666669</v>
      </c>
      <c r="P702" s="329">
        <v>3.3333333333333335</v>
      </c>
    </row>
    <row r="703" spans="1:16">
      <c r="A703" s="331">
        <v>40570</v>
      </c>
      <c r="B703" s="329">
        <v>48.2</v>
      </c>
      <c r="C703" s="329">
        <f t="shared" si="44"/>
        <v>48.183333333333337</v>
      </c>
      <c r="D703" s="329">
        <v>46.2</v>
      </c>
      <c r="E703" s="329">
        <f t="shared" si="41"/>
        <v>46.183333333333337</v>
      </c>
      <c r="F703" s="329">
        <v>3.2</v>
      </c>
      <c r="G703" s="329">
        <f t="shared" si="42"/>
        <v>2.5666666666666669</v>
      </c>
      <c r="H703" s="329">
        <v>3.2</v>
      </c>
      <c r="I703" s="329">
        <f t="shared" si="43"/>
        <v>3.3333333333333335</v>
      </c>
      <c r="L703" s="331">
        <v>40570</v>
      </c>
      <c r="M703" s="329">
        <v>48.183333333333337</v>
      </c>
      <c r="N703" s="329">
        <v>46.183333333333337</v>
      </c>
      <c r="O703" s="329">
        <v>2.5666666666666669</v>
      </c>
      <c r="P703" s="329">
        <v>3.3333333333333335</v>
      </c>
    </row>
    <row r="704" spans="1:16">
      <c r="A704" s="331">
        <v>40570</v>
      </c>
      <c r="B704" s="329">
        <v>48.1</v>
      </c>
      <c r="C704" s="329">
        <f t="shared" si="44"/>
        <v>48.183333333333337</v>
      </c>
      <c r="D704" s="329">
        <v>46.1</v>
      </c>
      <c r="E704" s="329">
        <f t="shared" si="41"/>
        <v>46.183333333333337</v>
      </c>
      <c r="F704" s="329">
        <v>3.8</v>
      </c>
      <c r="G704" s="329">
        <f t="shared" si="42"/>
        <v>2.5666666666666669</v>
      </c>
      <c r="H704" s="329">
        <v>3.5</v>
      </c>
      <c r="I704" s="329">
        <f t="shared" si="43"/>
        <v>3.3333333333333335</v>
      </c>
      <c r="L704" s="331">
        <v>40570</v>
      </c>
      <c r="M704" s="329">
        <v>48.183333333333337</v>
      </c>
      <c r="N704" s="329">
        <v>46.183333333333337</v>
      </c>
      <c r="O704" s="329">
        <v>2.5666666666666669</v>
      </c>
      <c r="P704" s="329">
        <v>3.3333333333333335</v>
      </c>
    </row>
    <row r="705" spans="1:16">
      <c r="A705" s="331">
        <v>40571</v>
      </c>
      <c r="B705" s="329">
        <v>48.1</v>
      </c>
      <c r="C705" s="329">
        <f t="shared" si="44"/>
        <v>48.050000000000004</v>
      </c>
      <c r="D705" s="329">
        <v>46.1</v>
      </c>
      <c r="E705" s="329">
        <f t="shared" si="41"/>
        <v>46.1</v>
      </c>
      <c r="F705" s="329">
        <v>3.6</v>
      </c>
      <c r="G705" s="329">
        <f t="shared" si="42"/>
        <v>4.1000000000000005</v>
      </c>
      <c r="H705" s="329">
        <v>3.7</v>
      </c>
      <c r="I705" s="329">
        <f t="shared" si="43"/>
        <v>3.9333333333333336</v>
      </c>
      <c r="L705" s="331">
        <v>40571</v>
      </c>
      <c r="M705" s="329">
        <v>48.050000000000004</v>
      </c>
      <c r="N705" s="329">
        <v>46.1</v>
      </c>
      <c r="O705" s="329">
        <v>4.1000000000000005</v>
      </c>
      <c r="P705" s="329">
        <v>3.9333333333333336</v>
      </c>
    </row>
    <row r="706" spans="1:16">
      <c r="A706" s="331">
        <v>40571</v>
      </c>
      <c r="B706" s="329">
        <v>48.1</v>
      </c>
      <c r="C706" s="329">
        <f t="shared" si="44"/>
        <v>48.050000000000004</v>
      </c>
      <c r="D706" s="329">
        <v>46.1</v>
      </c>
      <c r="E706" s="329">
        <f t="shared" si="41"/>
        <v>46.1</v>
      </c>
      <c r="F706" s="329">
        <v>3.7</v>
      </c>
      <c r="G706" s="329">
        <f t="shared" si="42"/>
        <v>4.1000000000000005</v>
      </c>
      <c r="H706" s="329">
        <v>3.8</v>
      </c>
      <c r="I706" s="329">
        <f t="shared" si="43"/>
        <v>3.9333333333333336</v>
      </c>
      <c r="L706" s="331">
        <v>40571</v>
      </c>
      <c r="M706" s="329">
        <v>48.050000000000004</v>
      </c>
      <c r="N706" s="329">
        <v>46.1</v>
      </c>
      <c r="O706" s="329">
        <v>4.1000000000000005</v>
      </c>
      <c r="P706" s="329">
        <v>3.9333333333333336</v>
      </c>
    </row>
    <row r="707" spans="1:16">
      <c r="A707" s="331">
        <v>40571</v>
      </c>
      <c r="B707" s="329">
        <v>48.1</v>
      </c>
      <c r="C707" s="329">
        <f t="shared" si="44"/>
        <v>48.050000000000004</v>
      </c>
      <c r="D707" s="329">
        <v>46.1</v>
      </c>
      <c r="E707" s="329">
        <f t="shared" si="41"/>
        <v>46.1</v>
      </c>
      <c r="F707" s="329">
        <v>3.7</v>
      </c>
      <c r="G707" s="329">
        <f t="shared" si="42"/>
        <v>4.1000000000000005</v>
      </c>
      <c r="H707" s="329">
        <v>3.9</v>
      </c>
      <c r="I707" s="329">
        <f t="shared" si="43"/>
        <v>3.9333333333333336</v>
      </c>
      <c r="L707" s="331">
        <v>40571</v>
      </c>
      <c r="M707" s="329">
        <v>48.050000000000004</v>
      </c>
      <c r="N707" s="329">
        <v>46.1</v>
      </c>
      <c r="O707" s="329">
        <v>4.1000000000000005</v>
      </c>
      <c r="P707" s="329">
        <v>3.9333333333333336</v>
      </c>
    </row>
    <row r="708" spans="1:16">
      <c r="A708" s="331">
        <v>40571</v>
      </c>
      <c r="B708" s="329">
        <v>48.1</v>
      </c>
      <c r="C708" s="329">
        <f t="shared" si="44"/>
        <v>48.050000000000004</v>
      </c>
      <c r="D708" s="329">
        <v>46.1</v>
      </c>
      <c r="E708" s="329">
        <f t="shared" si="41"/>
        <v>46.1</v>
      </c>
      <c r="F708" s="329">
        <v>3.7</v>
      </c>
      <c r="G708" s="329">
        <f t="shared" si="42"/>
        <v>4.1000000000000005</v>
      </c>
      <c r="H708" s="329">
        <v>3.9</v>
      </c>
      <c r="I708" s="329">
        <f t="shared" si="43"/>
        <v>3.9333333333333336</v>
      </c>
      <c r="L708" s="331">
        <v>40571</v>
      </c>
      <c r="M708" s="329">
        <v>48.050000000000004</v>
      </c>
      <c r="N708" s="329">
        <v>46.1</v>
      </c>
      <c r="O708" s="329">
        <v>4.1000000000000005</v>
      </c>
      <c r="P708" s="329">
        <v>3.9333333333333336</v>
      </c>
    </row>
    <row r="709" spans="1:16">
      <c r="A709" s="331">
        <v>40571</v>
      </c>
      <c r="B709" s="329">
        <v>48</v>
      </c>
      <c r="C709" s="329">
        <f t="shared" si="44"/>
        <v>48.050000000000004</v>
      </c>
      <c r="D709" s="329">
        <v>46.1</v>
      </c>
      <c r="E709" s="329">
        <f t="shared" si="41"/>
        <v>46.1</v>
      </c>
      <c r="F709" s="329">
        <v>4.8</v>
      </c>
      <c r="G709" s="329">
        <f t="shared" si="42"/>
        <v>4.1000000000000005</v>
      </c>
      <c r="H709" s="329">
        <v>4</v>
      </c>
      <c r="I709" s="329">
        <f t="shared" si="43"/>
        <v>3.9333333333333336</v>
      </c>
      <c r="L709" s="331">
        <v>40571</v>
      </c>
      <c r="M709" s="329">
        <v>48.050000000000004</v>
      </c>
      <c r="N709" s="329">
        <v>46.1</v>
      </c>
      <c r="O709" s="329">
        <v>4.1000000000000005</v>
      </c>
      <c r="P709" s="329">
        <v>3.9333333333333336</v>
      </c>
    </row>
    <row r="710" spans="1:16">
      <c r="A710" s="331">
        <v>40571</v>
      </c>
      <c r="B710" s="329">
        <v>47.9</v>
      </c>
      <c r="C710" s="329">
        <f t="shared" si="44"/>
        <v>48.050000000000004</v>
      </c>
      <c r="D710" s="329">
        <v>46.1</v>
      </c>
      <c r="E710" s="329">
        <f t="shared" si="41"/>
        <v>46.1</v>
      </c>
      <c r="F710" s="329">
        <v>5.0999999999999996</v>
      </c>
      <c r="G710" s="329">
        <f t="shared" si="42"/>
        <v>4.1000000000000005</v>
      </c>
      <c r="H710" s="329">
        <v>4.3</v>
      </c>
      <c r="I710" s="329">
        <f t="shared" si="43"/>
        <v>3.9333333333333336</v>
      </c>
      <c r="L710" s="331">
        <v>40571</v>
      </c>
      <c r="M710" s="329">
        <v>48.050000000000004</v>
      </c>
      <c r="N710" s="329">
        <v>46.1</v>
      </c>
      <c r="O710" s="329">
        <v>4.1000000000000005</v>
      </c>
      <c r="P710" s="329">
        <v>3.9333333333333336</v>
      </c>
    </row>
    <row r="711" spans="1:16">
      <c r="A711" s="331">
        <v>40572</v>
      </c>
      <c r="B711" s="329">
        <v>47.9</v>
      </c>
      <c r="C711" s="329">
        <f t="shared" si="44"/>
        <v>51.033333333333339</v>
      </c>
      <c r="D711" s="329">
        <v>46.1</v>
      </c>
      <c r="E711" s="329">
        <f t="shared" si="41"/>
        <v>46.1</v>
      </c>
      <c r="F711" s="329">
        <v>5.0999999999999996</v>
      </c>
      <c r="G711" s="329">
        <f t="shared" si="42"/>
        <v>5.166666666666667</v>
      </c>
      <c r="H711" s="329">
        <v>4.5</v>
      </c>
      <c r="I711" s="329">
        <f t="shared" si="43"/>
        <v>4.7833333333333341</v>
      </c>
      <c r="L711" s="331">
        <v>40572</v>
      </c>
      <c r="M711" s="329">
        <v>51.033333333333339</v>
      </c>
      <c r="N711" s="329">
        <v>46.1</v>
      </c>
      <c r="O711" s="329">
        <v>5.166666666666667</v>
      </c>
      <c r="P711" s="329">
        <v>4.7833333333333341</v>
      </c>
    </row>
    <row r="712" spans="1:16">
      <c r="A712" s="331">
        <v>40572</v>
      </c>
      <c r="B712" s="329">
        <v>47.9</v>
      </c>
      <c r="C712" s="329">
        <f t="shared" si="44"/>
        <v>51.033333333333339</v>
      </c>
      <c r="D712" s="329">
        <v>46.1</v>
      </c>
      <c r="E712" s="329">
        <f t="shared" si="41"/>
        <v>46.1</v>
      </c>
      <c r="F712" s="329">
        <v>5.0999999999999996</v>
      </c>
      <c r="G712" s="329">
        <f t="shared" si="42"/>
        <v>5.166666666666667</v>
      </c>
      <c r="H712" s="329">
        <v>4.7</v>
      </c>
      <c r="I712" s="329">
        <f t="shared" si="43"/>
        <v>4.7833333333333341</v>
      </c>
      <c r="L712" s="331">
        <v>40572</v>
      </c>
      <c r="M712" s="329">
        <v>51.033333333333339</v>
      </c>
      <c r="N712" s="329">
        <v>46.1</v>
      </c>
      <c r="O712" s="329">
        <v>5.166666666666667</v>
      </c>
      <c r="P712" s="329">
        <v>4.7833333333333341</v>
      </c>
    </row>
    <row r="713" spans="1:16">
      <c r="A713" s="331">
        <v>40572</v>
      </c>
      <c r="B713" s="329">
        <v>47.9</v>
      </c>
      <c r="C713" s="329">
        <f t="shared" si="44"/>
        <v>51.033333333333339</v>
      </c>
      <c r="D713" s="329">
        <v>46.1</v>
      </c>
      <c r="E713" s="329">
        <f t="shared" si="41"/>
        <v>46.1</v>
      </c>
      <c r="F713" s="329">
        <v>5.0999999999999996</v>
      </c>
      <c r="G713" s="329">
        <f t="shared" si="42"/>
        <v>5.166666666666667</v>
      </c>
      <c r="H713" s="329">
        <v>4.8</v>
      </c>
      <c r="I713" s="329">
        <f t="shared" si="43"/>
        <v>4.7833333333333341</v>
      </c>
      <c r="L713" s="331">
        <v>40572</v>
      </c>
      <c r="M713" s="329">
        <v>51.033333333333339</v>
      </c>
      <c r="N713" s="329">
        <v>46.1</v>
      </c>
      <c r="O713" s="329">
        <v>5.166666666666667</v>
      </c>
      <c r="P713" s="329">
        <v>4.7833333333333341</v>
      </c>
    </row>
    <row r="714" spans="1:16">
      <c r="A714" s="331">
        <v>40572</v>
      </c>
      <c r="B714" s="329">
        <v>47.9</v>
      </c>
      <c r="C714" s="329">
        <f t="shared" si="44"/>
        <v>51.033333333333339</v>
      </c>
      <c r="D714" s="329">
        <v>46.1</v>
      </c>
      <c r="E714" s="329">
        <f t="shared" si="41"/>
        <v>46.1</v>
      </c>
      <c r="F714" s="329">
        <v>5.2</v>
      </c>
      <c r="G714" s="329">
        <f t="shared" si="42"/>
        <v>5.166666666666667</v>
      </c>
      <c r="H714" s="329">
        <v>4.8</v>
      </c>
      <c r="I714" s="329">
        <f t="shared" si="43"/>
        <v>4.7833333333333341</v>
      </c>
      <c r="L714" s="331">
        <v>40572</v>
      </c>
      <c r="M714" s="329">
        <v>51.033333333333339</v>
      </c>
      <c r="N714" s="329">
        <v>46.1</v>
      </c>
      <c r="O714" s="329">
        <v>5.166666666666667</v>
      </c>
      <c r="P714" s="329">
        <v>4.7833333333333341</v>
      </c>
    </row>
    <row r="715" spans="1:16">
      <c r="A715" s="331">
        <v>40572</v>
      </c>
      <c r="B715" s="329">
        <v>48.2</v>
      </c>
      <c r="C715" s="329">
        <f t="shared" si="44"/>
        <v>51.033333333333339</v>
      </c>
      <c r="D715" s="329">
        <v>46.1</v>
      </c>
      <c r="E715" s="329">
        <f t="shared" si="41"/>
        <v>46.1</v>
      </c>
      <c r="F715" s="329">
        <v>5.4</v>
      </c>
      <c r="G715" s="329">
        <f t="shared" si="42"/>
        <v>5.166666666666667</v>
      </c>
      <c r="H715" s="329">
        <v>4.9000000000000004</v>
      </c>
      <c r="I715" s="329">
        <f t="shared" si="43"/>
        <v>4.7833333333333341</v>
      </c>
      <c r="L715" s="331">
        <v>40572</v>
      </c>
      <c r="M715" s="329">
        <v>51.033333333333339</v>
      </c>
      <c r="N715" s="329">
        <v>46.1</v>
      </c>
      <c r="O715" s="329">
        <v>5.166666666666667</v>
      </c>
      <c r="P715" s="329">
        <v>4.7833333333333341</v>
      </c>
    </row>
    <row r="716" spans="1:16">
      <c r="A716" s="331">
        <v>40572</v>
      </c>
      <c r="B716" s="329">
        <v>66.400000000000006</v>
      </c>
      <c r="C716" s="329">
        <f t="shared" si="44"/>
        <v>51.033333333333339</v>
      </c>
      <c r="D716" s="329">
        <v>46.1</v>
      </c>
      <c r="E716" s="329">
        <f t="shared" si="41"/>
        <v>46.1</v>
      </c>
      <c r="F716" s="329">
        <v>5.0999999999999996</v>
      </c>
      <c r="G716" s="329">
        <f t="shared" si="42"/>
        <v>5.166666666666667</v>
      </c>
      <c r="H716" s="329">
        <v>5</v>
      </c>
      <c r="I716" s="329">
        <f t="shared" si="43"/>
        <v>4.7833333333333341</v>
      </c>
      <c r="L716" s="331">
        <v>40572</v>
      </c>
      <c r="M716" s="329">
        <v>51.033333333333339</v>
      </c>
      <c r="N716" s="329">
        <v>46.1</v>
      </c>
      <c r="O716" s="329">
        <v>5.166666666666667</v>
      </c>
      <c r="P716" s="329">
        <v>4.7833333333333341</v>
      </c>
    </row>
    <row r="717" spans="1:16">
      <c r="A717" s="331">
        <v>40573</v>
      </c>
      <c r="B717" s="329">
        <v>64.7</v>
      </c>
      <c r="C717" s="329">
        <f t="shared" si="44"/>
        <v>55.983333333333341</v>
      </c>
      <c r="D717" s="329">
        <v>46.1</v>
      </c>
      <c r="E717" s="329">
        <f t="shared" si="41"/>
        <v>46.1</v>
      </c>
      <c r="F717" s="329">
        <v>4.9000000000000004</v>
      </c>
      <c r="G717" s="329">
        <f t="shared" si="42"/>
        <v>4.9666666666666668</v>
      </c>
      <c r="H717" s="329">
        <v>5</v>
      </c>
      <c r="I717" s="329">
        <f t="shared" si="43"/>
        <v>5.0166666666666666</v>
      </c>
      <c r="L717" s="331">
        <v>40573</v>
      </c>
      <c r="M717" s="329">
        <v>55.983333333333341</v>
      </c>
      <c r="N717" s="329">
        <v>46.1</v>
      </c>
      <c r="O717" s="329">
        <v>4.9666666666666668</v>
      </c>
      <c r="P717" s="329">
        <v>5.0166666666666666</v>
      </c>
    </row>
    <row r="718" spans="1:16">
      <c r="A718" s="331">
        <v>40573</v>
      </c>
      <c r="B718" s="329">
        <v>60.8</v>
      </c>
      <c r="C718" s="329">
        <f t="shared" si="44"/>
        <v>55.983333333333341</v>
      </c>
      <c r="D718" s="329">
        <v>46.1</v>
      </c>
      <c r="E718" s="329">
        <f t="shared" si="41"/>
        <v>46.1</v>
      </c>
      <c r="F718" s="329">
        <v>4.9000000000000004</v>
      </c>
      <c r="G718" s="329">
        <f t="shared" si="42"/>
        <v>4.9666666666666668</v>
      </c>
      <c r="H718" s="329">
        <v>5</v>
      </c>
      <c r="I718" s="329">
        <f t="shared" si="43"/>
        <v>5.0166666666666666</v>
      </c>
      <c r="L718" s="331">
        <v>40573</v>
      </c>
      <c r="M718" s="329">
        <v>55.983333333333341</v>
      </c>
      <c r="N718" s="329">
        <v>46.1</v>
      </c>
      <c r="O718" s="329">
        <v>4.9666666666666668</v>
      </c>
      <c r="P718" s="329">
        <v>5.0166666666666666</v>
      </c>
    </row>
    <row r="719" spans="1:16">
      <c r="A719" s="331">
        <v>40573</v>
      </c>
      <c r="B719" s="329">
        <v>53.9</v>
      </c>
      <c r="C719" s="329">
        <f t="shared" si="44"/>
        <v>55.983333333333341</v>
      </c>
      <c r="D719" s="329">
        <v>46.1</v>
      </c>
      <c r="E719" s="329">
        <f t="shared" si="41"/>
        <v>46.1</v>
      </c>
      <c r="F719" s="329">
        <v>4.8</v>
      </c>
      <c r="G719" s="329">
        <f t="shared" si="42"/>
        <v>4.9666666666666668</v>
      </c>
      <c r="H719" s="329">
        <v>5</v>
      </c>
      <c r="I719" s="329">
        <f t="shared" si="43"/>
        <v>5.0166666666666666</v>
      </c>
      <c r="L719" s="331">
        <v>40573</v>
      </c>
      <c r="M719" s="329">
        <v>55.983333333333341</v>
      </c>
      <c r="N719" s="329">
        <v>46.1</v>
      </c>
      <c r="O719" s="329">
        <v>4.9666666666666668</v>
      </c>
      <c r="P719" s="329">
        <v>5.0166666666666666</v>
      </c>
    </row>
    <row r="720" spans="1:16">
      <c r="A720" s="331">
        <v>40573</v>
      </c>
      <c r="B720" s="329">
        <v>52.6</v>
      </c>
      <c r="C720" s="329">
        <f t="shared" si="44"/>
        <v>55.983333333333341</v>
      </c>
      <c r="D720" s="329">
        <v>46.1</v>
      </c>
      <c r="E720" s="329">
        <f t="shared" si="41"/>
        <v>46.1</v>
      </c>
      <c r="F720" s="329">
        <v>4.9000000000000004</v>
      </c>
      <c r="G720" s="329">
        <f t="shared" si="42"/>
        <v>4.9666666666666668</v>
      </c>
      <c r="H720" s="329">
        <v>5</v>
      </c>
      <c r="I720" s="329">
        <f t="shared" si="43"/>
        <v>5.0166666666666666</v>
      </c>
      <c r="L720" s="331">
        <v>40573</v>
      </c>
      <c r="M720" s="329">
        <v>55.983333333333341</v>
      </c>
      <c r="N720" s="329">
        <v>46.1</v>
      </c>
      <c r="O720" s="329">
        <v>4.9666666666666668</v>
      </c>
      <c r="P720" s="329">
        <v>5.0166666666666666</v>
      </c>
    </row>
    <row r="721" spans="1:16">
      <c r="A721" s="331">
        <v>40573</v>
      </c>
      <c r="B721" s="329">
        <v>52.1</v>
      </c>
      <c r="C721" s="329">
        <f t="shared" si="44"/>
        <v>55.983333333333341</v>
      </c>
      <c r="D721" s="329">
        <v>46.1</v>
      </c>
      <c r="E721" s="329">
        <f t="shared" si="41"/>
        <v>46.1</v>
      </c>
      <c r="F721" s="329">
        <v>5.0999999999999996</v>
      </c>
      <c r="G721" s="329">
        <f t="shared" si="42"/>
        <v>4.9666666666666668</v>
      </c>
      <c r="H721" s="329">
        <v>5</v>
      </c>
      <c r="I721" s="329">
        <f t="shared" si="43"/>
        <v>5.0166666666666666</v>
      </c>
      <c r="L721" s="331">
        <v>40573</v>
      </c>
      <c r="M721" s="329">
        <v>55.983333333333341</v>
      </c>
      <c r="N721" s="329">
        <v>46.1</v>
      </c>
      <c r="O721" s="329">
        <v>4.9666666666666668</v>
      </c>
      <c r="P721" s="329">
        <v>5.0166666666666666</v>
      </c>
    </row>
    <row r="722" spans="1:16">
      <c r="A722" s="331">
        <v>40573</v>
      </c>
      <c r="B722" s="329">
        <v>51.8</v>
      </c>
      <c r="C722" s="329">
        <f t="shared" si="44"/>
        <v>55.983333333333341</v>
      </c>
      <c r="D722" s="329">
        <v>46.1</v>
      </c>
      <c r="E722" s="329">
        <f t="shared" si="41"/>
        <v>46.1</v>
      </c>
      <c r="F722" s="329">
        <v>5.2</v>
      </c>
      <c r="G722" s="329">
        <f t="shared" si="42"/>
        <v>4.9666666666666668</v>
      </c>
      <c r="H722" s="329">
        <v>5.0999999999999996</v>
      </c>
      <c r="I722" s="329">
        <f t="shared" si="43"/>
        <v>5.0166666666666666</v>
      </c>
      <c r="L722" s="331">
        <v>40573</v>
      </c>
      <c r="M722" s="329">
        <v>55.983333333333341</v>
      </c>
      <c r="N722" s="329">
        <v>46.1</v>
      </c>
      <c r="O722" s="329">
        <v>4.9666666666666668</v>
      </c>
      <c r="P722" s="329">
        <v>5.0166666666666666</v>
      </c>
    </row>
    <row r="723" spans="1:16">
      <c r="A723" s="331">
        <v>40574</v>
      </c>
      <c r="B723" s="329">
        <v>51.4</v>
      </c>
      <c r="C723" s="329">
        <f t="shared" si="44"/>
        <v>50.766666666666659</v>
      </c>
      <c r="D723" s="329">
        <v>46.2</v>
      </c>
      <c r="E723" s="329">
        <f t="shared" si="41"/>
        <v>46.199999999999996</v>
      </c>
      <c r="F723" s="329">
        <v>5.0999999999999996</v>
      </c>
      <c r="G723" s="329">
        <f t="shared" si="42"/>
        <v>4.5</v>
      </c>
      <c r="H723" s="329">
        <v>5.0999999999999996</v>
      </c>
      <c r="I723" s="329">
        <f t="shared" si="43"/>
        <v>4.916666666666667</v>
      </c>
      <c r="L723" s="331">
        <v>40574</v>
      </c>
      <c r="M723" s="329">
        <v>50.766666666666659</v>
      </c>
      <c r="N723" s="329">
        <v>46.199999999999996</v>
      </c>
      <c r="O723" s="329">
        <v>4.5</v>
      </c>
      <c r="P723" s="329">
        <v>4.916666666666667</v>
      </c>
    </row>
    <row r="724" spans="1:16">
      <c r="A724" s="331">
        <v>40574</v>
      </c>
      <c r="B724" s="329">
        <v>51.2</v>
      </c>
      <c r="C724" s="329">
        <f t="shared" si="44"/>
        <v>50.766666666666659</v>
      </c>
      <c r="D724" s="329">
        <v>46.2</v>
      </c>
      <c r="E724" s="329">
        <f t="shared" si="41"/>
        <v>46.199999999999996</v>
      </c>
      <c r="F724" s="329">
        <v>4.8</v>
      </c>
      <c r="G724" s="329">
        <f t="shared" si="42"/>
        <v>4.5</v>
      </c>
      <c r="H724" s="329">
        <v>5.0999999999999996</v>
      </c>
      <c r="I724" s="329">
        <f t="shared" si="43"/>
        <v>4.916666666666667</v>
      </c>
      <c r="L724" s="331">
        <v>40574</v>
      </c>
      <c r="M724" s="329">
        <v>50.766666666666659</v>
      </c>
      <c r="N724" s="329">
        <v>46.199999999999996</v>
      </c>
      <c r="O724" s="329">
        <v>4.5</v>
      </c>
      <c r="P724" s="329">
        <v>4.916666666666667</v>
      </c>
    </row>
    <row r="725" spans="1:16">
      <c r="A725" s="331">
        <v>40574</v>
      </c>
      <c r="B725" s="329">
        <v>50.8</v>
      </c>
      <c r="C725" s="329">
        <f t="shared" si="44"/>
        <v>50.766666666666659</v>
      </c>
      <c r="D725" s="329">
        <v>46.2</v>
      </c>
      <c r="E725" s="329">
        <f t="shared" si="41"/>
        <v>46.199999999999996</v>
      </c>
      <c r="F725" s="329">
        <v>4.4000000000000004</v>
      </c>
      <c r="G725" s="329">
        <f t="shared" si="42"/>
        <v>4.5</v>
      </c>
      <c r="H725" s="329">
        <v>5</v>
      </c>
      <c r="I725" s="329">
        <f t="shared" si="43"/>
        <v>4.916666666666667</v>
      </c>
      <c r="L725" s="331">
        <v>40574</v>
      </c>
      <c r="M725" s="329">
        <v>50.766666666666659</v>
      </c>
      <c r="N725" s="329">
        <v>46.199999999999996</v>
      </c>
      <c r="O725" s="329">
        <v>4.5</v>
      </c>
      <c r="P725" s="329">
        <v>4.916666666666667</v>
      </c>
    </row>
    <row r="726" spans="1:16">
      <c r="A726" s="331">
        <v>40574</v>
      </c>
      <c r="B726" s="329">
        <v>50.6</v>
      </c>
      <c r="C726" s="329">
        <f t="shared" si="44"/>
        <v>50.766666666666659</v>
      </c>
      <c r="D726" s="329">
        <v>46.2</v>
      </c>
      <c r="E726" s="329">
        <f t="shared" si="41"/>
        <v>46.199999999999996</v>
      </c>
      <c r="F726" s="329">
        <v>4.2</v>
      </c>
      <c r="G726" s="329">
        <f t="shared" si="42"/>
        <v>4.5</v>
      </c>
      <c r="H726" s="329">
        <v>4.9000000000000004</v>
      </c>
      <c r="I726" s="329">
        <f t="shared" si="43"/>
        <v>4.916666666666667</v>
      </c>
      <c r="L726" s="331">
        <v>40574</v>
      </c>
      <c r="M726" s="329">
        <v>50.766666666666659</v>
      </c>
      <c r="N726" s="329">
        <v>46.199999999999996</v>
      </c>
      <c r="O726" s="329">
        <v>4.5</v>
      </c>
      <c r="P726" s="329">
        <v>4.916666666666667</v>
      </c>
    </row>
    <row r="727" spans="1:16">
      <c r="A727" s="331">
        <v>40574</v>
      </c>
      <c r="B727" s="329">
        <v>50.4</v>
      </c>
      <c r="C727" s="329">
        <f t="shared" si="44"/>
        <v>50.766666666666659</v>
      </c>
      <c r="D727" s="329">
        <v>46.2</v>
      </c>
      <c r="E727" s="329">
        <f t="shared" si="41"/>
        <v>46.199999999999996</v>
      </c>
      <c r="F727" s="329">
        <v>4.3</v>
      </c>
      <c r="G727" s="329">
        <f t="shared" si="42"/>
        <v>4.5</v>
      </c>
      <c r="H727" s="329">
        <v>4.7</v>
      </c>
      <c r="I727" s="329">
        <f t="shared" si="43"/>
        <v>4.916666666666667</v>
      </c>
      <c r="L727" s="331">
        <v>40574</v>
      </c>
      <c r="M727" s="329">
        <v>50.766666666666659</v>
      </c>
      <c r="N727" s="329">
        <v>46.199999999999996</v>
      </c>
      <c r="O727" s="329">
        <v>4.5</v>
      </c>
      <c r="P727" s="329">
        <v>4.916666666666667</v>
      </c>
    </row>
    <row r="728" spans="1:16">
      <c r="A728" s="331">
        <v>40574</v>
      </c>
      <c r="B728" s="329">
        <v>50.2</v>
      </c>
      <c r="C728" s="329">
        <f t="shared" si="44"/>
        <v>50.766666666666659</v>
      </c>
      <c r="D728" s="329">
        <v>46.2</v>
      </c>
      <c r="E728" s="329">
        <f t="shared" si="41"/>
        <v>46.199999999999996</v>
      </c>
      <c r="F728" s="329">
        <v>4.2</v>
      </c>
      <c r="G728" s="329">
        <f t="shared" si="42"/>
        <v>4.5</v>
      </c>
      <c r="H728" s="329">
        <v>4.7</v>
      </c>
      <c r="I728" s="329">
        <f t="shared" si="43"/>
        <v>4.916666666666667</v>
      </c>
      <c r="L728" s="331">
        <v>40574</v>
      </c>
      <c r="M728" s="329">
        <v>50.766666666666659</v>
      </c>
      <c r="N728" s="329">
        <v>46.199999999999996</v>
      </c>
      <c r="O728" s="329">
        <v>4.5</v>
      </c>
      <c r="P728" s="329">
        <v>4.916666666666667</v>
      </c>
    </row>
    <row r="729" spans="1:16">
      <c r="A729" s="331">
        <v>40575</v>
      </c>
      <c r="B729" s="329">
        <v>50</v>
      </c>
      <c r="C729" s="329">
        <f t="shared" si="44"/>
        <v>49.766666666666659</v>
      </c>
      <c r="D729" s="329">
        <v>46.2</v>
      </c>
      <c r="E729" s="329">
        <f t="shared" si="41"/>
        <v>46.266666666666673</v>
      </c>
      <c r="F729" s="329">
        <v>3.9</v>
      </c>
      <c r="G729" s="329">
        <f t="shared" si="42"/>
        <v>3.2833333333333328</v>
      </c>
      <c r="H729" s="329">
        <v>4.5999999999999996</v>
      </c>
      <c r="I729" s="329">
        <f t="shared" si="43"/>
        <v>4.3</v>
      </c>
      <c r="L729" s="331">
        <v>40575</v>
      </c>
      <c r="M729" s="329">
        <v>49.766666666666659</v>
      </c>
      <c r="N729" s="329">
        <v>46.266666666666673</v>
      </c>
      <c r="O729" s="329">
        <v>3.2833333333333328</v>
      </c>
      <c r="P729" s="329">
        <v>4.3</v>
      </c>
    </row>
    <row r="730" spans="1:16">
      <c r="A730" s="331">
        <v>40575</v>
      </c>
      <c r="B730" s="329">
        <v>49.9</v>
      </c>
      <c r="C730" s="329">
        <f t="shared" si="44"/>
        <v>49.766666666666659</v>
      </c>
      <c r="D730" s="329">
        <v>46.2</v>
      </c>
      <c r="E730" s="329">
        <f t="shared" si="41"/>
        <v>46.266666666666673</v>
      </c>
      <c r="F730" s="329">
        <v>3.3</v>
      </c>
      <c r="G730" s="329">
        <f t="shared" si="42"/>
        <v>3.2833333333333328</v>
      </c>
      <c r="H730" s="329">
        <v>4.5</v>
      </c>
      <c r="I730" s="329">
        <f t="shared" si="43"/>
        <v>4.3</v>
      </c>
      <c r="L730" s="331">
        <v>40575</v>
      </c>
      <c r="M730" s="329">
        <v>49.766666666666659</v>
      </c>
      <c r="N730" s="329">
        <v>46.266666666666673</v>
      </c>
      <c r="O730" s="329">
        <v>3.2833333333333328</v>
      </c>
      <c r="P730" s="329">
        <v>4.3</v>
      </c>
    </row>
    <row r="731" spans="1:16">
      <c r="A731" s="331">
        <v>40575</v>
      </c>
      <c r="B731" s="329">
        <v>49.8</v>
      </c>
      <c r="C731" s="329">
        <f t="shared" si="44"/>
        <v>49.766666666666659</v>
      </c>
      <c r="D731" s="329">
        <v>46.3</v>
      </c>
      <c r="E731" s="329">
        <f t="shared" si="41"/>
        <v>46.266666666666673</v>
      </c>
      <c r="F731" s="329">
        <v>3.2</v>
      </c>
      <c r="G731" s="329">
        <f t="shared" si="42"/>
        <v>3.2833333333333328</v>
      </c>
      <c r="H731" s="329">
        <v>4.4000000000000004</v>
      </c>
      <c r="I731" s="329">
        <f t="shared" si="43"/>
        <v>4.3</v>
      </c>
      <c r="L731" s="331">
        <v>40575</v>
      </c>
      <c r="M731" s="329">
        <v>49.766666666666659</v>
      </c>
      <c r="N731" s="329">
        <v>46.266666666666673</v>
      </c>
      <c r="O731" s="329">
        <v>3.2833333333333328</v>
      </c>
      <c r="P731" s="329">
        <v>4.3</v>
      </c>
    </row>
    <row r="732" spans="1:16">
      <c r="A732" s="331">
        <v>40575</v>
      </c>
      <c r="B732" s="329">
        <v>49.7</v>
      </c>
      <c r="C732" s="329">
        <f t="shared" si="44"/>
        <v>49.766666666666659</v>
      </c>
      <c r="D732" s="329">
        <v>46.3</v>
      </c>
      <c r="E732" s="329">
        <f t="shared" si="41"/>
        <v>46.266666666666673</v>
      </c>
      <c r="F732" s="329">
        <v>3.2</v>
      </c>
      <c r="G732" s="329">
        <f t="shared" si="42"/>
        <v>3.2833333333333328</v>
      </c>
      <c r="H732" s="329">
        <v>4.2</v>
      </c>
      <c r="I732" s="329">
        <f t="shared" si="43"/>
        <v>4.3</v>
      </c>
      <c r="L732" s="331">
        <v>40575</v>
      </c>
      <c r="M732" s="329">
        <v>49.766666666666659</v>
      </c>
      <c r="N732" s="329">
        <v>46.266666666666673</v>
      </c>
      <c r="O732" s="329">
        <v>3.2833333333333328</v>
      </c>
      <c r="P732" s="329">
        <v>4.3</v>
      </c>
    </row>
    <row r="733" spans="1:16">
      <c r="A733" s="331">
        <v>40575</v>
      </c>
      <c r="B733" s="329">
        <v>49.6</v>
      </c>
      <c r="C733" s="329">
        <f t="shared" si="44"/>
        <v>49.766666666666659</v>
      </c>
      <c r="D733" s="329">
        <v>46.3</v>
      </c>
      <c r="E733" s="329">
        <f t="shared" si="41"/>
        <v>46.266666666666673</v>
      </c>
      <c r="F733" s="329">
        <v>3.2</v>
      </c>
      <c r="G733" s="329">
        <f t="shared" si="42"/>
        <v>3.2833333333333328</v>
      </c>
      <c r="H733" s="329">
        <v>4.0999999999999996</v>
      </c>
      <c r="I733" s="329">
        <f t="shared" si="43"/>
        <v>4.3</v>
      </c>
      <c r="L733" s="331">
        <v>40575</v>
      </c>
      <c r="M733" s="329">
        <v>49.766666666666659</v>
      </c>
      <c r="N733" s="329">
        <v>46.266666666666673</v>
      </c>
      <c r="O733" s="329">
        <v>3.2833333333333328</v>
      </c>
      <c r="P733" s="329">
        <v>4.3</v>
      </c>
    </row>
    <row r="734" spans="1:16">
      <c r="A734" s="331">
        <v>40575</v>
      </c>
      <c r="B734" s="329">
        <v>49.6</v>
      </c>
      <c r="C734" s="329">
        <f t="shared" si="44"/>
        <v>49.766666666666659</v>
      </c>
      <c r="D734" s="329">
        <v>46.3</v>
      </c>
      <c r="E734" s="329">
        <f t="shared" si="41"/>
        <v>46.266666666666673</v>
      </c>
      <c r="F734" s="329">
        <v>2.9</v>
      </c>
      <c r="G734" s="329">
        <f t="shared" si="42"/>
        <v>3.2833333333333328</v>
      </c>
      <c r="H734" s="329">
        <v>4</v>
      </c>
      <c r="I734" s="329">
        <f t="shared" si="43"/>
        <v>4.3</v>
      </c>
      <c r="L734" s="331">
        <v>40575</v>
      </c>
      <c r="M734" s="329">
        <v>49.766666666666659</v>
      </c>
      <c r="N734" s="329">
        <v>46.266666666666673</v>
      </c>
      <c r="O734" s="329">
        <v>3.2833333333333328</v>
      </c>
      <c r="P734" s="329">
        <v>4.3</v>
      </c>
    </row>
    <row r="735" spans="1:16">
      <c r="A735" s="331">
        <v>40576</v>
      </c>
      <c r="B735" s="329">
        <v>49.5</v>
      </c>
      <c r="C735" s="329">
        <f t="shared" si="44"/>
        <v>49.400000000000006</v>
      </c>
      <c r="D735" s="329">
        <v>46.3</v>
      </c>
      <c r="E735" s="329">
        <f t="shared" si="41"/>
        <v>46.300000000000004</v>
      </c>
      <c r="F735" s="329">
        <v>2.7</v>
      </c>
      <c r="G735" s="329">
        <f t="shared" si="42"/>
        <v>2.7666666666666671</v>
      </c>
      <c r="H735" s="329">
        <v>3.9</v>
      </c>
      <c r="I735" s="329">
        <f t="shared" si="43"/>
        <v>3.6833333333333336</v>
      </c>
      <c r="L735" s="331">
        <v>40576</v>
      </c>
      <c r="M735" s="329">
        <v>49.400000000000006</v>
      </c>
      <c r="N735" s="329">
        <v>46.300000000000004</v>
      </c>
      <c r="O735" s="329">
        <v>2.7666666666666671</v>
      </c>
      <c r="P735" s="329">
        <v>3.6833333333333336</v>
      </c>
    </row>
    <row r="736" spans="1:16">
      <c r="A736" s="331">
        <v>40576</v>
      </c>
      <c r="B736" s="329">
        <v>49.5</v>
      </c>
      <c r="C736" s="329">
        <f t="shared" si="44"/>
        <v>49.400000000000006</v>
      </c>
      <c r="D736" s="329">
        <v>46.3</v>
      </c>
      <c r="E736" s="329">
        <f t="shared" si="41"/>
        <v>46.300000000000004</v>
      </c>
      <c r="F736" s="329">
        <v>2.6</v>
      </c>
      <c r="G736" s="329">
        <f t="shared" si="42"/>
        <v>2.7666666666666671</v>
      </c>
      <c r="H736" s="329">
        <v>3.8</v>
      </c>
      <c r="I736" s="329">
        <f t="shared" si="43"/>
        <v>3.6833333333333336</v>
      </c>
      <c r="L736" s="331">
        <v>40576</v>
      </c>
      <c r="M736" s="329">
        <v>49.400000000000006</v>
      </c>
      <c r="N736" s="329">
        <v>46.300000000000004</v>
      </c>
      <c r="O736" s="329">
        <v>2.7666666666666671</v>
      </c>
      <c r="P736" s="329">
        <v>3.6833333333333336</v>
      </c>
    </row>
    <row r="737" spans="1:16">
      <c r="A737" s="331">
        <v>40576</v>
      </c>
      <c r="B737" s="329">
        <v>49.4</v>
      </c>
      <c r="C737" s="329">
        <f t="shared" si="44"/>
        <v>49.400000000000006</v>
      </c>
      <c r="D737" s="329">
        <v>46.3</v>
      </c>
      <c r="E737" s="329">
        <f t="shared" si="41"/>
        <v>46.300000000000004</v>
      </c>
      <c r="F737" s="329">
        <v>2.4</v>
      </c>
      <c r="G737" s="329">
        <f t="shared" si="42"/>
        <v>2.7666666666666671</v>
      </c>
      <c r="H737" s="329">
        <v>3.7</v>
      </c>
      <c r="I737" s="329">
        <f t="shared" si="43"/>
        <v>3.6833333333333336</v>
      </c>
      <c r="L737" s="331">
        <v>40576</v>
      </c>
      <c r="M737" s="329">
        <v>49.400000000000006</v>
      </c>
      <c r="N737" s="329">
        <v>46.300000000000004</v>
      </c>
      <c r="O737" s="329">
        <v>2.7666666666666671</v>
      </c>
      <c r="P737" s="329">
        <v>3.6833333333333336</v>
      </c>
    </row>
    <row r="738" spans="1:16">
      <c r="A738" s="331">
        <v>40576</v>
      </c>
      <c r="B738" s="329">
        <v>49.4</v>
      </c>
      <c r="C738" s="329">
        <f t="shared" si="44"/>
        <v>49.400000000000006</v>
      </c>
      <c r="D738" s="329">
        <v>46.3</v>
      </c>
      <c r="E738" s="329">
        <f t="shared" ref="E738:E801" si="45">AVERAGEIFS($D$33:$D$1494,$A$33:$A$1494,A738)</f>
        <v>46.300000000000004</v>
      </c>
      <c r="F738" s="329">
        <v>2.2999999999999998</v>
      </c>
      <c r="G738" s="329">
        <f t="shared" ref="G738:G801" si="46">AVERAGEIFS($F$33:$F$1494,$A$33:$A$1494,A738)</f>
        <v>2.7666666666666671</v>
      </c>
      <c r="H738" s="329">
        <v>3.6</v>
      </c>
      <c r="I738" s="329">
        <f t="shared" ref="I738:I801" si="47">AVERAGEIFS($H$33:$H$1494,$A$33:$A$1494,A738)</f>
        <v>3.6833333333333336</v>
      </c>
      <c r="L738" s="331">
        <v>40576</v>
      </c>
      <c r="M738" s="329">
        <v>49.400000000000006</v>
      </c>
      <c r="N738" s="329">
        <v>46.300000000000004</v>
      </c>
      <c r="O738" s="329">
        <v>2.7666666666666671</v>
      </c>
      <c r="P738" s="329">
        <v>3.6833333333333336</v>
      </c>
    </row>
    <row r="739" spans="1:16">
      <c r="A739" s="331">
        <v>40576</v>
      </c>
      <c r="B739" s="329">
        <v>49.3</v>
      </c>
      <c r="C739" s="329">
        <f t="shared" si="44"/>
        <v>49.400000000000006</v>
      </c>
      <c r="D739" s="329">
        <v>46.3</v>
      </c>
      <c r="E739" s="329">
        <f t="shared" si="45"/>
        <v>46.300000000000004</v>
      </c>
      <c r="F739" s="329">
        <v>3.1</v>
      </c>
      <c r="G739" s="329">
        <f t="shared" si="46"/>
        <v>2.7666666666666671</v>
      </c>
      <c r="H739" s="329">
        <v>3.5</v>
      </c>
      <c r="I739" s="329">
        <f t="shared" si="47"/>
        <v>3.6833333333333336</v>
      </c>
      <c r="L739" s="331">
        <v>40576</v>
      </c>
      <c r="M739" s="329">
        <v>49.400000000000006</v>
      </c>
      <c r="N739" s="329">
        <v>46.300000000000004</v>
      </c>
      <c r="O739" s="329">
        <v>2.7666666666666671</v>
      </c>
      <c r="P739" s="329">
        <v>3.6833333333333336</v>
      </c>
    </row>
    <row r="740" spans="1:16">
      <c r="A740" s="331">
        <v>40576</v>
      </c>
      <c r="B740" s="329">
        <v>49.3</v>
      </c>
      <c r="C740" s="329">
        <f t="shared" si="44"/>
        <v>49.400000000000006</v>
      </c>
      <c r="D740" s="329">
        <v>46.3</v>
      </c>
      <c r="E740" s="329">
        <f t="shared" si="45"/>
        <v>46.300000000000004</v>
      </c>
      <c r="F740" s="329">
        <v>3.5</v>
      </c>
      <c r="G740" s="329">
        <f t="shared" si="46"/>
        <v>2.7666666666666671</v>
      </c>
      <c r="H740" s="329">
        <v>3.6</v>
      </c>
      <c r="I740" s="329">
        <f t="shared" si="47"/>
        <v>3.6833333333333336</v>
      </c>
      <c r="L740" s="331">
        <v>40576</v>
      </c>
      <c r="M740" s="329">
        <v>49.400000000000006</v>
      </c>
      <c r="N740" s="329">
        <v>46.300000000000004</v>
      </c>
      <c r="O740" s="329">
        <v>2.7666666666666671</v>
      </c>
      <c r="P740" s="329">
        <v>3.6833333333333336</v>
      </c>
    </row>
    <row r="741" spans="1:16">
      <c r="A741" s="331">
        <v>40577</v>
      </c>
      <c r="B741" s="329">
        <v>49.2</v>
      </c>
      <c r="C741" s="329">
        <f t="shared" si="44"/>
        <v>49.1</v>
      </c>
      <c r="D741" s="329">
        <v>46.3</v>
      </c>
      <c r="E741" s="329">
        <f t="shared" si="45"/>
        <v>46.283333333333331</v>
      </c>
      <c r="F741" s="329">
        <v>3.6</v>
      </c>
      <c r="G741" s="329">
        <f t="shared" si="46"/>
        <v>4.3666666666666671</v>
      </c>
      <c r="H741" s="329">
        <v>3.8</v>
      </c>
      <c r="I741" s="329">
        <f t="shared" si="47"/>
        <v>4.0999999999999996</v>
      </c>
      <c r="L741" s="331">
        <v>40577</v>
      </c>
      <c r="M741" s="329">
        <v>49.1</v>
      </c>
      <c r="N741" s="329">
        <v>46.283333333333331</v>
      </c>
      <c r="O741" s="329">
        <v>4.3666666666666671</v>
      </c>
      <c r="P741" s="329">
        <v>4.0999999999999996</v>
      </c>
    </row>
    <row r="742" spans="1:16">
      <c r="A742" s="331">
        <v>40577</v>
      </c>
      <c r="B742" s="329">
        <v>49.2</v>
      </c>
      <c r="C742" s="329">
        <f t="shared" si="44"/>
        <v>49.1</v>
      </c>
      <c r="D742" s="329">
        <v>46.3</v>
      </c>
      <c r="E742" s="329">
        <f t="shared" si="45"/>
        <v>46.283333333333331</v>
      </c>
      <c r="F742" s="329">
        <v>3.8</v>
      </c>
      <c r="G742" s="329">
        <f t="shared" si="46"/>
        <v>4.3666666666666671</v>
      </c>
      <c r="H742" s="329">
        <v>3.9</v>
      </c>
      <c r="I742" s="329">
        <f t="shared" si="47"/>
        <v>4.0999999999999996</v>
      </c>
      <c r="L742" s="331">
        <v>40577</v>
      </c>
      <c r="M742" s="329">
        <v>49.1</v>
      </c>
      <c r="N742" s="329">
        <v>46.283333333333331</v>
      </c>
      <c r="O742" s="329">
        <v>4.3666666666666671</v>
      </c>
      <c r="P742" s="329">
        <v>4.0999999999999996</v>
      </c>
    </row>
    <row r="743" spans="1:16">
      <c r="A743" s="331">
        <v>40577</v>
      </c>
      <c r="B743" s="329">
        <v>49.1</v>
      </c>
      <c r="C743" s="329">
        <f t="shared" si="44"/>
        <v>49.1</v>
      </c>
      <c r="D743" s="329">
        <v>46.3</v>
      </c>
      <c r="E743" s="329">
        <f t="shared" si="45"/>
        <v>46.283333333333331</v>
      </c>
      <c r="F743" s="329">
        <v>3.9</v>
      </c>
      <c r="G743" s="329">
        <f t="shared" si="46"/>
        <v>4.3666666666666671</v>
      </c>
      <c r="H743" s="329">
        <v>4</v>
      </c>
      <c r="I743" s="329">
        <f t="shared" si="47"/>
        <v>4.0999999999999996</v>
      </c>
      <c r="L743" s="331">
        <v>40577</v>
      </c>
      <c r="M743" s="329">
        <v>49.1</v>
      </c>
      <c r="N743" s="329">
        <v>46.283333333333331</v>
      </c>
      <c r="O743" s="329">
        <v>4.3666666666666671</v>
      </c>
      <c r="P743" s="329">
        <v>4.0999999999999996</v>
      </c>
    </row>
    <row r="744" spans="1:16">
      <c r="A744" s="331">
        <v>40577</v>
      </c>
      <c r="B744" s="329">
        <v>49.1</v>
      </c>
      <c r="C744" s="329">
        <f t="shared" ref="C744:C807" si="48">AVERAGEIFS($B$33:$B$1494,$A$33:$A$1494,A744)</f>
        <v>49.1</v>
      </c>
      <c r="D744" s="329">
        <v>46.3</v>
      </c>
      <c r="E744" s="329">
        <f t="shared" si="45"/>
        <v>46.283333333333331</v>
      </c>
      <c r="F744" s="329">
        <v>4.2</v>
      </c>
      <c r="G744" s="329">
        <f t="shared" si="46"/>
        <v>4.3666666666666671</v>
      </c>
      <c r="H744" s="329">
        <v>4.0999999999999996</v>
      </c>
      <c r="I744" s="329">
        <f t="shared" si="47"/>
        <v>4.0999999999999996</v>
      </c>
      <c r="L744" s="331">
        <v>40577</v>
      </c>
      <c r="M744" s="329">
        <v>49.1</v>
      </c>
      <c r="N744" s="329">
        <v>46.283333333333331</v>
      </c>
      <c r="O744" s="329">
        <v>4.3666666666666671</v>
      </c>
      <c r="P744" s="329">
        <v>4.0999999999999996</v>
      </c>
    </row>
    <row r="745" spans="1:16">
      <c r="A745" s="331">
        <v>40577</v>
      </c>
      <c r="B745" s="329">
        <v>49</v>
      </c>
      <c r="C745" s="329">
        <f t="shared" si="48"/>
        <v>49.1</v>
      </c>
      <c r="D745" s="329">
        <v>46.3</v>
      </c>
      <c r="E745" s="329">
        <f t="shared" si="45"/>
        <v>46.283333333333331</v>
      </c>
      <c r="F745" s="329">
        <v>5.0999999999999996</v>
      </c>
      <c r="G745" s="329">
        <f t="shared" si="46"/>
        <v>4.3666666666666671</v>
      </c>
      <c r="H745" s="329">
        <v>4.3</v>
      </c>
      <c r="I745" s="329">
        <f t="shared" si="47"/>
        <v>4.0999999999999996</v>
      </c>
      <c r="L745" s="331">
        <v>40577</v>
      </c>
      <c r="M745" s="329">
        <v>49.1</v>
      </c>
      <c r="N745" s="329">
        <v>46.283333333333331</v>
      </c>
      <c r="O745" s="329">
        <v>4.3666666666666671</v>
      </c>
      <c r="P745" s="329">
        <v>4.0999999999999996</v>
      </c>
    </row>
    <row r="746" spans="1:16">
      <c r="A746" s="331">
        <v>40577</v>
      </c>
      <c r="B746" s="329">
        <v>49</v>
      </c>
      <c r="C746" s="329">
        <f t="shared" si="48"/>
        <v>49.1</v>
      </c>
      <c r="D746" s="329">
        <v>46.2</v>
      </c>
      <c r="E746" s="329">
        <f t="shared" si="45"/>
        <v>46.283333333333331</v>
      </c>
      <c r="F746" s="329">
        <v>5.6</v>
      </c>
      <c r="G746" s="329">
        <f t="shared" si="46"/>
        <v>4.3666666666666671</v>
      </c>
      <c r="H746" s="329">
        <v>4.5</v>
      </c>
      <c r="I746" s="329">
        <f t="shared" si="47"/>
        <v>4.0999999999999996</v>
      </c>
      <c r="L746" s="331">
        <v>40577</v>
      </c>
      <c r="M746" s="329">
        <v>49.1</v>
      </c>
      <c r="N746" s="329">
        <v>46.283333333333331</v>
      </c>
      <c r="O746" s="329">
        <v>4.3666666666666671</v>
      </c>
      <c r="P746" s="329">
        <v>4.0999999999999996</v>
      </c>
    </row>
    <row r="747" spans="1:16">
      <c r="A747" s="331">
        <v>40578</v>
      </c>
      <c r="B747" s="329">
        <v>48.9</v>
      </c>
      <c r="C747" s="329">
        <f t="shared" si="48"/>
        <v>48.849999999999994</v>
      </c>
      <c r="D747" s="329">
        <v>46.3</v>
      </c>
      <c r="E747" s="329">
        <f t="shared" si="45"/>
        <v>46.25</v>
      </c>
      <c r="F747" s="329">
        <v>5.6</v>
      </c>
      <c r="G747" s="329">
        <f t="shared" si="46"/>
        <v>6.1166666666666671</v>
      </c>
      <c r="H747" s="329">
        <v>4.8</v>
      </c>
      <c r="I747" s="329">
        <f t="shared" si="47"/>
        <v>5.2</v>
      </c>
      <c r="L747" s="331">
        <v>40578</v>
      </c>
      <c r="M747" s="329">
        <v>48.849999999999994</v>
      </c>
      <c r="N747" s="329">
        <v>46.25</v>
      </c>
      <c r="O747" s="329">
        <v>6.1166666666666671</v>
      </c>
      <c r="P747" s="329">
        <v>5.2</v>
      </c>
    </row>
    <row r="748" spans="1:16">
      <c r="A748" s="331">
        <v>40578</v>
      </c>
      <c r="B748" s="329">
        <v>48.9</v>
      </c>
      <c r="C748" s="329">
        <f t="shared" si="48"/>
        <v>48.849999999999994</v>
      </c>
      <c r="D748" s="329">
        <v>46.2</v>
      </c>
      <c r="E748" s="329">
        <f t="shared" si="45"/>
        <v>46.25</v>
      </c>
      <c r="F748" s="329">
        <v>5.6</v>
      </c>
      <c r="G748" s="329">
        <f t="shared" si="46"/>
        <v>6.1166666666666671</v>
      </c>
      <c r="H748" s="329">
        <v>5</v>
      </c>
      <c r="I748" s="329">
        <f t="shared" si="47"/>
        <v>5.2</v>
      </c>
      <c r="L748" s="331">
        <v>40578</v>
      </c>
      <c r="M748" s="329">
        <v>48.849999999999994</v>
      </c>
      <c r="N748" s="329">
        <v>46.25</v>
      </c>
      <c r="O748" s="329">
        <v>6.1166666666666671</v>
      </c>
      <c r="P748" s="329">
        <v>5.2</v>
      </c>
    </row>
    <row r="749" spans="1:16">
      <c r="A749" s="331">
        <v>40578</v>
      </c>
      <c r="B749" s="329">
        <v>48.9</v>
      </c>
      <c r="C749" s="329">
        <f t="shared" si="48"/>
        <v>48.849999999999994</v>
      </c>
      <c r="D749" s="329">
        <v>46.3</v>
      </c>
      <c r="E749" s="329">
        <f t="shared" si="45"/>
        <v>46.25</v>
      </c>
      <c r="F749" s="329">
        <v>5.6</v>
      </c>
      <c r="G749" s="329">
        <f t="shared" si="46"/>
        <v>6.1166666666666671</v>
      </c>
      <c r="H749" s="329">
        <v>5.0999999999999996</v>
      </c>
      <c r="I749" s="329">
        <f t="shared" si="47"/>
        <v>5.2</v>
      </c>
      <c r="L749" s="331">
        <v>40578</v>
      </c>
      <c r="M749" s="329">
        <v>48.849999999999994</v>
      </c>
      <c r="N749" s="329">
        <v>46.25</v>
      </c>
      <c r="O749" s="329">
        <v>6.1166666666666671</v>
      </c>
      <c r="P749" s="329">
        <v>5.2</v>
      </c>
    </row>
    <row r="750" spans="1:16">
      <c r="A750" s="331">
        <v>40578</v>
      </c>
      <c r="B750" s="329">
        <v>48.9</v>
      </c>
      <c r="C750" s="329">
        <f t="shared" si="48"/>
        <v>48.849999999999994</v>
      </c>
      <c r="D750" s="329">
        <v>46.3</v>
      </c>
      <c r="E750" s="329">
        <f t="shared" si="45"/>
        <v>46.25</v>
      </c>
      <c r="F750" s="329">
        <v>5.8</v>
      </c>
      <c r="G750" s="329">
        <f t="shared" si="46"/>
        <v>6.1166666666666671</v>
      </c>
      <c r="H750" s="329">
        <v>5.2</v>
      </c>
      <c r="I750" s="329">
        <f t="shared" si="47"/>
        <v>5.2</v>
      </c>
      <c r="L750" s="331">
        <v>40578</v>
      </c>
      <c r="M750" s="329">
        <v>48.849999999999994</v>
      </c>
      <c r="N750" s="329">
        <v>46.25</v>
      </c>
      <c r="O750" s="329">
        <v>6.1166666666666671</v>
      </c>
      <c r="P750" s="329">
        <v>5.2</v>
      </c>
    </row>
    <row r="751" spans="1:16">
      <c r="A751" s="331">
        <v>40578</v>
      </c>
      <c r="B751" s="329">
        <v>48.8</v>
      </c>
      <c r="C751" s="329">
        <f t="shared" si="48"/>
        <v>48.849999999999994</v>
      </c>
      <c r="D751" s="329">
        <v>46.2</v>
      </c>
      <c r="E751" s="329">
        <f t="shared" si="45"/>
        <v>46.25</v>
      </c>
      <c r="F751" s="329">
        <v>6.9</v>
      </c>
      <c r="G751" s="329">
        <f t="shared" si="46"/>
        <v>6.1166666666666671</v>
      </c>
      <c r="H751" s="329">
        <v>5.4</v>
      </c>
      <c r="I751" s="329">
        <f t="shared" si="47"/>
        <v>5.2</v>
      </c>
      <c r="L751" s="331">
        <v>40578</v>
      </c>
      <c r="M751" s="329">
        <v>48.849999999999994</v>
      </c>
      <c r="N751" s="329">
        <v>46.25</v>
      </c>
      <c r="O751" s="329">
        <v>6.1166666666666671</v>
      </c>
      <c r="P751" s="329">
        <v>5.2</v>
      </c>
    </row>
    <row r="752" spans="1:16">
      <c r="A752" s="331">
        <v>40578</v>
      </c>
      <c r="B752" s="329">
        <v>48.7</v>
      </c>
      <c r="C752" s="329">
        <f t="shared" si="48"/>
        <v>48.849999999999994</v>
      </c>
      <c r="D752" s="329">
        <v>46.2</v>
      </c>
      <c r="E752" s="329">
        <f t="shared" si="45"/>
        <v>46.25</v>
      </c>
      <c r="F752" s="329">
        <v>7.2</v>
      </c>
      <c r="G752" s="329">
        <f t="shared" si="46"/>
        <v>6.1166666666666671</v>
      </c>
      <c r="H752" s="329">
        <v>5.7</v>
      </c>
      <c r="I752" s="329">
        <f t="shared" si="47"/>
        <v>5.2</v>
      </c>
      <c r="L752" s="331">
        <v>40578</v>
      </c>
      <c r="M752" s="329">
        <v>48.849999999999994</v>
      </c>
      <c r="N752" s="329">
        <v>46.25</v>
      </c>
      <c r="O752" s="329">
        <v>6.1166666666666671</v>
      </c>
      <c r="P752" s="329">
        <v>5.2</v>
      </c>
    </row>
    <row r="753" spans="1:16">
      <c r="A753" s="331">
        <v>40579</v>
      </c>
      <c r="B753" s="329">
        <v>48.7</v>
      </c>
      <c r="C753" s="329">
        <f t="shared" si="48"/>
        <v>48.666666666666664</v>
      </c>
      <c r="D753" s="329">
        <v>46.2</v>
      </c>
      <c r="E753" s="329">
        <f t="shared" si="45"/>
        <v>46.199999999999996</v>
      </c>
      <c r="F753" s="329">
        <v>6.6</v>
      </c>
      <c r="G753" s="329">
        <f t="shared" si="46"/>
        <v>6.2333333333333334</v>
      </c>
      <c r="H753" s="329">
        <v>6</v>
      </c>
      <c r="I753" s="329">
        <f t="shared" si="47"/>
        <v>5.8833333333333329</v>
      </c>
      <c r="L753" s="331">
        <v>40579</v>
      </c>
      <c r="M753" s="329">
        <v>48.666666666666664</v>
      </c>
      <c r="N753" s="329">
        <v>46.199999999999996</v>
      </c>
      <c r="O753" s="329">
        <v>6.2333333333333334</v>
      </c>
      <c r="P753" s="329">
        <v>5.8833333333333329</v>
      </c>
    </row>
    <row r="754" spans="1:16">
      <c r="A754" s="331">
        <v>40579</v>
      </c>
      <c r="B754" s="329">
        <v>48.7</v>
      </c>
      <c r="C754" s="329">
        <f t="shared" si="48"/>
        <v>48.666666666666664</v>
      </c>
      <c r="D754" s="329">
        <v>46.2</v>
      </c>
      <c r="E754" s="329">
        <f t="shared" si="45"/>
        <v>46.199999999999996</v>
      </c>
      <c r="F754" s="329">
        <v>6.4</v>
      </c>
      <c r="G754" s="329">
        <f t="shared" si="46"/>
        <v>6.2333333333333334</v>
      </c>
      <c r="H754" s="329">
        <v>6</v>
      </c>
      <c r="I754" s="329">
        <f t="shared" si="47"/>
        <v>5.8833333333333329</v>
      </c>
      <c r="L754" s="331">
        <v>40579</v>
      </c>
      <c r="M754" s="329">
        <v>48.666666666666664</v>
      </c>
      <c r="N754" s="329">
        <v>46.199999999999996</v>
      </c>
      <c r="O754" s="329">
        <v>6.2333333333333334</v>
      </c>
      <c r="P754" s="329">
        <v>5.8833333333333329</v>
      </c>
    </row>
    <row r="755" spans="1:16">
      <c r="A755" s="331">
        <v>40579</v>
      </c>
      <c r="B755" s="329">
        <v>48.7</v>
      </c>
      <c r="C755" s="329">
        <f t="shared" si="48"/>
        <v>48.666666666666664</v>
      </c>
      <c r="D755" s="329">
        <v>46.2</v>
      </c>
      <c r="E755" s="329">
        <f t="shared" si="45"/>
        <v>46.199999999999996</v>
      </c>
      <c r="F755" s="329">
        <v>5.5</v>
      </c>
      <c r="G755" s="329">
        <f t="shared" si="46"/>
        <v>6.2333333333333334</v>
      </c>
      <c r="H755" s="329">
        <v>5.9</v>
      </c>
      <c r="I755" s="329">
        <f t="shared" si="47"/>
        <v>5.8833333333333329</v>
      </c>
      <c r="L755" s="331">
        <v>40579</v>
      </c>
      <c r="M755" s="329">
        <v>48.666666666666664</v>
      </c>
      <c r="N755" s="329">
        <v>46.199999999999996</v>
      </c>
      <c r="O755" s="329">
        <v>6.2333333333333334</v>
      </c>
      <c r="P755" s="329">
        <v>5.8833333333333329</v>
      </c>
    </row>
    <row r="756" spans="1:16">
      <c r="A756" s="331">
        <v>40579</v>
      </c>
      <c r="B756" s="329">
        <v>48.7</v>
      </c>
      <c r="C756" s="329">
        <f t="shared" si="48"/>
        <v>48.666666666666664</v>
      </c>
      <c r="D756" s="329">
        <v>46.2</v>
      </c>
      <c r="E756" s="329">
        <f t="shared" si="45"/>
        <v>46.199999999999996</v>
      </c>
      <c r="F756" s="329">
        <v>5.3</v>
      </c>
      <c r="G756" s="329">
        <f t="shared" si="46"/>
        <v>6.2333333333333334</v>
      </c>
      <c r="H756" s="329">
        <v>5.8</v>
      </c>
      <c r="I756" s="329">
        <f t="shared" si="47"/>
        <v>5.8833333333333329</v>
      </c>
      <c r="L756" s="331">
        <v>40579</v>
      </c>
      <c r="M756" s="329">
        <v>48.666666666666664</v>
      </c>
      <c r="N756" s="329">
        <v>46.199999999999996</v>
      </c>
      <c r="O756" s="329">
        <v>6.2333333333333334</v>
      </c>
      <c r="P756" s="329">
        <v>5.8833333333333329</v>
      </c>
    </row>
    <row r="757" spans="1:16">
      <c r="A757" s="331">
        <v>40579</v>
      </c>
      <c r="B757" s="329">
        <v>48.6</v>
      </c>
      <c r="C757" s="329">
        <f t="shared" si="48"/>
        <v>48.666666666666664</v>
      </c>
      <c r="D757" s="329">
        <v>46.2</v>
      </c>
      <c r="E757" s="329">
        <f t="shared" si="45"/>
        <v>46.199999999999996</v>
      </c>
      <c r="F757" s="329">
        <v>6.7</v>
      </c>
      <c r="G757" s="329">
        <f t="shared" si="46"/>
        <v>6.2333333333333334</v>
      </c>
      <c r="H757" s="329">
        <v>5.7</v>
      </c>
      <c r="I757" s="329">
        <f t="shared" si="47"/>
        <v>5.8833333333333329</v>
      </c>
      <c r="L757" s="331">
        <v>40579</v>
      </c>
      <c r="M757" s="329">
        <v>48.666666666666664</v>
      </c>
      <c r="N757" s="329">
        <v>46.199999999999996</v>
      </c>
      <c r="O757" s="329">
        <v>6.2333333333333334</v>
      </c>
      <c r="P757" s="329">
        <v>5.8833333333333329</v>
      </c>
    </row>
    <row r="758" spans="1:16">
      <c r="A758" s="331">
        <v>40579</v>
      </c>
      <c r="B758" s="329">
        <v>48.6</v>
      </c>
      <c r="C758" s="329">
        <f t="shared" si="48"/>
        <v>48.666666666666664</v>
      </c>
      <c r="D758" s="329">
        <v>46.2</v>
      </c>
      <c r="E758" s="329">
        <f t="shared" si="45"/>
        <v>46.199999999999996</v>
      </c>
      <c r="F758" s="329">
        <v>6.9</v>
      </c>
      <c r="G758" s="329">
        <f t="shared" si="46"/>
        <v>6.2333333333333334</v>
      </c>
      <c r="H758" s="329">
        <v>5.9</v>
      </c>
      <c r="I758" s="329">
        <f t="shared" si="47"/>
        <v>5.8833333333333329</v>
      </c>
      <c r="L758" s="331">
        <v>40579</v>
      </c>
      <c r="M758" s="329">
        <v>48.666666666666664</v>
      </c>
      <c r="N758" s="329">
        <v>46.199999999999996</v>
      </c>
      <c r="O758" s="329">
        <v>6.2333333333333334</v>
      </c>
      <c r="P758" s="329">
        <v>5.8833333333333329</v>
      </c>
    </row>
    <row r="759" spans="1:16">
      <c r="A759" s="331">
        <v>40580</v>
      </c>
      <c r="B759" s="329">
        <v>48.6</v>
      </c>
      <c r="C759" s="329">
        <f t="shared" si="48"/>
        <v>48.566666666666663</v>
      </c>
      <c r="D759" s="329">
        <v>46.2</v>
      </c>
      <c r="E759" s="329">
        <f t="shared" si="45"/>
        <v>46.183333333333337</v>
      </c>
      <c r="F759" s="329">
        <v>5.9</v>
      </c>
      <c r="G759" s="329">
        <f t="shared" si="46"/>
        <v>5.2166666666666659</v>
      </c>
      <c r="H759" s="329">
        <v>6.1</v>
      </c>
      <c r="I759" s="329">
        <f t="shared" si="47"/>
        <v>5.6500000000000012</v>
      </c>
      <c r="L759" s="331">
        <v>40580</v>
      </c>
      <c r="M759" s="329">
        <v>48.566666666666663</v>
      </c>
      <c r="N759" s="329">
        <v>46.183333333333337</v>
      </c>
      <c r="O759" s="329">
        <v>5.2166666666666659</v>
      </c>
      <c r="P759" s="329">
        <v>5.6500000000000012</v>
      </c>
    </row>
    <row r="760" spans="1:16">
      <c r="A760" s="331">
        <v>40580</v>
      </c>
      <c r="B760" s="329">
        <v>48.6</v>
      </c>
      <c r="C760" s="329">
        <f t="shared" si="48"/>
        <v>48.566666666666663</v>
      </c>
      <c r="D760" s="329">
        <v>46.2</v>
      </c>
      <c r="E760" s="329">
        <f t="shared" si="45"/>
        <v>46.183333333333337</v>
      </c>
      <c r="F760" s="329">
        <v>5.0999999999999996</v>
      </c>
      <c r="G760" s="329">
        <f t="shared" si="46"/>
        <v>5.2166666666666659</v>
      </c>
      <c r="H760" s="329">
        <v>5.9</v>
      </c>
      <c r="I760" s="329">
        <f t="shared" si="47"/>
        <v>5.6500000000000012</v>
      </c>
      <c r="L760" s="331">
        <v>40580</v>
      </c>
      <c r="M760" s="329">
        <v>48.566666666666663</v>
      </c>
      <c r="N760" s="329">
        <v>46.183333333333337</v>
      </c>
      <c r="O760" s="329">
        <v>5.2166666666666659</v>
      </c>
      <c r="P760" s="329">
        <v>5.6500000000000012</v>
      </c>
    </row>
    <row r="761" spans="1:16">
      <c r="A761" s="331">
        <v>40580</v>
      </c>
      <c r="B761" s="329">
        <v>48.6</v>
      </c>
      <c r="C761" s="329">
        <f t="shared" si="48"/>
        <v>48.566666666666663</v>
      </c>
      <c r="D761" s="329">
        <v>46.2</v>
      </c>
      <c r="E761" s="329">
        <f t="shared" si="45"/>
        <v>46.183333333333337</v>
      </c>
      <c r="F761" s="329">
        <v>4.4000000000000004</v>
      </c>
      <c r="G761" s="329">
        <f t="shared" si="46"/>
        <v>5.2166666666666659</v>
      </c>
      <c r="H761" s="329">
        <v>5.7</v>
      </c>
      <c r="I761" s="329">
        <f t="shared" si="47"/>
        <v>5.6500000000000012</v>
      </c>
      <c r="L761" s="331">
        <v>40580</v>
      </c>
      <c r="M761" s="329">
        <v>48.566666666666663</v>
      </c>
      <c r="N761" s="329">
        <v>46.183333333333337</v>
      </c>
      <c r="O761" s="329">
        <v>5.2166666666666659</v>
      </c>
      <c r="P761" s="329">
        <v>5.6500000000000012</v>
      </c>
    </row>
    <row r="762" spans="1:16">
      <c r="A762" s="331">
        <v>40580</v>
      </c>
      <c r="B762" s="329">
        <v>48.6</v>
      </c>
      <c r="C762" s="329">
        <f t="shared" si="48"/>
        <v>48.566666666666663</v>
      </c>
      <c r="D762" s="329">
        <v>46.2</v>
      </c>
      <c r="E762" s="329">
        <f t="shared" si="45"/>
        <v>46.183333333333337</v>
      </c>
      <c r="F762" s="329">
        <v>4.3</v>
      </c>
      <c r="G762" s="329">
        <f t="shared" si="46"/>
        <v>5.2166666666666659</v>
      </c>
      <c r="H762" s="329">
        <v>5.4</v>
      </c>
      <c r="I762" s="329">
        <f t="shared" si="47"/>
        <v>5.6500000000000012</v>
      </c>
      <c r="L762" s="331">
        <v>40580</v>
      </c>
      <c r="M762" s="329">
        <v>48.566666666666663</v>
      </c>
      <c r="N762" s="329">
        <v>46.183333333333337</v>
      </c>
      <c r="O762" s="329">
        <v>5.2166666666666659</v>
      </c>
      <c r="P762" s="329">
        <v>5.6500000000000012</v>
      </c>
    </row>
    <row r="763" spans="1:16">
      <c r="A763" s="331">
        <v>40580</v>
      </c>
      <c r="B763" s="329">
        <v>48.5</v>
      </c>
      <c r="C763" s="329">
        <f t="shared" si="48"/>
        <v>48.566666666666663</v>
      </c>
      <c r="D763" s="329">
        <v>46.2</v>
      </c>
      <c r="E763" s="329">
        <f t="shared" si="45"/>
        <v>46.183333333333337</v>
      </c>
      <c r="F763" s="329">
        <v>5.6</v>
      </c>
      <c r="G763" s="329">
        <f t="shared" si="46"/>
        <v>5.2166666666666659</v>
      </c>
      <c r="H763" s="329">
        <v>5.3</v>
      </c>
      <c r="I763" s="329">
        <f t="shared" si="47"/>
        <v>5.6500000000000012</v>
      </c>
      <c r="L763" s="331">
        <v>40580</v>
      </c>
      <c r="M763" s="329">
        <v>48.566666666666663</v>
      </c>
      <c r="N763" s="329">
        <v>46.183333333333337</v>
      </c>
      <c r="O763" s="329">
        <v>5.2166666666666659</v>
      </c>
      <c r="P763" s="329">
        <v>5.6500000000000012</v>
      </c>
    </row>
    <row r="764" spans="1:16">
      <c r="A764" s="331">
        <v>40580</v>
      </c>
      <c r="B764" s="329">
        <v>48.5</v>
      </c>
      <c r="C764" s="329">
        <f t="shared" si="48"/>
        <v>48.566666666666663</v>
      </c>
      <c r="D764" s="329">
        <v>46.1</v>
      </c>
      <c r="E764" s="329">
        <f t="shared" si="45"/>
        <v>46.183333333333337</v>
      </c>
      <c r="F764" s="329">
        <v>6</v>
      </c>
      <c r="G764" s="329">
        <f t="shared" si="46"/>
        <v>5.2166666666666659</v>
      </c>
      <c r="H764" s="329">
        <v>5.5</v>
      </c>
      <c r="I764" s="329">
        <f t="shared" si="47"/>
        <v>5.6500000000000012</v>
      </c>
      <c r="L764" s="331">
        <v>40580</v>
      </c>
      <c r="M764" s="329">
        <v>48.566666666666663</v>
      </c>
      <c r="N764" s="329">
        <v>46.183333333333337</v>
      </c>
      <c r="O764" s="329">
        <v>5.2166666666666659</v>
      </c>
      <c r="P764" s="329">
        <v>5.6500000000000012</v>
      </c>
    </row>
    <row r="765" spans="1:16">
      <c r="A765" s="331">
        <v>40581</v>
      </c>
      <c r="B765" s="329">
        <v>48.5</v>
      </c>
      <c r="C765" s="329">
        <f t="shared" si="48"/>
        <v>48.433333333333337</v>
      </c>
      <c r="D765" s="329">
        <v>46.1</v>
      </c>
      <c r="E765" s="329">
        <f t="shared" si="45"/>
        <v>46.116666666666667</v>
      </c>
      <c r="F765" s="329">
        <v>5.2</v>
      </c>
      <c r="G765" s="329">
        <f t="shared" si="46"/>
        <v>5.083333333333333</v>
      </c>
      <c r="H765" s="329">
        <v>5.6</v>
      </c>
      <c r="I765" s="329">
        <f t="shared" si="47"/>
        <v>5.3</v>
      </c>
      <c r="L765" s="331">
        <v>40581</v>
      </c>
      <c r="M765" s="329">
        <v>48.433333333333337</v>
      </c>
      <c r="N765" s="329">
        <v>46.116666666666667</v>
      </c>
      <c r="O765" s="329">
        <v>5.083333333333333</v>
      </c>
      <c r="P765" s="329">
        <v>5.3</v>
      </c>
    </row>
    <row r="766" spans="1:16">
      <c r="A766" s="331">
        <v>40581</v>
      </c>
      <c r="B766" s="329">
        <v>48.5</v>
      </c>
      <c r="C766" s="329">
        <f t="shared" si="48"/>
        <v>48.433333333333337</v>
      </c>
      <c r="D766" s="329">
        <v>46.1</v>
      </c>
      <c r="E766" s="329">
        <f t="shared" si="45"/>
        <v>46.116666666666667</v>
      </c>
      <c r="F766" s="329">
        <v>4.5</v>
      </c>
      <c r="G766" s="329">
        <f t="shared" si="46"/>
        <v>5.083333333333333</v>
      </c>
      <c r="H766" s="329">
        <v>5.5</v>
      </c>
      <c r="I766" s="329">
        <f t="shared" si="47"/>
        <v>5.3</v>
      </c>
      <c r="L766" s="331">
        <v>40581</v>
      </c>
      <c r="M766" s="329">
        <v>48.433333333333337</v>
      </c>
      <c r="N766" s="329">
        <v>46.116666666666667</v>
      </c>
      <c r="O766" s="329">
        <v>5.083333333333333</v>
      </c>
      <c r="P766" s="329">
        <v>5.3</v>
      </c>
    </row>
    <row r="767" spans="1:16">
      <c r="A767" s="331">
        <v>40581</v>
      </c>
      <c r="B767" s="329">
        <v>48.5</v>
      </c>
      <c r="C767" s="329">
        <f t="shared" si="48"/>
        <v>48.433333333333337</v>
      </c>
      <c r="D767" s="329">
        <v>46.1</v>
      </c>
      <c r="E767" s="329">
        <f t="shared" si="45"/>
        <v>46.116666666666667</v>
      </c>
      <c r="F767" s="329">
        <v>3.9</v>
      </c>
      <c r="G767" s="329">
        <f t="shared" si="46"/>
        <v>5.083333333333333</v>
      </c>
      <c r="H767" s="329">
        <v>5.3</v>
      </c>
      <c r="I767" s="329">
        <f t="shared" si="47"/>
        <v>5.3</v>
      </c>
      <c r="L767" s="331">
        <v>40581</v>
      </c>
      <c r="M767" s="329">
        <v>48.433333333333337</v>
      </c>
      <c r="N767" s="329">
        <v>46.116666666666667</v>
      </c>
      <c r="O767" s="329">
        <v>5.083333333333333</v>
      </c>
      <c r="P767" s="329">
        <v>5.3</v>
      </c>
    </row>
    <row r="768" spans="1:16">
      <c r="A768" s="331">
        <v>40581</v>
      </c>
      <c r="B768" s="329">
        <v>48.4</v>
      </c>
      <c r="C768" s="329">
        <f t="shared" si="48"/>
        <v>48.433333333333337</v>
      </c>
      <c r="D768" s="329">
        <v>46.2</v>
      </c>
      <c r="E768" s="329">
        <f t="shared" si="45"/>
        <v>46.116666666666667</v>
      </c>
      <c r="F768" s="329">
        <v>4.2</v>
      </c>
      <c r="G768" s="329">
        <f t="shared" si="46"/>
        <v>5.083333333333333</v>
      </c>
      <c r="H768" s="329">
        <v>5</v>
      </c>
      <c r="I768" s="329">
        <f t="shared" si="47"/>
        <v>5.3</v>
      </c>
      <c r="L768" s="331">
        <v>40581</v>
      </c>
      <c r="M768" s="329">
        <v>48.433333333333337</v>
      </c>
      <c r="N768" s="329">
        <v>46.116666666666667</v>
      </c>
      <c r="O768" s="329">
        <v>5.083333333333333</v>
      </c>
      <c r="P768" s="329">
        <v>5.3</v>
      </c>
    </row>
    <row r="769" spans="1:16">
      <c r="A769" s="331">
        <v>40581</v>
      </c>
      <c r="B769" s="329">
        <v>48.4</v>
      </c>
      <c r="C769" s="329">
        <f t="shared" si="48"/>
        <v>48.433333333333337</v>
      </c>
      <c r="D769" s="329">
        <v>46.1</v>
      </c>
      <c r="E769" s="329">
        <f t="shared" si="45"/>
        <v>46.116666666666667</v>
      </c>
      <c r="F769" s="329">
        <v>6.1</v>
      </c>
      <c r="G769" s="329">
        <f t="shared" si="46"/>
        <v>5.083333333333333</v>
      </c>
      <c r="H769" s="329">
        <v>5</v>
      </c>
      <c r="I769" s="329">
        <f t="shared" si="47"/>
        <v>5.3</v>
      </c>
      <c r="L769" s="331">
        <v>40581</v>
      </c>
      <c r="M769" s="329">
        <v>48.433333333333337</v>
      </c>
      <c r="N769" s="329">
        <v>46.116666666666667</v>
      </c>
      <c r="O769" s="329">
        <v>5.083333333333333</v>
      </c>
      <c r="P769" s="329">
        <v>5.3</v>
      </c>
    </row>
    <row r="770" spans="1:16">
      <c r="A770" s="331">
        <v>40581</v>
      </c>
      <c r="B770" s="329">
        <v>48.3</v>
      </c>
      <c r="C770" s="329">
        <f t="shared" si="48"/>
        <v>48.433333333333337</v>
      </c>
      <c r="D770" s="329">
        <v>46.1</v>
      </c>
      <c r="E770" s="329">
        <f t="shared" si="45"/>
        <v>46.116666666666667</v>
      </c>
      <c r="F770" s="329">
        <v>6.6</v>
      </c>
      <c r="G770" s="329">
        <f t="shared" si="46"/>
        <v>5.083333333333333</v>
      </c>
      <c r="H770" s="329">
        <v>5.4</v>
      </c>
      <c r="I770" s="329">
        <f t="shared" si="47"/>
        <v>5.3</v>
      </c>
      <c r="L770" s="331">
        <v>40581</v>
      </c>
      <c r="M770" s="329">
        <v>48.433333333333337</v>
      </c>
      <c r="N770" s="329">
        <v>46.116666666666667</v>
      </c>
      <c r="O770" s="329">
        <v>5.083333333333333</v>
      </c>
      <c r="P770" s="329">
        <v>5.3</v>
      </c>
    </row>
    <row r="771" spans="1:16">
      <c r="A771" s="331">
        <v>40582</v>
      </c>
      <c r="B771" s="329">
        <v>48.3</v>
      </c>
      <c r="C771" s="329">
        <f t="shared" si="48"/>
        <v>48.25</v>
      </c>
      <c r="D771" s="329">
        <v>46.1</v>
      </c>
      <c r="E771" s="329">
        <f t="shared" si="45"/>
        <v>46.116666666666667</v>
      </c>
      <c r="F771" s="329">
        <v>6.2</v>
      </c>
      <c r="G771" s="329">
        <f t="shared" si="46"/>
        <v>6.05</v>
      </c>
      <c r="H771" s="329">
        <v>5.7</v>
      </c>
      <c r="I771" s="329">
        <f t="shared" si="47"/>
        <v>5.7166666666666659</v>
      </c>
      <c r="L771" s="331">
        <v>40582</v>
      </c>
      <c r="M771" s="329">
        <v>48.25</v>
      </c>
      <c r="N771" s="329">
        <v>46.116666666666667</v>
      </c>
      <c r="O771" s="329">
        <v>6.05</v>
      </c>
      <c r="P771" s="329">
        <v>5.7166666666666659</v>
      </c>
    </row>
    <row r="772" spans="1:16">
      <c r="A772" s="331">
        <v>40582</v>
      </c>
      <c r="B772" s="329">
        <v>48.3</v>
      </c>
      <c r="C772" s="329">
        <f t="shared" si="48"/>
        <v>48.25</v>
      </c>
      <c r="D772" s="329">
        <v>46.1</v>
      </c>
      <c r="E772" s="329">
        <f t="shared" si="45"/>
        <v>46.116666666666667</v>
      </c>
      <c r="F772" s="329">
        <v>5.8</v>
      </c>
      <c r="G772" s="329">
        <f t="shared" si="46"/>
        <v>6.05</v>
      </c>
      <c r="H772" s="329">
        <v>5.8</v>
      </c>
      <c r="I772" s="329">
        <f t="shared" si="47"/>
        <v>5.7166666666666659</v>
      </c>
      <c r="L772" s="331">
        <v>40582</v>
      </c>
      <c r="M772" s="329">
        <v>48.25</v>
      </c>
      <c r="N772" s="329">
        <v>46.116666666666667</v>
      </c>
      <c r="O772" s="329">
        <v>6.05</v>
      </c>
      <c r="P772" s="329">
        <v>5.7166666666666659</v>
      </c>
    </row>
    <row r="773" spans="1:16">
      <c r="A773" s="331">
        <v>40582</v>
      </c>
      <c r="B773" s="329">
        <v>48.3</v>
      </c>
      <c r="C773" s="329">
        <f t="shared" si="48"/>
        <v>48.25</v>
      </c>
      <c r="D773" s="329">
        <v>46.1</v>
      </c>
      <c r="E773" s="329">
        <f t="shared" si="45"/>
        <v>46.116666666666667</v>
      </c>
      <c r="F773" s="329">
        <v>5.3</v>
      </c>
      <c r="G773" s="329">
        <f t="shared" si="46"/>
        <v>6.05</v>
      </c>
      <c r="H773" s="329">
        <v>5.7</v>
      </c>
      <c r="I773" s="329">
        <f t="shared" si="47"/>
        <v>5.7166666666666659</v>
      </c>
      <c r="L773" s="331">
        <v>40582</v>
      </c>
      <c r="M773" s="329">
        <v>48.25</v>
      </c>
      <c r="N773" s="329">
        <v>46.116666666666667</v>
      </c>
      <c r="O773" s="329">
        <v>6.05</v>
      </c>
      <c r="P773" s="329">
        <v>5.7166666666666659</v>
      </c>
    </row>
    <row r="774" spans="1:16">
      <c r="A774" s="331">
        <v>40582</v>
      </c>
      <c r="B774" s="329">
        <v>48.3</v>
      </c>
      <c r="C774" s="329">
        <f t="shared" si="48"/>
        <v>48.25</v>
      </c>
      <c r="D774" s="329">
        <v>46.1</v>
      </c>
      <c r="E774" s="329">
        <f t="shared" si="45"/>
        <v>46.116666666666667</v>
      </c>
      <c r="F774" s="329">
        <v>5.2</v>
      </c>
      <c r="G774" s="329">
        <f t="shared" si="46"/>
        <v>6.05</v>
      </c>
      <c r="H774" s="329">
        <v>5.6</v>
      </c>
      <c r="I774" s="329">
        <f t="shared" si="47"/>
        <v>5.7166666666666659</v>
      </c>
      <c r="L774" s="331">
        <v>40582</v>
      </c>
      <c r="M774" s="329">
        <v>48.25</v>
      </c>
      <c r="N774" s="329">
        <v>46.116666666666667</v>
      </c>
      <c r="O774" s="329">
        <v>6.05</v>
      </c>
      <c r="P774" s="329">
        <v>5.7166666666666659</v>
      </c>
    </row>
    <row r="775" spans="1:16">
      <c r="A775" s="331">
        <v>40582</v>
      </c>
      <c r="B775" s="329">
        <v>48.2</v>
      </c>
      <c r="C775" s="329">
        <f t="shared" si="48"/>
        <v>48.25</v>
      </c>
      <c r="D775" s="329">
        <v>46.1</v>
      </c>
      <c r="E775" s="329">
        <f t="shared" si="45"/>
        <v>46.116666666666667</v>
      </c>
      <c r="F775" s="329">
        <v>6.7</v>
      </c>
      <c r="G775" s="329">
        <f t="shared" si="46"/>
        <v>6.05</v>
      </c>
      <c r="H775" s="329">
        <v>5.6</v>
      </c>
      <c r="I775" s="329">
        <f t="shared" si="47"/>
        <v>5.7166666666666659</v>
      </c>
      <c r="L775" s="331">
        <v>40582</v>
      </c>
      <c r="M775" s="329">
        <v>48.25</v>
      </c>
      <c r="N775" s="329">
        <v>46.116666666666667</v>
      </c>
      <c r="O775" s="329">
        <v>6.05</v>
      </c>
      <c r="P775" s="329">
        <v>5.7166666666666659</v>
      </c>
    </row>
    <row r="776" spans="1:16">
      <c r="A776" s="331">
        <v>40582</v>
      </c>
      <c r="B776" s="329">
        <v>48.1</v>
      </c>
      <c r="C776" s="329">
        <f t="shared" si="48"/>
        <v>48.25</v>
      </c>
      <c r="D776" s="329">
        <v>46.2</v>
      </c>
      <c r="E776" s="329">
        <f t="shared" si="45"/>
        <v>46.116666666666667</v>
      </c>
      <c r="F776" s="329">
        <v>7.1</v>
      </c>
      <c r="G776" s="329">
        <f t="shared" si="46"/>
        <v>6.05</v>
      </c>
      <c r="H776" s="329">
        <v>5.9</v>
      </c>
      <c r="I776" s="329">
        <f t="shared" si="47"/>
        <v>5.7166666666666659</v>
      </c>
      <c r="L776" s="331">
        <v>40582</v>
      </c>
      <c r="M776" s="329">
        <v>48.25</v>
      </c>
      <c r="N776" s="329">
        <v>46.116666666666667</v>
      </c>
      <c r="O776" s="329">
        <v>6.05</v>
      </c>
      <c r="P776" s="329">
        <v>5.7166666666666659</v>
      </c>
    </row>
    <row r="777" spans="1:16">
      <c r="A777" s="331">
        <v>40583</v>
      </c>
      <c r="B777" s="329">
        <v>48.1</v>
      </c>
      <c r="C777" s="329">
        <f t="shared" si="48"/>
        <v>48.050000000000004</v>
      </c>
      <c r="D777" s="329">
        <v>46.1</v>
      </c>
      <c r="E777" s="329">
        <f t="shared" si="45"/>
        <v>45.966666666666669</v>
      </c>
      <c r="F777" s="329">
        <v>6.2</v>
      </c>
      <c r="G777" s="329">
        <f t="shared" si="46"/>
        <v>6.2</v>
      </c>
      <c r="H777" s="329">
        <v>6.1</v>
      </c>
      <c r="I777" s="329">
        <f t="shared" si="47"/>
        <v>5.95</v>
      </c>
      <c r="L777" s="331">
        <v>40583</v>
      </c>
      <c r="M777" s="329">
        <v>48.050000000000004</v>
      </c>
      <c r="N777" s="329">
        <v>45.966666666666669</v>
      </c>
      <c r="O777" s="329">
        <v>6.2</v>
      </c>
      <c r="P777" s="329">
        <v>5.95</v>
      </c>
    </row>
    <row r="778" spans="1:16">
      <c r="A778" s="331">
        <v>40583</v>
      </c>
      <c r="B778" s="329">
        <v>48.1</v>
      </c>
      <c r="C778" s="329">
        <f t="shared" si="48"/>
        <v>48.050000000000004</v>
      </c>
      <c r="D778" s="329">
        <v>46.1</v>
      </c>
      <c r="E778" s="329">
        <f t="shared" si="45"/>
        <v>45.966666666666669</v>
      </c>
      <c r="F778" s="329">
        <v>5.9</v>
      </c>
      <c r="G778" s="329">
        <f t="shared" si="46"/>
        <v>6.2</v>
      </c>
      <c r="H778" s="329">
        <v>6</v>
      </c>
      <c r="I778" s="329">
        <f t="shared" si="47"/>
        <v>5.95</v>
      </c>
      <c r="L778" s="331">
        <v>40583</v>
      </c>
      <c r="M778" s="329">
        <v>48.050000000000004</v>
      </c>
      <c r="N778" s="329">
        <v>45.966666666666669</v>
      </c>
      <c r="O778" s="329">
        <v>6.2</v>
      </c>
      <c r="P778" s="329">
        <v>5.95</v>
      </c>
    </row>
    <row r="779" spans="1:16">
      <c r="A779" s="331">
        <v>40583</v>
      </c>
      <c r="B779" s="329">
        <v>48.1</v>
      </c>
      <c r="C779" s="329">
        <f t="shared" si="48"/>
        <v>48.050000000000004</v>
      </c>
      <c r="D779" s="329">
        <v>45.9</v>
      </c>
      <c r="E779" s="329">
        <f t="shared" si="45"/>
        <v>45.966666666666669</v>
      </c>
      <c r="F779" s="329">
        <v>5.5</v>
      </c>
      <c r="G779" s="329">
        <f t="shared" si="46"/>
        <v>6.2</v>
      </c>
      <c r="H779" s="329">
        <v>5.9</v>
      </c>
      <c r="I779" s="329">
        <f t="shared" si="47"/>
        <v>5.95</v>
      </c>
      <c r="L779" s="331">
        <v>40583</v>
      </c>
      <c r="M779" s="329">
        <v>48.050000000000004</v>
      </c>
      <c r="N779" s="329">
        <v>45.966666666666669</v>
      </c>
      <c r="O779" s="329">
        <v>6.2</v>
      </c>
      <c r="P779" s="329">
        <v>5.95</v>
      </c>
    </row>
    <row r="780" spans="1:16">
      <c r="A780" s="331">
        <v>40583</v>
      </c>
      <c r="B780" s="329">
        <v>48.1</v>
      </c>
      <c r="C780" s="329">
        <f t="shared" si="48"/>
        <v>48.050000000000004</v>
      </c>
      <c r="D780" s="329">
        <v>45.9</v>
      </c>
      <c r="E780" s="329">
        <f t="shared" si="45"/>
        <v>45.966666666666669</v>
      </c>
      <c r="F780" s="329">
        <v>5.5</v>
      </c>
      <c r="G780" s="329">
        <f t="shared" si="46"/>
        <v>6.2</v>
      </c>
      <c r="H780" s="329">
        <v>5.8</v>
      </c>
      <c r="I780" s="329">
        <f t="shared" si="47"/>
        <v>5.95</v>
      </c>
      <c r="L780" s="331">
        <v>40583</v>
      </c>
      <c r="M780" s="329">
        <v>48.050000000000004</v>
      </c>
      <c r="N780" s="329">
        <v>45.966666666666669</v>
      </c>
      <c r="O780" s="329">
        <v>6.2</v>
      </c>
      <c r="P780" s="329">
        <v>5.95</v>
      </c>
    </row>
    <row r="781" spans="1:16">
      <c r="A781" s="331">
        <v>40583</v>
      </c>
      <c r="B781" s="329">
        <v>48</v>
      </c>
      <c r="C781" s="329">
        <f t="shared" si="48"/>
        <v>48.050000000000004</v>
      </c>
      <c r="D781" s="329">
        <v>45.9</v>
      </c>
      <c r="E781" s="329">
        <f t="shared" si="45"/>
        <v>45.966666666666669</v>
      </c>
      <c r="F781" s="329">
        <v>6.9</v>
      </c>
      <c r="G781" s="329">
        <f t="shared" si="46"/>
        <v>6.2</v>
      </c>
      <c r="H781" s="329">
        <v>5.8</v>
      </c>
      <c r="I781" s="329">
        <f t="shared" si="47"/>
        <v>5.95</v>
      </c>
      <c r="L781" s="331">
        <v>40583</v>
      </c>
      <c r="M781" s="329">
        <v>48.050000000000004</v>
      </c>
      <c r="N781" s="329">
        <v>45.966666666666669</v>
      </c>
      <c r="O781" s="329">
        <v>6.2</v>
      </c>
      <c r="P781" s="329">
        <v>5.95</v>
      </c>
    </row>
    <row r="782" spans="1:16">
      <c r="A782" s="331">
        <v>40583</v>
      </c>
      <c r="B782" s="329">
        <v>47.9</v>
      </c>
      <c r="C782" s="329">
        <f t="shared" si="48"/>
        <v>48.050000000000004</v>
      </c>
      <c r="D782" s="329">
        <v>45.9</v>
      </c>
      <c r="E782" s="329">
        <f t="shared" si="45"/>
        <v>45.966666666666669</v>
      </c>
      <c r="F782" s="329">
        <v>7.2</v>
      </c>
      <c r="G782" s="329">
        <f t="shared" si="46"/>
        <v>6.2</v>
      </c>
      <c r="H782" s="329">
        <v>6.1</v>
      </c>
      <c r="I782" s="329">
        <f t="shared" si="47"/>
        <v>5.95</v>
      </c>
      <c r="L782" s="331">
        <v>40583</v>
      </c>
      <c r="M782" s="329">
        <v>48.050000000000004</v>
      </c>
      <c r="N782" s="329">
        <v>45.966666666666669</v>
      </c>
      <c r="O782" s="329">
        <v>6.2</v>
      </c>
      <c r="P782" s="329">
        <v>5.95</v>
      </c>
    </row>
    <row r="783" spans="1:16">
      <c r="A783" s="331">
        <v>40584</v>
      </c>
      <c r="B783" s="329">
        <v>47.9</v>
      </c>
      <c r="C783" s="329">
        <f t="shared" si="48"/>
        <v>47.866666666666667</v>
      </c>
      <c r="D783" s="329">
        <v>45.9</v>
      </c>
      <c r="E783" s="329">
        <f t="shared" si="45"/>
        <v>45.866666666666667</v>
      </c>
      <c r="F783" s="329">
        <v>6.6</v>
      </c>
      <c r="G783" s="329">
        <f t="shared" si="46"/>
        <v>6.3</v>
      </c>
      <c r="H783" s="329">
        <v>6.3</v>
      </c>
      <c r="I783" s="329">
        <f t="shared" si="47"/>
        <v>6.166666666666667</v>
      </c>
      <c r="L783" s="331">
        <v>40584</v>
      </c>
      <c r="M783" s="329">
        <v>47.866666666666667</v>
      </c>
      <c r="N783" s="329">
        <v>45.866666666666667</v>
      </c>
      <c r="O783" s="329">
        <v>6.3</v>
      </c>
      <c r="P783" s="329">
        <v>6.166666666666667</v>
      </c>
    </row>
    <row r="784" spans="1:16">
      <c r="A784" s="331">
        <v>40584</v>
      </c>
      <c r="B784" s="329">
        <v>47.9</v>
      </c>
      <c r="C784" s="329">
        <f t="shared" si="48"/>
        <v>47.866666666666667</v>
      </c>
      <c r="D784" s="329">
        <v>45.9</v>
      </c>
      <c r="E784" s="329">
        <f t="shared" si="45"/>
        <v>45.866666666666667</v>
      </c>
      <c r="F784" s="329">
        <v>6.2</v>
      </c>
      <c r="G784" s="329">
        <f t="shared" si="46"/>
        <v>6.3</v>
      </c>
      <c r="H784" s="329">
        <v>6.3</v>
      </c>
      <c r="I784" s="329">
        <f t="shared" si="47"/>
        <v>6.166666666666667</v>
      </c>
      <c r="L784" s="331">
        <v>40584</v>
      </c>
      <c r="M784" s="329">
        <v>47.866666666666667</v>
      </c>
      <c r="N784" s="329">
        <v>45.866666666666667</v>
      </c>
      <c r="O784" s="329">
        <v>6.3</v>
      </c>
      <c r="P784" s="329">
        <v>6.166666666666667</v>
      </c>
    </row>
    <row r="785" spans="1:16">
      <c r="A785" s="331">
        <v>40584</v>
      </c>
      <c r="B785" s="329">
        <v>47.9</v>
      </c>
      <c r="C785" s="329">
        <f t="shared" si="48"/>
        <v>47.866666666666667</v>
      </c>
      <c r="D785" s="329">
        <v>45.9</v>
      </c>
      <c r="E785" s="329">
        <f t="shared" si="45"/>
        <v>45.866666666666667</v>
      </c>
      <c r="F785" s="329">
        <v>5.6</v>
      </c>
      <c r="G785" s="329">
        <f t="shared" si="46"/>
        <v>6.3</v>
      </c>
      <c r="H785" s="329">
        <v>6.2</v>
      </c>
      <c r="I785" s="329">
        <f t="shared" si="47"/>
        <v>6.166666666666667</v>
      </c>
      <c r="L785" s="331">
        <v>40584</v>
      </c>
      <c r="M785" s="329">
        <v>47.866666666666667</v>
      </c>
      <c r="N785" s="329">
        <v>45.866666666666667</v>
      </c>
      <c r="O785" s="329">
        <v>6.3</v>
      </c>
      <c r="P785" s="329">
        <v>6.166666666666667</v>
      </c>
    </row>
    <row r="786" spans="1:16">
      <c r="A786" s="331">
        <v>40584</v>
      </c>
      <c r="B786" s="329">
        <v>47.9</v>
      </c>
      <c r="C786" s="329">
        <f t="shared" si="48"/>
        <v>47.866666666666667</v>
      </c>
      <c r="D786" s="329">
        <v>45.9</v>
      </c>
      <c r="E786" s="329">
        <f t="shared" si="45"/>
        <v>45.866666666666667</v>
      </c>
      <c r="F786" s="329">
        <v>5.5</v>
      </c>
      <c r="G786" s="329">
        <f t="shared" si="46"/>
        <v>6.3</v>
      </c>
      <c r="H786" s="329">
        <v>6</v>
      </c>
      <c r="I786" s="329">
        <f t="shared" si="47"/>
        <v>6.166666666666667</v>
      </c>
      <c r="L786" s="331">
        <v>40584</v>
      </c>
      <c r="M786" s="329">
        <v>47.866666666666667</v>
      </c>
      <c r="N786" s="329">
        <v>45.866666666666667</v>
      </c>
      <c r="O786" s="329">
        <v>6.3</v>
      </c>
      <c r="P786" s="329">
        <v>6.166666666666667</v>
      </c>
    </row>
    <row r="787" spans="1:16">
      <c r="A787" s="331">
        <v>40584</v>
      </c>
      <c r="B787" s="329">
        <v>47.8</v>
      </c>
      <c r="C787" s="329">
        <f t="shared" si="48"/>
        <v>47.866666666666667</v>
      </c>
      <c r="D787" s="329">
        <v>45.8</v>
      </c>
      <c r="E787" s="329">
        <f t="shared" si="45"/>
        <v>45.866666666666667</v>
      </c>
      <c r="F787" s="329">
        <v>6.8</v>
      </c>
      <c r="G787" s="329">
        <f t="shared" si="46"/>
        <v>6.3</v>
      </c>
      <c r="H787" s="329">
        <v>6</v>
      </c>
      <c r="I787" s="329">
        <f t="shared" si="47"/>
        <v>6.166666666666667</v>
      </c>
      <c r="L787" s="331">
        <v>40584</v>
      </c>
      <c r="M787" s="329">
        <v>47.866666666666667</v>
      </c>
      <c r="N787" s="329">
        <v>45.866666666666667</v>
      </c>
      <c r="O787" s="329">
        <v>6.3</v>
      </c>
      <c r="P787" s="329">
        <v>6.166666666666667</v>
      </c>
    </row>
    <row r="788" spans="1:16">
      <c r="A788" s="331">
        <v>40584</v>
      </c>
      <c r="B788" s="329">
        <v>47.8</v>
      </c>
      <c r="C788" s="329">
        <f t="shared" si="48"/>
        <v>47.866666666666667</v>
      </c>
      <c r="D788" s="329">
        <v>45.8</v>
      </c>
      <c r="E788" s="329">
        <f t="shared" si="45"/>
        <v>45.866666666666667</v>
      </c>
      <c r="F788" s="329">
        <v>7.1</v>
      </c>
      <c r="G788" s="329">
        <f t="shared" si="46"/>
        <v>6.3</v>
      </c>
      <c r="H788" s="329">
        <v>6.2</v>
      </c>
      <c r="I788" s="329">
        <f t="shared" si="47"/>
        <v>6.166666666666667</v>
      </c>
      <c r="L788" s="331">
        <v>40584</v>
      </c>
      <c r="M788" s="329">
        <v>47.866666666666667</v>
      </c>
      <c r="N788" s="329">
        <v>45.866666666666667</v>
      </c>
      <c r="O788" s="329">
        <v>6.3</v>
      </c>
      <c r="P788" s="329">
        <v>6.166666666666667</v>
      </c>
    </row>
    <row r="789" spans="1:16">
      <c r="A789" s="331">
        <v>40585</v>
      </c>
      <c r="B789" s="329">
        <v>47.8</v>
      </c>
      <c r="C789" s="329">
        <f t="shared" si="48"/>
        <v>47.733333333333327</v>
      </c>
      <c r="D789" s="329">
        <v>45.8</v>
      </c>
      <c r="E789" s="329">
        <f t="shared" si="45"/>
        <v>45.783333333333331</v>
      </c>
      <c r="F789" s="329">
        <v>6.7</v>
      </c>
      <c r="G789" s="329">
        <f t="shared" si="46"/>
        <v>6.6333333333333329</v>
      </c>
      <c r="H789" s="329">
        <v>6.4</v>
      </c>
      <c r="I789" s="329">
        <f t="shared" si="47"/>
        <v>6.3166666666666664</v>
      </c>
      <c r="L789" s="331">
        <v>40585</v>
      </c>
      <c r="M789" s="329">
        <v>47.733333333333327</v>
      </c>
      <c r="N789" s="329">
        <v>45.783333333333331</v>
      </c>
      <c r="O789" s="329">
        <v>6.6333333333333329</v>
      </c>
      <c r="P789" s="329">
        <v>6.3166666666666664</v>
      </c>
    </row>
    <row r="790" spans="1:16">
      <c r="A790" s="331">
        <v>40585</v>
      </c>
      <c r="B790" s="329">
        <v>47.8</v>
      </c>
      <c r="C790" s="329">
        <f t="shared" si="48"/>
        <v>47.733333333333327</v>
      </c>
      <c r="D790" s="329">
        <v>45.8</v>
      </c>
      <c r="E790" s="329">
        <f t="shared" si="45"/>
        <v>45.783333333333331</v>
      </c>
      <c r="F790" s="329">
        <v>6.3</v>
      </c>
      <c r="G790" s="329">
        <f t="shared" si="46"/>
        <v>6.6333333333333329</v>
      </c>
      <c r="H790" s="329">
        <v>6.4</v>
      </c>
      <c r="I790" s="329">
        <f t="shared" si="47"/>
        <v>6.3166666666666664</v>
      </c>
      <c r="L790" s="331">
        <v>40585</v>
      </c>
      <c r="M790" s="329">
        <v>47.733333333333327</v>
      </c>
      <c r="N790" s="329">
        <v>45.783333333333331</v>
      </c>
      <c r="O790" s="329">
        <v>6.6333333333333329</v>
      </c>
      <c r="P790" s="329">
        <v>6.3166666666666664</v>
      </c>
    </row>
    <row r="791" spans="1:16">
      <c r="A791" s="331">
        <v>40585</v>
      </c>
      <c r="B791" s="329">
        <v>47.8</v>
      </c>
      <c r="C791" s="329">
        <f t="shared" si="48"/>
        <v>47.733333333333327</v>
      </c>
      <c r="D791" s="329">
        <v>45.8</v>
      </c>
      <c r="E791" s="329">
        <f t="shared" si="45"/>
        <v>45.783333333333331</v>
      </c>
      <c r="F791" s="329">
        <v>6</v>
      </c>
      <c r="G791" s="329">
        <f t="shared" si="46"/>
        <v>6.6333333333333329</v>
      </c>
      <c r="H791" s="329">
        <v>6.3</v>
      </c>
      <c r="I791" s="329">
        <f t="shared" si="47"/>
        <v>6.3166666666666664</v>
      </c>
      <c r="L791" s="331">
        <v>40585</v>
      </c>
      <c r="M791" s="329">
        <v>47.733333333333327</v>
      </c>
      <c r="N791" s="329">
        <v>45.783333333333331</v>
      </c>
      <c r="O791" s="329">
        <v>6.6333333333333329</v>
      </c>
      <c r="P791" s="329">
        <v>6.3166666666666664</v>
      </c>
    </row>
    <row r="792" spans="1:16">
      <c r="A792" s="331">
        <v>40585</v>
      </c>
      <c r="B792" s="329">
        <v>47.7</v>
      </c>
      <c r="C792" s="329">
        <f t="shared" si="48"/>
        <v>47.733333333333327</v>
      </c>
      <c r="D792" s="329">
        <v>45.8</v>
      </c>
      <c r="E792" s="329">
        <f t="shared" si="45"/>
        <v>45.783333333333331</v>
      </c>
      <c r="F792" s="329">
        <v>6</v>
      </c>
      <c r="G792" s="329">
        <f t="shared" si="46"/>
        <v>6.6333333333333329</v>
      </c>
      <c r="H792" s="329">
        <v>6.2</v>
      </c>
      <c r="I792" s="329">
        <f t="shared" si="47"/>
        <v>6.3166666666666664</v>
      </c>
      <c r="L792" s="331">
        <v>40585</v>
      </c>
      <c r="M792" s="329">
        <v>47.733333333333327</v>
      </c>
      <c r="N792" s="329">
        <v>45.783333333333331</v>
      </c>
      <c r="O792" s="329">
        <v>6.6333333333333329</v>
      </c>
      <c r="P792" s="329">
        <v>6.3166666666666664</v>
      </c>
    </row>
    <row r="793" spans="1:16">
      <c r="A793" s="331">
        <v>40585</v>
      </c>
      <c r="B793" s="329">
        <v>47.7</v>
      </c>
      <c r="C793" s="329">
        <f t="shared" si="48"/>
        <v>47.733333333333327</v>
      </c>
      <c r="D793" s="329">
        <v>45.8</v>
      </c>
      <c r="E793" s="329">
        <f t="shared" si="45"/>
        <v>45.783333333333331</v>
      </c>
      <c r="F793" s="329">
        <v>7.3</v>
      </c>
      <c r="G793" s="329">
        <f t="shared" si="46"/>
        <v>6.6333333333333329</v>
      </c>
      <c r="H793" s="329">
        <v>6.2</v>
      </c>
      <c r="I793" s="329">
        <f t="shared" si="47"/>
        <v>6.3166666666666664</v>
      </c>
      <c r="L793" s="331">
        <v>40585</v>
      </c>
      <c r="M793" s="329">
        <v>47.733333333333327</v>
      </c>
      <c r="N793" s="329">
        <v>45.783333333333331</v>
      </c>
      <c r="O793" s="329">
        <v>6.6333333333333329</v>
      </c>
      <c r="P793" s="329">
        <v>6.3166666666666664</v>
      </c>
    </row>
    <row r="794" spans="1:16">
      <c r="A794" s="331">
        <v>40585</v>
      </c>
      <c r="B794" s="329">
        <v>47.6</v>
      </c>
      <c r="C794" s="329">
        <f t="shared" si="48"/>
        <v>47.733333333333327</v>
      </c>
      <c r="D794" s="329">
        <v>45.7</v>
      </c>
      <c r="E794" s="329">
        <f t="shared" si="45"/>
        <v>45.783333333333331</v>
      </c>
      <c r="F794" s="329">
        <v>7.5</v>
      </c>
      <c r="G794" s="329">
        <f t="shared" si="46"/>
        <v>6.6333333333333329</v>
      </c>
      <c r="H794" s="329">
        <v>6.4</v>
      </c>
      <c r="I794" s="329">
        <f t="shared" si="47"/>
        <v>6.3166666666666664</v>
      </c>
      <c r="L794" s="331">
        <v>40585</v>
      </c>
      <c r="M794" s="329">
        <v>47.733333333333327</v>
      </c>
      <c r="N794" s="329">
        <v>45.783333333333331</v>
      </c>
      <c r="O794" s="329">
        <v>6.6333333333333329</v>
      </c>
      <c r="P794" s="329">
        <v>6.3166666666666664</v>
      </c>
    </row>
    <row r="795" spans="1:16">
      <c r="A795" s="331">
        <v>40586</v>
      </c>
      <c r="B795" s="329">
        <v>47.6</v>
      </c>
      <c r="C795" s="329">
        <f t="shared" si="48"/>
        <v>47.516666666666673</v>
      </c>
      <c r="D795" s="329">
        <v>45.7</v>
      </c>
      <c r="E795" s="329">
        <f t="shared" si="45"/>
        <v>45.699999999999996</v>
      </c>
      <c r="F795" s="329">
        <v>7</v>
      </c>
      <c r="G795" s="329">
        <f t="shared" si="46"/>
        <v>6.8666666666666663</v>
      </c>
      <c r="H795" s="329">
        <v>6.6</v>
      </c>
      <c r="I795" s="329">
        <f t="shared" si="47"/>
        <v>6.5166666666666666</v>
      </c>
      <c r="L795" s="331">
        <v>40586</v>
      </c>
      <c r="M795" s="329">
        <v>47.516666666666673</v>
      </c>
      <c r="N795" s="329">
        <v>45.699999999999996</v>
      </c>
      <c r="O795" s="329">
        <v>6.8666666666666663</v>
      </c>
      <c r="P795" s="329">
        <v>6.5166666666666666</v>
      </c>
    </row>
    <row r="796" spans="1:16">
      <c r="A796" s="331">
        <v>40586</v>
      </c>
      <c r="B796" s="329">
        <v>47.6</v>
      </c>
      <c r="C796" s="329">
        <f t="shared" si="48"/>
        <v>47.516666666666673</v>
      </c>
      <c r="D796" s="329">
        <v>45.7</v>
      </c>
      <c r="E796" s="329">
        <f t="shared" si="45"/>
        <v>45.699999999999996</v>
      </c>
      <c r="F796" s="329">
        <v>6.5</v>
      </c>
      <c r="G796" s="329">
        <f t="shared" si="46"/>
        <v>6.8666666666666663</v>
      </c>
      <c r="H796" s="329">
        <v>6.6</v>
      </c>
      <c r="I796" s="329">
        <f t="shared" si="47"/>
        <v>6.5166666666666666</v>
      </c>
      <c r="L796" s="331">
        <v>40586</v>
      </c>
      <c r="M796" s="329">
        <v>47.516666666666673</v>
      </c>
      <c r="N796" s="329">
        <v>45.699999999999996</v>
      </c>
      <c r="O796" s="329">
        <v>6.8666666666666663</v>
      </c>
      <c r="P796" s="329">
        <v>6.5166666666666666</v>
      </c>
    </row>
    <row r="797" spans="1:16">
      <c r="A797" s="331">
        <v>40586</v>
      </c>
      <c r="B797" s="329">
        <v>47.6</v>
      </c>
      <c r="C797" s="329">
        <f t="shared" si="48"/>
        <v>47.516666666666673</v>
      </c>
      <c r="D797" s="329">
        <v>45.7</v>
      </c>
      <c r="E797" s="329">
        <f t="shared" si="45"/>
        <v>45.699999999999996</v>
      </c>
      <c r="F797" s="329">
        <v>6.2</v>
      </c>
      <c r="G797" s="329">
        <f t="shared" si="46"/>
        <v>6.8666666666666663</v>
      </c>
      <c r="H797" s="329">
        <v>6.5</v>
      </c>
      <c r="I797" s="329">
        <f t="shared" si="47"/>
        <v>6.5166666666666666</v>
      </c>
      <c r="L797" s="331">
        <v>40586</v>
      </c>
      <c r="M797" s="329">
        <v>47.516666666666673</v>
      </c>
      <c r="N797" s="329">
        <v>45.699999999999996</v>
      </c>
      <c r="O797" s="329">
        <v>6.8666666666666663</v>
      </c>
      <c r="P797" s="329">
        <v>6.5166666666666666</v>
      </c>
    </row>
    <row r="798" spans="1:16">
      <c r="A798" s="331">
        <v>40586</v>
      </c>
      <c r="B798" s="329">
        <v>47.6</v>
      </c>
      <c r="C798" s="329">
        <f t="shared" si="48"/>
        <v>47.516666666666673</v>
      </c>
      <c r="D798" s="329">
        <v>45.7</v>
      </c>
      <c r="E798" s="329">
        <f t="shared" si="45"/>
        <v>45.699999999999996</v>
      </c>
      <c r="F798" s="329">
        <v>6.2</v>
      </c>
      <c r="G798" s="329">
        <f t="shared" si="46"/>
        <v>6.8666666666666663</v>
      </c>
      <c r="H798" s="329">
        <v>6.4</v>
      </c>
      <c r="I798" s="329">
        <f t="shared" si="47"/>
        <v>6.5166666666666666</v>
      </c>
      <c r="L798" s="331">
        <v>40586</v>
      </c>
      <c r="M798" s="329">
        <v>47.516666666666673</v>
      </c>
      <c r="N798" s="329">
        <v>45.699999999999996</v>
      </c>
      <c r="O798" s="329">
        <v>6.8666666666666663</v>
      </c>
      <c r="P798" s="329">
        <v>6.5166666666666666</v>
      </c>
    </row>
    <row r="799" spans="1:16">
      <c r="A799" s="331">
        <v>40586</v>
      </c>
      <c r="B799" s="329">
        <v>47.4</v>
      </c>
      <c r="C799" s="329">
        <f t="shared" si="48"/>
        <v>47.516666666666673</v>
      </c>
      <c r="D799" s="329">
        <v>45.7</v>
      </c>
      <c r="E799" s="329">
        <f t="shared" si="45"/>
        <v>45.699999999999996</v>
      </c>
      <c r="F799" s="329">
        <v>7.4</v>
      </c>
      <c r="G799" s="329">
        <f t="shared" si="46"/>
        <v>6.8666666666666663</v>
      </c>
      <c r="H799" s="329">
        <v>6.4</v>
      </c>
      <c r="I799" s="329">
        <f t="shared" si="47"/>
        <v>6.5166666666666666</v>
      </c>
      <c r="L799" s="331">
        <v>40586</v>
      </c>
      <c r="M799" s="329">
        <v>47.516666666666673</v>
      </c>
      <c r="N799" s="329">
        <v>45.699999999999996</v>
      </c>
      <c r="O799" s="329">
        <v>6.8666666666666663</v>
      </c>
      <c r="P799" s="329">
        <v>6.5166666666666666</v>
      </c>
    </row>
    <row r="800" spans="1:16">
      <c r="A800" s="331">
        <v>40586</v>
      </c>
      <c r="B800" s="329">
        <v>47.3</v>
      </c>
      <c r="C800" s="329">
        <f t="shared" si="48"/>
        <v>47.516666666666673</v>
      </c>
      <c r="D800" s="329">
        <v>45.7</v>
      </c>
      <c r="E800" s="329">
        <f t="shared" si="45"/>
        <v>45.699999999999996</v>
      </c>
      <c r="F800" s="329">
        <v>7.9</v>
      </c>
      <c r="G800" s="329">
        <f t="shared" si="46"/>
        <v>6.8666666666666663</v>
      </c>
      <c r="H800" s="329">
        <v>6.6</v>
      </c>
      <c r="I800" s="329">
        <f t="shared" si="47"/>
        <v>6.5166666666666666</v>
      </c>
      <c r="L800" s="331">
        <v>40586</v>
      </c>
      <c r="M800" s="329">
        <v>47.516666666666673</v>
      </c>
      <c r="N800" s="329">
        <v>45.699999999999996</v>
      </c>
      <c r="O800" s="329">
        <v>6.8666666666666663</v>
      </c>
      <c r="P800" s="329">
        <v>6.5166666666666666</v>
      </c>
    </row>
    <row r="801" spans="1:16">
      <c r="A801" s="331">
        <v>40587</v>
      </c>
      <c r="B801" s="329">
        <v>47.3</v>
      </c>
      <c r="C801" s="329">
        <f t="shared" si="48"/>
        <v>47.266666666666659</v>
      </c>
      <c r="D801" s="329">
        <v>45.7</v>
      </c>
      <c r="E801" s="329">
        <f t="shared" si="45"/>
        <v>45.666666666666664</v>
      </c>
      <c r="F801" s="329">
        <v>7.6</v>
      </c>
      <c r="G801" s="329">
        <f t="shared" si="46"/>
        <v>7.1166666666666671</v>
      </c>
      <c r="H801" s="329">
        <v>6.9</v>
      </c>
      <c r="I801" s="329">
        <f t="shared" si="47"/>
        <v>6.7833333333333323</v>
      </c>
      <c r="L801" s="331">
        <v>40587</v>
      </c>
      <c r="M801" s="329">
        <v>47.266666666666659</v>
      </c>
      <c r="N801" s="329">
        <v>45.666666666666664</v>
      </c>
      <c r="O801" s="329">
        <v>7.1166666666666671</v>
      </c>
      <c r="P801" s="329">
        <v>6.7833333333333323</v>
      </c>
    </row>
    <row r="802" spans="1:16">
      <c r="A802" s="331">
        <v>40587</v>
      </c>
      <c r="B802" s="329">
        <v>47.3</v>
      </c>
      <c r="C802" s="329">
        <f t="shared" si="48"/>
        <v>47.266666666666659</v>
      </c>
      <c r="D802" s="329">
        <v>45.7</v>
      </c>
      <c r="E802" s="329">
        <f t="shared" ref="E802:E865" si="49">AVERAGEIFS($D$33:$D$1494,$A$33:$A$1494,A802)</f>
        <v>45.666666666666664</v>
      </c>
      <c r="F802" s="329">
        <v>6.9</v>
      </c>
      <c r="G802" s="329">
        <f t="shared" ref="G802:G865" si="50">AVERAGEIFS($F$33:$F$1494,$A$33:$A$1494,A802)</f>
        <v>7.1166666666666671</v>
      </c>
      <c r="H802" s="329">
        <v>6.9</v>
      </c>
      <c r="I802" s="329">
        <f t="shared" ref="I802:I865" si="51">AVERAGEIFS($H$33:$H$1494,$A$33:$A$1494,A802)</f>
        <v>6.7833333333333323</v>
      </c>
      <c r="L802" s="331">
        <v>40587</v>
      </c>
      <c r="M802" s="329">
        <v>47.266666666666659</v>
      </c>
      <c r="N802" s="329">
        <v>45.666666666666664</v>
      </c>
      <c r="O802" s="329">
        <v>7.1166666666666671</v>
      </c>
      <c r="P802" s="329">
        <v>6.7833333333333323</v>
      </c>
    </row>
    <row r="803" spans="1:16">
      <c r="A803" s="331">
        <v>40587</v>
      </c>
      <c r="B803" s="329">
        <v>47.3</v>
      </c>
      <c r="C803" s="329">
        <f t="shared" si="48"/>
        <v>47.266666666666659</v>
      </c>
      <c r="D803" s="329">
        <v>45.7</v>
      </c>
      <c r="E803" s="329">
        <f t="shared" si="49"/>
        <v>45.666666666666664</v>
      </c>
      <c r="F803" s="329">
        <v>6.5</v>
      </c>
      <c r="G803" s="329">
        <f t="shared" si="50"/>
        <v>7.1166666666666671</v>
      </c>
      <c r="H803" s="329">
        <v>6.8</v>
      </c>
      <c r="I803" s="329">
        <f t="shared" si="51"/>
        <v>6.7833333333333323</v>
      </c>
      <c r="L803" s="331">
        <v>40587</v>
      </c>
      <c r="M803" s="329">
        <v>47.266666666666659</v>
      </c>
      <c r="N803" s="329">
        <v>45.666666666666664</v>
      </c>
      <c r="O803" s="329">
        <v>7.1166666666666671</v>
      </c>
      <c r="P803" s="329">
        <v>6.7833333333333323</v>
      </c>
    </row>
    <row r="804" spans="1:16">
      <c r="A804" s="331">
        <v>40587</v>
      </c>
      <c r="B804" s="329">
        <v>47.3</v>
      </c>
      <c r="C804" s="329">
        <f t="shared" si="48"/>
        <v>47.266666666666659</v>
      </c>
      <c r="D804" s="329">
        <v>45.7</v>
      </c>
      <c r="E804" s="329">
        <f t="shared" si="49"/>
        <v>45.666666666666664</v>
      </c>
      <c r="F804" s="329">
        <v>6.5</v>
      </c>
      <c r="G804" s="329">
        <f t="shared" si="50"/>
        <v>7.1166666666666671</v>
      </c>
      <c r="H804" s="329">
        <v>6.7</v>
      </c>
      <c r="I804" s="329">
        <f t="shared" si="51"/>
        <v>6.7833333333333323</v>
      </c>
      <c r="L804" s="331">
        <v>40587</v>
      </c>
      <c r="M804" s="329">
        <v>47.266666666666659</v>
      </c>
      <c r="N804" s="329">
        <v>45.666666666666664</v>
      </c>
      <c r="O804" s="329">
        <v>7.1166666666666671</v>
      </c>
      <c r="P804" s="329">
        <v>6.7833333333333323</v>
      </c>
    </row>
    <row r="805" spans="1:16">
      <c r="A805" s="331">
        <v>40587</v>
      </c>
      <c r="B805" s="329">
        <v>47.2</v>
      </c>
      <c r="C805" s="329">
        <f t="shared" si="48"/>
        <v>47.266666666666659</v>
      </c>
      <c r="D805" s="329">
        <v>45.6</v>
      </c>
      <c r="E805" s="329">
        <f t="shared" si="49"/>
        <v>45.666666666666664</v>
      </c>
      <c r="F805" s="329">
        <v>7.5</v>
      </c>
      <c r="G805" s="329">
        <f t="shared" si="50"/>
        <v>7.1166666666666671</v>
      </c>
      <c r="H805" s="329">
        <v>6.6</v>
      </c>
      <c r="I805" s="329">
        <f t="shared" si="51"/>
        <v>6.7833333333333323</v>
      </c>
      <c r="L805" s="331">
        <v>40587</v>
      </c>
      <c r="M805" s="329">
        <v>47.266666666666659</v>
      </c>
      <c r="N805" s="329">
        <v>45.666666666666664</v>
      </c>
      <c r="O805" s="329">
        <v>7.1166666666666671</v>
      </c>
      <c r="P805" s="329">
        <v>6.7833333333333323</v>
      </c>
    </row>
    <row r="806" spans="1:16">
      <c r="A806" s="331">
        <v>40587</v>
      </c>
      <c r="B806" s="329">
        <v>47.2</v>
      </c>
      <c r="C806" s="329">
        <f t="shared" si="48"/>
        <v>47.266666666666659</v>
      </c>
      <c r="D806" s="329">
        <v>45.6</v>
      </c>
      <c r="E806" s="329">
        <f t="shared" si="49"/>
        <v>45.666666666666664</v>
      </c>
      <c r="F806" s="329">
        <v>7.7</v>
      </c>
      <c r="G806" s="329">
        <f t="shared" si="50"/>
        <v>7.1166666666666671</v>
      </c>
      <c r="H806" s="329">
        <v>6.8</v>
      </c>
      <c r="I806" s="329">
        <f t="shared" si="51"/>
        <v>6.7833333333333323</v>
      </c>
      <c r="L806" s="331">
        <v>40587</v>
      </c>
      <c r="M806" s="329">
        <v>47.266666666666659</v>
      </c>
      <c r="N806" s="329">
        <v>45.666666666666664</v>
      </c>
      <c r="O806" s="329">
        <v>7.1166666666666671</v>
      </c>
      <c r="P806" s="329">
        <v>6.7833333333333323</v>
      </c>
    </row>
    <row r="807" spans="1:16">
      <c r="A807" s="331">
        <v>40588</v>
      </c>
      <c r="B807" s="329">
        <v>47.1</v>
      </c>
      <c r="C807" s="329">
        <f t="shared" si="48"/>
        <v>47.233333333333327</v>
      </c>
      <c r="D807" s="329">
        <v>45.6</v>
      </c>
      <c r="E807" s="329">
        <f t="shared" si="49"/>
        <v>45.6</v>
      </c>
      <c r="F807" s="329">
        <v>7.3</v>
      </c>
      <c r="G807" s="329">
        <f t="shared" si="50"/>
        <v>7.3</v>
      </c>
      <c r="H807" s="329">
        <v>6.9</v>
      </c>
      <c r="I807" s="329">
        <f t="shared" si="51"/>
        <v>6.916666666666667</v>
      </c>
      <c r="L807" s="331">
        <v>40588</v>
      </c>
      <c r="M807" s="329">
        <v>47.233333333333327</v>
      </c>
      <c r="N807" s="329">
        <v>45.6</v>
      </c>
      <c r="O807" s="329">
        <v>7.3</v>
      </c>
      <c r="P807" s="329">
        <v>6.916666666666667</v>
      </c>
    </row>
    <row r="808" spans="1:16">
      <c r="A808" s="331">
        <v>40588</v>
      </c>
      <c r="B808" s="329">
        <v>47.1</v>
      </c>
      <c r="C808" s="329">
        <f t="shared" ref="C808:C871" si="52">AVERAGEIFS($B$33:$B$1494,$A$33:$A$1494,A808)</f>
        <v>47.233333333333327</v>
      </c>
      <c r="D808" s="329">
        <v>45.6</v>
      </c>
      <c r="E808" s="329">
        <f t="shared" si="49"/>
        <v>45.6</v>
      </c>
      <c r="F808" s="329">
        <v>7.1</v>
      </c>
      <c r="G808" s="329">
        <f t="shared" si="50"/>
        <v>7.3</v>
      </c>
      <c r="H808" s="329">
        <v>6.9</v>
      </c>
      <c r="I808" s="329">
        <f t="shared" si="51"/>
        <v>6.916666666666667</v>
      </c>
      <c r="L808" s="331">
        <v>40588</v>
      </c>
      <c r="M808" s="329">
        <v>47.233333333333327</v>
      </c>
      <c r="N808" s="329">
        <v>45.6</v>
      </c>
      <c r="O808" s="329">
        <v>7.3</v>
      </c>
      <c r="P808" s="329">
        <v>6.916666666666667</v>
      </c>
    </row>
    <row r="809" spans="1:16">
      <c r="A809" s="331">
        <v>40588</v>
      </c>
      <c r="B809" s="329">
        <v>47.1</v>
      </c>
      <c r="C809" s="329">
        <f t="shared" si="52"/>
        <v>47.233333333333327</v>
      </c>
      <c r="D809" s="329">
        <v>45.6</v>
      </c>
      <c r="E809" s="329">
        <f t="shared" si="49"/>
        <v>45.6</v>
      </c>
      <c r="F809" s="329">
        <v>7.2</v>
      </c>
      <c r="G809" s="329">
        <f t="shared" si="50"/>
        <v>7.3</v>
      </c>
      <c r="H809" s="329">
        <v>6.9</v>
      </c>
      <c r="I809" s="329">
        <f t="shared" si="51"/>
        <v>6.916666666666667</v>
      </c>
      <c r="L809" s="331">
        <v>40588</v>
      </c>
      <c r="M809" s="329">
        <v>47.233333333333327</v>
      </c>
      <c r="N809" s="329">
        <v>45.6</v>
      </c>
      <c r="O809" s="329">
        <v>7.3</v>
      </c>
      <c r="P809" s="329">
        <v>6.916666666666667</v>
      </c>
    </row>
    <row r="810" spans="1:16">
      <c r="A810" s="331">
        <v>40588</v>
      </c>
      <c r="B810" s="329">
        <v>47.6</v>
      </c>
      <c r="C810" s="329">
        <f t="shared" si="52"/>
        <v>47.233333333333327</v>
      </c>
      <c r="D810" s="329">
        <v>45.6</v>
      </c>
      <c r="E810" s="329">
        <f t="shared" si="49"/>
        <v>45.6</v>
      </c>
      <c r="F810" s="329">
        <v>7.1</v>
      </c>
      <c r="G810" s="329">
        <f t="shared" si="50"/>
        <v>7.3</v>
      </c>
      <c r="H810" s="329">
        <v>6.9</v>
      </c>
      <c r="I810" s="329">
        <f t="shared" si="51"/>
        <v>6.916666666666667</v>
      </c>
      <c r="L810" s="331">
        <v>40588</v>
      </c>
      <c r="M810" s="329">
        <v>47.233333333333327</v>
      </c>
      <c r="N810" s="329">
        <v>45.6</v>
      </c>
      <c r="O810" s="329">
        <v>7.3</v>
      </c>
      <c r="P810" s="329">
        <v>6.916666666666667</v>
      </c>
    </row>
    <row r="811" spans="1:16">
      <c r="A811" s="331">
        <v>40588</v>
      </c>
      <c r="B811" s="329">
        <v>47.3</v>
      </c>
      <c r="C811" s="329">
        <f t="shared" si="52"/>
        <v>47.233333333333327</v>
      </c>
      <c r="D811" s="329">
        <v>45.6</v>
      </c>
      <c r="E811" s="329">
        <f t="shared" si="49"/>
        <v>45.6</v>
      </c>
      <c r="F811" s="329">
        <v>7.5</v>
      </c>
      <c r="G811" s="329">
        <f t="shared" si="50"/>
        <v>7.3</v>
      </c>
      <c r="H811" s="329">
        <v>6.9</v>
      </c>
      <c r="I811" s="329">
        <f t="shared" si="51"/>
        <v>6.916666666666667</v>
      </c>
      <c r="L811" s="331">
        <v>40588</v>
      </c>
      <c r="M811" s="329">
        <v>47.233333333333327</v>
      </c>
      <c r="N811" s="329">
        <v>45.6</v>
      </c>
      <c r="O811" s="329">
        <v>7.3</v>
      </c>
      <c r="P811" s="329">
        <v>6.916666666666667</v>
      </c>
    </row>
    <row r="812" spans="1:16">
      <c r="A812" s="331">
        <v>40588</v>
      </c>
      <c r="B812" s="329">
        <v>47.2</v>
      </c>
      <c r="C812" s="329">
        <f t="shared" si="52"/>
        <v>47.233333333333327</v>
      </c>
      <c r="D812" s="329">
        <v>45.6</v>
      </c>
      <c r="E812" s="329">
        <f t="shared" si="49"/>
        <v>45.6</v>
      </c>
      <c r="F812" s="329">
        <v>7.6</v>
      </c>
      <c r="G812" s="329">
        <f t="shared" si="50"/>
        <v>7.3</v>
      </c>
      <c r="H812" s="329">
        <v>7</v>
      </c>
      <c r="I812" s="329">
        <f t="shared" si="51"/>
        <v>6.916666666666667</v>
      </c>
      <c r="L812" s="331">
        <v>40588</v>
      </c>
      <c r="M812" s="329">
        <v>47.233333333333327</v>
      </c>
      <c r="N812" s="329">
        <v>45.6</v>
      </c>
      <c r="O812" s="329">
        <v>7.3</v>
      </c>
      <c r="P812" s="329">
        <v>6.916666666666667</v>
      </c>
    </row>
    <row r="813" spans="1:16">
      <c r="A813" s="331">
        <v>40589</v>
      </c>
      <c r="B813" s="329">
        <v>47.1</v>
      </c>
      <c r="C813" s="329">
        <f t="shared" si="52"/>
        <v>47.033333333333331</v>
      </c>
      <c r="D813" s="329">
        <v>45.6</v>
      </c>
      <c r="E813" s="329">
        <f t="shared" si="49"/>
        <v>45.566666666666663</v>
      </c>
      <c r="F813" s="329">
        <v>6.9</v>
      </c>
      <c r="G813" s="329">
        <f t="shared" si="50"/>
        <v>7.0333333333333323</v>
      </c>
      <c r="H813" s="329">
        <v>7</v>
      </c>
      <c r="I813" s="329">
        <f t="shared" si="51"/>
        <v>6.833333333333333</v>
      </c>
      <c r="L813" s="331">
        <v>40589</v>
      </c>
      <c r="M813" s="329">
        <v>47.033333333333331</v>
      </c>
      <c r="N813" s="329">
        <v>45.566666666666663</v>
      </c>
      <c r="O813" s="329">
        <v>7.0333333333333323</v>
      </c>
      <c r="P813" s="329">
        <v>6.833333333333333</v>
      </c>
    </row>
    <row r="814" spans="1:16">
      <c r="A814" s="331">
        <v>40589</v>
      </c>
      <c r="B814" s="329">
        <v>47.1</v>
      </c>
      <c r="C814" s="329">
        <f t="shared" si="52"/>
        <v>47.033333333333331</v>
      </c>
      <c r="D814" s="329">
        <v>45.6</v>
      </c>
      <c r="E814" s="329">
        <f t="shared" si="49"/>
        <v>45.566666666666663</v>
      </c>
      <c r="F814" s="329">
        <v>6.6</v>
      </c>
      <c r="G814" s="329">
        <f t="shared" si="50"/>
        <v>7.0333333333333323</v>
      </c>
      <c r="H814" s="329">
        <v>6.9</v>
      </c>
      <c r="I814" s="329">
        <f t="shared" si="51"/>
        <v>6.833333333333333</v>
      </c>
      <c r="L814" s="331">
        <v>40589</v>
      </c>
      <c r="M814" s="329">
        <v>47.033333333333331</v>
      </c>
      <c r="N814" s="329">
        <v>45.566666666666663</v>
      </c>
      <c r="O814" s="329">
        <v>7.0333333333333323</v>
      </c>
      <c r="P814" s="329">
        <v>6.833333333333333</v>
      </c>
    </row>
    <row r="815" spans="1:16">
      <c r="A815" s="331">
        <v>40589</v>
      </c>
      <c r="B815" s="329">
        <v>47.1</v>
      </c>
      <c r="C815" s="329">
        <f t="shared" si="52"/>
        <v>47.033333333333331</v>
      </c>
      <c r="D815" s="329">
        <v>45.6</v>
      </c>
      <c r="E815" s="329">
        <f t="shared" si="49"/>
        <v>45.566666666666663</v>
      </c>
      <c r="F815" s="329">
        <v>6.4</v>
      </c>
      <c r="G815" s="329">
        <f t="shared" si="50"/>
        <v>7.0333333333333323</v>
      </c>
      <c r="H815" s="329">
        <v>6.8</v>
      </c>
      <c r="I815" s="329">
        <f t="shared" si="51"/>
        <v>6.833333333333333</v>
      </c>
      <c r="L815" s="331">
        <v>40589</v>
      </c>
      <c r="M815" s="329">
        <v>47.033333333333331</v>
      </c>
      <c r="N815" s="329">
        <v>45.566666666666663</v>
      </c>
      <c r="O815" s="329">
        <v>7.0333333333333323</v>
      </c>
      <c r="P815" s="329">
        <v>6.833333333333333</v>
      </c>
    </row>
    <row r="816" spans="1:16">
      <c r="A816" s="331">
        <v>40589</v>
      </c>
      <c r="B816" s="329">
        <v>47.1</v>
      </c>
      <c r="C816" s="329">
        <f t="shared" si="52"/>
        <v>47.033333333333331</v>
      </c>
      <c r="D816" s="329">
        <v>45.6</v>
      </c>
      <c r="E816" s="329">
        <f t="shared" si="49"/>
        <v>45.566666666666663</v>
      </c>
      <c r="F816" s="329">
        <v>6.5</v>
      </c>
      <c r="G816" s="329">
        <f t="shared" si="50"/>
        <v>7.0333333333333323</v>
      </c>
      <c r="H816" s="329">
        <v>6.7</v>
      </c>
      <c r="I816" s="329">
        <f t="shared" si="51"/>
        <v>6.833333333333333</v>
      </c>
      <c r="L816" s="331">
        <v>40589</v>
      </c>
      <c r="M816" s="329">
        <v>47.033333333333331</v>
      </c>
      <c r="N816" s="329">
        <v>45.566666666666663</v>
      </c>
      <c r="O816" s="329">
        <v>7.0333333333333323</v>
      </c>
      <c r="P816" s="329">
        <v>6.833333333333333</v>
      </c>
    </row>
    <row r="817" spans="1:16">
      <c r="A817" s="331">
        <v>40589</v>
      </c>
      <c r="B817" s="329">
        <v>46.9</v>
      </c>
      <c r="C817" s="329">
        <f t="shared" si="52"/>
        <v>47.033333333333331</v>
      </c>
      <c r="D817" s="329">
        <v>45.5</v>
      </c>
      <c r="E817" s="329">
        <f t="shared" si="49"/>
        <v>45.566666666666663</v>
      </c>
      <c r="F817" s="329">
        <v>7.8</v>
      </c>
      <c r="G817" s="329">
        <f t="shared" si="50"/>
        <v>7.0333333333333323</v>
      </c>
      <c r="H817" s="329">
        <v>6.7</v>
      </c>
      <c r="I817" s="329">
        <f t="shared" si="51"/>
        <v>6.833333333333333</v>
      </c>
      <c r="L817" s="331">
        <v>40589</v>
      </c>
      <c r="M817" s="329">
        <v>47.033333333333331</v>
      </c>
      <c r="N817" s="329">
        <v>45.566666666666663</v>
      </c>
      <c r="O817" s="329">
        <v>7.0333333333333323</v>
      </c>
      <c r="P817" s="329">
        <v>6.833333333333333</v>
      </c>
    </row>
    <row r="818" spans="1:16">
      <c r="A818" s="331">
        <v>40589</v>
      </c>
      <c r="B818" s="329">
        <v>46.9</v>
      </c>
      <c r="C818" s="329">
        <f t="shared" si="52"/>
        <v>47.033333333333331</v>
      </c>
      <c r="D818" s="329">
        <v>45.5</v>
      </c>
      <c r="E818" s="329">
        <f t="shared" si="49"/>
        <v>45.566666666666663</v>
      </c>
      <c r="F818" s="329">
        <v>8</v>
      </c>
      <c r="G818" s="329">
        <f t="shared" si="50"/>
        <v>7.0333333333333323</v>
      </c>
      <c r="H818" s="329">
        <v>6.9</v>
      </c>
      <c r="I818" s="329">
        <f t="shared" si="51"/>
        <v>6.833333333333333</v>
      </c>
      <c r="L818" s="331">
        <v>40589</v>
      </c>
      <c r="M818" s="329">
        <v>47.033333333333331</v>
      </c>
      <c r="N818" s="329">
        <v>45.566666666666663</v>
      </c>
      <c r="O818" s="329">
        <v>7.0333333333333323</v>
      </c>
      <c r="P818" s="329">
        <v>6.833333333333333</v>
      </c>
    </row>
    <row r="819" spans="1:16">
      <c r="A819" s="331">
        <v>40590</v>
      </c>
      <c r="B819" s="329">
        <v>46.9</v>
      </c>
      <c r="C819" s="329">
        <f t="shared" si="52"/>
        <v>46.866666666666667</v>
      </c>
      <c r="D819" s="329">
        <v>45.5</v>
      </c>
      <c r="E819" s="329">
        <f t="shared" si="49"/>
        <v>45.466666666666669</v>
      </c>
      <c r="F819" s="329">
        <v>7.7</v>
      </c>
      <c r="G819" s="329">
        <f t="shared" si="50"/>
        <v>7.6000000000000005</v>
      </c>
      <c r="H819" s="329">
        <v>7.1</v>
      </c>
      <c r="I819" s="329">
        <f t="shared" si="51"/>
        <v>7.1500000000000012</v>
      </c>
      <c r="L819" s="331">
        <v>40590</v>
      </c>
      <c r="M819" s="329">
        <v>46.866666666666667</v>
      </c>
      <c r="N819" s="329">
        <v>45.466666666666669</v>
      </c>
      <c r="O819" s="329">
        <v>7.6000000000000005</v>
      </c>
      <c r="P819" s="329">
        <v>7.1500000000000012</v>
      </c>
    </row>
    <row r="820" spans="1:16">
      <c r="A820" s="331">
        <v>40590</v>
      </c>
      <c r="B820" s="329">
        <v>46.9</v>
      </c>
      <c r="C820" s="329">
        <f t="shared" si="52"/>
        <v>46.866666666666667</v>
      </c>
      <c r="D820" s="329">
        <v>45.5</v>
      </c>
      <c r="E820" s="329">
        <f t="shared" si="49"/>
        <v>45.466666666666669</v>
      </c>
      <c r="F820" s="329">
        <v>7.5</v>
      </c>
      <c r="G820" s="329">
        <f t="shared" si="50"/>
        <v>7.6000000000000005</v>
      </c>
      <c r="H820" s="329">
        <v>7.2</v>
      </c>
      <c r="I820" s="329">
        <f t="shared" si="51"/>
        <v>7.1500000000000012</v>
      </c>
      <c r="L820" s="331">
        <v>40590</v>
      </c>
      <c r="M820" s="329">
        <v>46.866666666666667</v>
      </c>
      <c r="N820" s="329">
        <v>45.466666666666669</v>
      </c>
      <c r="O820" s="329">
        <v>7.6000000000000005</v>
      </c>
      <c r="P820" s="329">
        <v>7.1500000000000012</v>
      </c>
    </row>
    <row r="821" spans="1:16">
      <c r="A821" s="331">
        <v>40590</v>
      </c>
      <c r="B821" s="329">
        <v>46.9</v>
      </c>
      <c r="C821" s="329">
        <f t="shared" si="52"/>
        <v>46.866666666666667</v>
      </c>
      <c r="D821" s="329">
        <v>45.5</v>
      </c>
      <c r="E821" s="329">
        <f t="shared" si="49"/>
        <v>45.466666666666669</v>
      </c>
      <c r="F821" s="329">
        <v>7.2</v>
      </c>
      <c r="G821" s="329">
        <f t="shared" si="50"/>
        <v>7.6000000000000005</v>
      </c>
      <c r="H821" s="329">
        <v>7.2</v>
      </c>
      <c r="I821" s="329">
        <f t="shared" si="51"/>
        <v>7.1500000000000012</v>
      </c>
      <c r="L821" s="331">
        <v>40590</v>
      </c>
      <c r="M821" s="329">
        <v>46.866666666666667</v>
      </c>
      <c r="N821" s="329">
        <v>45.466666666666669</v>
      </c>
      <c r="O821" s="329">
        <v>7.6000000000000005</v>
      </c>
      <c r="P821" s="329">
        <v>7.1500000000000012</v>
      </c>
    </row>
    <row r="822" spans="1:16">
      <c r="A822" s="331">
        <v>40590</v>
      </c>
      <c r="B822" s="329">
        <v>46.9</v>
      </c>
      <c r="C822" s="329">
        <f t="shared" si="52"/>
        <v>46.866666666666667</v>
      </c>
      <c r="D822" s="329">
        <v>45.5</v>
      </c>
      <c r="E822" s="329">
        <f t="shared" si="49"/>
        <v>45.466666666666669</v>
      </c>
      <c r="F822" s="329">
        <v>7.1</v>
      </c>
      <c r="G822" s="329">
        <f t="shared" si="50"/>
        <v>7.6000000000000005</v>
      </c>
      <c r="H822" s="329">
        <v>7.1</v>
      </c>
      <c r="I822" s="329">
        <f t="shared" si="51"/>
        <v>7.1500000000000012</v>
      </c>
      <c r="L822" s="331">
        <v>40590</v>
      </c>
      <c r="M822" s="329">
        <v>46.866666666666667</v>
      </c>
      <c r="N822" s="329">
        <v>45.466666666666669</v>
      </c>
      <c r="O822" s="329">
        <v>7.6000000000000005</v>
      </c>
      <c r="P822" s="329">
        <v>7.1500000000000012</v>
      </c>
    </row>
    <row r="823" spans="1:16">
      <c r="A823" s="331">
        <v>40590</v>
      </c>
      <c r="B823" s="329">
        <v>46.8</v>
      </c>
      <c r="C823" s="329">
        <f t="shared" si="52"/>
        <v>46.866666666666667</v>
      </c>
      <c r="D823" s="329">
        <v>45.4</v>
      </c>
      <c r="E823" s="329">
        <f t="shared" si="49"/>
        <v>45.466666666666669</v>
      </c>
      <c r="F823" s="329">
        <v>8</v>
      </c>
      <c r="G823" s="329">
        <f t="shared" si="50"/>
        <v>7.6000000000000005</v>
      </c>
      <c r="H823" s="329">
        <v>7.1</v>
      </c>
      <c r="I823" s="329">
        <f t="shared" si="51"/>
        <v>7.1500000000000012</v>
      </c>
      <c r="L823" s="331">
        <v>40590</v>
      </c>
      <c r="M823" s="329">
        <v>46.866666666666667</v>
      </c>
      <c r="N823" s="329">
        <v>45.466666666666669</v>
      </c>
      <c r="O823" s="329">
        <v>7.6000000000000005</v>
      </c>
      <c r="P823" s="329">
        <v>7.1500000000000012</v>
      </c>
    </row>
    <row r="824" spans="1:16">
      <c r="A824" s="331">
        <v>40590</v>
      </c>
      <c r="B824" s="329">
        <v>46.8</v>
      </c>
      <c r="C824" s="329">
        <f t="shared" si="52"/>
        <v>46.866666666666667</v>
      </c>
      <c r="D824" s="329">
        <v>45.4</v>
      </c>
      <c r="E824" s="329">
        <f t="shared" si="49"/>
        <v>45.466666666666669</v>
      </c>
      <c r="F824" s="329">
        <v>8.1</v>
      </c>
      <c r="G824" s="329">
        <f t="shared" si="50"/>
        <v>7.6000000000000005</v>
      </c>
      <c r="H824" s="329">
        <v>7.2</v>
      </c>
      <c r="I824" s="329">
        <f t="shared" si="51"/>
        <v>7.1500000000000012</v>
      </c>
      <c r="L824" s="331">
        <v>40590</v>
      </c>
      <c r="M824" s="329">
        <v>46.866666666666667</v>
      </c>
      <c r="N824" s="329">
        <v>45.466666666666669</v>
      </c>
      <c r="O824" s="329">
        <v>7.6000000000000005</v>
      </c>
      <c r="P824" s="329">
        <v>7.1500000000000012</v>
      </c>
    </row>
    <row r="825" spans="1:16">
      <c r="A825" s="331">
        <v>40591</v>
      </c>
      <c r="B825" s="329">
        <v>46.8</v>
      </c>
      <c r="C825" s="329">
        <f t="shared" si="52"/>
        <v>46.766666666666659</v>
      </c>
      <c r="D825" s="329">
        <v>45.4</v>
      </c>
      <c r="E825" s="329">
        <f t="shared" si="49"/>
        <v>45.4</v>
      </c>
      <c r="F825" s="329">
        <v>7.8</v>
      </c>
      <c r="G825" s="329">
        <f t="shared" si="50"/>
        <v>7.416666666666667</v>
      </c>
      <c r="H825" s="329">
        <v>7.3</v>
      </c>
      <c r="I825" s="329">
        <f t="shared" si="51"/>
        <v>7.2166666666666677</v>
      </c>
      <c r="L825" s="331">
        <v>40591</v>
      </c>
      <c r="M825" s="329">
        <v>46.766666666666659</v>
      </c>
      <c r="N825" s="329">
        <v>45.4</v>
      </c>
      <c r="O825" s="329">
        <v>7.416666666666667</v>
      </c>
      <c r="P825" s="329">
        <v>7.2166666666666677</v>
      </c>
    </row>
    <row r="826" spans="1:16">
      <c r="A826" s="331">
        <v>40591</v>
      </c>
      <c r="B826" s="329">
        <v>46.8</v>
      </c>
      <c r="C826" s="329">
        <f t="shared" si="52"/>
        <v>46.766666666666659</v>
      </c>
      <c r="D826" s="329">
        <v>45.4</v>
      </c>
      <c r="E826" s="329">
        <f t="shared" si="49"/>
        <v>45.4</v>
      </c>
      <c r="F826" s="329">
        <v>7.4</v>
      </c>
      <c r="G826" s="329">
        <f t="shared" si="50"/>
        <v>7.416666666666667</v>
      </c>
      <c r="H826" s="329">
        <v>7.3</v>
      </c>
      <c r="I826" s="329">
        <f t="shared" si="51"/>
        <v>7.2166666666666677</v>
      </c>
      <c r="L826" s="331">
        <v>40591</v>
      </c>
      <c r="M826" s="329">
        <v>46.766666666666659</v>
      </c>
      <c r="N826" s="329">
        <v>45.4</v>
      </c>
      <c r="O826" s="329">
        <v>7.416666666666667</v>
      </c>
      <c r="P826" s="329">
        <v>7.2166666666666677</v>
      </c>
    </row>
    <row r="827" spans="1:16">
      <c r="A827" s="331">
        <v>40591</v>
      </c>
      <c r="B827" s="329">
        <v>46.8</v>
      </c>
      <c r="C827" s="329">
        <f t="shared" si="52"/>
        <v>46.766666666666659</v>
      </c>
      <c r="D827" s="329">
        <v>45.4</v>
      </c>
      <c r="E827" s="329">
        <f t="shared" si="49"/>
        <v>45.4</v>
      </c>
      <c r="F827" s="329">
        <v>6.9</v>
      </c>
      <c r="G827" s="329">
        <f t="shared" si="50"/>
        <v>7.416666666666667</v>
      </c>
      <c r="H827" s="329">
        <v>7.3</v>
      </c>
      <c r="I827" s="329">
        <f t="shared" si="51"/>
        <v>7.2166666666666677</v>
      </c>
      <c r="L827" s="331">
        <v>40591</v>
      </c>
      <c r="M827" s="329">
        <v>46.766666666666659</v>
      </c>
      <c r="N827" s="329">
        <v>45.4</v>
      </c>
      <c r="O827" s="329">
        <v>7.416666666666667</v>
      </c>
      <c r="P827" s="329">
        <v>7.2166666666666677</v>
      </c>
    </row>
    <row r="828" spans="1:16">
      <c r="A828" s="331">
        <v>40591</v>
      </c>
      <c r="B828" s="329">
        <v>46.8</v>
      </c>
      <c r="C828" s="329">
        <f t="shared" si="52"/>
        <v>46.766666666666659</v>
      </c>
      <c r="D828" s="329">
        <v>45.4</v>
      </c>
      <c r="E828" s="329">
        <f t="shared" si="49"/>
        <v>45.4</v>
      </c>
      <c r="F828" s="329">
        <v>7</v>
      </c>
      <c r="G828" s="329">
        <f t="shared" si="50"/>
        <v>7.416666666666667</v>
      </c>
      <c r="H828" s="329">
        <v>7.1</v>
      </c>
      <c r="I828" s="329">
        <f t="shared" si="51"/>
        <v>7.2166666666666677</v>
      </c>
      <c r="L828" s="331">
        <v>40591</v>
      </c>
      <c r="M828" s="329">
        <v>46.766666666666659</v>
      </c>
      <c r="N828" s="329">
        <v>45.4</v>
      </c>
      <c r="O828" s="329">
        <v>7.416666666666667</v>
      </c>
      <c r="P828" s="329">
        <v>7.2166666666666677</v>
      </c>
    </row>
    <row r="829" spans="1:16">
      <c r="A829" s="331">
        <v>40591</v>
      </c>
      <c r="B829" s="329">
        <v>46.7</v>
      </c>
      <c r="C829" s="329">
        <f t="shared" si="52"/>
        <v>46.766666666666659</v>
      </c>
      <c r="D829" s="329">
        <v>45.4</v>
      </c>
      <c r="E829" s="329">
        <f t="shared" si="49"/>
        <v>45.4</v>
      </c>
      <c r="F829" s="329">
        <v>7.6</v>
      </c>
      <c r="G829" s="329">
        <f t="shared" si="50"/>
        <v>7.416666666666667</v>
      </c>
      <c r="H829" s="329">
        <v>7.1</v>
      </c>
      <c r="I829" s="329">
        <f t="shared" si="51"/>
        <v>7.2166666666666677</v>
      </c>
      <c r="L829" s="331">
        <v>40591</v>
      </c>
      <c r="M829" s="329">
        <v>46.766666666666659</v>
      </c>
      <c r="N829" s="329">
        <v>45.4</v>
      </c>
      <c r="O829" s="329">
        <v>7.416666666666667</v>
      </c>
      <c r="P829" s="329">
        <v>7.2166666666666677</v>
      </c>
    </row>
    <row r="830" spans="1:16">
      <c r="A830" s="331">
        <v>40591</v>
      </c>
      <c r="B830" s="329">
        <v>46.7</v>
      </c>
      <c r="C830" s="329">
        <f t="shared" si="52"/>
        <v>46.766666666666659</v>
      </c>
      <c r="D830" s="329">
        <v>45.4</v>
      </c>
      <c r="E830" s="329">
        <f t="shared" si="49"/>
        <v>45.4</v>
      </c>
      <c r="F830" s="329">
        <v>7.8</v>
      </c>
      <c r="G830" s="329">
        <f t="shared" si="50"/>
        <v>7.416666666666667</v>
      </c>
      <c r="H830" s="329">
        <v>7.2</v>
      </c>
      <c r="I830" s="329">
        <f t="shared" si="51"/>
        <v>7.2166666666666677</v>
      </c>
      <c r="L830" s="331">
        <v>40591</v>
      </c>
      <c r="M830" s="329">
        <v>46.766666666666659</v>
      </c>
      <c r="N830" s="329">
        <v>45.4</v>
      </c>
      <c r="O830" s="329">
        <v>7.416666666666667</v>
      </c>
      <c r="P830" s="329">
        <v>7.2166666666666677</v>
      </c>
    </row>
    <row r="831" spans="1:16">
      <c r="A831" s="331">
        <v>40592</v>
      </c>
      <c r="B831" s="329">
        <v>46.7</v>
      </c>
      <c r="C831" s="329">
        <f t="shared" si="52"/>
        <v>46.616666666666674</v>
      </c>
      <c r="D831" s="329">
        <v>45.4</v>
      </c>
      <c r="E831" s="329">
        <f t="shared" si="49"/>
        <v>45.416666666666664</v>
      </c>
      <c r="F831" s="329">
        <v>7.7</v>
      </c>
      <c r="G831" s="329">
        <f t="shared" si="50"/>
        <v>7.8666666666666671</v>
      </c>
      <c r="H831" s="329">
        <v>7.3</v>
      </c>
      <c r="I831" s="329">
        <f t="shared" si="51"/>
        <v>7.3166666666666664</v>
      </c>
      <c r="L831" s="331">
        <v>40592</v>
      </c>
      <c r="M831" s="329">
        <v>46.616666666666674</v>
      </c>
      <c r="N831" s="329">
        <v>45.416666666666664</v>
      </c>
      <c r="O831" s="329">
        <v>7.8666666666666671</v>
      </c>
      <c r="P831" s="329">
        <v>7.3166666666666664</v>
      </c>
    </row>
    <row r="832" spans="1:16">
      <c r="A832" s="331">
        <v>40592</v>
      </c>
      <c r="B832" s="329">
        <v>46.7</v>
      </c>
      <c r="C832" s="329">
        <f t="shared" si="52"/>
        <v>46.616666666666674</v>
      </c>
      <c r="D832" s="329">
        <v>45.4</v>
      </c>
      <c r="E832" s="329">
        <f t="shared" si="49"/>
        <v>45.416666666666664</v>
      </c>
      <c r="F832" s="329">
        <v>7.5</v>
      </c>
      <c r="G832" s="329">
        <f t="shared" si="50"/>
        <v>7.8666666666666671</v>
      </c>
      <c r="H832" s="329">
        <v>7.3</v>
      </c>
      <c r="I832" s="329">
        <f t="shared" si="51"/>
        <v>7.3166666666666664</v>
      </c>
      <c r="L832" s="331">
        <v>40592</v>
      </c>
      <c r="M832" s="329">
        <v>46.616666666666674</v>
      </c>
      <c r="N832" s="329">
        <v>45.416666666666664</v>
      </c>
      <c r="O832" s="329">
        <v>7.8666666666666671</v>
      </c>
      <c r="P832" s="329">
        <v>7.3166666666666664</v>
      </c>
    </row>
    <row r="833" spans="1:16">
      <c r="A833" s="331">
        <v>40592</v>
      </c>
      <c r="B833" s="329">
        <v>46.7</v>
      </c>
      <c r="C833" s="329">
        <f t="shared" si="52"/>
        <v>46.616666666666674</v>
      </c>
      <c r="D833" s="329">
        <v>45.4</v>
      </c>
      <c r="E833" s="329">
        <f t="shared" si="49"/>
        <v>45.416666666666664</v>
      </c>
      <c r="F833" s="329">
        <v>7.4</v>
      </c>
      <c r="G833" s="329">
        <f t="shared" si="50"/>
        <v>7.8666666666666671</v>
      </c>
      <c r="H833" s="329">
        <v>7.3</v>
      </c>
      <c r="I833" s="329">
        <f t="shared" si="51"/>
        <v>7.3166666666666664</v>
      </c>
      <c r="L833" s="331">
        <v>40592</v>
      </c>
      <c r="M833" s="329">
        <v>46.616666666666674</v>
      </c>
      <c r="N833" s="329">
        <v>45.416666666666664</v>
      </c>
      <c r="O833" s="329">
        <v>7.8666666666666671</v>
      </c>
      <c r="P833" s="329">
        <v>7.3166666666666664</v>
      </c>
    </row>
    <row r="834" spans="1:16">
      <c r="A834" s="331">
        <v>40592</v>
      </c>
      <c r="B834" s="329">
        <v>46.6</v>
      </c>
      <c r="C834" s="329">
        <f t="shared" si="52"/>
        <v>46.616666666666674</v>
      </c>
      <c r="D834" s="329">
        <v>45.9</v>
      </c>
      <c r="E834" s="329">
        <f t="shared" si="49"/>
        <v>45.416666666666664</v>
      </c>
      <c r="F834" s="329">
        <v>7.5</v>
      </c>
      <c r="G834" s="329">
        <f t="shared" si="50"/>
        <v>7.8666666666666671</v>
      </c>
      <c r="H834" s="329">
        <v>7.2</v>
      </c>
      <c r="I834" s="329">
        <f t="shared" si="51"/>
        <v>7.3166666666666664</v>
      </c>
      <c r="L834" s="331">
        <v>40592</v>
      </c>
      <c r="M834" s="329">
        <v>46.616666666666674</v>
      </c>
      <c r="N834" s="329">
        <v>45.416666666666664</v>
      </c>
      <c r="O834" s="329">
        <v>7.8666666666666671</v>
      </c>
      <c r="P834" s="329">
        <v>7.3166666666666664</v>
      </c>
    </row>
    <row r="835" spans="1:16">
      <c r="A835" s="331">
        <v>40592</v>
      </c>
      <c r="B835" s="329">
        <v>46.5</v>
      </c>
      <c r="C835" s="329">
        <f t="shared" si="52"/>
        <v>46.616666666666674</v>
      </c>
      <c r="D835" s="329">
        <v>45.2</v>
      </c>
      <c r="E835" s="329">
        <f t="shared" si="49"/>
        <v>45.416666666666664</v>
      </c>
      <c r="F835" s="329">
        <v>8.5</v>
      </c>
      <c r="G835" s="329">
        <f t="shared" si="50"/>
        <v>7.8666666666666671</v>
      </c>
      <c r="H835" s="329">
        <v>7.3</v>
      </c>
      <c r="I835" s="329">
        <f t="shared" si="51"/>
        <v>7.3166666666666664</v>
      </c>
      <c r="L835" s="331">
        <v>40592</v>
      </c>
      <c r="M835" s="329">
        <v>46.616666666666674</v>
      </c>
      <c r="N835" s="329">
        <v>45.416666666666664</v>
      </c>
      <c r="O835" s="329">
        <v>7.8666666666666671</v>
      </c>
      <c r="P835" s="329">
        <v>7.3166666666666664</v>
      </c>
    </row>
    <row r="836" spans="1:16">
      <c r="A836" s="331">
        <v>40592</v>
      </c>
      <c r="B836" s="329">
        <v>46.5</v>
      </c>
      <c r="C836" s="329">
        <f t="shared" si="52"/>
        <v>46.616666666666674</v>
      </c>
      <c r="D836" s="329">
        <v>45.2</v>
      </c>
      <c r="E836" s="329">
        <f t="shared" si="49"/>
        <v>45.416666666666664</v>
      </c>
      <c r="F836" s="329">
        <v>8.6</v>
      </c>
      <c r="G836" s="329">
        <f t="shared" si="50"/>
        <v>7.8666666666666671</v>
      </c>
      <c r="H836" s="329">
        <v>7.5</v>
      </c>
      <c r="I836" s="329">
        <f t="shared" si="51"/>
        <v>7.3166666666666664</v>
      </c>
      <c r="L836" s="331">
        <v>40592</v>
      </c>
      <c r="M836" s="329">
        <v>46.616666666666674</v>
      </c>
      <c r="N836" s="329">
        <v>45.416666666666664</v>
      </c>
      <c r="O836" s="329">
        <v>7.8666666666666671</v>
      </c>
      <c r="P836" s="329">
        <v>7.3166666666666664</v>
      </c>
    </row>
    <row r="837" spans="1:16">
      <c r="A837" s="331">
        <v>40593</v>
      </c>
      <c r="B837" s="329">
        <v>46.5</v>
      </c>
      <c r="C837" s="329">
        <f t="shared" si="52"/>
        <v>46.533333333333339</v>
      </c>
      <c r="D837" s="329">
        <v>45.2</v>
      </c>
      <c r="E837" s="329">
        <f t="shared" si="49"/>
        <v>45.199999999999996</v>
      </c>
      <c r="F837" s="329">
        <v>7.5</v>
      </c>
      <c r="G837" s="329">
        <f t="shared" si="50"/>
        <v>7.0666666666666664</v>
      </c>
      <c r="H837" s="329">
        <v>7.6</v>
      </c>
      <c r="I837" s="329">
        <f t="shared" si="51"/>
        <v>7.2333333333333334</v>
      </c>
      <c r="L837" s="331">
        <v>40593</v>
      </c>
      <c r="M837" s="329">
        <v>46.533333333333339</v>
      </c>
      <c r="N837" s="329">
        <v>45.199999999999996</v>
      </c>
      <c r="O837" s="329">
        <v>7.0666666666666664</v>
      </c>
      <c r="P837" s="329">
        <v>7.2333333333333334</v>
      </c>
    </row>
    <row r="838" spans="1:16">
      <c r="A838" s="331">
        <v>40593</v>
      </c>
      <c r="B838" s="329">
        <v>46.5</v>
      </c>
      <c r="C838" s="329">
        <f t="shared" si="52"/>
        <v>46.533333333333339</v>
      </c>
      <c r="D838" s="329">
        <v>45.2</v>
      </c>
      <c r="E838" s="329">
        <f t="shared" si="49"/>
        <v>45.199999999999996</v>
      </c>
      <c r="F838" s="329">
        <v>6.6</v>
      </c>
      <c r="G838" s="329">
        <f t="shared" si="50"/>
        <v>7.0666666666666664</v>
      </c>
      <c r="H838" s="329">
        <v>7.5</v>
      </c>
      <c r="I838" s="329">
        <f t="shared" si="51"/>
        <v>7.2333333333333334</v>
      </c>
      <c r="L838" s="331">
        <v>40593</v>
      </c>
      <c r="M838" s="329">
        <v>46.533333333333339</v>
      </c>
      <c r="N838" s="329">
        <v>45.199999999999996</v>
      </c>
      <c r="O838" s="329">
        <v>7.0666666666666664</v>
      </c>
      <c r="P838" s="329">
        <v>7.2333333333333334</v>
      </c>
    </row>
    <row r="839" spans="1:16">
      <c r="A839" s="331">
        <v>40593</v>
      </c>
      <c r="B839" s="329">
        <v>46.4</v>
      </c>
      <c r="C839" s="329">
        <f t="shared" si="52"/>
        <v>46.533333333333339</v>
      </c>
      <c r="D839" s="329">
        <v>45.2</v>
      </c>
      <c r="E839" s="329">
        <f t="shared" si="49"/>
        <v>45.199999999999996</v>
      </c>
      <c r="F839" s="329">
        <v>6.3</v>
      </c>
      <c r="G839" s="329">
        <f t="shared" si="50"/>
        <v>7.0666666666666664</v>
      </c>
      <c r="H839" s="329">
        <v>7.2</v>
      </c>
      <c r="I839" s="329">
        <f t="shared" si="51"/>
        <v>7.2333333333333334</v>
      </c>
      <c r="L839" s="331">
        <v>40593</v>
      </c>
      <c r="M839" s="329">
        <v>46.533333333333339</v>
      </c>
      <c r="N839" s="329">
        <v>45.199999999999996</v>
      </c>
      <c r="O839" s="329">
        <v>7.0666666666666664</v>
      </c>
      <c r="P839" s="329">
        <v>7.2333333333333334</v>
      </c>
    </row>
    <row r="840" spans="1:16">
      <c r="A840" s="331">
        <v>40593</v>
      </c>
      <c r="B840" s="329">
        <v>46.4</v>
      </c>
      <c r="C840" s="329">
        <f t="shared" si="52"/>
        <v>46.533333333333339</v>
      </c>
      <c r="D840" s="329">
        <v>45.2</v>
      </c>
      <c r="E840" s="329">
        <f t="shared" si="49"/>
        <v>45.199999999999996</v>
      </c>
      <c r="F840" s="329">
        <v>6.5</v>
      </c>
      <c r="G840" s="329">
        <f t="shared" si="50"/>
        <v>7.0666666666666664</v>
      </c>
      <c r="H840" s="329">
        <v>7</v>
      </c>
      <c r="I840" s="329">
        <f t="shared" si="51"/>
        <v>7.2333333333333334</v>
      </c>
      <c r="L840" s="331">
        <v>40593</v>
      </c>
      <c r="M840" s="329">
        <v>46.533333333333339</v>
      </c>
      <c r="N840" s="329">
        <v>45.199999999999996</v>
      </c>
      <c r="O840" s="329">
        <v>7.0666666666666664</v>
      </c>
      <c r="P840" s="329">
        <v>7.2333333333333334</v>
      </c>
    </row>
    <row r="841" spans="1:16">
      <c r="A841" s="331">
        <v>40593</v>
      </c>
      <c r="B841" s="329">
        <v>46.3</v>
      </c>
      <c r="C841" s="329">
        <f t="shared" si="52"/>
        <v>46.533333333333339</v>
      </c>
      <c r="D841" s="329">
        <v>45.2</v>
      </c>
      <c r="E841" s="329">
        <f t="shared" si="49"/>
        <v>45.199999999999996</v>
      </c>
      <c r="F841" s="329">
        <v>7.6</v>
      </c>
      <c r="G841" s="329">
        <f t="shared" si="50"/>
        <v>7.0666666666666664</v>
      </c>
      <c r="H841" s="329">
        <v>7</v>
      </c>
      <c r="I841" s="329">
        <f t="shared" si="51"/>
        <v>7.2333333333333334</v>
      </c>
      <c r="L841" s="331">
        <v>40593</v>
      </c>
      <c r="M841" s="329">
        <v>46.533333333333339</v>
      </c>
      <c r="N841" s="329">
        <v>45.199999999999996</v>
      </c>
      <c r="O841" s="329">
        <v>7.0666666666666664</v>
      </c>
      <c r="P841" s="329">
        <v>7.2333333333333334</v>
      </c>
    </row>
    <row r="842" spans="1:16">
      <c r="A842" s="331">
        <v>40593</v>
      </c>
      <c r="B842" s="329">
        <v>47.1</v>
      </c>
      <c r="C842" s="329">
        <f t="shared" si="52"/>
        <v>46.533333333333339</v>
      </c>
      <c r="D842" s="329">
        <v>45.2</v>
      </c>
      <c r="E842" s="329">
        <f t="shared" si="49"/>
        <v>45.199999999999996</v>
      </c>
      <c r="F842" s="329">
        <v>7.9</v>
      </c>
      <c r="G842" s="329">
        <f t="shared" si="50"/>
        <v>7.0666666666666664</v>
      </c>
      <c r="H842" s="329">
        <v>7.1</v>
      </c>
      <c r="I842" s="329">
        <f t="shared" si="51"/>
        <v>7.2333333333333334</v>
      </c>
      <c r="L842" s="331">
        <v>40593</v>
      </c>
      <c r="M842" s="329">
        <v>46.533333333333339</v>
      </c>
      <c r="N842" s="329">
        <v>45.199999999999996</v>
      </c>
      <c r="O842" s="329">
        <v>7.0666666666666664</v>
      </c>
      <c r="P842" s="329">
        <v>7.2333333333333334</v>
      </c>
    </row>
    <row r="843" spans="1:16">
      <c r="A843" s="331">
        <v>40594</v>
      </c>
      <c r="B843" s="329">
        <v>46.6</v>
      </c>
      <c r="C843" s="329">
        <f t="shared" si="52"/>
        <v>46.433333333333337</v>
      </c>
      <c r="D843" s="329">
        <v>45.2</v>
      </c>
      <c r="E843" s="329">
        <f t="shared" si="49"/>
        <v>45.133333333333333</v>
      </c>
      <c r="F843" s="329">
        <v>7.9</v>
      </c>
      <c r="G843" s="329">
        <f t="shared" si="50"/>
        <v>8.2000000000000011</v>
      </c>
      <c r="H843" s="329">
        <v>7.3</v>
      </c>
      <c r="I843" s="329">
        <f t="shared" si="51"/>
        <v>7.4833333333333343</v>
      </c>
      <c r="L843" s="331">
        <v>40594</v>
      </c>
      <c r="M843" s="329">
        <v>46.433333333333337</v>
      </c>
      <c r="N843" s="329">
        <v>45.133333333333333</v>
      </c>
      <c r="O843" s="329">
        <v>8.2000000000000011</v>
      </c>
      <c r="P843" s="329">
        <v>7.4833333333333343</v>
      </c>
    </row>
    <row r="844" spans="1:16">
      <c r="A844" s="331">
        <v>40594</v>
      </c>
      <c r="B844" s="329">
        <v>46.5</v>
      </c>
      <c r="C844" s="329">
        <f t="shared" si="52"/>
        <v>46.433333333333337</v>
      </c>
      <c r="D844" s="329">
        <v>45.2</v>
      </c>
      <c r="E844" s="329">
        <f t="shared" si="49"/>
        <v>45.133333333333333</v>
      </c>
      <c r="F844" s="329">
        <v>7.9</v>
      </c>
      <c r="G844" s="329">
        <f t="shared" si="50"/>
        <v>8.2000000000000011</v>
      </c>
      <c r="H844" s="329">
        <v>7.4</v>
      </c>
      <c r="I844" s="329">
        <f t="shared" si="51"/>
        <v>7.4833333333333343</v>
      </c>
      <c r="L844" s="331">
        <v>40594</v>
      </c>
      <c r="M844" s="329">
        <v>46.433333333333337</v>
      </c>
      <c r="N844" s="329">
        <v>45.133333333333333</v>
      </c>
      <c r="O844" s="329">
        <v>8.2000000000000011</v>
      </c>
      <c r="P844" s="329">
        <v>7.4833333333333343</v>
      </c>
    </row>
    <row r="845" spans="1:16">
      <c r="A845" s="331">
        <v>40594</v>
      </c>
      <c r="B845" s="329">
        <v>46.5</v>
      </c>
      <c r="C845" s="329">
        <f t="shared" si="52"/>
        <v>46.433333333333337</v>
      </c>
      <c r="D845" s="329">
        <v>45.1</v>
      </c>
      <c r="E845" s="329">
        <f t="shared" si="49"/>
        <v>45.133333333333333</v>
      </c>
      <c r="F845" s="329">
        <v>7.9</v>
      </c>
      <c r="G845" s="329">
        <f t="shared" si="50"/>
        <v>8.2000000000000011</v>
      </c>
      <c r="H845" s="329">
        <v>7.4</v>
      </c>
      <c r="I845" s="329">
        <f t="shared" si="51"/>
        <v>7.4833333333333343</v>
      </c>
      <c r="L845" s="331">
        <v>40594</v>
      </c>
      <c r="M845" s="329">
        <v>46.433333333333337</v>
      </c>
      <c r="N845" s="329">
        <v>45.133333333333333</v>
      </c>
      <c r="O845" s="329">
        <v>8.2000000000000011</v>
      </c>
      <c r="P845" s="329">
        <v>7.4833333333333343</v>
      </c>
    </row>
    <row r="846" spans="1:16">
      <c r="A846" s="331">
        <v>40594</v>
      </c>
      <c r="B846" s="329">
        <v>46.4</v>
      </c>
      <c r="C846" s="329">
        <f t="shared" si="52"/>
        <v>46.433333333333337</v>
      </c>
      <c r="D846" s="329">
        <v>45.1</v>
      </c>
      <c r="E846" s="329">
        <f t="shared" si="49"/>
        <v>45.133333333333333</v>
      </c>
      <c r="F846" s="329">
        <v>8</v>
      </c>
      <c r="G846" s="329">
        <f t="shared" si="50"/>
        <v>8.2000000000000011</v>
      </c>
      <c r="H846" s="329">
        <v>7.5</v>
      </c>
      <c r="I846" s="329">
        <f t="shared" si="51"/>
        <v>7.4833333333333343</v>
      </c>
      <c r="L846" s="331">
        <v>40594</v>
      </c>
      <c r="M846" s="329">
        <v>46.433333333333337</v>
      </c>
      <c r="N846" s="329">
        <v>45.133333333333333</v>
      </c>
      <c r="O846" s="329">
        <v>8.2000000000000011</v>
      </c>
      <c r="P846" s="329">
        <v>7.4833333333333343</v>
      </c>
    </row>
    <row r="847" spans="1:16">
      <c r="A847" s="331">
        <v>40594</v>
      </c>
      <c r="B847" s="329">
        <v>46.3</v>
      </c>
      <c r="C847" s="329">
        <f t="shared" si="52"/>
        <v>46.433333333333337</v>
      </c>
      <c r="D847" s="329">
        <v>45.1</v>
      </c>
      <c r="E847" s="329">
        <f t="shared" si="49"/>
        <v>45.133333333333333</v>
      </c>
      <c r="F847" s="329">
        <v>8.6999999999999993</v>
      </c>
      <c r="G847" s="329">
        <f t="shared" si="50"/>
        <v>8.2000000000000011</v>
      </c>
      <c r="H847" s="329">
        <v>7.6</v>
      </c>
      <c r="I847" s="329">
        <f t="shared" si="51"/>
        <v>7.4833333333333343</v>
      </c>
      <c r="L847" s="331">
        <v>40594</v>
      </c>
      <c r="M847" s="329">
        <v>46.433333333333337</v>
      </c>
      <c r="N847" s="329">
        <v>45.133333333333333</v>
      </c>
      <c r="O847" s="329">
        <v>8.2000000000000011</v>
      </c>
      <c r="P847" s="329">
        <v>7.4833333333333343</v>
      </c>
    </row>
    <row r="848" spans="1:16">
      <c r="A848" s="331">
        <v>40594</v>
      </c>
      <c r="B848" s="329">
        <v>46.3</v>
      </c>
      <c r="C848" s="329">
        <f t="shared" si="52"/>
        <v>46.433333333333337</v>
      </c>
      <c r="D848" s="329">
        <v>45.1</v>
      </c>
      <c r="E848" s="329">
        <f t="shared" si="49"/>
        <v>45.133333333333333</v>
      </c>
      <c r="F848" s="329">
        <v>8.8000000000000007</v>
      </c>
      <c r="G848" s="329">
        <f t="shared" si="50"/>
        <v>8.2000000000000011</v>
      </c>
      <c r="H848" s="329">
        <v>7.7</v>
      </c>
      <c r="I848" s="329">
        <f t="shared" si="51"/>
        <v>7.4833333333333343</v>
      </c>
      <c r="L848" s="331">
        <v>40594</v>
      </c>
      <c r="M848" s="329">
        <v>46.433333333333337</v>
      </c>
      <c r="N848" s="329">
        <v>45.133333333333333</v>
      </c>
      <c r="O848" s="329">
        <v>8.2000000000000011</v>
      </c>
      <c r="P848" s="329">
        <v>7.4833333333333343</v>
      </c>
    </row>
    <row r="849" spans="1:16">
      <c r="A849" s="331">
        <v>40595</v>
      </c>
      <c r="B849" s="329">
        <v>46.3</v>
      </c>
      <c r="C849" s="329">
        <f t="shared" si="52"/>
        <v>48.583333333333336</v>
      </c>
      <c r="D849" s="329">
        <v>45.1</v>
      </c>
      <c r="E849" s="329">
        <f t="shared" si="49"/>
        <v>45.1</v>
      </c>
      <c r="F849" s="329">
        <v>7.9</v>
      </c>
      <c r="G849" s="329">
        <f t="shared" si="50"/>
        <v>7.7666666666666657</v>
      </c>
      <c r="H849" s="329">
        <v>7.8</v>
      </c>
      <c r="I849" s="329">
        <f t="shared" si="51"/>
        <v>7.6000000000000005</v>
      </c>
      <c r="L849" s="331">
        <v>40595</v>
      </c>
      <c r="M849" s="329">
        <v>48.583333333333336</v>
      </c>
      <c r="N849" s="329">
        <v>45.1</v>
      </c>
      <c r="O849" s="329">
        <v>7.7666666666666657</v>
      </c>
      <c r="P849" s="329">
        <v>7.6000000000000005</v>
      </c>
    </row>
    <row r="850" spans="1:16">
      <c r="A850" s="331">
        <v>40595</v>
      </c>
      <c r="B850" s="329">
        <v>46.3</v>
      </c>
      <c r="C850" s="329">
        <f t="shared" si="52"/>
        <v>48.583333333333336</v>
      </c>
      <c r="D850" s="329">
        <v>45.1</v>
      </c>
      <c r="E850" s="329">
        <f t="shared" si="49"/>
        <v>45.1</v>
      </c>
      <c r="F850" s="329">
        <v>7.3</v>
      </c>
      <c r="G850" s="329">
        <f t="shared" si="50"/>
        <v>7.7666666666666657</v>
      </c>
      <c r="H850" s="329">
        <v>7.7</v>
      </c>
      <c r="I850" s="329">
        <f t="shared" si="51"/>
        <v>7.6000000000000005</v>
      </c>
      <c r="L850" s="331">
        <v>40595</v>
      </c>
      <c r="M850" s="329">
        <v>48.583333333333336</v>
      </c>
      <c r="N850" s="329">
        <v>45.1</v>
      </c>
      <c r="O850" s="329">
        <v>7.7666666666666657</v>
      </c>
      <c r="P850" s="329">
        <v>7.6000000000000005</v>
      </c>
    </row>
    <row r="851" spans="1:16">
      <c r="A851" s="331">
        <v>40595</v>
      </c>
      <c r="B851" s="329">
        <v>46.3</v>
      </c>
      <c r="C851" s="329">
        <f t="shared" si="52"/>
        <v>48.583333333333336</v>
      </c>
      <c r="D851" s="329">
        <v>45.1</v>
      </c>
      <c r="E851" s="329">
        <f t="shared" si="49"/>
        <v>45.1</v>
      </c>
      <c r="F851" s="329">
        <v>7.3</v>
      </c>
      <c r="G851" s="329">
        <f t="shared" si="50"/>
        <v>7.7666666666666657</v>
      </c>
      <c r="H851" s="329">
        <v>7.5</v>
      </c>
      <c r="I851" s="329">
        <f t="shared" si="51"/>
        <v>7.6000000000000005</v>
      </c>
      <c r="L851" s="331">
        <v>40595</v>
      </c>
      <c r="M851" s="329">
        <v>48.583333333333336</v>
      </c>
      <c r="N851" s="329">
        <v>45.1</v>
      </c>
      <c r="O851" s="329">
        <v>7.7666666666666657</v>
      </c>
      <c r="P851" s="329">
        <v>7.6000000000000005</v>
      </c>
    </row>
    <row r="852" spans="1:16">
      <c r="A852" s="331">
        <v>40595</v>
      </c>
      <c r="B852" s="329">
        <v>46.3</v>
      </c>
      <c r="C852" s="329">
        <f t="shared" si="52"/>
        <v>48.583333333333336</v>
      </c>
      <c r="D852" s="329">
        <v>45.1</v>
      </c>
      <c r="E852" s="329">
        <f t="shared" si="49"/>
        <v>45.1</v>
      </c>
      <c r="F852" s="329">
        <v>7.6</v>
      </c>
      <c r="G852" s="329">
        <f t="shared" si="50"/>
        <v>7.7666666666666657</v>
      </c>
      <c r="H852" s="329">
        <v>7.5</v>
      </c>
      <c r="I852" s="329">
        <f t="shared" si="51"/>
        <v>7.6000000000000005</v>
      </c>
      <c r="L852" s="331">
        <v>40595</v>
      </c>
      <c r="M852" s="329">
        <v>48.583333333333336</v>
      </c>
      <c r="N852" s="329">
        <v>45.1</v>
      </c>
      <c r="O852" s="329">
        <v>7.7666666666666657</v>
      </c>
      <c r="P852" s="329">
        <v>7.6000000000000005</v>
      </c>
    </row>
    <row r="853" spans="1:16">
      <c r="A853" s="331">
        <v>40595</v>
      </c>
      <c r="B853" s="329">
        <v>46.2</v>
      </c>
      <c r="C853" s="329">
        <f t="shared" si="52"/>
        <v>48.583333333333336</v>
      </c>
      <c r="D853" s="329">
        <v>45.1</v>
      </c>
      <c r="E853" s="329">
        <f t="shared" si="49"/>
        <v>45.1</v>
      </c>
      <c r="F853" s="329">
        <v>8.1999999999999993</v>
      </c>
      <c r="G853" s="329">
        <f t="shared" si="50"/>
        <v>7.7666666666666657</v>
      </c>
      <c r="H853" s="329">
        <v>7.5</v>
      </c>
      <c r="I853" s="329">
        <f t="shared" si="51"/>
        <v>7.6000000000000005</v>
      </c>
      <c r="L853" s="331">
        <v>40595</v>
      </c>
      <c r="M853" s="329">
        <v>48.583333333333336</v>
      </c>
      <c r="N853" s="329">
        <v>45.1</v>
      </c>
      <c r="O853" s="329">
        <v>7.7666666666666657</v>
      </c>
      <c r="P853" s="329">
        <v>7.6000000000000005</v>
      </c>
    </row>
    <row r="854" spans="1:16">
      <c r="A854" s="331">
        <v>40595</v>
      </c>
      <c r="B854" s="329">
        <v>60.1</v>
      </c>
      <c r="C854" s="329">
        <f t="shared" si="52"/>
        <v>48.583333333333336</v>
      </c>
      <c r="D854" s="329">
        <v>45.1</v>
      </c>
      <c r="E854" s="329">
        <f t="shared" si="49"/>
        <v>45.1</v>
      </c>
      <c r="F854" s="329">
        <v>8.3000000000000007</v>
      </c>
      <c r="G854" s="329">
        <f t="shared" si="50"/>
        <v>7.7666666666666657</v>
      </c>
      <c r="H854" s="329">
        <v>7.6</v>
      </c>
      <c r="I854" s="329">
        <f t="shared" si="51"/>
        <v>7.6000000000000005</v>
      </c>
      <c r="L854" s="331">
        <v>40595</v>
      </c>
      <c r="M854" s="329">
        <v>48.583333333333336</v>
      </c>
      <c r="N854" s="329">
        <v>45.1</v>
      </c>
      <c r="O854" s="329">
        <v>7.7666666666666657</v>
      </c>
      <c r="P854" s="329">
        <v>7.6000000000000005</v>
      </c>
    </row>
    <row r="855" spans="1:16">
      <c r="A855" s="331">
        <v>40596</v>
      </c>
      <c r="B855" s="329">
        <v>66</v>
      </c>
      <c r="C855" s="329">
        <f t="shared" si="52"/>
        <v>61.083333333333336</v>
      </c>
      <c r="D855" s="329">
        <v>45.4</v>
      </c>
      <c r="E855" s="329">
        <f t="shared" si="49"/>
        <v>45.566666666666663</v>
      </c>
      <c r="F855" s="329">
        <v>8.5</v>
      </c>
      <c r="G855" s="329">
        <f t="shared" si="50"/>
        <v>8.5</v>
      </c>
      <c r="H855" s="329">
        <v>7.7</v>
      </c>
      <c r="I855" s="329">
        <f t="shared" si="51"/>
        <v>7.8499999999999988</v>
      </c>
      <c r="L855" s="331">
        <v>40596</v>
      </c>
      <c r="M855" s="329">
        <v>61.083333333333336</v>
      </c>
      <c r="N855" s="329">
        <v>45.566666666666663</v>
      </c>
      <c r="O855" s="329">
        <v>8.5</v>
      </c>
      <c r="P855" s="329">
        <v>7.8499999999999988</v>
      </c>
    </row>
    <row r="856" spans="1:16">
      <c r="A856" s="331">
        <v>40596</v>
      </c>
      <c r="B856" s="329">
        <v>59.4</v>
      </c>
      <c r="C856" s="329">
        <f t="shared" si="52"/>
        <v>61.083333333333336</v>
      </c>
      <c r="D856" s="329">
        <v>45.2</v>
      </c>
      <c r="E856" s="329">
        <f t="shared" si="49"/>
        <v>45.566666666666663</v>
      </c>
      <c r="F856" s="329">
        <v>8.6999999999999993</v>
      </c>
      <c r="G856" s="329">
        <f t="shared" si="50"/>
        <v>8.5</v>
      </c>
      <c r="H856" s="329">
        <v>7.8</v>
      </c>
      <c r="I856" s="329">
        <f t="shared" si="51"/>
        <v>7.8499999999999988</v>
      </c>
      <c r="L856" s="331">
        <v>40596</v>
      </c>
      <c r="M856" s="329">
        <v>61.083333333333336</v>
      </c>
      <c r="N856" s="329">
        <v>45.566666666666663</v>
      </c>
      <c r="O856" s="329">
        <v>8.5</v>
      </c>
      <c r="P856" s="329">
        <v>7.8499999999999988</v>
      </c>
    </row>
    <row r="857" spans="1:16">
      <c r="A857" s="331">
        <v>40596</v>
      </c>
      <c r="B857" s="329">
        <v>64.900000000000006</v>
      </c>
      <c r="C857" s="329">
        <f t="shared" si="52"/>
        <v>61.083333333333336</v>
      </c>
      <c r="D857" s="329">
        <v>45.3</v>
      </c>
      <c r="E857" s="329">
        <f t="shared" si="49"/>
        <v>45.566666666666663</v>
      </c>
      <c r="F857" s="329">
        <v>8.8000000000000007</v>
      </c>
      <c r="G857" s="329">
        <f t="shared" si="50"/>
        <v>8.5</v>
      </c>
      <c r="H857" s="329">
        <v>7.9</v>
      </c>
      <c r="I857" s="329">
        <f t="shared" si="51"/>
        <v>7.8499999999999988</v>
      </c>
      <c r="L857" s="331">
        <v>40596</v>
      </c>
      <c r="M857" s="329">
        <v>61.083333333333336</v>
      </c>
      <c r="N857" s="329">
        <v>45.566666666666663</v>
      </c>
      <c r="O857" s="329">
        <v>8.5</v>
      </c>
      <c r="P857" s="329">
        <v>7.8499999999999988</v>
      </c>
    </row>
    <row r="858" spans="1:16">
      <c r="A858" s="331">
        <v>40596</v>
      </c>
      <c r="B858" s="329">
        <v>60.2</v>
      </c>
      <c r="C858" s="329">
        <f t="shared" si="52"/>
        <v>61.083333333333336</v>
      </c>
      <c r="D858" s="329">
        <v>46.2</v>
      </c>
      <c r="E858" s="329">
        <f t="shared" si="49"/>
        <v>45.566666666666663</v>
      </c>
      <c r="F858" s="329">
        <v>8.5</v>
      </c>
      <c r="G858" s="329">
        <f t="shared" si="50"/>
        <v>8.5</v>
      </c>
      <c r="H858" s="329">
        <v>7.9</v>
      </c>
      <c r="I858" s="329">
        <f t="shared" si="51"/>
        <v>7.8499999999999988</v>
      </c>
      <c r="L858" s="331">
        <v>40596</v>
      </c>
      <c r="M858" s="329">
        <v>61.083333333333336</v>
      </c>
      <c r="N858" s="329">
        <v>45.566666666666663</v>
      </c>
      <c r="O858" s="329">
        <v>8.5</v>
      </c>
      <c r="P858" s="329">
        <v>7.8499999999999988</v>
      </c>
    </row>
    <row r="859" spans="1:16">
      <c r="A859" s="331">
        <v>40596</v>
      </c>
      <c r="B859" s="329">
        <v>53.5</v>
      </c>
      <c r="C859" s="329">
        <f t="shared" si="52"/>
        <v>61.083333333333336</v>
      </c>
      <c r="D859" s="329">
        <v>45.7</v>
      </c>
      <c r="E859" s="329">
        <f t="shared" si="49"/>
        <v>45.566666666666663</v>
      </c>
      <c r="F859" s="329">
        <v>8.3000000000000007</v>
      </c>
      <c r="G859" s="329">
        <f t="shared" si="50"/>
        <v>8.5</v>
      </c>
      <c r="H859" s="329">
        <v>7.9</v>
      </c>
      <c r="I859" s="329">
        <f t="shared" si="51"/>
        <v>7.8499999999999988</v>
      </c>
      <c r="L859" s="331">
        <v>40596</v>
      </c>
      <c r="M859" s="329">
        <v>61.083333333333336</v>
      </c>
      <c r="N859" s="329">
        <v>45.566666666666663</v>
      </c>
      <c r="O859" s="329">
        <v>8.5</v>
      </c>
      <c r="P859" s="329">
        <v>7.8499999999999988</v>
      </c>
    </row>
    <row r="860" spans="1:16">
      <c r="A860" s="331">
        <v>40596</v>
      </c>
      <c r="B860" s="329">
        <v>62.5</v>
      </c>
      <c r="C860" s="329">
        <f t="shared" si="52"/>
        <v>61.083333333333336</v>
      </c>
      <c r="D860" s="329">
        <v>45.6</v>
      </c>
      <c r="E860" s="329">
        <f t="shared" si="49"/>
        <v>45.566666666666663</v>
      </c>
      <c r="F860" s="329">
        <v>8.1999999999999993</v>
      </c>
      <c r="G860" s="329">
        <f t="shared" si="50"/>
        <v>8.5</v>
      </c>
      <c r="H860" s="329">
        <v>7.9</v>
      </c>
      <c r="I860" s="329">
        <f t="shared" si="51"/>
        <v>7.8499999999999988</v>
      </c>
      <c r="L860" s="331">
        <v>40596</v>
      </c>
      <c r="M860" s="329">
        <v>61.083333333333336</v>
      </c>
      <c r="N860" s="329">
        <v>45.566666666666663</v>
      </c>
      <c r="O860" s="329">
        <v>8.5</v>
      </c>
      <c r="P860" s="329">
        <v>7.8499999999999988</v>
      </c>
    </row>
    <row r="861" spans="1:16">
      <c r="A861" s="331">
        <v>40597</v>
      </c>
      <c r="B861" s="329">
        <v>62</v>
      </c>
      <c r="C861" s="329">
        <f t="shared" si="52"/>
        <v>54.300000000000004</v>
      </c>
      <c r="D861" s="329">
        <v>45.7</v>
      </c>
      <c r="E861" s="329">
        <f t="shared" si="49"/>
        <v>45.949999999999996</v>
      </c>
      <c r="F861" s="329">
        <v>8</v>
      </c>
      <c r="G861" s="329">
        <f t="shared" si="50"/>
        <v>8.1</v>
      </c>
      <c r="H861" s="329">
        <v>7.9</v>
      </c>
      <c r="I861" s="329">
        <f t="shared" si="51"/>
        <v>7.7833333333333323</v>
      </c>
      <c r="L861" s="331">
        <v>40597</v>
      </c>
      <c r="M861" s="329">
        <v>54.300000000000004</v>
      </c>
      <c r="N861" s="329">
        <v>45.949999999999996</v>
      </c>
      <c r="O861" s="329">
        <v>8.1</v>
      </c>
      <c r="P861" s="329">
        <v>7.7833333333333323</v>
      </c>
    </row>
    <row r="862" spans="1:16">
      <c r="A862" s="331">
        <v>40597</v>
      </c>
      <c r="B862" s="329">
        <v>54.9</v>
      </c>
      <c r="C862" s="329">
        <f t="shared" si="52"/>
        <v>54.300000000000004</v>
      </c>
      <c r="D862" s="329">
        <v>45.9</v>
      </c>
      <c r="E862" s="329">
        <f t="shared" si="49"/>
        <v>45.949999999999996</v>
      </c>
      <c r="F862" s="329">
        <v>8</v>
      </c>
      <c r="G862" s="329">
        <f t="shared" si="50"/>
        <v>8.1</v>
      </c>
      <c r="H862" s="329">
        <v>7.8</v>
      </c>
      <c r="I862" s="329">
        <f t="shared" si="51"/>
        <v>7.7833333333333323</v>
      </c>
      <c r="L862" s="331">
        <v>40597</v>
      </c>
      <c r="M862" s="329">
        <v>54.300000000000004</v>
      </c>
      <c r="N862" s="329">
        <v>45.949999999999996</v>
      </c>
      <c r="O862" s="329">
        <v>8.1</v>
      </c>
      <c r="P862" s="329">
        <v>7.7833333333333323</v>
      </c>
    </row>
    <row r="863" spans="1:16">
      <c r="A863" s="331">
        <v>40597</v>
      </c>
      <c r="B863" s="329">
        <v>53.1</v>
      </c>
      <c r="C863" s="329">
        <f t="shared" si="52"/>
        <v>54.300000000000004</v>
      </c>
      <c r="D863" s="329">
        <v>46</v>
      </c>
      <c r="E863" s="329">
        <f t="shared" si="49"/>
        <v>45.949999999999996</v>
      </c>
      <c r="F863" s="329">
        <v>7.8</v>
      </c>
      <c r="G863" s="329">
        <f t="shared" si="50"/>
        <v>8.1</v>
      </c>
      <c r="H863" s="329">
        <v>7.8</v>
      </c>
      <c r="I863" s="329">
        <f t="shared" si="51"/>
        <v>7.7833333333333323</v>
      </c>
      <c r="L863" s="331">
        <v>40597</v>
      </c>
      <c r="M863" s="329">
        <v>54.300000000000004</v>
      </c>
      <c r="N863" s="329">
        <v>45.949999999999996</v>
      </c>
      <c r="O863" s="329">
        <v>8.1</v>
      </c>
      <c r="P863" s="329">
        <v>7.7833333333333323</v>
      </c>
    </row>
    <row r="864" spans="1:16">
      <c r="A864" s="331">
        <v>40597</v>
      </c>
      <c r="B864" s="329">
        <v>52.5</v>
      </c>
      <c r="C864" s="329">
        <f t="shared" si="52"/>
        <v>54.300000000000004</v>
      </c>
      <c r="D864" s="329">
        <v>46.1</v>
      </c>
      <c r="E864" s="329">
        <f t="shared" si="49"/>
        <v>45.949999999999996</v>
      </c>
      <c r="F864" s="329">
        <v>7.7</v>
      </c>
      <c r="G864" s="329">
        <f t="shared" si="50"/>
        <v>8.1</v>
      </c>
      <c r="H864" s="329">
        <v>7.7</v>
      </c>
      <c r="I864" s="329">
        <f t="shared" si="51"/>
        <v>7.7833333333333323</v>
      </c>
      <c r="L864" s="331">
        <v>40597</v>
      </c>
      <c r="M864" s="329">
        <v>54.300000000000004</v>
      </c>
      <c r="N864" s="329">
        <v>45.949999999999996</v>
      </c>
      <c r="O864" s="329">
        <v>8.1</v>
      </c>
      <c r="P864" s="329">
        <v>7.7833333333333323</v>
      </c>
    </row>
    <row r="865" spans="1:16">
      <c r="A865" s="331">
        <v>40597</v>
      </c>
      <c r="B865" s="329">
        <v>51.8</v>
      </c>
      <c r="C865" s="329">
        <f t="shared" si="52"/>
        <v>54.300000000000004</v>
      </c>
      <c r="D865" s="329">
        <v>46</v>
      </c>
      <c r="E865" s="329">
        <f t="shared" si="49"/>
        <v>45.949999999999996</v>
      </c>
      <c r="F865" s="329">
        <v>8.4</v>
      </c>
      <c r="G865" s="329">
        <f t="shared" si="50"/>
        <v>8.1</v>
      </c>
      <c r="H865" s="329">
        <v>7.7</v>
      </c>
      <c r="I865" s="329">
        <f t="shared" si="51"/>
        <v>7.7833333333333323</v>
      </c>
      <c r="L865" s="331">
        <v>40597</v>
      </c>
      <c r="M865" s="329">
        <v>54.300000000000004</v>
      </c>
      <c r="N865" s="329">
        <v>45.949999999999996</v>
      </c>
      <c r="O865" s="329">
        <v>8.1</v>
      </c>
      <c r="P865" s="329">
        <v>7.7833333333333323</v>
      </c>
    </row>
    <row r="866" spans="1:16">
      <c r="A866" s="331">
        <v>40597</v>
      </c>
      <c r="B866" s="329">
        <v>51.5</v>
      </c>
      <c r="C866" s="329">
        <f t="shared" si="52"/>
        <v>54.300000000000004</v>
      </c>
      <c r="D866" s="329">
        <v>46</v>
      </c>
      <c r="E866" s="329">
        <f t="shared" ref="E866:E929" si="53">AVERAGEIFS($D$33:$D$1494,$A$33:$A$1494,A866)</f>
        <v>45.949999999999996</v>
      </c>
      <c r="F866" s="329">
        <v>8.6999999999999993</v>
      </c>
      <c r="G866" s="329">
        <f t="shared" ref="G866:G929" si="54">AVERAGEIFS($F$33:$F$1494,$A$33:$A$1494,A866)</f>
        <v>8.1</v>
      </c>
      <c r="H866" s="329">
        <v>7.8</v>
      </c>
      <c r="I866" s="329">
        <f t="shared" ref="I866:I929" si="55">AVERAGEIFS($H$33:$H$1494,$A$33:$A$1494,A866)</f>
        <v>7.7833333333333323</v>
      </c>
      <c r="L866" s="331">
        <v>40597</v>
      </c>
      <c r="M866" s="329">
        <v>54.300000000000004</v>
      </c>
      <c r="N866" s="329">
        <v>45.949999999999996</v>
      </c>
      <c r="O866" s="329">
        <v>8.1</v>
      </c>
      <c r="P866" s="329">
        <v>7.7833333333333323</v>
      </c>
    </row>
    <row r="867" spans="1:16">
      <c r="A867" s="331">
        <v>40598</v>
      </c>
      <c r="B867" s="329">
        <v>51.2</v>
      </c>
      <c r="C867" s="329">
        <f t="shared" si="52"/>
        <v>59.783333333333331</v>
      </c>
      <c r="D867" s="329">
        <v>46.1</v>
      </c>
      <c r="E867" s="329">
        <f t="shared" si="53"/>
        <v>46.166666666666664</v>
      </c>
      <c r="F867" s="329">
        <v>8.8000000000000007</v>
      </c>
      <c r="G867" s="329">
        <f t="shared" si="54"/>
        <v>9.15</v>
      </c>
      <c r="H867" s="329">
        <v>7.9</v>
      </c>
      <c r="I867" s="329">
        <f t="shared" si="55"/>
        <v>8.1666666666666661</v>
      </c>
      <c r="L867" s="331">
        <v>40598</v>
      </c>
      <c r="M867" s="329">
        <v>59.783333333333331</v>
      </c>
      <c r="N867" s="329">
        <v>46.166666666666664</v>
      </c>
      <c r="O867" s="329">
        <v>9.15</v>
      </c>
      <c r="P867" s="329">
        <v>8.1666666666666661</v>
      </c>
    </row>
    <row r="868" spans="1:16">
      <c r="A868" s="331">
        <v>40598</v>
      </c>
      <c r="B868" s="329">
        <v>61.7</v>
      </c>
      <c r="C868" s="329">
        <f t="shared" si="52"/>
        <v>59.783333333333331</v>
      </c>
      <c r="D868" s="329">
        <v>46.1</v>
      </c>
      <c r="E868" s="329">
        <f t="shared" si="53"/>
        <v>46.166666666666664</v>
      </c>
      <c r="F868" s="329">
        <v>8.9</v>
      </c>
      <c r="G868" s="329">
        <f t="shared" si="54"/>
        <v>9.15</v>
      </c>
      <c r="H868" s="329">
        <v>8</v>
      </c>
      <c r="I868" s="329">
        <f t="shared" si="55"/>
        <v>8.1666666666666661</v>
      </c>
      <c r="L868" s="331">
        <v>40598</v>
      </c>
      <c r="M868" s="329">
        <v>59.783333333333331</v>
      </c>
      <c r="N868" s="329">
        <v>46.166666666666664</v>
      </c>
      <c r="O868" s="329">
        <v>9.15</v>
      </c>
      <c r="P868" s="329">
        <v>8.1666666666666661</v>
      </c>
    </row>
    <row r="869" spans="1:16">
      <c r="A869" s="331">
        <v>40598</v>
      </c>
      <c r="B869" s="329">
        <v>63.9</v>
      </c>
      <c r="C869" s="329">
        <f t="shared" si="52"/>
        <v>59.783333333333331</v>
      </c>
      <c r="D869" s="329">
        <v>46.1</v>
      </c>
      <c r="E869" s="329">
        <f t="shared" si="53"/>
        <v>46.166666666666664</v>
      </c>
      <c r="F869" s="329">
        <v>8.9</v>
      </c>
      <c r="G869" s="329">
        <f t="shared" si="54"/>
        <v>9.15</v>
      </c>
      <c r="H869" s="329">
        <v>8.1</v>
      </c>
      <c r="I869" s="329">
        <f t="shared" si="55"/>
        <v>8.1666666666666661</v>
      </c>
      <c r="L869" s="331">
        <v>40598</v>
      </c>
      <c r="M869" s="329">
        <v>59.783333333333331</v>
      </c>
      <c r="N869" s="329">
        <v>46.166666666666664</v>
      </c>
      <c r="O869" s="329">
        <v>9.15</v>
      </c>
      <c r="P869" s="329">
        <v>8.1666666666666661</v>
      </c>
    </row>
    <row r="870" spans="1:16">
      <c r="A870" s="331">
        <v>40598</v>
      </c>
      <c r="B870" s="329">
        <v>64.400000000000006</v>
      </c>
      <c r="C870" s="329">
        <f t="shared" si="52"/>
        <v>59.783333333333331</v>
      </c>
      <c r="D870" s="329">
        <v>46.2</v>
      </c>
      <c r="E870" s="329">
        <f t="shared" si="53"/>
        <v>46.166666666666664</v>
      </c>
      <c r="F870" s="329">
        <v>9</v>
      </c>
      <c r="G870" s="329">
        <f t="shared" si="54"/>
        <v>9.15</v>
      </c>
      <c r="H870" s="329">
        <v>8.1999999999999993</v>
      </c>
      <c r="I870" s="329">
        <f t="shared" si="55"/>
        <v>8.1666666666666661</v>
      </c>
      <c r="L870" s="331">
        <v>40598</v>
      </c>
      <c r="M870" s="329">
        <v>59.783333333333331</v>
      </c>
      <c r="N870" s="329">
        <v>46.166666666666664</v>
      </c>
      <c r="O870" s="329">
        <v>9.15</v>
      </c>
      <c r="P870" s="329">
        <v>8.1666666666666661</v>
      </c>
    </row>
    <row r="871" spans="1:16">
      <c r="A871" s="331">
        <v>40598</v>
      </c>
      <c r="B871" s="329">
        <v>61.6</v>
      </c>
      <c r="C871" s="329">
        <f t="shared" si="52"/>
        <v>59.783333333333331</v>
      </c>
      <c r="D871" s="329">
        <v>46.2</v>
      </c>
      <c r="E871" s="329">
        <f t="shared" si="53"/>
        <v>46.166666666666664</v>
      </c>
      <c r="F871" s="329">
        <v>9.6</v>
      </c>
      <c r="G871" s="329">
        <f t="shared" si="54"/>
        <v>9.15</v>
      </c>
      <c r="H871" s="329">
        <v>8.3000000000000007</v>
      </c>
      <c r="I871" s="329">
        <f t="shared" si="55"/>
        <v>8.1666666666666661</v>
      </c>
      <c r="L871" s="331">
        <v>40598</v>
      </c>
      <c r="M871" s="329">
        <v>59.783333333333331</v>
      </c>
      <c r="N871" s="329">
        <v>46.166666666666664</v>
      </c>
      <c r="O871" s="329">
        <v>9.15</v>
      </c>
      <c r="P871" s="329">
        <v>8.1666666666666661</v>
      </c>
    </row>
    <row r="872" spans="1:16">
      <c r="A872" s="331">
        <v>40598</v>
      </c>
      <c r="B872" s="329">
        <v>55.9</v>
      </c>
      <c r="C872" s="329">
        <f t="shared" ref="C872:C935" si="56">AVERAGEIFS($B$33:$B$1494,$A$33:$A$1494,A872)</f>
        <v>59.783333333333331</v>
      </c>
      <c r="D872" s="329">
        <v>46.3</v>
      </c>
      <c r="E872" s="329">
        <f t="shared" si="53"/>
        <v>46.166666666666664</v>
      </c>
      <c r="F872" s="329">
        <v>9.6999999999999993</v>
      </c>
      <c r="G872" s="329">
        <f t="shared" si="54"/>
        <v>9.15</v>
      </c>
      <c r="H872" s="329">
        <v>8.5</v>
      </c>
      <c r="I872" s="329">
        <f t="shared" si="55"/>
        <v>8.1666666666666661</v>
      </c>
      <c r="L872" s="331">
        <v>40598</v>
      </c>
      <c r="M872" s="329">
        <v>59.783333333333331</v>
      </c>
      <c r="N872" s="329">
        <v>46.166666666666664</v>
      </c>
      <c r="O872" s="329">
        <v>9.15</v>
      </c>
      <c r="P872" s="329">
        <v>8.1666666666666661</v>
      </c>
    </row>
    <row r="873" spans="1:16">
      <c r="A873" s="331">
        <v>40599</v>
      </c>
      <c r="B873" s="329">
        <v>53.5</v>
      </c>
      <c r="C873" s="329">
        <f t="shared" si="56"/>
        <v>51.716666666666661</v>
      </c>
      <c r="D873" s="329">
        <v>46.3</v>
      </c>
      <c r="E873" s="329">
        <f t="shared" si="53"/>
        <v>46.283333333333331</v>
      </c>
      <c r="F873" s="329">
        <v>9.6</v>
      </c>
      <c r="G873" s="329">
        <f t="shared" si="54"/>
        <v>9.75</v>
      </c>
      <c r="H873" s="329">
        <v>8.6</v>
      </c>
      <c r="I873" s="329">
        <f t="shared" si="55"/>
        <v>8.7333333333333325</v>
      </c>
      <c r="L873" s="331">
        <v>40599</v>
      </c>
      <c r="M873" s="329">
        <v>51.716666666666661</v>
      </c>
      <c r="N873" s="329">
        <v>46.283333333333331</v>
      </c>
      <c r="O873" s="329">
        <v>9.75</v>
      </c>
      <c r="P873" s="329">
        <v>8.7333333333333325</v>
      </c>
    </row>
    <row r="874" spans="1:16">
      <c r="A874" s="331">
        <v>40599</v>
      </c>
      <c r="B874" s="329">
        <v>52.2</v>
      </c>
      <c r="C874" s="329">
        <f t="shared" si="56"/>
        <v>51.716666666666661</v>
      </c>
      <c r="D874" s="329">
        <v>46.3</v>
      </c>
      <c r="E874" s="329">
        <f t="shared" si="53"/>
        <v>46.283333333333331</v>
      </c>
      <c r="F874" s="329">
        <v>9.6</v>
      </c>
      <c r="G874" s="329">
        <f t="shared" si="54"/>
        <v>9.75</v>
      </c>
      <c r="H874" s="329">
        <v>8.6999999999999993</v>
      </c>
      <c r="I874" s="329">
        <f t="shared" si="55"/>
        <v>8.7333333333333325</v>
      </c>
      <c r="L874" s="331">
        <v>40599</v>
      </c>
      <c r="M874" s="329">
        <v>51.716666666666661</v>
      </c>
      <c r="N874" s="329">
        <v>46.283333333333331</v>
      </c>
      <c r="O874" s="329">
        <v>9.75</v>
      </c>
      <c r="P874" s="329">
        <v>8.7333333333333325</v>
      </c>
    </row>
    <row r="875" spans="1:16">
      <c r="A875" s="331">
        <v>40599</v>
      </c>
      <c r="B875" s="329">
        <v>51.7</v>
      </c>
      <c r="C875" s="329">
        <f t="shared" si="56"/>
        <v>51.716666666666661</v>
      </c>
      <c r="D875" s="329">
        <v>46.4</v>
      </c>
      <c r="E875" s="329">
        <f t="shared" si="53"/>
        <v>46.283333333333331</v>
      </c>
      <c r="F875" s="329">
        <v>9.5</v>
      </c>
      <c r="G875" s="329">
        <f t="shared" si="54"/>
        <v>9.75</v>
      </c>
      <c r="H875" s="329">
        <v>8.6999999999999993</v>
      </c>
      <c r="I875" s="329">
        <f t="shared" si="55"/>
        <v>8.7333333333333325</v>
      </c>
      <c r="L875" s="331">
        <v>40599</v>
      </c>
      <c r="M875" s="329">
        <v>51.716666666666661</v>
      </c>
      <c r="N875" s="329">
        <v>46.283333333333331</v>
      </c>
      <c r="O875" s="329">
        <v>9.75</v>
      </c>
      <c r="P875" s="329">
        <v>8.7333333333333325</v>
      </c>
    </row>
    <row r="876" spans="1:16">
      <c r="A876" s="331">
        <v>40599</v>
      </c>
      <c r="B876" s="329">
        <v>51.3</v>
      </c>
      <c r="C876" s="329">
        <f t="shared" si="56"/>
        <v>51.716666666666661</v>
      </c>
      <c r="D876" s="329">
        <v>46.3</v>
      </c>
      <c r="E876" s="329">
        <f t="shared" si="53"/>
        <v>46.283333333333331</v>
      </c>
      <c r="F876" s="329">
        <v>9.6</v>
      </c>
      <c r="G876" s="329">
        <f t="shared" si="54"/>
        <v>9.75</v>
      </c>
      <c r="H876" s="329">
        <v>8.6999999999999993</v>
      </c>
      <c r="I876" s="329">
        <f t="shared" si="55"/>
        <v>8.7333333333333325</v>
      </c>
      <c r="L876" s="331">
        <v>40599</v>
      </c>
      <c r="M876" s="329">
        <v>51.716666666666661</v>
      </c>
      <c r="N876" s="329">
        <v>46.283333333333331</v>
      </c>
      <c r="O876" s="329">
        <v>9.75</v>
      </c>
      <c r="P876" s="329">
        <v>8.7333333333333325</v>
      </c>
    </row>
    <row r="877" spans="1:16">
      <c r="A877" s="331">
        <v>40599</v>
      </c>
      <c r="B877" s="329">
        <v>50.9</v>
      </c>
      <c r="C877" s="329">
        <f t="shared" si="56"/>
        <v>51.716666666666661</v>
      </c>
      <c r="D877" s="329">
        <v>46.2</v>
      </c>
      <c r="E877" s="329">
        <f t="shared" si="53"/>
        <v>46.283333333333331</v>
      </c>
      <c r="F877" s="329">
        <v>10.1</v>
      </c>
      <c r="G877" s="329">
        <f t="shared" si="54"/>
        <v>9.75</v>
      </c>
      <c r="H877" s="329">
        <v>8.8000000000000007</v>
      </c>
      <c r="I877" s="329">
        <f t="shared" si="55"/>
        <v>8.7333333333333325</v>
      </c>
      <c r="L877" s="331">
        <v>40599</v>
      </c>
      <c r="M877" s="329">
        <v>51.716666666666661</v>
      </c>
      <c r="N877" s="329">
        <v>46.283333333333331</v>
      </c>
      <c r="O877" s="329">
        <v>9.75</v>
      </c>
      <c r="P877" s="329">
        <v>8.7333333333333325</v>
      </c>
    </row>
    <row r="878" spans="1:16">
      <c r="A878" s="331">
        <v>40599</v>
      </c>
      <c r="B878" s="329">
        <v>50.7</v>
      </c>
      <c r="C878" s="329">
        <f t="shared" si="56"/>
        <v>51.716666666666661</v>
      </c>
      <c r="D878" s="329">
        <v>46.2</v>
      </c>
      <c r="E878" s="329">
        <f t="shared" si="53"/>
        <v>46.283333333333331</v>
      </c>
      <c r="F878" s="329">
        <v>10.1</v>
      </c>
      <c r="G878" s="329">
        <f t="shared" si="54"/>
        <v>9.75</v>
      </c>
      <c r="H878" s="329">
        <v>8.9</v>
      </c>
      <c r="I878" s="329">
        <f t="shared" si="55"/>
        <v>8.7333333333333325</v>
      </c>
      <c r="L878" s="331">
        <v>40599</v>
      </c>
      <c r="M878" s="329">
        <v>51.716666666666661</v>
      </c>
      <c r="N878" s="329">
        <v>46.283333333333331</v>
      </c>
      <c r="O878" s="329">
        <v>9.75</v>
      </c>
      <c r="P878" s="329">
        <v>8.7333333333333325</v>
      </c>
    </row>
    <row r="879" spans="1:16">
      <c r="A879" s="331">
        <v>40600</v>
      </c>
      <c r="B879" s="329">
        <v>50.4</v>
      </c>
      <c r="C879" s="329">
        <f t="shared" si="56"/>
        <v>50.083333333333336</v>
      </c>
      <c r="D879" s="329">
        <v>46.2</v>
      </c>
      <c r="E879" s="329">
        <f t="shared" si="53"/>
        <v>46.199999999999996</v>
      </c>
      <c r="F879" s="329">
        <v>9.4</v>
      </c>
      <c r="G879" s="329">
        <f t="shared" si="54"/>
        <v>8.7833333333333332</v>
      </c>
      <c r="H879" s="329">
        <v>9</v>
      </c>
      <c r="I879" s="329">
        <f t="shared" si="55"/>
        <v>8.6666666666666661</v>
      </c>
      <c r="L879" s="331">
        <v>40600</v>
      </c>
      <c r="M879" s="329">
        <v>50.083333333333336</v>
      </c>
      <c r="N879" s="329">
        <v>46.199999999999996</v>
      </c>
      <c r="O879" s="329">
        <v>8.7833333333333332</v>
      </c>
      <c r="P879" s="329">
        <v>8.6666666666666661</v>
      </c>
    </row>
    <row r="880" spans="1:16">
      <c r="A880" s="331">
        <v>40600</v>
      </c>
      <c r="B880" s="329">
        <v>50.3</v>
      </c>
      <c r="C880" s="329">
        <f t="shared" si="56"/>
        <v>50.083333333333336</v>
      </c>
      <c r="D880" s="329">
        <v>46.2</v>
      </c>
      <c r="E880" s="329">
        <f t="shared" si="53"/>
        <v>46.199999999999996</v>
      </c>
      <c r="F880" s="329">
        <v>8.6</v>
      </c>
      <c r="G880" s="329">
        <f t="shared" si="54"/>
        <v>8.7833333333333332</v>
      </c>
      <c r="H880" s="329">
        <v>8.9</v>
      </c>
      <c r="I880" s="329">
        <f t="shared" si="55"/>
        <v>8.6666666666666661</v>
      </c>
      <c r="L880" s="331">
        <v>40600</v>
      </c>
      <c r="M880" s="329">
        <v>50.083333333333336</v>
      </c>
      <c r="N880" s="329">
        <v>46.199999999999996</v>
      </c>
      <c r="O880" s="329">
        <v>8.7833333333333332</v>
      </c>
      <c r="P880" s="329">
        <v>8.6666666666666661</v>
      </c>
    </row>
    <row r="881" spans="1:16">
      <c r="A881" s="331">
        <v>40600</v>
      </c>
      <c r="B881" s="329">
        <v>50.1</v>
      </c>
      <c r="C881" s="329">
        <f t="shared" si="56"/>
        <v>50.083333333333336</v>
      </c>
      <c r="D881" s="329">
        <v>46.2</v>
      </c>
      <c r="E881" s="329">
        <f t="shared" si="53"/>
        <v>46.199999999999996</v>
      </c>
      <c r="F881" s="329">
        <v>8.1999999999999993</v>
      </c>
      <c r="G881" s="329">
        <f t="shared" si="54"/>
        <v>8.7833333333333332</v>
      </c>
      <c r="H881" s="329">
        <v>8.6999999999999993</v>
      </c>
      <c r="I881" s="329">
        <f t="shared" si="55"/>
        <v>8.6666666666666661</v>
      </c>
      <c r="L881" s="331">
        <v>40600</v>
      </c>
      <c r="M881" s="329">
        <v>50.083333333333336</v>
      </c>
      <c r="N881" s="329">
        <v>46.199999999999996</v>
      </c>
      <c r="O881" s="329">
        <v>8.7833333333333332</v>
      </c>
      <c r="P881" s="329">
        <v>8.6666666666666661</v>
      </c>
    </row>
    <row r="882" spans="1:16">
      <c r="A882" s="331">
        <v>40600</v>
      </c>
      <c r="B882" s="329">
        <v>50</v>
      </c>
      <c r="C882" s="329">
        <f t="shared" si="56"/>
        <v>50.083333333333336</v>
      </c>
      <c r="D882" s="329">
        <v>46.2</v>
      </c>
      <c r="E882" s="329">
        <f t="shared" si="53"/>
        <v>46.199999999999996</v>
      </c>
      <c r="F882" s="329">
        <v>8.3000000000000007</v>
      </c>
      <c r="G882" s="329">
        <f t="shared" si="54"/>
        <v>8.7833333333333332</v>
      </c>
      <c r="H882" s="329">
        <v>8.5</v>
      </c>
      <c r="I882" s="329">
        <f t="shared" si="55"/>
        <v>8.6666666666666661</v>
      </c>
      <c r="L882" s="331">
        <v>40600</v>
      </c>
      <c r="M882" s="329">
        <v>50.083333333333336</v>
      </c>
      <c r="N882" s="329">
        <v>46.199999999999996</v>
      </c>
      <c r="O882" s="329">
        <v>8.7833333333333332</v>
      </c>
      <c r="P882" s="329">
        <v>8.6666666666666661</v>
      </c>
    </row>
    <row r="883" spans="1:16">
      <c r="A883" s="331">
        <v>40600</v>
      </c>
      <c r="B883" s="329">
        <v>49.9</v>
      </c>
      <c r="C883" s="329">
        <f t="shared" si="56"/>
        <v>50.083333333333336</v>
      </c>
      <c r="D883" s="329">
        <v>46.2</v>
      </c>
      <c r="E883" s="329">
        <f t="shared" si="53"/>
        <v>46.199999999999996</v>
      </c>
      <c r="F883" s="329">
        <v>8.9</v>
      </c>
      <c r="G883" s="329">
        <f t="shared" si="54"/>
        <v>8.7833333333333332</v>
      </c>
      <c r="H883" s="329">
        <v>8.4</v>
      </c>
      <c r="I883" s="329">
        <f t="shared" si="55"/>
        <v>8.6666666666666661</v>
      </c>
      <c r="L883" s="331">
        <v>40600</v>
      </c>
      <c r="M883" s="329">
        <v>50.083333333333336</v>
      </c>
      <c r="N883" s="329">
        <v>46.199999999999996</v>
      </c>
      <c r="O883" s="329">
        <v>8.7833333333333332</v>
      </c>
      <c r="P883" s="329">
        <v>8.6666666666666661</v>
      </c>
    </row>
    <row r="884" spans="1:16">
      <c r="A884" s="331">
        <v>40600</v>
      </c>
      <c r="B884" s="329">
        <v>49.8</v>
      </c>
      <c r="C884" s="329">
        <f t="shared" si="56"/>
        <v>50.083333333333336</v>
      </c>
      <c r="D884" s="329">
        <v>46.2</v>
      </c>
      <c r="E884" s="329">
        <f t="shared" si="53"/>
        <v>46.199999999999996</v>
      </c>
      <c r="F884" s="329">
        <v>9.3000000000000007</v>
      </c>
      <c r="G884" s="329">
        <f t="shared" si="54"/>
        <v>8.7833333333333332</v>
      </c>
      <c r="H884" s="329">
        <v>8.5</v>
      </c>
      <c r="I884" s="329">
        <f t="shared" si="55"/>
        <v>8.6666666666666661</v>
      </c>
      <c r="L884" s="331">
        <v>40600</v>
      </c>
      <c r="M884" s="329">
        <v>50.083333333333336</v>
      </c>
      <c r="N884" s="329">
        <v>46.199999999999996</v>
      </c>
      <c r="O884" s="329">
        <v>8.7833333333333332</v>
      </c>
      <c r="P884" s="329">
        <v>8.6666666666666661</v>
      </c>
    </row>
    <row r="885" spans="1:16">
      <c r="A885" s="331">
        <v>40601</v>
      </c>
      <c r="B885" s="329">
        <v>49.7</v>
      </c>
      <c r="C885" s="329">
        <f t="shared" si="56"/>
        <v>53.75</v>
      </c>
      <c r="D885" s="329">
        <v>46.2</v>
      </c>
      <c r="E885" s="329">
        <f t="shared" si="53"/>
        <v>46.083333333333336</v>
      </c>
      <c r="F885" s="329">
        <v>9.1999999999999993</v>
      </c>
      <c r="G885" s="329">
        <f t="shared" si="54"/>
        <v>8.4833333333333325</v>
      </c>
      <c r="H885" s="329">
        <v>8.6</v>
      </c>
      <c r="I885" s="329">
        <f t="shared" si="55"/>
        <v>8.4333333333333353</v>
      </c>
      <c r="L885" s="331">
        <v>40601</v>
      </c>
      <c r="M885" s="329">
        <v>53.75</v>
      </c>
      <c r="N885" s="329">
        <v>46.083333333333336</v>
      </c>
      <c r="O885" s="329">
        <v>8.4833333333333325</v>
      </c>
      <c r="P885" s="329">
        <v>8.4333333333333353</v>
      </c>
    </row>
    <row r="886" spans="1:16">
      <c r="A886" s="331">
        <v>40601</v>
      </c>
      <c r="B886" s="329">
        <v>60.8</v>
      </c>
      <c r="C886" s="329">
        <f t="shared" si="56"/>
        <v>53.75</v>
      </c>
      <c r="D886" s="329">
        <v>46.1</v>
      </c>
      <c r="E886" s="329">
        <f t="shared" si="53"/>
        <v>46.083333333333336</v>
      </c>
      <c r="F886" s="329">
        <v>8.9</v>
      </c>
      <c r="G886" s="329">
        <f t="shared" si="54"/>
        <v>8.4833333333333325</v>
      </c>
      <c r="H886" s="329">
        <v>8.6</v>
      </c>
      <c r="I886" s="329">
        <f t="shared" si="55"/>
        <v>8.4333333333333353</v>
      </c>
      <c r="L886" s="331">
        <v>40601</v>
      </c>
      <c r="M886" s="329">
        <v>53.75</v>
      </c>
      <c r="N886" s="329">
        <v>46.083333333333336</v>
      </c>
      <c r="O886" s="329">
        <v>8.4833333333333325</v>
      </c>
      <c r="P886" s="329">
        <v>8.4333333333333353</v>
      </c>
    </row>
    <row r="887" spans="1:16">
      <c r="A887" s="331">
        <v>40601</v>
      </c>
      <c r="B887" s="329">
        <v>55.8</v>
      </c>
      <c r="C887" s="329">
        <f t="shared" si="56"/>
        <v>53.75</v>
      </c>
      <c r="D887" s="329">
        <v>46.1</v>
      </c>
      <c r="E887" s="329">
        <f t="shared" si="53"/>
        <v>46.083333333333336</v>
      </c>
      <c r="F887" s="329">
        <v>8.4</v>
      </c>
      <c r="G887" s="329">
        <f t="shared" si="54"/>
        <v>8.4833333333333325</v>
      </c>
      <c r="H887" s="329">
        <v>8.5</v>
      </c>
      <c r="I887" s="329">
        <f t="shared" si="55"/>
        <v>8.4333333333333353</v>
      </c>
      <c r="L887" s="331">
        <v>40601</v>
      </c>
      <c r="M887" s="329">
        <v>53.75</v>
      </c>
      <c r="N887" s="329">
        <v>46.083333333333336</v>
      </c>
      <c r="O887" s="329">
        <v>8.4833333333333325</v>
      </c>
      <c r="P887" s="329">
        <v>8.4333333333333353</v>
      </c>
    </row>
    <row r="888" spans="1:16">
      <c r="A888" s="331">
        <v>40601</v>
      </c>
      <c r="B888" s="329">
        <v>53.5</v>
      </c>
      <c r="C888" s="329">
        <f t="shared" si="56"/>
        <v>53.75</v>
      </c>
      <c r="D888" s="329">
        <v>46.1</v>
      </c>
      <c r="E888" s="329">
        <f t="shared" si="53"/>
        <v>46.083333333333336</v>
      </c>
      <c r="F888" s="329">
        <v>8.1</v>
      </c>
      <c r="G888" s="329">
        <f t="shared" si="54"/>
        <v>8.4833333333333325</v>
      </c>
      <c r="H888" s="329">
        <v>8.4</v>
      </c>
      <c r="I888" s="329">
        <f t="shared" si="55"/>
        <v>8.4333333333333353</v>
      </c>
      <c r="L888" s="331">
        <v>40601</v>
      </c>
      <c r="M888" s="329">
        <v>53.75</v>
      </c>
      <c r="N888" s="329">
        <v>46.083333333333336</v>
      </c>
      <c r="O888" s="329">
        <v>8.4833333333333325</v>
      </c>
      <c r="P888" s="329">
        <v>8.4333333333333353</v>
      </c>
    </row>
    <row r="889" spans="1:16">
      <c r="A889" s="331">
        <v>40601</v>
      </c>
      <c r="B889" s="329">
        <v>51.7</v>
      </c>
      <c r="C889" s="329">
        <f t="shared" si="56"/>
        <v>53.75</v>
      </c>
      <c r="D889" s="329">
        <v>46</v>
      </c>
      <c r="E889" s="329">
        <f t="shared" si="53"/>
        <v>46.083333333333336</v>
      </c>
      <c r="F889" s="329">
        <v>8.1999999999999993</v>
      </c>
      <c r="G889" s="329">
        <f t="shared" si="54"/>
        <v>8.4833333333333325</v>
      </c>
      <c r="H889" s="329">
        <v>8.3000000000000007</v>
      </c>
      <c r="I889" s="329">
        <f t="shared" si="55"/>
        <v>8.4333333333333353</v>
      </c>
      <c r="L889" s="331">
        <v>40601</v>
      </c>
      <c r="M889" s="329">
        <v>53.75</v>
      </c>
      <c r="N889" s="329">
        <v>46.083333333333336</v>
      </c>
      <c r="O889" s="329">
        <v>8.4833333333333325</v>
      </c>
      <c r="P889" s="329">
        <v>8.4333333333333353</v>
      </c>
    </row>
    <row r="890" spans="1:16">
      <c r="A890" s="331">
        <v>40601</v>
      </c>
      <c r="B890" s="329">
        <v>51</v>
      </c>
      <c r="C890" s="329">
        <f t="shared" si="56"/>
        <v>53.75</v>
      </c>
      <c r="D890" s="329">
        <v>46</v>
      </c>
      <c r="E890" s="329">
        <f t="shared" si="53"/>
        <v>46.083333333333336</v>
      </c>
      <c r="F890" s="329">
        <v>8.1</v>
      </c>
      <c r="G890" s="329">
        <f t="shared" si="54"/>
        <v>8.4833333333333325</v>
      </c>
      <c r="H890" s="329">
        <v>8.1999999999999993</v>
      </c>
      <c r="I890" s="329">
        <f t="shared" si="55"/>
        <v>8.4333333333333353</v>
      </c>
      <c r="L890" s="331">
        <v>40601</v>
      </c>
      <c r="M890" s="329">
        <v>53.75</v>
      </c>
      <c r="N890" s="329">
        <v>46.083333333333336</v>
      </c>
      <c r="O890" s="329">
        <v>8.4833333333333325</v>
      </c>
      <c r="P890" s="329">
        <v>8.4333333333333353</v>
      </c>
    </row>
    <row r="891" spans="1:16">
      <c r="A891" s="331">
        <v>40602</v>
      </c>
      <c r="B891" s="329">
        <v>60.4</v>
      </c>
      <c r="C891" s="329">
        <f t="shared" si="56"/>
        <v>61.666666666666664</v>
      </c>
      <c r="D891" s="329">
        <v>46</v>
      </c>
      <c r="E891" s="329">
        <f t="shared" si="53"/>
        <v>46.15</v>
      </c>
      <c r="F891" s="329">
        <v>7.7</v>
      </c>
      <c r="G891" s="329">
        <f t="shared" si="54"/>
        <v>7.2833333333333323</v>
      </c>
      <c r="H891" s="329">
        <v>8.1</v>
      </c>
      <c r="I891" s="329">
        <f t="shared" si="55"/>
        <v>7.75</v>
      </c>
      <c r="L891" s="331">
        <v>40602</v>
      </c>
      <c r="M891" s="329">
        <v>61.666666666666664</v>
      </c>
      <c r="N891" s="329">
        <v>46.15</v>
      </c>
      <c r="O891" s="329">
        <v>7.2833333333333323</v>
      </c>
      <c r="P891" s="329">
        <v>7.75</v>
      </c>
    </row>
    <row r="892" spans="1:16">
      <c r="A892" s="331">
        <v>40602</v>
      </c>
      <c r="B892" s="329">
        <v>59.1</v>
      </c>
      <c r="C892" s="329">
        <f t="shared" si="56"/>
        <v>61.666666666666664</v>
      </c>
      <c r="D892" s="329">
        <v>46</v>
      </c>
      <c r="E892" s="329">
        <f t="shared" si="53"/>
        <v>46.15</v>
      </c>
      <c r="F892" s="329">
        <v>7.3</v>
      </c>
      <c r="G892" s="329">
        <f t="shared" si="54"/>
        <v>7.2833333333333323</v>
      </c>
      <c r="H892" s="329">
        <v>8</v>
      </c>
      <c r="I892" s="329">
        <f t="shared" si="55"/>
        <v>7.75</v>
      </c>
      <c r="L892" s="331">
        <v>40602</v>
      </c>
      <c r="M892" s="329">
        <v>61.666666666666664</v>
      </c>
      <c r="N892" s="329">
        <v>46.15</v>
      </c>
      <c r="O892" s="329">
        <v>7.2833333333333323</v>
      </c>
      <c r="P892" s="329">
        <v>7.75</v>
      </c>
    </row>
    <row r="893" spans="1:16">
      <c r="A893" s="331">
        <v>40602</v>
      </c>
      <c r="B893" s="329">
        <v>65</v>
      </c>
      <c r="C893" s="329">
        <f t="shared" si="56"/>
        <v>61.666666666666664</v>
      </c>
      <c r="D893" s="329">
        <v>46.1</v>
      </c>
      <c r="E893" s="329">
        <f t="shared" si="53"/>
        <v>46.15</v>
      </c>
      <c r="F893" s="329">
        <v>7.1</v>
      </c>
      <c r="G893" s="329">
        <f t="shared" si="54"/>
        <v>7.2833333333333323</v>
      </c>
      <c r="H893" s="329">
        <v>7.8</v>
      </c>
      <c r="I893" s="329">
        <f t="shared" si="55"/>
        <v>7.75</v>
      </c>
      <c r="L893" s="331">
        <v>40602</v>
      </c>
      <c r="M893" s="329">
        <v>61.666666666666664</v>
      </c>
      <c r="N893" s="329">
        <v>46.15</v>
      </c>
      <c r="O893" s="329">
        <v>7.2833333333333323</v>
      </c>
      <c r="P893" s="329">
        <v>7.75</v>
      </c>
    </row>
    <row r="894" spans="1:16">
      <c r="A894" s="331">
        <v>40602</v>
      </c>
      <c r="B894" s="329">
        <v>65.400000000000006</v>
      </c>
      <c r="C894" s="329">
        <f t="shared" si="56"/>
        <v>61.666666666666664</v>
      </c>
      <c r="D894" s="329">
        <v>46.1</v>
      </c>
      <c r="E894" s="329">
        <f t="shared" si="53"/>
        <v>46.15</v>
      </c>
      <c r="F894" s="329">
        <v>6.9</v>
      </c>
      <c r="G894" s="329">
        <f t="shared" si="54"/>
        <v>7.2833333333333323</v>
      </c>
      <c r="H894" s="329">
        <v>7.6</v>
      </c>
      <c r="I894" s="329">
        <f t="shared" si="55"/>
        <v>7.75</v>
      </c>
      <c r="L894" s="331">
        <v>40602</v>
      </c>
      <c r="M894" s="329">
        <v>61.666666666666664</v>
      </c>
      <c r="N894" s="329">
        <v>46.15</v>
      </c>
      <c r="O894" s="329">
        <v>7.2833333333333323</v>
      </c>
      <c r="P894" s="329">
        <v>7.75</v>
      </c>
    </row>
    <row r="895" spans="1:16">
      <c r="A895" s="331">
        <v>40602</v>
      </c>
      <c r="B895" s="329">
        <v>63.5</v>
      </c>
      <c r="C895" s="329">
        <f t="shared" si="56"/>
        <v>61.666666666666664</v>
      </c>
      <c r="D895" s="329">
        <v>46.3</v>
      </c>
      <c r="E895" s="329">
        <f t="shared" si="53"/>
        <v>46.15</v>
      </c>
      <c r="F895" s="329">
        <v>7.4</v>
      </c>
      <c r="G895" s="329">
        <f t="shared" si="54"/>
        <v>7.2833333333333323</v>
      </c>
      <c r="H895" s="329">
        <v>7.5</v>
      </c>
      <c r="I895" s="329">
        <f t="shared" si="55"/>
        <v>7.75</v>
      </c>
      <c r="L895" s="331">
        <v>40602</v>
      </c>
      <c r="M895" s="329">
        <v>61.666666666666664</v>
      </c>
      <c r="N895" s="329">
        <v>46.15</v>
      </c>
      <c r="O895" s="329">
        <v>7.2833333333333323</v>
      </c>
      <c r="P895" s="329">
        <v>7.75</v>
      </c>
    </row>
    <row r="896" spans="1:16">
      <c r="A896" s="331">
        <v>40602</v>
      </c>
      <c r="B896" s="329">
        <v>56.6</v>
      </c>
      <c r="C896" s="329">
        <f t="shared" si="56"/>
        <v>61.666666666666664</v>
      </c>
      <c r="D896" s="329">
        <v>46.4</v>
      </c>
      <c r="E896" s="329">
        <f t="shared" si="53"/>
        <v>46.15</v>
      </c>
      <c r="F896" s="329">
        <v>7.3</v>
      </c>
      <c r="G896" s="329">
        <f t="shared" si="54"/>
        <v>7.2833333333333323</v>
      </c>
      <c r="H896" s="329">
        <v>7.5</v>
      </c>
      <c r="I896" s="329">
        <f t="shared" si="55"/>
        <v>7.75</v>
      </c>
      <c r="L896" s="331">
        <v>40602</v>
      </c>
      <c r="M896" s="329">
        <v>61.666666666666664</v>
      </c>
      <c r="N896" s="329">
        <v>46.15</v>
      </c>
      <c r="O896" s="329">
        <v>7.2833333333333323</v>
      </c>
      <c r="P896" s="329">
        <v>7.75</v>
      </c>
    </row>
    <row r="897" spans="1:16">
      <c r="A897" s="331">
        <v>40603</v>
      </c>
      <c r="B897" s="329">
        <v>54.2</v>
      </c>
      <c r="C897" s="329">
        <f t="shared" si="56"/>
        <v>52.433333333333337</v>
      </c>
      <c r="D897" s="329">
        <v>46.5</v>
      </c>
      <c r="E897" s="329">
        <f t="shared" si="53"/>
        <v>46.416666666666664</v>
      </c>
      <c r="F897" s="329">
        <v>7</v>
      </c>
      <c r="G897" s="329">
        <f t="shared" si="54"/>
        <v>6.4666666666666659</v>
      </c>
      <c r="H897" s="329">
        <v>7.5</v>
      </c>
      <c r="I897" s="329">
        <f t="shared" si="55"/>
        <v>7.2166666666666659</v>
      </c>
      <c r="L897" s="331">
        <v>40603</v>
      </c>
      <c r="M897" s="329">
        <v>52.433333333333337</v>
      </c>
      <c r="N897" s="329">
        <v>46.416666666666664</v>
      </c>
      <c r="O897" s="329">
        <v>6.4666666666666659</v>
      </c>
      <c r="P897" s="329">
        <v>7.2166666666666659</v>
      </c>
    </row>
    <row r="898" spans="1:16">
      <c r="A898" s="331">
        <v>40603</v>
      </c>
      <c r="B898" s="329">
        <v>53.1</v>
      </c>
      <c r="C898" s="329">
        <f t="shared" si="56"/>
        <v>52.433333333333337</v>
      </c>
      <c r="D898" s="329">
        <v>46.4</v>
      </c>
      <c r="E898" s="329">
        <f t="shared" si="53"/>
        <v>46.416666666666664</v>
      </c>
      <c r="F898" s="329">
        <v>6.6</v>
      </c>
      <c r="G898" s="329">
        <f t="shared" si="54"/>
        <v>6.4666666666666659</v>
      </c>
      <c r="H898" s="329">
        <v>7.4</v>
      </c>
      <c r="I898" s="329">
        <f t="shared" si="55"/>
        <v>7.2166666666666659</v>
      </c>
      <c r="L898" s="331">
        <v>40603</v>
      </c>
      <c r="M898" s="329">
        <v>52.433333333333337</v>
      </c>
      <c r="N898" s="329">
        <v>46.416666666666664</v>
      </c>
      <c r="O898" s="329">
        <v>6.4666666666666659</v>
      </c>
      <c r="P898" s="329">
        <v>7.2166666666666659</v>
      </c>
    </row>
    <row r="899" spans="1:16">
      <c r="A899" s="331">
        <v>40603</v>
      </c>
      <c r="B899" s="329">
        <v>52.4</v>
      </c>
      <c r="C899" s="329">
        <f t="shared" si="56"/>
        <v>52.433333333333337</v>
      </c>
      <c r="D899" s="329">
        <v>46.4</v>
      </c>
      <c r="E899" s="329">
        <f t="shared" si="53"/>
        <v>46.416666666666664</v>
      </c>
      <c r="F899" s="329">
        <v>6.3</v>
      </c>
      <c r="G899" s="329">
        <f t="shared" si="54"/>
        <v>6.4666666666666659</v>
      </c>
      <c r="H899" s="329">
        <v>7.3</v>
      </c>
      <c r="I899" s="329">
        <f t="shared" si="55"/>
        <v>7.2166666666666659</v>
      </c>
      <c r="L899" s="331">
        <v>40603</v>
      </c>
      <c r="M899" s="329">
        <v>52.433333333333337</v>
      </c>
      <c r="N899" s="329">
        <v>46.416666666666664</v>
      </c>
      <c r="O899" s="329">
        <v>6.4666666666666659</v>
      </c>
      <c r="P899" s="329">
        <v>7.2166666666666659</v>
      </c>
    </row>
    <row r="900" spans="1:16">
      <c r="A900" s="331">
        <v>40603</v>
      </c>
      <c r="B900" s="329">
        <v>51.9</v>
      </c>
      <c r="C900" s="329">
        <f t="shared" si="56"/>
        <v>52.433333333333337</v>
      </c>
      <c r="D900" s="329">
        <v>46.4</v>
      </c>
      <c r="E900" s="329">
        <f t="shared" si="53"/>
        <v>46.416666666666664</v>
      </c>
      <c r="F900" s="329">
        <v>6.2</v>
      </c>
      <c r="G900" s="329">
        <f t="shared" si="54"/>
        <v>6.4666666666666659</v>
      </c>
      <c r="H900" s="329">
        <v>7.1</v>
      </c>
      <c r="I900" s="329">
        <f t="shared" si="55"/>
        <v>7.2166666666666659</v>
      </c>
      <c r="L900" s="331">
        <v>40603</v>
      </c>
      <c r="M900" s="329">
        <v>52.433333333333337</v>
      </c>
      <c r="N900" s="329">
        <v>46.416666666666664</v>
      </c>
      <c r="O900" s="329">
        <v>6.4666666666666659</v>
      </c>
      <c r="P900" s="329">
        <v>7.2166666666666659</v>
      </c>
    </row>
    <row r="901" spans="1:16">
      <c r="A901" s="331">
        <v>40603</v>
      </c>
      <c r="B901" s="329">
        <v>51.6</v>
      </c>
      <c r="C901" s="329">
        <f t="shared" si="56"/>
        <v>52.433333333333337</v>
      </c>
      <c r="D901" s="329">
        <v>46.4</v>
      </c>
      <c r="E901" s="329">
        <f t="shared" si="53"/>
        <v>46.416666666666664</v>
      </c>
      <c r="F901" s="329">
        <v>6.4</v>
      </c>
      <c r="G901" s="329">
        <f t="shared" si="54"/>
        <v>6.4666666666666659</v>
      </c>
      <c r="H901" s="329">
        <v>7</v>
      </c>
      <c r="I901" s="329">
        <f t="shared" si="55"/>
        <v>7.2166666666666659</v>
      </c>
      <c r="L901" s="331">
        <v>40603</v>
      </c>
      <c r="M901" s="329">
        <v>52.433333333333337</v>
      </c>
      <c r="N901" s="329">
        <v>46.416666666666664</v>
      </c>
      <c r="O901" s="329">
        <v>6.4666666666666659</v>
      </c>
      <c r="P901" s="329">
        <v>7.2166666666666659</v>
      </c>
    </row>
    <row r="902" spans="1:16">
      <c r="A902" s="331">
        <v>40603</v>
      </c>
      <c r="B902" s="329">
        <v>51.4</v>
      </c>
      <c r="C902" s="329">
        <f t="shared" si="56"/>
        <v>52.433333333333337</v>
      </c>
      <c r="D902" s="329">
        <v>46.4</v>
      </c>
      <c r="E902" s="329">
        <f t="shared" si="53"/>
        <v>46.416666666666664</v>
      </c>
      <c r="F902" s="329">
        <v>6.3</v>
      </c>
      <c r="G902" s="329">
        <f t="shared" si="54"/>
        <v>6.4666666666666659</v>
      </c>
      <c r="H902" s="329">
        <v>7</v>
      </c>
      <c r="I902" s="329">
        <f t="shared" si="55"/>
        <v>7.2166666666666659</v>
      </c>
      <c r="L902" s="331">
        <v>40603</v>
      </c>
      <c r="M902" s="329">
        <v>52.433333333333337</v>
      </c>
      <c r="N902" s="329">
        <v>46.416666666666664</v>
      </c>
      <c r="O902" s="329">
        <v>6.4666666666666659</v>
      </c>
      <c r="P902" s="329">
        <v>7.2166666666666659</v>
      </c>
    </row>
    <row r="903" spans="1:16">
      <c r="A903" s="331">
        <v>40604</v>
      </c>
      <c r="B903" s="329">
        <v>51.3</v>
      </c>
      <c r="C903" s="329">
        <f t="shared" si="56"/>
        <v>50.833333333333336</v>
      </c>
      <c r="D903" s="329">
        <v>46.3</v>
      </c>
      <c r="E903" s="329">
        <f t="shared" si="53"/>
        <v>46.300000000000004</v>
      </c>
      <c r="F903" s="329">
        <v>6.2</v>
      </c>
      <c r="G903" s="329">
        <f t="shared" si="54"/>
        <v>6.1166666666666671</v>
      </c>
      <c r="H903" s="329">
        <v>6.9</v>
      </c>
      <c r="I903" s="329">
        <f t="shared" si="55"/>
        <v>6.75</v>
      </c>
      <c r="L903" s="331">
        <v>40604</v>
      </c>
      <c r="M903" s="329">
        <v>50.833333333333336</v>
      </c>
      <c r="N903" s="329">
        <v>46.300000000000004</v>
      </c>
      <c r="O903" s="329">
        <v>6.1166666666666671</v>
      </c>
      <c r="P903" s="329">
        <v>6.75</v>
      </c>
    </row>
    <row r="904" spans="1:16">
      <c r="A904" s="331">
        <v>40604</v>
      </c>
      <c r="B904" s="329">
        <v>51</v>
      </c>
      <c r="C904" s="329">
        <f t="shared" si="56"/>
        <v>50.833333333333336</v>
      </c>
      <c r="D904" s="329">
        <v>46.3</v>
      </c>
      <c r="E904" s="329">
        <f t="shared" si="53"/>
        <v>46.300000000000004</v>
      </c>
      <c r="F904" s="329">
        <v>6.1</v>
      </c>
      <c r="G904" s="329">
        <f t="shared" si="54"/>
        <v>6.1166666666666671</v>
      </c>
      <c r="H904" s="329">
        <v>6.8</v>
      </c>
      <c r="I904" s="329">
        <f t="shared" si="55"/>
        <v>6.75</v>
      </c>
      <c r="L904" s="331">
        <v>40604</v>
      </c>
      <c r="M904" s="329">
        <v>50.833333333333336</v>
      </c>
      <c r="N904" s="329">
        <v>46.300000000000004</v>
      </c>
      <c r="O904" s="329">
        <v>6.1166666666666671</v>
      </c>
      <c r="P904" s="329">
        <v>6.75</v>
      </c>
    </row>
    <row r="905" spans="1:16">
      <c r="A905" s="331">
        <v>40604</v>
      </c>
      <c r="B905" s="329">
        <v>50.9</v>
      </c>
      <c r="C905" s="329">
        <f t="shared" si="56"/>
        <v>50.833333333333336</v>
      </c>
      <c r="D905" s="329">
        <v>46.3</v>
      </c>
      <c r="E905" s="329">
        <f t="shared" si="53"/>
        <v>46.300000000000004</v>
      </c>
      <c r="F905" s="329">
        <v>6.1</v>
      </c>
      <c r="G905" s="329">
        <f t="shared" si="54"/>
        <v>6.1166666666666671</v>
      </c>
      <c r="H905" s="329">
        <v>6.8</v>
      </c>
      <c r="I905" s="329">
        <f t="shared" si="55"/>
        <v>6.75</v>
      </c>
      <c r="L905" s="331">
        <v>40604</v>
      </c>
      <c r="M905" s="329">
        <v>50.833333333333336</v>
      </c>
      <c r="N905" s="329">
        <v>46.300000000000004</v>
      </c>
      <c r="O905" s="329">
        <v>6.1166666666666671</v>
      </c>
      <c r="P905" s="329">
        <v>6.75</v>
      </c>
    </row>
    <row r="906" spans="1:16">
      <c r="A906" s="331">
        <v>40604</v>
      </c>
      <c r="B906" s="329">
        <v>50.7</v>
      </c>
      <c r="C906" s="329">
        <f t="shared" si="56"/>
        <v>50.833333333333336</v>
      </c>
      <c r="D906" s="329">
        <v>46.3</v>
      </c>
      <c r="E906" s="329">
        <f t="shared" si="53"/>
        <v>46.300000000000004</v>
      </c>
      <c r="F906" s="329">
        <v>6.1</v>
      </c>
      <c r="G906" s="329">
        <f t="shared" si="54"/>
        <v>6.1166666666666671</v>
      </c>
      <c r="H906" s="329">
        <v>6.7</v>
      </c>
      <c r="I906" s="329">
        <f t="shared" si="55"/>
        <v>6.75</v>
      </c>
      <c r="L906" s="331">
        <v>40604</v>
      </c>
      <c r="M906" s="329">
        <v>50.833333333333336</v>
      </c>
      <c r="N906" s="329">
        <v>46.300000000000004</v>
      </c>
      <c r="O906" s="329">
        <v>6.1166666666666671</v>
      </c>
      <c r="P906" s="329">
        <v>6.75</v>
      </c>
    </row>
    <row r="907" spans="1:16">
      <c r="A907" s="331">
        <v>40604</v>
      </c>
      <c r="B907" s="329">
        <v>50.6</v>
      </c>
      <c r="C907" s="329">
        <f t="shared" si="56"/>
        <v>50.833333333333336</v>
      </c>
      <c r="D907" s="329">
        <v>46.3</v>
      </c>
      <c r="E907" s="329">
        <f t="shared" si="53"/>
        <v>46.300000000000004</v>
      </c>
      <c r="F907" s="329">
        <v>6.2</v>
      </c>
      <c r="G907" s="329">
        <f t="shared" si="54"/>
        <v>6.1166666666666671</v>
      </c>
      <c r="H907" s="329">
        <v>6.7</v>
      </c>
      <c r="I907" s="329">
        <f t="shared" si="55"/>
        <v>6.75</v>
      </c>
      <c r="L907" s="331">
        <v>40604</v>
      </c>
      <c r="M907" s="329">
        <v>50.833333333333336</v>
      </c>
      <c r="N907" s="329">
        <v>46.300000000000004</v>
      </c>
      <c r="O907" s="329">
        <v>6.1166666666666671</v>
      </c>
      <c r="P907" s="329">
        <v>6.75</v>
      </c>
    </row>
    <row r="908" spans="1:16">
      <c r="A908" s="331">
        <v>40604</v>
      </c>
      <c r="B908" s="329">
        <v>50.5</v>
      </c>
      <c r="C908" s="329">
        <f t="shared" si="56"/>
        <v>50.833333333333336</v>
      </c>
      <c r="D908" s="329">
        <v>46.3</v>
      </c>
      <c r="E908" s="329">
        <f t="shared" si="53"/>
        <v>46.300000000000004</v>
      </c>
      <c r="F908" s="329">
        <v>6</v>
      </c>
      <c r="G908" s="329">
        <f t="shared" si="54"/>
        <v>6.1166666666666671</v>
      </c>
      <c r="H908" s="329">
        <v>6.6</v>
      </c>
      <c r="I908" s="329">
        <f t="shared" si="55"/>
        <v>6.75</v>
      </c>
      <c r="L908" s="331">
        <v>40604</v>
      </c>
      <c r="M908" s="329">
        <v>50.833333333333336</v>
      </c>
      <c r="N908" s="329">
        <v>46.300000000000004</v>
      </c>
      <c r="O908" s="329">
        <v>6.1166666666666671</v>
      </c>
      <c r="P908" s="329">
        <v>6.75</v>
      </c>
    </row>
    <row r="909" spans="1:16">
      <c r="A909" s="331">
        <v>40605</v>
      </c>
      <c r="B909" s="329">
        <v>50.4</v>
      </c>
      <c r="C909" s="329">
        <f t="shared" si="56"/>
        <v>50.216666666666661</v>
      </c>
      <c r="D909" s="329">
        <v>46.2</v>
      </c>
      <c r="E909" s="329">
        <f t="shared" si="53"/>
        <v>46.216666666666661</v>
      </c>
      <c r="F909" s="329">
        <v>5.8</v>
      </c>
      <c r="G909" s="329">
        <f t="shared" si="54"/>
        <v>5.6833333333333336</v>
      </c>
      <c r="H909" s="329">
        <v>6.6</v>
      </c>
      <c r="I909" s="329">
        <f t="shared" si="55"/>
        <v>6.3833333333333329</v>
      </c>
      <c r="L909" s="331">
        <v>40605</v>
      </c>
      <c r="M909" s="329">
        <v>50.216666666666661</v>
      </c>
      <c r="N909" s="329">
        <v>46.216666666666661</v>
      </c>
      <c r="O909" s="329">
        <v>5.6833333333333336</v>
      </c>
      <c r="P909" s="329">
        <v>6.3833333333333329</v>
      </c>
    </row>
    <row r="910" spans="1:16">
      <c r="A910" s="331">
        <v>40605</v>
      </c>
      <c r="B910" s="329">
        <v>50.5</v>
      </c>
      <c r="C910" s="329">
        <f t="shared" si="56"/>
        <v>50.216666666666661</v>
      </c>
      <c r="D910" s="329">
        <v>46.3</v>
      </c>
      <c r="E910" s="329">
        <f t="shared" si="53"/>
        <v>46.216666666666661</v>
      </c>
      <c r="F910" s="329">
        <v>5.6</v>
      </c>
      <c r="G910" s="329">
        <f t="shared" si="54"/>
        <v>5.6833333333333336</v>
      </c>
      <c r="H910" s="329">
        <v>6.5</v>
      </c>
      <c r="I910" s="329">
        <f t="shared" si="55"/>
        <v>6.3833333333333329</v>
      </c>
      <c r="L910" s="331">
        <v>40605</v>
      </c>
      <c r="M910" s="329">
        <v>50.216666666666661</v>
      </c>
      <c r="N910" s="329">
        <v>46.216666666666661</v>
      </c>
      <c r="O910" s="329">
        <v>5.6833333333333336</v>
      </c>
      <c r="P910" s="329">
        <v>6.3833333333333329</v>
      </c>
    </row>
    <row r="911" spans="1:16">
      <c r="A911" s="331">
        <v>40605</v>
      </c>
      <c r="B911" s="329">
        <v>50.3</v>
      </c>
      <c r="C911" s="329">
        <f t="shared" si="56"/>
        <v>50.216666666666661</v>
      </c>
      <c r="D911" s="329">
        <v>46.2</v>
      </c>
      <c r="E911" s="329">
        <f t="shared" si="53"/>
        <v>46.216666666666661</v>
      </c>
      <c r="F911" s="329">
        <v>5.4</v>
      </c>
      <c r="G911" s="329">
        <f t="shared" si="54"/>
        <v>5.6833333333333336</v>
      </c>
      <c r="H911" s="329">
        <v>6.4</v>
      </c>
      <c r="I911" s="329">
        <f t="shared" si="55"/>
        <v>6.3833333333333329</v>
      </c>
      <c r="L911" s="331">
        <v>40605</v>
      </c>
      <c r="M911" s="329">
        <v>50.216666666666661</v>
      </c>
      <c r="N911" s="329">
        <v>46.216666666666661</v>
      </c>
      <c r="O911" s="329">
        <v>5.6833333333333336</v>
      </c>
      <c r="P911" s="329">
        <v>6.3833333333333329</v>
      </c>
    </row>
    <row r="912" spans="1:16">
      <c r="A912" s="331">
        <v>40605</v>
      </c>
      <c r="B912" s="329">
        <v>50.1</v>
      </c>
      <c r="C912" s="329">
        <f t="shared" si="56"/>
        <v>50.216666666666661</v>
      </c>
      <c r="D912" s="329">
        <v>46.2</v>
      </c>
      <c r="E912" s="329">
        <f t="shared" si="53"/>
        <v>46.216666666666661</v>
      </c>
      <c r="F912" s="329">
        <v>5.3</v>
      </c>
      <c r="G912" s="329">
        <f t="shared" si="54"/>
        <v>5.6833333333333336</v>
      </c>
      <c r="H912" s="329">
        <v>6.3</v>
      </c>
      <c r="I912" s="329">
        <f t="shared" si="55"/>
        <v>6.3833333333333329</v>
      </c>
      <c r="L912" s="331">
        <v>40605</v>
      </c>
      <c r="M912" s="329">
        <v>50.216666666666661</v>
      </c>
      <c r="N912" s="329">
        <v>46.216666666666661</v>
      </c>
      <c r="O912" s="329">
        <v>5.6833333333333336</v>
      </c>
      <c r="P912" s="329">
        <v>6.3833333333333329</v>
      </c>
    </row>
    <row r="913" spans="1:16">
      <c r="A913" s="331">
        <v>40605</v>
      </c>
      <c r="B913" s="329">
        <v>50.1</v>
      </c>
      <c r="C913" s="329">
        <f t="shared" si="56"/>
        <v>50.216666666666661</v>
      </c>
      <c r="D913" s="329">
        <v>46.2</v>
      </c>
      <c r="E913" s="329">
        <f t="shared" si="53"/>
        <v>46.216666666666661</v>
      </c>
      <c r="F913" s="329">
        <v>5.9</v>
      </c>
      <c r="G913" s="329">
        <f t="shared" si="54"/>
        <v>5.6833333333333336</v>
      </c>
      <c r="H913" s="329">
        <v>6.2</v>
      </c>
      <c r="I913" s="329">
        <f t="shared" si="55"/>
        <v>6.3833333333333329</v>
      </c>
      <c r="L913" s="331">
        <v>40605</v>
      </c>
      <c r="M913" s="329">
        <v>50.216666666666661</v>
      </c>
      <c r="N913" s="329">
        <v>46.216666666666661</v>
      </c>
      <c r="O913" s="329">
        <v>5.6833333333333336</v>
      </c>
      <c r="P913" s="329">
        <v>6.3833333333333329</v>
      </c>
    </row>
    <row r="914" spans="1:16">
      <c r="A914" s="331">
        <v>40605</v>
      </c>
      <c r="B914" s="329">
        <v>49.9</v>
      </c>
      <c r="C914" s="329">
        <f t="shared" si="56"/>
        <v>50.216666666666661</v>
      </c>
      <c r="D914" s="329">
        <v>46.2</v>
      </c>
      <c r="E914" s="329">
        <f t="shared" si="53"/>
        <v>46.216666666666661</v>
      </c>
      <c r="F914" s="329">
        <v>6.1</v>
      </c>
      <c r="G914" s="329">
        <f t="shared" si="54"/>
        <v>5.6833333333333336</v>
      </c>
      <c r="H914" s="329">
        <v>6.3</v>
      </c>
      <c r="I914" s="329">
        <f t="shared" si="55"/>
        <v>6.3833333333333329</v>
      </c>
      <c r="L914" s="331">
        <v>40605</v>
      </c>
      <c r="M914" s="329">
        <v>50.216666666666661</v>
      </c>
      <c r="N914" s="329">
        <v>46.216666666666661</v>
      </c>
      <c r="O914" s="329">
        <v>5.6833333333333336</v>
      </c>
      <c r="P914" s="329">
        <v>6.3833333333333329</v>
      </c>
    </row>
    <row r="915" spans="1:16">
      <c r="A915" s="331">
        <v>40606</v>
      </c>
      <c r="B915" s="329">
        <v>49.9</v>
      </c>
      <c r="C915" s="329">
        <f t="shared" si="56"/>
        <v>49.733333333333327</v>
      </c>
      <c r="D915" s="329">
        <v>46.2</v>
      </c>
      <c r="E915" s="329">
        <f t="shared" si="53"/>
        <v>46.116666666666667</v>
      </c>
      <c r="F915" s="329">
        <v>5.4</v>
      </c>
      <c r="G915" s="329">
        <f t="shared" si="54"/>
        <v>5.45</v>
      </c>
      <c r="H915" s="329">
        <v>6.3</v>
      </c>
      <c r="I915" s="329">
        <f t="shared" si="55"/>
        <v>6.0333333333333341</v>
      </c>
      <c r="L915" s="331">
        <v>40606</v>
      </c>
      <c r="M915" s="329">
        <v>49.733333333333327</v>
      </c>
      <c r="N915" s="329">
        <v>46.116666666666667</v>
      </c>
      <c r="O915" s="329">
        <v>5.45</v>
      </c>
      <c r="P915" s="329">
        <v>6.0333333333333341</v>
      </c>
    </row>
    <row r="916" spans="1:16">
      <c r="A916" s="331">
        <v>40606</v>
      </c>
      <c r="B916" s="329">
        <v>49.8</v>
      </c>
      <c r="C916" s="329">
        <f t="shared" si="56"/>
        <v>49.733333333333327</v>
      </c>
      <c r="D916" s="329">
        <v>46.2</v>
      </c>
      <c r="E916" s="329">
        <f t="shared" si="53"/>
        <v>46.116666666666667</v>
      </c>
      <c r="F916" s="329">
        <v>4.9000000000000004</v>
      </c>
      <c r="G916" s="329">
        <f t="shared" si="54"/>
        <v>5.45</v>
      </c>
      <c r="H916" s="329">
        <v>6.2</v>
      </c>
      <c r="I916" s="329">
        <f t="shared" si="55"/>
        <v>6.0333333333333341</v>
      </c>
      <c r="L916" s="331">
        <v>40606</v>
      </c>
      <c r="M916" s="329">
        <v>49.733333333333327</v>
      </c>
      <c r="N916" s="329">
        <v>46.116666666666667</v>
      </c>
      <c r="O916" s="329">
        <v>5.45</v>
      </c>
      <c r="P916" s="329">
        <v>6.0333333333333341</v>
      </c>
    </row>
    <row r="917" spans="1:16">
      <c r="A917" s="331">
        <v>40606</v>
      </c>
      <c r="B917" s="329">
        <v>49.8</v>
      </c>
      <c r="C917" s="329">
        <f t="shared" si="56"/>
        <v>49.733333333333327</v>
      </c>
      <c r="D917" s="329">
        <v>46.2</v>
      </c>
      <c r="E917" s="329">
        <f t="shared" si="53"/>
        <v>46.116666666666667</v>
      </c>
      <c r="F917" s="329">
        <v>4.5</v>
      </c>
      <c r="G917" s="329">
        <f t="shared" si="54"/>
        <v>5.45</v>
      </c>
      <c r="H917" s="329">
        <v>6</v>
      </c>
      <c r="I917" s="329">
        <f t="shared" si="55"/>
        <v>6.0333333333333341</v>
      </c>
      <c r="L917" s="331">
        <v>40606</v>
      </c>
      <c r="M917" s="329">
        <v>49.733333333333327</v>
      </c>
      <c r="N917" s="329">
        <v>46.116666666666667</v>
      </c>
      <c r="O917" s="329">
        <v>5.45</v>
      </c>
      <c r="P917" s="329">
        <v>6.0333333333333341</v>
      </c>
    </row>
    <row r="918" spans="1:16">
      <c r="A918" s="331">
        <v>40606</v>
      </c>
      <c r="B918" s="329">
        <v>49.8</v>
      </c>
      <c r="C918" s="329">
        <f t="shared" si="56"/>
        <v>49.733333333333327</v>
      </c>
      <c r="D918" s="329">
        <v>46.2</v>
      </c>
      <c r="E918" s="329">
        <f t="shared" si="53"/>
        <v>46.116666666666667</v>
      </c>
      <c r="F918" s="329">
        <v>4.8</v>
      </c>
      <c r="G918" s="329">
        <f t="shared" si="54"/>
        <v>5.45</v>
      </c>
      <c r="H918" s="329">
        <v>5.8</v>
      </c>
      <c r="I918" s="329">
        <f t="shared" si="55"/>
        <v>6.0333333333333341</v>
      </c>
      <c r="L918" s="331">
        <v>40606</v>
      </c>
      <c r="M918" s="329">
        <v>49.733333333333327</v>
      </c>
      <c r="N918" s="329">
        <v>46.116666666666667</v>
      </c>
      <c r="O918" s="329">
        <v>5.45</v>
      </c>
      <c r="P918" s="329">
        <v>6.0333333333333341</v>
      </c>
    </row>
    <row r="919" spans="1:16">
      <c r="A919" s="331">
        <v>40606</v>
      </c>
      <c r="B919" s="329">
        <v>49.6</v>
      </c>
      <c r="C919" s="329">
        <f t="shared" si="56"/>
        <v>49.733333333333327</v>
      </c>
      <c r="D919" s="329">
        <v>46</v>
      </c>
      <c r="E919" s="329">
        <f t="shared" si="53"/>
        <v>46.116666666666667</v>
      </c>
      <c r="F919" s="329">
        <v>6.3</v>
      </c>
      <c r="G919" s="329">
        <f t="shared" si="54"/>
        <v>5.45</v>
      </c>
      <c r="H919" s="329">
        <v>5.8</v>
      </c>
      <c r="I919" s="329">
        <f t="shared" si="55"/>
        <v>6.0333333333333341</v>
      </c>
      <c r="L919" s="331">
        <v>40606</v>
      </c>
      <c r="M919" s="329">
        <v>49.733333333333327</v>
      </c>
      <c r="N919" s="329">
        <v>46.116666666666667</v>
      </c>
      <c r="O919" s="329">
        <v>5.45</v>
      </c>
      <c r="P919" s="329">
        <v>6.0333333333333341</v>
      </c>
    </row>
    <row r="920" spans="1:16">
      <c r="A920" s="331">
        <v>40606</v>
      </c>
      <c r="B920" s="329">
        <v>49.5</v>
      </c>
      <c r="C920" s="329">
        <f t="shared" si="56"/>
        <v>49.733333333333327</v>
      </c>
      <c r="D920" s="329">
        <v>45.9</v>
      </c>
      <c r="E920" s="329">
        <f t="shared" si="53"/>
        <v>46.116666666666667</v>
      </c>
      <c r="F920" s="329">
        <v>6.8</v>
      </c>
      <c r="G920" s="329">
        <f t="shared" si="54"/>
        <v>5.45</v>
      </c>
      <c r="H920" s="329">
        <v>6.1</v>
      </c>
      <c r="I920" s="329">
        <f t="shared" si="55"/>
        <v>6.0333333333333341</v>
      </c>
      <c r="L920" s="331">
        <v>40606</v>
      </c>
      <c r="M920" s="329">
        <v>49.733333333333327</v>
      </c>
      <c r="N920" s="329">
        <v>46.116666666666667</v>
      </c>
      <c r="O920" s="329">
        <v>5.45</v>
      </c>
      <c r="P920" s="329">
        <v>6.0333333333333341</v>
      </c>
    </row>
    <row r="921" spans="1:16">
      <c r="A921" s="331">
        <v>40607</v>
      </c>
      <c r="B921" s="329">
        <v>49.5</v>
      </c>
      <c r="C921" s="329">
        <f t="shared" si="56"/>
        <v>49.383333333333333</v>
      </c>
      <c r="D921" s="329">
        <v>45.9</v>
      </c>
      <c r="E921" s="329">
        <f t="shared" si="53"/>
        <v>45.866666666666667</v>
      </c>
      <c r="F921" s="329">
        <v>6.4</v>
      </c>
      <c r="G921" s="329">
        <f t="shared" si="54"/>
        <v>6.0666666666666664</v>
      </c>
      <c r="H921" s="329">
        <v>6.3</v>
      </c>
      <c r="I921" s="329">
        <f t="shared" si="55"/>
        <v>6.2333333333333334</v>
      </c>
      <c r="L921" s="331">
        <v>40607</v>
      </c>
      <c r="M921" s="329">
        <v>49.383333333333333</v>
      </c>
      <c r="N921" s="329">
        <v>45.866666666666667</v>
      </c>
      <c r="O921" s="329">
        <v>6.0666666666666664</v>
      </c>
      <c r="P921" s="329">
        <v>6.2333333333333334</v>
      </c>
    </row>
    <row r="922" spans="1:16">
      <c r="A922" s="331">
        <v>40607</v>
      </c>
      <c r="B922" s="329">
        <v>49.5</v>
      </c>
      <c r="C922" s="329">
        <f t="shared" si="56"/>
        <v>49.383333333333333</v>
      </c>
      <c r="D922" s="329">
        <v>45.9</v>
      </c>
      <c r="E922" s="329">
        <f t="shared" si="53"/>
        <v>45.866666666666667</v>
      </c>
      <c r="F922" s="329">
        <v>5.7</v>
      </c>
      <c r="G922" s="329">
        <f t="shared" si="54"/>
        <v>6.0666666666666664</v>
      </c>
      <c r="H922" s="329">
        <v>6.4</v>
      </c>
      <c r="I922" s="329">
        <f t="shared" si="55"/>
        <v>6.2333333333333334</v>
      </c>
      <c r="L922" s="331">
        <v>40607</v>
      </c>
      <c r="M922" s="329">
        <v>49.383333333333333</v>
      </c>
      <c r="N922" s="329">
        <v>45.866666666666667</v>
      </c>
      <c r="O922" s="329">
        <v>6.0666666666666664</v>
      </c>
      <c r="P922" s="329">
        <v>6.2333333333333334</v>
      </c>
    </row>
    <row r="923" spans="1:16">
      <c r="A923" s="331">
        <v>40607</v>
      </c>
      <c r="B923" s="329">
        <v>49.4</v>
      </c>
      <c r="C923" s="329">
        <f t="shared" si="56"/>
        <v>49.383333333333333</v>
      </c>
      <c r="D923" s="329">
        <v>45.9</v>
      </c>
      <c r="E923" s="329">
        <f t="shared" si="53"/>
        <v>45.866666666666667</v>
      </c>
      <c r="F923" s="329">
        <v>5.0999999999999996</v>
      </c>
      <c r="G923" s="329">
        <f t="shared" si="54"/>
        <v>6.0666666666666664</v>
      </c>
      <c r="H923" s="329">
        <v>6.2</v>
      </c>
      <c r="I923" s="329">
        <f t="shared" si="55"/>
        <v>6.2333333333333334</v>
      </c>
      <c r="L923" s="331">
        <v>40607</v>
      </c>
      <c r="M923" s="329">
        <v>49.383333333333333</v>
      </c>
      <c r="N923" s="329">
        <v>45.866666666666667</v>
      </c>
      <c r="O923" s="329">
        <v>6.0666666666666664</v>
      </c>
      <c r="P923" s="329">
        <v>6.2333333333333334</v>
      </c>
    </row>
    <row r="924" spans="1:16">
      <c r="A924" s="331">
        <v>40607</v>
      </c>
      <c r="B924" s="329">
        <v>49.4</v>
      </c>
      <c r="C924" s="329">
        <f t="shared" si="56"/>
        <v>49.383333333333333</v>
      </c>
      <c r="D924" s="329">
        <v>45.9</v>
      </c>
      <c r="E924" s="329">
        <f t="shared" si="53"/>
        <v>45.866666666666667</v>
      </c>
      <c r="F924" s="329">
        <v>5.2</v>
      </c>
      <c r="G924" s="329">
        <f t="shared" si="54"/>
        <v>6.0666666666666664</v>
      </c>
      <c r="H924" s="329">
        <v>6.1</v>
      </c>
      <c r="I924" s="329">
        <f t="shared" si="55"/>
        <v>6.2333333333333334</v>
      </c>
      <c r="L924" s="331">
        <v>40607</v>
      </c>
      <c r="M924" s="329">
        <v>49.383333333333333</v>
      </c>
      <c r="N924" s="329">
        <v>45.866666666666667</v>
      </c>
      <c r="O924" s="329">
        <v>6.0666666666666664</v>
      </c>
      <c r="P924" s="329">
        <v>6.2333333333333334</v>
      </c>
    </row>
    <row r="925" spans="1:16">
      <c r="A925" s="331">
        <v>40607</v>
      </c>
      <c r="B925" s="329">
        <v>49.3</v>
      </c>
      <c r="C925" s="329">
        <f t="shared" si="56"/>
        <v>49.383333333333333</v>
      </c>
      <c r="D925" s="329">
        <v>45.8</v>
      </c>
      <c r="E925" s="329">
        <f t="shared" si="53"/>
        <v>45.866666666666667</v>
      </c>
      <c r="F925" s="329">
        <v>6.7</v>
      </c>
      <c r="G925" s="329">
        <f t="shared" si="54"/>
        <v>6.0666666666666664</v>
      </c>
      <c r="H925" s="329">
        <v>6.1</v>
      </c>
      <c r="I925" s="329">
        <f t="shared" si="55"/>
        <v>6.2333333333333334</v>
      </c>
      <c r="L925" s="331">
        <v>40607</v>
      </c>
      <c r="M925" s="329">
        <v>49.383333333333333</v>
      </c>
      <c r="N925" s="329">
        <v>45.866666666666667</v>
      </c>
      <c r="O925" s="329">
        <v>6.0666666666666664</v>
      </c>
      <c r="P925" s="329">
        <v>6.2333333333333334</v>
      </c>
    </row>
    <row r="926" spans="1:16">
      <c r="A926" s="331">
        <v>40607</v>
      </c>
      <c r="B926" s="329">
        <v>49.2</v>
      </c>
      <c r="C926" s="329">
        <f t="shared" si="56"/>
        <v>49.383333333333333</v>
      </c>
      <c r="D926" s="329">
        <v>45.8</v>
      </c>
      <c r="E926" s="329">
        <f t="shared" si="53"/>
        <v>45.866666666666667</v>
      </c>
      <c r="F926" s="329">
        <v>7.3</v>
      </c>
      <c r="G926" s="329">
        <f t="shared" si="54"/>
        <v>6.0666666666666664</v>
      </c>
      <c r="H926" s="329">
        <v>6.3</v>
      </c>
      <c r="I926" s="329">
        <f t="shared" si="55"/>
        <v>6.2333333333333334</v>
      </c>
      <c r="L926" s="331">
        <v>40607</v>
      </c>
      <c r="M926" s="329">
        <v>49.383333333333333</v>
      </c>
      <c r="N926" s="329">
        <v>45.866666666666667</v>
      </c>
      <c r="O926" s="329">
        <v>6.0666666666666664</v>
      </c>
      <c r="P926" s="329">
        <v>6.2333333333333334</v>
      </c>
    </row>
    <row r="927" spans="1:16">
      <c r="A927" s="331">
        <v>40608</v>
      </c>
      <c r="B927" s="329">
        <v>49.1</v>
      </c>
      <c r="C927" s="329">
        <f t="shared" si="56"/>
        <v>49.066666666666663</v>
      </c>
      <c r="D927" s="329">
        <v>45.8</v>
      </c>
      <c r="E927" s="329">
        <f t="shared" si="53"/>
        <v>45.766666666666659</v>
      </c>
      <c r="F927" s="329">
        <v>6.7</v>
      </c>
      <c r="G927" s="329">
        <f t="shared" si="54"/>
        <v>6.5333333333333341</v>
      </c>
      <c r="H927" s="329">
        <v>6.6</v>
      </c>
      <c r="I927" s="329">
        <f t="shared" si="55"/>
        <v>6.4833333333333334</v>
      </c>
      <c r="L927" s="331">
        <v>40608</v>
      </c>
      <c r="M927" s="329">
        <v>49.066666666666663</v>
      </c>
      <c r="N927" s="329">
        <v>45.766666666666659</v>
      </c>
      <c r="O927" s="329">
        <v>6.5333333333333341</v>
      </c>
      <c r="P927" s="329">
        <v>6.4833333333333334</v>
      </c>
    </row>
    <row r="928" spans="1:16">
      <c r="A928" s="331">
        <v>40608</v>
      </c>
      <c r="B928" s="329">
        <v>49.1</v>
      </c>
      <c r="C928" s="329">
        <f t="shared" si="56"/>
        <v>49.066666666666663</v>
      </c>
      <c r="D928" s="329">
        <v>45.8</v>
      </c>
      <c r="E928" s="329">
        <f t="shared" si="53"/>
        <v>45.766666666666659</v>
      </c>
      <c r="F928" s="329">
        <v>6.2</v>
      </c>
      <c r="G928" s="329">
        <f t="shared" si="54"/>
        <v>6.5333333333333341</v>
      </c>
      <c r="H928" s="329">
        <v>6.6</v>
      </c>
      <c r="I928" s="329">
        <f t="shared" si="55"/>
        <v>6.4833333333333334</v>
      </c>
      <c r="L928" s="331">
        <v>40608</v>
      </c>
      <c r="M928" s="329">
        <v>49.066666666666663</v>
      </c>
      <c r="N928" s="329">
        <v>45.766666666666659</v>
      </c>
      <c r="O928" s="329">
        <v>6.5333333333333341</v>
      </c>
      <c r="P928" s="329">
        <v>6.4833333333333334</v>
      </c>
    </row>
    <row r="929" spans="1:16">
      <c r="A929" s="331">
        <v>40608</v>
      </c>
      <c r="B929" s="329">
        <v>49.1</v>
      </c>
      <c r="C929" s="329">
        <f t="shared" si="56"/>
        <v>49.066666666666663</v>
      </c>
      <c r="D929" s="329">
        <v>45.8</v>
      </c>
      <c r="E929" s="329">
        <f t="shared" si="53"/>
        <v>45.766666666666659</v>
      </c>
      <c r="F929" s="329">
        <v>5.8</v>
      </c>
      <c r="G929" s="329">
        <f t="shared" si="54"/>
        <v>6.5333333333333341</v>
      </c>
      <c r="H929" s="329">
        <v>6.5</v>
      </c>
      <c r="I929" s="329">
        <f t="shared" si="55"/>
        <v>6.4833333333333334</v>
      </c>
      <c r="L929" s="331">
        <v>40608</v>
      </c>
      <c r="M929" s="329">
        <v>49.066666666666663</v>
      </c>
      <c r="N929" s="329">
        <v>45.766666666666659</v>
      </c>
      <c r="O929" s="329">
        <v>6.5333333333333341</v>
      </c>
      <c r="P929" s="329">
        <v>6.4833333333333334</v>
      </c>
    </row>
    <row r="930" spans="1:16">
      <c r="A930" s="331">
        <v>40608</v>
      </c>
      <c r="B930" s="329">
        <v>49.1</v>
      </c>
      <c r="C930" s="329">
        <f t="shared" si="56"/>
        <v>49.066666666666663</v>
      </c>
      <c r="D930" s="329">
        <v>45.8</v>
      </c>
      <c r="E930" s="329">
        <f t="shared" ref="E930:E993" si="57">AVERAGEIFS($D$33:$D$1494,$A$33:$A$1494,A930)</f>
        <v>45.766666666666659</v>
      </c>
      <c r="F930" s="329">
        <v>5.8</v>
      </c>
      <c r="G930" s="329">
        <f t="shared" ref="G930:G993" si="58">AVERAGEIFS($F$33:$F$1494,$A$33:$A$1494,A930)</f>
        <v>6.5333333333333341</v>
      </c>
      <c r="H930" s="329">
        <v>6.3</v>
      </c>
      <c r="I930" s="329">
        <f t="shared" ref="I930:I993" si="59">AVERAGEIFS($H$33:$H$1494,$A$33:$A$1494,A930)</f>
        <v>6.4833333333333334</v>
      </c>
      <c r="L930" s="331">
        <v>40608</v>
      </c>
      <c r="M930" s="329">
        <v>49.066666666666663</v>
      </c>
      <c r="N930" s="329">
        <v>45.766666666666659</v>
      </c>
      <c r="O930" s="329">
        <v>6.5333333333333341</v>
      </c>
      <c r="P930" s="329">
        <v>6.4833333333333334</v>
      </c>
    </row>
    <row r="931" spans="1:16">
      <c r="A931" s="331">
        <v>40608</v>
      </c>
      <c r="B931" s="329">
        <v>49</v>
      </c>
      <c r="C931" s="329">
        <f t="shared" si="56"/>
        <v>49.066666666666663</v>
      </c>
      <c r="D931" s="329">
        <v>45.7</v>
      </c>
      <c r="E931" s="329">
        <f t="shared" si="57"/>
        <v>45.766666666666659</v>
      </c>
      <c r="F931" s="329">
        <v>7.1</v>
      </c>
      <c r="G931" s="329">
        <f t="shared" si="58"/>
        <v>6.5333333333333341</v>
      </c>
      <c r="H931" s="329">
        <v>6.3</v>
      </c>
      <c r="I931" s="329">
        <f t="shared" si="59"/>
        <v>6.4833333333333334</v>
      </c>
      <c r="L931" s="331">
        <v>40608</v>
      </c>
      <c r="M931" s="329">
        <v>49.066666666666663</v>
      </c>
      <c r="N931" s="329">
        <v>45.766666666666659</v>
      </c>
      <c r="O931" s="329">
        <v>6.5333333333333341</v>
      </c>
      <c r="P931" s="329">
        <v>6.4833333333333334</v>
      </c>
    </row>
    <row r="932" spans="1:16">
      <c r="A932" s="331">
        <v>40608</v>
      </c>
      <c r="B932" s="329">
        <v>49</v>
      </c>
      <c r="C932" s="329">
        <f t="shared" si="56"/>
        <v>49.066666666666663</v>
      </c>
      <c r="D932" s="329">
        <v>45.7</v>
      </c>
      <c r="E932" s="329">
        <f t="shared" si="57"/>
        <v>45.766666666666659</v>
      </c>
      <c r="F932" s="329">
        <v>7.6</v>
      </c>
      <c r="G932" s="329">
        <f t="shared" si="58"/>
        <v>6.5333333333333341</v>
      </c>
      <c r="H932" s="329">
        <v>6.6</v>
      </c>
      <c r="I932" s="329">
        <f t="shared" si="59"/>
        <v>6.4833333333333334</v>
      </c>
      <c r="L932" s="331">
        <v>40608</v>
      </c>
      <c r="M932" s="329">
        <v>49.066666666666663</v>
      </c>
      <c r="N932" s="329">
        <v>45.766666666666659</v>
      </c>
      <c r="O932" s="329">
        <v>6.5333333333333341</v>
      </c>
      <c r="P932" s="329">
        <v>6.4833333333333334</v>
      </c>
    </row>
    <row r="933" spans="1:16">
      <c r="A933" s="331">
        <v>40609</v>
      </c>
      <c r="B933" s="329">
        <v>49.2</v>
      </c>
      <c r="C933" s="329">
        <f t="shared" si="56"/>
        <v>49.116666666666667</v>
      </c>
      <c r="D933" s="329">
        <v>45.7</v>
      </c>
      <c r="E933" s="329">
        <f t="shared" si="57"/>
        <v>45.666666666666664</v>
      </c>
      <c r="F933" s="329">
        <v>6.8</v>
      </c>
      <c r="G933" s="329">
        <f t="shared" si="58"/>
        <v>6.2833333333333341</v>
      </c>
      <c r="H933" s="329">
        <v>6.8</v>
      </c>
      <c r="I933" s="329">
        <f t="shared" si="59"/>
        <v>6.5</v>
      </c>
      <c r="L933" s="331">
        <v>40609</v>
      </c>
      <c r="M933" s="329">
        <v>49.116666666666667</v>
      </c>
      <c r="N933" s="329">
        <v>45.666666666666664</v>
      </c>
      <c r="O933" s="329">
        <v>6.2833333333333341</v>
      </c>
      <c r="P933" s="329">
        <v>6.5</v>
      </c>
    </row>
    <row r="934" spans="1:16">
      <c r="A934" s="331">
        <v>40609</v>
      </c>
      <c r="B934" s="329">
        <v>49.2</v>
      </c>
      <c r="C934" s="329">
        <f t="shared" si="56"/>
        <v>49.116666666666667</v>
      </c>
      <c r="D934" s="329">
        <v>45.7</v>
      </c>
      <c r="E934" s="329">
        <f t="shared" si="57"/>
        <v>45.666666666666664</v>
      </c>
      <c r="F934" s="329">
        <v>5.9</v>
      </c>
      <c r="G934" s="329">
        <f t="shared" si="58"/>
        <v>6.2833333333333341</v>
      </c>
      <c r="H934" s="329">
        <v>6.7</v>
      </c>
      <c r="I934" s="329">
        <f t="shared" si="59"/>
        <v>6.5</v>
      </c>
      <c r="L934" s="331">
        <v>40609</v>
      </c>
      <c r="M934" s="329">
        <v>49.116666666666667</v>
      </c>
      <c r="N934" s="329">
        <v>45.666666666666664</v>
      </c>
      <c r="O934" s="329">
        <v>6.2833333333333341</v>
      </c>
      <c r="P934" s="329">
        <v>6.5</v>
      </c>
    </row>
    <row r="935" spans="1:16">
      <c r="A935" s="331">
        <v>40609</v>
      </c>
      <c r="B935" s="329">
        <v>49.2</v>
      </c>
      <c r="C935" s="329">
        <f t="shared" si="56"/>
        <v>49.116666666666667</v>
      </c>
      <c r="D935" s="329">
        <v>45.7</v>
      </c>
      <c r="E935" s="329">
        <f t="shared" si="57"/>
        <v>45.666666666666664</v>
      </c>
      <c r="F935" s="329">
        <v>5.2</v>
      </c>
      <c r="G935" s="329">
        <f t="shared" si="58"/>
        <v>6.2833333333333341</v>
      </c>
      <c r="H935" s="329">
        <v>6.5</v>
      </c>
      <c r="I935" s="329">
        <f t="shared" si="59"/>
        <v>6.5</v>
      </c>
      <c r="L935" s="331">
        <v>40609</v>
      </c>
      <c r="M935" s="329">
        <v>49.116666666666667</v>
      </c>
      <c r="N935" s="329">
        <v>45.666666666666664</v>
      </c>
      <c r="O935" s="329">
        <v>6.2833333333333341</v>
      </c>
      <c r="P935" s="329">
        <v>6.5</v>
      </c>
    </row>
    <row r="936" spans="1:16">
      <c r="A936" s="331">
        <v>40609</v>
      </c>
      <c r="B936" s="329">
        <v>49.2</v>
      </c>
      <c r="C936" s="329">
        <f t="shared" ref="C936:C999" si="60">AVERAGEIFS($B$33:$B$1494,$A$33:$A$1494,A936)</f>
        <v>49.116666666666667</v>
      </c>
      <c r="D936" s="329">
        <v>45.7</v>
      </c>
      <c r="E936" s="329">
        <f t="shared" si="57"/>
        <v>45.666666666666664</v>
      </c>
      <c r="F936" s="329">
        <v>5.3</v>
      </c>
      <c r="G936" s="329">
        <f t="shared" si="58"/>
        <v>6.2833333333333341</v>
      </c>
      <c r="H936" s="329">
        <v>6.3</v>
      </c>
      <c r="I936" s="329">
        <f t="shared" si="59"/>
        <v>6.5</v>
      </c>
      <c r="L936" s="331">
        <v>40609</v>
      </c>
      <c r="M936" s="329">
        <v>49.116666666666667</v>
      </c>
      <c r="N936" s="329">
        <v>45.666666666666664</v>
      </c>
      <c r="O936" s="329">
        <v>6.2833333333333341</v>
      </c>
      <c r="P936" s="329">
        <v>6.5</v>
      </c>
    </row>
    <row r="937" spans="1:16">
      <c r="A937" s="331">
        <v>40609</v>
      </c>
      <c r="B937" s="329">
        <v>49</v>
      </c>
      <c r="C937" s="329">
        <f t="shared" si="60"/>
        <v>49.116666666666667</v>
      </c>
      <c r="D937" s="329">
        <v>45.6</v>
      </c>
      <c r="E937" s="329">
        <f t="shared" si="57"/>
        <v>45.666666666666664</v>
      </c>
      <c r="F937" s="329">
        <v>6.9</v>
      </c>
      <c r="G937" s="329">
        <f t="shared" si="58"/>
        <v>6.2833333333333341</v>
      </c>
      <c r="H937" s="329">
        <v>6.2</v>
      </c>
      <c r="I937" s="329">
        <f t="shared" si="59"/>
        <v>6.5</v>
      </c>
      <c r="L937" s="331">
        <v>40609</v>
      </c>
      <c r="M937" s="329">
        <v>49.116666666666667</v>
      </c>
      <c r="N937" s="329">
        <v>45.666666666666664</v>
      </c>
      <c r="O937" s="329">
        <v>6.2833333333333341</v>
      </c>
      <c r="P937" s="329">
        <v>6.5</v>
      </c>
    </row>
    <row r="938" spans="1:16">
      <c r="A938" s="331">
        <v>40609</v>
      </c>
      <c r="B938" s="329">
        <v>48.9</v>
      </c>
      <c r="C938" s="329">
        <f t="shared" si="60"/>
        <v>49.116666666666667</v>
      </c>
      <c r="D938" s="329">
        <v>45.6</v>
      </c>
      <c r="E938" s="329">
        <f t="shared" si="57"/>
        <v>45.666666666666664</v>
      </c>
      <c r="F938" s="329">
        <v>7.6</v>
      </c>
      <c r="G938" s="329">
        <f t="shared" si="58"/>
        <v>6.2833333333333341</v>
      </c>
      <c r="H938" s="329">
        <v>6.5</v>
      </c>
      <c r="I938" s="329">
        <f t="shared" si="59"/>
        <v>6.5</v>
      </c>
      <c r="L938" s="331">
        <v>40609</v>
      </c>
      <c r="M938" s="329">
        <v>49.116666666666667</v>
      </c>
      <c r="N938" s="329">
        <v>45.666666666666664</v>
      </c>
      <c r="O938" s="329">
        <v>6.2833333333333341</v>
      </c>
      <c r="P938" s="329">
        <v>6.5</v>
      </c>
    </row>
    <row r="939" spans="1:16">
      <c r="A939" s="331">
        <v>40610</v>
      </c>
      <c r="B939" s="329">
        <v>48.9</v>
      </c>
      <c r="C939" s="329">
        <f t="shared" si="60"/>
        <v>48.68333333333333</v>
      </c>
      <c r="D939" s="329">
        <v>45.6</v>
      </c>
      <c r="E939" s="329">
        <f t="shared" si="57"/>
        <v>45.533333333333331</v>
      </c>
      <c r="F939" s="329">
        <v>7.5</v>
      </c>
      <c r="G939" s="329">
        <f t="shared" si="58"/>
        <v>7.7666666666666657</v>
      </c>
      <c r="H939" s="329">
        <v>6.8</v>
      </c>
      <c r="I939" s="329">
        <f t="shared" si="59"/>
        <v>7.0166666666666657</v>
      </c>
      <c r="L939" s="331">
        <v>40610</v>
      </c>
      <c r="M939" s="329">
        <v>48.68333333333333</v>
      </c>
      <c r="N939" s="329">
        <v>45.533333333333331</v>
      </c>
      <c r="O939" s="329">
        <v>7.7666666666666657</v>
      </c>
      <c r="P939" s="329">
        <v>7.0166666666666657</v>
      </c>
    </row>
    <row r="940" spans="1:16">
      <c r="A940" s="331">
        <v>40610</v>
      </c>
      <c r="B940" s="329">
        <v>48.8</v>
      </c>
      <c r="C940" s="329">
        <f t="shared" si="60"/>
        <v>48.68333333333333</v>
      </c>
      <c r="D940" s="329">
        <v>45.6</v>
      </c>
      <c r="E940" s="329">
        <f t="shared" si="57"/>
        <v>45.533333333333331</v>
      </c>
      <c r="F940" s="329">
        <v>7.5</v>
      </c>
      <c r="G940" s="329">
        <f t="shared" si="58"/>
        <v>7.7666666666666657</v>
      </c>
      <c r="H940" s="329">
        <v>6.9</v>
      </c>
      <c r="I940" s="329">
        <f t="shared" si="59"/>
        <v>7.0166666666666657</v>
      </c>
      <c r="L940" s="331">
        <v>40610</v>
      </c>
      <c r="M940" s="329">
        <v>48.68333333333333</v>
      </c>
      <c r="N940" s="329">
        <v>45.533333333333331</v>
      </c>
      <c r="O940" s="329">
        <v>7.7666666666666657</v>
      </c>
      <c r="P940" s="329">
        <v>7.0166666666666657</v>
      </c>
    </row>
    <row r="941" spans="1:16">
      <c r="A941" s="331">
        <v>40610</v>
      </c>
      <c r="B941" s="329">
        <v>48.8</v>
      </c>
      <c r="C941" s="329">
        <f t="shared" si="60"/>
        <v>48.68333333333333</v>
      </c>
      <c r="D941" s="329">
        <v>45.6</v>
      </c>
      <c r="E941" s="329">
        <f t="shared" si="57"/>
        <v>45.533333333333331</v>
      </c>
      <c r="F941" s="329">
        <v>7.4</v>
      </c>
      <c r="G941" s="329">
        <f t="shared" si="58"/>
        <v>7.7666666666666657</v>
      </c>
      <c r="H941" s="329">
        <v>7</v>
      </c>
      <c r="I941" s="329">
        <f t="shared" si="59"/>
        <v>7.0166666666666657</v>
      </c>
      <c r="L941" s="331">
        <v>40610</v>
      </c>
      <c r="M941" s="329">
        <v>48.68333333333333</v>
      </c>
      <c r="N941" s="329">
        <v>45.533333333333331</v>
      </c>
      <c r="O941" s="329">
        <v>7.7666666666666657</v>
      </c>
      <c r="P941" s="329">
        <v>7.0166666666666657</v>
      </c>
    </row>
    <row r="942" spans="1:16">
      <c r="A942" s="331">
        <v>40610</v>
      </c>
      <c r="B942" s="329">
        <v>48.7</v>
      </c>
      <c r="C942" s="329">
        <f t="shared" si="60"/>
        <v>48.68333333333333</v>
      </c>
      <c r="D942" s="329">
        <v>45.5</v>
      </c>
      <c r="E942" s="329">
        <f t="shared" si="57"/>
        <v>45.533333333333331</v>
      </c>
      <c r="F942" s="329">
        <v>7.5</v>
      </c>
      <c r="G942" s="329">
        <f t="shared" si="58"/>
        <v>7.7666666666666657</v>
      </c>
      <c r="H942" s="329">
        <v>7</v>
      </c>
      <c r="I942" s="329">
        <f t="shared" si="59"/>
        <v>7.0166666666666657</v>
      </c>
      <c r="L942" s="331">
        <v>40610</v>
      </c>
      <c r="M942" s="329">
        <v>48.68333333333333</v>
      </c>
      <c r="N942" s="329">
        <v>45.533333333333331</v>
      </c>
      <c r="O942" s="329">
        <v>7.7666666666666657</v>
      </c>
      <c r="P942" s="329">
        <v>7.0166666666666657</v>
      </c>
    </row>
    <row r="943" spans="1:16">
      <c r="A943" s="331">
        <v>40610</v>
      </c>
      <c r="B943" s="329">
        <v>48.5</v>
      </c>
      <c r="C943" s="329">
        <f t="shared" si="60"/>
        <v>48.68333333333333</v>
      </c>
      <c r="D943" s="329">
        <v>45.5</v>
      </c>
      <c r="E943" s="329">
        <f t="shared" si="57"/>
        <v>45.533333333333331</v>
      </c>
      <c r="F943" s="329">
        <v>8.4</v>
      </c>
      <c r="G943" s="329">
        <f t="shared" si="58"/>
        <v>7.7666666666666657</v>
      </c>
      <c r="H943" s="329">
        <v>7.1</v>
      </c>
      <c r="I943" s="329">
        <f t="shared" si="59"/>
        <v>7.0166666666666657</v>
      </c>
      <c r="L943" s="331">
        <v>40610</v>
      </c>
      <c r="M943" s="329">
        <v>48.68333333333333</v>
      </c>
      <c r="N943" s="329">
        <v>45.533333333333331</v>
      </c>
      <c r="O943" s="329">
        <v>7.7666666666666657</v>
      </c>
      <c r="P943" s="329">
        <v>7.0166666666666657</v>
      </c>
    </row>
    <row r="944" spans="1:16">
      <c r="A944" s="331">
        <v>40610</v>
      </c>
      <c r="B944" s="329">
        <v>48.4</v>
      </c>
      <c r="C944" s="329">
        <f t="shared" si="60"/>
        <v>48.68333333333333</v>
      </c>
      <c r="D944" s="329">
        <v>45.4</v>
      </c>
      <c r="E944" s="329">
        <f t="shared" si="57"/>
        <v>45.533333333333331</v>
      </c>
      <c r="F944" s="329">
        <v>8.3000000000000007</v>
      </c>
      <c r="G944" s="329">
        <f t="shared" si="58"/>
        <v>7.7666666666666657</v>
      </c>
      <c r="H944" s="329">
        <v>7.3</v>
      </c>
      <c r="I944" s="329">
        <f t="shared" si="59"/>
        <v>7.0166666666666657</v>
      </c>
      <c r="L944" s="331">
        <v>40610</v>
      </c>
      <c r="M944" s="329">
        <v>48.68333333333333</v>
      </c>
      <c r="N944" s="329">
        <v>45.533333333333331</v>
      </c>
      <c r="O944" s="329">
        <v>7.7666666666666657</v>
      </c>
      <c r="P944" s="329">
        <v>7.0166666666666657</v>
      </c>
    </row>
    <row r="945" spans="1:16">
      <c r="A945" s="331">
        <v>40611</v>
      </c>
      <c r="B945" s="329">
        <v>48.4</v>
      </c>
      <c r="C945" s="329">
        <f t="shared" si="60"/>
        <v>48.116666666666667</v>
      </c>
      <c r="D945" s="329">
        <v>45.4</v>
      </c>
      <c r="E945" s="329">
        <f t="shared" si="57"/>
        <v>45.366666666666667</v>
      </c>
      <c r="F945" s="329">
        <v>7.8</v>
      </c>
      <c r="G945" s="329">
        <f t="shared" si="58"/>
        <v>8.0833333333333339</v>
      </c>
      <c r="H945" s="329">
        <v>7.5</v>
      </c>
      <c r="I945" s="329">
        <f t="shared" si="59"/>
        <v>7.45</v>
      </c>
      <c r="L945" s="331">
        <v>40611</v>
      </c>
      <c r="M945" s="329">
        <v>48.116666666666667</v>
      </c>
      <c r="N945" s="329">
        <v>45.366666666666667</v>
      </c>
      <c r="O945" s="329">
        <v>8.0833333333333339</v>
      </c>
      <c r="P945" s="329">
        <v>7.45</v>
      </c>
    </row>
    <row r="946" spans="1:16">
      <c r="A946" s="331">
        <v>40611</v>
      </c>
      <c r="B946" s="329">
        <v>48.3</v>
      </c>
      <c r="C946" s="329">
        <f t="shared" si="60"/>
        <v>48.116666666666667</v>
      </c>
      <c r="D946" s="329">
        <v>45.4</v>
      </c>
      <c r="E946" s="329">
        <f t="shared" si="57"/>
        <v>45.366666666666667</v>
      </c>
      <c r="F946" s="329">
        <v>7.7</v>
      </c>
      <c r="G946" s="329">
        <f t="shared" si="58"/>
        <v>8.0833333333333339</v>
      </c>
      <c r="H946" s="329">
        <v>7.4</v>
      </c>
      <c r="I946" s="329">
        <f t="shared" si="59"/>
        <v>7.45</v>
      </c>
      <c r="L946" s="331">
        <v>40611</v>
      </c>
      <c r="M946" s="329">
        <v>48.116666666666667</v>
      </c>
      <c r="N946" s="329">
        <v>45.366666666666667</v>
      </c>
      <c r="O946" s="329">
        <v>8.0833333333333339</v>
      </c>
      <c r="P946" s="329">
        <v>7.45</v>
      </c>
    </row>
    <row r="947" spans="1:16">
      <c r="A947" s="331">
        <v>40611</v>
      </c>
      <c r="B947" s="329">
        <v>48.2</v>
      </c>
      <c r="C947" s="329">
        <f t="shared" si="60"/>
        <v>48.116666666666667</v>
      </c>
      <c r="D947" s="329">
        <v>45.4</v>
      </c>
      <c r="E947" s="329">
        <f t="shared" si="57"/>
        <v>45.366666666666667</v>
      </c>
      <c r="F947" s="329">
        <v>7.5</v>
      </c>
      <c r="G947" s="329">
        <f t="shared" si="58"/>
        <v>8.0833333333333339</v>
      </c>
      <c r="H947" s="329">
        <v>7.4</v>
      </c>
      <c r="I947" s="329">
        <f t="shared" si="59"/>
        <v>7.45</v>
      </c>
      <c r="L947" s="331">
        <v>40611</v>
      </c>
      <c r="M947" s="329">
        <v>48.116666666666667</v>
      </c>
      <c r="N947" s="329">
        <v>45.366666666666667</v>
      </c>
      <c r="O947" s="329">
        <v>8.0833333333333339</v>
      </c>
      <c r="P947" s="329">
        <v>7.45</v>
      </c>
    </row>
    <row r="948" spans="1:16">
      <c r="A948" s="331">
        <v>40611</v>
      </c>
      <c r="B948" s="329">
        <v>48.1</v>
      </c>
      <c r="C948" s="329">
        <f t="shared" si="60"/>
        <v>48.116666666666667</v>
      </c>
      <c r="D948" s="329">
        <v>45.4</v>
      </c>
      <c r="E948" s="329">
        <f t="shared" si="57"/>
        <v>45.366666666666667</v>
      </c>
      <c r="F948" s="329">
        <v>7.6</v>
      </c>
      <c r="G948" s="329">
        <f t="shared" si="58"/>
        <v>8.0833333333333339</v>
      </c>
      <c r="H948" s="329">
        <v>7.4</v>
      </c>
      <c r="I948" s="329">
        <f t="shared" si="59"/>
        <v>7.45</v>
      </c>
      <c r="L948" s="331">
        <v>40611</v>
      </c>
      <c r="M948" s="329">
        <v>48.116666666666667</v>
      </c>
      <c r="N948" s="329">
        <v>45.366666666666667</v>
      </c>
      <c r="O948" s="329">
        <v>8.0833333333333339</v>
      </c>
      <c r="P948" s="329">
        <v>7.45</v>
      </c>
    </row>
    <row r="949" spans="1:16">
      <c r="A949" s="331">
        <v>40611</v>
      </c>
      <c r="B949" s="329">
        <v>48</v>
      </c>
      <c r="C949" s="329">
        <f t="shared" si="60"/>
        <v>48.116666666666667</v>
      </c>
      <c r="D949" s="329">
        <v>45.3</v>
      </c>
      <c r="E949" s="329">
        <f t="shared" si="57"/>
        <v>45.366666666666667</v>
      </c>
      <c r="F949" s="329">
        <v>8.8000000000000007</v>
      </c>
      <c r="G949" s="329">
        <f t="shared" si="58"/>
        <v>8.0833333333333339</v>
      </c>
      <c r="H949" s="329">
        <v>7.4</v>
      </c>
      <c r="I949" s="329">
        <f t="shared" si="59"/>
        <v>7.45</v>
      </c>
      <c r="L949" s="331">
        <v>40611</v>
      </c>
      <c r="M949" s="329">
        <v>48.116666666666667</v>
      </c>
      <c r="N949" s="329">
        <v>45.366666666666667</v>
      </c>
      <c r="O949" s="329">
        <v>8.0833333333333339</v>
      </c>
      <c r="P949" s="329">
        <v>7.45</v>
      </c>
    </row>
    <row r="950" spans="1:16">
      <c r="A950" s="331">
        <v>40611</v>
      </c>
      <c r="B950" s="329">
        <v>47.7</v>
      </c>
      <c r="C950" s="329">
        <f t="shared" si="60"/>
        <v>48.116666666666667</v>
      </c>
      <c r="D950" s="329">
        <v>45.3</v>
      </c>
      <c r="E950" s="329">
        <f t="shared" si="57"/>
        <v>45.366666666666667</v>
      </c>
      <c r="F950" s="329">
        <v>9.1</v>
      </c>
      <c r="G950" s="329">
        <f t="shared" si="58"/>
        <v>8.0833333333333339</v>
      </c>
      <c r="H950" s="329">
        <v>7.6</v>
      </c>
      <c r="I950" s="329">
        <f t="shared" si="59"/>
        <v>7.45</v>
      </c>
      <c r="L950" s="331">
        <v>40611</v>
      </c>
      <c r="M950" s="329">
        <v>48.116666666666667</v>
      </c>
      <c r="N950" s="329">
        <v>45.366666666666667</v>
      </c>
      <c r="O950" s="329">
        <v>8.0833333333333339</v>
      </c>
      <c r="P950" s="329">
        <v>7.45</v>
      </c>
    </row>
    <row r="951" spans="1:16">
      <c r="A951" s="331">
        <v>40612</v>
      </c>
      <c r="B951" s="329">
        <v>47.7</v>
      </c>
      <c r="C951" s="329">
        <f t="shared" si="60"/>
        <v>47.566666666666663</v>
      </c>
      <c r="D951" s="329">
        <v>45.3</v>
      </c>
      <c r="E951" s="329">
        <f t="shared" si="57"/>
        <v>45.416666666666664</v>
      </c>
      <c r="F951" s="329">
        <v>8.1</v>
      </c>
      <c r="G951" s="329">
        <f t="shared" si="58"/>
        <v>7.6333333333333329</v>
      </c>
      <c r="H951" s="329">
        <v>7.8</v>
      </c>
      <c r="I951" s="329">
        <f t="shared" si="59"/>
        <v>7.5166666666666666</v>
      </c>
      <c r="L951" s="331">
        <v>40612</v>
      </c>
      <c r="M951" s="329">
        <v>47.566666666666663</v>
      </c>
      <c r="N951" s="329">
        <v>45.416666666666664</v>
      </c>
      <c r="O951" s="329">
        <v>7.6333333333333329</v>
      </c>
      <c r="P951" s="329">
        <v>7.5166666666666666</v>
      </c>
    </row>
    <row r="952" spans="1:16">
      <c r="A952" s="331">
        <v>40612</v>
      </c>
      <c r="B952" s="329">
        <v>47.7</v>
      </c>
      <c r="C952" s="329">
        <f t="shared" si="60"/>
        <v>47.566666666666663</v>
      </c>
      <c r="D952" s="329">
        <v>45.3</v>
      </c>
      <c r="E952" s="329">
        <f t="shared" si="57"/>
        <v>45.416666666666664</v>
      </c>
      <c r="F952" s="329">
        <v>7.3</v>
      </c>
      <c r="G952" s="329">
        <f t="shared" si="58"/>
        <v>7.6333333333333329</v>
      </c>
      <c r="H952" s="329">
        <v>7.7</v>
      </c>
      <c r="I952" s="329">
        <f t="shared" si="59"/>
        <v>7.5166666666666666</v>
      </c>
      <c r="L952" s="331">
        <v>40612</v>
      </c>
      <c r="M952" s="329">
        <v>47.566666666666663</v>
      </c>
      <c r="N952" s="329">
        <v>45.416666666666664</v>
      </c>
      <c r="O952" s="329">
        <v>7.6333333333333329</v>
      </c>
      <c r="P952" s="329">
        <v>7.5166666666666666</v>
      </c>
    </row>
    <row r="953" spans="1:16">
      <c r="A953" s="331">
        <v>40612</v>
      </c>
      <c r="B953" s="329">
        <v>47.6</v>
      </c>
      <c r="C953" s="329">
        <f t="shared" si="60"/>
        <v>47.566666666666663</v>
      </c>
      <c r="D953" s="329">
        <v>45.3</v>
      </c>
      <c r="E953" s="329">
        <f t="shared" si="57"/>
        <v>45.416666666666664</v>
      </c>
      <c r="F953" s="329">
        <v>6.8</v>
      </c>
      <c r="G953" s="329">
        <f t="shared" si="58"/>
        <v>7.6333333333333329</v>
      </c>
      <c r="H953" s="329">
        <v>7.5</v>
      </c>
      <c r="I953" s="329">
        <f t="shared" si="59"/>
        <v>7.5166666666666666</v>
      </c>
      <c r="L953" s="331">
        <v>40612</v>
      </c>
      <c r="M953" s="329">
        <v>47.566666666666663</v>
      </c>
      <c r="N953" s="329">
        <v>45.416666666666664</v>
      </c>
      <c r="O953" s="329">
        <v>7.6333333333333329</v>
      </c>
      <c r="P953" s="329">
        <v>7.5166666666666666</v>
      </c>
    </row>
    <row r="954" spans="1:16">
      <c r="A954" s="331">
        <v>40612</v>
      </c>
      <c r="B954" s="329">
        <v>47.6</v>
      </c>
      <c r="C954" s="329">
        <f t="shared" si="60"/>
        <v>47.566666666666663</v>
      </c>
      <c r="D954" s="329">
        <v>45.3</v>
      </c>
      <c r="E954" s="329">
        <f t="shared" si="57"/>
        <v>45.416666666666664</v>
      </c>
      <c r="F954" s="329">
        <v>7.1</v>
      </c>
      <c r="G954" s="329">
        <f t="shared" si="58"/>
        <v>7.6333333333333329</v>
      </c>
      <c r="H954" s="329">
        <v>7.3</v>
      </c>
      <c r="I954" s="329">
        <f t="shared" si="59"/>
        <v>7.5166666666666666</v>
      </c>
      <c r="L954" s="331">
        <v>40612</v>
      </c>
      <c r="M954" s="329">
        <v>47.566666666666663</v>
      </c>
      <c r="N954" s="329">
        <v>45.416666666666664</v>
      </c>
      <c r="O954" s="329">
        <v>7.6333333333333329</v>
      </c>
      <c r="P954" s="329">
        <v>7.5166666666666666</v>
      </c>
    </row>
    <row r="955" spans="1:16">
      <c r="A955" s="331">
        <v>40612</v>
      </c>
      <c r="B955" s="329">
        <v>47.5</v>
      </c>
      <c r="C955" s="329">
        <f t="shared" si="60"/>
        <v>47.566666666666663</v>
      </c>
      <c r="D955" s="329">
        <v>45.4</v>
      </c>
      <c r="E955" s="329">
        <f t="shared" si="57"/>
        <v>45.416666666666664</v>
      </c>
      <c r="F955" s="329">
        <v>8</v>
      </c>
      <c r="G955" s="329">
        <f t="shared" si="58"/>
        <v>7.6333333333333329</v>
      </c>
      <c r="H955" s="329">
        <v>7.3</v>
      </c>
      <c r="I955" s="329">
        <f t="shared" si="59"/>
        <v>7.5166666666666666</v>
      </c>
      <c r="L955" s="331">
        <v>40612</v>
      </c>
      <c r="M955" s="329">
        <v>47.566666666666663</v>
      </c>
      <c r="N955" s="329">
        <v>45.416666666666664</v>
      </c>
      <c r="O955" s="329">
        <v>7.6333333333333329</v>
      </c>
      <c r="P955" s="329">
        <v>7.5166666666666666</v>
      </c>
    </row>
    <row r="956" spans="1:16">
      <c r="A956" s="331">
        <v>40612</v>
      </c>
      <c r="B956" s="329">
        <v>47.3</v>
      </c>
      <c r="C956" s="329">
        <f t="shared" si="60"/>
        <v>47.566666666666663</v>
      </c>
      <c r="D956" s="329">
        <v>45.9</v>
      </c>
      <c r="E956" s="329">
        <f t="shared" si="57"/>
        <v>45.416666666666664</v>
      </c>
      <c r="F956" s="329">
        <v>8.5</v>
      </c>
      <c r="G956" s="329">
        <f t="shared" si="58"/>
        <v>7.6333333333333329</v>
      </c>
      <c r="H956" s="329">
        <v>7.5</v>
      </c>
      <c r="I956" s="329">
        <f t="shared" si="59"/>
        <v>7.5166666666666666</v>
      </c>
      <c r="L956" s="331">
        <v>40612</v>
      </c>
      <c r="M956" s="329">
        <v>47.566666666666663</v>
      </c>
      <c r="N956" s="329">
        <v>45.416666666666664</v>
      </c>
      <c r="O956" s="329">
        <v>7.6333333333333329</v>
      </c>
      <c r="P956" s="329">
        <v>7.5166666666666666</v>
      </c>
    </row>
    <row r="957" spans="1:16">
      <c r="A957" s="331">
        <v>40613</v>
      </c>
      <c r="B957" s="329">
        <v>47.2</v>
      </c>
      <c r="C957" s="329">
        <f t="shared" si="60"/>
        <v>47.033333333333331</v>
      </c>
      <c r="D957" s="329">
        <v>45.2</v>
      </c>
      <c r="E957" s="329">
        <f t="shared" si="57"/>
        <v>45.233333333333327</v>
      </c>
      <c r="F957" s="329">
        <v>7.6</v>
      </c>
      <c r="G957" s="329">
        <f t="shared" si="58"/>
        <v>7.2833333333333341</v>
      </c>
      <c r="H957" s="329">
        <v>7.6</v>
      </c>
      <c r="I957" s="329">
        <f t="shared" si="59"/>
        <v>7.2666666666666657</v>
      </c>
      <c r="L957" s="331">
        <v>40613</v>
      </c>
      <c r="M957" s="329">
        <v>47.033333333333331</v>
      </c>
      <c r="N957" s="329">
        <v>45.233333333333327</v>
      </c>
      <c r="O957" s="329">
        <v>7.2833333333333341</v>
      </c>
      <c r="P957" s="329">
        <v>7.2666666666666657</v>
      </c>
    </row>
    <row r="958" spans="1:16">
      <c r="A958" s="331">
        <v>40613</v>
      </c>
      <c r="B958" s="329">
        <v>47.2</v>
      </c>
      <c r="C958" s="329">
        <f t="shared" si="60"/>
        <v>47.033333333333331</v>
      </c>
      <c r="D958" s="329">
        <v>45.3</v>
      </c>
      <c r="E958" s="329">
        <f t="shared" si="57"/>
        <v>45.233333333333327</v>
      </c>
      <c r="F958" s="329">
        <v>6.8</v>
      </c>
      <c r="G958" s="329">
        <f t="shared" si="58"/>
        <v>7.2833333333333341</v>
      </c>
      <c r="H958" s="329">
        <v>7.5</v>
      </c>
      <c r="I958" s="329">
        <f t="shared" si="59"/>
        <v>7.2666666666666657</v>
      </c>
      <c r="L958" s="331">
        <v>40613</v>
      </c>
      <c r="M958" s="329">
        <v>47.033333333333331</v>
      </c>
      <c r="N958" s="329">
        <v>45.233333333333327</v>
      </c>
      <c r="O958" s="329">
        <v>7.2833333333333341</v>
      </c>
      <c r="P958" s="329">
        <v>7.2666666666666657</v>
      </c>
    </row>
    <row r="959" spans="1:16">
      <c r="A959" s="331">
        <v>40613</v>
      </c>
      <c r="B959" s="329">
        <v>47.1</v>
      </c>
      <c r="C959" s="329">
        <f t="shared" si="60"/>
        <v>47.033333333333331</v>
      </c>
      <c r="D959" s="329">
        <v>45.3</v>
      </c>
      <c r="E959" s="329">
        <f t="shared" si="57"/>
        <v>45.233333333333327</v>
      </c>
      <c r="F959" s="329">
        <v>6.1</v>
      </c>
      <c r="G959" s="329">
        <f t="shared" si="58"/>
        <v>7.2833333333333341</v>
      </c>
      <c r="H959" s="329">
        <v>7.2</v>
      </c>
      <c r="I959" s="329">
        <f t="shared" si="59"/>
        <v>7.2666666666666657</v>
      </c>
      <c r="L959" s="331">
        <v>40613</v>
      </c>
      <c r="M959" s="329">
        <v>47.033333333333331</v>
      </c>
      <c r="N959" s="329">
        <v>45.233333333333327</v>
      </c>
      <c r="O959" s="329">
        <v>7.2833333333333341</v>
      </c>
      <c r="P959" s="329">
        <v>7.2666666666666657</v>
      </c>
    </row>
    <row r="960" spans="1:16">
      <c r="A960" s="331">
        <v>40613</v>
      </c>
      <c r="B960" s="329">
        <v>47.1</v>
      </c>
      <c r="C960" s="329">
        <f t="shared" si="60"/>
        <v>47.033333333333331</v>
      </c>
      <c r="D960" s="329">
        <v>45.2</v>
      </c>
      <c r="E960" s="329">
        <f t="shared" si="57"/>
        <v>45.233333333333327</v>
      </c>
      <c r="F960" s="329">
        <v>6.5</v>
      </c>
      <c r="G960" s="329">
        <f t="shared" si="58"/>
        <v>7.2833333333333341</v>
      </c>
      <c r="H960" s="329">
        <v>7</v>
      </c>
      <c r="I960" s="329">
        <f t="shared" si="59"/>
        <v>7.2666666666666657</v>
      </c>
      <c r="L960" s="331">
        <v>40613</v>
      </c>
      <c r="M960" s="329">
        <v>47.033333333333331</v>
      </c>
      <c r="N960" s="329">
        <v>45.233333333333327</v>
      </c>
      <c r="O960" s="329">
        <v>7.2833333333333341</v>
      </c>
      <c r="P960" s="329">
        <v>7.2666666666666657</v>
      </c>
    </row>
    <row r="961" spans="1:16">
      <c r="A961" s="331">
        <v>40613</v>
      </c>
      <c r="B961" s="329">
        <v>46.9</v>
      </c>
      <c r="C961" s="329">
        <f t="shared" si="60"/>
        <v>47.033333333333331</v>
      </c>
      <c r="D961" s="329">
        <v>45.2</v>
      </c>
      <c r="E961" s="329">
        <f t="shared" si="57"/>
        <v>45.233333333333327</v>
      </c>
      <c r="F961" s="329">
        <v>8</v>
      </c>
      <c r="G961" s="329">
        <f t="shared" si="58"/>
        <v>7.2833333333333341</v>
      </c>
      <c r="H961" s="329">
        <v>7</v>
      </c>
      <c r="I961" s="329">
        <f t="shared" si="59"/>
        <v>7.2666666666666657</v>
      </c>
      <c r="L961" s="331">
        <v>40613</v>
      </c>
      <c r="M961" s="329">
        <v>47.033333333333331</v>
      </c>
      <c r="N961" s="329">
        <v>45.233333333333327</v>
      </c>
      <c r="O961" s="329">
        <v>7.2833333333333341</v>
      </c>
      <c r="P961" s="329">
        <v>7.2666666666666657</v>
      </c>
    </row>
    <row r="962" spans="1:16">
      <c r="A962" s="331">
        <v>40613</v>
      </c>
      <c r="B962" s="329">
        <v>46.7</v>
      </c>
      <c r="C962" s="329">
        <f t="shared" si="60"/>
        <v>47.033333333333331</v>
      </c>
      <c r="D962" s="329">
        <v>45.2</v>
      </c>
      <c r="E962" s="329">
        <f t="shared" si="57"/>
        <v>45.233333333333327</v>
      </c>
      <c r="F962" s="329">
        <v>8.6999999999999993</v>
      </c>
      <c r="G962" s="329">
        <f t="shared" si="58"/>
        <v>7.2833333333333341</v>
      </c>
      <c r="H962" s="329">
        <v>7.3</v>
      </c>
      <c r="I962" s="329">
        <f t="shared" si="59"/>
        <v>7.2666666666666657</v>
      </c>
      <c r="L962" s="331">
        <v>40613</v>
      </c>
      <c r="M962" s="329">
        <v>47.033333333333331</v>
      </c>
      <c r="N962" s="329">
        <v>45.233333333333327</v>
      </c>
      <c r="O962" s="329">
        <v>7.2833333333333341</v>
      </c>
      <c r="P962" s="329">
        <v>7.2666666666666657</v>
      </c>
    </row>
    <row r="963" spans="1:16">
      <c r="A963" s="331">
        <v>40614</v>
      </c>
      <c r="B963" s="329">
        <v>46.6</v>
      </c>
      <c r="C963" s="329">
        <f t="shared" si="60"/>
        <v>46.966666666666669</v>
      </c>
      <c r="D963" s="329">
        <v>45.1</v>
      </c>
      <c r="E963" s="329">
        <f t="shared" si="57"/>
        <v>45.1</v>
      </c>
      <c r="F963" s="329">
        <v>8.4</v>
      </c>
      <c r="G963" s="329">
        <f t="shared" si="58"/>
        <v>8.4</v>
      </c>
      <c r="H963" s="329">
        <v>7.6</v>
      </c>
      <c r="I963" s="329">
        <f t="shared" si="59"/>
        <v>7.7333333333333334</v>
      </c>
      <c r="L963" s="331">
        <v>40614</v>
      </c>
      <c r="M963" s="329">
        <v>46.966666666666669</v>
      </c>
      <c r="N963" s="329">
        <v>45.1</v>
      </c>
      <c r="O963" s="329">
        <v>8.4</v>
      </c>
      <c r="P963" s="329">
        <v>7.7333333333333334</v>
      </c>
    </row>
    <row r="964" spans="1:16">
      <c r="A964" s="331">
        <v>40614</v>
      </c>
      <c r="B964" s="329">
        <v>46.6</v>
      </c>
      <c r="C964" s="329">
        <f t="shared" si="60"/>
        <v>46.966666666666669</v>
      </c>
      <c r="D964" s="329">
        <v>45.1</v>
      </c>
      <c r="E964" s="329">
        <f t="shared" si="57"/>
        <v>45.1</v>
      </c>
      <c r="F964" s="329">
        <v>8.1</v>
      </c>
      <c r="G964" s="329">
        <f t="shared" si="58"/>
        <v>8.4</v>
      </c>
      <c r="H964" s="329">
        <v>7.7</v>
      </c>
      <c r="I964" s="329">
        <f t="shared" si="59"/>
        <v>7.7333333333333334</v>
      </c>
      <c r="L964" s="331">
        <v>40614</v>
      </c>
      <c r="M964" s="329">
        <v>46.966666666666669</v>
      </c>
      <c r="N964" s="329">
        <v>45.1</v>
      </c>
      <c r="O964" s="329">
        <v>8.4</v>
      </c>
      <c r="P964" s="329">
        <v>7.7333333333333334</v>
      </c>
    </row>
    <row r="965" spans="1:16">
      <c r="A965" s="331">
        <v>40614</v>
      </c>
      <c r="B965" s="329">
        <v>46.4</v>
      </c>
      <c r="C965" s="329">
        <f t="shared" si="60"/>
        <v>46.966666666666669</v>
      </c>
      <c r="D965" s="329">
        <v>45.1</v>
      </c>
      <c r="E965" s="329">
        <f t="shared" si="57"/>
        <v>45.1</v>
      </c>
      <c r="F965" s="329">
        <v>8.1</v>
      </c>
      <c r="G965" s="329">
        <f t="shared" si="58"/>
        <v>8.4</v>
      </c>
      <c r="H965" s="329">
        <v>7.7</v>
      </c>
      <c r="I965" s="329">
        <f t="shared" si="59"/>
        <v>7.7333333333333334</v>
      </c>
      <c r="L965" s="331">
        <v>40614</v>
      </c>
      <c r="M965" s="329">
        <v>46.966666666666669</v>
      </c>
      <c r="N965" s="329">
        <v>45.1</v>
      </c>
      <c r="O965" s="329">
        <v>8.4</v>
      </c>
      <c r="P965" s="329">
        <v>7.7333333333333334</v>
      </c>
    </row>
    <row r="966" spans="1:16">
      <c r="A966" s="331">
        <v>40614</v>
      </c>
      <c r="B966" s="329">
        <v>46.3</v>
      </c>
      <c r="C966" s="329">
        <f t="shared" si="60"/>
        <v>46.966666666666669</v>
      </c>
      <c r="D966" s="329">
        <v>45.1</v>
      </c>
      <c r="E966" s="329">
        <f t="shared" si="57"/>
        <v>45.1</v>
      </c>
      <c r="F966" s="329">
        <v>8.3000000000000007</v>
      </c>
      <c r="G966" s="329">
        <f t="shared" si="58"/>
        <v>8.4</v>
      </c>
      <c r="H966" s="329">
        <v>7.7</v>
      </c>
      <c r="I966" s="329">
        <f t="shared" si="59"/>
        <v>7.7333333333333334</v>
      </c>
      <c r="L966" s="331">
        <v>40614</v>
      </c>
      <c r="M966" s="329">
        <v>46.966666666666669</v>
      </c>
      <c r="N966" s="329">
        <v>45.1</v>
      </c>
      <c r="O966" s="329">
        <v>8.4</v>
      </c>
      <c r="P966" s="329">
        <v>7.7333333333333334</v>
      </c>
    </row>
    <row r="967" spans="1:16">
      <c r="A967" s="331">
        <v>40614</v>
      </c>
      <c r="B967" s="329">
        <v>46.3</v>
      </c>
      <c r="C967" s="329">
        <f t="shared" si="60"/>
        <v>46.966666666666669</v>
      </c>
      <c r="D967" s="329">
        <v>45.1</v>
      </c>
      <c r="E967" s="329">
        <f t="shared" si="57"/>
        <v>45.1</v>
      </c>
      <c r="F967" s="329">
        <v>8.6999999999999993</v>
      </c>
      <c r="G967" s="329">
        <f t="shared" si="58"/>
        <v>8.4</v>
      </c>
      <c r="H967" s="329">
        <v>7.8</v>
      </c>
      <c r="I967" s="329">
        <f t="shared" si="59"/>
        <v>7.7333333333333334</v>
      </c>
      <c r="L967" s="331">
        <v>40614</v>
      </c>
      <c r="M967" s="329">
        <v>46.966666666666669</v>
      </c>
      <c r="N967" s="329">
        <v>45.1</v>
      </c>
      <c r="O967" s="329">
        <v>8.4</v>
      </c>
      <c r="P967" s="329">
        <v>7.7333333333333334</v>
      </c>
    </row>
    <row r="968" spans="1:16">
      <c r="A968" s="331">
        <v>40614</v>
      </c>
      <c r="B968" s="329">
        <v>49.6</v>
      </c>
      <c r="C968" s="329">
        <f t="shared" si="60"/>
        <v>46.966666666666669</v>
      </c>
      <c r="D968" s="329">
        <v>45.1</v>
      </c>
      <c r="E968" s="329">
        <f t="shared" si="57"/>
        <v>45.1</v>
      </c>
      <c r="F968" s="329">
        <v>8.8000000000000007</v>
      </c>
      <c r="G968" s="329">
        <f t="shared" si="58"/>
        <v>8.4</v>
      </c>
      <c r="H968" s="329">
        <v>7.9</v>
      </c>
      <c r="I968" s="329">
        <f t="shared" si="59"/>
        <v>7.7333333333333334</v>
      </c>
      <c r="L968" s="331">
        <v>40614</v>
      </c>
      <c r="M968" s="329">
        <v>46.966666666666669</v>
      </c>
      <c r="N968" s="329">
        <v>45.1</v>
      </c>
      <c r="O968" s="329">
        <v>8.4</v>
      </c>
      <c r="P968" s="329">
        <v>7.7333333333333334</v>
      </c>
    </row>
    <row r="969" spans="1:16">
      <c r="A969" s="331">
        <v>40615</v>
      </c>
      <c r="B969" s="329">
        <v>50.1</v>
      </c>
      <c r="C969" s="329">
        <f t="shared" si="60"/>
        <v>48.93333333333333</v>
      </c>
      <c r="D969" s="329">
        <v>45.1</v>
      </c>
      <c r="E969" s="329">
        <f t="shared" si="57"/>
        <v>45.066666666666663</v>
      </c>
      <c r="F969" s="329">
        <v>8.9</v>
      </c>
      <c r="G969" s="329">
        <f t="shared" si="58"/>
        <v>9.3166666666666682</v>
      </c>
      <c r="H969" s="329">
        <v>8</v>
      </c>
      <c r="I969" s="329">
        <f t="shared" si="59"/>
        <v>8.2333333333333325</v>
      </c>
      <c r="L969" s="331">
        <v>40615</v>
      </c>
      <c r="M969" s="329">
        <v>48.93333333333333</v>
      </c>
      <c r="N969" s="329">
        <v>45.066666666666663</v>
      </c>
      <c r="O969" s="329">
        <v>9.3166666666666682</v>
      </c>
      <c r="P969" s="329">
        <v>8.2333333333333325</v>
      </c>
    </row>
    <row r="970" spans="1:16">
      <c r="A970" s="331">
        <v>40615</v>
      </c>
      <c r="B970" s="329">
        <v>49.8</v>
      </c>
      <c r="C970" s="329">
        <f t="shared" si="60"/>
        <v>48.93333333333333</v>
      </c>
      <c r="D970" s="329">
        <v>45.1</v>
      </c>
      <c r="E970" s="329">
        <f t="shared" si="57"/>
        <v>45.066666666666663</v>
      </c>
      <c r="F970" s="329">
        <v>9</v>
      </c>
      <c r="G970" s="329">
        <f t="shared" si="58"/>
        <v>9.3166666666666682</v>
      </c>
      <c r="H970" s="329">
        <v>8.1</v>
      </c>
      <c r="I970" s="329">
        <f t="shared" si="59"/>
        <v>8.2333333333333325</v>
      </c>
      <c r="L970" s="331">
        <v>40615</v>
      </c>
      <c r="M970" s="329">
        <v>48.93333333333333</v>
      </c>
      <c r="N970" s="329">
        <v>45.066666666666663</v>
      </c>
      <c r="O970" s="329">
        <v>9.3166666666666682</v>
      </c>
      <c r="P970" s="329">
        <v>8.2333333333333325</v>
      </c>
    </row>
    <row r="971" spans="1:16">
      <c r="A971" s="331">
        <v>40615</v>
      </c>
      <c r="B971" s="329">
        <v>49.5</v>
      </c>
      <c r="C971" s="329">
        <f t="shared" si="60"/>
        <v>48.93333333333333</v>
      </c>
      <c r="D971" s="329">
        <v>45.1</v>
      </c>
      <c r="E971" s="329">
        <f t="shared" si="57"/>
        <v>45.066666666666663</v>
      </c>
      <c r="F971" s="329">
        <v>8.8000000000000007</v>
      </c>
      <c r="G971" s="329">
        <f t="shared" si="58"/>
        <v>9.3166666666666682</v>
      </c>
      <c r="H971" s="329">
        <v>8.1999999999999993</v>
      </c>
      <c r="I971" s="329">
        <f t="shared" si="59"/>
        <v>8.2333333333333325</v>
      </c>
      <c r="L971" s="331">
        <v>40615</v>
      </c>
      <c r="M971" s="329">
        <v>48.93333333333333</v>
      </c>
      <c r="N971" s="329">
        <v>45.066666666666663</v>
      </c>
      <c r="O971" s="329">
        <v>9.3166666666666682</v>
      </c>
      <c r="P971" s="329">
        <v>8.2333333333333325</v>
      </c>
    </row>
    <row r="972" spans="1:16">
      <c r="A972" s="331">
        <v>40615</v>
      </c>
      <c r="B972" s="329">
        <v>48.8</v>
      </c>
      <c r="C972" s="329">
        <f t="shared" si="60"/>
        <v>48.93333333333333</v>
      </c>
      <c r="D972" s="329">
        <v>45.1</v>
      </c>
      <c r="E972" s="329">
        <f t="shared" si="57"/>
        <v>45.066666666666663</v>
      </c>
      <c r="F972" s="329">
        <v>9</v>
      </c>
      <c r="G972" s="329">
        <f t="shared" si="58"/>
        <v>9.3166666666666682</v>
      </c>
      <c r="H972" s="329">
        <v>8.1999999999999993</v>
      </c>
      <c r="I972" s="329">
        <f t="shared" si="59"/>
        <v>8.2333333333333325</v>
      </c>
      <c r="L972" s="331">
        <v>40615</v>
      </c>
      <c r="M972" s="329">
        <v>48.93333333333333</v>
      </c>
      <c r="N972" s="329">
        <v>45.066666666666663</v>
      </c>
      <c r="O972" s="329">
        <v>9.3166666666666682</v>
      </c>
      <c r="P972" s="329">
        <v>8.2333333333333325</v>
      </c>
    </row>
    <row r="973" spans="1:16">
      <c r="A973" s="331">
        <v>40615</v>
      </c>
      <c r="B973" s="329">
        <v>48</v>
      </c>
      <c r="C973" s="329">
        <f t="shared" si="60"/>
        <v>48.93333333333333</v>
      </c>
      <c r="D973" s="329">
        <v>45</v>
      </c>
      <c r="E973" s="329">
        <f t="shared" si="57"/>
        <v>45.066666666666663</v>
      </c>
      <c r="F973" s="329">
        <v>9.9</v>
      </c>
      <c r="G973" s="329">
        <f t="shared" si="58"/>
        <v>9.3166666666666682</v>
      </c>
      <c r="H973" s="329">
        <v>8.3000000000000007</v>
      </c>
      <c r="I973" s="329">
        <f t="shared" si="59"/>
        <v>8.2333333333333325</v>
      </c>
      <c r="L973" s="331">
        <v>40615</v>
      </c>
      <c r="M973" s="329">
        <v>48.93333333333333</v>
      </c>
      <c r="N973" s="329">
        <v>45.066666666666663</v>
      </c>
      <c r="O973" s="329">
        <v>9.3166666666666682</v>
      </c>
      <c r="P973" s="329">
        <v>8.2333333333333325</v>
      </c>
    </row>
    <row r="974" spans="1:16">
      <c r="A974" s="331">
        <v>40615</v>
      </c>
      <c r="B974" s="329">
        <v>47.4</v>
      </c>
      <c r="C974" s="329">
        <f t="shared" si="60"/>
        <v>48.93333333333333</v>
      </c>
      <c r="D974" s="329">
        <v>45</v>
      </c>
      <c r="E974" s="329">
        <f t="shared" si="57"/>
        <v>45.066666666666663</v>
      </c>
      <c r="F974" s="329">
        <v>10.3</v>
      </c>
      <c r="G974" s="329">
        <f t="shared" si="58"/>
        <v>9.3166666666666682</v>
      </c>
      <c r="H974" s="329">
        <v>8.6</v>
      </c>
      <c r="I974" s="329">
        <f t="shared" si="59"/>
        <v>8.2333333333333325</v>
      </c>
      <c r="L974" s="331">
        <v>40615</v>
      </c>
      <c r="M974" s="329">
        <v>48.93333333333333</v>
      </c>
      <c r="N974" s="329">
        <v>45.066666666666663</v>
      </c>
      <c r="O974" s="329">
        <v>9.3166666666666682</v>
      </c>
      <c r="P974" s="329">
        <v>8.2333333333333325</v>
      </c>
    </row>
    <row r="975" spans="1:16">
      <c r="A975" s="331">
        <v>40616</v>
      </c>
      <c r="B975" s="329">
        <v>47.2</v>
      </c>
      <c r="C975" s="329">
        <f t="shared" si="60"/>
        <v>46.816666666666663</v>
      </c>
      <c r="D975" s="329">
        <v>45</v>
      </c>
      <c r="E975" s="329">
        <f t="shared" si="57"/>
        <v>44.933333333333337</v>
      </c>
      <c r="F975" s="329">
        <v>9.8000000000000007</v>
      </c>
      <c r="G975" s="329">
        <f t="shared" si="58"/>
        <v>9.9666666666666668</v>
      </c>
      <c r="H975" s="329">
        <v>8.8000000000000007</v>
      </c>
      <c r="I975" s="329">
        <f t="shared" si="59"/>
        <v>8.8666666666666671</v>
      </c>
      <c r="L975" s="331">
        <v>40616</v>
      </c>
      <c r="M975" s="329">
        <v>46.816666666666663</v>
      </c>
      <c r="N975" s="329">
        <v>44.933333333333337</v>
      </c>
      <c r="O975" s="329">
        <v>9.9666666666666668</v>
      </c>
      <c r="P975" s="329">
        <v>8.8666666666666671</v>
      </c>
    </row>
    <row r="976" spans="1:16">
      <c r="A976" s="331">
        <v>40616</v>
      </c>
      <c r="B976" s="329">
        <v>47.1</v>
      </c>
      <c r="C976" s="329">
        <f t="shared" si="60"/>
        <v>46.816666666666663</v>
      </c>
      <c r="D976" s="329">
        <v>45</v>
      </c>
      <c r="E976" s="329">
        <f t="shared" si="57"/>
        <v>44.933333333333337</v>
      </c>
      <c r="F976" s="329">
        <v>9.3000000000000007</v>
      </c>
      <c r="G976" s="329">
        <f t="shared" si="58"/>
        <v>9.9666666666666668</v>
      </c>
      <c r="H976" s="329">
        <v>8.8000000000000007</v>
      </c>
      <c r="I976" s="329">
        <f t="shared" si="59"/>
        <v>8.8666666666666671</v>
      </c>
      <c r="L976" s="331">
        <v>40616</v>
      </c>
      <c r="M976" s="329">
        <v>46.816666666666663</v>
      </c>
      <c r="N976" s="329">
        <v>44.933333333333337</v>
      </c>
      <c r="O976" s="329">
        <v>9.9666666666666668</v>
      </c>
      <c r="P976" s="329">
        <v>8.8666666666666671</v>
      </c>
    </row>
    <row r="977" spans="1:16">
      <c r="A977" s="331">
        <v>40616</v>
      </c>
      <c r="B977" s="329">
        <v>46.9</v>
      </c>
      <c r="C977" s="329">
        <f t="shared" si="60"/>
        <v>46.816666666666663</v>
      </c>
      <c r="D977" s="329">
        <v>45</v>
      </c>
      <c r="E977" s="329">
        <f t="shared" si="57"/>
        <v>44.933333333333337</v>
      </c>
      <c r="F977" s="329">
        <v>9.4</v>
      </c>
      <c r="G977" s="329">
        <f t="shared" si="58"/>
        <v>9.9666666666666668</v>
      </c>
      <c r="H977" s="329">
        <v>8.8000000000000007</v>
      </c>
      <c r="I977" s="329">
        <f t="shared" si="59"/>
        <v>8.8666666666666671</v>
      </c>
      <c r="L977" s="331">
        <v>40616</v>
      </c>
      <c r="M977" s="329">
        <v>46.816666666666663</v>
      </c>
      <c r="N977" s="329">
        <v>44.933333333333337</v>
      </c>
      <c r="O977" s="329">
        <v>9.9666666666666668</v>
      </c>
      <c r="P977" s="329">
        <v>8.8666666666666671</v>
      </c>
    </row>
    <row r="978" spans="1:16">
      <c r="A978" s="331">
        <v>40616</v>
      </c>
      <c r="B978" s="329">
        <v>46.8</v>
      </c>
      <c r="C978" s="329">
        <f t="shared" si="60"/>
        <v>46.816666666666663</v>
      </c>
      <c r="D978" s="329">
        <v>44.9</v>
      </c>
      <c r="E978" s="329">
        <f t="shared" si="57"/>
        <v>44.933333333333337</v>
      </c>
      <c r="F978" s="329">
        <v>9.8000000000000007</v>
      </c>
      <c r="G978" s="329">
        <f t="shared" si="58"/>
        <v>9.9666666666666668</v>
      </c>
      <c r="H978" s="329">
        <v>8.8000000000000007</v>
      </c>
      <c r="I978" s="329">
        <f t="shared" si="59"/>
        <v>8.8666666666666671</v>
      </c>
      <c r="L978" s="331">
        <v>40616</v>
      </c>
      <c r="M978" s="329">
        <v>46.816666666666663</v>
      </c>
      <c r="N978" s="329">
        <v>44.933333333333337</v>
      </c>
      <c r="O978" s="329">
        <v>9.9666666666666668</v>
      </c>
      <c r="P978" s="329">
        <v>8.8666666666666671</v>
      </c>
    </row>
    <row r="979" spans="1:16">
      <c r="A979" s="331">
        <v>40616</v>
      </c>
      <c r="B979" s="329">
        <v>46.5</v>
      </c>
      <c r="C979" s="329">
        <f t="shared" si="60"/>
        <v>46.816666666666663</v>
      </c>
      <c r="D979" s="329">
        <v>44.9</v>
      </c>
      <c r="E979" s="329">
        <f t="shared" si="57"/>
        <v>44.933333333333337</v>
      </c>
      <c r="F979" s="329">
        <v>10.6</v>
      </c>
      <c r="G979" s="329">
        <f t="shared" si="58"/>
        <v>9.9666666666666668</v>
      </c>
      <c r="H979" s="329">
        <v>8.9</v>
      </c>
      <c r="I979" s="329">
        <f t="shared" si="59"/>
        <v>8.8666666666666671</v>
      </c>
      <c r="L979" s="331">
        <v>40616</v>
      </c>
      <c r="M979" s="329">
        <v>46.816666666666663</v>
      </c>
      <c r="N979" s="329">
        <v>44.933333333333337</v>
      </c>
      <c r="O979" s="329">
        <v>9.9666666666666668</v>
      </c>
      <c r="P979" s="329">
        <v>8.8666666666666671</v>
      </c>
    </row>
    <row r="980" spans="1:16">
      <c r="A980" s="331">
        <v>40616</v>
      </c>
      <c r="B980" s="329">
        <v>46.4</v>
      </c>
      <c r="C980" s="329">
        <f t="shared" si="60"/>
        <v>46.816666666666663</v>
      </c>
      <c r="D980" s="329">
        <v>44.8</v>
      </c>
      <c r="E980" s="329">
        <f t="shared" si="57"/>
        <v>44.933333333333337</v>
      </c>
      <c r="F980" s="329">
        <v>10.9</v>
      </c>
      <c r="G980" s="329">
        <f t="shared" si="58"/>
        <v>9.9666666666666668</v>
      </c>
      <c r="H980" s="329">
        <v>9.1</v>
      </c>
      <c r="I980" s="329">
        <f t="shared" si="59"/>
        <v>8.8666666666666671</v>
      </c>
      <c r="L980" s="331">
        <v>40616</v>
      </c>
      <c r="M980" s="329">
        <v>46.816666666666663</v>
      </c>
      <c r="N980" s="329">
        <v>44.933333333333337</v>
      </c>
      <c r="O980" s="329">
        <v>9.9666666666666668</v>
      </c>
      <c r="P980" s="329">
        <v>8.8666666666666671</v>
      </c>
    </row>
    <row r="981" spans="1:16">
      <c r="A981" s="331">
        <v>40617</v>
      </c>
      <c r="B981" s="329">
        <v>46.3</v>
      </c>
      <c r="C981" s="329">
        <f t="shared" si="60"/>
        <v>46.016666666666659</v>
      </c>
      <c r="D981" s="329">
        <v>44.8</v>
      </c>
      <c r="E981" s="329">
        <f t="shared" si="57"/>
        <v>44.800000000000004</v>
      </c>
      <c r="F981" s="329">
        <v>10.5</v>
      </c>
      <c r="G981" s="329">
        <f t="shared" si="58"/>
        <v>10.616666666666665</v>
      </c>
      <c r="H981" s="329">
        <v>9.3000000000000007</v>
      </c>
      <c r="I981" s="329">
        <f t="shared" si="59"/>
        <v>9.4333333333333336</v>
      </c>
      <c r="L981" s="331">
        <v>40617</v>
      </c>
      <c r="M981" s="329">
        <v>46.016666666666659</v>
      </c>
      <c r="N981" s="329">
        <v>44.800000000000004</v>
      </c>
      <c r="O981" s="329">
        <v>10.616666666666665</v>
      </c>
      <c r="P981" s="329">
        <v>9.4333333333333336</v>
      </c>
    </row>
    <row r="982" spans="1:16">
      <c r="A982" s="331">
        <v>40617</v>
      </c>
      <c r="B982" s="329">
        <v>46.2</v>
      </c>
      <c r="C982" s="329">
        <f t="shared" si="60"/>
        <v>46.016666666666659</v>
      </c>
      <c r="D982" s="329">
        <v>44.8</v>
      </c>
      <c r="E982" s="329">
        <f t="shared" si="57"/>
        <v>44.800000000000004</v>
      </c>
      <c r="F982" s="329">
        <v>10.4</v>
      </c>
      <c r="G982" s="329">
        <f t="shared" si="58"/>
        <v>10.616666666666665</v>
      </c>
      <c r="H982" s="329">
        <v>9.4</v>
      </c>
      <c r="I982" s="329">
        <f t="shared" si="59"/>
        <v>9.4333333333333336</v>
      </c>
      <c r="L982" s="331">
        <v>40617</v>
      </c>
      <c r="M982" s="329">
        <v>46.016666666666659</v>
      </c>
      <c r="N982" s="329">
        <v>44.800000000000004</v>
      </c>
      <c r="O982" s="329">
        <v>10.616666666666665</v>
      </c>
      <c r="P982" s="329">
        <v>9.4333333333333336</v>
      </c>
    </row>
    <row r="983" spans="1:16">
      <c r="A983" s="331">
        <v>40617</v>
      </c>
      <c r="B983" s="329">
        <v>46.1</v>
      </c>
      <c r="C983" s="329">
        <f t="shared" si="60"/>
        <v>46.016666666666659</v>
      </c>
      <c r="D983" s="329">
        <v>44.8</v>
      </c>
      <c r="E983" s="329">
        <f t="shared" si="57"/>
        <v>44.800000000000004</v>
      </c>
      <c r="F983" s="329">
        <v>10.4</v>
      </c>
      <c r="G983" s="329">
        <f t="shared" si="58"/>
        <v>10.616666666666665</v>
      </c>
      <c r="H983" s="329">
        <v>9.4</v>
      </c>
      <c r="I983" s="329">
        <f t="shared" si="59"/>
        <v>9.4333333333333336</v>
      </c>
      <c r="L983" s="331">
        <v>40617</v>
      </c>
      <c r="M983" s="329">
        <v>46.016666666666659</v>
      </c>
      <c r="N983" s="329">
        <v>44.800000000000004</v>
      </c>
      <c r="O983" s="329">
        <v>10.616666666666665</v>
      </c>
      <c r="P983" s="329">
        <v>9.4333333333333336</v>
      </c>
    </row>
    <row r="984" spans="1:16">
      <c r="A984" s="331">
        <v>40617</v>
      </c>
      <c r="B984" s="329">
        <v>46</v>
      </c>
      <c r="C984" s="329">
        <f t="shared" si="60"/>
        <v>46.016666666666659</v>
      </c>
      <c r="D984" s="329">
        <v>44.8</v>
      </c>
      <c r="E984" s="329">
        <f t="shared" si="57"/>
        <v>44.800000000000004</v>
      </c>
      <c r="F984" s="329">
        <v>10.6</v>
      </c>
      <c r="G984" s="329">
        <f t="shared" si="58"/>
        <v>10.616666666666665</v>
      </c>
      <c r="H984" s="329">
        <v>9.4</v>
      </c>
      <c r="I984" s="329">
        <f t="shared" si="59"/>
        <v>9.4333333333333336</v>
      </c>
      <c r="L984" s="331">
        <v>40617</v>
      </c>
      <c r="M984" s="329">
        <v>46.016666666666659</v>
      </c>
      <c r="N984" s="329">
        <v>44.800000000000004</v>
      </c>
      <c r="O984" s="329">
        <v>10.616666666666665</v>
      </c>
      <c r="P984" s="329">
        <v>9.4333333333333336</v>
      </c>
    </row>
    <row r="985" spans="1:16">
      <c r="A985" s="331">
        <v>40617</v>
      </c>
      <c r="B985" s="329">
        <v>45.8</v>
      </c>
      <c r="C985" s="329">
        <f t="shared" si="60"/>
        <v>46.016666666666659</v>
      </c>
      <c r="D985" s="329">
        <v>44.8</v>
      </c>
      <c r="E985" s="329">
        <f t="shared" si="57"/>
        <v>44.800000000000004</v>
      </c>
      <c r="F985" s="329">
        <v>10.9</v>
      </c>
      <c r="G985" s="329">
        <f t="shared" si="58"/>
        <v>10.616666666666665</v>
      </c>
      <c r="H985" s="329">
        <v>9.5</v>
      </c>
      <c r="I985" s="329">
        <f t="shared" si="59"/>
        <v>9.4333333333333336</v>
      </c>
      <c r="L985" s="331">
        <v>40617</v>
      </c>
      <c r="M985" s="329">
        <v>46.016666666666659</v>
      </c>
      <c r="N985" s="329">
        <v>44.800000000000004</v>
      </c>
      <c r="O985" s="329">
        <v>10.616666666666665</v>
      </c>
      <c r="P985" s="329">
        <v>9.4333333333333336</v>
      </c>
    </row>
    <row r="986" spans="1:16">
      <c r="A986" s="331">
        <v>40617</v>
      </c>
      <c r="B986" s="329">
        <v>45.7</v>
      </c>
      <c r="C986" s="329">
        <f t="shared" si="60"/>
        <v>46.016666666666659</v>
      </c>
      <c r="D986" s="329">
        <v>44.8</v>
      </c>
      <c r="E986" s="329">
        <f t="shared" si="57"/>
        <v>44.800000000000004</v>
      </c>
      <c r="F986" s="329">
        <v>10.9</v>
      </c>
      <c r="G986" s="329">
        <f t="shared" si="58"/>
        <v>10.616666666666665</v>
      </c>
      <c r="H986" s="329">
        <v>9.6</v>
      </c>
      <c r="I986" s="329">
        <f t="shared" si="59"/>
        <v>9.4333333333333336</v>
      </c>
      <c r="L986" s="331">
        <v>40617</v>
      </c>
      <c r="M986" s="329">
        <v>46.016666666666659</v>
      </c>
      <c r="N986" s="329">
        <v>44.800000000000004</v>
      </c>
      <c r="O986" s="329">
        <v>10.616666666666665</v>
      </c>
      <c r="P986" s="329">
        <v>9.4333333333333336</v>
      </c>
    </row>
    <row r="987" spans="1:16">
      <c r="A987" s="331">
        <v>40618</v>
      </c>
      <c r="B987" s="329">
        <v>45.7</v>
      </c>
      <c r="C987" s="329">
        <f t="shared" si="60"/>
        <v>48.933333333333337</v>
      </c>
      <c r="D987" s="329">
        <v>44.8</v>
      </c>
      <c r="E987" s="329">
        <f t="shared" si="57"/>
        <v>44.716666666666661</v>
      </c>
      <c r="F987" s="329">
        <v>10.8</v>
      </c>
      <c r="G987" s="329">
        <f t="shared" si="58"/>
        <v>10.649999999999999</v>
      </c>
      <c r="H987" s="329">
        <v>9.6999999999999993</v>
      </c>
      <c r="I987" s="329">
        <f t="shared" si="59"/>
        <v>9.7166666666666668</v>
      </c>
      <c r="L987" s="331">
        <v>40618</v>
      </c>
      <c r="M987" s="329">
        <v>48.933333333333337</v>
      </c>
      <c r="N987" s="329">
        <v>44.716666666666661</v>
      </c>
      <c r="O987" s="329">
        <v>10.649999999999999</v>
      </c>
      <c r="P987" s="329">
        <v>9.7166666666666668</v>
      </c>
    </row>
    <row r="988" spans="1:16">
      <c r="A988" s="331">
        <v>40618</v>
      </c>
      <c r="B988" s="329">
        <v>51</v>
      </c>
      <c r="C988" s="329">
        <f t="shared" si="60"/>
        <v>48.933333333333337</v>
      </c>
      <c r="D988" s="329">
        <v>44.7</v>
      </c>
      <c r="E988" s="329">
        <f t="shared" si="57"/>
        <v>44.716666666666661</v>
      </c>
      <c r="F988" s="329">
        <v>10.6</v>
      </c>
      <c r="G988" s="329">
        <f t="shared" si="58"/>
        <v>10.649999999999999</v>
      </c>
      <c r="H988" s="329">
        <v>9.6999999999999993</v>
      </c>
      <c r="I988" s="329">
        <f t="shared" si="59"/>
        <v>9.7166666666666668</v>
      </c>
      <c r="L988" s="331">
        <v>40618</v>
      </c>
      <c r="M988" s="329">
        <v>48.933333333333337</v>
      </c>
      <c r="N988" s="329">
        <v>44.716666666666661</v>
      </c>
      <c r="O988" s="329">
        <v>10.649999999999999</v>
      </c>
      <c r="P988" s="329">
        <v>9.7166666666666668</v>
      </c>
    </row>
    <row r="989" spans="1:16">
      <c r="A989" s="331">
        <v>40618</v>
      </c>
      <c r="B989" s="329">
        <v>50</v>
      </c>
      <c r="C989" s="329">
        <f t="shared" si="60"/>
        <v>48.933333333333337</v>
      </c>
      <c r="D989" s="329">
        <v>44.7</v>
      </c>
      <c r="E989" s="329">
        <f t="shared" si="57"/>
        <v>44.716666666666661</v>
      </c>
      <c r="F989" s="329">
        <v>10.4</v>
      </c>
      <c r="G989" s="329">
        <f t="shared" si="58"/>
        <v>10.649999999999999</v>
      </c>
      <c r="H989" s="329">
        <v>9.6999999999999993</v>
      </c>
      <c r="I989" s="329">
        <f t="shared" si="59"/>
        <v>9.7166666666666668</v>
      </c>
      <c r="L989" s="331">
        <v>40618</v>
      </c>
      <c r="M989" s="329">
        <v>48.933333333333337</v>
      </c>
      <c r="N989" s="329">
        <v>44.716666666666661</v>
      </c>
      <c r="O989" s="329">
        <v>10.649999999999999</v>
      </c>
      <c r="P989" s="329">
        <v>9.7166666666666668</v>
      </c>
    </row>
    <row r="990" spans="1:16">
      <c r="A990" s="331">
        <v>40618</v>
      </c>
      <c r="B990" s="329">
        <v>49.3</v>
      </c>
      <c r="C990" s="329">
        <f t="shared" si="60"/>
        <v>48.933333333333337</v>
      </c>
      <c r="D990" s="329">
        <v>44.7</v>
      </c>
      <c r="E990" s="329">
        <f t="shared" si="57"/>
        <v>44.716666666666661</v>
      </c>
      <c r="F990" s="329">
        <v>10.4</v>
      </c>
      <c r="G990" s="329">
        <f t="shared" si="58"/>
        <v>10.649999999999999</v>
      </c>
      <c r="H990" s="329">
        <v>9.6999999999999993</v>
      </c>
      <c r="I990" s="329">
        <f t="shared" si="59"/>
        <v>9.7166666666666668</v>
      </c>
      <c r="L990" s="331">
        <v>40618</v>
      </c>
      <c r="M990" s="329">
        <v>48.933333333333337</v>
      </c>
      <c r="N990" s="329">
        <v>44.716666666666661</v>
      </c>
      <c r="O990" s="329">
        <v>10.649999999999999</v>
      </c>
      <c r="P990" s="329">
        <v>9.7166666666666668</v>
      </c>
    </row>
    <row r="991" spans="1:16">
      <c r="A991" s="331">
        <v>40618</v>
      </c>
      <c r="B991" s="329">
        <v>49</v>
      </c>
      <c r="C991" s="329">
        <f t="shared" si="60"/>
        <v>48.933333333333337</v>
      </c>
      <c r="D991" s="329">
        <v>44.7</v>
      </c>
      <c r="E991" s="329">
        <f t="shared" si="57"/>
        <v>44.716666666666661</v>
      </c>
      <c r="F991" s="329">
        <v>10.7</v>
      </c>
      <c r="G991" s="329">
        <f t="shared" si="58"/>
        <v>10.649999999999999</v>
      </c>
      <c r="H991" s="329">
        <v>9.6999999999999993</v>
      </c>
      <c r="I991" s="329">
        <f t="shared" si="59"/>
        <v>9.7166666666666668</v>
      </c>
      <c r="L991" s="331">
        <v>40618</v>
      </c>
      <c r="M991" s="329">
        <v>48.933333333333337</v>
      </c>
      <c r="N991" s="329">
        <v>44.716666666666661</v>
      </c>
      <c r="O991" s="329">
        <v>10.649999999999999</v>
      </c>
      <c r="P991" s="329">
        <v>9.7166666666666668</v>
      </c>
    </row>
    <row r="992" spans="1:16">
      <c r="A992" s="331">
        <v>40618</v>
      </c>
      <c r="B992" s="329">
        <v>48.6</v>
      </c>
      <c r="C992" s="329">
        <f t="shared" si="60"/>
        <v>48.933333333333337</v>
      </c>
      <c r="D992" s="329">
        <v>44.7</v>
      </c>
      <c r="E992" s="329">
        <f t="shared" si="57"/>
        <v>44.716666666666661</v>
      </c>
      <c r="F992" s="329">
        <v>11</v>
      </c>
      <c r="G992" s="329">
        <f t="shared" si="58"/>
        <v>10.649999999999999</v>
      </c>
      <c r="H992" s="329">
        <v>9.8000000000000007</v>
      </c>
      <c r="I992" s="329">
        <f t="shared" si="59"/>
        <v>9.7166666666666668</v>
      </c>
      <c r="L992" s="331">
        <v>40618</v>
      </c>
      <c r="M992" s="329">
        <v>48.933333333333337</v>
      </c>
      <c r="N992" s="329">
        <v>44.716666666666661</v>
      </c>
      <c r="O992" s="329">
        <v>10.649999999999999</v>
      </c>
      <c r="P992" s="329">
        <v>9.7166666666666668</v>
      </c>
    </row>
    <row r="993" spans="1:16">
      <c r="A993" s="331">
        <v>40619</v>
      </c>
      <c r="B993" s="329">
        <v>48.2</v>
      </c>
      <c r="C993" s="329">
        <f t="shared" si="60"/>
        <v>47.616666666666674</v>
      </c>
      <c r="D993" s="329">
        <v>44.7</v>
      </c>
      <c r="E993" s="329">
        <f t="shared" si="57"/>
        <v>44.666666666666664</v>
      </c>
      <c r="F993" s="329">
        <v>10.8</v>
      </c>
      <c r="G993" s="329">
        <f t="shared" si="58"/>
        <v>10.483333333333333</v>
      </c>
      <c r="H993" s="329">
        <v>9.8000000000000007</v>
      </c>
      <c r="I993" s="329">
        <f t="shared" si="59"/>
        <v>9.8166666666666682</v>
      </c>
      <c r="L993" s="331">
        <v>40619</v>
      </c>
      <c r="M993" s="329">
        <v>47.616666666666674</v>
      </c>
      <c r="N993" s="329">
        <v>44.666666666666664</v>
      </c>
      <c r="O993" s="329">
        <v>10.483333333333333</v>
      </c>
      <c r="P993" s="329">
        <v>9.8166666666666682</v>
      </c>
    </row>
    <row r="994" spans="1:16">
      <c r="A994" s="331">
        <v>40619</v>
      </c>
      <c r="B994" s="329">
        <v>47.9</v>
      </c>
      <c r="C994" s="329">
        <f t="shared" si="60"/>
        <v>47.616666666666674</v>
      </c>
      <c r="D994" s="329">
        <v>44.7</v>
      </c>
      <c r="E994" s="329">
        <f t="shared" ref="E994:E1057" si="61">AVERAGEIFS($D$33:$D$1494,$A$33:$A$1494,A994)</f>
        <v>44.666666666666664</v>
      </c>
      <c r="F994" s="329">
        <v>10.6</v>
      </c>
      <c r="G994" s="329">
        <f t="shared" ref="G994:G1057" si="62">AVERAGEIFS($F$33:$F$1494,$A$33:$A$1494,A994)</f>
        <v>10.483333333333333</v>
      </c>
      <c r="H994" s="329">
        <v>9.9</v>
      </c>
      <c r="I994" s="329">
        <f t="shared" ref="I994:I1057" si="63">AVERAGEIFS($H$33:$H$1494,$A$33:$A$1494,A994)</f>
        <v>9.8166666666666682</v>
      </c>
      <c r="L994" s="331">
        <v>40619</v>
      </c>
      <c r="M994" s="329">
        <v>47.616666666666674</v>
      </c>
      <c r="N994" s="329">
        <v>44.666666666666664</v>
      </c>
      <c r="O994" s="329">
        <v>10.483333333333333</v>
      </c>
      <c r="P994" s="329">
        <v>9.8166666666666682</v>
      </c>
    </row>
    <row r="995" spans="1:16">
      <c r="A995" s="331">
        <v>40619</v>
      </c>
      <c r="B995" s="329">
        <v>47.7</v>
      </c>
      <c r="C995" s="329">
        <f t="shared" si="60"/>
        <v>47.616666666666674</v>
      </c>
      <c r="D995" s="329">
        <v>44.7</v>
      </c>
      <c r="E995" s="329">
        <f t="shared" si="61"/>
        <v>44.666666666666664</v>
      </c>
      <c r="F995" s="329">
        <v>10.5</v>
      </c>
      <c r="G995" s="329">
        <f t="shared" si="62"/>
        <v>10.483333333333333</v>
      </c>
      <c r="H995" s="329">
        <v>9.8000000000000007</v>
      </c>
      <c r="I995" s="329">
        <f t="shared" si="63"/>
        <v>9.8166666666666682</v>
      </c>
      <c r="L995" s="331">
        <v>40619</v>
      </c>
      <c r="M995" s="329">
        <v>47.616666666666674</v>
      </c>
      <c r="N995" s="329">
        <v>44.666666666666664</v>
      </c>
      <c r="O995" s="329">
        <v>10.483333333333333</v>
      </c>
      <c r="P995" s="329">
        <v>9.8166666666666682</v>
      </c>
    </row>
    <row r="996" spans="1:16">
      <c r="A996" s="331">
        <v>40619</v>
      </c>
      <c r="B996" s="329">
        <v>47.5</v>
      </c>
      <c r="C996" s="329">
        <f t="shared" si="60"/>
        <v>47.616666666666674</v>
      </c>
      <c r="D996" s="329">
        <v>44.7</v>
      </c>
      <c r="E996" s="329">
        <f t="shared" si="61"/>
        <v>44.666666666666664</v>
      </c>
      <c r="F996" s="329">
        <v>10.199999999999999</v>
      </c>
      <c r="G996" s="329">
        <f t="shared" si="62"/>
        <v>10.483333333333333</v>
      </c>
      <c r="H996" s="329">
        <v>9.8000000000000007</v>
      </c>
      <c r="I996" s="329">
        <f t="shared" si="63"/>
        <v>9.8166666666666682</v>
      </c>
      <c r="L996" s="331">
        <v>40619</v>
      </c>
      <c r="M996" s="329">
        <v>47.616666666666674</v>
      </c>
      <c r="N996" s="329">
        <v>44.666666666666664</v>
      </c>
      <c r="O996" s="329">
        <v>10.483333333333333</v>
      </c>
      <c r="P996" s="329">
        <v>9.8166666666666682</v>
      </c>
    </row>
    <row r="997" spans="1:16">
      <c r="A997" s="331">
        <v>40619</v>
      </c>
      <c r="B997" s="329">
        <v>47.3</v>
      </c>
      <c r="C997" s="329">
        <f t="shared" si="60"/>
        <v>47.616666666666674</v>
      </c>
      <c r="D997" s="329">
        <v>44.6</v>
      </c>
      <c r="E997" s="329">
        <f t="shared" si="61"/>
        <v>44.666666666666664</v>
      </c>
      <c r="F997" s="329">
        <v>10.5</v>
      </c>
      <c r="G997" s="329">
        <f t="shared" si="62"/>
        <v>10.483333333333333</v>
      </c>
      <c r="H997" s="329">
        <v>9.8000000000000007</v>
      </c>
      <c r="I997" s="329">
        <f t="shared" si="63"/>
        <v>9.8166666666666682</v>
      </c>
      <c r="L997" s="331">
        <v>40619</v>
      </c>
      <c r="M997" s="329">
        <v>47.616666666666674</v>
      </c>
      <c r="N997" s="329">
        <v>44.666666666666664</v>
      </c>
      <c r="O997" s="329">
        <v>10.483333333333333</v>
      </c>
      <c r="P997" s="329">
        <v>9.8166666666666682</v>
      </c>
    </row>
    <row r="998" spans="1:16">
      <c r="A998" s="331">
        <v>40619</v>
      </c>
      <c r="B998" s="329">
        <v>47.1</v>
      </c>
      <c r="C998" s="329">
        <f t="shared" si="60"/>
        <v>47.616666666666674</v>
      </c>
      <c r="D998" s="329">
        <v>44.6</v>
      </c>
      <c r="E998" s="329">
        <f t="shared" si="61"/>
        <v>44.666666666666664</v>
      </c>
      <c r="F998" s="329">
        <v>10.3</v>
      </c>
      <c r="G998" s="329">
        <f t="shared" si="62"/>
        <v>10.483333333333333</v>
      </c>
      <c r="H998" s="329">
        <v>9.8000000000000007</v>
      </c>
      <c r="I998" s="329">
        <f t="shared" si="63"/>
        <v>9.8166666666666682</v>
      </c>
      <c r="L998" s="331">
        <v>40619</v>
      </c>
      <c r="M998" s="329">
        <v>47.616666666666674</v>
      </c>
      <c r="N998" s="329">
        <v>44.666666666666664</v>
      </c>
      <c r="O998" s="329">
        <v>10.483333333333333</v>
      </c>
      <c r="P998" s="329">
        <v>9.8166666666666682</v>
      </c>
    </row>
    <row r="999" spans="1:16">
      <c r="A999" s="331">
        <v>40620</v>
      </c>
      <c r="B999" s="329">
        <v>47</v>
      </c>
      <c r="C999" s="329">
        <f t="shared" si="60"/>
        <v>46.766666666666673</v>
      </c>
      <c r="D999" s="329">
        <v>44.6</v>
      </c>
      <c r="E999" s="329">
        <f t="shared" si="61"/>
        <v>44.516666666666673</v>
      </c>
      <c r="F999" s="329">
        <v>10</v>
      </c>
      <c r="G999" s="329">
        <f t="shared" si="62"/>
        <v>9.7333333333333343</v>
      </c>
      <c r="H999" s="329">
        <v>9.6999999999999993</v>
      </c>
      <c r="I999" s="329">
        <f t="shared" si="63"/>
        <v>9.466666666666665</v>
      </c>
      <c r="L999" s="331">
        <v>40620</v>
      </c>
      <c r="M999" s="329">
        <v>46.766666666666673</v>
      </c>
      <c r="N999" s="329">
        <v>44.516666666666673</v>
      </c>
      <c r="O999" s="329">
        <v>9.7333333333333343</v>
      </c>
      <c r="P999" s="329">
        <v>9.466666666666665</v>
      </c>
    </row>
    <row r="1000" spans="1:16">
      <c r="A1000" s="331">
        <v>40620</v>
      </c>
      <c r="B1000" s="329">
        <v>46.9</v>
      </c>
      <c r="C1000" s="329">
        <f t="shared" ref="C1000:C1063" si="64">AVERAGEIFS($B$33:$B$1494,$A$33:$A$1494,A1000)</f>
        <v>46.766666666666673</v>
      </c>
      <c r="D1000" s="329">
        <v>44.6</v>
      </c>
      <c r="E1000" s="329">
        <f t="shared" si="61"/>
        <v>44.516666666666673</v>
      </c>
      <c r="F1000" s="329">
        <v>9.6</v>
      </c>
      <c r="G1000" s="329">
        <f t="shared" si="62"/>
        <v>9.7333333333333343</v>
      </c>
      <c r="H1000" s="329">
        <v>9.6</v>
      </c>
      <c r="I1000" s="329">
        <f t="shared" si="63"/>
        <v>9.466666666666665</v>
      </c>
      <c r="L1000" s="331">
        <v>40620</v>
      </c>
      <c r="M1000" s="329">
        <v>46.766666666666673</v>
      </c>
      <c r="N1000" s="329">
        <v>44.516666666666673</v>
      </c>
      <c r="O1000" s="329">
        <v>9.7333333333333343</v>
      </c>
      <c r="P1000" s="329">
        <v>9.466666666666665</v>
      </c>
    </row>
    <row r="1001" spans="1:16">
      <c r="A1001" s="331">
        <v>40620</v>
      </c>
      <c r="B1001" s="329">
        <v>46.9</v>
      </c>
      <c r="C1001" s="329">
        <f t="shared" si="64"/>
        <v>46.766666666666673</v>
      </c>
      <c r="D1001" s="329">
        <v>44.6</v>
      </c>
      <c r="E1001" s="329">
        <f t="shared" si="61"/>
        <v>44.516666666666673</v>
      </c>
      <c r="F1001" s="329">
        <v>9.1999999999999993</v>
      </c>
      <c r="G1001" s="329">
        <f t="shared" si="62"/>
        <v>9.7333333333333343</v>
      </c>
      <c r="H1001" s="329">
        <v>9.5</v>
      </c>
      <c r="I1001" s="329">
        <f t="shared" si="63"/>
        <v>9.466666666666665</v>
      </c>
      <c r="L1001" s="331">
        <v>40620</v>
      </c>
      <c r="M1001" s="329">
        <v>46.766666666666673</v>
      </c>
      <c r="N1001" s="329">
        <v>44.516666666666673</v>
      </c>
      <c r="O1001" s="329">
        <v>9.7333333333333343</v>
      </c>
      <c r="P1001" s="329">
        <v>9.466666666666665</v>
      </c>
    </row>
    <row r="1002" spans="1:16">
      <c r="A1002" s="331">
        <v>40620</v>
      </c>
      <c r="B1002" s="329">
        <v>46.8</v>
      </c>
      <c r="C1002" s="329">
        <f t="shared" si="64"/>
        <v>46.766666666666673</v>
      </c>
      <c r="D1002" s="329">
        <v>44.5</v>
      </c>
      <c r="E1002" s="329">
        <f t="shared" si="61"/>
        <v>44.516666666666673</v>
      </c>
      <c r="F1002" s="329">
        <v>9.3000000000000007</v>
      </c>
      <c r="G1002" s="329">
        <f t="shared" si="62"/>
        <v>9.7333333333333343</v>
      </c>
      <c r="H1002" s="329">
        <v>9.3000000000000007</v>
      </c>
      <c r="I1002" s="329">
        <f t="shared" si="63"/>
        <v>9.466666666666665</v>
      </c>
      <c r="L1002" s="331">
        <v>40620</v>
      </c>
      <c r="M1002" s="329">
        <v>46.766666666666673</v>
      </c>
      <c r="N1002" s="329">
        <v>44.516666666666673</v>
      </c>
      <c r="O1002" s="329">
        <v>9.7333333333333343</v>
      </c>
      <c r="P1002" s="329">
        <v>9.466666666666665</v>
      </c>
    </row>
    <row r="1003" spans="1:16">
      <c r="A1003" s="331">
        <v>40620</v>
      </c>
      <c r="B1003" s="329">
        <v>46.6</v>
      </c>
      <c r="C1003" s="329">
        <f t="shared" si="64"/>
        <v>46.766666666666673</v>
      </c>
      <c r="D1003" s="329">
        <v>44.4</v>
      </c>
      <c r="E1003" s="329">
        <f t="shared" si="61"/>
        <v>44.516666666666673</v>
      </c>
      <c r="F1003" s="329">
        <v>10</v>
      </c>
      <c r="G1003" s="329">
        <f t="shared" si="62"/>
        <v>9.7333333333333343</v>
      </c>
      <c r="H1003" s="329">
        <v>9.3000000000000007</v>
      </c>
      <c r="I1003" s="329">
        <f t="shared" si="63"/>
        <v>9.466666666666665</v>
      </c>
      <c r="L1003" s="331">
        <v>40620</v>
      </c>
      <c r="M1003" s="329">
        <v>46.766666666666673</v>
      </c>
      <c r="N1003" s="329">
        <v>44.516666666666673</v>
      </c>
      <c r="O1003" s="329">
        <v>9.7333333333333343</v>
      </c>
      <c r="P1003" s="329">
        <v>9.466666666666665</v>
      </c>
    </row>
    <row r="1004" spans="1:16">
      <c r="A1004" s="331">
        <v>40620</v>
      </c>
      <c r="B1004" s="329">
        <v>46.4</v>
      </c>
      <c r="C1004" s="329">
        <f t="shared" si="64"/>
        <v>46.766666666666673</v>
      </c>
      <c r="D1004" s="329">
        <v>44.4</v>
      </c>
      <c r="E1004" s="329">
        <f t="shared" si="61"/>
        <v>44.516666666666673</v>
      </c>
      <c r="F1004" s="329">
        <v>10.3</v>
      </c>
      <c r="G1004" s="329">
        <f t="shared" si="62"/>
        <v>9.7333333333333343</v>
      </c>
      <c r="H1004" s="329">
        <v>9.4</v>
      </c>
      <c r="I1004" s="329">
        <f t="shared" si="63"/>
        <v>9.466666666666665</v>
      </c>
      <c r="L1004" s="331">
        <v>40620</v>
      </c>
      <c r="M1004" s="329">
        <v>46.766666666666673</v>
      </c>
      <c r="N1004" s="329">
        <v>44.516666666666673</v>
      </c>
      <c r="O1004" s="329">
        <v>9.7333333333333343</v>
      </c>
      <c r="P1004" s="329">
        <v>9.466666666666665</v>
      </c>
    </row>
    <row r="1005" spans="1:16">
      <c r="A1005" s="331">
        <v>40621</v>
      </c>
      <c r="B1005" s="329">
        <v>46.3</v>
      </c>
      <c r="C1005" s="329">
        <f t="shared" si="64"/>
        <v>46.066666666666663</v>
      </c>
      <c r="D1005" s="329">
        <v>44.4</v>
      </c>
      <c r="E1005" s="329">
        <f t="shared" si="61"/>
        <v>44.35</v>
      </c>
      <c r="F1005" s="329">
        <v>10.199999999999999</v>
      </c>
      <c r="G1005" s="329">
        <f t="shared" si="62"/>
        <v>10.233333333333334</v>
      </c>
      <c r="H1005" s="329">
        <v>9.5</v>
      </c>
      <c r="I1005" s="329">
        <f t="shared" si="63"/>
        <v>9.5166666666666675</v>
      </c>
      <c r="L1005" s="331">
        <v>40621</v>
      </c>
      <c r="M1005" s="329">
        <v>46.066666666666663</v>
      </c>
      <c r="N1005" s="329">
        <v>44.35</v>
      </c>
      <c r="O1005" s="329">
        <v>10.233333333333334</v>
      </c>
      <c r="P1005" s="329">
        <v>9.5166666666666675</v>
      </c>
    </row>
    <row r="1006" spans="1:16">
      <c r="A1006" s="331">
        <v>40621</v>
      </c>
      <c r="B1006" s="329">
        <v>46.2</v>
      </c>
      <c r="C1006" s="329">
        <f t="shared" si="64"/>
        <v>46.066666666666663</v>
      </c>
      <c r="D1006" s="329">
        <v>44.4</v>
      </c>
      <c r="E1006" s="329">
        <f t="shared" si="61"/>
        <v>44.35</v>
      </c>
      <c r="F1006" s="329">
        <v>10</v>
      </c>
      <c r="G1006" s="329">
        <f t="shared" si="62"/>
        <v>10.233333333333334</v>
      </c>
      <c r="H1006" s="329">
        <v>9.5</v>
      </c>
      <c r="I1006" s="329">
        <f t="shared" si="63"/>
        <v>9.5166666666666675</v>
      </c>
      <c r="L1006" s="331">
        <v>40621</v>
      </c>
      <c r="M1006" s="329">
        <v>46.066666666666663</v>
      </c>
      <c r="N1006" s="329">
        <v>44.35</v>
      </c>
      <c r="O1006" s="329">
        <v>10.233333333333334</v>
      </c>
      <c r="P1006" s="329">
        <v>9.5166666666666675</v>
      </c>
    </row>
    <row r="1007" spans="1:16">
      <c r="A1007" s="331">
        <v>40621</v>
      </c>
      <c r="B1007" s="329">
        <v>46.2</v>
      </c>
      <c r="C1007" s="329">
        <f t="shared" si="64"/>
        <v>46.066666666666663</v>
      </c>
      <c r="D1007" s="329">
        <v>44.4</v>
      </c>
      <c r="E1007" s="329">
        <f t="shared" si="61"/>
        <v>44.35</v>
      </c>
      <c r="F1007" s="329">
        <v>9.9</v>
      </c>
      <c r="G1007" s="329">
        <f t="shared" si="62"/>
        <v>10.233333333333334</v>
      </c>
      <c r="H1007" s="329">
        <v>9.5</v>
      </c>
      <c r="I1007" s="329">
        <f t="shared" si="63"/>
        <v>9.5166666666666675</v>
      </c>
      <c r="L1007" s="331">
        <v>40621</v>
      </c>
      <c r="M1007" s="329">
        <v>46.066666666666663</v>
      </c>
      <c r="N1007" s="329">
        <v>44.35</v>
      </c>
      <c r="O1007" s="329">
        <v>10.233333333333334</v>
      </c>
      <c r="P1007" s="329">
        <v>9.5166666666666675</v>
      </c>
    </row>
    <row r="1008" spans="1:16">
      <c r="A1008" s="331">
        <v>40621</v>
      </c>
      <c r="B1008" s="329">
        <v>46.1</v>
      </c>
      <c r="C1008" s="329">
        <f t="shared" si="64"/>
        <v>46.066666666666663</v>
      </c>
      <c r="D1008" s="329">
        <v>44.3</v>
      </c>
      <c r="E1008" s="329">
        <f t="shared" si="61"/>
        <v>44.35</v>
      </c>
      <c r="F1008" s="329">
        <v>10</v>
      </c>
      <c r="G1008" s="329">
        <f t="shared" si="62"/>
        <v>10.233333333333334</v>
      </c>
      <c r="H1008" s="329">
        <v>9.5</v>
      </c>
      <c r="I1008" s="329">
        <f t="shared" si="63"/>
        <v>9.5166666666666675</v>
      </c>
      <c r="L1008" s="331">
        <v>40621</v>
      </c>
      <c r="M1008" s="329">
        <v>46.066666666666663</v>
      </c>
      <c r="N1008" s="329">
        <v>44.35</v>
      </c>
      <c r="O1008" s="329">
        <v>10.233333333333334</v>
      </c>
      <c r="P1008" s="329">
        <v>9.5166666666666675</v>
      </c>
    </row>
    <row r="1009" spans="1:16">
      <c r="A1009" s="331">
        <v>40621</v>
      </c>
      <c r="B1009" s="329">
        <v>45.9</v>
      </c>
      <c r="C1009" s="329">
        <f t="shared" si="64"/>
        <v>46.066666666666663</v>
      </c>
      <c r="D1009" s="329">
        <v>44.3</v>
      </c>
      <c r="E1009" s="329">
        <f t="shared" si="61"/>
        <v>44.35</v>
      </c>
      <c r="F1009" s="329">
        <v>10.6</v>
      </c>
      <c r="G1009" s="329">
        <f t="shared" si="62"/>
        <v>10.233333333333334</v>
      </c>
      <c r="H1009" s="329">
        <v>9.5</v>
      </c>
      <c r="I1009" s="329">
        <f t="shared" si="63"/>
        <v>9.5166666666666675</v>
      </c>
      <c r="L1009" s="331">
        <v>40621</v>
      </c>
      <c r="M1009" s="329">
        <v>46.066666666666663</v>
      </c>
      <c r="N1009" s="329">
        <v>44.35</v>
      </c>
      <c r="O1009" s="329">
        <v>10.233333333333334</v>
      </c>
      <c r="P1009" s="329">
        <v>9.5166666666666675</v>
      </c>
    </row>
    <row r="1010" spans="1:16">
      <c r="A1010" s="331">
        <v>40621</v>
      </c>
      <c r="B1010" s="329">
        <v>45.7</v>
      </c>
      <c r="C1010" s="329">
        <f t="shared" si="64"/>
        <v>46.066666666666663</v>
      </c>
      <c r="D1010" s="329">
        <v>44.3</v>
      </c>
      <c r="E1010" s="329">
        <f t="shared" si="61"/>
        <v>44.35</v>
      </c>
      <c r="F1010" s="329">
        <v>10.7</v>
      </c>
      <c r="G1010" s="329">
        <f t="shared" si="62"/>
        <v>10.233333333333334</v>
      </c>
      <c r="H1010" s="329">
        <v>9.6</v>
      </c>
      <c r="I1010" s="329">
        <f t="shared" si="63"/>
        <v>9.5166666666666675</v>
      </c>
      <c r="L1010" s="331">
        <v>40621</v>
      </c>
      <c r="M1010" s="329">
        <v>46.066666666666663</v>
      </c>
      <c r="N1010" s="329">
        <v>44.35</v>
      </c>
      <c r="O1010" s="329">
        <v>10.233333333333334</v>
      </c>
      <c r="P1010" s="329">
        <v>9.5166666666666675</v>
      </c>
    </row>
    <row r="1011" spans="1:16">
      <c r="A1011" s="331">
        <v>40622</v>
      </c>
      <c r="B1011" s="329">
        <v>45.7</v>
      </c>
      <c r="C1011" s="329">
        <f t="shared" si="64"/>
        <v>45.4</v>
      </c>
      <c r="D1011" s="329">
        <v>44.2</v>
      </c>
      <c r="E1011" s="329">
        <f t="shared" si="61"/>
        <v>44.133333333333333</v>
      </c>
      <c r="F1011" s="329">
        <v>10.3</v>
      </c>
      <c r="G1011" s="329">
        <f t="shared" si="62"/>
        <v>9.9166666666666661</v>
      </c>
      <c r="H1011" s="329">
        <v>9.6999999999999993</v>
      </c>
      <c r="I1011" s="329">
        <f t="shared" si="63"/>
        <v>9.5499999999999989</v>
      </c>
      <c r="L1011" s="331">
        <v>40622</v>
      </c>
      <c r="M1011" s="329">
        <v>45.4</v>
      </c>
      <c r="N1011" s="329">
        <v>44.133333333333333</v>
      </c>
      <c r="O1011" s="329">
        <v>9.9166666666666661</v>
      </c>
      <c r="P1011" s="329">
        <v>9.5499999999999989</v>
      </c>
    </row>
    <row r="1012" spans="1:16">
      <c r="A1012" s="331">
        <v>40622</v>
      </c>
      <c r="B1012" s="329">
        <v>45.6</v>
      </c>
      <c r="C1012" s="329">
        <f t="shared" si="64"/>
        <v>45.4</v>
      </c>
      <c r="D1012" s="329">
        <v>44.2</v>
      </c>
      <c r="E1012" s="329">
        <f t="shared" si="61"/>
        <v>44.133333333333333</v>
      </c>
      <c r="F1012" s="329">
        <v>9.8000000000000007</v>
      </c>
      <c r="G1012" s="329">
        <f t="shared" si="62"/>
        <v>9.9166666666666661</v>
      </c>
      <c r="H1012" s="329">
        <v>9.6999999999999993</v>
      </c>
      <c r="I1012" s="329">
        <f t="shared" si="63"/>
        <v>9.5499999999999989</v>
      </c>
      <c r="L1012" s="331">
        <v>40622</v>
      </c>
      <c r="M1012" s="329">
        <v>45.4</v>
      </c>
      <c r="N1012" s="329">
        <v>44.133333333333333</v>
      </c>
      <c r="O1012" s="329">
        <v>9.9166666666666661</v>
      </c>
      <c r="P1012" s="329">
        <v>9.5499999999999989</v>
      </c>
    </row>
    <row r="1013" spans="1:16">
      <c r="A1013" s="331">
        <v>40622</v>
      </c>
      <c r="B1013" s="329">
        <v>45.6</v>
      </c>
      <c r="C1013" s="329">
        <f t="shared" si="64"/>
        <v>45.4</v>
      </c>
      <c r="D1013" s="329">
        <v>44.2</v>
      </c>
      <c r="E1013" s="329">
        <f t="shared" si="61"/>
        <v>44.133333333333333</v>
      </c>
      <c r="F1013" s="329">
        <v>9.4</v>
      </c>
      <c r="G1013" s="329">
        <f t="shared" si="62"/>
        <v>9.9166666666666661</v>
      </c>
      <c r="H1013" s="329">
        <v>9.6</v>
      </c>
      <c r="I1013" s="329">
        <f t="shared" si="63"/>
        <v>9.5499999999999989</v>
      </c>
      <c r="L1013" s="331">
        <v>40622</v>
      </c>
      <c r="M1013" s="329">
        <v>45.4</v>
      </c>
      <c r="N1013" s="329">
        <v>44.133333333333333</v>
      </c>
      <c r="O1013" s="329">
        <v>9.9166666666666661</v>
      </c>
      <c r="P1013" s="329">
        <v>9.5499999999999989</v>
      </c>
    </row>
    <row r="1014" spans="1:16">
      <c r="A1014" s="331">
        <v>40622</v>
      </c>
      <c r="B1014" s="329">
        <v>45.4</v>
      </c>
      <c r="C1014" s="329">
        <f t="shared" si="64"/>
        <v>45.4</v>
      </c>
      <c r="D1014" s="329">
        <v>44.2</v>
      </c>
      <c r="E1014" s="329">
        <f t="shared" si="61"/>
        <v>44.133333333333333</v>
      </c>
      <c r="F1014" s="329">
        <v>9.4</v>
      </c>
      <c r="G1014" s="329">
        <f t="shared" si="62"/>
        <v>9.9166666666666661</v>
      </c>
      <c r="H1014" s="329">
        <v>9.4</v>
      </c>
      <c r="I1014" s="329">
        <f t="shared" si="63"/>
        <v>9.5499999999999989</v>
      </c>
      <c r="L1014" s="331">
        <v>40622</v>
      </c>
      <c r="M1014" s="329">
        <v>45.4</v>
      </c>
      <c r="N1014" s="329">
        <v>44.133333333333333</v>
      </c>
      <c r="O1014" s="329">
        <v>9.9166666666666661</v>
      </c>
      <c r="P1014" s="329">
        <v>9.5499999999999989</v>
      </c>
    </row>
    <row r="1015" spans="1:16">
      <c r="A1015" s="331">
        <v>40622</v>
      </c>
      <c r="B1015" s="329">
        <v>45.2</v>
      </c>
      <c r="C1015" s="329">
        <f t="shared" si="64"/>
        <v>45.4</v>
      </c>
      <c r="D1015" s="329">
        <v>44</v>
      </c>
      <c r="E1015" s="329">
        <f t="shared" si="61"/>
        <v>44.133333333333333</v>
      </c>
      <c r="F1015" s="329">
        <v>10.199999999999999</v>
      </c>
      <c r="G1015" s="329">
        <f t="shared" si="62"/>
        <v>9.9166666666666661</v>
      </c>
      <c r="H1015" s="329">
        <v>9.4</v>
      </c>
      <c r="I1015" s="329">
        <f t="shared" si="63"/>
        <v>9.5499999999999989</v>
      </c>
      <c r="L1015" s="331">
        <v>40622</v>
      </c>
      <c r="M1015" s="329">
        <v>45.4</v>
      </c>
      <c r="N1015" s="329">
        <v>44.133333333333333</v>
      </c>
      <c r="O1015" s="329">
        <v>9.9166666666666661</v>
      </c>
      <c r="P1015" s="329">
        <v>9.5499999999999989</v>
      </c>
    </row>
    <row r="1016" spans="1:16">
      <c r="A1016" s="331">
        <v>40622</v>
      </c>
      <c r="B1016" s="329">
        <v>44.9</v>
      </c>
      <c r="C1016" s="329">
        <f t="shared" si="64"/>
        <v>45.4</v>
      </c>
      <c r="D1016" s="329">
        <v>44</v>
      </c>
      <c r="E1016" s="329">
        <f t="shared" si="61"/>
        <v>44.133333333333333</v>
      </c>
      <c r="F1016" s="329">
        <v>10.4</v>
      </c>
      <c r="G1016" s="329">
        <f t="shared" si="62"/>
        <v>9.9166666666666661</v>
      </c>
      <c r="H1016" s="329">
        <v>9.5</v>
      </c>
      <c r="I1016" s="329">
        <f t="shared" si="63"/>
        <v>9.5499999999999989</v>
      </c>
      <c r="L1016" s="331">
        <v>40622</v>
      </c>
      <c r="M1016" s="329">
        <v>45.4</v>
      </c>
      <c r="N1016" s="329">
        <v>44.133333333333333</v>
      </c>
      <c r="O1016" s="329">
        <v>9.9166666666666661</v>
      </c>
      <c r="P1016" s="329">
        <v>9.5499999999999989</v>
      </c>
    </row>
    <row r="1017" spans="1:16">
      <c r="A1017" s="331">
        <v>40623</v>
      </c>
      <c r="B1017" s="329">
        <v>44.8</v>
      </c>
      <c r="C1017" s="329">
        <f t="shared" si="64"/>
        <v>42.983333333333327</v>
      </c>
      <c r="D1017" s="329">
        <v>44</v>
      </c>
      <c r="E1017" s="329">
        <f t="shared" si="61"/>
        <v>43.916666666666664</v>
      </c>
      <c r="F1017" s="329">
        <v>9.5</v>
      </c>
      <c r="G1017" s="329">
        <f t="shared" si="62"/>
        <v>9.0666666666666647</v>
      </c>
      <c r="H1017" s="329">
        <v>9.6</v>
      </c>
      <c r="I1017" s="329">
        <f t="shared" si="63"/>
        <v>9.1833333333333336</v>
      </c>
      <c r="L1017" s="331">
        <v>40623</v>
      </c>
      <c r="M1017" s="329">
        <v>42.983333333333327</v>
      </c>
      <c r="N1017" s="329">
        <v>43.916666666666664</v>
      </c>
      <c r="O1017" s="329">
        <v>9.0666666666666647</v>
      </c>
      <c r="P1017" s="329">
        <v>9.1833333333333336</v>
      </c>
    </row>
    <row r="1018" spans="1:16">
      <c r="A1018" s="331">
        <v>40623</v>
      </c>
      <c r="B1018" s="329">
        <v>44.7</v>
      </c>
      <c r="C1018" s="329">
        <f t="shared" si="64"/>
        <v>42.983333333333327</v>
      </c>
      <c r="D1018" s="329">
        <v>44</v>
      </c>
      <c r="E1018" s="329">
        <f t="shared" si="61"/>
        <v>43.916666666666664</v>
      </c>
      <c r="F1018" s="329">
        <v>8.6999999999999993</v>
      </c>
      <c r="G1018" s="329">
        <f t="shared" si="62"/>
        <v>9.0666666666666647</v>
      </c>
      <c r="H1018" s="329">
        <v>9.4</v>
      </c>
      <c r="I1018" s="329">
        <f t="shared" si="63"/>
        <v>9.1833333333333336</v>
      </c>
      <c r="L1018" s="331">
        <v>40623</v>
      </c>
      <c r="M1018" s="329">
        <v>42.983333333333327</v>
      </c>
      <c r="N1018" s="329">
        <v>43.916666666666664</v>
      </c>
      <c r="O1018" s="329">
        <v>9.0666666666666647</v>
      </c>
      <c r="P1018" s="329">
        <v>9.1833333333333336</v>
      </c>
    </row>
    <row r="1019" spans="1:16">
      <c r="A1019" s="331">
        <v>40623</v>
      </c>
      <c r="B1019" s="329">
        <v>44.7</v>
      </c>
      <c r="C1019" s="329">
        <f t="shared" si="64"/>
        <v>42.983333333333327</v>
      </c>
      <c r="D1019" s="329">
        <v>44</v>
      </c>
      <c r="E1019" s="329">
        <f t="shared" si="61"/>
        <v>43.916666666666664</v>
      </c>
      <c r="F1019" s="329">
        <v>8.1</v>
      </c>
      <c r="G1019" s="329">
        <f t="shared" si="62"/>
        <v>9.0666666666666647</v>
      </c>
      <c r="H1019" s="329">
        <v>9.1999999999999993</v>
      </c>
      <c r="I1019" s="329">
        <f t="shared" si="63"/>
        <v>9.1833333333333336</v>
      </c>
      <c r="L1019" s="331">
        <v>40623</v>
      </c>
      <c r="M1019" s="329">
        <v>42.983333333333327</v>
      </c>
      <c r="N1019" s="329">
        <v>43.916666666666664</v>
      </c>
      <c r="O1019" s="329">
        <v>9.0666666666666647</v>
      </c>
      <c r="P1019" s="329">
        <v>9.1833333333333336</v>
      </c>
    </row>
    <row r="1020" spans="1:16">
      <c r="A1020" s="331">
        <v>40623</v>
      </c>
      <c r="B1020" s="329">
        <v>44.5</v>
      </c>
      <c r="C1020" s="329">
        <f t="shared" si="64"/>
        <v>42.983333333333327</v>
      </c>
      <c r="D1020" s="329">
        <v>44</v>
      </c>
      <c r="E1020" s="329">
        <f t="shared" si="61"/>
        <v>43.916666666666664</v>
      </c>
      <c r="F1020" s="329">
        <v>8.4</v>
      </c>
      <c r="G1020" s="329">
        <f t="shared" si="62"/>
        <v>9.0666666666666647</v>
      </c>
      <c r="H1020" s="329">
        <v>8.9</v>
      </c>
      <c r="I1020" s="329">
        <f t="shared" si="63"/>
        <v>9.1833333333333336</v>
      </c>
      <c r="L1020" s="331">
        <v>40623</v>
      </c>
      <c r="M1020" s="329">
        <v>42.983333333333327</v>
      </c>
      <c r="N1020" s="329">
        <v>43.916666666666664</v>
      </c>
      <c r="O1020" s="329">
        <v>9.0666666666666647</v>
      </c>
      <c r="P1020" s="329">
        <v>9.1833333333333336</v>
      </c>
    </row>
    <row r="1021" spans="1:16">
      <c r="A1021" s="331">
        <v>40623</v>
      </c>
      <c r="B1021" s="329">
        <v>44.2</v>
      </c>
      <c r="C1021" s="329">
        <f t="shared" si="64"/>
        <v>42.983333333333327</v>
      </c>
      <c r="D1021" s="329">
        <v>43.8</v>
      </c>
      <c r="E1021" s="329">
        <f t="shared" si="61"/>
        <v>43.916666666666664</v>
      </c>
      <c r="F1021" s="329">
        <v>9.6999999999999993</v>
      </c>
      <c r="G1021" s="329">
        <f t="shared" si="62"/>
        <v>9.0666666666666647</v>
      </c>
      <c r="H1021" s="329">
        <v>8.9</v>
      </c>
      <c r="I1021" s="329">
        <f t="shared" si="63"/>
        <v>9.1833333333333336</v>
      </c>
      <c r="L1021" s="331">
        <v>40623</v>
      </c>
      <c r="M1021" s="329">
        <v>42.983333333333327</v>
      </c>
      <c r="N1021" s="329">
        <v>43.916666666666664</v>
      </c>
      <c r="O1021" s="329">
        <v>9.0666666666666647</v>
      </c>
      <c r="P1021" s="329">
        <v>9.1833333333333336</v>
      </c>
    </row>
    <row r="1022" spans="1:16">
      <c r="A1022" s="331">
        <v>40623</v>
      </c>
      <c r="B1022" s="329">
        <v>35</v>
      </c>
      <c r="C1022" s="329">
        <f t="shared" si="64"/>
        <v>42.983333333333327</v>
      </c>
      <c r="D1022" s="329">
        <v>43.7</v>
      </c>
      <c r="E1022" s="329">
        <f t="shared" si="61"/>
        <v>43.916666666666664</v>
      </c>
      <c r="F1022" s="329">
        <v>10</v>
      </c>
      <c r="G1022" s="329">
        <f t="shared" si="62"/>
        <v>9.0666666666666647</v>
      </c>
      <c r="H1022" s="329">
        <v>9.1</v>
      </c>
      <c r="I1022" s="329">
        <f t="shared" si="63"/>
        <v>9.1833333333333336</v>
      </c>
      <c r="L1022" s="331">
        <v>40623</v>
      </c>
      <c r="M1022" s="329">
        <v>42.983333333333327</v>
      </c>
      <c r="N1022" s="329">
        <v>43.916666666666664</v>
      </c>
      <c r="O1022" s="329">
        <v>9.0666666666666647</v>
      </c>
      <c r="P1022" s="329">
        <v>9.1833333333333336</v>
      </c>
    </row>
    <row r="1023" spans="1:16">
      <c r="A1023" s="331">
        <v>40624</v>
      </c>
      <c r="B1023" s="329">
        <v>34.700000000000003</v>
      </c>
      <c r="C1023" s="329">
        <f t="shared" si="64"/>
        <v>34.283333333333331</v>
      </c>
      <c r="D1023" s="329">
        <v>43.7</v>
      </c>
      <c r="E1023" s="329">
        <f t="shared" si="61"/>
        <v>43.583333333333336</v>
      </c>
      <c r="F1023" s="329">
        <v>9.1999999999999993</v>
      </c>
      <c r="G1023" s="329">
        <f t="shared" si="62"/>
        <v>9.2333333333333325</v>
      </c>
      <c r="H1023" s="329">
        <v>9.1999999999999993</v>
      </c>
      <c r="I1023" s="329">
        <f t="shared" si="63"/>
        <v>9</v>
      </c>
      <c r="L1023" s="331">
        <v>40624</v>
      </c>
      <c r="M1023" s="329">
        <v>34.283333333333331</v>
      </c>
      <c r="N1023" s="329">
        <v>43.583333333333336</v>
      </c>
      <c r="O1023" s="329">
        <v>9.2333333333333325</v>
      </c>
      <c r="P1023" s="329">
        <v>9</v>
      </c>
    </row>
    <row r="1024" spans="1:16">
      <c r="A1024" s="331">
        <v>40624</v>
      </c>
      <c r="B1024" s="329">
        <v>34.5</v>
      </c>
      <c r="C1024" s="329">
        <f t="shared" si="64"/>
        <v>34.283333333333331</v>
      </c>
      <c r="D1024" s="329">
        <v>43.7</v>
      </c>
      <c r="E1024" s="329">
        <f t="shared" si="61"/>
        <v>43.583333333333336</v>
      </c>
      <c r="F1024" s="329">
        <v>8.8000000000000007</v>
      </c>
      <c r="G1024" s="329">
        <f t="shared" si="62"/>
        <v>9.2333333333333325</v>
      </c>
      <c r="H1024" s="329">
        <v>9.1</v>
      </c>
      <c r="I1024" s="329">
        <f t="shared" si="63"/>
        <v>9</v>
      </c>
      <c r="L1024" s="331">
        <v>40624</v>
      </c>
      <c r="M1024" s="329">
        <v>34.283333333333331</v>
      </c>
      <c r="N1024" s="329">
        <v>43.583333333333336</v>
      </c>
      <c r="O1024" s="329">
        <v>9.2333333333333325</v>
      </c>
      <c r="P1024" s="329">
        <v>9</v>
      </c>
    </row>
    <row r="1025" spans="1:16">
      <c r="A1025" s="331">
        <v>40624</v>
      </c>
      <c r="B1025" s="329">
        <v>34.4</v>
      </c>
      <c r="C1025" s="329">
        <f t="shared" si="64"/>
        <v>34.283333333333331</v>
      </c>
      <c r="D1025" s="329">
        <v>43.7</v>
      </c>
      <c r="E1025" s="329">
        <f t="shared" si="61"/>
        <v>43.583333333333336</v>
      </c>
      <c r="F1025" s="329">
        <v>8.6</v>
      </c>
      <c r="G1025" s="329">
        <f t="shared" si="62"/>
        <v>9.2333333333333325</v>
      </c>
      <c r="H1025" s="329">
        <v>8.9</v>
      </c>
      <c r="I1025" s="329">
        <f t="shared" si="63"/>
        <v>9</v>
      </c>
      <c r="L1025" s="331">
        <v>40624</v>
      </c>
      <c r="M1025" s="329">
        <v>34.283333333333331</v>
      </c>
      <c r="N1025" s="329">
        <v>43.583333333333336</v>
      </c>
      <c r="O1025" s="329">
        <v>9.2333333333333325</v>
      </c>
      <c r="P1025" s="329">
        <v>9</v>
      </c>
    </row>
    <row r="1026" spans="1:16">
      <c r="A1026" s="331">
        <v>40624</v>
      </c>
      <c r="B1026" s="329">
        <v>34.299999999999997</v>
      </c>
      <c r="C1026" s="329">
        <f t="shared" si="64"/>
        <v>34.283333333333331</v>
      </c>
      <c r="D1026" s="329">
        <v>43.6</v>
      </c>
      <c r="E1026" s="329">
        <f t="shared" si="61"/>
        <v>43.583333333333336</v>
      </c>
      <c r="F1026" s="329">
        <v>8.9</v>
      </c>
      <c r="G1026" s="329">
        <f t="shared" si="62"/>
        <v>9.2333333333333325</v>
      </c>
      <c r="H1026" s="329">
        <v>8.8000000000000007</v>
      </c>
      <c r="I1026" s="329">
        <f t="shared" si="63"/>
        <v>9</v>
      </c>
      <c r="L1026" s="331">
        <v>40624</v>
      </c>
      <c r="M1026" s="329">
        <v>34.283333333333331</v>
      </c>
      <c r="N1026" s="329">
        <v>43.583333333333336</v>
      </c>
      <c r="O1026" s="329">
        <v>9.2333333333333325</v>
      </c>
      <c r="P1026" s="329">
        <v>9</v>
      </c>
    </row>
    <row r="1027" spans="1:16">
      <c r="A1027" s="331">
        <v>40624</v>
      </c>
      <c r="B1027" s="329">
        <v>34</v>
      </c>
      <c r="C1027" s="329">
        <f t="shared" si="64"/>
        <v>34.283333333333331</v>
      </c>
      <c r="D1027" s="329">
        <v>43.5</v>
      </c>
      <c r="E1027" s="329">
        <f t="shared" si="61"/>
        <v>43.583333333333336</v>
      </c>
      <c r="F1027" s="329">
        <v>9.9</v>
      </c>
      <c r="G1027" s="329">
        <f t="shared" si="62"/>
        <v>9.2333333333333325</v>
      </c>
      <c r="H1027" s="329">
        <v>8.9</v>
      </c>
      <c r="I1027" s="329">
        <f t="shared" si="63"/>
        <v>9</v>
      </c>
      <c r="L1027" s="331">
        <v>40624</v>
      </c>
      <c r="M1027" s="329">
        <v>34.283333333333331</v>
      </c>
      <c r="N1027" s="329">
        <v>43.583333333333336</v>
      </c>
      <c r="O1027" s="329">
        <v>9.2333333333333325</v>
      </c>
      <c r="P1027" s="329">
        <v>9</v>
      </c>
    </row>
    <row r="1028" spans="1:16">
      <c r="A1028" s="331">
        <v>40624</v>
      </c>
      <c r="B1028" s="329">
        <v>33.799999999999997</v>
      </c>
      <c r="C1028" s="329">
        <f t="shared" si="64"/>
        <v>34.283333333333331</v>
      </c>
      <c r="D1028" s="329">
        <v>43.3</v>
      </c>
      <c r="E1028" s="329">
        <f t="shared" si="61"/>
        <v>43.583333333333336</v>
      </c>
      <c r="F1028" s="329">
        <v>10</v>
      </c>
      <c r="G1028" s="329">
        <f t="shared" si="62"/>
        <v>9.2333333333333325</v>
      </c>
      <c r="H1028" s="329">
        <v>9.1</v>
      </c>
      <c r="I1028" s="329">
        <f t="shared" si="63"/>
        <v>9</v>
      </c>
      <c r="L1028" s="331">
        <v>40624</v>
      </c>
      <c r="M1028" s="329">
        <v>34.283333333333331</v>
      </c>
      <c r="N1028" s="329">
        <v>43.583333333333336</v>
      </c>
      <c r="O1028" s="329">
        <v>9.2333333333333325</v>
      </c>
      <c r="P1028" s="329">
        <v>9</v>
      </c>
    </row>
    <row r="1029" spans="1:16">
      <c r="A1029" s="331">
        <v>40625</v>
      </c>
      <c r="B1029" s="329">
        <v>33.700000000000003</v>
      </c>
      <c r="C1029" s="329">
        <f t="shared" si="64"/>
        <v>33.483333333333327</v>
      </c>
      <c r="D1029" s="329">
        <v>43.3</v>
      </c>
      <c r="E1029" s="329">
        <f t="shared" si="61"/>
        <v>43.166666666666664</v>
      </c>
      <c r="F1029" s="329">
        <v>9.5</v>
      </c>
      <c r="G1029" s="329">
        <f t="shared" si="62"/>
        <v>9.1666666666666661</v>
      </c>
      <c r="H1029" s="329">
        <v>9.1999999999999993</v>
      </c>
      <c r="I1029" s="329">
        <f t="shared" si="63"/>
        <v>8.9333333333333336</v>
      </c>
      <c r="L1029" s="331">
        <v>40625</v>
      </c>
      <c r="M1029" s="329">
        <v>33.483333333333327</v>
      </c>
      <c r="N1029" s="329">
        <v>43.166666666666664</v>
      </c>
      <c r="O1029" s="329">
        <v>9.1666666666666661</v>
      </c>
      <c r="P1029" s="329">
        <v>8.9333333333333336</v>
      </c>
    </row>
    <row r="1030" spans="1:16">
      <c r="A1030" s="331">
        <v>40625</v>
      </c>
      <c r="B1030" s="329">
        <v>33.6</v>
      </c>
      <c r="C1030" s="329">
        <f t="shared" si="64"/>
        <v>33.483333333333327</v>
      </c>
      <c r="D1030" s="329">
        <v>43.3</v>
      </c>
      <c r="E1030" s="329">
        <f t="shared" si="61"/>
        <v>43.166666666666664</v>
      </c>
      <c r="F1030" s="329">
        <v>9.1</v>
      </c>
      <c r="G1030" s="329">
        <f t="shared" si="62"/>
        <v>9.1666666666666661</v>
      </c>
      <c r="H1030" s="329">
        <v>9.1</v>
      </c>
      <c r="I1030" s="329">
        <f t="shared" si="63"/>
        <v>8.9333333333333336</v>
      </c>
      <c r="L1030" s="331">
        <v>40625</v>
      </c>
      <c r="M1030" s="329">
        <v>33.483333333333327</v>
      </c>
      <c r="N1030" s="329">
        <v>43.166666666666664</v>
      </c>
      <c r="O1030" s="329">
        <v>9.1666666666666661</v>
      </c>
      <c r="P1030" s="329">
        <v>8.9333333333333336</v>
      </c>
    </row>
    <row r="1031" spans="1:16">
      <c r="A1031" s="331">
        <v>40625</v>
      </c>
      <c r="B1031" s="329">
        <v>33.6</v>
      </c>
      <c r="C1031" s="329">
        <f t="shared" si="64"/>
        <v>33.483333333333327</v>
      </c>
      <c r="D1031" s="329">
        <v>43.3</v>
      </c>
      <c r="E1031" s="329">
        <f t="shared" si="61"/>
        <v>43.166666666666664</v>
      </c>
      <c r="F1031" s="329">
        <v>8.4</v>
      </c>
      <c r="G1031" s="329">
        <f t="shared" si="62"/>
        <v>9.1666666666666661</v>
      </c>
      <c r="H1031" s="329">
        <v>9</v>
      </c>
      <c r="I1031" s="329">
        <f t="shared" si="63"/>
        <v>8.9333333333333336</v>
      </c>
      <c r="L1031" s="331">
        <v>40625</v>
      </c>
      <c r="M1031" s="329">
        <v>33.483333333333327</v>
      </c>
      <c r="N1031" s="329">
        <v>43.166666666666664</v>
      </c>
      <c r="O1031" s="329">
        <v>9.1666666666666661</v>
      </c>
      <c r="P1031" s="329">
        <v>8.9333333333333336</v>
      </c>
    </row>
    <row r="1032" spans="1:16">
      <c r="A1032" s="331">
        <v>40625</v>
      </c>
      <c r="B1032" s="329">
        <v>33.5</v>
      </c>
      <c r="C1032" s="329">
        <f t="shared" si="64"/>
        <v>33.483333333333327</v>
      </c>
      <c r="D1032" s="329">
        <v>43.3</v>
      </c>
      <c r="E1032" s="329">
        <f t="shared" si="61"/>
        <v>43.166666666666664</v>
      </c>
      <c r="F1032" s="329">
        <v>8.4</v>
      </c>
      <c r="G1032" s="329">
        <f t="shared" si="62"/>
        <v>9.1666666666666661</v>
      </c>
      <c r="H1032" s="329">
        <v>8.6999999999999993</v>
      </c>
      <c r="I1032" s="329">
        <f t="shared" si="63"/>
        <v>8.9333333333333336</v>
      </c>
      <c r="L1032" s="331">
        <v>40625</v>
      </c>
      <c r="M1032" s="329">
        <v>33.483333333333327</v>
      </c>
      <c r="N1032" s="329">
        <v>43.166666666666664</v>
      </c>
      <c r="O1032" s="329">
        <v>9.1666666666666661</v>
      </c>
      <c r="P1032" s="329">
        <v>8.9333333333333336</v>
      </c>
    </row>
    <row r="1033" spans="1:16">
      <c r="A1033" s="331">
        <v>40625</v>
      </c>
      <c r="B1033" s="329">
        <v>33.299999999999997</v>
      </c>
      <c r="C1033" s="329">
        <f t="shared" si="64"/>
        <v>33.483333333333327</v>
      </c>
      <c r="D1033" s="329">
        <v>43</v>
      </c>
      <c r="E1033" s="329">
        <f t="shared" si="61"/>
        <v>43.166666666666664</v>
      </c>
      <c r="F1033" s="329">
        <v>9.6999999999999993</v>
      </c>
      <c r="G1033" s="329">
        <f t="shared" si="62"/>
        <v>9.1666666666666661</v>
      </c>
      <c r="H1033" s="329">
        <v>8.6999999999999993</v>
      </c>
      <c r="I1033" s="329">
        <f t="shared" si="63"/>
        <v>8.9333333333333336</v>
      </c>
      <c r="L1033" s="331">
        <v>40625</v>
      </c>
      <c r="M1033" s="329">
        <v>33.483333333333327</v>
      </c>
      <c r="N1033" s="329">
        <v>43.166666666666664</v>
      </c>
      <c r="O1033" s="329">
        <v>9.1666666666666661</v>
      </c>
      <c r="P1033" s="329">
        <v>8.9333333333333336</v>
      </c>
    </row>
    <row r="1034" spans="1:16">
      <c r="A1034" s="331">
        <v>40625</v>
      </c>
      <c r="B1034" s="329">
        <v>33.200000000000003</v>
      </c>
      <c r="C1034" s="329">
        <f t="shared" si="64"/>
        <v>33.483333333333327</v>
      </c>
      <c r="D1034" s="329">
        <v>42.8</v>
      </c>
      <c r="E1034" s="329">
        <f t="shared" si="61"/>
        <v>43.166666666666664</v>
      </c>
      <c r="F1034" s="329">
        <v>9.9</v>
      </c>
      <c r="G1034" s="329">
        <f t="shared" si="62"/>
        <v>9.1666666666666661</v>
      </c>
      <c r="H1034" s="329">
        <v>8.9</v>
      </c>
      <c r="I1034" s="329">
        <f t="shared" si="63"/>
        <v>8.9333333333333336</v>
      </c>
      <c r="L1034" s="331">
        <v>40625</v>
      </c>
      <c r="M1034" s="329">
        <v>33.483333333333327</v>
      </c>
      <c r="N1034" s="329">
        <v>43.166666666666664</v>
      </c>
      <c r="O1034" s="329">
        <v>9.1666666666666661</v>
      </c>
      <c r="P1034" s="329">
        <v>8.9333333333333336</v>
      </c>
    </row>
    <row r="1035" spans="1:16">
      <c r="A1035" s="331">
        <v>40626</v>
      </c>
      <c r="B1035" s="329">
        <v>33.6</v>
      </c>
      <c r="C1035" s="329">
        <f t="shared" si="64"/>
        <v>33.38333333333334</v>
      </c>
      <c r="D1035" s="329">
        <v>42.8</v>
      </c>
      <c r="E1035" s="329">
        <f t="shared" si="61"/>
        <v>42.6</v>
      </c>
      <c r="F1035" s="329">
        <v>9.5</v>
      </c>
      <c r="G1035" s="329">
        <f t="shared" si="62"/>
        <v>9.3833333333333346</v>
      </c>
      <c r="H1035" s="329">
        <v>9.1</v>
      </c>
      <c r="I1035" s="329">
        <f t="shared" si="63"/>
        <v>8.9499999999999993</v>
      </c>
      <c r="L1035" s="331">
        <v>40626</v>
      </c>
      <c r="M1035" s="329">
        <v>33.38333333333334</v>
      </c>
      <c r="N1035" s="329">
        <v>42.6</v>
      </c>
      <c r="O1035" s="329">
        <v>9.3833333333333346</v>
      </c>
      <c r="P1035" s="329">
        <v>8.9499999999999993</v>
      </c>
    </row>
    <row r="1036" spans="1:16">
      <c r="A1036" s="331">
        <v>40626</v>
      </c>
      <c r="B1036" s="329">
        <v>33.799999999999997</v>
      </c>
      <c r="C1036" s="329">
        <f t="shared" si="64"/>
        <v>33.38333333333334</v>
      </c>
      <c r="D1036" s="329">
        <v>42.8</v>
      </c>
      <c r="E1036" s="329">
        <f t="shared" si="61"/>
        <v>42.6</v>
      </c>
      <c r="F1036" s="329">
        <v>9.1</v>
      </c>
      <c r="G1036" s="329">
        <f t="shared" si="62"/>
        <v>9.3833333333333346</v>
      </c>
      <c r="H1036" s="329">
        <v>9</v>
      </c>
      <c r="I1036" s="329">
        <f t="shared" si="63"/>
        <v>8.9499999999999993</v>
      </c>
      <c r="L1036" s="331">
        <v>40626</v>
      </c>
      <c r="M1036" s="329">
        <v>33.38333333333334</v>
      </c>
      <c r="N1036" s="329">
        <v>42.6</v>
      </c>
      <c r="O1036" s="329">
        <v>9.3833333333333346</v>
      </c>
      <c r="P1036" s="329">
        <v>8.9499999999999993</v>
      </c>
    </row>
    <row r="1037" spans="1:16">
      <c r="A1037" s="331">
        <v>40626</v>
      </c>
      <c r="B1037" s="329">
        <v>34.200000000000003</v>
      </c>
      <c r="C1037" s="329">
        <f t="shared" si="64"/>
        <v>33.38333333333334</v>
      </c>
      <c r="D1037" s="329">
        <v>42.7</v>
      </c>
      <c r="E1037" s="329">
        <f t="shared" si="61"/>
        <v>42.6</v>
      </c>
      <c r="F1037" s="329">
        <v>8.5</v>
      </c>
      <c r="G1037" s="329">
        <f t="shared" si="62"/>
        <v>9.3833333333333346</v>
      </c>
      <c r="H1037" s="329">
        <v>8.9</v>
      </c>
      <c r="I1037" s="329">
        <f t="shared" si="63"/>
        <v>8.9499999999999993</v>
      </c>
      <c r="L1037" s="331">
        <v>40626</v>
      </c>
      <c r="M1037" s="329">
        <v>33.38333333333334</v>
      </c>
      <c r="N1037" s="329">
        <v>42.6</v>
      </c>
      <c r="O1037" s="329">
        <v>9.3833333333333346</v>
      </c>
      <c r="P1037" s="329">
        <v>8.9499999999999993</v>
      </c>
    </row>
    <row r="1038" spans="1:16">
      <c r="A1038" s="331">
        <v>40626</v>
      </c>
      <c r="B1038" s="329">
        <v>33</v>
      </c>
      <c r="C1038" s="329">
        <f t="shared" si="64"/>
        <v>33.38333333333334</v>
      </c>
      <c r="D1038" s="329">
        <v>42.7</v>
      </c>
      <c r="E1038" s="329">
        <f t="shared" si="61"/>
        <v>42.6</v>
      </c>
      <c r="F1038" s="329">
        <v>8.8000000000000007</v>
      </c>
      <c r="G1038" s="329">
        <f t="shared" si="62"/>
        <v>9.3833333333333346</v>
      </c>
      <c r="H1038" s="329">
        <v>8.8000000000000007</v>
      </c>
      <c r="I1038" s="329">
        <f t="shared" si="63"/>
        <v>8.9499999999999993</v>
      </c>
      <c r="L1038" s="331">
        <v>40626</v>
      </c>
      <c r="M1038" s="329">
        <v>33.38333333333334</v>
      </c>
      <c r="N1038" s="329">
        <v>42.6</v>
      </c>
      <c r="O1038" s="329">
        <v>9.3833333333333346</v>
      </c>
      <c r="P1038" s="329">
        <v>8.9499999999999993</v>
      </c>
    </row>
    <row r="1039" spans="1:16">
      <c r="A1039" s="331">
        <v>40626</v>
      </c>
      <c r="B1039" s="329">
        <v>32.799999999999997</v>
      </c>
      <c r="C1039" s="329">
        <f t="shared" si="64"/>
        <v>33.38333333333334</v>
      </c>
      <c r="D1039" s="329">
        <v>42.4</v>
      </c>
      <c r="E1039" s="329">
        <f t="shared" si="61"/>
        <v>42.6</v>
      </c>
      <c r="F1039" s="329">
        <v>10</v>
      </c>
      <c r="G1039" s="329">
        <f t="shared" si="62"/>
        <v>9.3833333333333346</v>
      </c>
      <c r="H1039" s="329">
        <v>8.8000000000000007</v>
      </c>
      <c r="I1039" s="329">
        <f t="shared" si="63"/>
        <v>8.9499999999999993</v>
      </c>
      <c r="L1039" s="331">
        <v>40626</v>
      </c>
      <c r="M1039" s="329">
        <v>33.38333333333334</v>
      </c>
      <c r="N1039" s="329">
        <v>42.6</v>
      </c>
      <c r="O1039" s="329">
        <v>9.3833333333333346</v>
      </c>
      <c r="P1039" s="329">
        <v>8.9499999999999993</v>
      </c>
    </row>
    <row r="1040" spans="1:16">
      <c r="A1040" s="331">
        <v>40626</v>
      </c>
      <c r="B1040" s="329">
        <v>32.9</v>
      </c>
      <c r="C1040" s="329">
        <f t="shared" si="64"/>
        <v>33.38333333333334</v>
      </c>
      <c r="D1040" s="329">
        <v>42.2</v>
      </c>
      <c r="E1040" s="329">
        <f t="shared" si="61"/>
        <v>42.6</v>
      </c>
      <c r="F1040" s="329">
        <v>10.4</v>
      </c>
      <c r="G1040" s="329">
        <f t="shared" si="62"/>
        <v>9.3833333333333346</v>
      </c>
      <c r="H1040" s="329">
        <v>9.1</v>
      </c>
      <c r="I1040" s="329">
        <f t="shared" si="63"/>
        <v>8.9499999999999993</v>
      </c>
      <c r="L1040" s="331">
        <v>40626</v>
      </c>
      <c r="M1040" s="329">
        <v>33.38333333333334</v>
      </c>
      <c r="N1040" s="329">
        <v>42.6</v>
      </c>
      <c r="O1040" s="329">
        <v>9.3833333333333346</v>
      </c>
      <c r="P1040" s="329">
        <v>8.9499999999999993</v>
      </c>
    </row>
    <row r="1041" spans="1:16">
      <c r="A1041" s="331">
        <v>40627</v>
      </c>
      <c r="B1041" s="329">
        <v>32.799999999999997</v>
      </c>
      <c r="C1041" s="329">
        <f t="shared" si="64"/>
        <v>32.883333333333333</v>
      </c>
      <c r="D1041" s="329">
        <v>42.2</v>
      </c>
      <c r="E1041" s="329">
        <f t="shared" si="61"/>
        <v>42.016666666666659</v>
      </c>
      <c r="F1041" s="329">
        <v>10</v>
      </c>
      <c r="G1041" s="329">
        <f t="shared" si="62"/>
        <v>9.9833333333333343</v>
      </c>
      <c r="H1041" s="329">
        <v>9.3000000000000007</v>
      </c>
      <c r="I1041" s="329">
        <f t="shared" si="63"/>
        <v>9.2666666666666657</v>
      </c>
      <c r="L1041" s="331">
        <v>40627</v>
      </c>
      <c r="M1041" s="329">
        <v>32.883333333333333</v>
      </c>
      <c r="N1041" s="329">
        <v>42.016666666666659</v>
      </c>
      <c r="O1041" s="329">
        <v>9.9833333333333343</v>
      </c>
      <c r="P1041" s="329">
        <v>9.2666666666666657</v>
      </c>
    </row>
    <row r="1042" spans="1:16">
      <c r="A1042" s="331">
        <v>40627</v>
      </c>
      <c r="B1042" s="329">
        <v>33.1</v>
      </c>
      <c r="C1042" s="329">
        <f t="shared" si="64"/>
        <v>32.883333333333333</v>
      </c>
      <c r="D1042" s="329">
        <v>42.2</v>
      </c>
      <c r="E1042" s="329">
        <f t="shared" si="61"/>
        <v>42.016666666666659</v>
      </c>
      <c r="F1042" s="329">
        <v>9.6</v>
      </c>
      <c r="G1042" s="329">
        <f t="shared" si="62"/>
        <v>9.9833333333333343</v>
      </c>
      <c r="H1042" s="329">
        <v>9.3000000000000007</v>
      </c>
      <c r="I1042" s="329">
        <f t="shared" si="63"/>
        <v>9.2666666666666657</v>
      </c>
      <c r="L1042" s="331">
        <v>40627</v>
      </c>
      <c r="M1042" s="329">
        <v>32.883333333333333</v>
      </c>
      <c r="N1042" s="329">
        <v>42.016666666666659</v>
      </c>
      <c r="O1042" s="329">
        <v>9.9833333333333343</v>
      </c>
      <c r="P1042" s="329">
        <v>9.2666666666666657</v>
      </c>
    </row>
    <row r="1043" spans="1:16">
      <c r="A1043" s="331">
        <v>40627</v>
      </c>
      <c r="B1043" s="329">
        <v>33.1</v>
      </c>
      <c r="C1043" s="329">
        <f t="shared" si="64"/>
        <v>32.883333333333333</v>
      </c>
      <c r="D1043" s="329">
        <v>42.1</v>
      </c>
      <c r="E1043" s="329">
        <f t="shared" si="61"/>
        <v>42.016666666666659</v>
      </c>
      <c r="F1043" s="329">
        <v>9.3000000000000007</v>
      </c>
      <c r="G1043" s="329">
        <f t="shared" si="62"/>
        <v>9.9833333333333343</v>
      </c>
      <c r="H1043" s="329">
        <v>9.1999999999999993</v>
      </c>
      <c r="I1043" s="329">
        <f t="shared" si="63"/>
        <v>9.2666666666666657</v>
      </c>
      <c r="L1043" s="331">
        <v>40627</v>
      </c>
      <c r="M1043" s="329">
        <v>32.883333333333333</v>
      </c>
      <c r="N1043" s="329">
        <v>42.016666666666659</v>
      </c>
      <c r="O1043" s="329">
        <v>9.9833333333333343</v>
      </c>
      <c r="P1043" s="329">
        <v>9.2666666666666657</v>
      </c>
    </row>
    <row r="1044" spans="1:16">
      <c r="A1044" s="331">
        <v>40627</v>
      </c>
      <c r="B1044" s="329">
        <v>33</v>
      </c>
      <c r="C1044" s="329">
        <f t="shared" si="64"/>
        <v>32.883333333333333</v>
      </c>
      <c r="D1044" s="329">
        <v>42.1</v>
      </c>
      <c r="E1044" s="329">
        <f t="shared" si="61"/>
        <v>42.016666666666659</v>
      </c>
      <c r="F1044" s="329">
        <v>9.5</v>
      </c>
      <c r="G1044" s="329">
        <f t="shared" si="62"/>
        <v>9.9833333333333343</v>
      </c>
      <c r="H1044" s="329">
        <v>9.1</v>
      </c>
      <c r="I1044" s="329">
        <f t="shared" si="63"/>
        <v>9.2666666666666657</v>
      </c>
      <c r="L1044" s="331">
        <v>40627</v>
      </c>
      <c r="M1044" s="329">
        <v>32.883333333333333</v>
      </c>
      <c r="N1044" s="329">
        <v>42.016666666666659</v>
      </c>
      <c r="O1044" s="329">
        <v>9.9833333333333343</v>
      </c>
      <c r="P1044" s="329">
        <v>9.2666666666666657</v>
      </c>
    </row>
    <row r="1045" spans="1:16">
      <c r="A1045" s="331">
        <v>40627</v>
      </c>
      <c r="B1045" s="329">
        <v>32.9</v>
      </c>
      <c r="C1045" s="329">
        <f t="shared" si="64"/>
        <v>32.883333333333333</v>
      </c>
      <c r="D1045" s="329">
        <v>41.8</v>
      </c>
      <c r="E1045" s="329">
        <f t="shared" si="61"/>
        <v>42.016666666666659</v>
      </c>
      <c r="F1045" s="329">
        <v>10.6</v>
      </c>
      <c r="G1045" s="329">
        <f t="shared" si="62"/>
        <v>9.9833333333333343</v>
      </c>
      <c r="H1045" s="329">
        <v>9.1999999999999993</v>
      </c>
      <c r="I1045" s="329">
        <f t="shared" si="63"/>
        <v>9.2666666666666657</v>
      </c>
      <c r="L1045" s="331">
        <v>40627</v>
      </c>
      <c r="M1045" s="329">
        <v>32.883333333333333</v>
      </c>
      <c r="N1045" s="329">
        <v>42.016666666666659</v>
      </c>
      <c r="O1045" s="329">
        <v>9.9833333333333343</v>
      </c>
      <c r="P1045" s="329">
        <v>9.2666666666666657</v>
      </c>
    </row>
    <row r="1046" spans="1:16">
      <c r="A1046" s="331">
        <v>40627</v>
      </c>
      <c r="B1046" s="329">
        <v>32.4</v>
      </c>
      <c r="C1046" s="329">
        <f t="shared" si="64"/>
        <v>32.883333333333333</v>
      </c>
      <c r="D1046" s="329">
        <v>41.7</v>
      </c>
      <c r="E1046" s="329">
        <f t="shared" si="61"/>
        <v>42.016666666666659</v>
      </c>
      <c r="F1046" s="329">
        <v>10.9</v>
      </c>
      <c r="G1046" s="329">
        <f t="shared" si="62"/>
        <v>9.9833333333333343</v>
      </c>
      <c r="H1046" s="329">
        <v>9.5</v>
      </c>
      <c r="I1046" s="329">
        <f t="shared" si="63"/>
        <v>9.2666666666666657</v>
      </c>
      <c r="L1046" s="331">
        <v>40627</v>
      </c>
      <c r="M1046" s="329">
        <v>32.883333333333333</v>
      </c>
      <c r="N1046" s="329">
        <v>42.016666666666659</v>
      </c>
      <c r="O1046" s="329">
        <v>9.9833333333333343</v>
      </c>
      <c r="P1046" s="329">
        <v>9.2666666666666657</v>
      </c>
    </row>
    <row r="1047" spans="1:16">
      <c r="A1047" s="331">
        <v>40628</v>
      </c>
      <c r="B1047" s="329">
        <v>32.4</v>
      </c>
      <c r="C1047" s="329">
        <f t="shared" si="64"/>
        <v>32.199999999999996</v>
      </c>
      <c r="D1047" s="329">
        <v>41.7</v>
      </c>
      <c r="E1047" s="329">
        <f t="shared" si="61"/>
        <v>41.516666666666659</v>
      </c>
      <c r="F1047" s="329">
        <v>10.5</v>
      </c>
      <c r="G1047" s="329">
        <f t="shared" si="62"/>
        <v>10.6</v>
      </c>
      <c r="H1047" s="329">
        <v>9.6</v>
      </c>
      <c r="I1047" s="329">
        <f t="shared" si="63"/>
        <v>9.6666666666666661</v>
      </c>
      <c r="L1047" s="331">
        <v>40628</v>
      </c>
      <c r="M1047" s="329">
        <v>32.199999999999996</v>
      </c>
      <c r="N1047" s="329">
        <v>41.516666666666659</v>
      </c>
      <c r="O1047" s="329">
        <v>10.6</v>
      </c>
      <c r="P1047" s="329">
        <v>9.6666666666666661</v>
      </c>
    </row>
    <row r="1048" spans="1:16">
      <c r="A1048" s="331">
        <v>40628</v>
      </c>
      <c r="B1048" s="329">
        <v>32.299999999999997</v>
      </c>
      <c r="C1048" s="329">
        <f t="shared" si="64"/>
        <v>32.199999999999996</v>
      </c>
      <c r="D1048" s="329">
        <v>41.7</v>
      </c>
      <c r="E1048" s="329">
        <f t="shared" si="61"/>
        <v>41.516666666666659</v>
      </c>
      <c r="F1048" s="329">
        <v>10.1</v>
      </c>
      <c r="G1048" s="329">
        <f t="shared" si="62"/>
        <v>10.6</v>
      </c>
      <c r="H1048" s="329">
        <v>9.6999999999999993</v>
      </c>
      <c r="I1048" s="329">
        <f t="shared" si="63"/>
        <v>9.6666666666666661</v>
      </c>
      <c r="L1048" s="331">
        <v>40628</v>
      </c>
      <c r="M1048" s="329">
        <v>32.199999999999996</v>
      </c>
      <c r="N1048" s="329">
        <v>41.516666666666659</v>
      </c>
      <c r="O1048" s="329">
        <v>10.6</v>
      </c>
      <c r="P1048" s="329">
        <v>9.6666666666666661</v>
      </c>
    </row>
    <row r="1049" spans="1:16">
      <c r="A1049" s="331">
        <v>40628</v>
      </c>
      <c r="B1049" s="329">
        <v>32.299999999999997</v>
      </c>
      <c r="C1049" s="329">
        <f t="shared" si="64"/>
        <v>32.199999999999996</v>
      </c>
      <c r="D1049" s="329">
        <v>41.6</v>
      </c>
      <c r="E1049" s="329">
        <f t="shared" si="61"/>
        <v>41.516666666666659</v>
      </c>
      <c r="F1049" s="329">
        <v>9.9</v>
      </c>
      <c r="G1049" s="329">
        <f t="shared" si="62"/>
        <v>10.6</v>
      </c>
      <c r="H1049" s="329">
        <v>9.6</v>
      </c>
      <c r="I1049" s="329">
        <f t="shared" si="63"/>
        <v>9.6666666666666661</v>
      </c>
      <c r="L1049" s="331">
        <v>40628</v>
      </c>
      <c r="M1049" s="329">
        <v>32.199999999999996</v>
      </c>
      <c r="N1049" s="329">
        <v>41.516666666666659</v>
      </c>
      <c r="O1049" s="329">
        <v>10.6</v>
      </c>
      <c r="P1049" s="329">
        <v>9.6666666666666661</v>
      </c>
    </row>
    <row r="1050" spans="1:16">
      <c r="A1050" s="331">
        <v>40628</v>
      </c>
      <c r="B1050" s="329">
        <v>32.200000000000003</v>
      </c>
      <c r="C1050" s="329">
        <f t="shared" si="64"/>
        <v>32.199999999999996</v>
      </c>
      <c r="D1050" s="329">
        <v>41.6</v>
      </c>
      <c r="E1050" s="329">
        <f t="shared" si="61"/>
        <v>41.516666666666659</v>
      </c>
      <c r="F1050" s="329">
        <v>10.199999999999999</v>
      </c>
      <c r="G1050" s="329">
        <f t="shared" si="62"/>
        <v>10.6</v>
      </c>
      <c r="H1050" s="329">
        <v>9.5</v>
      </c>
      <c r="I1050" s="329">
        <f t="shared" si="63"/>
        <v>9.6666666666666661</v>
      </c>
      <c r="L1050" s="331">
        <v>40628</v>
      </c>
      <c r="M1050" s="329">
        <v>32.199999999999996</v>
      </c>
      <c r="N1050" s="329">
        <v>41.516666666666659</v>
      </c>
      <c r="O1050" s="329">
        <v>10.6</v>
      </c>
      <c r="P1050" s="329">
        <v>9.6666666666666661</v>
      </c>
    </row>
    <row r="1051" spans="1:16">
      <c r="A1051" s="331">
        <v>40628</v>
      </c>
      <c r="B1051" s="329">
        <v>32.1</v>
      </c>
      <c r="C1051" s="329">
        <f t="shared" si="64"/>
        <v>32.199999999999996</v>
      </c>
      <c r="D1051" s="329">
        <v>41.3</v>
      </c>
      <c r="E1051" s="329">
        <f t="shared" si="61"/>
        <v>41.516666666666659</v>
      </c>
      <c r="F1051" s="329">
        <v>11.3</v>
      </c>
      <c r="G1051" s="329">
        <f t="shared" si="62"/>
        <v>10.6</v>
      </c>
      <c r="H1051" s="329">
        <v>9.6999999999999993</v>
      </c>
      <c r="I1051" s="329">
        <f t="shared" si="63"/>
        <v>9.6666666666666661</v>
      </c>
      <c r="L1051" s="331">
        <v>40628</v>
      </c>
      <c r="M1051" s="329">
        <v>32.199999999999996</v>
      </c>
      <c r="N1051" s="329">
        <v>41.516666666666659</v>
      </c>
      <c r="O1051" s="329">
        <v>10.6</v>
      </c>
      <c r="P1051" s="329">
        <v>9.6666666666666661</v>
      </c>
    </row>
    <row r="1052" spans="1:16">
      <c r="A1052" s="331">
        <v>40628</v>
      </c>
      <c r="B1052" s="329">
        <v>31.9</v>
      </c>
      <c r="C1052" s="329">
        <f t="shared" si="64"/>
        <v>32.199999999999996</v>
      </c>
      <c r="D1052" s="329">
        <v>41.2</v>
      </c>
      <c r="E1052" s="329">
        <f t="shared" si="61"/>
        <v>41.516666666666659</v>
      </c>
      <c r="F1052" s="329">
        <v>11.6</v>
      </c>
      <c r="G1052" s="329">
        <f t="shared" si="62"/>
        <v>10.6</v>
      </c>
      <c r="H1052" s="329">
        <v>9.9</v>
      </c>
      <c r="I1052" s="329">
        <f t="shared" si="63"/>
        <v>9.6666666666666661</v>
      </c>
      <c r="L1052" s="331">
        <v>40628</v>
      </c>
      <c r="M1052" s="329">
        <v>32.199999999999996</v>
      </c>
      <c r="N1052" s="329">
        <v>41.516666666666659</v>
      </c>
      <c r="O1052" s="329">
        <v>10.6</v>
      </c>
      <c r="P1052" s="329">
        <v>9.6666666666666661</v>
      </c>
    </row>
    <row r="1053" spans="1:16">
      <c r="A1053" s="331">
        <v>40629</v>
      </c>
      <c r="B1053" s="329">
        <v>31.8</v>
      </c>
      <c r="C1053" s="329">
        <f t="shared" si="64"/>
        <v>32.416666666666664</v>
      </c>
      <c r="D1053" s="329">
        <v>41.2</v>
      </c>
      <c r="E1053" s="329">
        <f t="shared" si="61"/>
        <v>41.116666666666667</v>
      </c>
      <c r="F1053" s="329">
        <v>11.4</v>
      </c>
      <c r="G1053" s="329">
        <f t="shared" si="62"/>
        <v>11.116666666666667</v>
      </c>
      <c r="H1053" s="329">
        <v>10.1</v>
      </c>
      <c r="I1053" s="329">
        <f t="shared" si="63"/>
        <v>10.183333333333332</v>
      </c>
      <c r="L1053" s="331">
        <v>40629</v>
      </c>
      <c r="M1053" s="329">
        <v>32.416666666666664</v>
      </c>
      <c r="N1053" s="329">
        <v>41.116666666666667</v>
      </c>
      <c r="O1053" s="329">
        <v>11.116666666666667</v>
      </c>
      <c r="P1053" s="329">
        <v>10.183333333333332</v>
      </c>
    </row>
    <row r="1054" spans="1:16">
      <c r="A1054" s="331">
        <v>40629</v>
      </c>
      <c r="B1054" s="329">
        <v>31.7</v>
      </c>
      <c r="C1054" s="329">
        <f t="shared" si="64"/>
        <v>32.416666666666664</v>
      </c>
      <c r="D1054" s="329">
        <v>41.2</v>
      </c>
      <c r="E1054" s="329">
        <f t="shared" si="61"/>
        <v>41.116666666666667</v>
      </c>
      <c r="F1054" s="329">
        <v>11</v>
      </c>
      <c r="G1054" s="329">
        <f t="shared" si="62"/>
        <v>11.116666666666667</v>
      </c>
      <c r="H1054" s="329">
        <v>10.199999999999999</v>
      </c>
      <c r="I1054" s="329">
        <f t="shared" si="63"/>
        <v>10.183333333333332</v>
      </c>
      <c r="L1054" s="331">
        <v>40629</v>
      </c>
      <c r="M1054" s="329">
        <v>32.416666666666664</v>
      </c>
      <c r="N1054" s="329">
        <v>41.116666666666667</v>
      </c>
      <c r="O1054" s="329">
        <v>11.116666666666667</v>
      </c>
      <c r="P1054" s="329">
        <v>10.183333333333332</v>
      </c>
    </row>
    <row r="1055" spans="1:16">
      <c r="A1055" s="331">
        <v>40629</v>
      </c>
      <c r="B1055" s="329">
        <v>31.6</v>
      </c>
      <c r="C1055" s="329">
        <f t="shared" si="64"/>
        <v>32.416666666666664</v>
      </c>
      <c r="D1055" s="329">
        <v>41.1</v>
      </c>
      <c r="E1055" s="329">
        <f t="shared" si="61"/>
        <v>41.116666666666667</v>
      </c>
      <c r="F1055" s="329">
        <v>10.8</v>
      </c>
      <c r="G1055" s="329">
        <f t="shared" si="62"/>
        <v>11.116666666666667</v>
      </c>
      <c r="H1055" s="329">
        <v>10.199999999999999</v>
      </c>
      <c r="I1055" s="329">
        <f t="shared" si="63"/>
        <v>10.183333333333332</v>
      </c>
      <c r="L1055" s="331">
        <v>40629</v>
      </c>
      <c r="M1055" s="329">
        <v>32.416666666666664</v>
      </c>
      <c r="N1055" s="329">
        <v>41.116666666666667</v>
      </c>
      <c r="O1055" s="329">
        <v>11.116666666666667</v>
      </c>
      <c r="P1055" s="329">
        <v>10.183333333333332</v>
      </c>
    </row>
    <row r="1056" spans="1:16">
      <c r="A1056" s="331">
        <v>40629</v>
      </c>
      <c r="B1056" s="329">
        <v>34.1</v>
      </c>
      <c r="C1056" s="329">
        <f t="shared" si="64"/>
        <v>32.416666666666664</v>
      </c>
      <c r="D1056" s="329">
        <v>41.1</v>
      </c>
      <c r="E1056" s="329">
        <f t="shared" si="61"/>
        <v>41.116666666666667</v>
      </c>
      <c r="F1056" s="329">
        <v>10.8</v>
      </c>
      <c r="G1056" s="329">
        <f t="shared" si="62"/>
        <v>11.116666666666667</v>
      </c>
      <c r="H1056" s="329">
        <v>10.1</v>
      </c>
      <c r="I1056" s="329">
        <f t="shared" si="63"/>
        <v>10.183333333333332</v>
      </c>
      <c r="L1056" s="331">
        <v>40629</v>
      </c>
      <c r="M1056" s="329">
        <v>32.416666666666664</v>
      </c>
      <c r="N1056" s="329">
        <v>41.116666666666667</v>
      </c>
      <c r="O1056" s="329">
        <v>11.116666666666667</v>
      </c>
      <c r="P1056" s="329">
        <v>10.183333333333332</v>
      </c>
    </row>
    <row r="1057" spans="1:16">
      <c r="A1057" s="331">
        <v>40629</v>
      </c>
      <c r="B1057" s="329">
        <v>32.799999999999997</v>
      </c>
      <c r="C1057" s="329">
        <f t="shared" si="64"/>
        <v>32.416666666666664</v>
      </c>
      <c r="D1057" s="329">
        <v>41.1</v>
      </c>
      <c r="E1057" s="329">
        <f t="shared" si="61"/>
        <v>41.116666666666667</v>
      </c>
      <c r="F1057" s="329">
        <v>11.3</v>
      </c>
      <c r="G1057" s="329">
        <f t="shared" si="62"/>
        <v>11.116666666666667</v>
      </c>
      <c r="H1057" s="329">
        <v>10.199999999999999</v>
      </c>
      <c r="I1057" s="329">
        <f t="shared" si="63"/>
        <v>10.183333333333332</v>
      </c>
      <c r="L1057" s="331">
        <v>40629</v>
      </c>
      <c r="M1057" s="329">
        <v>32.416666666666664</v>
      </c>
      <c r="N1057" s="329">
        <v>41.116666666666667</v>
      </c>
      <c r="O1057" s="329">
        <v>11.116666666666667</v>
      </c>
      <c r="P1057" s="329">
        <v>10.183333333333332</v>
      </c>
    </row>
    <row r="1058" spans="1:16">
      <c r="A1058" s="331">
        <v>40629</v>
      </c>
      <c r="B1058" s="329">
        <v>32.5</v>
      </c>
      <c r="C1058" s="329">
        <f t="shared" si="64"/>
        <v>32.416666666666664</v>
      </c>
      <c r="D1058" s="329">
        <v>41</v>
      </c>
      <c r="E1058" s="329">
        <f t="shared" ref="E1058:E1121" si="65">AVERAGEIFS($D$33:$D$1494,$A$33:$A$1494,A1058)</f>
        <v>41.116666666666667</v>
      </c>
      <c r="F1058" s="329">
        <v>11.4</v>
      </c>
      <c r="G1058" s="329">
        <f t="shared" ref="G1058:G1121" si="66">AVERAGEIFS($F$33:$F$1494,$A$33:$A$1494,A1058)</f>
        <v>11.116666666666667</v>
      </c>
      <c r="H1058" s="329">
        <v>10.3</v>
      </c>
      <c r="I1058" s="329">
        <f t="shared" ref="I1058:I1121" si="67">AVERAGEIFS($H$33:$H$1494,$A$33:$A$1494,A1058)</f>
        <v>10.183333333333332</v>
      </c>
      <c r="L1058" s="331">
        <v>40629</v>
      </c>
      <c r="M1058" s="329">
        <v>32.416666666666664</v>
      </c>
      <c r="N1058" s="329">
        <v>41.116666666666667</v>
      </c>
      <c r="O1058" s="329">
        <v>11.116666666666667</v>
      </c>
      <c r="P1058" s="329">
        <v>10.183333333333332</v>
      </c>
    </row>
    <row r="1059" spans="1:16">
      <c r="A1059" s="331">
        <v>40630</v>
      </c>
      <c r="B1059" s="329">
        <v>32.4</v>
      </c>
      <c r="C1059" s="329">
        <f t="shared" si="64"/>
        <v>32.316666666666663</v>
      </c>
      <c r="D1059" s="329">
        <v>41</v>
      </c>
      <c r="E1059" s="329">
        <f t="shared" si="65"/>
        <v>40.966666666666669</v>
      </c>
      <c r="F1059" s="329">
        <v>11.2</v>
      </c>
      <c r="G1059" s="329">
        <f t="shared" si="66"/>
        <v>10.966666666666667</v>
      </c>
      <c r="H1059" s="329">
        <v>10.4</v>
      </c>
      <c r="I1059" s="329">
        <f t="shared" si="67"/>
        <v>10.283333333333333</v>
      </c>
      <c r="L1059" s="331">
        <v>40630</v>
      </c>
      <c r="M1059" s="329">
        <v>32.316666666666663</v>
      </c>
      <c r="N1059" s="329">
        <v>40.966666666666669</v>
      </c>
      <c r="O1059" s="329">
        <v>10.966666666666667</v>
      </c>
      <c r="P1059" s="329">
        <v>10.283333333333333</v>
      </c>
    </row>
    <row r="1060" spans="1:16">
      <c r="A1060" s="331">
        <v>40630</v>
      </c>
      <c r="B1060" s="329">
        <v>32.299999999999997</v>
      </c>
      <c r="C1060" s="329">
        <f t="shared" si="64"/>
        <v>32.316666666666663</v>
      </c>
      <c r="D1060" s="329">
        <v>41</v>
      </c>
      <c r="E1060" s="329">
        <f t="shared" si="65"/>
        <v>40.966666666666669</v>
      </c>
      <c r="F1060" s="329">
        <v>10.9</v>
      </c>
      <c r="G1060" s="329">
        <f t="shared" si="66"/>
        <v>10.966666666666667</v>
      </c>
      <c r="H1060" s="329">
        <v>10.3</v>
      </c>
      <c r="I1060" s="329">
        <f t="shared" si="67"/>
        <v>10.283333333333333</v>
      </c>
      <c r="L1060" s="331">
        <v>40630</v>
      </c>
      <c r="M1060" s="329">
        <v>32.316666666666663</v>
      </c>
      <c r="N1060" s="329">
        <v>40.966666666666669</v>
      </c>
      <c r="O1060" s="329">
        <v>10.966666666666667</v>
      </c>
      <c r="P1060" s="329">
        <v>10.283333333333333</v>
      </c>
    </row>
    <row r="1061" spans="1:16">
      <c r="A1061" s="331">
        <v>40630</v>
      </c>
      <c r="B1061" s="329">
        <v>32.299999999999997</v>
      </c>
      <c r="C1061" s="329">
        <f t="shared" si="64"/>
        <v>32.316666666666663</v>
      </c>
      <c r="D1061" s="329">
        <v>41</v>
      </c>
      <c r="E1061" s="329">
        <f t="shared" si="65"/>
        <v>40.966666666666669</v>
      </c>
      <c r="F1061" s="329">
        <v>10.7</v>
      </c>
      <c r="G1061" s="329">
        <f t="shared" si="66"/>
        <v>10.966666666666667</v>
      </c>
      <c r="H1061" s="329">
        <v>10.3</v>
      </c>
      <c r="I1061" s="329">
        <f t="shared" si="67"/>
        <v>10.283333333333333</v>
      </c>
      <c r="L1061" s="331">
        <v>40630</v>
      </c>
      <c r="M1061" s="329">
        <v>32.316666666666663</v>
      </c>
      <c r="N1061" s="329">
        <v>40.966666666666669</v>
      </c>
      <c r="O1061" s="329">
        <v>10.966666666666667</v>
      </c>
      <c r="P1061" s="329">
        <v>10.283333333333333</v>
      </c>
    </row>
    <row r="1062" spans="1:16">
      <c r="A1062" s="331">
        <v>40630</v>
      </c>
      <c r="B1062" s="329">
        <v>32.200000000000003</v>
      </c>
      <c r="C1062" s="329">
        <f t="shared" si="64"/>
        <v>32.316666666666663</v>
      </c>
      <c r="D1062" s="329">
        <v>41</v>
      </c>
      <c r="E1062" s="329">
        <f t="shared" si="65"/>
        <v>40.966666666666669</v>
      </c>
      <c r="F1062" s="329">
        <v>10.8</v>
      </c>
      <c r="G1062" s="329">
        <f t="shared" si="66"/>
        <v>10.966666666666667</v>
      </c>
      <c r="H1062" s="329">
        <v>10.199999999999999</v>
      </c>
      <c r="I1062" s="329">
        <f t="shared" si="67"/>
        <v>10.283333333333333</v>
      </c>
      <c r="L1062" s="331">
        <v>40630</v>
      </c>
      <c r="M1062" s="329">
        <v>32.316666666666663</v>
      </c>
      <c r="N1062" s="329">
        <v>40.966666666666669</v>
      </c>
      <c r="O1062" s="329">
        <v>10.966666666666667</v>
      </c>
      <c r="P1062" s="329">
        <v>10.283333333333333</v>
      </c>
    </row>
    <row r="1063" spans="1:16">
      <c r="A1063" s="331">
        <v>40630</v>
      </c>
      <c r="B1063" s="329">
        <v>32.4</v>
      </c>
      <c r="C1063" s="329">
        <f t="shared" si="64"/>
        <v>32.316666666666663</v>
      </c>
      <c r="D1063" s="329">
        <v>40.9</v>
      </c>
      <c r="E1063" s="329">
        <f t="shared" si="65"/>
        <v>40.966666666666669</v>
      </c>
      <c r="F1063" s="329">
        <v>11</v>
      </c>
      <c r="G1063" s="329">
        <f t="shared" si="66"/>
        <v>10.966666666666667</v>
      </c>
      <c r="H1063" s="329">
        <v>10.199999999999999</v>
      </c>
      <c r="I1063" s="329">
        <f t="shared" si="67"/>
        <v>10.283333333333333</v>
      </c>
      <c r="L1063" s="331">
        <v>40630</v>
      </c>
      <c r="M1063" s="329">
        <v>32.316666666666663</v>
      </c>
      <c r="N1063" s="329">
        <v>40.966666666666669</v>
      </c>
      <c r="O1063" s="329">
        <v>10.966666666666667</v>
      </c>
      <c r="P1063" s="329">
        <v>10.283333333333333</v>
      </c>
    </row>
    <row r="1064" spans="1:16">
      <c r="A1064" s="331">
        <v>40630</v>
      </c>
      <c r="B1064" s="329">
        <v>32.299999999999997</v>
      </c>
      <c r="C1064" s="329">
        <f t="shared" ref="C1064:C1127" si="68">AVERAGEIFS($B$33:$B$1494,$A$33:$A$1494,A1064)</f>
        <v>32.316666666666663</v>
      </c>
      <c r="D1064" s="329">
        <v>40.9</v>
      </c>
      <c r="E1064" s="329">
        <f t="shared" si="65"/>
        <v>40.966666666666669</v>
      </c>
      <c r="F1064" s="329">
        <v>11.2</v>
      </c>
      <c r="G1064" s="329">
        <f t="shared" si="66"/>
        <v>10.966666666666667</v>
      </c>
      <c r="H1064" s="329">
        <v>10.3</v>
      </c>
      <c r="I1064" s="329">
        <f t="shared" si="67"/>
        <v>10.283333333333333</v>
      </c>
      <c r="L1064" s="331">
        <v>40630</v>
      </c>
      <c r="M1064" s="329">
        <v>32.316666666666663</v>
      </c>
      <c r="N1064" s="329">
        <v>40.966666666666669</v>
      </c>
      <c r="O1064" s="329">
        <v>10.966666666666667</v>
      </c>
      <c r="P1064" s="329">
        <v>10.283333333333333</v>
      </c>
    </row>
    <row r="1065" spans="1:16">
      <c r="A1065" s="331">
        <v>40631</v>
      </c>
      <c r="B1065" s="329">
        <v>32.200000000000003</v>
      </c>
      <c r="C1065" s="329">
        <f t="shared" si="68"/>
        <v>32.133333333333333</v>
      </c>
      <c r="D1065" s="329">
        <v>41</v>
      </c>
      <c r="E1065" s="329">
        <f t="shared" si="65"/>
        <v>40.866666666666667</v>
      </c>
      <c r="F1065" s="329">
        <v>11</v>
      </c>
      <c r="G1065" s="329">
        <f t="shared" si="66"/>
        <v>10.666666666666666</v>
      </c>
      <c r="H1065" s="329">
        <v>10.3</v>
      </c>
      <c r="I1065" s="329">
        <f t="shared" si="67"/>
        <v>10.200000000000001</v>
      </c>
      <c r="L1065" s="331">
        <v>40631</v>
      </c>
      <c r="M1065" s="329">
        <v>32.133333333333333</v>
      </c>
      <c r="N1065" s="329">
        <v>40.866666666666667</v>
      </c>
      <c r="O1065" s="329">
        <v>10.666666666666666</v>
      </c>
      <c r="P1065" s="329">
        <v>10.200000000000001</v>
      </c>
    </row>
    <row r="1066" spans="1:16">
      <c r="A1066" s="331">
        <v>40631</v>
      </c>
      <c r="B1066" s="329">
        <v>32.200000000000003</v>
      </c>
      <c r="C1066" s="329">
        <f t="shared" si="68"/>
        <v>32.133333333333333</v>
      </c>
      <c r="D1066" s="329">
        <v>40.9</v>
      </c>
      <c r="E1066" s="329">
        <f t="shared" si="65"/>
        <v>40.866666666666667</v>
      </c>
      <c r="F1066" s="329">
        <v>10.8</v>
      </c>
      <c r="G1066" s="329">
        <f t="shared" si="66"/>
        <v>10.666666666666666</v>
      </c>
      <c r="H1066" s="329">
        <v>10.3</v>
      </c>
      <c r="I1066" s="329">
        <f t="shared" si="67"/>
        <v>10.200000000000001</v>
      </c>
      <c r="L1066" s="331">
        <v>40631</v>
      </c>
      <c r="M1066" s="329">
        <v>32.133333333333333</v>
      </c>
      <c r="N1066" s="329">
        <v>40.866666666666667</v>
      </c>
      <c r="O1066" s="329">
        <v>10.666666666666666</v>
      </c>
      <c r="P1066" s="329">
        <v>10.200000000000001</v>
      </c>
    </row>
    <row r="1067" spans="1:16">
      <c r="A1067" s="331">
        <v>40631</v>
      </c>
      <c r="B1067" s="329">
        <v>32.200000000000003</v>
      </c>
      <c r="C1067" s="329">
        <f t="shared" si="68"/>
        <v>32.133333333333333</v>
      </c>
      <c r="D1067" s="329">
        <v>40.9</v>
      </c>
      <c r="E1067" s="329">
        <f t="shared" si="65"/>
        <v>40.866666666666667</v>
      </c>
      <c r="F1067" s="329">
        <v>10.199999999999999</v>
      </c>
      <c r="G1067" s="329">
        <f t="shared" si="66"/>
        <v>10.666666666666666</v>
      </c>
      <c r="H1067" s="329">
        <v>10.199999999999999</v>
      </c>
      <c r="I1067" s="329">
        <f t="shared" si="67"/>
        <v>10.200000000000001</v>
      </c>
      <c r="L1067" s="331">
        <v>40631</v>
      </c>
      <c r="M1067" s="329">
        <v>32.133333333333333</v>
      </c>
      <c r="N1067" s="329">
        <v>40.866666666666667</v>
      </c>
      <c r="O1067" s="329">
        <v>10.666666666666666</v>
      </c>
      <c r="P1067" s="329">
        <v>10.200000000000001</v>
      </c>
    </row>
    <row r="1068" spans="1:16">
      <c r="A1068" s="331">
        <v>40631</v>
      </c>
      <c r="B1068" s="329">
        <v>32.1</v>
      </c>
      <c r="C1068" s="329">
        <f t="shared" si="68"/>
        <v>32.133333333333333</v>
      </c>
      <c r="D1068" s="329">
        <v>40.9</v>
      </c>
      <c r="E1068" s="329">
        <f t="shared" si="65"/>
        <v>40.866666666666667</v>
      </c>
      <c r="F1068" s="329">
        <v>10.199999999999999</v>
      </c>
      <c r="G1068" s="329">
        <f t="shared" si="66"/>
        <v>10.666666666666666</v>
      </c>
      <c r="H1068" s="329">
        <v>10.1</v>
      </c>
      <c r="I1068" s="329">
        <f t="shared" si="67"/>
        <v>10.200000000000001</v>
      </c>
      <c r="L1068" s="331">
        <v>40631</v>
      </c>
      <c r="M1068" s="329">
        <v>32.133333333333333</v>
      </c>
      <c r="N1068" s="329">
        <v>40.866666666666667</v>
      </c>
      <c r="O1068" s="329">
        <v>10.666666666666666</v>
      </c>
      <c r="P1068" s="329">
        <v>10.200000000000001</v>
      </c>
    </row>
    <row r="1069" spans="1:16">
      <c r="A1069" s="331">
        <v>40631</v>
      </c>
      <c r="B1069" s="329">
        <v>32.1</v>
      </c>
      <c r="C1069" s="329">
        <f t="shared" si="68"/>
        <v>32.133333333333333</v>
      </c>
      <c r="D1069" s="329">
        <v>40.799999999999997</v>
      </c>
      <c r="E1069" s="329">
        <f t="shared" si="65"/>
        <v>40.866666666666667</v>
      </c>
      <c r="F1069" s="329">
        <v>10.8</v>
      </c>
      <c r="G1069" s="329">
        <f t="shared" si="66"/>
        <v>10.666666666666666</v>
      </c>
      <c r="H1069" s="329">
        <v>10.1</v>
      </c>
      <c r="I1069" s="329">
        <f t="shared" si="67"/>
        <v>10.200000000000001</v>
      </c>
      <c r="L1069" s="331">
        <v>40631</v>
      </c>
      <c r="M1069" s="329">
        <v>32.133333333333333</v>
      </c>
      <c r="N1069" s="329">
        <v>40.866666666666667</v>
      </c>
      <c r="O1069" s="329">
        <v>10.666666666666666</v>
      </c>
      <c r="P1069" s="329">
        <v>10.200000000000001</v>
      </c>
    </row>
    <row r="1070" spans="1:16">
      <c r="A1070" s="331">
        <v>40631</v>
      </c>
      <c r="B1070" s="329">
        <v>32</v>
      </c>
      <c r="C1070" s="329">
        <f t="shared" si="68"/>
        <v>32.133333333333333</v>
      </c>
      <c r="D1070" s="329">
        <v>40.700000000000003</v>
      </c>
      <c r="E1070" s="329">
        <f t="shared" si="65"/>
        <v>40.866666666666667</v>
      </c>
      <c r="F1070" s="329">
        <v>11</v>
      </c>
      <c r="G1070" s="329">
        <f t="shared" si="66"/>
        <v>10.666666666666666</v>
      </c>
      <c r="H1070" s="329">
        <v>10.199999999999999</v>
      </c>
      <c r="I1070" s="329">
        <f t="shared" si="67"/>
        <v>10.200000000000001</v>
      </c>
      <c r="L1070" s="331">
        <v>40631</v>
      </c>
      <c r="M1070" s="329">
        <v>32.133333333333333</v>
      </c>
      <c r="N1070" s="329">
        <v>40.866666666666667</v>
      </c>
      <c r="O1070" s="329">
        <v>10.666666666666666</v>
      </c>
      <c r="P1070" s="329">
        <v>10.200000000000001</v>
      </c>
    </row>
    <row r="1071" spans="1:16">
      <c r="A1071" s="331">
        <v>40632</v>
      </c>
      <c r="B1071" s="329">
        <v>32</v>
      </c>
      <c r="C1071" s="329">
        <f t="shared" si="68"/>
        <v>32</v>
      </c>
      <c r="D1071" s="329">
        <v>40.700000000000003</v>
      </c>
      <c r="E1071" s="329">
        <f t="shared" si="65"/>
        <v>40.916666666666664</v>
      </c>
      <c r="F1071" s="329">
        <v>10.6</v>
      </c>
      <c r="G1071" s="329">
        <f t="shared" si="66"/>
        <v>10.533333333333333</v>
      </c>
      <c r="H1071" s="329">
        <v>10.199999999999999</v>
      </c>
      <c r="I1071" s="329">
        <f t="shared" si="67"/>
        <v>10.1</v>
      </c>
      <c r="L1071" s="331">
        <v>40632</v>
      </c>
      <c r="M1071" s="329">
        <v>32</v>
      </c>
      <c r="N1071" s="329">
        <v>40.916666666666664</v>
      </c>
      <c r="O1071" s="329">
        <v>10.533333333333333</v>
      </c>
      <c r="P1071" s="329">
        <v>10.1</v>
      </c>
    </row>
    <row r="1072" spans="1:16">
      <c r="A1072" s="331">
        <v>40632</v>
      </c>
      <c r="B1072" s="329">
        <v>32</v>
      </c>
      <c r="C1072" s="329">
        <f t="shared" si="68"/>
        <v>32</v>
      </c>
      <c r="D1072" s="329">
        <v>40.700000000000003</v>
      </c>
      <c r="E1072" s="329">
        <f t="shared" si="65"/>
        <v>40.916666666666664</v>
      </c>
      <c r="F1072" s="329">
        <v>10.3</v>
      </c>
      <c r="G1072" s="329">
        <f t="shared" si="66"/>
        <v>10.533333333333333</v>
      </c>
      <c r="H1072" s="329">
        <v>10.199999999999999</v>
      </c>
      <c r="I1072" s="329">
        <f t="shared" si="67"/>
        <v>10.1</v>
      </c>
      <c r="L1072" s="331">
        <v>40632</v>
      </c>
      <c r="M1072" s="329">
        <v>32</v>
      </c>
      <c r="N1072" s="329">
        <v>40.916666666666664</v>
      </c>
      <c r="O1072" s="329">
        <v>10.533333333333333</v>
      </c>
      <c r="P1072" s="329">
        <v>10.1</v>
      </c>
    </row>
    <row r="1073" spans="1:16">
      <c r="A1073" s="331">
        <v>40632</v>
      </c>
      <c r="B1073" s="329">
        <v>32</v>
      </c>
      <c r="C1073" s="329">
        <f t="shared" si="68"/>
        <v>32</v>
      </c>
      <c r="D1073" s="329">
        <v>40.700000000000003</v>
      </c>
      <c r="E1073" s="329">
        <f t="shared" si="65"/>
        <v>40.916666666666664</v>
      </c>
      <c r="F1073" s="329">
        <v>10.199999999999999</v>
      </c>
      <c r="G1073" s="329">
        <f t="shared" si="66"/>
        <v>10.533333333333333</v>
      </c>
      <c r="H1073" s="329">
        <v>10.1</v>
      </c>
      <c r="I1073" s="329">
        <f t="shared" si="67"/>
        <v>10.1</v>
      </c>
      <c r="L1073" s="331">
        <v>40632</v>
      </c>
      <c r="M1073" s="329">
        <v>32</v>
      </c>
      <c r="N1073" s="329">
        <v>40.916666666666664</v>
      </c>
      <c r="O1073" s="329">
        <v>10.533333333333333</v>
      </c>
      <c r="P1073" s="329">
        <v>10.1</v>
      </c>
    </row>
    <row r="1074" spans="1:16">
      <c r="A1074" s="331">
        <v>40632</v>
      </c>
      <c r="B1074" s="329">
        <v>32</v>
      </c>
      <c r="C1074" s="329">
        <f t="shared" si="68"/>
        <v>32</v>
      </c>
      <c r="D1074" s="329">
        <v>40.9</v>
      </c>
      <c r="E1074" s="329">
        <f t="shared" si="65"/>
        <v>40.916666666666664</v>
      </c>
      <c r="F1074" s="329">
        <v>10.3</v>
      </c>
      <c r="G1074" s="329">
        <f t="shared" si="66"/>
        <v>10.533333333333333</v>
      </c>
      <c r="H1074" s="329">
        <v>10</v>
      </c>
      <c r="I1074" s="329">
        <f t="shared" si="67"/>
        <v>10.1</v>
      </c>
      <c r="L1074" s="331">
        <v>40632</v>
      </c>
      <c r="M1074" s="329">
        <v>32</v>
      </c>
      <c r="N1074" s="329">
        <v>40.916666666666664</v>
      </c>
      <c r="O1074" s="329">
        <v>10.533333333333333</v>
      </c>
      <c r="P1074" s="329">
        <v>10.1</v>
      </c>
    </row>
    <row r="1075" spans="1:16">
      <c r="A1075" s="331">
        <v>40632</v>
      </c>
      <c r="B1075" s="329">
        <v>32</v>
      </c>
      <c r="C1075" s="329">
        <f t="shared" si="68"/>
        <v>32</v>
      </c>
      <c r="D1075" s="329">
        <v>41</v>
      </c>
      <c r="E1075" s="329">
        <f t="shared" si="65"/>
        <v>40.916666666666664</v>
      </c>
      <c r="F1075" s="329">
        <v>10.8</v>
      </c>
      <c r="G1075" s="329">
        <f t="shared" si="66"/>
        <v>10.533333333333333</v>
      </c>
      <c r="H1075" s="329">
        <v>10</v>
      </c>
      <c r="I1075" s="329">
        <f t="shared" si="67"/>
        <v>10.1</v>
      </c>
      <c r="L1075" s="331">
        <v>40632</v>
      </c>
      <c r="M1075" s="329">
        <v>32</v>
      </c>
      <c r="N1075" s="329">
        <v>40.916666666666664</v>
      </c>
      <c r="O1075" s="329">
        <v>10.533333333333333</v>
      </c>
      <c r="P1075" s="329">
        <v>10.1</v>
      </c>
    </row>
    <row r="1076" spans="1:16">
      <c r="A1076" s="331">
        <v>40632</v>
      </c>
      <c r="B1076" s="329">
        <v>32</v>
      </c>
      <c r="C1076" s="329">
        <f t="shared" si="68"/>
        <v>32</v>
      </c>
      <c r="D1076" s="329">
        <v>41.5</v>
      </c>
      <c r="E1076" s="329">
        <f t="shared" si="65"/>
        <v>40.916666666666664</v>
      </c>
      <c r="F1076" s="329">
        <v>11</v>
      </c>
      <c r="G1076" s="329">
        <f t="shared" si="66"/>
        <v>10.533333333333333</v>
      </c>
      <c r="H1076" s="329">
        <v>10.1</v>
      </c>
      <c r="I1076" s="329">
        <f t="shared" si="67"/>
        <v>10.1</v>
      </c>
      <c r="L1076" s="331">
        <v>40632</v>
      </c>
      <c r="M1076" s="329">
        <v>32</v>
      </c>
      <c r="N1076" s="329">
        <v>40.916666666666664</v>
      </c>
      <c r="O1076" s="329">
        <v>10.533333333333333</v>
      </c>
      <c r="P1076" s="329">
        <v>10.1</v>
      </c>
    </row>
    <row r="1077" spans="1:16">
      <c r="A1077" s="331">
        <v>40633</v>
      </c>
      <c r="B1077" s="329">
        <v>32</v>
      </c>
      <c r="C1077" s="329">
        <f t="shared" si="68"/>
        <v>32.033333333333331</v>
      </c>
      <c r="D1077" s="329">
        <v>41.1</v>
      </c>
      <c r="E1077" s="329">
        <f t="shared" si="65"/>
        <v>40.5</v>
      </c>
      <c r="F1077" s="329">
        <v>10.8</v>
      </c>
      <c r="G1077" s="329">
        <f t="shared" si="66"/>
        <v>11.233333333333334</v>
      </c>
      <c r="H1077" s="329">
        <v>10.199999999999999</v>
      </c>
      <c r="I1077" s="329">
        <f t="shared" si="67"/>
        <v>10.333333333333334</v>
      </c>
      <c r="L1077" s="331">
        <v>40633</v>
      </c>
      <c r="M1077" s="329">
        <v>32.033333333333331</v>
      </c>
      <c r="N1077" s="329">
        <v>40.5</v>
      </c>
      <c r="O1077" s="329">
        <v>11.233333333333334</v>
      </c>
      <c r="P1077" s="329">
        <v>10.333333333333334</v>
      </c>
    </row>
    <row r="1078" spans="1:16">
      <c r="A1078" s="331">
        <v>40633</v>
      </c>
      <c r="B1078" s="329">
        <v>32</v>
      </c>
      <c r="C1078" s="329">
        <f t="shared" si="68"/>
        <v>32.033333333333331</v>
      </c>
      <c r="D1078" s="329">
        <v>40.799999999999997</v>
      </c>
      <c r="E1078" s="329">
        <f t="shared" si="65"/>
        <v>40.5</v>
      </c>
      <c r="F1078" s="329">
        <v>10.9</v>
      </c>
      <c r="G1078" s="329">
        <f t="shared" si="66"/>
        <v>11.233333333333334</v>
      </c>
      <c r="H1078" s="329">
        <v>10.199999999999999</v>
      </c>
      <c r="I1078" s="329">
        <f t="shared" si="67"/>
        <v>10.333333333333334</v>
      </c>
      <c r="L1078" s="331">
        <v>40633</v>
      </c>
      <c r="M1078" s="329">
        <v>32.033333333333331</v>
      </c>
      <c r="N1078" s="329">
        <v>40.5</v>
      </c>
      <c r="O1078" s="329">
        <v>11.233333333333334</v>
      </c>
      <c r="P1078" s="329">
        <v>10.333333333333334</v>
      </c>
    </row>
    <row r="1079" spans="1:16">
      <c r="A1079" s="331">
        <v>40633</v>
      </c>
      <c r="B1079" s="329">
        <v>32</v>
      </c>
      <c r="C1079" s="329">
        <f t="shared" si="68"/>
        <v>32.033333333333331</v>
      </c>
      <c r="D1079" s="329">
        <v>40.299999999999997</v>
      </c>
      <c r="E1079" s="329">
        <f t="shared" si="65"/>
        <v>40.5</v>
      </c>
      <c r="F1079" s="329">
        <v>11</v>
      </c>
      <c r="G1079" s="329">
        <f t="shared" si="66"/>
        <v>11.233333333333334</v>
      </c>
      <c r="H1079" s="329">
        <v>10.3</v>
      </c>
      <c r="I1079" s="329">
        <f t="shared" si="67"/>
        <v>10.333333333333334</v>
      </c>
      <c r="L1079" s="331">
        <v>40633</v>
      </c>
      <c r="M1079" s="329">
        <v>32.033333333333331</v>
      </c>
      <c r="N1079" s="329">
        <v>40.5</v>
      </c>
      <c r="O1079" s="329">
        <v>11.233333333333334</v>
      </c>
      <c r="P1079" s="329">
        <v>10.333333333333334</v>
      </c>
    </row>
    <row r="1080" spans="1:16">
      <c r="A1080" s="331">
        <v>40633</v>
      </c>
      <c r="B1080" s="329">
        <v>32.1</v>
      </c>
      <c r="C1080" s="329">
        <f t="shared" si="68"/>
        <v>32.033333333333331</v>
      </c>
      <c r="D1080" s="329">
        <v>40.299999999999997</v>
      </c>
      <c r="E1080" s="329">
        <f t="shared" si="65"/>
        <v>40.5</v>
      </c>
      <c r="F1080" s="329">
        <v>11.2</v>
      </c>
      <c r="G1080" s="329">
        <f t="shared" si="66"/>
        <v>11.233333333333334</v>
      </c>
      <c r="H1080" s="329">
        <v>10.3</v>
      </c>
      <c r="I1080" s="329">
        <f t="shared" si="67"/>
        <v>10.333333333333334</v>
      </c>
      <c r="L1080" s="331">
        <v>40633</v>
      </c>
      <c r="M1080" s="329">
        <v>32.033333333333331</v>
      </c>
      <c r="N1080" s="329">
        <v>40.5</v>
      </c>
      <c r="O1080" s="329">
        <v>11.233333333333334</v>
      </c>
      <c r="P1080" s="329">
        <v>10.333333333333334</v>
      </c>
    </row>
    <row r="1081" spans="1:16">
      <c r="A1081" s="331">
        <v>40633</v>
      </c>
      <c r="B1081" s="329">
        <v>32.1</v>
      </c>
      <c r="C1081" s="329">
        <f t="shared" si="68"/>
        <v>32.033333333333331</v>
      </c>
      <c r="D1081" s="329">
        <v>40.299999999999997</v>
      </c>
      <c r="E1081" s="329">
        <f t="shared" si="65"/>
        <v>40.5</v>
      </c>
      <c r="F1081" s="329">
        <v>11.5</v>
      </c>
      <c r="G1081" s="329">
        <f t="shared" si="66"/>
        <v>11.233333333333334</v>
      </c>
      <c r="H1081" s="329">
        <v>10.4</v>
      </c>
      <c r="I1081" s="329">
        <f t="shared" si="67"/>
        <v>10.333333333333334</v>
      </c>
      <c r="L1081" s="331">
        <v>40633</v>
      </c>
      <c r="M1081" s="329">
        <v>32.033333333333331</v>
      </c>
      <c r="N1081" s="329">
        <v>40.5</v>
      </c>
      <c r="O1081" s="329">
        <v>11.233333333333334</v>
      </c>
      <c r="P1081" s="329">
        <v>10.333333333333334</v>
      </c>
    </row>
    <row r="1082" spans="1:16">
      <c r="A1082" s="331">
        <v>40633</v>
      </c>
      <c r="B1082" s="329">
        <v>32</v>
      </c>
      <c r="C1082" s="329">
        <f t="shared" si="68"/>
        <v>32.033333333333331</v>
      </c>
      <c r="D1082" s="329">
        <v>40.200000000000003</v>
      </c>
      <c r="E1082" s="329">
        <f t="shared" si="65"/>
        <v>40.5</v>
      </c>
      <c r="F1082" s="329">
        <v>12</v>
      </c>
      <c r="G1082" s="329">
        <f t="shared" si="66"/>
        <v>11.233333333333334</v>
      </c>
      <c r="H1082" s="329">
        <v>10.6</v>
      </c>
      <c r="I1082" s="329">
        <f t="shared" si="67"/>
        <v>10.333333333333334</v>
      </c>
      <c r="L1082" s="331">
        <v>40633</v>
      </c>
      <c r="M1082" s="329">
        <v>32.033333333333331</v>
      </c>
      <c r="N1082" s="329">
        <v>40.5</v>
      </c>
      <c r="O1082" s="329">
        <v>11.233333333333334</v>
      </c>
      <c r="P1082" s="329">
        <v>10.333333333333334</v>
      </c>
    </row>
    <row r="1083" spans="1:16">
      <c r="A1083" s="331">
        <v>40634</v>
      </c>
      <c r="B1083" s="329">
        <v>32</v>
      </c>
      <c r="C1083" s="329">
        <f t="shared" si="68"/>
        <v>31.950000000000003</v>
      </c>
      <c r="D1083" s="329">
        <v>40.200000000000003</v>
      </c>
      <c r="E1083" s="329">
        <f t="shared" si="65"/>
        <v>40.133333333333333</v>
      </c>
      <c r="F1083" s="329">
        <v>11.5</v>
      </c>
      <c r="G1083" s="329">
        <f t="shared" si="66"/>
        <v>11.433333333333332</v>
      </c>
      <c r="H1083" s="329">
        <v>10.7</v>
      </c>
      <c r="I1083" s="329">
        <f t="shared" si="67"/>
        <v>10.6</v>
      </c>
      <c r="L1083" s="331">
        <v>40634</v>
      </c>
      <c r="M1083" s="329">
        <v>31.950000000000003</v>
      </c>
      <c r="N1083" s="329">
        <v>40.133333333333333</v>
      </c>
      <c r="O1083" s="329">
        <v>11.433333333333332</v>
      </c>
      <c r="P1083" s="329">
        <v>10.6</v>
      </c>
    </row>
    <row r="1084" spans="1:16">
      <c r="A1084" s="331">
        <v>40634</v>
      </c>
      <c r="B1084" s="329">
        <v>32</v>
      </c>
      <c r="C1084" s="329">
        <f t="shared" si="68"/>
        <v>31.950000000000003</v>
      </c>
      <c r="D1084" s="329">
        <v>40.200000000000003</v>
      </c>
      <c r="E1084" s="329">
        <f t="shared" si="65"/>
        <v>40.133333333333333</v>
      </c>
      <c r="F1084" s="329">
        <v>10.8</v>
      </c>
      <c r="G1084" s="329">
        <f t="shared" si="66"/>
        <v>11.433333333333332</v>
      </c>
      <c r="H1084" s="329">
        <v>10.7</v>
      </c>
      <c r="I1084" s="329">
        <f t="shared" si="67"/>
        <v>10.6</v>
      </c>
      <c r="L1084" s="331">
        <v>40634</v>
      </c>
      <c r="M1084" s="329">
        <v>31.950000000000003</v>
      </c>
      <c r="N1084" s="329">
        <v>40.133333333333333</v>
      </c>
      <c r="O1084" s="329">
        <v>11.433333333333332</v>
      </c>
      <c r="P1084" s="329">
        <v>10.6</v>
      </c>
    </row>
    <row r="1085" spans="1:16">
      <c r="A1085" s="331">
        <v>40634</v>
      </c>
      <c r="B1085" s="329">
        <v>32</v>
      </c>
      <c r="C1085" s="329">
        <f t="shared" si="68"/>
        <v>31.950000000000003</v>
      </c>
      <c r="D1085" s="329">
        <v>40.200000000000003</v>
      </c>
      <c r="E1085" s="329">
        <f t="shared" si="65"/>
        <v>40.133333333333333</v>
      </c>
      <c r="F1085" s="329">
        <v>10.6</v>
      </c>
      <c r="G1085" s="329">
        <f t="shared" si="66"/>
        <v>11.433333333333332</v>
      </c>
      <c r="H1085" s="329">
        <v>10.5</v>
      </c>
      <c r="I1085" s="329">
        <f t="shared" si="67"/>
        <v>10.6</v>
      </c>
      <c r="L1085" s="331">
        <v>40634</v>
      </c>
      <c r="M1085" s="329">
        <v>31.950000000000003</v>
      </c>
      <c r="N1085" s="329">
        <v>40.133333333333333</v>
      </c>
      <c r="O1085" s="329">
        <v>11.433333333333332</v>
      </c>
      <c r="P1085" s="329">
        <v>10.6</v>
      </c>
    </row>
    <row r="1086" spans="1:16">
      <c r="A1086" s="331">
        <v>40634</v>
      </c>
      <c r="B1086" s="329">
        <v>32</v>
      </c>
      <c r="C1086" s="329">
        <f t="shared" si="68"/>
        <v>31.950000000000003</v>
      </c>
      <c r="D1086" s="329">
        <v>40.200000000000003</v>
      </c>
      <c r="E1086" s="329">
        <f t="shared" si="65"/>
        <v>40.133333333333333</v>
      </c>
      <c r="F1086" s="329">
        <v>10.9</v>
      </c>
      <c r="G1086" s="329">
        <f t="shared" si="66"/>
        <v>11.433333333333332</v>
      </c>
      <c r="H1086" s="329">
        <v>10.4</v>
      </c>
      <c r="I1086" s="329">
        <f t="shared" si="67"/>
        <v>10.6</v>
      </c>
      <c r="L1086" s="331">
        <v>40634</v>
      </c>
      <c r="M1086" s="329">
        <v>31.950000000000003</v>
      </c>
      <c r="N1086" s="329">
        <v>40.133333333333333</v>
      </c>
      <c r="O1086" s="329">
        <v>11.433333333333332</v>
      </c>
      <c r="P1086" s="329">
        <v>10.6</v>
      </c>
    </row>
    <row r="1087" spans="1:16">
      <c r="A1087" s="331">
        <v>40634</v>
      </c>
      <c r="B1087" s="329">
        <v>31.9</v>
      </c>
      <c r="C1087" s="329">
        <f t="shared" si="68"/>
        <v>31.950000000000003</v>
      </c>
      <c r="D1087" s="329">
        <v>40.1</v>
      </c>
      <c r="E1087" s="329">
        <f t="shared" si="65"/>
        <v>40.133333333333333</v>
      </c>
      <c r="F1087" s="329">
        <v>12.1</v>
      </c>
      <c r="G1087" s="329">
        <f t="shared" si="66"/>
        <v>11.433333333333332</v>
      </c>
      <c r="H1087" s="329">
        <v>10.5</v>
      </c>
      <c r="I1087" s="329">
        <f t="shared" si="67"/>
        <v>10.6</v>
      </c>
      <c r="L1087" s="331">
        <v>40634</v>
      </c>
      <c r="M1087" s="329">
        <v>31.950000000000003</v>
      </c>
      <c r="N1087" s="329">
        <v>40.133333333333333</v>
      </c>
      <c r="O1087" s="329">
        <v>11.433333333333332</v>
      </c>
      <c r="P1087" s="329">
        <v>10.6</v>
      </c>
    </row>
    <row r="1088" spans="1:16">
      <c r="A1088" s="331">
        <v>40634</v>
      </c>
      <c r="B1088" s="329">
        <v>31.8</v>
      </c>
      <c r="C1088" s="329">
        <f t="shared" si="68"/>
        <v>31.950000000000003</v>
      </c>
      <c r="D1088" s="329">
        <v>39.9</v>
      </c>
      <c r="E1088" s="329">
        <f t="shared" si="65"/>
        <v>40.133333333333333</v>
      </c>
      <c r="F1088" s="329">
        <v>12.7</v>
      </c>
      <c r="G1088" s="329">
        <f t="shared" si="66"/>
        <v>11.433333333333332</v>
      </c>
      <c r="H1088" s="329">
        <v>10.8</v>
      </c>
      <c r="I1088" s="329">
        <f t="shared" si="67"/>
        <v>10.6</v>
      </c>
      <c r="L1088" s="331">
        <v>40634</v>
      </c>
      <c r="M1088" s="329">
        <v>31.950000000000003</v>
      </c>
      <c r="N1088" s="329">
        <v>40.133333333333333</v>
      </c>
      <c r="O1088" s="329">
        <v>11.433333333333332</v>
      </c>
      <c r="P1088" s="329">
        <v>10.6</v>
      </c>
    </row>
    <row r="1089" spans="1:16">
      <c r="A1089" s="331">
        <v>40635</v>
      </c>
      <c r="B1089" s="329">
        <v>31.8</v>
      </c>
      <c r="C1089" s="329">
        <f t="shared" si="68"/>
        <v>31.733333333333334</v>
      </c>
      <c r="D1089" s="329">
        <v>39.9</v>
      </c>
      <c r="E1089" s="329">
        <f t="shared" si="65"/>
        <v>39.799999999999997</v>
      </c>
      <c r="F1089" s="329">
        <v>12.4</v>
      </c>
      <c r="G1089" s="329">
        <f t="shared" si="66"/>
        <v>12.316666666666665</v>
      </c>
      <c r="H1089" s="329">
        <v>11</v>
      </c>
      <c r="I1089" s="329">
        <f t="shared" si="67"/>
        <v>11.100000000000001</v>
      </c>
      <c r="L1089" s="331">
        <v>40635</v>
      </c>
      <c r="M1089" s="329">
        <v>31.733333333333334</v>
      </c>
      <c r="N1089" s="329">
        <v>39.799999999999997</v>
      </c>
      <c r="O1089" s="329">
        <v>12.316666666666665</v>
      </c>
      <c r="P1089" s="329">
        <v>11.100000000000001</v>
      </c>
    </row>
    <row r="1090" spans="1:16">
      <c r="A1090" s="331">
        <v>40635</v>
      </c>
      <c r="B1090" s="329">
        <v>31.8</v>
      </c>
      <c r="C1090" s="329">
        <f t="shared" si="68"/>
        <v>31.733333333333334</v>
      </c>
      <c r="D1090" s="329">
        <v>39.9</v>
      </c>
      <c r="E1090" s="329">
        <f t="shared" si="65"/>
        <v>39.799999999999997</v>
      </c>
      <c r="F1090" s="329">
        <v>12</v>
      </c>
      <c r="G1090" s="329">
        <f t="shared" si="66"/>
        <v>12.316666666666665</v>
      </c>
      <c r="H1090" s="329">
        <v>11.1</v>
      </c>
      <c r="I1090" s="329">
        <f t="shared" si="67"/>
        <v>11.100000000000001</v>
      </c>
      <c r="L1090" s="331">
        <v>40635</v>
      </c>
      <c r="M1090" s="329">
        <v>31.733333333333334</v>
      </c>
      <c r="N1090" s="329">
        <v>39.799999999999997</v>
      </c>
      <c r="O1090" s="329">
        <v>12.316666666666665</v>
      </c>
      <c r="P1090" s="329">
        <v>11.100000000000001</v>
      </c>
    </row>
    <row r="1091" spans="1:16">
      <c r="A1091" s="331">
        <v>40635</v>
      </c>
      <c r="B1091" s="329">
        <v>31.8</v>
      </c>
      <c r="C1091" s="329">
        <f t="shared" si="68"/>
        <v>31.733333333333334</v>
      </c>
      <c r="D1091" s="329">
        <v>39.9</v>
      </c>
      <c r="E1091" s="329">
        <f t="shared" si="65"/>
        <v>39.799999999999997</v>
      </c>
      <c r="F1091" s="329">
        <v>11.7</v>
      </c>
      <c r="G1091" s="329">
        <f t="shared" si="66"/>
        <v>12.316666666666665</v>
      </c>
      <c r="H1091" s="329">
        <v>11.1</v>
      </c>
      <c r="I1091" s="329">
        <f t="shared" si="67"/>
        <v>11.100000000000001</v>
      </c>
      <c r="L1091" s="331">
        <v>40635</v>
      </c>
      <c r="M1091" s="329">
        <v>31.733333333333334</v>
      </c>
      <c r="N1091" s="329">
        <v>39.799999999999997</v>
      </c>
      <c r="O1091" s="329">
        <v>12.316666666666665</v>
      </c>
      <c r="P1091" s="329">
        <v>11.100000000000001</v>
      </c>
    </row>
    <row r="1092" spans="1:16">
      <c r="A1092" s="331">
        <v>40635</v>
      </c>
      <c r="B1092" s="329">
        <v>31.8</v>
      </c>
      <c r="C1092" s="329">
        <f t="shared" si="68"/>
        <v>31.733333333333334</v>
      </c>
      <c r="D1092" s="329">
        <v>39.799999999999997</v>
      </c>
      <c r="E1092" s="329">
        <f t="shared" si="65"/>
        <v>39.799999999999997</v>
      </c>
      <c r="F1092" s="329">
        <v>11.9</v>
      </c>
      <c r="G1092" s="329">
        <f t="shared" si="66"/>
        <v>12.316666666666665</v>
      </c>
      <c r="H1092" s="329">
        <v>11</v>
      </c>
      <c r="I1092" s="329">
        <f t="shared" si="67"/>
        <v>11.100000000000001</v>
      </c>
      <c r="L1092" s="331">
        <v>40635</v>
      </c>
      <c r="M1092" s="329">
        <v>31.733333333333334</v>
      </c>
      <c r="N1092" s="329">
        <v>39.799999999999997</v>
      </c>
      <c r="O1092" s="329">
        <v>12.316666666666665</v>
      </c>
      <c r="P1092" s="329">
        <v>11.100000000000001</v>
      </c>
    </row>
    <row r="1093" spans="1:16">
      <c r="A1093" s="331">
        <v>40635</v>
      </c>
      <c r="B1093" s="329">
        <v>31.6</v>
      </c>
      <c r="C1093" s="329">
        <f t="shared" si="68"/>
        <v>31.733333333333334</v>
      </c>
      <c r="D1093" s="329">
        <v>39.700000000000003</v>
      </c>
      <c r="E1093" s="329">
        <f t="shared" si="65"/>
        <v>39.799999999999997</v>
      </c>
      <c r="F1093" s="329">
        <v>12.8</v>
      </c>
      <c r="G1093" s="329">
        <f t="shared" si="66"/>
        <v>12.316666666666665</v>
      </c>
      <c r="H1093" s="329">
        <v>11.1</v>
      </c>
      <c r="I1093" s="329">
        <f t="shared" si="67"/>
        <v>11.100000000000001</v>
      </c>
      <c r="L1093" s="331">
        <v>40635</v>
      </c>
      <c r="M1093" s="329">
        <v>31.733333333333334</v>
      </c>
      <c r="N1093" s="329">
        <v>39.799999999999997</v>
      </c>
      <c r="O1093" s="329">
        <v>12.316666666666665</v>
      </c>
      <c r="P1093" s="329">
        <v>11.100000000000001</v>
      </c>
    </row>
    <row r="1094" spans="1:16">
      <c r="A1094" s="331">
        <v>40635</v>
      </c>
      <c r="B1094" s="329">
        <v>31.6</v>
      </c>
      <c r="C1094" s="329">
        <f t="shared" si="68"/>
        <v>31.733333333333334</v>
      </c>
      <c r="D1094" s="329">
        <v>39.6</v>
      </c>
      <c r="E1094" s="329">
        <f t="shared" si="65"/>
        <v>39.799999999999997</v>
      </c>
      <c r="F1094" s="329">
        <v>13.1</v>
      </c>
      <c r="G1094" s="329">
        <f t="shared" si="66"/>
        <v>12.316666666666665</v>
      </c>
      <c r="H1094" s="329">
        <v>11.3</v>
      </c>
      <c r="I1094" s="329">
        <f t="shared" si="67"/>
        <v>11.100000000000001</v>
      </c>
      <c r="L1094" s="331">
        <v>40635</v>
      </c>
      <c r="M1094" s="329">
        <v>31.733333333333334</v>
      </c>
      <c r="N1094" s="329">
        <v>39.799999999999997</v>
      </c>
      <c r="O1094" s="329">
        <v>12.316666666666665</v>
      </c>
      <c r="P1094" s="329">
        <v>11.100000000000001</v>
      </c>
    </row>
    <row r="1095" spans="1:16">
      <c r="A1095" s="331">
        <v>40636</v>
      </c>
      <c r="B1095" s="329">
        <v>31.6</v>
      </c>
      <c r="C1095" s="329">
        <f t="shared" si="68"/>
        <v>31.5</v>
      </c>
      <c r="D1095" s="329">
        <v>39.6</v>
      </c>
      <c r="E1095" s="329">
        <f t="shared" si="65"/>
        <v>39.550000000000004</v>
      </c>
      <c r="F1095" s="329">
        <v>12.8</v>
      </c>
      <c r="G1095" s="329">
        <f t="shared" si="66"/>
        <v>12.566666666666665</v>
      </c>
      <c r="H1095" s="329">
        <v>11.5</v>
      </c>
      <c r="I1095" s="329">
        <f t="shared" si="67"/>
        <v>11.533333333333333</v>
      </c>
      <c r="L1095" s="331">
        <v>40636</v>
      </c>
      <c r="M1095" s="329">
        <v>31.5</v>
      </c>
      <c r="N1095" s="329">
        <v>39.550000000000004</v>
      </c>
      <c r="O1095" s="329">
        <v>12.566666666666665</v>
      </c>
      <c r="P1095" s="329">
        <v>11.533333333333333</v>
      </c>
    </row>
    <row r="1096" spans="1:16">
      <c r="A1096" s="331">
        <v>40636</v>
      </c>
      <c r="B1096" s="329">
        <v>31.5</v>
      </c>
      <c r="C1096" s="329">
        <f t="shared" si="68"/>
        <v>31.5</v>
      </c>
      <c r="D1096" s="329">
        <v>39.6</v>
      </c>
      <c r="E1096" s="329">
        <f t="shared" si="65"/>
        <v>39.550000000000004</v>
      </c>
      <c r="F1096" s="329">
        <v>12.6</v>
      </c>
      <c r="G1096" s="329">
        <f t="shared" si="66"/>
        <v>12.566666666666665</v>
      </c>
      <c r="H1096" s="329">
        <v>11.6</v>
      </c>
      <c r="I1096" s="329">
        <f t="shared" si="67"/>
        <v>11.533333333333333</v>
      </c>
      <c r="L1096" s="331">
        <v>40636</v>
      </c>
      <c r="M1096" s="329">
        <v>31.5</v>
      </c>
      <c r="N1096" s="329">
        <v>39.550000000000004</v>
      </c>
      <c r="O1096" s="329">
        <v>12.566666666666665</v>
      </c>
      <c r="P1096" s="329">
        <v>11.533333333333333</v>
      </c>
    </row>
    <row r="1097" spans="1:16">
      <c r="A1097" s="331">
        <v>40636</v>
      </c>
      <c r="B1097" s="329">
        <v>31.5</v>
      </c>
      <c r="C1097" s="329">
        <f t="shared" si="68"/>
        <v>31.5</v>
      </c>
      <c r="D1097" s="329">
        <v>39.6</v>
      </c>
      <c r="E1097" s="329">
        <f t="shared" si="65"/>
        <v>39.550000000000004</v>
      </c>
      <c r="F1097" s="329">
        <v>12.4</v>
      </c>
      <c r="G1097" s="329">
        <f t="shared" si="66"/>
        <v>12.566666666666665</v>
      </c>
      <c r="H1097" s="329">
        <v>11.5</v>
      </c>
      <c r="I1097" s="329">
        <f t="shared" si="67"/>
        <v>11.533333333333333</v>
      </c>
      <c r="L1097" s="331">
        <v>40636</v>
      </c>
      <c r="M1097" s="329">
        <v>31.5</v>
      </c>
      <c r="N1097" s="329">
        <v>39.550000000000004</v>
      </c>
      <c r="O1097" s="329">
        <v>12.566666666666665</v>
      </c>
      <c r="P1097" s="329">
        <v>11.533333333333333</v>
      </c>
    </row>
    <row r="1098" spans="1:16">
      <c r="A1098" s="331">
        <v>40636</v>
      </c>
      <c r="B1098" s="329">
        <v>31.5</v>
      </c>
      <c r="C1098" s="329">
        <f t="shared" si="68"/>
        <v>31.5</v>
      </c>
      <c r="D1098" s="329">
        <v>39.5</v>
      </c>
      <c r="E1098" s="329">
        <f t="shared" si="65"/>
        <v>39.550000000000004</v>
      </c>
      <c r="F1098" s="329">
        <v>12.4</v>
      </c>
      <c r="G1098" s="329">
        <f t="shared" si="66"/>
        <v>12.566666666666665</v>
      </c>
      <c r="H1098" s="329">
        <v>11.5</v>
      </c>
      <c r="I1098" s="329">
        <f t="shared" si="67"/>
        <v>11.533333333333333</v>
      </c>
      <c r="L1098" s="331">
        <v>40636</v>
      </c>
      <c r="M1098" s="329">
        <v>31.5</v>
      </c>
      <c r="N1098" s="329">
        <v>39.550000000000004</v>
      </c>
      <c r="O1098" s="329">
        <v>12.566666666666665</v>
      </c>
      <c r="P1098" s="329">
        <v>11.533333333333333</v>
      </c>
    </row>
    <row r="1099" spans="1:16">
      <c r="A1099" s="331">
        <v>40636</v>
      </c>
      <c r="B1099" s="329">
        <v>31.5</v>
      </c>
      <c r="C1099" s="329">
        <f t="shared" si="68"/>
        <v>31.5</v>
      </c>
      <c r="D1099" s="329">
        <v>39.5</v>
      </c>
      <c r="E1099" s="329">
        <f t="shared" si="65"/>
        <v>39.550000000000004</v>
      </c>
      <c r="F1099" s="329">
        <v>12.6</v>
      </c>
      <c r="G1099" s="329">
        <f t="shared" si="66"/>
        <v>12.566666666666665</v>
      </c>
      <c r="H1099" s="329">
        <v>11.5</v>
      </c>
      <c r="I1099" s="329">
        <f t="shared" si="67"/>
        <v>11.533333333333333</v>
      </c>
      <c r="L1099" s="331">
        <v>40636</v>
      </c>
      <c r="M1099" s="329">
        <v>31.5</v>
      </c>
      <c r="N1099" s="329">
        <v>39.550000000000004</v>
      </c>
      <c r="O1099" s="329">
        <v>12.566666666666665</v>
      </c>
      <c r="P1099" s="329">
        <v>11.533333333333333</v>
      </c>
    </row>
    <row r="1100" spans="1:16">
      <c r="A1100" s="331">
        <v>40636</v>
      </c>
      <c r="B1100" s="329">
        <v>31.4</v>
      </c>
      <c r="C1100" s="329">
        <f t="shared" si="68"/>
        <v>31.5</v>
      </c>
      <c r="D1100" s="329">
        <v>39.5</v>
      </c>
      <c r="E1100" s="329">
        <f t="shared" si="65"/>
        <v>39.550000000000004</v>
      </c>
      <c r="F1100" s="329">
        <v>12.6</v>
      </c>
      <c r="G1100" s="329">
        <f t="shared" si="66"/>
        <v>12.566666666666665</v>
      </c>
      <c r="H1100" s="329">
        <v>11.6</v>
      </c>
      <c r="I1100" s="329">
        <f t="shared" si="67"/>
        <v>11.533333333333333</v>
      </c>
      <c r="L1100" s="331">
        <v>40636</v>
      </c>
      <c r="M1100" s="329">
        <v>31.5</v>
      </c>
      <c r="N1100" s="329">
        <v>39.550000000000004</v>
      </c>
      <c r="O1100" s="329">
        <v>12.566666666666665</v>
      </c>
      <c r="P1100" s="329">
        <v>11.533333333333333</v>
      </c>
    </row>
    <row r="1101" spans="1:16">
      <c r="A1101" s="331">
        <v>40637</v>
      </c>
      <c r="B1101" s="329">
        <v>31.4</v>
      </c>
      <c r="C1101" s="329">
        <f t="shared" si="68"/>
        <v>31.349999999999998</v>
      </c>
      <c r="D1101" s="329">
        <v>39.5</v>
      </c>
      <c r="E1101" s="329">
        <f t="shared" si="65"/>
        <v>39.383333333333333</v>
      </c>
      <c r="F1101" s="329">
        <v>12.3</v>
      </c>
      <c r="G1101" s="329">
        <f t="shared" si="66"/>
        <v>12.050000000000002</v>
      </c>
      <c r="H1101" s="329">
        <v>11.6</v>
      </c>
      <c r="I1101" s="329">
        <f t="shared" si="67"/>
        <v>11.399999999999999</v>
      </c>
      <c r="L1101" s="331">
        <v>40637</v>
      </c>
      <c r="M1101" s="329">
        <v>31.349999999999998</v>
      </c>
      <c r="N1101" s="329">
        <v>39.383333333333333</v>
      </c>
      <c r="O1101" s="329">
        <v>12.050000000000002</v>
      </c>
      <c r="P1101" s="329">
        <v>11.399999999999999</v>
      </c>
    </row>
    <row r="1102" spans="1:16">
      <c r="A1102" s="331">
        <v>40637</v>
      </c>
      <c r="B1102" s="329">
        <v>31.4</v>
      </c>
      <c r="C1102" s="329">
        <f t="shared" si="68"/>
        <v>31.349999999999998</v>
      </c>
      <c r="D1102" s="329">
        <v>39.5</v>
      </c>
      <c r="E1102" s="329">
        <f t="shared" si="65"/>
        <v>39.383333333333333</v>
      </c>
      <c r="F1102" s="329">
        <v>12</v>
      </c>
      <c r="G1102" s="329">
        <f t="shared" si="66"/>
        <v>12.050000000000002</v>
      </c>
      <c r="H1102" s="329">
        <v>11.5</v>
      </c>
      <c r="I1102" s="329">
        <f t="shared" si="67"/>
        <v>11.399999999999999</v>
      </c>
      <c r="L1102" s="331">
        <v>40637</v>
      </c>
      <c r="M1102" s="329">
        <v>31.349999999999998</v>
      </c>
      <c r="N1102" s="329">
        <v>39.383333333333333</v>
      </c>
      <c r="O1102" s="329">
        <v>12.050000000000002</v>
      </c>
      <c r="P1102" s="329">
        <v>11.399999999999999</v>
      </c>
    </row>
    <row r="1103" spans="1:16">
      <c r="A1103" s="331">
        <v>40637</v>
      </c>
      <c r="B1103" s="329">
        <v>31.4</v>
      </c>
      <c r="C1103" s="329">
        <f t="shared" si="68"/>
        <v>31.349999999999998</v>
      </c>
      <c r="D1103" s="329">
        <v>39.5</v>
      </c>
      <c r="E1103" s="329">
        <f t="shared" si="65"/>
        <v>39.383333333333333</v>
      </c>
      <c r="F1103" s="329">
        <v>11.7</v>
      </c>
      <c r="G1103" s="329">
        <f t="shared" si="66"/>
        <v>12.050000000000002</v>
      </c>
      <c r="H1103" s="329">
        <v>11.4</v>
      </c>
      <c r="I1103" s="329">
        <f t="shared" si="67"/>
        <v>11.399999999999999</v>
      </c>
      <c r="L1103" s="331">
        <v>40637</v>
      </c>
      <c r="M1103" s="329">
        <v>31.349999999999998</v>
      </c>
      <c r="N1103" s="329">
        <v>39.383333333333333</v>
      </c>
      <c r="O1103" s="329">
        <v>12.050000000000002</v>
      </c>
      <c r="P1103" s="329">
        <v>11.399999999999999</v>
      </c>
    </row>
    <row r="1104" spans="1:16">
      <c r="A1104" s="331">
        <v>40637</v>
      </c>
      <c r="B1104" s="329">
        <v>31.4</v>
      </c>
      <c r="C1104" s="329">
        <f t="shared" si="68"/>
        <v>31.349999999999998</v>
      </c>
      <c r="D1104" s="329">
        <v>39.4</v>
      </c>
      <c r="E1104" s="329">
        <f t="shared" si="65"/>
        <v>39.383333333333333</v>
      </c>
      <c r="F1104" s="329">
        <v>11.7</v>
      </c>
      <c r="G1104" s="329">
        <f t="shared" si="66"/>
        <v>12.050000000000002</v>
      </c>
      <c r="H1104" s="329">
        <v>11.3</v>
      </c>
      <c r="I1104" s="329">
        <f t="shared" si="67"/>
        <v>11.399999999999999</v>
      </c>
      <c r="L1104" s="331">
        <v>40637</v>
      </c>
      <c r="M1104" s="329">
        <v>31.349999999999998</v>
      </c>
      <c r="N1104" s="329">
        <v>39.383333333333333</v>
      </c>
      <c r="O1104" s="329">
        <v>12.050000000000002</v>
      </c>
      <c r="P1104" s="329">
        <v>11.399999999999999</v>
      </c>
    </row>
    <row r="1105" spans="1:16">
      <c r="A1105" s="331">
        <v>40637</v>
      </c>
      <c r="B1105" s="329">
        <v>31.3</v>
      </c>
      <c r="C1105" s="329">
        <f t="shared" si="68"/>
        <v>31.349999999999998</v>
      </c>
      <c r="D1105" s="329">
        <v>39.299999999999997</v>
      </c>
      <c r="E1105" s="329">
        <f t="shared" si="65"/>
        <v>39.383333333333333</v>
      </c>
      <c r="F1105" s="329">
        <v>12.2</v>
      </c>
      <c r="G1105" s="329">
        <f t="shared" si="66"/>
        <v>12.050000000000002</v>
      </c>
      <c r="H1105" s="329">
        <v>11.3</v>
      </c>
      <c r="I1105" s="329">
        <f t="shared" si="67"/>
        <v>11.399999999999999</v>
      </c>
      <c r="L1105" s="331">
        <v>40637</v>
      </c>
      <c r="M1105" s="329">
        <v>31.349999999999998</v>
      </c>
      <c r="N1105" s="329">
        <v>39.383333333333333</v>
      </c>
      <c r="O1105" s="329">
        <v>12.050000000000002</v>
      </c>
      <c r="P1105" s="329">
        <v>11.399999999999999</v>
      </c>
    </row>
    <row r="1106" spans="1:16">
      <c r="A1106" s="331">
        <v>40637</v>
      </c>
      <c r="B1106" s="329">
        <v>31.2</v>
      </c>
      <c r="C1106" s="329">
        <f t="shared" si="68"/>
        <v>31.349999999999998</v>
      </c>
      <c r="D1106" s="329">
        <v>39.1</v>
      </c>
      <c r="E1106" s="329">
        <f t="shared" si="65"/>
        <v>39.383333333333333</v>
      </c>
      <c r="F1106" s="329">
        <v>12.4</v>
      </c>
      <c r="G1106" s="329">
        <f t="shared" si="66"/>
        <v>12.050000000000002</v>
      </c>
      <c r="H1106" s="329">
        <v>11.3</v>
      </c>
      <c r="I1106" s="329">
        <f t="shared" si="67"/>
        <v>11.399999999999999</v>
      </c>
      <c r="L1106" s="331">
        <v>40637</v>
      </c>
      <c r="M1106" s="329">
        <v>31.349999999999998</v>
      </c>
      <c r="N1106" s="329">
        <v>39.383333333333333</v>
      </c>
      <c r="O1106" s="329">
        <v>12.050000000000002</v>
      </c>
      <c r="P1106" s="329">
        <v>11.399999999999999</v>
      </c>
    </row>
    <row r="1107" spans="1:16">
      <c r="A1107" s="331">
        <v>40638</v>
      </c>
      <c r="B1107" s="329">
        <v>31.1</v>
      </c>
      <c r="C1107" s="329">
        <f t="shared" si="68"/>
        <v>31.000000000000004</v>
      </c>
      <c r="D1107" s="329">
        <v>39.1</v>
      </c>
      <c r="E1107" s="329">
        <f t="shared" si="65"/>
        <v>38.983333333333334</v>
      </c>
      <c r="F1107" s="329">
        <v>11.7</v>
      </c>
      <c r="G1107" s="329">
        <f t="shared" si="66"/>
        <v>11.016666666666666</v>
      </c>
      <c r="H1107" s="329">
        <v>11.4</v>
      </c>
      <c r="I1107" s="329">
        <f t="shared" si="67"/>
        <v>10.9</v>
      </c>
      <c r="L1107" s="331">
        <v>40638</v>
      </c>
      <c r="M1107" s="329">
        <v>31.000000000000004</v>
      </c>
      <c r="N1107" s="329">
        <v>38.983333333333334</v>
      </c>
      <c r="O1107" s="329">
        <v>11.016666666666666</v>
      </c>
      <c r="P1107" s="329">
        <v>10.9</v>
      </c>
    </row>
    <row r="1108" spans="1:16">
      <c r="A1108" s="331">
        <v>40638</v>
      </c>
      <c r="B1108" s="329">
        <v>31.1</v>
      </c>
      <c r="C1108" s="329">
        <f t="shared" si="68"/>
        <v>31.000000000000004</v>
      </c>
      <c r="D1108" s="329">
        <v>39.200000000000003</v>
      </c>
      <c r="E1108" s="329">
        <f t="shared" si="65"/>
        <v>38.983333333333334</v>
      </c>
      <c r="F1108" s="329">
        <v>10.8</v>
      </c>
      <c r="G1108" s="329">
        <f t="shared" si="66"/>
        <v>11.016666666666666</v>
      </c>
      <c r="H1108" s="329">
        <v>11.2</v>
      </c>
      <c r="I1108" s="329">
        <f t="shared" si="67"/>
        <v>10.9</v>
      </c>
      <c r="L1108" s="331">
        <v>40638</v>
      </c>
      <c r="M1108" s="329">
        <v>31.000000000000004</v>
      </c>
      <c r="N1108" s="329">
        <v>38.983333333333334</v>
      </c>
      <c r="O1108" s="329">
        <v>11.016666666666666</v>
      </c>
      <c r="P1108" s="329">
        <v>10.9</v>
      </c>
    </row>
    <row r="1109" spans="1:16">
      <c r="A1109" s="331">
        <v>40638</v>
      </c>
      <c r="B1109" s="329">
        <v>31.1</v>
      </c>
      <c r="C1109" s="329">
        <f t="shared" si="68"/>
        <v>31.000000000000004</v>
      </c>
      <c r="D1109" s="329">
        <v>39.1</v>
      </c>
      <c r="E1109" s="329">
        <f t="shared" si="65"/>
        <v>38.983333333333334</v>
      </c>
      <c r="F1109" s="329">
        <v>10</v>
      </c>
      <c r="G1109" s="329">
        <f t="shared" si="66"/>
        <v>11.016666666666666</v>
      </c>
      <c r="H1109" s="329">
        <v>10.9</v>
      </c>
      <c r="I1109" s="329">
        <f t="shared" si="67"/>
        <v>10.9</v>
      </c>
      <c r="L1109" s="331">
        <v>40638</v>
      </c>
      <c r="M1109" s="329">
        <v>31.000000000000004</v>
      </c>
      <c r="N1109" s="329">
        <v>38.983333333333334</v>
      </c>
      <c r="O1109" s="329">
        <v>11.016666666666666</v>
      </c>
      <c r="P1109" s="329">
        <v>10.9</v>
      </c>
    </row>
    <row r="1110" spans="1:16">
      <c r="A1110" s="331">
        <v>40638</v>
      </c>
      <c r="B1110" s="329">
        <v>31</v>
      </c>
      <c r="C1110" s="329">
        <f t="shared" si="68"/>
        <v>31.000000000000004</v>
      </c>
      <c r="D1110" s="329">
        <v>39.1</v>
      </c>
      <c r="E1110" s="329">
        <f t="shared" si="65"/>
        <v>38.983333333333334</v>
      </c>
      <c r="F1110" s="329">
        <v>10.199999999999999</v>
      </c>
      <c r="G1110" s="329">
        <f t="shared" si="66"/>
        <v>11.016666666666666</v>
      </c>
      <c r="H1110" s="329">
        <v>10.6</v>
      </c>
      <c r="I1110" s="329">
        <f t="shared" si="67"/>
        <v>10.9</v>
      </c>
      <c r="L1110" s="331">
        <v>40638</v>
      </c>
      <c r="M1110" s="329">
        <v>31.000000000000004</v>
      </c>
      <c r="N1110" s="329">
        <v>38.983333333333334</v>
      </c>
      <c r="O1110" s="329">
        <v>11.016666666666666</v>
      </c>
      <c r="P1110" s="329">
        <v>10.9</v>
      </c>
    </row>
    <row r="1111" spans="1:16">
      <c r="A1111" s="331">
        <v>40638</v>
      </c>
      <c r="B1111" s="329">
        <v>30.9</v>
      </c>
      <c r="C1111" s="329">
        <f t="shared" si="68"/>
        <v>31.000000000000004</v>
      </c>
      <c r="D1111" s="329">
        <v>38.799999999999997</v>
      </c>
      <c r="E1111" s="329">
        <f t="shared" si="65"/>
        <v>38.983333333333334</v>
      </c>
      <c r="F1111" s="329">
        <v>11.4</v>
      </c>
      <c r="G1111" s="329">
        <f t="shared" si="66"/>
        <v>11.016666666666666</v>
      </c>
      <c r="H1111" s="329">
        <v>10.6</v>
      </c>
      <c r="I1111" s="329">
        <f t="shared" si="67"/>
        <v>10.9</v>
      </c>
      <c r="L1111" s="331">
        <v>40638</v>
      </c>
      <c r="M1111" s="329">
        <v>31.000000000000004</v>
      </c>
      <c r="N1111" s="329">
        <v>38.983333333333334</v>
      </c>
      <c r="O1111" s="329">
        <v>11.016666666666666</v>
      </c>
      <c r="P1111" s="329">
        <v>10.9</v>
      </c>
    </row>
    <row r="1112" spans="1:16">
      <c r="A1112" s="331">
        <v>40638</v>
      </c>
      <c r="B1112" s="329">
        <v>30.8</v>
      </c>
      <c r="C1112" s="329">
        <f t="shared" si="68"/>
        <v>31.000000000000004</v>
      </c>
      <c r="D1112" s="329">
        <v>38.6</v>
      </c>
      <c r="E1112" s="329">
        <f t="shared" si="65"/>
        <v>38.983333333333334</v>
      </c>
      <c r="F1112" s="329">
        <v>12</v>
      </c>
      <c r="G1112" s="329">
        <f t="shared" si="66"/>
        <v>11.016666666666666</v>
      </c>
      <c r="H1112" s="329">
        <v>10.7</v>
      </c>
      <c r="I1112" s="329">
        <f t="shared" si="67"/>
        <v>10.9</v>
      </c>
      <c r="L1112" s="331">
        <v>40638</v>
      </c>
      <c r="M1112" s="329">
        <v>31.000000000000004</v>
      </c>
      <c r="N1112" s="329">
        <v>38.983333333333334</v>
      </c>
      <c r="O1112" s="329">
        <v>11.016666666666666</v>
      </c>
      <c r="P1112" s="329">
        <v>10.9</v>
      </c>
    </row>
    <row r="1113" spans="1:16">
      <c r="A1113" s="331">
        <v>40639</v>
      </c>
      <c r="B1113" s="329">
        <v>30.8</v>
      </c>
      <c r="C1113" s="329">
        <f t="shared" si="68"/>
        <v>30.600000000000005</v>
      </c>
      <c r="D1113" s="329">
        <v>38.6</v>
      </c>
      <c r="E1113" s="329">
        <f t="shared" si="65"/>
        <v>38.433333333333337</v>
      </c>
      <c r="F1113" s="329">
        <v>11.3</v>
      </c>
      <c r="G1113" s="329">
        <f t="shared" si="66"/>
        <v>11.166666666666666</v>
      </c>
      <c r="H1113" s="329">
        <v>10.9</v>
      </c>
      <c r="I1113" s="329">
        <f t="shared" si="67"/>
        <v>10.666666666666666</v>
      </c>
      <c r="L1113" s="331">
        <v>40639</v>
      </c>
      <c r="M1113" s="329">
        <v>30.600000000000005</v>
      </c>
      <c r="N1113" s="329">
        <v>38.433333333333337</v>
      </c>
      <c r="O1113" s="329">
        <v>11.166666666666666</v>
      </c>
      <c r="P1113" s="329">
        <v>10.666666666666666</v>
      </c>
    </row>
    <row r="1114" spans="1:16">
      <c r="A1114" s="331">
        <v>40639</v>
      </c>
      <c r="B1114" s="329">
        <v>30.7</v>
      </c>
      <c r="C1114" s="329">
        <f t="shared" si="68"/>
        <v>30.600000000000005</v>
      </c>
      <c r="D1114" s="329">
        <v>38.6</v>
      </c>
      <c r="E1114" s="329">
        <f t="shared" si="65"/>
        <v>38.433333333333337</v>
      </c>
      <c r="F1114" s="329">
        <v>10.4</v>
      </c>
      <c r="G1114" s="329">
        <f t="shared" si="66"/>
        <v>11.166666666666666</v>
      </c>
      <c r="H1114" s="329">
        <v>10.8</v>
      </c>
      <c r="I1114" s="329">
        <f t="shared" si="67"/>
        <v>10.666666666666666</v>
      </c>
      <c r="L1114" s="331">
        <v>40639</v>
      </c>
      <c r="M1114" s="329">
        <v>30.600000000000005</v>
      </c>
      <c r="N1114" s="329">
        <v>38.433333333333337</v>
      </c>
      <c r="O1114" s="329">
        <v>11.166666666666666</v>
      </c>
      <c r="P1114" s="329">
        <v>10.666666666666666</v>
      </c>
    </row>
    <row r="1115" spans="1:16">
      <c r="A1115" s="331">
        <v>40639</v>
      </c>
      <c r="B1115" s="329">
        <v>30.7</v>
      </c>
      <c r="C1115" s="329">
        <f t="shared" si="68"/>
        <v>30.600000000000005</v>
      </c>
      <c r="D1115" s="329">
        <v>38.6</v>
      </c>
      <c r="E1115" s="329">
        <f t="shared" si="65"/>
        <v>38.433333333333337</v>
      </c>
      <c r="F1115" s="329">
        <v>10</v>
      </c>
      <c r="G1115" s="329">
        <f t="shared" si="66"/>
        <v>11.166666666666666</v>
      </c>
      <c r="H1115" s="329">
        <v>10.6</v>
      </c>
      <c r="I1115" s="329">
        <f t="shared" si="67"/>
        <v>10.666666666666666</v>
      </c>
      <c r="L1115" s="331">
        <v>40639</v>
      </c>
      <c r="M1115" s="329">
        <v>30.600000000000005</v>
      </c>
      <c r="N1115" s="329">
        <v>38.433333333333337</v>
      </c>
      <c r="O1115" s="329">
        <v>11.166666666666666</v>
      </c>
      <c r="P1115" s="329">
        <v>10.666666666666666</v>
      </c>
    </row>
    <row r="1116" spans="1:16">
      <c r="A1116" s="331">
        <v>40639</v>
      </c>
      <c r="B1116" s="329">
        <v>30.6</v>
      </c>
      <c r="C1116" s="329">
        <f t="shared" si="68"/>
        <v>30.600000000000005</v>
      </c>
      <c r="D1116" s="329">
        <v>38.5</v>
      </c>
      <c r="E1116" s="329">
        <f t="shared" si="65"/>
        <v>38.433333333333337</v>
      </c>
      <c r="F1116" s="329">
        <v>10.4</v>
      </c>
      <c r="G1116" s="329">
        <f t="shared" si="66"/>
        <v>11.166666666666666</v>
      </c>
      <c r="H1116" s="329">
        <v>10.4</v>
      </c>
      <c r="I1116" s="329">
        <f t="shared" si="67"/>
        <v>10.666666666666666</v>
      </c>
      <c r="L1116" s="331">
        <v>40639</v>
      </c>
      <c r="M1116" s="329">
        <v>30.600000000000005</v>
      </c>
      <c r="N1116" s="329">
        <v>38.433333333333337</v>
      </c>
      <c r="O1116" s="329">
        <v>11.166666666666666</v>
      </c>
      <c r="P1116" s="329">
        <v>10.666666666666666</v>
      </c>
    </row>
    <row r="1117" spans="1:16">
      <c r="A1117" s="331">
        <v>40639</v>
      </c>
      <c r="B1117" s="329">
        <v>30.5</v>
      </c>
      <c r="C1117" s="329">
        <f t="shared" si="68"/>
        <v>30.600000000000005</v>
      </c>
      <c r="D1117" s="329">
        <v>38.299999999999997</v>
      </c>
      <c r="E1117" s="329">
        <f t="shared" si="65"/>
        <v>38.433333333333337</v>
      </c>
      <c r="F1117" s="329">
        <v>12.1</v>
      </c>
      <c r="G1117" s="329">
        <f t="shared" si="66"/>
        <v>11.166666666666666</v>
      </c>
      <c r="H1117" s="329">
        <v>10.5</v>
      </c>
      <c r="I1117" s="329">
        <f t="shared" si="67"/>
        <v>10.666666666666666</v>
      </c>
      <c r="L1117" s="331">
        <v>40639</v>
      </c>
      <c r="M1117" s="329">
        <v>30.600000000000005</v>
      </c>
      <c r="N1117" s="329">
        <v>38.433333333333337</v>
      </c>
      <c r="O1117" s="329">
        <v>11.166666666666666</v>
      </c>
      <c r="P1117" s="329">
        <v>10.666666666666666</v>
      </c>
    </row>
    <row r="1118" spans="1:16">
      <c r="A1118" s="331">
        <v>40639</v>
      </c>
      <c r="B1118" s="329">
        <v>30.3</v>
      </c>
      <c r="C1118" s="329">
        <f t="shared" si="68"/>
        <v>30.600000000000005</v>
      </c>
      <c r="D1118" s="329">
        <v>38</v>
      </c>
      <c r="E1118" s="329">
        <f t="shared" si="65"/>
        <v>38.433333333333337</v>
      </c>
      <c r="F1118" s="329">
        <v>12.8</v>
      </c>
      <c r="G1118" s="329">
        <f t="shared" si="66"/>
        <v>11.166666666666666</v>
      </c>
      <c r="H1118" s="329">
        <v>10.8</v>
      </c>
      <c r="I1118" s="329">
        <f t="shared" si="67"/>
        <v>10.666666666666666</v>
      </c>
      <c r="L1118" s="331">
        <v>40639</v>
      </c>
      <c r="M1118" s="329">
        <v>30.600000000000005</v>
      </c>
      <c r="N1118" s="329">
        <v>38.433333333333337</v>
      </c>
      <c r="O1118" s="329">
        <v>11.166666666666666</v>
      </c>
      <c r="P1118" s="329">
        <v>10.666666666666666</v>
      </c>
    </row>
    <row r="1119" spans="1:16">
      <c r="A1119" s="331">
        <v>40640</v>
      </c>
      <c r="B1119" s="329">
        <v>30.3</v>
      </c>
      <c r="C1119" s="329">
        <f t="shared" si="68"/>
        <v>30.100000000000005</v>
      </c>
      <c r="D1119" s="329">
        <v>37.9</v>
      </c>
      <c r="E1119" s="329">
        <f t="shared" si="65"/>
        <v>37.699999999999996</v>
      </c>
      <c r="F1119" s="329">
        <v>12.3</v>
      </c>
      <c r="G1119" s="329">
        <f t="shared" si="66"/>
        <v>12.41666666666667</v>
      </c>
      <c r="H1119" s="329">
        <v>11.1</v>
      </c>
      <c r="I1119" s="329">
        <f t="shared" si="67"/>
        <v>11.233333333333333</v>
      </c>
      <c r="L1119" s="331">
        <v>40640</v>
      </c>
      <c r="M1119" s="329">
        <v>30.100000000000005</v>
      </c>
      <c r="N1119" s="329">
        <v>37.699999999999996</v>
      </c>
      <c r="O1119" s="329">
        <v>12.41666666666667</v>
      </c>
      <c r="P1119" s="329">
        <v>11.233333333333333</v>
      </c>
    </row>
    <row r="1120" spans="1:16">
      <c r="A1120" s="331">
        <v>40640</v>
      </c>
      <c r="B1120" s="329">
        <v>30.3</v>
      </c>
      <c r="C1120" s="329">
        <f t="shared" si="68"/>
        <v>30.100000000000005</v>
      </c>
      <c r="D1120" s="329">
        <v>37.9</v>
      </c>
      <c r="E1120" s="329">
        <f t="shared" si="65"/>
        <v>37.699999999999996</v>
      </c>
      <c r="F1120" s="329">
        <v>11.9</v>
      </c>
      <c r="G1120" s="329">
        <f t="shared" si="66"/>
        <v>12.41666666666667</v>
      </c>
      <c r="H1120" s="329">
        <v>11.2</v>
      </c>
      <c r="I1120" s="329">
        <f t="shared" si="67"/>
        <v>11.233333333333333</v>
      </c>
      <c r="L1120" s="331">
        <v>40640</v>
      </c>
      <c r="M1120" s="329">
        <v>30.100000000000005</v>
      </c>
      <c r="N1120" s="329">
        <v>37.699999999999996</v>
      </c>
      <c r="O1120" s="329">
        <v>12.41666666666667</v>
      </c>
      <c r="P1120" s="329">
        <v>11.233333333333333</v>
      </c>
    </row>
    <row r="1121" spans="1:16">
      <c r="A1121" s="331">
        <v>40640</v>
      </c>
      <c r="B1121" s="329">
        <v>30.2</v>
      </c>
      <c r="C1121" s="329">
        <f t="shared" si="68"/>
        <v>30.100000000000005</v>
      </c>
      <c r="D1121" s="329">
        <v>37.9</v>
      </c>
      <c r="E1121" s="329">
        <f t="shared" si="65"/>
        <v>37.699999999999996</v>
      </c>
      <c r="F1121" s="329">
        <v>11.4</v>
      </c>
      <c r="G1121" s="329">
        <f t="shared" si="66"/>
        <v>12.41666666666667</v>
      </c>
      <c r="H1121" s="329">
        <v>11.2</v>
      </c>
      <c r="I1121" s="329">
        <f t="shared" si="67"/>
        <v>11.233333333333333</v>
      </c>
      <c r="L1121" s="331">
        <v>40640</v>
      </c>
      <c r="M1121" s="329">
        <v>30.100000000000005</v>
      </c>
      <c r="N1121" s="329">
        <v>37.699999999999996</v>
      </c>
      <c r="O1121" s="329">
        <v>12.41666666666667</v>
      </c>
      <c r="P1121" s="329">
        <v>11.233333333333333</v>
      </c>
    </row>
    <row r="1122" spans="1:16">
      <c r="A1122" s="331">
        <v>40640</v>
      </c>
      <c r="B1122" s="329">
        <v>30.1</v>
      </c>
      <c r="C1122" s="329">
        <f t="shared" si="68"/>
        <v>30.100000000000005</v>
      </c>
      <c r="D1122" s="329">
        <v>37.799999999999997</v>
      </c>
      <c r="E1122" s="329">
        <f t="shared" ref="E1122:E1185" si="69">AVERAGEIFS($D$33:$D$1494,$A$33:$A$1494,A1122)</f>
        <v>37.699999999999996</v>
      </c>
      <c r="F1122" s="329">
        <v>11.8</v>
      </c>
      <c r="G1122" s="329">
        <f t="shared" ref="G1122:G1185" si="70">AVERAGEIFS($F$33:$F$1494,$A$33:$A$1494,A1122)</f>
        <v>12.41666666666667</v>
      </c>
      <c r="H1122" s="329">
        <v>11.1</v>
      </c>
      <c r="I1122" s="329">
        <f t="shared" ref="I1122:I1185" si="71">AVERAGEIFS($H$33:$H$1494,$A$33:$A$1494,A1122)</f>
        <v>11.233333333333333</v>
      </c>
      <c r="L1122" s="331">
        <v>40640</v>
      </c>
      <c r="M1122" s="329">
        <v>30.100000000000005</v>
      </c>
      <c r="N1122" s="329">
        <v>37.699999999999996</v>
      </c>
      <c r="O1122" s="329">
        <v>12.41666666666667</v>
      </c>
      <c r="P1122" s="329">
        <v>11.233333333333333</v>
      </c>
    </row>
    <row r="1123" spans="1:16">
      <c r="A1123" s="331">
        <v>40640</v>
      </c>
      <c r="B1123" s="329">
        <v>29.9</v>
      </c>
      <c r="C1123" s="329">
        <f t="shared" si="68"/>
        <v>30.100000000000005</v>
      </c>
      <c r="D1123" s="329">
        <v>37.5</v>
      </c>
      <c r="E1123" s="329">
        <f t="shared" si="69"/>
        <v>37.699999999999996</v>
      </c>
      <c r="F1123" s="329">
        <v>13.2</v>
      </c>
      <c r="G1123" s="329">
        <f t="shared" si="70"/>
        <v>12.41666666666667</v>
      </c>
      <c r="H1123" s="329">
        <v>11.2</v>
      </c>
      <c r="I1123" s="329">
        <f t="shared" si="71"/>
        <v>11.233333333333333</v>
      </c>
      <c r="L1123" s="331">
        <v>40640</v>
      </c>
      <c r="M1123" s="329">
        <v>30.100000000000005</v>
      </c>
      <c r="N1123" s="329">
        <v>37.699999999999996</v>
      </c>
      <c r="O1123" s="329">
        <v>12.41666666666667</v>
      </c>
      <c r="P1123" s="329">
        <v>11.233333333333333</v>
      </c>
    </row>
    <row r="1124" spans="1:16">
      <c r="A1124" s="331">
        <v>40640</v>
      </c>
      <c r="B1124" s="329">
        <v>29.8</v>
      </c>
      <c r="C1124" s="329">
        <f t="shared" si="68"/>
        <v>30.100000000000005</v>
      </c>
      <c r="D1124" s="329">
        <v>37.200000000000003</v>
      </c>
      <c r="E1124" s="329">
        <f t="shared" si="69"/>
        <v>37.699999999999996</v>
      </c>
      <c r="F1124" s="329">
        <v>13.9</v>
      </c>
      <c r="G1124" s="329">
        <f t="shared" si="70"/>
        <v>12.41666666666667</v>
      </c>
      <c r="H1124" s="329">
        <v>11.6</v>
      </c>
      <c r="I1124" s="329">
        <f t="shared" si="71"/>
        <v>11.233333333333333</v>
      </c>
      <c r="L1124" s="331">
        <v>40640</v>
      </c>
      <c r="M1124" s="329">
        <v>30.100000000000005</v>
      </c>
      <c r="N1124" s="329">
        <v>37.699999999999996</v>
      </c>
      <c r="O1124" s="329">
        <v>12.41666666666667</v>
      </c>
      <c r="P1124" s="329">
        <v>11.233333333333333</v>
      </c>
    </row>
    <row r="1125" spans="1:16">
      <c r="A1125" s="331">
        <v>40641</v>
      </c>
      <c r="B1125" s="329">
        <v>29.8</v>
      </c>
      <c r="C1125" s="329">
        <f t="shared" si="68"/>
        <v>29.600000000000005</v>
      </c>
      <c r="D1125" s="329">
        <v>37.200000000000003</v>
      </c>
      <c r="E1125" s="329">
        <f t="shared" si="69"/>
        <v>37.000000000000007</v>
      </c>
      <c r="F1125" s="329">
        <v>13.3</v>
      </c>
      <c r="G1125" s="329">
        <f t="shared" si="70"/>
        <v>13.333333333333334</v>
      </c>
      <c r="H1125" s="329">
        <v>11.9</v>
      </c>
      <c r="I1125" s="329">
        <f t="shared" si="71"/>
        <v>11.966666666666667</v>
      </c>
      <c r="L1125" s="331">
        <v>40641</v>
      </c>
      <c r="M1125" s="329">
        <v>29.600000000000005</v>
      </c>
      <c r="N1125" s="329">
        <v>37.000000000000007</v>
      </c>
      <c r="O1125" s="329">
        <v>13.333333333333334</v>
      </c>
      <c r="P1125" s="329">
        <v>11.966666666666667</v>
      </c>
    </row>
    <row r="1126" spans="1:16">
      <c r="A1126" s="331">
        <v>40641</v>
      </c>
      <c r="B1126" s="329">
        <v>29.8</v>
      </c>
      <c r="C1126" s="329">
        <f t="shared" si="68"/>
        <v>29.600000000000005</v>
      </c>
      <c r="D1126" s="329">
        <v>37.200000000000003</v>
      </c>
      <c r="E1126" s="329">
        <f t="shared" si="69"/>
        <v>37.000000000000007</v>
      </c>
      <c r="F1126" s="329">
        <v>12.8</v>
      </c>
      <c r="G1126" s="329">
        <f t="shared" si="70"/>
        <v>13.333333333333334</v>
      </c>
      <c r="H1126" s="329">
        <v>12</v>
      </c>
      <c r="I1126" s="329">
        <f t="shared" si="71"/>
        <v>11.966666666666667</v>
      </c>
      <c r="L1126" s="331">
        <v>40641</v>
      </c>
      <c r="M1126" s="329">
        <v>29.600000000000005</v>
      </c>
      <c r="N1126" s="329">
        <v>37.000000000000007</v>
      </c>
      <c r="O1126" s="329">
        <v>13.333333333333334</v>
      </c>
      <c r="P1126" s="329">
        <v>11.966666666666667</v>
      </c>
    </row>
    <row r="1127" spans="1:16">
      <c r="A1127" s="331">
        <v>40641</v>
      </c>
      <c r="B1127" s="329">
        <v>29.7</v>
      </c>
      <c r="C1127" s="329">
        <f t="shared" si="68"/>
        <v>29.600000000000005</v>
      </c>
      <c r="D1127" s="329">
        <v>37.299999999999997</v>
      </c>
      <c r="E1127" s="329">
        <f t="shared" si="69"/>
        <v>37.000000000000007</v>
      </c>
      <c r="F1127" s="329">
        <v>12.3</v>
      </c>
      <c r="G1127" s="329">
        <f t="shared" si="70"/>
        <v>13.333333333333334</v>
      </c>
      <c r="H1127" s="329">
        <v>11.9</v>
      </c>
      <c r="I1127" s="329">
        <f t="shared" si="71"/>
        <v>11.966666666666667</v>
      </c>
      <c r="L1127" s="331">
        <v>40641</v>
      </c>
      <c r="M1127" s="329">
        <v>29.600000000000005</v>
      </c>
      <c r="N1127" s="329">
        <v>37.000000000000007</v>
      </c>
      <c r="O1127" s="329">
        <v>13.333333333333334</v>
      </c>
      <c r="P1127" s="329">
        <v>11.966666666666667</v>
      </c>
    </row>
    <row r="1128" spans="1:16">
      <c r="A1128" s="331">
        <v>40641</v>
      </c>
      <c r="B1128" s="329">
        <v>29.6</v>
      </c>
      <c r="C1128" s="329">
        <f t="shared" ref="C1128:C1191" si="72">AVERAGEIFS($B$33:$B$1494,$A$33:$A$1494,A1128)</f>
        <v>29.600000000000005</v>
      </c>
      <c r="D1128" s="329">
        <v>37.1</v>
      </c>
      <c r="E1128" s="329">
        <f t="shared" si="69"/>
        <v>37.000000000000007</v>
      </c>
      <c r="F1128" s="329">
        <v>12.7</v>
      </c>
      <c r="G1128" s="329">
        <f t="shared" si="70"/>
        <v>13.333333333333334</v>
      </c>
      <c r="H1128" s="329">
        <v>11.8</v>
      </c>
      <c r="I1128" s="329">
        <f t="shared" si="71"/>
        <v>11.966666666666667</v>
      </c>
      <c r="L1128" s="331">
        <v>40641</v>
      </c>
      <c r="M1128" s="329">
        <v>29.600000000000005</v>
      </c>
      <c r="N1128" s="329">
        <v>37.000000000000007</v>
      </c>
      <c r="O1128" s="329">
        <v>13.333333333333334</v>
      </c>
      <c r="P1128" s="329">
        <v>11.966666666666667</v>
      </c>
    </row>
    <row r="1129" spans="1:16">
      <c r="A1129" s="331">
        <v>40641</v>
      </c>
      <c r="B1129" s="329">
        <v>29.4</v>
      </c>
      <c r="C1129" s="329">
        <f t="shared" si="72"/>
        <v>29.600000000000005</v>
      </c>
      <c r="D1129" s="329">
        <v>36.799999999999997</v>
      </c>
      <c r="E1129" s="329">
        <f t="shared" si="69"/>
        <v>37.000000000000007</v>
      </c>
      <c r="F1129" s="329">
        <v>14.1</v>
      </c>
      <c r="G1129" s="329">
        <f t="shared" si="70"/>
        <v>13.333333333333334</v>
      </c>
      <c r="H1129" s="329">
        <v>11.9</v>
      </c>
      <c r="I1129" s="329">
        <f t="shared" si="71"/>
        <v>11.966666666666667</v>
      </c>
      <c r="L1129" s="331">
        <v>40641</v>
      </c>
      <c r="M1129" s="329">
        <v>29.600000000000005</v>
      </c>
      <c r="N1129" s="329">
        <v>37.000000000000007</v>
      </c>
      <c r="O1129" s="329">
        <v>13.333333333333334</v>
      </c>
      <c r="P1129" s="329">
        <v>11.966666666666667</v>
      </c>
    </row>
    <row r="1130" spans="1:16">
      <c r="A1130" s="331">
        <v>40641</v>
      </c>
      <c r="B1130" s="329">
        <v>29.3</v>
      </c>
      <c r="C1130" s="329">
        <f t="shared" si="72"/>
        <v>29.600000000000005</v>
      </c>
      <c r="D1130" s="329">
        <v>36.4</v>
      </c>
      <c r="E1130" s="329">
        <f t="shared" si="69"/>
        <v>37.000000000000007</v>
      </c>
      <c r="F1130" s="329">
        <v>14.8</v>
      </c>
      <c r="G1130" s="329">
        <f t="shared" si="70"/>
        <v>13.333333333333334</v>
      </c>
      <c r="H1130" s="329">
        <v>12.3</v>
      </c>
      <c r="I1130" s="329">
        <f t="shared" si="71"/>
        <v>11.966666666666667</v>
      </c>
      <c r="L1130" s="331">
        <v>40641</v>
      </c>
      <c r="M1130" s="329">
        <v>29.600000000000005</v>
      </c>
      <c r="N1130" s="329">
        <v>37.000000000000007</v>
      </c>
      <c r="O1130" s="329">
        <v>13.333333333333334</v>
      </c>
      <c r="P1130" s="329">
        <v>11.966666666666667</v>
      </c>
    </row>
    <row r="1131" spans="1:16">
      <c r="A1131" s="331">
        <v>40642</v>
      </c>
      <c r="B1131" s="329">
        <v>29.3</v>
      </c>
      <c r="C1131" s="329">
        <f t="shared" si="72"/>
        <v>29.033333333333335</v>
      </c>
      <c r="D1131" s="329">
        <v>36.4</v>
      </c>
      <c r="E1131" s="329">
        <f t="shared" si="69"/>
        <v>36.15</v>
      </c>
      <c r="F1131" s="329">
        <v>13.9</v>
      </c>
      <c r="G1131" s="329">
        <f t="shared" si="70"/>
        <v>13.566666666666665</v>
      </c>
      <c r="H1131" s="329">
        <v>12.5</v>
      </c>
      <c r="I1131" s="329">
        <f t="shared" si="71"/>
        <v>12.366666666666667</v>
      </c>
      <c r="L1131" s="331">
        <v>40642</v>
      </c>
      <c r="M1131" s="329">
        <v>29.033333333333335</v>
      </c>
      <c r="N1131" s="329">
        <v>36.15</v>
      </c>
      <c r="O1131" s="329">
        <v>13.566666666666665</v>
      </c>
      <c r="P1131" s="329">
        <v>12.366666666666667</v>
      </c>
    </row>
    <row r="1132" spans="1:16">
      <c r="A1132" s="331">
        <v>40642</v>
      </c>
      <c r="B1132" s="329">
        <v>29.4</v>
      </c>
      <c r="C1132" s="329">
        <f t="shared" si="72"/>
        <v>29.033333333333335</v>
      </c>
      <c r="D1132" s="329">
        <v>36.4</v>
      </c>
      <c r="E1132" s="329">
        <f t="shared" si="69"/>
        <v>36.15</v>
      </c>
      <c r="F1132" s="329">
        <v>13.2</v>
      </c>
      <c r="G1132" s="329">
        <f t="shared" si="70"/>
        <v>13.566666666666665</v>
      </c>
      <c r="H1132" s="329">
        <v>12.5</v>
      </c>
      <c r="I1132" s="329">
        <f t="shared" si="71"/>
        <v>12.366666666666667</v>
      </c>
      <c r="L1132" s="331">
        <v>40642</v>
      </c>
      <c r="M1132" s="329">
        <v>29.033333333333335</v>
      </c>
      <c r="N1132" s="329">
        <v>36.15</v>
      </c>
      <c r="O1132" s="329">
        <v>13.566666666666665</v>
      </c>
      <c r="P1132" s="329">
        <v>12.366666666666667</v>
      </c>
    </row>
    <row r="1133" spans="1:16">
      <c r="A1133" s="331">
        <v>40642</v>
      </c>
      <c r="B1133" s="329">
        <v>29.2</v>
      </c>
      <c r="C1133" s="329">
        <f t="shared" si="72"/>
        <v>29.033333333333335</v>
      </c>
      <c r="D1133" s="329">
        <v>36.4</v>
      </c>
      <c r="E1133" s="329">
        <f t="shared" si="69"/>
        <v>36.15</v>
      </c>
      <c r="F1133" s="329">
        <v>12.2</v>
      </c>
      <c r="G1133" s="329">
        <f t="shared" si="70"/>
        <v>13.566666666666665</v>
      </c>
      <c r="H1133" s="329">
        <v>12.4</v>
      </c>
      <c r="I1133" s="329">
        <f t="shared" si="71"/>
        <v>12.366666666666667</v>
      </c>
      <c r="L1133" s="331">
        <v>40642</v>
      </c>
      <c r="M1133" s="329">
        <v>29.033333333333335</v>
      </c>
      <c r="N1133" s="329">
        <v>36.15</v>
      </c>
      <c r="O1133" s="329">
        <v>13.566666666666665</v>
      </c>
      <c r="P1133" s="329">
        <v>12.366666666666667</v>
      </c>
    </row>
    <row r="1134" spans="1:16">
      <c r="A1134" s="331">
        <v>40642</v>
      </c>
      <c r="B1134" s="329">
        <v>29</v>
      </c>
      <c r="C1134" s="329">
        <f t="shared" si="72"/>
        <v>29.033333333333335</v>
      </c>
      <c r="D1134" s="329">
        <v>36.299999999999997</v>
      </c>
      <c r="E1134" s="329">
        <f t="shared" si="69"/>
        <v>36.15</v>
      </c>
      <c r="F1134" s="329">
        <v>12.7</v>
      </c>
      <c r="G1134" s="329">
        <f t="shared" si="70"/>
        <v>13.566666666666665</v>
      </c>
      <c r="H1134" s="329">
        <v>12.1</v>
      </c>
      <c r="I1134" s="329">
        <f t="shared" si="71"/>
        <v>12.366666666666667</v>
      </c>
      <c r="L1134" s="331">
        <v>40642</v>
      </c>
      <c r="M1134" s="329">
        <v>29.033333333333335</v>
      </c>
      <c r="N1134" s="329">
        <v>36.15</v>
      </c>
      <c r="O1134" s="329">
        <v>13.566666666666665</v>
      </c>
      <c r="P1134" s="329">
        <v>12.366666666666667</v>
      </c>
    </row>
    <row r="1135" spans="1:16">
      <c r="A1135" s="331">
        <v>40642</v>
      </c>
      <c r="B1135" s="329">
        <v>28.8</v>
      </c>
      <c r="C1135" s="329">
        <f t="shared" si="72"/>
        <v>29.033333333333335</v>
      </c>
      <c r="D1135" s="329">
        <v>35.9</v>
      </c>
      <c r="E1135" s="329">
        <f t="shared" si="69"/>
        <v>36.15</v>
      </c>
      <c r="F1135" s="329">
        <v>14.3</v>
      </c>
      <c r="G1135" s="329">
        <f t="shared" si="70"/>
        <v>13.566666666666665</v>
      </c>
      <c r="H1135" s="329">
        <v>12.2</v>
      </c>
      <c r="I1135" s="329">
        <f t="shared" si="71"/>
        <v>12.366666666666667</v>
      </c>
      <c r="L1135" s="331">
        <v>40642</v>
      </c>
      <c r="M1135" s="329">
        <v>29.033333333333335</v>
      </c>
      <c r="N1135" s="329">
        <v>36.15</v>
      </c>
      <c r="O1135" s="329">
        <v>13.566666666666665</v>
      </c>
      <c r="P1135" s="329">
        <v>12.366666666666667</v>
      </c>
    </row>
    <row r="1136" spans="1:16">
      <c r="A1136" s="331">
        <v>40642</v>
      </c>
      <c r="B1136" s="329">
        <v>28.5</v>
      </c>
      <c r="C1136" s="329">
        <f t="shared" si="72"/>
        <v>29.033333333333335</v>
      </c>
      <c r="D1136" s="329">
        <v>35.5</v>
      </c>
      <c r="E1136" s="329">
        <f t="shared" si="69"/>
        <v>36.15</v>
      </c>
      <c r="F1136" s="329">
        <v>15.1</v>
      </c>
      <c r="G1136" s="329">
        <f t="shared" si="70"/>
        <v>13.566666666666665</v>
      </c>
      <c r="H1136" s="329">
        <v>12.5</v>
      </c>
      <c r="I1136" s="329">
        <f t="shared" si="71"/>
        <v>12.366666666666667</v>
      </c>
      <c r="L1136" s="331">
        <v>40642</v>
      </c>
      <c r="M1136" s="329">
        <v>29.033333333333335</v>
      </c>
      <c r="N1136" s="329">
        <v>36.15</v>
      </c>
      <c r="O1136" s="329">
        <v>13.566666666666665</v>
      </c>
      <c r="P1136" s="329">
        <v>12.366666666666667</v>
      </c>
    </row>
    <row r="1137" spans="1:16">
      <c r="A1137" s="331">
        <v>40643</v>
      </c>
      <c r="B1137" s="329">
        <v>29</v>
      </c>
      <c r="C1137" s="329">
        <f t="shared" si="72"/>
        <v>28.816666666666663</v>
      </c>
      <c r="D1137" s="329">
        <v>35.5</v>
      </c>
      <c r="E1137" s="329">
        <f t="shared" si="69"/>
        <v>35.4</v>
      </c>
      <c r="F1137" s="329">
        <v>14.6</v>
      </c>
      <c r="G1137" s="329">
        <f t="shared" si="70"/>
        <v>13.883333333333333</v>
      </c>
      <c r="H1137" s="329">
        <v>12.9</v>
      </c>
      <c r="I1137" s="329">
        <f t="shared" si="71"/>
        <v>12.816666666666668</v>
      </c>
      <c r="L1137" s="331">
        <v>40643</v>
      </c>
      <c r="M1137" s="329">
        <v>28.816666666666663</v>
      </c>
      <c r="N1137" s="329">
        <v>35.4</v>
      </c>
      <c r="O1137" s="329">
        <v>13.883333333333333</v>
      </c>
      <c r="P1137" s="329">
        <v>12.816666666666668</v>
      </c>
    </row>
    <row r="1138" spans="1:16">
      <c r="A1138" s="331">
        <v>40643</v>
      </c>
      <c r="B1138" s="329">
        <v>28.9</v>
      </c>
      <c r="C1138" s="329">
        <f t="shared" si="72"/>
        <v>28.816666666666663</v>
      </c>
      <c r="D1138" s="329">
        <v>35.5</v>
      </c>
      <c r="E1138" s="329">
        <f t="shared" si="69"/>
        <v>35.4</v>
      </c>
      <c r="F1138" s="329">
        <v>14</v>
      </c>
      <c r="G1138" s="329">
        <f t="shared" si="70"/>
        <v>13.883333333333333</v>
      </c>
      <c r="H1138" s="329">
        <v>12.9</v>
      </c>
      <c r="I1138" s="329">
        <f t="shared" si="71"/>
        <v>12.816666666666668</v>
      </c>
      <c r="L1138" s="331">
        <v>40643</v>
      </c>
      <c r="M1138" s="329">
        <v>28.816666666666663</v>
      </c>
      <c r="N1138" s="329">
        <v>35.4</v>
      </c>
      <c r="O1138" s="329">
        <v>13.883333333333333</v>
      </c>
      <c r="P1138" s="329">
        <v>12.816666666666668</v>
      </c>
    </row>
    <row r="1139" spans="1:16">
      <c r="A1139" s="331">
        <v>40643</v>
      </c>
      <c r="B1139" s="329">
        <v>28.9</v>
      </c>
      <c r="C1139" s="329">
        <f t="shared" si="72"/>
        <v>28.816666666666663</v>
      </c>
      <c r="D1139" s="329">
        <v>35.5</v>
      </c>
      <c r="E1139" s="329">
        <f t="shared" si="69"/>
        <v>35.4</v>
      </c>
      <c r="F1139" s="329">
        <v>13.6</v>
      </c>
      <c r="G1139" s="329">
        <f t="shared" si="70"/>
        <v>13.883333333333333</v>
      </c>
      <c r="H1139" s="329">
        <v>12.8</v>
      </c>
      <c r="I1139" s="329">
        <f t="shared" si="71"/>
        <v>12.816666666666668</v>
      </c>
      <c r="L1139" s="331">
        <v>40643</v>
      </c>
      <c r="M1139" s="329">
        <v>28.816666666666663</v>
      </c>
      <c r="N1139" s="329">
        <v>35.4</v>
      </c>
      <c r="O1139" s="329">
        <v>13.883333333333333</v>
      </c>
      <c r="P1139" s="329">
        <v>12.816666666666668</v>
      </c>
    </row>
    <row r="1140" spans="1:16">
      <c r="A1140" s="331">
        <v>40643</v>
      </c>
      <c r="B1140" s="329">
        <v>28.8</v>
      </c>
      <c r="C1140" s="329">
        <f t="shared" si="72"/>
        <v>28.816666666666663</v>
      </c>
      <c r="D1140" s="329">
        <v>35.4</v>
      </c>
      <c r="E1140" s="329">
        <f t="shared" si="69"/>
        <v>35.4</v>
      </c>
      <c r="F1140" s="329">
        <v>13.5</v>
      </c>
      <c r="G1140" s="329">
        <f t="shared" si="70"/>
        <v>13.883333333333333</v>
      </c>
      <c r="H1140" s="329">
        <v>12.8</v>
      </c>
      <c r="I1140" s="329">
        <f t="shared" si="71"/>
        <v>12.816666666666668</v>
      </c>
      <c r="L1140" s="331">
        <v>40643</v>
      </c>
      <c r="M1140" s="329">
        <v>28.816666666666663</v>
      </c>
      <c r="N1140" s="329">
        <v>35.4</v>
      </c>
      <c r="O1140" s="329">
        <v>13.883333333333333</v>
      </c>
      <c r="P1140" s="329">
        <v>12.816666666666668</v>
      </c>
    </row>
    <row r="1141" spans="1:16">
      <c r="A1141" s="331">
        <v>40643</v>
      </c>
      <c r="B1141" s="329">
        <v>28.7</v>
      </c>
      <c r="C1141" s="329">
        <f t="shared" si="72"/>
        <v>28.816666666666663</v>
      </c>
      <c r="D1141" s="329">
        <v>35.299999999999997</v>
      </c>
      <c r="E1141" s="329">
        <f t="shared" si="69"/>
        <v>35.4</v>
      </c>
      <c r="F1141" s="329">
        <v>13.8</v>
      </c>
      <c r="G1141" s="329">
        <f t="shared" si="70"/>
        <v>13.883333333333333</v>
      </c>
      <c r="H1141" s="329">
        <v>12.7</v>
      </c>
      <c r="I1141" s="329">
        <f t="shared" si="71"/>
        <v>12.816666666666668</v>
      </c>
      <c r="L1141" s="331">
        <v>40643</v>
      </c>
      <c r="M1141" s="329">
        <v>28.816666666666663</v>
      </c>
      <c r="N1141" s="329">
        <v>35.4</v>
      </c>
      <c r="O1141" s="329">
        <v>13.883333333333333</v>
      </c>
      <c r="P1141" s="329">
        <v>12.816666666666668</v>
      </c>
    </row>
    <row r="1142" spans="1:16">
      <c r="A1142" s="331">
        <v>40643</v>
      </c>
      <c r="B1142" s="329">
        <v>28.6</v>
      </c>
      <c r="C1142" s="329">
        <f t="shared" si="72"/>
        <v>28.816666666666663</v>
      </c>
      <c r="D1142" s="329">
        <v>35.200000000000003</v>
      </c>
      <c r="E1142" s="329">
        <f t="shared" si="69"/>
        <v>35.4</v>
      </c>
      <c r="F1142" s="329">
        <v>13.8</v>
      </c>
      <c r="G1142" s="329">
        <f t="shared" si="70"/>
        <v>13.883333333333333</v>
      </c>
      <c r="H1142" s="329">
        <v>12.8</v>
      </c>
      <c r="I1142" s="329">
        <f t="shared" si="71"/>
        <v>12.816666666666668</v>
      </c>
      <c r="L1142" s="331">
        <v>40643</v>
      </c>
      <c r="M1142" s="329">
        <v>28.816666666666663</v>
      </c>
      <c r="N1142" s="329">
        <v>35.4</v>
      </c>
      <c r="O1142" s="329">
        <v>13.883333333333333</v>
      </c>
      <c r="P1142" s="329">
        <v>12.816666666666668</v>
      </c>
    </row>
    <row r="1143" spans="1:16">
      <c r="A1143" s="331">
        <v>40644</v>
      </c>
      <c r="B1143" s="329">
        <v>28.6</v>
      </c>
      <c r="C1143" s="329">
        <f t="shared" si="72"/>
        <v>28.45</v>
      </c>
      <c r="D1143" s="329">
        <v>35.200000000000003</v>
      </c>
      <c r="E1143" s="329">
        <f t="shared" si="69"/>
        <v>35.150000000000006</v>
      </c>
      <c r="F1143" s="329">
        <v>13.5</v>
      </c>
      <c r="G1143" s="329">
        <f t="shared" si="70"/>
        <v>13.516666666666666</v>
      </c>
      <c r="H1143" s="329">
        <v>12.7</v>
      </c>
      <c r="I1143" s="329">
        <f t="shared" si="71"/>
        <v>12.633333333333333</v>
      </c>
      <c r="L1143" s="331">
        <v>40644</v>
      </c>
      <c r="M1143" s="329">
        <v>28.45</v>
      </c>
      <c r="N1143" s="329">
        <v>35.150000000000006</v>
      </c>
      <c r="O1143" s="329">
        <v>13.516666666666666</v>
      </c>
      <c r="P1143" s="329">
        <v>12.633333333333333</v>
      </c>
    </row>
    <row r="1144" spans="1:16">
      <c r="A1144" s="331">
        <v>40644</v>
      </c>
      <c r="B1144" s="329">
        <v>28.6</v>
      </c>
      <c r="C1144" s="329">
        <f t="shared" si="72"/>
        <v>28.45</v>
      </c>
      <c r="D1144" s="329">
        <v>35.200000000000003</v>
      </c>
      <c r="E1144" s="329">
        <f t="shared" si="69"/>
        <v>35.150000000000006</v>
      </c>
      <c r="F1144" s="329">
        <v>13.2</v>
      </c>
      <c r="G1144" s="329">
        <f t="shared" si="70"/>
        <v>13.516666666666666</v>
      </c>
      <c r="H1144" s="329">
        <v>12.7</v>
      </c>
      <c r="I1144" s="329">
        <f t="shared" si="71"/>
        <v>12.633333333333333</v>
      </c>
      <c r="L1144" s="331">
        <v>40644</v>
      </c>
      <c r="M1144" s="329">
        <v>28.45</v>
      </c>
      <c r="N1144" s="329">
        <v>35.150000000000006</v>
      </c>
      <c r="O1144" s="329">
        <v>13.516666666666666</v>
      </c>
      <c r="P1144" s="329">
        <v>12.633333333333333</v>
      </c>
    </row>
    <row r="1145" spans="1:16">
      <c r="A1145" s="331">
        <v>40644</v>
      </c>
      <c r="B1145" s="329">
        <v>28.5</v>
      </c>
      <c r="C1145" s="329">
        <f t="shared" si="72"/>
        <v>28.45</v>
      </c>
      <c r="D1145" s="329">
        <v>35.4</v>
      </c>
      <c r="E1145" s="329">
        <f t="shared" si="69"/>
        <v>35.150000000000006</v>
      </c>
      <c r="F1145" s="329">
        <v>13.1</v>
      </c>
      <c r="G1145" s="329">
        <f t="shared" si="70"/>
        <v>13.516666666666666</v>
      </c>
      <c r="H1145" s="329">
        <v>12.6</v>
      </c>
      <c r="I1145" s="329">
        <f t="shared" si="71"/>
        <v>12.633333333333333</v>
      </c>
      <c r="L1145" s="331">
        <v>40644</v>
      </c>
      <c r="M1145" s="329">
        <v>28.45</v>
      </c>
      <c r="N1145" s="329">
        <v>35.150000000000006</v>
      </c>
      <c r="O1145" s="329">
        <v>13.516666666666666</v>
      </c>
      <c r="P1145" s="329">
        <v>12.633333333333333</v>
      </c>
    </row>
    <row r="1146" spans="1:16">
      <c r="A1146" s="331">
        <v>40644</v>
      </c>
      <c r="B1146" s="329">
        <v>28.5</v>
      </c>
      <c r="C1146" s="329">
        <f t="shared" si="72"/>
        <v>28.45</v>
      </c>
      <c r="D1146" s="329">
        <v>35.299999999999997</v>
      </c>
      <c r="E1146" s="329">
        <f t="shared" si="69"/>
        <v>35.150000000000006</v>
      </c>
      <c r="F1146" s="329">
        <v>13.3</v>
      </c>
      <c r="G1146" s="329">
        <f t="shared" si="70"/>
        <v>13.516666666666666</v>
      </c>
      <c r="H1146" s="329">
        <v>12.5</v>
      </c>
      <c r="I1146" s="329">
        <f t="shared" si="71"/>
        <v>12.633333333333333</v>
      </c>
      <c r="L1146" s="331">
        <v>40644</v>
      </c>
      <c r="M1146" s="329">
        <v>28.45</v>
      </c>
      <c r="N1146" s="329">
        <v>35.150000000000006</v>
      </c>
      <c r="O1146" s="329">
        <v>13.516666666666666</v>
      </c>
      <c r="P1146" s="329">
        <v>12.633333333333333</v>
      </c>
    </row>
    <row r="1147" spans="1:16">
      <c r="A1147" s="331">
        <v>40644</v>
      </c>
      <c r="B1147" s="329">
        <v>28.3</v>
      </c>
      <c r="C1147" s="329">
        <f t="shared" si="72"/>
        <v>28.45</v>
      </c>
      <c r="D1147" s="329">
        <v>35</v>
      </c>
      <c r="E1147" s="329">
        <f t="shared" si="69"/>
        <v>35.150000000000006</v>
      </c>
      <c r="F1147" s="329">
        <v>13.9</v>
      </c>
      <c r="G1147" s="329">
        <f t="shared" si="70"/>
        <v>13.516666666666666</v>
      </c>
      <c r="H1147" s="329">
        <v>12.6</v>
      </c>
      <c r="I1147" s="329">
        <f t="shared" si="71"/>
        <v>12.633333333333333</v>
      </c>
      <c r="L1147" s="331">
        <v>40644</v>
      </c>
      <c r="M1147" s="329">
        <v>28.45</v>
      </c>
      <c r="N1147" s="329">
        <v>35.150000000000006</v>
      </c>
      <c r="O1147" s="329">
        <v>13.516666666666666</v>
      </c>
      <c r="P1147" s="329">
        <v>12.633333333333333</v>
      </c>
    </row>
    <row r="1148" spans="1:16">
      <c r="A1148" s="331">
        <v>40644</v>
      </c>
      <c r="B1148" s="329">
        <v>28.2</v>
      </c>
      <c r="C1148" s="329">
        <f t="shared" si="72"/>
        <v>28.45</v>
      </c>
      <c r="D1148" s="329">
        <v>34.799999999999997</v>
      </c>
      <c r="E1148" s="329">
        <f t="shared" si="69"/>
        <v>35.150000000000006</v>
      </c>
      <c r="F1148" s="329">
        <v>14.1</v>
      </c>
      <c r="G1148" s="329">
        <f t="shared" si="70"/>
        <v>13.516666666666666</v>
      </c>
      <c r="H1148" s="329">
        <v>12.7</v>
      </c>
      <c r="I1148" s="329">
        <f t="shared" si="71"/>
        <v>12.633333333333333</v>
      </c>
      <c r="L1148" s="331">
        <v>40644</v>
      </c>
      <c r="M1148" s="329">
        <v>28.45</v>
      </c>
      <c r="N1148" s="329">
        <v>35.150000000000006</v>
      </c>
      <c r="O1148" s="329">
        <v>13.516666666666666</v>
      </c>
      <c r="P1148" s="329">
        <v>12.633333333333333</v>
      </c>
    </row>
    <row r="1149" spans="1:16">
      <c r="A1149" s="331">
        <v>40645</v>
      </c>
      <c r="B1149" s="329">
        <v>28.2</v>
      </c>
      <c r="C1149" s="329">
        <f t="shared" si="72"/>
        <v>28.066666666666666</v>
      </c>
      <c r="D1149" s="329">
        <v>34.700000000000003</v>
      </c>
      <c r="E1149" s="329">
        <f t="shared" si="69"/>
        <v>34.616666666666667</v>
      </c>
      <c r="F1149" s="329">
        <v>13.6</v>
      </c>
      <c r="G1149" s="329">
        <f t="shared" si="70"/>
        <v>13.233333333333334</v>
      </c>
      <c r="H1149" s="329">
        <v>12.8</v>
      </c>
      <c r="I1149" s="329">
        <f t="shared" si="71"/>
        <v>12.6</v>
      </c>
      <c r="L1149" s="331">
        <v>40645</v>
      </c>
      <c r="M1149" s="329">
        <v>28.066666666666666</v>
      </c>
      <c r="N1149" s="329">
        <v>34.616666666666667</v>
      </c>
      <c r="O1149" s="329">
        <v>13.233333333333334</v>
      </c>
      <c r="P1149" s="329">
        <v>12.6</v>
      </c>
    </row>
    <row r="1150" spans="1:16">
      <c r="A1150" s="331">
        <v>40645</v>
      </c>
      <c r="B1150" s="329">
        <v>28.1</v>
      </c>
      <c r="C1150" s="329">
        <f t="shared" si="72"/>
        <v>28.066666666666666</v>
      </c>
      <c r="D1150" s="329">
        <v>34.700000000000003</v>
      </c>
      <c r="E1150" s="329">
        <f t="shared" si="69"/>
        <v>34.616666666666667</v>
      </c>
      <c r="F1150" s="329">
        <v>13.2</v>
      </c>
      <c r="G1150" s="329">
        <f t="shared" si="70"/>
        <v>13.233333333333334</v>
      </c>
      <c r="H1150" s="329">
        <v>12.7</v>
      </c>
      <c r="I1150" s="329">
        <f t="shared" si="71"/>
        <v>12.6</v>
      </c>
      <c r="L1150" s="331">
        <v>40645</v>
      </c>
      <c r="M1150" s="329">
        <v>28.066666666666666</v>
      </c>
      <c r="N1150" s="329">
        <v>34.616666666666667</v>
      </c>
      <c r="O1150" s="329">
        <v>13.233333333333334</v>
      </c>
      <c r="P1150" s="329">
        <v>12.6</v>
      </c>
    </row>
    <row r="1151" spans="1:16">
      <c r="A1151" s="331">
        <v>40645</v>
      </c>
      <c r="B1151" s="329">
        <v>28.1</v>
      </c>
      <c r="C1151" s="329">
        <f t="shared" si="72"/>
        <v>28.066666666666666</v>
      </c>
      <c r="D1151" s="329">
        <v>34.700000000000003</v>
      </c>
      <c r="E1151" s="329">
        <f t="shared" si="69"/>
        <v>34.616666666666667</v>
      </c>
      <c r="F1151" s="329">
        <v>13</v>
      </c>
      <c r="G1151" s="329">
        <f t="shared" si="70"/>
        <v>13.233333333333334</v>
      </c>
      <c r="H1151" s="329">
        <v>12.6</v>
      </c>
      <c r="I1151" s="329">
        <f t="shared" si="71"/>
        <v>12.6</v>
      </c>
      <c r="L1151" s="331">
        <v>40645</v>
      </c>
      <c r="M1151" s="329">
        <v>28.066666666666666</v>
      </c>
      <c r="N1151" s="329">
        <v>34.616666666666667</v>
      </c>
      <c r="O1151" s="329">
        <v>13.233333333333334</v>
      </c>
      <c r="P1151" s="329">
        <v>12.6</v>
      </c>
    </row>
    <row r="1152" spans="1:16">
      <c r="A1152" s="331">
        <v>40645</v>
      </c>
      <c r="B1152" s="329">
        <v>28.1</v>
      </c>
      <c r="C1152" s="329">
        <f t="shared" si="72"/>
        <v>28.066666666666666</v>
      </c>
      <c r="D1152" s="329">
        <v>34.700000000000003</v>
      </c>
      <c r="E1152" s="329">
        <f t="shared" si="69"/>
        <v>34.616666666666667</v>
      </c>
      <c r="F1152" s="329">
        <v>12.9</v>
      </c>
      <c r="G1152" s="329">
        <f t="shared" si="70"/>
        <v>13.233333333333334</v>
      </c>
      <c r="H1152" s="329">
        <v>12.5</v>
      </c>
      <c r="I1152" s="329">
        <f t="shared" si="71"/>
        <v>12.6</v>
      </c>
      <c r="L1152" s="331">
        <v>40645</v>
      </c>
      <c r="M1152" s="329">
        <v>28.066666666666666</v>
      </c>
      <c r="N1152" s="329">
        <v>34.616666666666667</v>
      </c>
      <c r="O1152" s="329">
        <v>13.233333333333334</v>
      </c>
      <c r="P1152" s="329">
        <v>12.6</v>
      </c>
    </row>
    <row r="1153" spans="1:16">
      <c r="A1153" s="331">
        <v>40645</v>
      </c>
      <c r="B1153" s="329">
        <v>28</v>
      </c>
      <c r="C1153" s="329">
        <f t="shared" si="72"/>
        <v>28.066666666666666</v>
      </c>
      <c r="D1153" s="329">
        <v>34.6</v>
      </c>
      <c r="E1153" s="329">
        <f t="shared" si="69"/>
        <v>34.616666666666667</v>
      </c>
      <c r="F1153" s="329">
        <v>13.3</v>
      </c>
      <c r="G1153" s="329">
        <f t="shared" si="70"/>
        <v>13.233333333333334</v>
      </c>
      <c r="H1153" s="329">
        <v>12.5</v>
      </c>
      <c r="I1153" s="329">
        <f t="shared" si="71"/>
        <v>12.6</v>
      </c>
      <c r="L1153" s="331">
        <v>40645</v>
      </c>
      <c r="M1153" s="329">
        <v>28.066666666666666</v>
      </c>
      <c r="N1153" s="329">
        <v>34.616666666666667</v>
      </c>
      <c r="O1153" s="329">
        <v>13.233333333333334</v>
      </c>
      <c r="P1153" s="329">
        <v>12.6</v>
      </c>
    </row>
    <row r="1154" spans="1:16">
      <c r="A1154" s="331">
        <v>40645</v>
      </c>
      <c r="B1154" s="329">
        <v>27.9</v>
      </c>
      <c r="C1154" s="329">
        <f t="shared" si="72"/>
        <v>28.066666666666666</v>
      </c>
      <c r="D1154" s="329">
        <v>34.299999999999997</v>
      </c>
      <c r="E1154" s="329">
        <f t="shared" si="69"/>
        <v>34.616666666666667</v>
      </c>
      <c r="F1154" s="329">
        <v>13.4</v>
      </c>
      <c r="G1154" s="329">
        <f t="shared" si="70"/>
        <v>13.233333333333334</v>
      </c>
      <c r="H1154" s="329">
        <v>12.5</v>
      </c>
      <c r="I1154" s="329">
        <f t="shared" si="71"/>
        <v>12.6</v>
      </c>
      <c r="L1154" s="331">
        <v>40645</v>
      </c>
      <c r="M1154" s="329">
        <v>28.066666666666666</v>
      </c>
      <c r="N1154" s="329">
        <v>34.616666666666667</v>
      </c>
      <c r="O1154" s="329">
        <v>13.233333333333334</v>
      </c>
      <c r="P1154" s="329">
        <v>12.6</v>
      </c>
    </row>
    <row r="1155" spans="1:16">
      <c r="A1155" s="331">
        <v>40646</v>
      </c>
      <c r="B1155" s="329">
        <v>27.8</v>
      </c>
      <c r="C1155" s="329">
        <f t="shared" si="72"/>
        <v>27.583333333333332</v>
      </c>
      <c r="D1155" s="329">
        <v>34.1</v>
      </c>
      <c r="E1155" s="329">
        <f t="shared" si="69"/>
        <v>33.866666666666667</v>
      </c>
      <c r="F1155" s="329">
        <v>12.5</v>
      </c>
      <c r="G1155" s="329">
        <f t="shared" si="70"/>
        <v>11.583333333333334</v>
      </c>
      <c r="H1155" s="329">
        <v>12.5</v>
      </c>
      <c r="I1155" s="329">
        <f t="shared" si="71"/>
        <v>11.85</v>
      </c>
      <c r="L1155" s="331">
        <v>40646</v>
      </c>
      <c r="M1155" s="329">
        <v>27.583333333333332</v>
      </c>
      <c r="N1155" s="329">
        <v>33.866666666666667</v>
      </c>
      <c r="O1155" s="329">
        <v>11.583333333333334</v>
      </c>
      <c r="P1155" s="329">
        <v>11.85</v>
      </c>
    </row>
    <row r="1156" spans="1:16">
      <c r="A1156" s="331">
        <v>40646</v>
      </c>
      <c r="B1156" s="329">
        <v>27.8</v>
      </c>
      <c r="C1156" s="329">
        <f t="shared" si="72"/>
        <v>27.583333333333332</v>
      </c>
      <c r="D1156" s="329">
        <v>34.1</v>
      </c>
      <c r="E1156" s="329">
        <f t="shared" si="69"/>
        <v>33.866666666666667</v>
      </c>
      <c r="F1156" s="329">
        <v>11.6</v>
      </c>
      <c r="G1156" s="329">
        <f t="shared" si="70"/>
        <v>11.583333333333334</v>
      </c>
      <c r="H1156" s="329">
        <v>12.3</v>
      </c>
      <c r="I1156" s="329">
        <f t="shared" si="71"/>
        <v>11.85</v>
      </c>
      <c r="L1156" s="331">
        <v>40646</v>
      </c>
      <c r="M1156" s="329">
        <v>27.583333333333332</v>
      </c>
      <c r="N1156" s="329">
        <v>33.866666666666667</v>
      </c>
      <c r="O1156" s="329">
        <v>11.583333333333334</v>
      </c>
      <c r="P1156" s="329">
        <v>11.85</v>
      </c>
    </row>
    <row r="1157" spans="1:16">
      <c r="A1157" s="331">
        <v>40646</v>
      </c>
      <c r="B1157" s="329">
        <v>27.7</v>
      </c>
      <c r="C1157" s="329">
        <f t="shared" si="72"/>
        <v>27.583333333333332</v>
      </c>
      <c r="D1157" s="329">
        <v>34.1</v>
      </c>
      <c r="E1157" s="329">
        <f t="shared" si="69"/>
        <v>33.866666666666667</v>
      </c>
      <c r="F1157" s="329">
        <v>10.5</v>
      </c>
      <c r="G1157" s="329">
        <f t="shared" si="70"/>
        <v>11.583333333333334</v>
      </c>
      <c r="H1157" s="329">
        <v>11.9</v>
      </c>
      <c r="I1157" s="329">
        <f t="shared" si="71"/>
        <v>11.85</v>
      </c>
      <c r="L1157" s="331">
        <v>40646</v>
      </c>
      <c r="M1157" s="329">
        <v>27.583333333333332</v>
      </c>
      <c r="N1157" s="329">
        <v>33.866666666666667</v>
      </c>
      <c r="O1157" s="329">
        <v>11.583333333333334</v>
      </c>
      <c r="P1157" s="329">
        <v>11.85</v>
      </c>
    </row>
    <row r="1158" spans="1:16">
      <c r="A1158" s="331">
        <v>40646</v>
      </c>
      <c r="B1158" s="329">
        <v>27.6</v>
      </c>
      <c r="C1158" s="329">
        <f t="shared" si="72"/>
        <v>27.583333333333332</v>
      </c>
      <c r="D1158" s="329">
        <v>34</v>
      </c>
      <c r="E1158" s="329">
        <f t="shared" si="69"/>
        <v>33.866666666666667</v>
      </c>
      <c r="F1158" s="329">
        <v>10.7</v>
      </c>
      <c r="G1158" s="329">
        <f t="shared" si="70"/>
        <v>11.583333333333334</v>
      </c>
      <c r="H1158" s="329">
        <v>11.5</v>
      </c>
      <c r="I1158" s="329">
        <f t="shared" si="71"/>
        <v>11.85</v>
      </c>
      <c r="L1158" s="331">
        <v>40646</v>
      </c>
      <c r="M1158" s="329">
        <v>27.583333333333332</v>
      </c>
      <c r="N1158" s="329">
        <v>33.866666666666667</v>
      </c>
      <c r="O1158" s="329">
        <v>11.583333333333334</v>
      </c>
      <c r="P1158" s="329">
        <v>11.85</v>
      </c>
    </row>
    <row r="1159" spans="1:16">
      <c r="A1159" s="331">
        <v>40646</v>
      </c>
      <c r="B1159" s="329">
        <v>27.4</v>
      </c>
      <c r="C1159" s="329">
        <f t="shared" si="72"/>
        <v>27.583333333333332</v>
      </c>
      <c r="D1159" s="329">
        <v>33.6</v>
      </c>
      <c r="E1159" s="329">
        <f t="shared" si="69"/>
        <v>33.866666666666667</v>
      </c>
      <c r="F1159" s="329">
        <v>11.9</v>
      </c>
      <c r="G1159" s="329">
        <f t="shared" si="70"/>
        <v>11.583333333333334</v>
      </c>
      <c r="H1159" s="329">
        <v>11.4</v>
      </c>
      <c r="I1159" s="329">
        <f t="shared" si="71"/>
        <v>11.85</v>
      </c>
      <c r="L1159" s="331">
        <v>40646</v>
      </c>
      <c r="M1159" s="329">
        <v>27.583333333333332</v>
      </c>
      <c r="N1159" s="329">
        <v>33.866666666666667</v>
      </c>
      <c r="O1159" s="329">
        <v>11.583333333333334</v>
      </c>
      <c r="P1159" s="329">
        <v>11.85</v>
      </c>
    </row>
    <row r="1160" spans="1:16">
      <c r="A1160" s="331">
        <v>40646</v>
      </c>
      <c r="B1160" s="329">
        <v>27.2</v>
      </c>
      <c r="C1160" s="329">
        <f t="shared" si="72"/>
        <v>27.583333333333332</v>
      </c>
      <c r="D1160" s="329">
        <v>33.299999999999997</v>
      </c>
      <c r="E1160" s="329">
        <f t="shared" si="69"/>
        <v>33.866666666666667</v>
      </c>
      <c r="F1160" s="329">
        <v>12.3</v>
      </c>
      <c r="G1160" s="329">
        <f t="shared" si="70"/>
        <v>11.583333333333334</v>
      </c>
      <c r="H1160" s="329">
        <v>11.5</v>
      </c>
      <c r="I1160" s="329">
        <f t="shared" si="71"/>
        <v>11.85</v>
      </c>
      <c r="L1160" s="331">
        <v>40646</v>
      </c>
      <c r="M1160" s="329">
        <v>27.583333333333332</v>
      </c>
      <c r="N1160" s="329">
        <v>33.866666666666667</v>
      </c>
      <c r="O1160" s="329">
        <v>11.583333333333334</v>
      </c>
      <c r="P1160" s="329">
        <v>11.85</v>
      </c>
    </row>
    <row r="1161" spans="1:16">
      <c r="A1161" s="331">
        <v>40647</v>
      </c>
      <c r="B1161" s="329">
        <v>27.2</v>
      </c>
      <c r="C1161" s="329">
        <f t="shared" si="72"/>
        <v>27.05</v>
      </c>
      <c r="D1161" s="329">
        <v>33.299999999999997</v>
      </c>
      <c r="E1161" s="329">
        <f t="shared" si="69"/>
        <v>33.016666666666666</v>
      </c>
      <c r="F1161" s="329">
        <v>11.5</v>
      </c>
      <c r="G1161" s="329">
        <f t="shared" si="70"/>
        <v>11.233333333333334</v>
      </c>
      <c r="H1161" s="329">
        <v>11.6</v>
      </c>
      <c r="I1161" s="329">
        <f t="shared" si="71"/>
        <v>11.266666666666666</v>
      </c>
      <c r="L1161" s="331">
        <v>40647</v>
      </c>
      <c r="M1161" s="329">
        <v>27.05</v>
      </c>
      <c r="N1161" s="329">
        <v>33.016666666666666</v>
      </c>
      <c r="O1161" s="329">
        <v>11.233333333333334</v>
      </c>
      <c r="P1161" s="329">
        <v>11.266666666666666</v>
      </c>
    </row>
    <row r="1162" spans="1:16">
      <c r="A1162" s="331">
        <v>40647</v>
      </c>
      <c r="B1162" s="329">
        <v>27.2</v>
      </c>
      <c r="C1162" s="329">
        <f t="shared" si="72"/>
        <v>27.05</v>
      </c>
      <c r="D1162" s="329">
        <v>33.299999999999997</v>
      </c>
      <c r="E1162" s="329">
        <f t="shared" si="69"/>
        <v>33.016666666666666</v>
      </c>
      <c r="F1162" s="329">
        <v>10.7</v>
      </c>
      <c r="G1162" s="329">
        <f t="shared" si="70"/>
        <v>11.233333333333334</v>
      </c>
      <c r="H1162" s="329">
        <v>11.5</v>
      </c>
      <c r="I1162" s="329">
        <f t="shared" si="71"/>
        <v>11.266666666666666</v>
      </c>
      <c r="L1162" s="331">
        <v>40647</v>
      </c>
      <c r="M1162" s="329">
        <v>27.05</v>
      </c>
      <c r="N1162" s="329">
        <v>33.016666666666666</v>
      </c>
      <c r="O1162" s="329">
        <v>11.233333333333334</v>
      </c>
      <c r="P1162" s="329">
        <v>11.266666666666666</v>
      </c>
    </row>
    <row r="1163" spans="1:16">
      <c r="A1163" s="331">
        <v>40647</v>
      </c>
      <c r="B1163" s="329">
        <v>27.1</v>
      </c>
      <c r="C1163" s="329">
        <f t="shared" si="72"/>
        <v>27.05</v>
      </c>
      <c r="D1163" s="329">
        <v>33.299999999999997</v>
      </c>
      <c r="E1163" s="329">
        <f t="shared" si="69"/>
        <v>33.016666666666666</v>
      </c>
      <c r="F1163" s="329">
        <v>10.199999999999999</v>
      </c>
      <c r="G1163" s="329">
        <f t="shared" si="70"/>
        <v>11.233333333333334</v>
      </c>
      <c r="H1163" s="329">
        <v>11.2</v>
      </c>
      <c r="I1163" s="329">
        <f t="shared" si="71"/>
        <v>11.266666666666666</v>
      </c>
      <c r="L1163" s="331">
        <v>40647</v>
      </c>
      <c r="M1163" s="329">
        <v>27.05</v>
      </c>
      <c r="N1163" s="329">
        <v>33.016666666666666</v>
      </c>
      <c r="O1163" s="329">
        <v>11.233333333333334</v>
      </c>
      <c r="P1163" s="329">
        <v>11.266666666666666</v>
      </c>
    </row>
    <row r="1164" spans="1:16">
      <c r="A1164" s="331">
        <v>40647</v>
      </c>
      <c r="B1164" s="329">
        <v>27.1</v>
      </c>
      <c r="C1164" s="329">
        <f t="shared" si="72"/>
        <v>27.05</v>
      </c>
      <c r="D1164" s="329">
        <v>33.1</v>
      </c>
      <c r="E1164" s="329">
        <f t="shared" si="69"/>
        <v>33.016666666666666</v>
      </c>
      <c r="F1164" s="329">
        <v>10.6</v>
      </c>
      <c r="G1164" s="329">
        <f t="shared" si="70"/>
        <v>11.233333333333334</v>
      </c>
      <c r="H1164" s="329">
        <v>11</v>
      </c>
      <c r="I1164" s="329">
        <f t="shared" si="71"/>
        <v>11.266666666666666</v>
      </c>
      <c r="L1164" s="331">
        <v>40647</v>
      </c>
      <c r="M1164" s="329">
        <v>27.05</v>
      </c>
      <c r="N1164" s="329">
        <v>33.016666666666666</v>
      </c>
      <c r="O1164" s="329">
        <v>11.233333333333334</v>
      </c>
      <c r="P1164" s="329">
        <v>11.266666666666666</v>
      </c>
    </row>
    <row r="1165" spans="1:16">
      <c r="A1165" s="331">
        <v>40647</v>
      </c>
      <c r="B1165" s="329">
        <v>26.9</v>
      </c>
      <c r="C1165" s="329">
        <f t="shared" si="72"/>
        <v>27.05</v>
      </c>
      <c r="D1165" s="329">
        <v>32.700000000000003</v>
      </c>
      <c r="E1165" s="329">
        <f t="shared" si="69"/>
        <v>33.016666666666666</v>
      </c>
      <c r="F1165" s="329">
        <v>12</v>
      </c>
      <c r="G1165" s="329">
        <f t="shared" si="70"/>
        <v>11.233333333333334</v>
      </c>
      <c r="H1165" s="329">
        <v>11</v>
      </c>
      <c r="I1165" s="329">
        <f t="shared" si="71"/>
        <v>11.266666666666666</v>
      </c>
      <c r="L1165" s="331">
        <v>40647</v>
      </c>
      <c r="M1165" s="329">
        <v>27.05</v>
      </c>
      <c r="N1165" s="329">
        <v>33.016666666666666</v>
      </c>
      <c r="O1165" s="329">
        <v>11.233333333333334</v>
      </c>
      <c r="P1165" s="329">
        <v>11.266666666666666</v>
      </c>
    </row>
    <row r="1166" spans="1:16">
      <c r="A1166" s="331">
        <v>40647</v>
      </c>
      <c r="B1166" s="329">
        <v>26.8</v>
      </c>
      <c r="C1166" s="329">
        <f t="shared" si="72"/>
        <v>27.05</v>
      </c>
      <c r="D1166" s="329">
        <v>32.4</v>
      </c>
      <c r="E1166" s="329">
        <f t="shared" si="69"/>
        <v>33.016666666666666</v>
      </c>
      <c r="F1166" s="329">
        <v>12.4</v>
      </c>
      <c r="G1166" s="329">
        <f t="shared" si="70"/>
        <v>11.233333333333334</v>
      </c>
      <c r="H1166" s="329">
        <v>11.3</v>
      </c>
      <c r="I1166" s="329">
        <f t="shared" si="71"/>
        <v>11.266666666666666</v>
      </c>
      <c r="L1166" s="331">
        <v>40647</v>
      </c>
      <c r="M1166" s="329">
        <v>27.05</v>
      </c>
      <c r="N1166" s="329">
        <v>33.016666666666666</v>
      </c>
      <c r="O1166" s="329">
        <v>11.233333333333334</v>
      </c>
      <c r="P1166" s="329">
        <v>11.266666666666666</v>
      </c>
    </row>
    <row r="1167" spans="1:16">
      <c r="A1167" s="331">
        <v>40648</v>
      </c>
      <c r="B1167" s="329">
        <v>26.5</v>
      </c>
      <c r="C1167" s="329">
        <f t="shared" si="72"/>
        <v>26.433333333333334</v>
      </c>
      <c r="D1167" s="329">
        <v>32.4</v>
      </c>
      <c r="E1167" s="329">
        <f t="shared" si="69"/>
        <v>32.1</v>
      </c>
      <c r="F1167" s="329">
        <v>11.7</v>
      </c>
      <c r="G1167" s="329">
        <f t="shared" si="70"/>
        <v>11.549999999999999</v>
      </c>
      <c r="H1167" s="329">
        <v>11.4</v>
      </c>
      <c r="I1167" s="329">
        <f t="shared" si="71"/>
        <v>11.233333333333334</v>
      </c>
      <c r="L1167" s="331">
        <v>40648</v>
      </c>
      <c r="M1167" s="329">
        <v>26.433333333333334</v>
      </c>
      <c r="N1167" s="329">
        <v>32.1</v>
      </c>
      <c r="O1167" s="329">
        <v>11.549999999999999</v>
      </c>
      <c r="P1167" s="329">
        <v>11.233333333333334</v>
      </c>
    </row>
    <row r="1168" spans="1:16">
      <c r="A1168" s="331">
        <v>40648</v>
      </c>
      <c r="B1168" s="329">
        <v>26.7</v>
      </c>
      <c r="C1168" s="329">
        <f t="shared" si="72"/>
        <v>26.433333333333334</v>
      </c>
      <c r="D1168" s="329">
        <v>32.299999999999997</v>
      </c>
      <c r="E1168" s="329">
        <f t="shared" si="69"/>
        <v>32.1</v>
      </c>
      <c r="F1168" s="329">
        <v>11.2</v>
      </c>
      <c r="G1168" s="329">
        <f t="shared" si="70"/>
        <v>11.549999999999999</v>
      </c>
      <c r="H1168" s="329">
        <v>11.4</v>
      </c>
      <c r="I1168" s="329">
        <f t="shared" si="71"/>
        <v>11.233333333333334</v>
      </c>
      <c r="L1168" s="331">
        <v>40648</v>
      </c>
      <c r="M1168" s="329">
        <v>26.433333333333334</v>
      </c>
      <c r="N1168" s="329">
        <v>32.1</v>
      </c>
      <c r="O1168" s="329">
        <v>11.549999999999999</v>
      </c>
      <c r="P1168" s="329">
        <v>11.233333333333334</v>
      </c>
    </row>
    <row r="1169" spans="1:16">
      <c r="A1169" s="331">
        <v>40648</v>
      </c>
      <c r="B1169" s="329">
        <v>26.6</v>
      </c>
      <c r="C1169" s="329">
        <f t="shared" si="72"/>
        <v>26.433333333333334</v>
      </c>
      <c r="D1169" s="329">
        <v>32.299999999999997</v>
      </c>
      <c r="E1169" s="329">
        <f t="shared" si="69"/>
        <v>32.1</v>
      </c>
      <c r="F1169" s="329">
        <v>10.7</v>
      </c>
      <c r="G1169" s="329">
        <f t="shared" si="70"/>
        <v>11.549999999999999</v>
      </c>
      <c r="H1169" s="329">
        <v>11.2</v>
      </c>
      <c r="I1169" s="329">
        <f t="shared" si="71"/>
        <v>11.233333333333334</v>
      </c>
      <c r="L1169" s="331">
        <v>40648</v>
      </c>
      <c r="M1169" s="329">
        <v>26.433333333333334</v>
      </c>
      <c r="N1169" s="329">
        <v>32.1</v>
      </c>
      <c r="O1169" s="329">
        <v>11.549999999999999</v>
      </c>
      <c r="P1169" s="329">
        <v>11.233333333333334</v>
      </c>
    </row>
    <row r="1170" spans="1:16">
      <c r="A1170" s="331">
        <v>40648</v>
      </c>
      <c r="B1170" s="329">
        <v>26.5</v>
      </c>
      <c r="C1170" s="329">
        <f t="shared" si="72"/>
        <v>26.433333333333334</v>
      </c>
      <c r="D1170" s="329">
        <v>32.200000000000003</v>
      </c>
      <c r="E1170" s="329">
        <f t="shared" si="69"/>
        <v>32.1</v>
      </c>
      <c r="F1170" s="329">
        <v>11</v>
      </c>
      <c r="G1170" s="329">
        <f t="shared" si="70"/>
        <v>11.549999999999999</v>
      </c>
      <c r="H1170" s="329">
        <v>11</v>
      </c>
      <c r="I1170" s="329">
        <f t="shared" si="71"/>
        <v>11.233333333333334</v>
      </c>
      <c r="L1170" s="331">
        <v>40648</v>
      </c>
      <c r="M1170" s="329">
        <v>26.433333333333334</v>
      </c>
      <c r="N1170" s="329">
        <v>32.1</v>
      </c>
      <c r="O1170" s="329">
        <v>11.549999999999999</v>
      </c>
      <c r="P1170" s="329">
        <v>11.233333333333334</v>
      </c>
    </row>
    <row r="1171" spans="1:16">
      <c r="A1171" s="331">
        <v>40648</v>
      </c>
      <c r="B1171" s="329">
        <v>26.2</v>
      </c>
      <c r="C1171" s="329">
        <f t="shared" si="72"/>
        <v>26.433333333333334</v>
      </c>
      <c r="D1171" s="329">
        <v>31.9</v>
      </c>
      <c r="E1171" s="329">
        <f t="shared" si="69"/>
        <v>32.1</v>
      </c>
      <c r="F1171" s="329">
        <v>12.2</v>
      </c>
      <c r="G1171" s="329">
        <f t="shared" si="70"/>
        <v>11.549999999999999</v>
      </c>
      <c r="H1171" s="329">
        <v>11.1</v>
      </c>
      <c r="I1171" s="329">
        <f t="shared" si="71"/>
        <v>11.233333333333334</v>
      </c>
      <c r="L1171" s="331">
        <v>40648</v>
      </c>
      <c r="M1171" s="329">
        <v>26.433333333333334</v>
      </c>
      <c r="N1171" s="329">
        <v>32.1</v>
      </c>
      <c r="O1171" s="329">
        <v>11.549999999999999</v>
      </c>
      <c r="P1171" s="329">
        <v>11.233333333333334</v>
      </c>
    </row>
    <row r="1172" spans="1:16">
      <c r="A1172" s="331">
        <v>40648</v>
      </c>
      <c r="B1172" s="329">
        <v>26.1</v>
      </c>
      <c r="C1172" s="329">
        <f t="shared" si="72"/>
        <v>26.433333333333334</v>
      </c>
      <c r="D1172" s="329">
        <v>31.5</v>
      </c>
      <c r="E1172" s="329">
        <f t="shared" si="69"/>
        <v>32.1</v>
      </c>
      <c r="F1172" s="329">
        <v>12.5</v>
      </c>
      <c r="G1172" s="329">
        <f t="shared" si="70"/>
        <v>11.549999999999999</v>
      </c>
      <c r="H1172" s="329">
        <v>11.3</v>
      </c>
      <c r="I1172" s="329">
        <f t="shared" si="71"/>
        <v>11.233333333333334</v>
      </c>
      <c r="L1172" s="331">
        <v>40648</v>
      </c>
      <c r="M1172" s="329">
        <v>26.433333333333334</v>
      </c>
      <c r="N1172" s="329">
        <v>32.1</v>
      </c>
      <c r="O1172" s="329">
        <v>11.549999999999999</v>
      </c>
      <c r="P1172" s="329">
        <v>11.233333333333334</v>
      </c>
    </row>
    <row r="1173" spans="1:16">
      <c r="A1173" s="331">
        <v>40649</v>
      </c>
      <c r="B1173" s="329">
        <v>26.1</v>
      </c>
      <c r="C1173" s="329">
        <f t="shared" si="72"/>
        <v>25.95</v>
      </c>
      <c r="D1173" s="329">
        <v>31.5</v>
      </c>
      <c r="E1173" s="329">
        <f t="shared" si="69"/>
        <v>31.25</v>
      </c>
      <c r="F1173" s="329">
        <v>11.7</v>
      </c>
      <c r="G1173" s="329">
        <f t="shared" si="70"/>
        <v>11.366666666666667</v>
      </c>
      <c r="H1173" s="329">
        <v>11.5</v>
      </c>
      <c r="I1173" s="329">
        <f t="shared" si="71"/>
        <v>11.166666666666666</v>
      </c>
      <c r="L1173" s="331">
        <v>40649</v>
      </c>
      <c r="M1173" s="329">
        <v>25.95</v>
      </c>
      <c r="N1173" s="329">
        <v>31.25</v>
      </c>
      <c r="O1173" s="329">
        <v>11.366666666666667</v>
      </c>
      <c r="P1173" s="329">
        <v>11.166666666666666</v>
      </c>
    </row>
    <row r="1174" spans="1:16">
      <c r="A1174" s="331">
        <v>40649</v>
      </c>
      <c r="B1174" s="329">
        <v>26</v>
      </c>
      <c r="C1174" s="329">
        <f t="shared" si="72"/>
        <v>25.95</v>
      </c>
      <c r="D1174" s="329">
        <v>31.5</v>
      </c>
      <c r="E1174" s="329">
        <f t="shared" si="69"/>
        <v>31.25</v>
      </c>
      <c r="F1174" s="329">
        <v>10.9</v>
      </c>
      <c r="G1174" s="329">
        <f t="shared" si="70"/>
        <v>11.366666666666667</v>
      </c>
      <c r="H1174" s="329">
        <v>11.4</v>
      </c>
      <c r="I1174" s="329">
        <f t="shared" si="71"/>
        <v>11.166666666666666</v>
      </c>
      <c r="L1174" s="331">
        <v>40649</v>
      </c>
      <c r="M1174" s="329">
        <v>25.95</v>
      </c>
      <c r="N1174" s="329">
        <v>31.25</v>
      </c>
      <c r="O1174" s="329">
        <v>11.366666666666667</v>
      </c>
      <c r="P1174" s="329">
        <v>11.166666666666666</v>
      </c>
    </row>
    <row r="1175" spans="1:16">
      <c r="A1175" s="331">
        <v>40649</v>
      </c>
      <c r="B1175" s="329">
        <v>26</v>
      </c>
      <c r="C1175" s="329">
        <f t="shared" si="72"/>
        <v>25.95</v>
      </c>
      <c r="D1175" s="329">
        <v>31.5</v>
      </c>
      <c r="E1175" s="329">
        <f t="shared" si="69"/>
        <v>31.25</v>
      </c>
      <c r="F1175" s="329">
        <v>10.1</v>
      </c>
      <c r="G1175" s="329">
        <f t="shared" si="70"/>
        <v>11.366666666666667</v>
      </c>
      <c r="H1175" s="329">
        <v>11.1</v>
      </c>
      <c r="I1175" s="329">
        <f t="shared" si="71"/>
        <v>11.166666666666666</v>
      </c>
      <c r="L1175" s="331">
        <v>40649</v>
      </c>
      <c r="M1175" s="329">
        <v>25.95</v>
      </c>
      <c r="N1175" s="329">
        <v>31.25</v>
      </c>
      <c r="O1175" s="329">
        <v>11.366666666666667</v>
      </c>
      <c r="P1175" s="329">
        <v>11.166666666666666</v>
      </c>
    </row>
    <row r="1176" spans="1:16">
      <c r="A1176" s="331">
        <v>40649</v>
      </c>
      <c r="B1176" s="329">
        <v>26</v>
      </c>
      <c r="C1176" s="329">
        <f t="shared" si="72"/>
        <v>25.95</v>
      </c>
      <c r="D1176" s="329">
        <v>31.4</v>
      </c>
      <c r="E1176" s="329">
        <f t="shared" si="69"/>
        <v>31.25</v>
      </c>
      <c r="F1176" s="329">
        <v>10.6</v>
      </c>
      <c r="G1176" s="329">
        <f t="shared" si="70"/>
        <v>11.366666666666667</v>
      </c>
      <c r="H1176" s="329">
        <v>10.9</v>
      </c>
      <c r="I1176" s="329">
        <f t="shared" si="71"/>
        <v>11.166666666666666</v>
      </c>
      <c r="L1176" s="331">
        <v>40649</v>
      </c>
      <c r="M1176" s="329">
        <v>25.95</v>
      </c>
      <c r="N1176" s="329">
        <v>31.25</v>
      </c>
      <c r="O1176" s="329">
        <v>11.366666666666667</v>
      </c>
      <c r="P1176" s="329">
        <v>11.166666666666666</v>
      </c>
    </row>
    <row r="1177" spans="1:16">
      <c r="A1177" s="331">
        <v>40649</v>
      </c>
      <c r="B1177" s="329">
        <v>25.9</v>
      </c>
      <c r="C1177" s="329">
        <f t="shared" si="72"/>
        <v>25.95</v>
      </c>
      <c r="D1177" s="329">
        <v>31</v>
      </c>
      <c r="E1177" s="329">
        <f t="shared" si="69"/>
        <v>31.25</v>
      </c>
      <c r="F1177" s="329">
        <v>12.2</v>
      </c>
      <c r="G1177" s="329">
        <f t="shared" si="70"/>
        <v>11.366666666666667</v>
      </c>
      <c r="H1177" s="329">
        <v>10.9</v>
      </c>
      <c r="I1177" s="329">
        <f t="shared" si="71"/>
        <v>11.166666666666666</v>
      </c>
      <c r="L1177" s="331">
        <v>40649</v>
      </c>
      <c r="M1177" s="329">
        <v>25.95</v>
      </c>
      <c r="N1177" s="329">
        <v>31.25</v>
      </c>
      <c r="O1177" s="329">
        <v>11.366666666666667</v>
      </c>
      <c r="P1177" s="329">
        <v>11.166666666666666</v>
      </c>
    </row>
    <row r="1178" spans="1:16">
      <c r="A1178" s="331">
        <v>40649</v>
      </c>
      <c r="B1178" s="329">
        <v>25.7</v>
      </c>
      <c r="C1178" s="329">
        <f t="shared" si="72"/>
        <v>25.95</v>
      </c>
      <c r="D1178" s="329">
        <v>30.6</v>
      </c>
      <c r="E1178" s="329">
        <f t="shared" si="69"/>
        <v>31.25</v>
      </c>
      <c r="F1178" s="329">
        <v>12.7</v>
      </c>
      <c r="G1178" s="329">
        <f t="shared" si="70"/>
        <v>11.366666666666667</v>
      </c>
      <c r="H1178" s="329">
        <v>11.2</v>
      </c>
      <c r="I1178" s="329">
        <f t="shared" si="71"/>
        <v>11.166666666666666</v>
      </c>
      <c r="L1178" s="331">
        <v>40649</v>
      </c>
      <c r="M1178" s="329">
        <v>25.95</v>
      </c>
      <c r="N1178" s="329">
        <v>31.25</v>
      </c>
      <c r="O1178" s="329">
        <v>11.366666666666667</v>
      </c>
      <c r="P1178" s="329">
        <v>11.166666666666666</v>
      </c>
    </row>
    <row r="1179" spans="1:16">
      <c r="A1179" s="331">
        <v>40650</v>
      </c>
      <c r="B1179" s="329">
        <v>25.7</v>
      </c>
      <c r="C1179" s="329">
        <f t="shared" si="72"/>
        <v>25.533333333333335</v>
      </c>
      <c r="D1179" s="329">
        <v>30.6</v>
      </c>
      <c r="E1179" s="329">
        <f t="shared" si="69"/>
        <v>30.3</v>
      </c>
      <c r="F1179" s="329">
        <v>11.7</v>
      </c>
      <c r="G1179" s="329">
        <f t="shared" si="70"/>
        <v>11.6</v>
      </c>
      <c r="H1179" s="329">
        <v>11.4</v>
      </c>
      <c r="I1179" s="329">
        <f t="shared" si="71"/>
        <v>11.15</v>
      </c>
      <c r="L1179" s="331">
        <v>40650</v>
      </c>
      <c r="M1179" s="329">
        <v>25.533333333333335</v>
      </c>
      <c r="N1179" s="329">
        <v>30.3</v>
      </c>
      <c r="O1179" s="329">
        <v>11.6</v>
      </c>
      <c r="P1179" s="329">
        <v>11.15</v>
      </c>
    </row>
    <row r="1180" spans="1:16">
      <c r="A1180" s="331">
        <v>40650</v>
      </c>
      <c r="B1180" s="329">
        <v>25.7</v>
      </c>
      <c r="C1180" s="329">
        <f t="shared" si="72"/>
        <v>25.533333333333335</v>
      </c>
      <c r="D1180" s="329">
        <v>30.6</v>
      </c>
      <c r="E1180" s="329">
        <f t="shared" si="69"/>
        <v>30.3</v>
      </c>
      <c r="F1180" s="329">
        <v>10.7</v>
      </c>
      <c r="G1180" s="329">
        <f t="shared" si="70"/>
        <v>11.6</v>
      </c>
      <c r="H1180" s="329">
        <v>11.3</v>
      </c>
      <c r="I1180" s="329">
        <f t="shared" si="71"/>
        <v>11.15</v>
      </c>
      <c r="L1180" s="331">
        <v>40650</v>
      </c>
      <c r="M1180" s="329">
        <v>25.533333333333335</v>
      </c>
      <c r="N1180" s="329">
        <v>30.3</v>
      </c>
      <c r="O1180" s="329">
        <v>11.6</v>
      </c>
      <c r="P1180" s="329">
        <v>11.15</v>
      </c>
    </row>
    <row r="1181" spans="1:16">
      <c r="A1181" s="331">
        <v>40650</v>
      </c>
      <c r="B1181" s="329">
        <v>25.6</v>
      </c>
      <c r="C1181" s="329">
        <f t="shared" si="72"/>
        <v>25.533333333333335</v>
      </c>
      <c r="D1181" s="329">
        <v>30.6</v>
      </c>
      <c r="E1181" s="329">
        <f t="shared" si="69"/>
        <v>30.3</v>
      </c>
      <c r="F1181" s="329">
        <v>10.199999999999999</v>
      </c>
      <c r="G1181" s="329">
        <f t="shared" si="70"/>
        <v>11.6</v>
      </c>
      <c r="H1181" s="329">
        <v>11</v>
      </c>
      <c r="I1181" s="329">
        <f t="shared" si="71"/>
        <v>11.15</v>
      </c>
      <c r="L1181" s="331">
        <v>40650</v>
      </c>
      <c r="M1181" s="329">
        <v>25.533333333333335</v>
      </c>
      <c r="N1181" s="329">
        <v>30.3</v>
      </c>
      <c r="O1181" s="329">
        <v>11.6</v>
      </c>
      <c r="P1181" s="329">
        <v>11.15</v>
      </c>
    </row>
    <row r="1182" spans="1:16">
      <c r="A1182" s="331">
        <v>40650</v>
      </c>
      <c r="B1182" s="329">
        <v>25.5</v>
      </c>
      <c r="C1182" s="329">
        <f t="shared" si="72"/>
        <v>25.533333333333335</v>
      </c>
      <c r="D1182" s="329">
        <v>30.4</v>
      </c>
      <c r="E1182" s="329">
        <f t="shared" si="69"/>
        <v>30.3</v>
      </c>
      <c r="F1182" s="329">
        <v>10.9</v>
      </c>
      <c r="G1182" s="329">
        <f t="shared" si="70"/>
        <v>11.6</v>
      </c>
      <c r="H1182" s="329">
        <v>10.8</v>
      </c>
      <c r="I1182" s="329">
        <f t="shared" si="71"/>
        <v>11.15</v>
      </c>
      <c r="L1182" s="331">
        <v>40650</v>
      </c>
      <c r="M1182" s="329">
        <v>25.533333333333335</v>
      </c>
      <c r="N1182" s="329">
        <v>30.3</v>
      </c>
      <c r="O1182" s="329">
        <v>11.6</v>
      </c>
      <c r="P1182" s="329">
        <v>11.15</v>
      </c>
    </row>
    <row r="1183" spans="1:16">
      <c r="A1183" s="331">
        <v>40650</v>
      </c>
      <c r="B1183" s="329">
        <v>25.4</v>
      </c>
      <c r="C1183" s="329">
        <f t="shared" si="72"/>
        <v>25.533333333333335</v>
      </c>
      <c r="D1183" s="329">
        <v>30</v>
      </c>
      <c r="E1183" s="329">
        <f t="shared" si="69"/>
        <v>30.3</v>
      </c>
      <c r="F1183" s="329">
        <v>12.8</v>
      </c>
      <c r="G1183" s="329">
        <f t="shared" si="70"/>
        <v>11.6</v>
      </c>
      <c r="H1183" s="329">
        <v>11</v>
      </c>
      <c r="I1183" s="329">
        <f t="shared" si="71"/>
        <v>11.15</v>
      </c>
      <c r="L1183" s="331">
        <v>40650</v>
      </c>
      <c r="M1183" s="329">
        <v>25.533333333333335</v>
      </c>
      <c r="N1183" s="329">
        <v>30.3</v>
      </c>
      <c r="O1183" s="329">
        <v>11.6</v>
      </c>
      <c r="P1183" s="329">
        <v>11.15</v>
      </c>
    </row>
    <row r="1184" spans="1:16">
      <c r="A1184" s="331">
        <v>40650</v>
      </c>
      <c r="B1184" s="329">
        <v>25.3</v>
      </c>
      <c r="C1184" s="329">
        <f t="shared" si="72"/>
        <v>25.533333333333335</v>
      </c>
      <c r="D1184" s="329">
        <v>29.6</v>
      </c>
      <c r="E1184" s="329">
        <f t="shared" si="69"/>
        <v>30.3</v>
      </c>
      <c r="F1184" s="329">
        <v>13.3</v>
      </c>
      <c r="G1184" s="329">
        <f t="shared" si="70"/>
        <v>11.6</v>
      </c>
      <c r="H1184" s="329">
        <v>11.4</v>
      </c>
      <c r="I1184" s="329">
        <f t="shared" si="71"/>
        <v>11.15</v>
      </c>
      <c r="L1184" s="331">
        <v>40650</v>
      </c>
      <c r="M1184" s="329">
        <v>25.533333333333335</v>
      </c>
      <c r="N1184" s="329">
        <v>30.3</v>
      </c>
      <c r="O1184" s="329">
        <v>11.6</v>
      </c>
      <c r="P1184" s="329">
        <v>11.15</v>
      </c>
    </row>
    <row r="1185" spans="1:16">
      <c r="A1185" s="331">
        <v>40651</v>
      </c>
      <c r="B1185" s="329">
        <v>25.2</v>
      </c>
      <c r="C1185" s="329">
        <f t="shared" si="72"/>
        <v>25.099999999999998</v>
      </c>
      <c r="D1185" s="329">
        <v>29.6</v>
      </c>
      <c r="E1185" s="329">
        <f t="shared" si="69"/>
        <v>29.400000000000002</v>
      </c>
      <c r="F1185" s="329">
        <v>12.8</v>
      </c>
      <c r="G1185" s="329">
        <f t="shared" si="70"/>
        <v>12.950000000000001</v>
      </c>
      <c r="H1185" s="329">
        <v>11.7</v>
      </c>
      <c r="I1185" s="329">
        <f t="shared" si="71"/>
        <v>11.833333333333334</v>
      </c>
      <c r="L1185" s="331">
        <v>40651</v>
      </c>
      <c r="M1185" s="329">
        <v>25.099999999999998</v>
      </c>
      <c r="N1185" s="329">
        <v>29.400000000000002</v>
      </c>
      <c r="O1185" s="329">
        <v>12.950000000000001</v>
      </c>
      <c r="P1185" s="329">
        <v>11.833333333333334</v>
      </c>
    </row>
    <row r="1186" spans="1:16">
      <c r="A1186" s="331">
        <v>40651</v>
      </c>
      <c r="B1186" s="329">
        <v>25.2</v>
      </c>
      <c r="C1186" s="329">
        <f t="shared" si="72"/>
        <v>25.099999999999998</v>
      </c>
      <c r="D1186" s="329">
        <v>29.6</v>
      </c>
      <c r="E1186" s="329">
        <f t="shared" ref="E1186:E1249" si="73">AVERAGEIFS($D$33:$D$1494,$A$33:$A$1494,A1186)</f>
        <v>29.400000000000002</v>
      </c>
      <c r="F1186" s="329">
        <v>12.3</v>
      </c>
      <c r="G1186" s="329">
        <f t="shared" ref="G1186:G1249" si="74">AVERAGEIFS($F$33:$F$1494,$A$33:$A$1494,A1186)</f>
        <v>12.950000000000001</v>
      </c>
      <c r="H1186" s="329">
        <v>11.8</v>
      </c>
      <c r="I1186" s="329">
        <f t="shared" ref="I1186:I1249" si="75">AVERAGEIFS($H$33:$H$1494,$A$33:$A$1494,A1186)</f>
        <v>11.833333333333334</v>
      </c>
      <c r="L1186" s="331">
        <v>40651</v>
      </c>
      <c r="M1186" s="329">
        <v>25.099999999999998</v>
      </c>
      <c r="N1186" s="329">
        <v>29.400000000000002</v>
      </c>
      <c r="O1186" s="329">
        <v>12.950000000000001</v>
      </c>
      <c r="P1186" s="329">
        <v>11.833333333333334</v>
      </c>
    </row>
    <row r="1187" spans="1:16">
      <c r="A1187" s="331">
        <v>40651</v>
      </c>
      <c r="B1187" s="329">
        <v>25.2</v>
      </c>
      <c r="C1187" s="329">
        <f t="shared" si="72"/>
        <v>25.099999999999998</v>
      </c>
      <c r="D1187" s="329">
        <v>29.6</v>
      </c>
      <c r="E1187" s="329">
        <f t="shared" si="73"/>
        <v>29.400000000000002</v>
      </c>
      <c r="F1187" s="329">
        <v>11.9</v>
      </c>
      <c r="G1187" s="329">
        <f t="shared" si="74"/>
        <v>12.950000000000001</v>
      </c>
      <c r="H1187" s="329">
        <v>11.7</v>
      </c>
      <c r="I1187" s="329">
        <f t="shared" si="75"/>
        <v>11.833333333333334</v>
      </c>
      <c r="L1187" s="331">
        <v>40651</v>
      </c>
      <c r="M1187" s="329">
        <v>25.099999999999998</v>
      </c>
      <c r="N1187" s="329">
        <v>29.400000000000002</v>
      </c>
      <c r="O1187" s="329">
        <v>12.950000000000001</v>
      </c>
      <c r="P1187" s="329">
        <v>11.833333333333334</v>
      </c>
    </row>
    <row r="1188" spans="1:16">
      <c r="A1188" s="331">
        <v>40651</v>
      </c>
      <c r="B1188" s="329">
        <v>25.1</v>
      </c>
      <c r="C1188" s="329">
        <f t="shared" si="72"/>
        <v>25.099999999999998</v>
      </c>
      <c r="D1188" s="329">
        <v>29.5</v>
      </c>
      <c r="E1188" s="329">
        <f t="shared" si="73"/>
        <v>29.400000000000002</v>
      </c>
      <c r="F1188" s="329">
        <v>12.5</v>
      </c>
      <c r="G1188" s="329">
        <f t="shared" si="74"/>
        <v>12.950000000000001</v>
      </c>
      <c r="H1188" s="329">
        <v>11.7</v>
      </c>
      <c r="I1188" s="329">
        <f t="shared" si="75"/>
        <v>11.833333333333334</v>
      </c>
      <c r="L1188" s="331">
        <v>40651</v>
      </c>
      <c r="M1188" s="329">
        <v>25.099999999999998</v>
      </c>
      <c r="N1188" s="329">
        <v>29.400000000000002</v>
      </c>
      <c r="O1188" s="329">
        <v>12.950000000000001</v>
      </c>
      <c r="P1188" s="329">
        <v>11.833333333333334</v>
      </c>
    </row>
    <row r="1189" spans="1:16">
      <c r="A1189" s="331">
        <v>40651</v>
      </c>
      <c r="B1189" s="329">
        <v>25</v>
      </c>
      <c r="C1189" s="329">
        <f t="shared" si="72"/>
        <v>25.099999999999998</v>
      </c>
      <c r="D1189" s="329">
        <v>29.2</v>
      </c>
      <c r="E1189" s="329">
        <f t="shared" si="73"/>
        <v>29.400000000000002</v>
      </c>
      <c r="F1189" s="329">
        <v>14</v>
      </c>
      <c r="G1189" s="329">
        <f t="shared" si="74"/>
        <v>12.950000000000001</v>
      </c>
      <c r="H1189" s="329">
        <v>11.9</v>
      </c>
      <c r="I1189" s="329">
        <f t="shared" si="75"/>
        <v>11.833333333333334</v>
      </c>
      <c r="L1189" s="331">
        <v>40651</v>
      </c>
      <c r="M1189" s="329">
        <v>25.099999999999998</v>
      </c>
      <c r="N1189" s="329">
        <v>29.400000000000002</v>
      </c>
      <c r="O1189" s="329">
        <v>12.950000000000001</v>
      </c>
      <c r="P1189" s="329">
        <v>11.833333333333334</v>
      </c>
    </row>
    <row r="1190" spans="1:16">
      <c r="A1190" s="331">
        <v>40651</v>
      </c>
      <c r="B1190" s="329">
        <v>24.9</v>
      </c>
      <c r="C1190" s="329">
        <f t="shared" si="72"/>
        <v>25.099999999999998</v>
      </c>
      <c r="D1190" s="329">
        <v>28.9</v>
      </c>
      <c r="E1190" s="329">
        <f t="shared" si="73"/>
        <v>29.400000000000002</v>
      </c>
      <c r="F1190" s="329">
        <v>14.2</v>
      </c>
      <c r="G1190" s="329">
        <f t="shared" si="74"/>
        <v>12.950000000000001</v>
      </c>
      <c r="H1190" s="329">
        <v>12.2</v>
      </c>
      <c r="I1190" s="329">
        <f t="shared" si="75"/>
        <v>11.833333333333334</v>
      </c>
      <c r="L1190" s="331">
        <v>40651</v>
      </c>
      <c r="M1190" s="329">
        <v>25.099999999999998</v>
      </c>
      <c r="N1190" s="329">
        <v>29.400000000000002</v>
      </c>
      <c r="O1190" s="329">
        <v>12.950000000000001</v>
      </c>
      <c r="P1190" s="329">
        <v>11.833333333333334</v>
      </c>
    </row>
    <row r="1191" spans="1:16">
      <c r="A1191" s="331">
        <v>40652</v>
      </c>
      <c r="B1191" s="329">
        <v>24.8</v>
      </c>
      <c r="C1191" s="329">
        <f t="shared" si="72"/>
        <v>24.566666666666666</v>
      </c>
      <c r="D1191" s="329">
        <v>28.8</v>
      </c>
      <c r="E1191" s="329">
        <f t="shared" si="73"/>
        <v>28.616666666666664</v>
      </c>
      <c r="F1191" s="329">
        <v>13.4</v>
      </c>
      <c r="G1191" s="329">
        <f t="shared" si="74"/>
        <v>13.066666666666665</v>
      </c>
      <c r="H1191" s="329">
        <v>12.4</v>
      </c>
      <c r="I1191" s="329">
        <f t="shared" si="75"/>
        <v>12.266666666666667</v>
      </c>
      <c r="L1191" s="331">
        <v>40652</v>
      </c>
      <c r="M1191" s="329">
        <v>24.566666666666666</v>
      </c>
      <c r="N1191" s="329">
        <v>28.616666666666664</v>
      </c>
      <c r="O1191" s="329">
        <v>13.066666666666665</v>
      </c>
      <c r="P1191" s="329">
        <v>12.266666666666667</v>
      </c>
    </row>
    <row r="1192" spans="1:16">
      <c r="A1192" s="331">
        <v>40652</v>
      </c>
      <c r="B1192" s="329">
        <v>24.7</v>
      </c>
      <c r="C1192" s="329">
        <f t="shared" ref="C1192:C1255" si="76">AVERAGEIFS($B$33:$B$1494,$A$33:$A$1494,A1192)</f>
        <v>24.566666666666666</v>
      </c>
      <c r="D1192" s="329">
        <v>28.8</v>
      </c>
      <c r="E1192" s="329">
        <f t="shared" si="73"/>
        <v>28.616666666666664</v>
      </c>
      <c r="F1192" s="329">
        <v>12.6</v>
      </c>
      <c r="G1192" s="329">
        <f t="shared" si="74"/>
        <v>13.066666666666665</v>
      </c>
      <c r="H1192" s="329">
        <v>12.4</v>
      </c>
      <c r="I1192" s="329">
        <f t="shared" si="75"/>
        <v>12.266666666666667</v>
      </c>
      <c r="L1192" s="331">
        <v>40652</v>
      </c>
      <c r="M1192" s="329">
        <v>24.566666666666666</v>
      </c>
      <c r="N1192" s="329">
        <v>28.616666666666664</v>
      </c>
      <c r="O1192" s="329">
        <v>13.066666666666665</v>
      </c>
      <c r="P1192" s="329">
        <v>12.266666666666667</v>
      </c>
    </row>
    <row r="1193" spans="1:16">
      <c r="A1193" s="331">
        <v>40652</v>
      </c>
      <c r="B1193" s="329">
        <v>24.7</v>
      </c>
      <c r="C1193" s="329">
        <f t="shared" si="76"/>
        <v>24.566666666666666</v>
      </c>
      <c r="D1193" s="329">
        <v>28.8</v>
      </c>
      <c r="E1193" s="329">
        <f t="shared" si="73"/>
        <v>28.616666666666664</v>
      </c>
      <c r="F1193" s="329">
        <v>12.1</v>
      </c>
      <c r="G1193" s="329">
        <f t="shared" si="74"/>
        <v>13.066666666666665</v>
      </c>
      <c r="H1193" s="329">
        <v>12.2</v>
      </c>
      <c r="I1193" s="329">
        <f t="shared" si="75"/>
        <v>12.266666666666667</v>
      </c>
      <c r="L1193" s="331">
        <v>40652</v>
      </c>
      <c r="M1193" s="329">
        <v>24.566666666666666</v>
      </c>
      <c r="N1193" s="329">
        <v>28.616666666666664</v>
      </c>
      <c r="O1193" s="329">
        <v>13.066666666666665</v>
      </c>
      <c r="P1193" s="329">
        <v>12.266666666666667</v>
      </c>
    </row>
    <row r="1194" spans="1:16">
      <c r="A1194" s="331">
        <v>40652</v>
      </c>
      <c r="B1194" s="329">
        <v>24.5</v>
      </c>
      <c r="C1194" s="329">
        <f t="shared" si="76"/>
        <v>24.566666666666666</v>
      </c>
      <c r="D1194" s="329">
        <v>28.7</v>
      </c>
      <c r="E1194" s="329">
        <f t="shared" si="73"/>
        <v>28.616666666666664</v>
      </c>
      <c r="F1194" s="329">
        <v>12.7</v>
      </c>
      <c r="G1194" s="329">
        <f t="shared" si="74"/>
        <v>13.066666666666665</v>
      </c>
      <c r="H1194" s="329">
        <v>12.1</v>
      </c>
      <c r="I1194" s="329">
        <f t="shared" si="75"/>
        <v>12.266666666666667</v>
      </c>
      <c r="L1194" s="331">
        <v>40652</v>
      </c>
      <c r="M1194" s="329">
        <v>24.566666666666666</v>
      </c>
      <c r="N1194" s="329">
        <v>28.616666666666664</v>
      </c>
      <c r="O1194" s="329">
        <v>13.066666666666665</v>
      </c>
      <c r="P1194" s="329">
        <v>12.266666666666667</v>
      </c>
    </row>
    <row r="1195" spans="1:16">
      <c r="A1195" s="331">
        <v>40652</v>
      </c>
      <c r="B1195" s="329">
        <v>24.4</v>
      </c>
      <c r="C1195" s="329">
        <f t="shared" si="76"/>
        <v>24.566666666666666</v>
      </c>
      <c r="D1195" s="329">
        <v>28.4</v>
      </c>
      <c r="E1195" s="329">
        <f t="shared" si="73"/>
        <v>28.616666666666664</v>
      </c>
      <c r="F1195" s="329">
        <v>13.8</v>
      </c>
      <c r="G1195" s="329">
        <f t="shared" si="74"/>
        <v>13.066666666666665</v>
      </c>
      <c r="H1195" s="329">
        <v>12.1</v>
      </c>
      <c r="I1195" s="329">
        <f t="shared" si="75"/>
        <v>12.266666666666667</v>
      </c>
      <c r="L1195" s="331">
        <v>40652</v>
      </c>
      <c r="M1195" s="329">
        <v>24.566666666666666</v>
      </c>
      <c r="N1195" s="329">
        <v>28.616666666666664</v>
      </c>
      <c r="O1195" s="329">
        <v>13.066666666666665</v>
      </c>
      <c r="P1195" s="329">
        <v>12.266666666666667</v>
      </c>
    </row>
    <row r="1196" spans="1:16">
      <c r="A1196" s="331">
        <v>40652</v>
      </c>
      <c r="B1196" s="329">
        <v>24.3</v>
      </c>
      <c r="C1196" s="329">
        <f t="shared" si="76"/>
        <v>24.566666666666666</v>
      </c>
      <c r="D1196" s="329">
        <v>28.2</v>
      </c>
      <c r="E1196" s="329">
        <f t="shared" si="73"/>
        <v>28.616666666666664</v>
      </c>
      <c r="F1196" s="329">
        <v>13.8</v>
      </c>
      <c r="G1196" s="329">
        <f t="shared" si="74"/>
        <v>13.066666666666665</v>
      </c>
      <c r="H1196" s="329">
        <v>12.4</v>
      </c>
      <c r="I1196" s="329">
        <f t="shared" si="75"/>
        <v>12.266666666666667</v>
      </c>
      <c r="L1196" s="331">
        <v>40652</v>
      </c>
      <c r="M1196" s="329">
        <v>24.566666666666666</v>
      </c>
      <c r="N1196" s="329">
        <v>28.616666666666664</v>
      </c>
      <c r="O1196" s="329">
        <v>13.066666666666665</v>
      </c>
      <c r="P1196" s="329">
        <v>12.266666666666667</v>
      </c>
    </row>
    <row r="1197" spans="1:16">
      <c r="A1197" s="331">
        <v>40653</v>
      </c>
      <c r="B1197" s="329">
        <v>24.2</v>
      </c>
      <c r="C1197" s="329">
        <f t="shared" si="76"/>
        <v>24.05</v>
      </c>
      <c r="D1197" s="329">
        <v>28.1</v>
      </c>
      <c r="E1197" s="329">
        <f t="shared" si="73"/>
        <v>27.916666666666668</v>
      </c>
      <c r="F1197" s="329">
        <v>13.2</v>
      </c>
      <c r="G1197" s="329">
        <f t="shared" si="74"/>
        <v>13.333333333333334</v>
      </c>
      <c r="H1197" s="329">
        <v>12.5</v>
      </c>
      <c r="I1197" s="329">
        <f t="shared" si="75"/>
        <v>12.4</v>
      </c>
      <c r="L1197" s="331">
        <v>40653</v>
      </c>
      <c r="M1197" s="329">
        <v>24.05</v>
      </c>
      <c r="N1197" s="329">
        <v>27.916666666666668</v>
      </c>
      <c r="O1197" s="329">
        <v>13.333333333333334</v>
      </c>
      <c r="P1197" s="329">
        <v>12.4</v>
      </c>
    </row>
    <row r="1198" spans="1:16">
      <c r="A1198" s="331">
        <v>40653</v>
      </c>
      <c r="B1198" s="329">
        <v>24.2</v>
      </c>
      <c r="C1198" s="329">
        <f t="shared" si="76"/>
        <v>24.05</v>
      </c>
      <c r="D1198" s="329">
        <v>28.1</v>
      </c>
      <c r="E1198" s="329">
        <f t="shared" si="73"/>
        <v>27.916666666666668</v>
      </c>
      <c r="F1198" s="329">
        <v>12.7</v>
      </c>
      <c r="G1198" s="329">
        <f t="shared" si="74"/>
        <v>13.333333333333334</v>
      </c>
      <c r="H1198" s="329">
        <v>12.4</v>
      </c>
      <c r="I1198" s="329">
        <f t="shared" si="75"/>
        <v>12.4</v>
      </c>
      <c r="L1198" s="331">
        <v>40653</v>
      </c>
      <c r="M1198" s="329">
        <v>24.05</v>
      </c>
      <c r="N1198" s="329">
        <v>27.916666666666668</v>
      </c>
      <c r="O1198" s="329">
        <v>13.333333333333334</v>
      </c>
      <c r="P1198" s="329">
        <v>12.4</v>
      </c>
    </row>
    <row r="1199" spans="1:16">
      <c r="A1199" s="331">
        <v>40653</v>
      </c>
      <c r="B1199" s="329">
        <v>24.1</v>
      </c>
      <c r="C1199" s="329">
        <f t="shared" si="76"/>
        <v>24.05</v>
      </c>
      <c r="D1199" s="329">
        <v>28.1</v>
      </c>
      <c r="E1199" s="329">
        <f t="shared" si="73"/>
        <v>27.916666666666668</v>
      </c>
      <c r="F1199" s="329">
        <v>12.4</v>
      </c>
      <c r="G1199" s="329">
        <f t="shared" si="74"/>
        <v>13.333333333333334</v>
      </c>
      <c r="H1199" s="329">
        <v>12.3</v>
      </c>
      <c r="I1199" s="329">
        <f t="shared" si="75"/>
        <v>12.4</v>
      </c>
      <c r="L1199" s="331">
        <v>40653</v>
      </c>
      <c r="M1199" s="329">
        <v>24.05</v>
      </c>
      <c r="N1199" s="329">
        <v>27.916666666666668</v>
      </c>
      <c r="O1199" s="329">
        <v>13.333333333333334</v>
      </c>
      <c r="P1199" s="329">
        <v>12.4</v>
      </c>
    </row>
    <row r="1200" spans="1:16">
      <c r="A1200" s="331">
        <v>40653</v>
      </c>
      <c r="B1200" s="329">
        <v>24.1</v>
      </c>
      <c r="C1200" s="329">
        <f t="shared" si="76"/>
        <v>24.05</v>
      </c>
      <c r="D1200" s="329">
        <v>28</v>
      </c>
      <c r="E1200" s="329">
        <f t="shared" si="73"/>
        <v>27.916666666666668</v>
      </c>
      <c r="F1200" s="329">
        <v>12.9</v>
      </c>
      <c r="G1200" s="329">
        <f t="shared" si="74"/>
        <v>13.333333333333334</v>
      </c>
      <c r="H1200" s="329">
        <v>12.2</v>
      </c>
      <c r="I1200" s="329">
        <f t="shared" si="75"/>
        <v>12.4</v>
      </c>
      <c r="L1200" s="331">
        <v>40653</v>
      </c>
      <c r="M1200" s="329">
        <v>24.05</v>
      </c>
      <c r="N1200" s="329">
        <v>27.916666666666668</v>
      </c>
      <c r="O1200" s="329">
        <v>13.333333333333334</v>
      </c>
      <c r="P1200" s="329">
        <v>12.4</v>
      </c>
    </row>
    <row r="1201" spans="1:16">
      <c r="A1201" s="331">
        <v>40653</v>
      </c>
      <c r="B1201" s="329">
        <v>23.9</v>
      </c>
      <c r="C1201" s="329">
        <f t="shared" si="76"/>
        <v>24.05</v>
      </c>
      <c r="D1201" s="329">
        <v>27.7</v>
      </c>
      <c r="E1201" s="329">
        <f t="shared" si="73"/>
        <v>27.916666666666668</v>
      </c>
      <c r="F1201" s="329">
        <v>14.3</v>
      </c>
      <c r="G1201" s="329">
        <f t="shared" si="74"/>
        <v>13.333333333333334</v>
      </c>
      <c r="H1201" s="329">
        <v>12.3</v>
      </c>
      <c r="I1201" s="329">
        <f t="shared" si="75"/>
        <v>12.4</v>
      </c>
      <c r="L1201" s="331">
        <v>40653</v>
      </c>
      <c r="M1201" s="329">
        <v>24.05</v>
      </c>
      <c r="N1201" s="329">
        <v>27.916666666666668</v>
      </c>
      <c r="O1201" s="329">
        <v>13.333333333333334</v>
      </c>
      <c r="P1201" s="329">
        <v>12.4</v>
      </c>
    </row>
    <row r="1202" spans="1:16">
      <c r="A1202" s="331">
        <v>40653</v>
      </c>
      <c r="B1202" s="329">
        <v>23.8</v>
      </c>
      <c r="C1202" s="329">
        <f t="shared" si="76"/>
        <v>24.05</v>
      </c>
      <c r="D1202" s="329">
        <v>27.5</v>
      </c>
      <c r="E1202" s="329">
        <f t="shared" si="73"/>
        <v>27.916666666666668</v>
      </c>
      <c r="F1202" s="329">
        <v>14.5</v>
      </c>
      <c r="G1202" s="329">
        <f t="shared" si="74"/>
        <v>13.333333333333334</v>
      </c>
      <c r="H1202" s="329">
        <v>12.7</v>
      </c>
      <c r="I1202" s="329">
        <f t="shared" si="75"/>
        <v>12.4</v>
      </c>
      <c r="L1202" s="331">
        <v>40653</v>
      </c>
      <c r="M1202" s="329">
        <v>24.05</v>
      </c>
      <c r="N1202" s="329">
        <v>27.916666666666668</v>
      </c>
      <c r="O1202" s="329">
        <v>13.333333333333334</v>
      </c>
      <c r="P1202" s="329">
        <v>12.4</v>
      </c>
    </row>
    <row r="1203" spans="1:16">
      <c r="A1203" s="331">
        <v>40654</v>
      </c>
      <c r="B1203" s="329">
        <v>23.8</v>
      </c>
      <c r="C1203" s="329">
        <f t="shared" si="76"/>
        <v>23.633333333333336</v>
      </c>
      <c r="D1203" s="329">
        <v>27.5</v>
      </c>
      <c r="E1203" s="329">
        <f t="shared" si="73"/>
        <v>27.283333333333335</v>
      </c>
      <c r="F1203" s="329">
        <v>13.7</v>
      </c>
      <c r="G1203" s="329">
        <f t="shared" si="74"/>
        <v>13.866666666666665</v>
      </c>
      <c r="H1203" s="329">
        <v>12.8</v>
      </c>
      <c r="I1203" s="329">
        <f t="shared" si="75"/>
        <v>12.733333333333334</v>
      </c>
      <c r="L1203" s="331">
        <v>40654</v>
      </c>
      <c r="M1203" s="329">
        <v>23.633333333333336</v>
      </c>
      <c r="N1203" s="329">
        <v>27.283333333333335</v>
      </c>
      <c r="O1203" s="329">
        <v>13.866666666666665</v>
      </c>
      <c r="P1203" s="329">
        <v>12.733333333333334</v>
      </c>
    </row>
    <row r="1204" spans="1:16">
      <c r="A1204" s="331">
        <v>40654</v>
      </c>
      <c r="B1204" s="329">
        <v>23.8</v>
      </c>
      <c r="C1204" s="329">
        <f t="shared" si="76"/>
        <v>23.633333333333336</v>
      </c>
      <c r="D1204" s="329">
        <v>27.5</v>
      </c>
      <c r="E1204" s="329">
        <f t="shared" si="73"/>
        <v>27.283333333333335</v>
      </c>
      <c r="F1204" s="329">
        <v>13.1</v>
      </c>
      <c r="G1204" s="329">
        <f t="shared" si="74"/>
        <v>13.866666666666665</v>
      </c>
      <c r="H1204" s="329">
        <v>12.8</v>
      </c>
      <c r="I1204" s="329">
        <f t="shared" si="75"/>
        <v>12.733333333333334</v>
      </c>
      <c r="L1204" s="331">
        <v>40654</v>
      </c>
      <c r="M1204" s="329">
        <v>23.633333333333336</v>
      </c>
      <c r="N1204" s="329">
        <v>27.283333333333335</v>
      </c>
      <c r="O1204" s="329">
        <v>13.866666666666665</v>
      </c>
      <c r="P1204" s="329">
        <v>12.733333333333334</v>
      </c>
    </row>
    <row r="1205" spans="1:16">
      <c r="A1205" s="331">
        <v>40654</v>
      </c>
      <c r="B1205" s="329">
        <v>23.7</v>
      </c>
      <c r="C1205" s="329">
        <f t="shared" si="76"/>
        <v>23.633333333333336</v>
      </c>
      <c r="D1205" s="329">
        <v>27.4</v>
      </c>
      <c r="E1205" s="329">
        <f t="shared" si="73"/>
        <v>27.283333333333335</v>
      </c>
      <c r="F1205" s="329">
        <v>12.9</v>
      </c>
      <c r="G1205" s="329">
        <f t="shared" si="74"/>
        <v>13.866666666666665</v>
      </c>
      <c r="H1205" s="329">
        <v>12.6</v>
      </c>
      <c r="I1205" s="329">
        <f t="shared" si="75"/>
        <v>12.733333333333334</v>
      </c>
      <c r="L1205" s="331">
        <v>40654</v>
      </c>
      <c r="M1205" s="329">
        <v>23.633333333333336</v>
      </c>
      <c r="N1205" s="329">
        <v>27.283333333333335</v>
      </c>
      <c r="O1205" s="329">
        <v>13.866666666666665</v>
      </c>
      <c r="P1205" s="329">
        <v>12.733333333333334</v>
      </c>
    </row>
    <row r="1206" spans="1:16">
      <c r="A1206" s="331">
        <v>40654</v>
      </c>
      <c r="B1206" s="329">
        <v>23.6</v>
      </c>
      <c r="C1206" s="329">
        <f t="shared" si="76"/>
        <v>23.633333333333336</v>
      </c>
      <c r="D1206" s="329">
        <v>27.3</v>
      </c>
      <c r="E1206" s="329">
        <f t="shared" si="73"/>
        <v>27.283333333333335</v>
      </c>
      <c r="F1206" s="329">
        <v>13.5</v>
      </c>
      <c r="G1206" s="329">
        <f t="shared" si="74"/>
        <v>13.866666666666665</v>
      </c>
      <c r="H1206" s="329">
        <v>12.5</v>
      </c>
      <c r="I1206" s="329">
        <f t="shared" si="75"/>
        <v>12.733333333333334</v>
      </c>
      <c r="L1206" s="331">
        <v>40654</v>
      </c>
      <c r="M1206" s="329">
        <v>23.633333333333336</v>
      </c>
      <c r="N1206" s="329">
        <v>27.283333333333335</v>
      </c>
      <c r="O1206" s="329">
        <v>13.866666666666665</v>
      </c>
      <c r="P1206" s="329">
        <v>12.733333333333334</v>
      </c>
    </row>
    <row r="1207" spans="1:16">
      <c r="A1207" s="331">
        <v>40654</v>
      </c>
      <c r="B1207" s="329">
        <v>23.5</v>
      </c>
      <c r="C1207" s="329">
        <f t="shared" si="76"/>
        <v>23.633333333333336</v>
      </c>
      <c r="D1207" s="329">
        <v>27.1</v>
      </c>
      <c r="E1207" s="329">
        <f t="shared" si="73"/>
        <v>27.283333333333335</v>
      </c>
      <c r="F1207" s="329">
        <v>14.9</v>
      </c>
      <c r="G1207" s="329">
        <f t="shared" si="74"/>
        <v>13.866666666666665</v>
      </c>
      <c r="H1207" s="329">
        <v>12.7</v>
      </c>
      <c r="I1207" s="329">
        <f t="shared" si="75"/>
        <v>12.733333333333334</v>
      </c>
      <c r="L1207" s="331">
        <v>40654</v>
      </c>
      <c r="M1207" s="329">
        <v>23.633333333333336</v>
      </c>
      <c r="N1207" s="329">
        <v>27.283333333333335</v>
      </c>
      <c r="O1207" s="329">
        <v>13.866666666666665</v>
      </c>
      <c r="P1207" s="329">
        <v>12.733333333333334</v>
      </c>
    </row>
    <row r="1208" spans="1:16">
      <c r="A1208" s="331">
        <v>40654</v>
      </c>
      <c r="B1208" s="329">
        <v>23.4</v>
      </c>
      <c r="C1208" s="329">
        <f t="shared" si="76"/>
        <v>23.633333333333336</v>
      </c>
      <c r="D1208" s="329">
        <v>26.9</v>
      </c>
      <c r="E1208" s="329">
        <f t="shared" si="73"/>
        <v>27.283333333333335</v>
      </c>
      <c r="F1208" s="329">
        <v>15.1</v>
      </c>
      <c r="G1208" s="329">
        <f t="shared" si="74"/>
        <v>13.866666666666665</v>
      </c>
      <c r="H1208" s="329">
        <v>13</v>
      </c>
      <c r="I1208" s="329">
        <f t="shared" si="75"/>
        <v>12.733333333333334</v>
      </c>
      <c r="L1208" s="331">
        <v>40654</v>
      </c>
      <c r="M1208" s="329">
        <v>23.633333333333336</v>
      </c>
      <c r="N1208" s="329">
        <v>27.283333333333335</v>
      </c>
      <c r="O1208" s="329">
        <v>13.866666666666665</v>
      </c>
      <c r="P1208" s="329">
        <v>12.733333333333334</v>
      </c>
    </row>
    <row r="1209" spans="1:16">
      <c r="A1209" s="331">
        <v>40655</v>
      </c>
      <c r="B1209" s="329">
        <v>23.4</v>
      </c>
      <c r="C1209" s="329">
        <f t="shared" si="76"/>
        <v>23.233333333333334</v>
      </c>
      <c r="D1209" s="329">
        <v>26.8</v>
      </c>
      <c r="E1209" s="329">
        <f t="shared" si="73"/>
        <v>26.666666666666671</v>
      </c>
      <c r="F1209" s="329">
        <v>14.3</v>
      </c>
      <c r="G1209" s="329">
        <f t="shared" si="74"/>
        <v>14.166666666666666</v>
      </c>
      <c r="H1209" s="329">
        <v>13.2</v>
      </c>
      <c r="I1209" s="329">
        <f t="shared" si="75"/>
        <v>13.1</v>
      </c>
      <c r="L1209" s="331">
        <v>40655</v>
      </c>
      <c r="M1209" s="329">
        <v>23.233333333333334</v>
      </c>
      <c r="N1209" s="329">
        <v>26.666666666666671</v>
      </c>
      <c r="O1209" s="329">
        <v>14.166666666666666</v>
      </c>
      <c r="P1209" s="329">
        <v>13.1</v>
      </c>
    </row>
    <row r="1210" spans="1:16">
      <c r="A1210" s="331">
        <v>40655</v>
      </c>
      <c r="B1210" s="329">
        <v>23.3</v>
      </c>
      <c r="C1210" s="329">
        <f t="shared" si="76"/>
        <v>23.233333333333334</v>
      </c>
      <c r="D1210" s="329">
        <v>26.8</v>
      </c>
      <c r="E1210" s="329">
        <f t="shared" si="73"/>
        <v>26.666666666666671</v>
      </c>
      <c r="F1210" s="329">
        <v>13.7</v>
      </c>
      <c r="G1210" s="329">
        <f t="shared" si="74"/>
        <v>14.166666666666666</v>
      </c>
      <c r="H1210" s="329">
        <v>13.2</v>
      </c>
      <c r="I1210" s="329">
        <f t="shared" si="75"/>
        <v>13.1</v>
      </c>
      <c r="L1210" s="331">
        <v>40655</v>
      </c>
      <c r="M1210" s="329">
        <v>23.233333333333334</v>
      </c>
      <c r="N1210" s="329">
        <v>26.666666666666671</v>
      </c>
      <c r="O1210" s="329">
        <v>14.166666666666666</v>
      </c>
      <c r="P1210" s="329">
        <v>13.1</v>
      </c>
    </row>
    <row r="1211" spans="1:16">
      <c r="A1211" s="331">
        <v>40655</v>
      </c>
      <c r="B1211" s="329">
        <v>23.3</v>
      </c>
      <c r="C1211" s="329">
        <f t="shared" si="76"/>
        <v>23.233333333333334</v>
      </c>
      <c r="D1211" s="329">
        <v>26.8</v>
      </c>
      <c r="E1211" s="329">
        <f t="shared" si="73"/>
        <v>26.666666666666671</v>
      </c>
      <c r="F1211" s="329">
        <v>13.3</v>
      </c>
      <c r="G1211" s="329">
        <f t="shared" si="74"/>
        <v>14.166666666666666</v>
      </c>
      <c r="H1211" s="329">
        <v>13</v>
      </c>
      <c r="I1211" s="329">
        <f t="shared" si="75"/>
        <v>13.1</v>
      </c>
      <c r="L1211" s="331">
        <v>40655</v>
      </c>
      <c r="M1211" s="329">
        <v>23.233333333333334</v>
      </c>
      <c r="N1211" s="329">
        <v>26.666666666666671</v>
      </c>
      <c r="O1211" s="329">
        <v>14.166666666666666</v>
      </c>
      <c r="P1211" s="329">
        <v>13.1</v>
      </c>
    </row>
    <row r="1212" spans="1:16">
      <c r="A1212" s="331">
        <v>40655</v>
      </c>
      <c r="B1212" s="329">
        <v>23.2</v>
      </c>
      <c r="C1212" s="329">
        <f t="shared" si="76"/>
        <v>23.233333333333334</v>
      </c>
      <c r="D1212" s="329">
        <v>26.7</v>
      </c>
      <c r="E1212" s="329">
        <f t="shared" si="73"/>
        <v>26.666666666666671</v>
      </c>
      <c r="F1212" s="329">
        <v>13.8</v>
      </c>
      <c r="G1212" s="329">
        <f t="shared" si="74"/>
        <v>14.166666666666666</v>
      </c>
      <c r="H1212" s="329">
        <v>12.9</v>
      </c>
      <c r="I1212" s="329">
        <f t="shared" si="75"/>
        <v>13.1</v>
      </c>
      <c r="L1212" s="331">
        <v>40655</v>
      </c>
      <c r="M1212" s="329">
        <v>23.233333333333334</v>
      </c>
      <c r="N1212" s="329">
        <v>26.666666666666671</v>
      </c>
      <c r="O1212" s="329">
        <v>14.166666666666666</v>
      </c>
      <c r="P1212" s="329">
        <v>13.1</v>
      </c>
    </row>
    <row r="1213" spans="1:16">
      <c r="A1213" s="331">
        <v>40655</v>
      </c>
      <c r="B1213" s="329">
        <v>23.1</v>
      </c>
      <c r="C1213" s="329">
        <f t="shared" si="76"/>
        <v>23.233333333333334</v>
      </c>
      <c r="D1213" s="329">
        <v>26.5</v>
      </c>
      <c r="E1213" s="329">
        <f t="shared" si="73"/>
        <v>26.666666666666671</v>
      </c>
      <c r="F1213" s="329">
        <v>15</v>
      </c>
      <c r="G1213" s="329">
        <f t="shared" si="74"/>
        <v>14.166666666666666</v>
      </c>
      <c r="H1213" s="329">
        <v>13</v>
      </c>
      <c r="I1213" s="329">
        <f t="shared" si="75"/>
        <v>13.1</v>
      </c>
      <c r="L1213" s="331">
        <v>40655</v>
      </c>
      <c r="M1213" s="329">
        <v>23.233333333333334</v>
      </c>
      <c r="N1213" s="329">
        <v>26.666666666666671</v>
      </c>
      <c r="O1213" s="329">
        <v>14.166666666666666</v>
      </c>
      <c r="P1213" s="329">
        <v>13.1</v>
      </c>
    </row>
    <row r="1214" spans="1:16">
      <c r="A1214" s="331">
        <v>40655</v>
      </c>
      <c r="B1214" s="329">
        <v>23.1</v>
      </c>
      <c r="C1214" s="329">
        <f t="shared" si="76"/>
        <v>23.233333333333334</v>
      </c>
      <c r="D1214" s="329">
        <v>26.4</v>
      </c>
      <c r="E1214" s="329">
        <f t="shared" si="73"/>
        <v>26.666666666666671</v>
      </c>
      <c r="F1214" s="329">
        <v>14.9</v>
      </c>
      <c r="G1214" s="329">
        <f t="shared" si="74"/>
        <v>14.166666666666666</v>
      </c>
      <c r="H1214" s="329">
        <v>13.3</v>
      </c>
      <c r="I1214" s="329">
        <f t="shared" si="75"/>
        <v>13.1</v>
      </c>
      <c r="L1214" s="331">
        <v>40655</v>
      </c>
      <c r="M1214" s="329">
        <v>23.233333333333334</v>
      </c>
      <c r="N1214" s="329">
        <v>26.666666666666671</v>
      </c>
      <c r="O1214" s="329">
        <v>14.166666666666666</v>
      </c>
      <c r="P1214" s="329">
        <v>13.1</v>
      </c>
    </row>
    <row r="1215" spans="1:16">
      <c r="A1215" s="331">
        <v>40656</v>
      </c>
      <c r="B1215" s="329">
        <v>23</v>
      </c>
      <c r="C1215" s="329">
        <f t="shared" si="76"/>
        <v>22.933333333333337</v>
      </c>
      <c r="D1215" s="329">
        <v>26.3</v>
      </c>
      <c r="E1215" s="329">
        <f t="shared" si="73"/>
        <v>26.3</v>
      </c>
      <c r="F1215" s="329">
        <v>14.2</v>
      </c>
      <c r="G1215" s="329">
        <f t="shared" si="74"/>
        <v>13.616666666666667</v>
      </c>
      <c r="H1215" s="329">
        <v>13.3</v>
      </c>
      <c r="I1215" s="329">
        <f t="shared" si="75"/>
        <v>13.066666666666668</v>
      </c>
      <c r="L1215" s="331">
        <v>40656</v>
      </c>
      <c r="M1215" s="329">
        <v>22.933333333333337</v>
      </c>
      <c r="N1215" s="329">
        <v>26.3</v>
      </c>
      <c r="O1215" s="329">
        <v>13.616666666666667</v>
      </c>
      <c r="P1215" s="329">
        <v>13.066666666666668</v>
      </c>
    </row>
    <row r="1216" spans="1:16">
      <c r="A1216" s="331">
        <v>40656</v>
      </c>
      <c r="B1216" s="329">
        <v>23</v>
      </c>
      <c r="C1216" s="329">
        <f t="shared" si="76"/>
        <v>22.933333333333337</v>
      </c>
      <c r="D1216" s="329">
        <v>26.3</v>
      </c>
      <c r="E1216" s="329">
        <f t="shared" si="73"/>
        <v>26.3</v>
      </c>
      <c r="F1216" s="329">
        <v>13.7</v>
      </c>
      <c r="G1216" s="329">
        <f t="shared" si="74"/>
        <v>13.616666666666667</v>
      </c>
      <c r="H1216" s="329">
        <v>13.3</v>
      </c>
      <c r="I1216" s="329">
        <f t="shared" si="75"/>
        <v>13.066666666666668</v>
      </c>
      <c r="L1216" s="331">
        <v>40656</v>
      </c>
      <c r="M1216" s="329">
        <v>22.933333333333337</v>
      </c>
      <c r="N1216" s="329">
        <v>26.3</v>
      </c>
      <c r="O1216" s="329">
        <v>13.616666666666667</v>
      </c>
      <c r="P1216" s="329">
        <v>13.066666666666668</v>
      </c>
    </row>
    <row r="1217" spans="1:16">
      <c r="A1217" s="331">
        <v>40656</v>
      </c>
      <c r="B1217" s="329">
        <v>22.9</v>
      </c>
      <c r="C1217" s="329">
        <f t="shared" si="76"/>
        <v>22.933333333333337</v>
      </c>
      <c r="D1217" s="329">
        <v>26.3</v>
      </c>
      <c r="E1217" s="329">
        <f t="shared" si="73"/>
        <v>26.3</v>
      </c>
      <c r="F1217" s="329">
        <v>13.2</v>
      </c>
      <c r="G1217" s="329">
        <f t="shared" si="74"/>
        <v>13.616666666666667</v>
      </c>
      <c r="H1217" s="329">
        <v>13.1</v>
      </c>
      <c r="I1217" s="329">
        <f t="shared" si="75"/>
        <v>13.066666666666668</v>
      </c>
      <c r="L1217" s="331">
        <v>40656</v>
      </c>
      <c r="M1217" s="329">
        <v>22.933333333333337</v>
      </c>
      <c r="N1217" s="329">
        <v>26.3</v>
      </c>
      <c r="O1217" s="329">
        <v>13.616666666666667</v>
      </c>
      <c r="P1217" s="329">
        <v>13.066666666666668</v>
      </c>
    </row>
    <row r="1218" spans="1:16">
      <c r="A1218" s="331">
        <v>40656</v>
      </c>
      <c r="B1218" s="329">
        <v>22.9</v>
      </c>
      <c r="C1218" s="329">
        <f t="shared" si="76"/>
        <v>22.933333333333337</v>
      </c>
      <c r="D1218" s="329">
        <v>26.3</v>
      </c>
      <c r="E1218" s="329">
        <f t="shared" si="73"/>
        <v>26.3</v>
      </c>
      <c r="F1218" s="329">
        <v>13.2</v>
      </c>
      <c r="G1218" s="329">
        <f t="shared" si="74"/>
        <v>13.616666666666667</v>
      </c>
      <c r="H1218" s="329">
        <v>12.9</v>
      </c>
      <c r="I1218" s="329">
        <f t="shared" si="75"/>
        <v>13.066666666666668</v>
      </c>
      <c r="L1218" s="331">
        <v>40656</v>
      </c>
      <c r="M1218" s="329">
        <v>22.933333333333337</v>
      </c>
      <c r="N1218" s="329">
        <v>26.3</v>
      </c>
      <c r="O1218" s="329">
        <v>13.616666666666667</v>
      </c>
      <c r="P1218" s="329">
        <v>13.066666666666668</v>
      </c>
    </row>
    <row r="1219" spans="1:16">
      <c r="A1219" s="331">
        <v>40656</v>
      </c>
      <c r="B1219" s="329">
        <v>22.9</v>
      </c>
      <c r="C1219" s="329">
        <f t="shared" si="76"/>
        <v>22.933333333333337</v>
      </c>
      <c r="D1219" s="329">
        <v>26.3</v>
      </c>
      <c r="E1219" s="329">
        <f t="shared" si="73"/>
        <v>26.3</v>
      </c>
      <c r="F1219" s="329">
        <v>13.5</v>
      </c>
      <c r="G1219" s="329">
        <f t="shared" si="74"/>
        <v>13.616666666666667</v>
      </c>
      <c r="H1219" s="329">
        <v>12.9</v>
      </c>
      <c r="I1219" s="329">
        <f t="shared" si="75"/>
        <v>13.066666666666668</v>
      </c>
      <c r="L1219" s="331">
        <v>40656</v>
      </c>
      <c r="M1219" s="329">
        <v>22.933333333333337</v>
      </c>
      <c r="N1219" s="329">
        <v>26.3</v>
      </c>
      <c r="O1219" s="329">
        <v>13.616666666666667</v>
      </c>
      <c r="P1219" s="329">
        <v>13.066666666666668</v>
      </c>
    </row>
    <row r="1220" spans="1:16">
      <c r="A1220" s="331">
        <v>40656</v>
      </c>
      <c r="B1220" s="329">
        <v>22.9</v>
      </c>
      <c r="C1220" s="329">
        <f t="shared" si="76"/>
        <v>22.933333333333337</v>
      </c>
      <c r="D1220" s="329">
        <v>26.3</v>
      </c>
      <c r="E1220" s="329">
        <f t="shared" si="73"/>
        <v>26.3</v>
      </c>
      <c r="F1220" s="329">
        <v>13.9</v>
      </c>
      <c r="G1220" s="329">
        <f t="shared" si="74"/>
        <v>13.616666666666667</v>
      </c>
      <c r="H1220" s="329">
        <v>12.9</v>
      </c>
      <c r="I1220" s="329">
        <f t="shared" si="75"/>
        <v>13.066666666666668</v>
      </c>
      <c r="L1220" s="331">
        <v>40656</v>
      </c>
      <c r="M1220" s="329">
        <v>22.933333333333337</v>
      </c>
      <c r="N1220" s="329">
        <v>26.3</v>
      </c>
      <c r="O1220" s="329">
        <v>13.616666666666667</v>
      </c>
      <c r="P1220" s="329">
        <v>13.066666666666668</v>
      </c>
    </row>
    <row r="1221" spans="1:16">
      <c r="A1221" s="331">
        <v>40657</v>
      </c>
      <c r="B1221" s="329">
        <v>22.9</v>
      </c>
      <c r="C1221" s="329">
        <f t="shared" si="76"/>
        <v>22.866666666666664</v>
      </c>
      <c r="D1221" s="329">
        <v>26.3</v>
      </c>
      <c r="E1221" s="329">
        <f t="shared" si="73"/>
        <v>26.200000000000003</v>
      </c>
      <c r="F1221" s="329">
        <v>13.6</v>
      </c>
      <c r="G1221" s="329">
        <f t="shared" si="74"/>
        <v>13.816666666666665</v>
      </c>
      <c r="H1221" s="329">
        <v>13</v>
      </c>
      <c r="I1221" s="329">
        <f t="shared" si="75"/>
        <v>12.916666666666666</v>
      </c>
      <c r="L1221" s="331">
        <v>40657</v>
      </c>
      <c r="M1221" s="329">
        <v>22.866666666666664</v>
      </c>
      <c r="N1221" s="329">
        <v>26.200000000000003</v>
      </c>
      <c r="O1221" s="329">
        <v>13.816666666666665</v>
      </c>
      <c r="P1221" s="329">
        <v>12.916666666666666</v>
      </c>
    </row>
    <row r="1222" spans="1:16">
      <c r="A1222" s="331">
        <v>40657</v>
      </c>
      <c r="B1222" s="329">
        <v>22.9</v>
      </c>
      <c r="C1222" s="329">
        <f t="shared" si="76"/>
        <v>22.866666666666664</v>
      </c>
      <c r="D1222" s="329">
        <v>26.3</v>
      </c>
      <c r="E1222" s="329">
        <f t="shared" si="73"/>
        <v>26.200000000000003</v>
      </c>
      <c r="F1222" s="329">
        <v>13.3</v>
      </c>
      <c r="G1222" s="329">
        <f t="shared" si="74"/>
        <v>13.816666666666665</v>
      </c>
      <c r="H1222" s="329">
        <v>12.9</v>
      </c>
      <c r="I1222" s="329">
        <f t="shared" si="75"/>
        <v>12.916666666666666</v>
      </c>
      <c r="L1222" s="331">
        <v>40657</v>
      </c>
      <c r="M1222" s="329">
        <v>22.866666666666664</v>
      </c>
      <c r="N1222" s="329">
        <v>26.200000000000003</v>
      </c>
      <c r="O1222" s="329">
        <v>13.816666666666665</v>
      </c>
      <c r="P1222" s="329">
        <v>12.916666666666666</v>
      </c>
    </row>
    <row r="1223" spans="1:16">
      <c r="A1223" s="331">
        <v>40657</v>
      </c>
      <c r="B1223" s="329">
        <v>22.9</v>
      </c>
      <c r="C1223" s="329">
        <f t="shared" si="76"/>
        <v>22.866666666666664</v>
      </c>
      <c r="D1223" s="329">
        <v>26.3</v>
      </c>
      <c r="E1223" s="329">
        <f t="shared" si="73"/>
        <v>26.200000000000003</v>
      </c>
      <c r="F1223" s="329">
        <v>13.2</v>
      </c>
      <c r="G1223" s="329">
        <f t="shared" si="74"/>
        <v>13.816666666666665</v>
      </c>
      <c r="H1223" s="329">
        <v>12.8</v>
      </c>
      <c r="I1223" s="329">
        <f t="shared" si="75"/>
        <v>12.916666666666666</v>
      </c>
      <c r="L1223" s="331">
        <v>40657</v>
      </c>
      <c r="M1223" s="329">
        <v>22.866666666666664</v>
      </c>
      <c r="N1223" s="329">
        <v>26.200000000000003</v>
      </c>
      <c r="O1223" s="329">
        <v>13.816666666666665</v>
      </c>
      <c r="P1223" s="329">
        <v>12.916666666666666</v>
      </c>
    </row>
    <row r="1224" spans="1:16">
      <c r="A1224" s="331">
        <v>40657</v>
      </c>
      <c r="B1224" s="329">
        <v>22.9</v>
      </c>
      <c r="C1224" s="329">
        <f t="shared" si="76"/>
        <v>22.866666666666664</v>
      </c>
      <c r="D1224" s="329">
        <v>26.2</v>
      </c>
      <c r="E1224" s="329">
        <f t="shared" si="73"/>
        <v>26.200000000000003</v>
      </c>
      <c r="F1224" s="329">
        <v>13.5</v>
      </c>
      <c r="G1224" s="329">
        <f t="shared" si="74"/>
        <v>13.816666666666665</v>
      </c>
      <c r="H1224" s="329">
        <v>12.8</v>
      </c>
      <c r="I1224" s="329">
        <f t="shared" si="75"/>
        <v>12.916666666666666</v>
      </c>
      <c r="L1224" s="331">
        <v>40657</v>
      </c>
      <c r="M1224" s="329">
        <v>22.866666666666664</v>
      </c>
      <c r="N1224" s="329">
        <v>26.200000000000003</v>
      </c>
      <c r="O1224" s="329">
        <v>13.816666666666665</v>
      </c>
      <c r="P1224" s="329">
        <v>12.916666666666666</v>
      </c>
    </row>
    <row r="1225" spans="1:16">
      <c r="A1225" s="331">
        <v>40657</v>
      </c>
      <c r="B1225" s="329">
        <v>22.8</v>
      </c>
      <c r="C1225" s="329">
        <f t="shared" si="76"/>
        <v>22.866666666666664</v>
      </c>
      <c r="D1225" s="329">
        <v>26.1</v>
      </c>
      <c r="E1225" s="329">
        <f t="shared" si="73"/>
        <v>26.200000000000003</v>
      </c>
      <c r="F1225" s="329">
        <v>14.5</v>
      </c>
      <c r="G1225" s="329">
        <f t="shared" si="74"/>
        <v>13.816666666666665</v>
      </c>
      <c r="H1225" s="329">
        <v>12.9</v>
      </c>
      <c r="I1225" s="329">
        <f t="shared" si="75"/>
        <v>12.916666666666666</v>
      </c>
      <c r="L1225" s="331">
        <v>40657</v>
      </c>
      <c r="M1225" s="329">
        <v>22.866666666666664</v>
      </c>
      <c r="N1225" s="329">
        <v>26.200000000000003</v>
      </c>
      <c r="O1225" s="329">
        <v>13.816666666666665</v>
      </c>
      <c r="P1225" s="329">
        <v>12.916666666666666</v>
      </c>
    </row>
    <row r="1226" spans="1:16">
      <c r="A1226" s="331">
        <v>40657</v>
      </c>
      <c r="B1226" s="329">
        <v>22.8</v>
      </c>
      <c r="C1226" s="329">
        <f t="shared" si="76"/>
        <v>22.866666666666664</v>
      </c>
      <c r="D1226" s="329">
        <v>26</v>
      </c>
      <c r="E1226" s="329">
        <f t="shared" si="73"/>
        <v>26.200000000000003</v>
      </c>
      <c r="F1226" s="329">
        <v>14.8</v>
      </c>
      <c r="G1226" s="329">
        <f t="shared" si="74"/>
        <v>13.816666666666665</v>
      </c>
      <c r="H1226" s="329">
        <v>13.1</v>
      </c>
      <c r="I1226" s="329">
        <f t="shared" si="75"/>
        <v>12.916666666666666</v>
      </c>
      <c r="L1226" s="331">
        <v>40657</v>
      </c>
      <c r="M1226" s="329">
        <v>22.866666666666664</v>
      </c>
      <c r="N1226" s="329">
        <v>26.200000000000003</v>
      </c>
      <c r="O1226" s="329">
        <v>13.816666666666665</v>
      </c>
      <c r="P1226" s="329">
        <v>12.916666666666666</v>
      </c>
    </row>
    <row r="1227" spans="1:16">
      <c r="A1227" s="331">
        <v>40658</v>
      </c>
      <c r="B1227" s="329">
        <v>22.8</v>
      </c>
      <c r="C1227" s="329">
        <f t="shared" si="76"/>
        <v>22.7</v>
      </c>
      <c r="D1227" s="329">
        <v>26</v>
      </c>
      <c r="E1227" s="329">
        <f t="shared" si="73"/>
        <v>25.950000000000003</v>
      </c>
      <c r="F1227" s="329">
        <v>13.9</v>
      </c>
      <c r="G1227" s="329">
        <f t="shared" si="74"/>
        <v>14.216666666666667</v>
      </c>
      <c r="H1227" s="329">
        <v>13.3</v>
      </c>
      <c r="I1227" s="329">
        <f t="shared" si="75"/>
        <v>13.183333333333335</v>
      </c>
      <c r="L1227" s="331">
        <v>40658</v>
      </c>
      <c r="M1227" s="329">
        <v>22.7</v>
      </c>
      <c r="N1227" s="329">
        <v>25.950000000000003</v>
      </c>
      <c r="O1227" s="329">
        <v>14.216666666666667</v>
      </c>
      <c r="P1227" s="329">
        <v>13.183333333333335</v>
      </c>
    </row>
    <row r="1228" spans="1:16">
      <c r="A1228" s="331">
        <v>40658</v>
      </c>
      <c r="B1228" s="329">
        <v>22.7</v>
      </c>
      <c r="C1228" s="329">
        <f t="shared" si="76"/>
        <v>22.7</v>
      </c>
      <c r="D1228" s="329">
        <v>26</v>
      </c>
      <c r="E1228" s="329">
        <f t="shared" si="73"/>
        <v>25.950000000000003</v>
      </c>
      <c r="F1228" s="329">
        <v>13.6</v>
      </c>
      <c r="G1228" s="329">
        <f t="shared" si="74"/>
        <v>14.216666666666667</v>
      </c>
      <c r="H1228" s="329">
        <v>13.2</v>
      </c>
      <c r="I1228" s="329">
        <f t="shared" si="75"/>
        <v>13.183333333333335</v>
      </c>
      <c r="L1228" s="331">
        <v>40658</v>
      </c>
      <c r="M1228" s="329">
        <v>22.7</v>
      </c>
      <c r="N1228" s="329">
        <v>25.950000000000003</v>
      </c>
      <c r="O1228" s="329">
        <v>14.216666666666667</v>
      </c>
      <c r="P1228" s="329">
        <v>13.183333333333335</v>
      </c>
    </row>
    <row r="1229" spans="1:16">
      <c r="A1229" s="331">
        <v>40658</v>
      </c>
      <c r="B1229" s="329">
        <v>22.7</v>
      </c>
      <c r="C1229" s="329">
        <f t="shared" si="76"/>
        <v>22.7</v>
      </c>
      <c r="D1229" s="329">
        <v>26</v>
      </c>
      <c r="E1229" s="329">
        <f t="shared" si="73"/>
        <v>25.950000000000003</v>
      </c>
      <c r="F1229" s="329">
        <v>13.5</v>
      </c>
      <c r="G1229" s="329">
        <f t="shared" si="74"/>
        <v>14.216666666666667</v>
      </c>
      <c r="H1229" s="329">
        <v>13.1</v>
      </c>
      <c r="I1229" s="329">
        <f t="shared" si="75"/>
        <v>13.183333333333335</v>
      </c>
      <c r="L1229" s="331">
        <v>40658</v>
      </c>
      <c r="M1229" s="329">
        <v>22.7</v>
      </c>
      <c r="N1229" s="329">
        <v>25.950000000000003</v>
      </c>
      <c r="O1229" s="329">
        <v>14.216666666666667</v>
      </c>
      <c r="P1229" s="329">
        <v>13.183333333333335</v>
      </c>
    </row>
    <row r="1230" spans="1:16">
      <c r="A1230" s="331">
        <v>40658</v>
      </c>
      <c r="B1230" s="329">
        <v>22.7</v>
      </c>
      <c r="C1230" s="329">
        <f t="shared" si="76"/>
        <v>22.7</v>
      </c>
      <c r="D1230" s="329">
        <v>26</v>
      </c>
      <c r="E1230" s="329">
        <f t="shared" si="73"/>
        <v>25.950000000000003</v>
      </c>
      <c r="F1230" s="329">
        <v>13.9</v>
      </c>
      <c r="G1230" s="329">
        <f t="shared" si="74"/>
        <v>14.216666666666667</v>
      </c>
      <c r="H1230" s="329">
        <v>13</v>
      </c>
      <c r="I1230" s="329">
        <f t="shared" si="75"/>
        <v>13.183333333333335</v>
      </c>
      <c r="L1230" s="331">
        <v>40658</v>
      </c>
      <c r="M1230" s="329">
        <v>22.7</v>
      </c>
      <c r="N1230" s="329">
        <v>25.950000000000003</v>
      </c>
      <c r="O1230" s="329">
        <v>14.216666666666667</v>
      </c>
      <c r="P1230" s="329">
        <v>13.183333333333335</v>
      </c>
    </row>
    <row r="1231" spans="1:16">
      <c r="A1231" s="331">
        <v>40658</v>
      </c>
      <c r="B1231" s="329">
        <v>22.6</v>
      </c>
      <c r="C1231" s="329">
        <f t="shared" si="76"/>
        <v>22.7</v>
      </c>
      <c r="D1231" s="329">
        <v>25.9</v>
      </c>
      <c r="E1231" s="329">
        <f t="shared" si="73"/>
        <v>25.950000000000003</v>
      </c>
      <c r="F1231" s="329">
        <v>15.1</v>
      </c>
      <c r="G1231" s="329">
        <f t="shared" si="74"/>
        <v>14.216666666666667</v>
      </c>
      <c r="H1231" s="329">
        <v>13.1</v>
      </c>
      <c r="I1231" s="329">
        <f t="shared" si="75"/>
        <v>13.183333333333335</v>
      </c>
      <c r="L1231" s="331">
        <v>40658</v>
      </c>
      <c r="M1231" s="329">
        <v>22.7</v>
      </c>
      <c r="N1231" s="329">
        <v>25.950000000000003</v>
      </c>
      <c r="O1231" s="329">
        <v>14.216666666666667</v>
      </c>
      <c r="P1231" s="329">
        <v>13.183333333333335</v>
      </c>
    </row>
    <row r="1232" spans="1:16">
      <c r="A1232" s="331">
        <v>40658</v>
      </c>
      <c r="B1232" s="329">
        <v>22.7</v>
      </c>
      <c r="C1232" s="329">
        <f t="shared" si="76"/>
        <v>22.7</v>
      </c>
      <c r="D1232" s="329">
        <v>25.8</v>
      </c>
      <c r="E1232" s="329">
        <f t="shared" si="73"/>
        <v>25.950000000000003</v>
      </c>
      <c r="F1232" s="329">
        <v>15.3</v>
      </c>
      <c r="G1232" s="329">
        <f t="shared" si="74"/>
        <v>14.216666666666667</v>
      </c>
      <c r="H1232" s="329">
        <v>13.4</v>
      </c>
      <c r="I1232" s="329">
        <f t="shared" si="75"/>
        <v>13.183333333333335</v>
      </c>
      <c r="L1232" s="331">
        <v>40658</v>
      </c>
      <c r="M1232" s="329">
        <v>22.7</v>
      </c>
      <c r="N1232" s="329">
        <v>25.950000000000003</v>
      </c>
      <c r="O1232" s="329">
        <v>14.216666666666667</v>
      </c>
      <c r="P1232" s="329">
        <v>13.183333333333335</v>
      </c>
    </row>
    <row r="1233" spans="1:16">
      <c r="A1233" s="331">
        <v>40659</v>
      </c>
      <c r="B1233" s="329">
        <v>22.7</v>
      </c>
      <c r="C1233" s="329">
        <f t="shared" si="76"/>
        <v>22.666666666666668</v>
      </c>
      <c r="D1233" s="329">
        <v>25.9</v>
      </c>
      <c r="E1233" s="329">
        <f t="shared" si="73"/>
        <v>25.866666666666671</v>
      </c>
      <c r="F1233" s="329">
        <v>14.5</v>
      </c>
      <c r="G1233" s="329">
        <f t="shared" si="74"/>
        <v>14.65</v>
      </c>
      <c r="H1233" s="329">
        <v>13.5</v>
      </c>
      <c r="I1233" s="329">
        <f t="shared" si="75"/>
        <v>13.466666666666669</v>
      </c>
      <c r="L1233" s="331">
        <v>40659</v>
      </c>
      <c r="M1233" s="329">
        <v>22.666666666666668</v>
      </c>
      <c r="N1233" s="329">
        <v>25.866666666666671</v>
      </c>
      <c r="O1233" s="329">
        <v>14.65</v>
      </c>
      <c r="P1233" s="329">
        <v>13.466666666666669</v>
      </c>
    </row>
    <row r="1234" spans="1:16">
      <c r="A1234" s="331">
        <v>40659</v>
      </c>
      <c r="B1234" s="329">
        <v>22.7</v>
      </c>
      <c r="C1234" s="329">
        <f t="shared" si="76"/>
        <v>22.666666666666668</v>
      </c>
      <c r="D1234" s="329">
        <v>25.9</v>
      </c>
      <c r="E1234" s="329">
        <f t="shared" si="73"/>
        <v>25.866666666666671</v>
      </c>
      <c r="F1234" s="329">
        <v>14.2</v>
      </c>
      <c r="G1234" s="329">
        <f t="shared" si="74"/>
        <v>14.65</v>
      </c>
      <c r="H1234" s="329">
        <v>13.5</v>
      </c>
      <c r="I1234" s="329">
        <f t="shared" si="75"/>
        <v>13.466666666666669</v>
      </c>
      <c r="L1234" s="331">
        <v>40659</v>
      </c>
      <c r="M1234" s="329">
        <v>22.666666666666668</v>
      </c>
      <c r="N1234" s="329">
        <v>25.866666666666671</v>
      </c>
      <c r="O1234" s="329">
        <v>14.65</v>
      </c>
      <c r="P1234" s="329">
        <v>13.466666666666669</v>
      </c>
    </row>
    <row r="1235" spans="1:16">
      <c r="A1235" s="331">
        <v>40659</v>
      </c>
      <c r="B1235" s="329">
        <v>22.7</v>
      </c>
      <c r="C1235" s="329">
        <f t="shared" si="76"/>
        <v>22.666666666666668</v>
      </c>
      <c r="D1235" s="329">
        <v>25.9</v>
      </c>
      <c r="E1235" s="329">
        <f t="shared" si="73"/>
        <v>25.866666666666671</v>
      </c>
      <c r="F1235" s="329">
        <v>13.9</v>
      </c>
      <c r="G1235" s="329">
        <f t="shared" si="74"/>
        <v>14.65</v>
      </c>
      <c r="H1235" s="329">
        <v>13.4</v>
      </c>
      <c r="I1235" s="329">
        <f t="shared" si="75"/>
        <v>13.466666666666669</v>
      </c>
      <c r="L1235" s="331">
        <v>40659</v>
      </c>
      <c r="M1235" s="329">
        <v>22.666666666666668</v>
      </c>
      <c r="N1235" s="329">
        <v>25.866666666666671</v>
      </c>
      <c r="O1235" s="329">
        <v>14.65</v>
      </c>
      <c r="P1235" s="329">
        <v>13.466666666666669</v>
      </c>
    </row>
    <row r="1236" spans="1:16">
      <c r="A1236" s="331">
        <v>40659</v>
      </c>
      <c r="B1236" s="329">
        <v>22.7</v>
      </c>
      <c r="C1236" s="329">
        <f t="shared" si="76"/>
        <v>22.666666666666668</v>
      </c>
      <c r="D1236" s="329">
        <v>25.9</v>
      </c>
      <c r="E1236" s="329">
        <f t="shared" si="73"/>
        <v>25.866666666666671</v>
      </c>
      <c r="F1236" s="329">
        <v>14.2</v>
      </c>
      <c r="G1236" s="329">
        <f t="shared" si="74"/>
        <v>14.65</v>
      </c>
      <c r="H1236" s="329">
        <v>13.3</v>
      </c>
      <c r="I1236" s="329">
        <f t="shared" si="75"/>
        <v>13.466666666666669</v>
      </c>
      <c r="L1236" s="331">
        <v>40659</v>
      </c>
      <c r="M1236" s="329">
        <v>22.666666666666668</v>
      </c>
      <c r="N1236" s="329">
        <v>25.866666666666671</v>
      </c>
      <c r="O1236" s="329">
        <v>14.65</v>
      </c>
      <c r="P1236" s="329">
        <v>13.466666666666669</v>
      </c>
    </row>
    <row r="1237" spans="1:16">
      <c r="A1237" s="331">
        <v>40659</v>
      </c>
      <c r="B1237" s="329">
        <v>22.6</v>
      </c>
      <c r="C1237" s="329">
        <f t="shared" si="76"/>
        <v>22.666666666666668</v>
      </c>
      <c r="D1237" s="329">
        <v>25.8</v>
      </c>
      <c r="E1237" s="329">
        <f t="shared" si="73"/>
        <v>25.866666666666671</v>
      </c>
      <c r="F1237" s="329">
        <v>15.4</v>
      </c>
      <c r="G1237" s="329">
        <f t="shared" si="74"/>
        <v>14.65</v>
      </c>
      <c r="H1237" s="329">
        <v>13.4</v>
      </c>
      <c r="I1237" s="329">
        <f t="shared" si="75"/>
        <v>13.466666666666669</v>
      </c>
      <c r="L1237" s="331">
        <v>40659</v>
      </c>
      <c r="M1237" s="329">
        <v>22.666666666666668</v>
      </c>
      <c r="N1237" s="329">
        <v>25.866666666666671</v>
      </c>
      <c r="O1237" s="329">
        <v>14.65</v>
      </c>
      <c r="P1237" s="329">
        <v>13.466666666666669</v>
      </c>
    </row>
    <row r="1238" spans="1:16">
      <c r="A1238" s="331">
        <v>40659</v>
      </c>
      <c r="B1238" s="329">
        <v>22.6</v>
      </c>
      <c r="C1238" s="329">
        <f t="shared" si="76"/>
        <v>22.666666666666668</v>
      </c>
      <c r="D1238" s="329">
        <v>25.8</v>
      </c>
      <c r="E1238" s="329">
        <f t="shared" si="73"/>
        <v>25.866666666666671</v>
      </c>
      <c r="F1238" s="329">
        <v>15.7</v>
      </c>
      <c r="G1238" s="329">
        <f t="shared" si="74"/>
        <v>14.65</v>
      </c>
      <c r="H1238" s="329">
        <v>13.7</v>
      </c>
      <c r="I1238" s="329">
        <f t="shared" si="75"/>
        <v>13.466666666666669</v>
      </c>
      <c r="L1238" s="331">
        <v>40659</v>
      </c>
      <c r="M1238" s="329">
        <v>22.666666666666668</v>
      </c>
      <c r="N1238" s="329">
        <v>25.866666666666671</v>
      </c>
      <c r="O1238" s="329">
        <v>14.65</v>
      </c>
      <c r="P1238" s="329">
        <v>13.466666666666669</v>
      </c>
    </row>
    <row r="1239" spans="1:16">
      <c r="A1239" s="331">
        <v>40660</v>
      </c>
      <c r="B1239" s="329">
        <v>22.6</v>
      </c>
      <c r="C1239" s="329">
        <f t="shared" si="76"/>
        <v>22.566666666666666</v>
      </c>
      <c r="D1239" s="329">
        <v>25.8</v>
      </c>
      <c r="E1239" s="329">
        <f t="shared" si="73"/>
        <v>25.75</v>
      </c>
      <c r="F1239" s="329">
        <v>15.2</v>
      </c>
      <c r="G1239" s="329">
        <f t="shared" si="74"/>
        <v>15.033333333333333</v>
      </c>
      <c r="H1239" s="329">
        <v>13.9</v>
      </c>
      <c r="I1239" s="329">
        <f t="shared" si="75"/>
        <v>13.799999999999999</v>
      </c>
      <c r="L1239" s="331">
        <v>40660</v>
      </c>
      <c r="M1239" s="329">
        <v>22.566666666666666</v>
      </c>
      <c r="N1239" s="329">
        <v>25.75</v>
      </c>
      <c r="O1239" s="329">
        <v>15.033333333333333</v>
      </c>
      <c r="P1239" s="329">
        <v>13.799999999999999</v>
      </c>
    </row>
    <row r="1240" spans="1:16">
      <c r="A1240" s="331">
        <v>40660</v>
      </c>
      <c r="B1240" s="329">
        <v>22.6</v>
      </c>
      <c r="C1240" s="329">
        <f t="shared" si="76"/>
        <v>22.566666666666666</v>
      </c>
      <c r="D1240" s="329">
        <v>25.8</v>
      </c>
      <c r="E1240" s="329">
        <f t="shared" si="73"/>
        <v>25.75</v>
      </c>
      <c r="F1240" s="329">
        <v>14.6</v>
      </c>
      <c r="G1240" s="329">
        <f t="shared" si="74"/>
        <v>15.033333333333333</v>
      </c>
      <c r="H1240" s="329">
        <v>13.9</v>
      </c>
      <c r="I1240" s="329">
        <f t="shared" si="75"/>
        <v>13.799999999999999</v>
      </c>
      <c r="L1240" s="331">
        <v>40660</v>
      </c>
      <c r="M1240" s="329">
        <v>22.566666666666666</v>
      </c>
      <c r="N1240" s="329">
        <v>25.75</v>
      </c>
      <c r="O1240" s="329">
        <v>15.033333333333333</v>
      </c>
      <c r="P1240" s="329">
        <v>13.799999999999999</v>
      </c>
    </row>
    <row r="1241" spans="1:16">
      <c r="A1241" s="331">
        <v>40660</v>
      </c>
      <c r="B1241" s="329">
        <v>22.6</v>
      </c>
      <c r="C1241" s="329">
        <f t="shared" si="76"/>
        <v>22.566666666666666</v>
      </c>
      <c r="D1241" s="329">
        <v>25.8</v>
      </c>
      <c r="E1241" s="329">
        <f t="shared" si="73"/>
        <v>25.75</v>
      </c>
      <c r="F1241" s="329">
        <v>14.2</v>
      </c>
      <c r="G1241" s="329">
        <f t="shared" si="74"/>
        <v>15.033333333333333</v>
      </c>
      <c r="H1241" s="329">
        <v>13.7</v>
      </c>
      <c r="I1241" s="329">
        <f t="shared" si="75"/>
        <v>13.799999999999999</v>
      </c>
      <c r="L1241" s="331">
        <v>40660</v>
      </c>
      <c r="M1241" s="329">
        <v>22.566666666666666</v>
      </c>
      <c r="N1241" s="329">
        <v>25.75</v>
      </c>
      <c r="O1241" s="329">
        <v>15.033333333333333</v>
      </c>
      <c r="P1241" s="329">
        <v>13.799999999999999</v>
      </c>
    </row>
    <row r="1242" spans="1:16">
      <c r="A1242" s="331">
        <v>40660</v>
      </c>
      <c r="B1242" s="329">
        <v>22.6</v>
      </c>
      <c r="C1242" s="329">
        <f t="shared" si="76"/>
        <v>22.566666666666666</v>
      </c>
      <c r="D1242" s="329">
        <v>25.8</v>
      </c>
      <c r="E1242" s="329">
        <f t="shared" si="73"/>
        <v>25.75</v>
      </c>
      <c r="F1242" s="329">
        <v>14.5</v>
      </c>
      <c r="G1242" s="329">
        <f t="shared" si="74"/>
        <v>15.033333333333333</v>
      </c>
      <c r="H1242" s="329">
        <v>13.6</v>
      </c>
      <c r="I1242" s="329">
        <f t="shared" si="75"/>
        <v>13.799999999999999</v>
      </c>
      <c r="L1242" s="331">
        <v>40660</v>
      </c>
      <c r="M1242" s="329">
        <v>22.566666666666666</v>
      </c>
      <c r="N1242" s="329">
        <v>25.75</v>
      </c>
      <c r="O1242" s="329">
        <v>15.033333333333333</v>
      </c>
      <c r="P1242" s="329">
        <v>13.799999999999999</v>
      </c>
    </row>
    <row r="1243" spans="1:16">
      <c r="A1243" s="331">
        <v>40660</v>
      </c>
      <c r="B1243" s="329">
        <v>22.5</v>
      </c>
      <c r="C1243" s="329">
        <f t="shared" si="76"/>
        <v>22.566666666666666</v>
      </c>
      <c r="D1243" s="329">
        <v>25.7</v>
      </c>
      <c r="E1243" s="329">
        <f t="shared" si="73"/>
        <v>25.75</v>
      </c>
      <c r="F1243" s="329">
        <v>15.7</v>
      </c>
      <c r="G1243" s="329">
        <f t="shared" si="74"/>
        <v>15.033333333333333</v>
      </c>
      <c r="H1243" s="329">
        <v>13.7</v>
      </c>
      <c r="I1243" s="329">
        <f t="shared" si="75"/>
        <v>13.799999999999999</v>
      </c>
      <c r="L1243" s="331">
        <v>40660</v>
      </c>
      <c r="M1243" s="329">
        <v>22.566666666666666</v>
      </c>
      <c r="N1243" s="329">
        <v>25.75</v>
      </c>
      <c r="O1243" s="329">
        <v>15.033333333333333</v>
      </c>
      <c r="P1243" s="329">
        <v>13.799999999999999</v>
      </c>
    </row>
    <row r="1244" spans="1:16">
      <c r="A1244" s="331">
        <v>40660</v>
      </c>
      <c r="B1244" s="329">
        <v>22.5</v>
      </c>
      <c r="C1244" s="329">
        <f t="shared" si="76"/>
        <v>22.566666666666666</v>
      </c>
      <c r="D1244" s="329">
        <v>25.6</v>
      </c>
      <c r="E1244" s="329">
        <f t="shared" si="73"/>
        <v>25.75</v>
      </c>
      <c r="F1244" s="329">
        <v>16</v>
      </c>
      <c r="G1244" s="329">
        <f t="shared" si="74"/>
        <v>15.033333333333333</v>
      </c>
      <c r="H1244" s="329">
        <v>14</v>
      </c>
      <c r="I1244" s="329">
        <f t="shared" si="75"/>
        <v>13.799999999999999</v>
      </c>
      <c r="L1244" s="331">
        <v>40660</v>
      </c>
      <c r="M1244" s="329">
        <v>22.566666666666666</v>
      </c>
      <c r="N1244" s="329">
        <v>25.75</v>
      </c>
      <c r="O1244" s="329">
        <v>15.033333333333333</v>
      </c>
      <c r="P1244" s="329">
        <v>13.799999999999999</v>
      </c>
    </row>
    <row r="1245" spans="1:16">
      <c r="A1245" s="331">
        <v>40661</v>
      </c>
      <c r="B1245" s="329">
        <v>22.5</v>
      </c>
      <c r="C1245" s="329">
        <f t="shared" si="76"/>
        <v>22.349999999999998</v>
      </c>
      <c r="D1245" s="329">
        <v>25.6</v>
      </c>
      <c r="E1245" s="329">
        <f t="shared" si="73"/>
        <v>25.500000000000004</v>
      </c>
      <c r="F1245" s="329">
        <v>15.2</v>
      </c>
      <c r="G1245" s="329">
        <f t="shared" si="74"/>
        <v>14.516666666666666</v>
      </c>
      <c r="H1245" s="329">
        <v>14.1</v>
      </c>
      <c r="I1245" s="329">
        <f t="shared" si="75"/>
        <v>13.733333333333333</v>
      </c>
      <c r="L1245" s="331">
        <v>40661</v>
      </c>
      <c r="M1245" s="329">
        <v>22.349999999999998</v>
      </c>
      <c r="N1245" s="329">
        <v>25.500000000000004</v>
      </c>
      <c r="O1245" s="329">
        <v>14.516666666666666</v>
      </c>
      <c r="P1245" s="329">
        <v>13.733333333333333</v>
      </c>
    </row>
    <row r="1246" spans="1:16">
      <c r="A1246" s="331">
        <v>40661</v>
      </c>
      <c r="B1246" s="329">
        <v>22.4</v>
      </c>
      <c r="C1246" s="329">
        <f t="shared" si="76"/>
        <v>22.349999999999998</v>
      </c>
      <c r="D1246" s="329">
        <v>25.6</v>
      </c>
      <c r="E1246" s="329">
        <f t="shared" si="73"/>
        <v>25.500000000000004</v>
      </c>
      <c r="F1246" s="329">
        <v>14.1</v>
      </c>
      <c r="G1246" s="329">
        <f t="shared" si="74"/>
        <v>14.516666666666666</v>
      </c>
      <c r="H1246" s="329">
        <v>14</v>
      </c>
      <c r="I1246" s="329">
        <f t="shared" si="75"/>
        <v>13.733333333333333</v>
      </c>
      <c r="L1246" s="331">
        <v>40661</v>
      </c>
      <c r="M1246" s="329">
        <v>22.349999999999998</v>
      </c>
      <c r="N1246" s="329">
        <v>25.500000000000004</v>
      </c>
      <c r="O1246" s="329">
        <v>14.516666666666666</v>
      </c>
      <c r="P1246" s="329">
        <v>13.733333333333333</v>
      </c>
    </row>
    <row r="1247" spans="1:16">
      <c r="A1247" s="331">
        <v>40661</v>
      </c>
      <c r="B1247" s="329">
        <v>22.4</v>
      </c>
      <c r="C1247" s="329">
        <f t="shared" si="76"/>
        <v>22.349999999999998</v>
      </c>
      <c r="D1247" s="329">
        <v>25.6</v>
      </c>
      <c r="E1247" s="329">
        <f t="shared" si="73"/>
        <v>25.500000000000004</v>
      </c>
      <c r="F1247" s="329">
        <v>13.2</v>
      </c>
      <c r="G1247" s="329">
        <f t="shared" si="74"/>
        <v>14.516666666666666</v>
      </c>
      <c r="H1247" s="329">
        <v>13.7</v>
      </c>
      <c r="I1247" s="329">
        <f t="shared" si="75"/>
        <v>13.733333333333333</v>
      </c>
      <c r="L1247" s="331">
        <v>40661</v>
      </c>
      <c r="M1247" s="329">
        <v>22.349999999999998</v>
      </c>
      <c r="N1247" s="329">
        <v>25.500000000000004</v>
      </c>
      <c r="O1247" s="329">
        <v>14.516666666666666</v>
      </c>
      <c r="P1247" s="329">
        <v>13.733333333333333</v>
      </c>
    </row>
    <row r="1248" spans="1:16">
      <c r="A1248" s="331">
        <v>40661</v>
      </c>
      <c r="B1248" s="329">
        <v>22.3</v>
      </c>
      <c r="C1248" s="329">
        <f t="shared" si="76"/>
        <v>22.349999999999998</v>
      </c>
      <c r="D1248" s="329">
        <v>25.5</v>
      </c>
      <c r="E1248" s="329">
        <f t="shared" si="73"/>
        <v>25.500000000000004</v>
      </c>
      <c r="F1248" s="329">
        <v>13.8</v>
      </c>
      <c r="G1248" s="329">
        <f t="shared" si="74"/>
        <v>14.516666666666666</v>
      </c>
      <c r="H1248" s="329">
        <v>13.4</v>
      </c>
      <c r="I1248" s="329">
        <f t="shared" si="75"/>
        <v>13.733333333333333</v>
      </c>
      <c r="L1248" s="331">
        <v>40661</v>
      </c>
      <c r="M1248" s="329">
        <v>22.349999999999998</v>
      </c>
      <c r="N1248" s="329">
        <v>25.500000000000004</v>
      </c>
      <c r="O1248" s="329">
        <v>14.516666666666666</v>
      </c>
      <c r="P1248" s="329">
        <v>13.733333333333333</v>
      </c>
    </row>
    <row r="1249" spans="1:16">
      <c r="A1249" s="331">
        <v>40661</v>
      </c>
      <c r="B1249" s="329">
        <v>22.3</v>
      </c>
      <c r="C1249" s="329">
        <f t="shared" si="76"/>
        <v>22.349999999999998</v>
      </c>
      <c r="D1249" s="329">
        <v>25.4</v>
      </c>
      <c r="E1249" s="329">
        <f t="shared" si="73"/>
        <v>25.500000000000004</v>
      </c>
      <c r="F1249" s="329">
        <v>15.2</v>
      </c>
      <c r="G1249" s="329">
        <f t="shared" si="74"/>
        <v>14.516666666666666</v>
      </c>
      <c r="H1249" s="329">
        <v>13.5</v>
      </c>
      <c r="I1249" s="329">
        <f t="shared" si="75"/>
        <v>13.733333333333333</v>
      </c>
      <c r="L1249" s="331">
        <v>40661</v>
      </c>
      <c r="M1249" s="329">
        <v>22.349999999999998</v>
      </c>
      <c r="N1249" s="329">
        <v>25.500000000000004</v>
      </c>
      <c r="O1249" s="329">
        <v>14.516666666666666</v>
      </c>
      <c r="P1249" s="329">
        <v>13.733333333333333</v>
      </c>
    </row>
    <row r="1250" spans="1:16">
      <c r="A1250" s="331">
        <v>40661</v>
      </c>
      <c r="B1250" s="329">
        <v>22.2</v>
      </c>
      <c r="C1250" s="329">
        <f t="shared" si="76"/>
        <v>22.349999999999998</v>
      </c>
      <c r="D1250" s="329">
        <v>25.3</v>
      </c>
      <c r="E1250" s="329">
        <f t="shared" ref="E1250:E1313" si="77">AVERAGEIFS($D$33:$D$1494,$A$33:$A$1494,A1250)</f>
        <v>25.500000000000004</v>
      </c>
      <c r="F1250" s="329">
        <v>15.6</v>
      </c>
      <c r="G1250" s="329">
        <f t="shared" ref="G1250:G1313" si="78">AVERAGEIFS($F$33:$F$1494,$A$33:$A$1494,A1250)</f>
        <v>14.516666666666666</v>
      </c>
      <c r="H1250" s="329">
        <v>13.7</v>
      </c>
      <c r="I1250" s="329">
        <f t="shared" ref="I1250:I1313" si="79">AVERAGEIFS($H$33:$H$1494,$A$33:$A$1494,A1250)</f>
        <v>13.733333333333333</v>
      </c>
      <c r="L1250" s="331">
        <v>40661</v>
      </c>
      <c r="M1250" s="329">
        <v>22.349999999999998</v>
      </c>
      <c r="N1250" s="329">
        <v>25.500000000000004</v>
      </c>
      <c r="O1250" s="329">
        <v>14.516666666666666</v>
      </c>
      <c r="P1250" s="329">
        <v>13.733333333333333</v>
      </c>
    </row>
    <row r="1251" spans="1:16">
      <c r="A1251" s="331">
        <v>40662</v>
      </c>
      <c r="B1251" s="329">
        <v>22.2</v>
      </c>
      <c r="C1251" s="329">
        <f t="shared" si="76"/>
        <v>22.099999999999998</v>
      </c>
      <c r="D1251" s="329">
        <v>25.2</v>
      </c>
      <c r="E1251" s="329">
        <f t="shared" si="77"/>
        <v>25.133333333333336</v>
      </c>
      <c r="F1251" s="329">
        <v>14.4</v>
      </c>
      <c r="G1251" s="329">
        <f t="shared" si="78"/>
        <v>13.983333333333334</v>
      </c>
      <c r="H1251" s="329">
        <v>13.9</v>
      </c>
      <c r="I1251" s="329">
        <f t="shared" si="79"/>
        <v>13.466666666666667</v>
      </c>
      <c r="L1251" s="331">
        <v>40662</v>
      </c>
      <c r="M1251" s="329">
        <v>22.099999999999998</v>
      </c>
      <c r="N1251" s="329">
        <v>25.133333333333336</v>
      </c>
      <c r="O1251" s="329">
        <v>13.983333333333334</v>
      </c>
      <c r="P1251" s="329">
        <v>13.466666666666667</v>
      </c>
    </row>
    <row r="1252" spans="1:16">
      <c r="A1252" s="331">
        <v>40662</v>
      </c>
      <c r="B1252" s="329">
        <v>22.2</v>
      </c>
      <c r="C1252" s="329">
        <f t="shared" si="76"/>
        <v>22.099999999999998</v>
      </c>
      <c r="D1252" s="329">
        <v>25.2</v>
      </c>
      <c r="E1252" s="329">
        <f t="shared" si="77"/>
        <v>25.133333333333336</v>
      </c>
      <c r="F1252" s="329">
        <v>13.4</v>
      </c>
      <c r="G1252" s="329">
        <f t="shared" si="78"/>
        <v>13.983333333333334</v>
      </c>
      <c r="H1252" s="329">
        <v>13.7</v>
      </c>
      <c r="I1252" s="329">
        <f t="shared" si="79"/>
        <v>13.466666666666667</v>
      </c>
      <c r="L1252" s="331">
        <v>40662</v>
      </c>
      <c r="M1252" s="329">
        <v>22.099999999999998</v>
      </c>
      <c r="N1252" s="329">
        <v>25.133333333333336</v>
      </c>
      <c r="O1252" s="329">
        <v>13.983333333333334</v>
      </c>
      <c r="P1252" s="329">
        <v>13.466666666666667</v>
      </c>
    </row>
    <row r="1253" spans="1:16">
      <c r="A1253" s="331">
        <v>40662</v>
      </c>
      <c r="B1253" s="329">
        <v>22.1</v>
      </c>
      <c r="C1253" s="329">
        <f t="shared" si="76"/>
        <v>22.099999999999998</v>
      </c>
      <c r="D1253" s="329">
        <v>25.2</v>
      </c>
      <c r="E1253" s="329">
        <f t="shared" si="77"/>
        <v>25.133333333333336</v>
      </c>
      <c r="F1253" s="329">
        <v>12.5</v>
      </c>
      <c r="G1253" s="329">
        <f t="shared" si="78"/>
        <v>13.983333333333334</v>
      </c>
      <c r="H1253" s="329">
        <v>13.4</v>
      </c>
      <c r="I1253" s="329">
        <f t="shared" si="79"/>
        <v>13.466666666666667</v>
      </c>
      <c r="L1253" s="331">
        <v>40662</v>
      </c>
      <c r="M1253" s="329">
        <v>22.099999999999998</v>
      </c>
      <c r="N1253" s="329">
        <v>25.133333333333336</v>
      </c>
      <c r="O1253" s="329">
        <v>13.983333333333334</v>
      </c>
      <c r="P1253" s="329">
        <v>13.466666666666667</v>
      </c>
    </row>
    <row r="1254" spans="1:16">
      <c r="A1254" s="331">
        <v>40662</v>
      </c>
      <c r="B1254" s="329">
        <v>22.1</v>
      </c>
      <c r="C1254" s="329">
        <f t="shared" si="76"/>
        <v>22.099999999999998</v>
      </c>
      <c r="D1254" s="329">
        <v>25.2</v>
      </c>
      <c r="E1254" s="329">
        <f t="shared" si="77"/>
        <v>25.133333333333336</v>
      </c>
      <c r="F1254" s="329">
        <v>13.3</v>
      </c>
      <c r="G1254" s="329">
        <f t="shared" si="78"/>
        <v>13.983333333333334</v>
      </c>
      <c r="H1254" s="329">
        <v>13.1</v>
      </c>
      <c r="I1254" s="329">
        <f t="shared" si="79"/>
        <v>13.466666666666667</v>
      </c>
      <c r="L1254" s="331">
        <v>40662</v>
      </c>
      <c r="M1254" s="329">
        <v>22.099999999999998</v>
      </c>
      <c r="N1254" s="329">
        <v>25.133333333333336</v>
      </c>
      <c r="O1254" s="329">
        <v>13.983333333333334</v>
      </c>
      <c r="P1254" s="329">
        <v>13.466666666666667</v>
      </c>
    </row>
    <row r="1255" spans="1:16">
      <c r="A1255" s="331">
        <v>40662</v>
      </c>
      <c r="B1255" s="329">
        <v>22</v>
      </c>
      <c r="C1255" s="329">
        <f t="shared" si="76"/>
        <v>22.099999999999998</v>
      </c>
      <c r="D1255" s="329">
        <v>25.1</v>
      </c>
      <c r="E1255" s="329">
        <f t="shared" si="77"/>
        <v>25.133333333333336</v>
      </c>
      <c r="F1255" s="329">
        <v>14.9</v>
      </c>
      <c r="G1255" s="329">
        <f t="shared" si="78"/>
        <v>13.983333333333334</v>
      </c>
      <c r="H1255" s="329">
        <v>13.2</v>
      </c>
      <c r="I1255" s="329">
        <f t="shared" si="79"/>
        <v>13.466666666666667</v>
      </c>
      <c r="L1255" s="331">
        <v>40662</v>
      </c>
      <c r="M1255" s="329">
        <v>22.099999999999998</v>
      </c>
      <c r="N1255" s="329">
        <v>25.133333333333336</v>
      </c>
      <c r="O1255" s="329">
        <v>13.983333333333334</v>
      </c>
      <c r="P1255" s="329">
        <v>13.466666666666667</v>
      </c>
    </row>
    <row r="1256" spans="1:16">
      <c r="A1256" s="331">
        <v>40662</v>
      </c>
      <c r="B1256" s="329">
        <v>22</v>
      </c>
      <c r="C1256" s="329">
        <f t="shared" ref="C1256:C1319" si="80">AVERAGEIFS($B$33:$B$1494,$A$33:$A$1494,A1256)</f>
        <v>22.099999999999998</v>
      </c>
      <c r="D1256" s="329">
        <v>24.9</v>
      </c>
      <c r="E1256" s="329">
        <f t="shared" si="77"/>
        <v>25.133333333333336</v>
      </c>
      <c r="F1256" s="329">
        <v>15.4</v>
      </c>
      <c r="G1256" s="329">
        <f t="shared" si="78"/>
        <v>13.983333333333334</v>
      </c>
      <c r="H1256" s="329">
        <v>13.5</v>
      </c>
      <c r="I1256" s="329">
        <f t="shared" si="79"/>
        <v>13.466666666666667</v>
      </c>
      <c r="L1256" s="331">
        <v>40662</v>
      </c>
      <c r="M1256" s="329">
        <v>22.099999999999998</v>
      </c>
      <c r="N1256" s="329">
        <v>25.133333333333336</v>
      </c>
      <c r="O1256" s="329">
        <v>13.983333333333334</v>
      </c>
      <c r="P1256" s="329">
        <v>13.466666666666667</v>
      </c>
    </row>
    <row r="1257" spans="1:16">
      <c r="A1257" s="331">
        <v>40663</v>
      </c>
      <c r="B1257" s="329">
        <v>22</v>
      </c>
      <c r="C1257" s="329">
        <f t="shared" si="80"/>
        <v>21.916666666666671</v>
      </c>
      <c r="D1257" s="329">
        <v>24.9</v>
      </c>
      <c r="E1257" s="329">
        <f t="shared" si="77"/>
        <v>24.799999999999997</v>
      </c>
      <c r="F1257" s="329">
        <v>14.7</v>
      </c>
      <c r="G1257" s="329">
        <f t="shared" si="78"/>
        <v>14.783333333333333</v>
      </c>
      <c r="H1257" s="329">
        <v>13.7</v>
      </c>
      <c r="I1257" s="329">
        <f t="shared" si="79"/>
        <v>13.649999999999999</v>
      </c>
      <c r="L1257" s="331">
        <v>40663</v>
      </c>
      <c r="M1257" s="329">
        <v>21.916666666666671</v>
      </c>
      <c r="N1257" s="329">
        <v>24.799999999999997</v>
      </c>
      <c r="O1257" s="329">
        <v>14.783333333333333</v>
      </c>
      <c r="P1257" s="329">
        <v>13.649999999999999</v>
      </c>
    </row>
    <row r="1258" spans="1:16">
      <c r="A1258" s="331">
        <v>40663</v>
      </c>
      <c r="B1258" s="329">
        <v>22</v>
      </c>
      <c r="C1258" s="329">
        <f t="shared" si="80"/>
        <v>21.916666666666671</v>
      </c>
      <c r="D1258" s="329">
        <v>24.9</v>
      </c>
      <c r="E1258" s="329">
        <f t="shared" si="77"/>
        <v>24.799999999999997</v>
      </c>
      <c r="F1258" s="329">
        <v>14</v>
      </c>
      <c r="G1258" s="329">
        <f t="shared" si="78"/>
        <v>14.783333333333333</v>
      </c>
      <c r="H1258" s="329">
        <v>13.7</v>
      </c>
      <c r="I1258" s="329">
        <f t="shared" si="79"/>
        <v>13.649999999999999</v>
      </c>
      <c r="L1258" s="331">
        <v>40663</v>
      </c>
      <c r="M1258" s="329">
        <v>21.916666666666671</v>
      </c>
      <c r="N1258" s="329">
        <v>24.799999999999997</v>
      </c>
      <c r="O1258" s="329">
        <v>14.783333333333333</v>
      </c>
      <c r="P1258" s="329">
        <v>13.649999999999999</v>
      </c>
    </row>
    <row r="1259" spans="1:16">
      <c r="A1259" s="331">
        <v>40663</v>
      </c>
      <c r="B1259" s="329">
        <v>21.9</v>
      </c>
      <c r="C1259" s="329">
        <f t="shared" si="80"/>
        <v>21.916666666666671</v>
      </c>
      <c r="D1259" s="329">
        <v>24.9</v>
      </c>
      <c r="E1259" s="329">
        <f t="shared" si="77"/>
        <v>24.799999999999997</v>
      </c>
      <c r="F1259" s="329">
        <v>13.5</v>
      </c>
      <c r="G1259" s="329">
        <f t="shared" si="78"/>
        <v>14.783333333333333</v>
      </c>
      <c r="H1259" s="329">
        <v>13.5</v>
      </c>
      <c r="I1259" s="329">
        <f t="shared" si="79"/>
        <v>13.649999999999999</v>
      </c>
      <c r="L1259" s="331">
        <v>40663</v>
      </c>
      <c r="M1259" s="329">
        <v>21.916666666666671</v>
      </c>
      <c r="N1259" s="329">
        <v>24.799999999999997</v>
      </c>
      <c r="O1259" s="329">
        <v>14.783333333333333</v>
      </c>
      <c r="P1259" s="329">
        <v>13.649999999999999</v>
      </c>
    </row>
    <row r="1260" spans="1:16">
      <c r="A1260" s="331">
        <v>40663</v>
      </c>
      <c r="B1260" s="329">
        <v>21.9</v>
      </c>
      <c r="C1260" s="329">
        <f t="shared" si="80"/>
        <v>21.916666666666671</v>
      </c>
      <c r="D1260" s="329">
        <v>24.8</v>
      </c>
      <c r="E1260" s="329">
        <f t="shared" si="77"/>
        <v>24.799999999999997</v>
      </c>
      <c r="F1260" s="329">
        <v>14.3</v>
      </c>
      <c r="G1260" s="329">
        <f t="shared" si="78"/>
        <v>14.783333333333333</v>
      </c>
      <c r="H1260" s="329">
        <v>13.4</v>
      </c>
      <c r="I1260" s="329">
        <f t="shared" si="79"/>
        <v>13.649999999999999</v>
      </c>
      <c r="L1260" s="331">
        <v>40663</v>
      </c>
      <c r="M1260" s="329">
        <v>21.916666666666671</v>
      </c>
      <c r="N1260" s="329">
        <v>24.799999999999997</v>
      </c>
      <c r="O1260" s="329">
        <v>14.783333333333333</v>
      </c>
      <c r="P1260" s="329">
        <v>13.649999999999999</v>
      </c>
    </row>
    <row r="1261" spans="1:16">
      <c r="A1261" s="331">
        <v>40663</v>
      </c>
      <c r="B1261" s="329">
        <v>21.9</v>
      </c>
      <c r="C1261" s="329">
        <f t="shared" si="80"/>
        <v>21.916666666666671</v>
      </c>
      <c r="D1261" s="329">
        <v>24.7</v>
      </c>
      <c r="E1261" s="329">
        <f t="shared" si="77"/>
        <v>24.799999999999997</v>
      </c>
      <c r="F1261" s="329">
        <v>16</v>
      </c>
      <c r="G1261" s="329">
        <f t="shared" si="78"/>
        <v>14.783333333333333</v>
      </c>
      <c r="H1261" s="329">
        <v>13.6</v>
      </c>
      <c r="I1261" s="329">
        <f t="shared" si="79"/>
        <v>13.649999999999999</v>
      </c>
      <c r="L1261" s="331">
        <v>40663</v>
      </c>
      <c r="M1261" s="329">
        <v>21.916666666666671</v>
      </c>
      <c r="N1261" s="329">
        <v>24.799999999999997</v>
      </c>
      <c r="O1261" s="329">
        <v>14.783333333333333</v>
      </c>
      <c r="P1261" s="329">
        <v>13.649999999999999</v>
      </c>
    </row>
    <row r="1262" spans="1:16">
      <c r="A1262" s="331">
        <v>40663</v>
      </c>
      <c r="B1262" s="329">
        <v>21.8</v>
      </c>
      <c r="C1262" s="329">
        <f t="shared" si="80"/>
        <v>21.916666666666671</v>
      </c>
      <c r="D1262" s="329">
        <v>24.6</v>
      </c>
      <c r="E1262" s="329">
        <f t="shared" si="77"/>
        <v>24.799999999999997</v>
      </c>
      <c r="F1262" s="329">
        <v>16.2</v>
      </c>
      <c r="G1262" s="329">
        <f t="shared" si="78"/>
        <v>14.783333333333333</v>
      </c>
      <c r="H1262" s="329">
        <v>14</v>
      </c>
      <c r="I1262" s="329">
        <f t="shared" si="79"/>
        <v>13.649999999999999</v>
      </c>
      <c r="L1262" s="331">
        <v>40663</v>
      </c>
      <c r="M1262" s="329">
        <v>21.916666666666671</v>
      </c>
      <c r="N1262" s="329">
        <v>24.799999999999997</v>
      </c>
      <c r="O1262" s="329">
        <v>14.783333333333333</v>
      </c>
      <c r="P1262" s="329">
        <v>13.649999999999999</v>
      </c>
    </row>
    <row r="1263" spans="1:16">
      <c r="A1263" s="331">
        <v>40664</v>
      </c>
      <c r="B1263" s="329">
        <v>21.8</v>
      </c>
      <c r="C1263" s="329">
        <f t="shared" si="80"/>
        <v>21.75</v>
      </c>
      <c r="D1263" s="329">
        <v>24.6</v>
      </c>
      <c r="E1263" s="329">
        <f t="shared" si="77"/>
        <v>24.500000000000004</v>
      </c>
      <c r="F1263" s="329">
        <v>15.4</v>
      </c>
      <c r="G1263" s="329">
        <f t="shared" si="78"/>
        <v>15.299999999999999</v>
      </c>
      <c r="H1263" s="329">
        <v>14.2</v>
      </c>
      <c r="I1263" s="329">
        <f t="shared" si="79"/>
        <v>14.033333333333333</v>
      </c>
      <c r="L1263" s="331">
        <v>40664</v>
      </c>
      <c r="M1263" s="329">
        <v>21.75</v>
      </c>
      <c r="N1263" s="329">
        <v>24.500000000000004</v>
      </c>
      <c r="O1263" s="329">
        <v>15.299999999999999</v>
      </c>
      <c r="P1263" s="329">
        <v>14.033333333333333</v>
      </c>
    </row>
    <row r="1264" spans="1:16">
      <c r="A1264" s="331">
        <v>40664</v>
      </c>
      <c r="B1264" s="329">
        <v>21.8</v>
      </c>
      <c r="C1264" s="329">
        <f t="shared" si="80"/>
        <v>21.75</v>
      </c>
      <c r="D1264" s="329">
        <v>24.6</v>
      </c>
      <c r="E1264" s="329">
        <f t="shared" si="77"/>
        <v>24.500000000000004</v>
      </c>
      <c r="F1264" s="329">
        <v>14.7</v>
      </c>
      <c r="G1264" s="329">
        <f t="shared" si="78"/>
        <v>15.299999999999999</v>
      </c>
      <c r="H1264" s="329">
        <v>14.1</v>
      </c>
      <c r="I1264" s="329">
        <f t="shared" si="79"/>
        <v>14.033333333333333</v>
      </c>
      <c r="L1264" s="331">
        <v>40664</v>
      </c>
      <c r="M1264" s="329">
        <v>21.75</v>
      </c>
      <c r="N1264" s="329">
        <v>24.500000000000004</v>
      </c>
      <c r="O1264" s="329">
        <v>15.299999999999999</v>
      </c>
      <c r="P1264" s="329">
        <v>14.033333333333333</v>
      </c>
    </row>
    <row r="1265" spans="1:16">
      <c r="A1265" s="331">
        <v>40664</v>
      </c>
      <c r="B1265" s="329">
        <v>21.8</v>
      </c>
      <c r="C1265" s="329">
        <f t="shared" si="80"/>
        <v>21.75</v>
      </c>
      <c r="D1265" s="329">
        <v>24.6</v>
      </c>
      <c r="E1265" s="329">
        <f t="shared" si="77"/>
        <v>24.500000000000004</v>
      </c>
      <c r="F1265" s="329">
        <v>13.7</v>
      </c>
      <c r="G1265" s="329">
        <f t="shared" si="78"/>
        <v>15.299999999999999</v>
      </c>
      <c r="H1265" s="329">
        <v>13.9</v>
      </c>
      <c r="I1265" s="329">
        <f t="shared" si="79"/>
        <v>14.033333333333333</v>
      </c>
      <c r="L1265" s="331">
        <v>40664</v>
      </c>
      <c r="M1265" s="329">
        <v>21.75</v>
      </c>
      <c r="N1265" s="329">
        <v>24.500000000000004</v>
      </c>
      <c r="O1265" s="329">
        <v>15.299999999999999</v>
      </c>
      <c r="P1265" s="329">
        <v>14.033333333333333</v>
      </c>
    </row>
    <row r="1266" spans="1:16">
      <c r="A1266" s="331">
        <v>40664</v>
      </c>
      <c r="B1266" s="329">
        <v>21.7</v>
      </c>
      <c r="C1266" s="329">
        <f t="shared" si="80"/>
        <v>21.75</v>
      </c>
      <c r="D1266" s="329">
        <v>24.5</v>
      </c>
      <c r="E1266" s="329">
        <f t="shared" si="77"/>
        <v>24.500000000000004</v>
      </c>
      <c r="F1266" s="329">
        <v>14.7</v>
      </c>
      <c r="G1266" s="329">
        <f t="shared" si="78"/>
        <v>15.299999999999999</v>
      </c>
      <c r="H1266" s="329">
        <v>13.7</v>
      </c>
      <c r="I1266" s="329">
        <f t="shared" si="79"/>
        <v>14.033333333333333</v>
      </c>
      <c r="L1266" s="331">
        <v>40664</v>
      </c>
      <c r="M1266" s="329">
        <v>21.75</v>
      </c>
      <c r="N1266" s="329">
        <v>24.500000000000004</v>
      </c>
      <c r="O1266" s="329">
        <v>15.299999999999999</v>
      </c>
      <c r="P1266" s="329">
        <v>14.033333333333333</v>
      </c>
    </row>
    <row r="1267" spans="1:16">
      <c r="A1267" s="331">
        <v>40664</v>
      </c>
      <c r="B1267" s="329">
        <v>21.7</v>
      </c>
      <c r="C1267" s="329">
        <f t="shared" si="80"/>
        <v>21.75</v>
      </c>
      <c r="D1267" s="329">
        <v>24.4</v>
      </c>
      <c r="E1267" s="329">
        <f t="shared" si="77"/>
        <v>24.500000000000004</v>
      </c>
      <c r="F1267" s="329">
        <v>16.5</v>
      </c>
      <c r="G1267" s="329">
        <f t="shared" si="78"/>
        <v>15.299999999999999</v>
      </c>
      <c r="H1267" s="329">
        <v>13.9</v>
      </c>
      <c r="I1267" s="329">
        <f t="shared" si="79"/>
        <v>14.033333333333333</v>
      </c>
      <c r="L1267" s="331">
        <v>40664</v>
      </c>
      <c r="M1267" s="329">
        <v>21.75</v>
      </c>
      <c r="N1267" s="329">
        <v>24.500000000000004</v>
      </c>
      <c r="O1267" s="329">
        <v>15.299999999999999</v>
      </c>
      <c r="P1267" s="329">
        <v>14.033333333333333</v>
      </c>
    </row>
    <row r="1268" spans="1:16">
      <c r="A1268" s="331">
        <v>40664</v>
      </c>
      <c r="B1268" s="329">
        <v>21.7</v>
      </c>
      <c r="C1268" s="329">
        <f t="shared" si="80"/>
        <v>21.75</v>
      </c>
      <c r="D1268" s="329">
        <v>24.3</v>
      </c>
      <c r="E1268" s="329">
        <f t="shared" si="77"/>
        <v>24.500000000000004</v>
      </c>
      <c r="F1268" s="329">
        <v>16.8</v>
      </c>
      <c r="G1268" s="329">
        <f t="shared" si="78"/>
        <v>15.299999999999999</v>
      </c>
      <c r="H1268" s="329">
        <v>14.4</v>
      </c>
      <c r="I1268" s="329">
        <f t="shared" si="79"/>
        <v>14.033333333333333</v>
      </c>
      <c r="L1268" s="331">
        <v>40664</v>
      </c>
      <c r="M1268" s="329">
        <v>21.75</v>
      </c>
      <c r="N1268" s="329">
        <v>24.500000000000004</v>
      </c>
      <c r="O1268" s="329">
        <v>15.299999999999999</v>
      </c>
      <c r="P1268" s="329">
        <v>14.033333333333333</v>
      </c>
    </row>
    <row r="1269" spans="1:16">
      <c r="A1269" s="331">
        <v>40665</v>
      </c>
      <c r="B1269" s="329">
        <v>21.7</v>
      </c>
      <c r="C1269" s="329">
        <f t="shared" si="80"/>
        <v>21.616666666666664</v>
      </c>
      <c r="D1269" s="329">
        <v>24.3</v>
      </c>
      <c r="E1269" s="329">
        <f t="shared" si="77"/>
        <v>24.233333333333334</v>
      </c>
      <c r="F1269" s="329">
        <v>16.100000000000001</v>
      </c>
      <c r="G1269" s="329">
        <f t="shared" si="78"/>
        <v>15.833333333333334</v>
      </c>
      <c r="H1269" s="329">
        <v>14.6</v>
      </c>
      <c r="I1269" s="329">
        <f t="shared" si="79"/>
        <v>14.516666666666667</v>
      </c>
      <c r="L1269" s="331">
        <v>40665</v>
      </c>
      <c r="M1269" s="329">
        <v>21.616666666666664</v>
      </c>
      <c r="N1269" s="329">
        <v>24.233333333333334</v>
      </c>
      <c r="O1269" s="329">
        <v>15.833333333333334</v>
      </c>
      <c r="P1269" s="329">
        <v>14.516666666666667</v>
      </c>
    </row>
    <row r="1270" spans="1:16">
      <c r="A1270" s="331">
        <v>40665</v>
      </c>
      <c r="B1270" s="329">
        <v>21.6</v>
      </c>
      <c r="C1270" s="329">
        <f t="shared" si="80"/>
        <v>21.616666666666664</v>
      </c>
      <c r="D1270" s="329">
        <v>24.3</v>
      </c>
      <c r="E1270" s="329">
        <f t="shared" si="77"/>
        <v>24.233333333333334</v>
      </c>
      <c r="F1270" s="329">
        <v>15.4</v>
      </c>
      <c r="G1270" s="329">
        <f t="shared" si="78"/>
        <v>15.833333333333334</v>
      </c>
      <c r="H1270" s="329">
        <v>14.6</v>
      </c>
      <c r="I1270" s="329">
        <f t="shared" si="79"/>
        <v>14.516666666666667</v>
      </c>
      <c r="L1270" s="331">
        <v>40665</v>
      </c>
      <c r="M1270" s="329">
        <v>21.616666666666664</v>
      </c>
      <c r="N1270" s="329">
        <v>24.233333333333334</v>
      </c>
      <c r="O1270" s="329">
        <v>15.833333333333334</v>
      </c>
      <c r="P1270" s="329">
        <v>14.516666666666667</v>
      </c>
    </row>
    <row r="1271" spans="1:16">
      <c r="A1271" s="331">
        <v>40665</v>
      </c>
      <c r="B1271" s="329">
        <v>21.6</v>
      </c>
      <c r="C1271" s="329">
        <f t="shared" si="80"/>
        <v>21.616666666666664</v>
      </c>
      <c r="D1271" s="329">
        <v>24.3</v>
      </c>
      <c r="E1271" s="329">
        <f t="shared" si="77"/>
        <v>24.233333333333334</v>
      </c>
      <c r="F1271" s="329">
        <v>15</v>
      </c>
      <c r="G1271" s="329">
        <f t="shared" si="78"/>
        <v>15.833333333333334</v>
      </c>
      <c r="H1271" s="329">
        <v>14.5</v>
      </c>
      <c r="I1271" s="329">
        <f t="shared" si="79"/>
        <v>14.516666666666667</v>
      </c>
      <c r="L1271" s="331">
        <v>40665</v>
      </c>
      <c r="M1271" s="329">
        <v>21.616666666666664</v>
      </c>
      <c r="N1271" s="329">
        <v>24.233333333333334</v>
      </c>
      <c r="O1271" s="329">
        <v>15.833333333333334</v>
      </c>
      <c r="P1271" s="329">
        <v>14.516666666666667</v>
      </c>
    </row>
    <row r="1272" spans="1:16">
      <c r="A1272" s="331">
        <v>40665</v>
      </c>
      <c r="B1272" s="329">
        <v>21.6</v>
      </c>
      <c r="C1272" s="329">
        <f t="shared" si="80"/>
        <v>21.616666666666664</v>
      </c>
      <c r="D1272" s="329">
        <v>24.2</v>
      </c>
      <c r="E1272" s="329">
        <f t="shared" si="77"/>
        <v>24.233333333333334</v>
      </c>
      <c r="F1272" s="329">
        <v>15.3</v>
      </c>
      <c r="G1272" s="329">
        <f t="shared" si="78"/>
        <v>15.833333333333334</v>
      </c>
      <c r="H1272" s="329">
        <v>14.3</v>
      </c>
      <c r="I1272" s="329">
        <f t="shared" si="79"/>
        <v>14.516666666666667</v>
      </c>
      <c r="L1272" s="331">
        <v>40665</v>
      </c>
      <c r="M1272" s="329">
        <v>21.616666666666664</v>
      </c>
      <c r="N1272" s="329">
        <v>24.233333333333334</v>
      </c>
      <c r="O1272" s="329">
        <v>15.833333333333334</v>
      </c>
      <c r="P1272" s="329">
        <v>14.516666666666667</v>
      </c>
    </row>
    <row r="1273" spans="1:16">
      <c r="A1273" s="331">
        <v>40665</v>
      </c>
      <c r="B1273" s="329">
        <v>21.6</v>
      </c>
      <c r="C1273" s="329">
        <f t="shared" si="80"/>
        <v>21.616666666666664</v>
      </c>
      <c r="D1273" s="329">
        <v>24.2</v>
      </c>
      <c r="E1273" s="329">
        <f t="shared" si="77"/>
        <v>24.233333333333334</v>
      </c>
      <c r="F1273" s="329">
        <v>16.5</v>
      </c>
      <c r="G1273" s="329">
        <f t="shared" si="78"/>
        <v>15.833333333333334</v>
      </c>
      <c r="H1273" s="329">
        <v>14.4</v>
      </c>
      <c r="I1273" s="329">
        <f t="shared" si="79"/>
        <v>14.516666666666667</v>
      </c>
      <c r="L1273" s="331">
        <v>40665</v>
      </c>
      <c r="M1273" s="329">
        <v>21.616666666666664</v>
      </c>
      <c r="N1273" s="329">
        <v>24.233333333333334</v>
      </c>
      <c r="O1273" s="329">
        <v>15.833333333333334</v>
      </c>
      <c r="P1273" s="329">
        <v>14.516666666666667</v>
      </c>
    </row>
    <row r="1274" spans="1:16">
      <c r="A1274" s="331">
        <v>40665</v>
      </c>
      <c r="B1274" s="329">
        <v>21.6</v>
      </c>
      <c r="C1274" s="329">
        <f t="shared" si="80"/>
        <v>21.616666666666664</v>
      </c>
      <c r="D1274" s="329">
        <v>24.1</v>
      </c>
      <c r="E1274" s="329">
        <f t="shared" si="77"/>
        <v>24.233333333333334</v>
      </c>
      <c r="F1274" s="329">
        <v>16.7</v>
      </c>
      <c r="G1274" s="329">
        <f t="shared" si="78"/>
        <v>15.833333333333334</v>
      </c>
      <c r="H1274" s="329">
        <v>14.7</v>
      </c>
      <c r="I1274" s="329">
        <f t="shared" si="79"/>
        <v>14.516666666666667</v>
      </c>
      <c r="L1274" s="331">
        <v>40665</v>
      </c>
      <c r="M1274" s="329">
        <v>21.616666666666664</v>
      </c>
      <c r="N1274" s="329">
        <v>24.233333333333334</v>
      </c>
      <c r="O1274" s="329">
        <v>15.833333333333334</v>
      </c>
      <c r="P1274" s="329">
        <v>14.516666666666667</v>
      </c>
    </row>
    <row r="1275" spans="1:16">
      <c r="A1275" s="331">
        <v>40666</v>
      </c>
      <c r="B1275" s="329">
        <v>21.5</v>
      </c>
      <c r="C1275" s="329">
        <f t="shared" si="80"/>
        <v>21.516666666666666</v>
      </c>
      <c r="D1275" s="329">
        <v>24.1</v>
      </c>
      <c r="E1275" s="329">
        <f t="shared" si="77"/>
        <v>24.066666666666666</v>
      </c>
      <c r="F1275" s="329">
        <v>15.9</v>
      </c>
      <c r="G1275" s="329">
        <f t="shared" si="78"/>
        <v>15.583333333333334</v>
      </c>
      <c r="H1275" s="329">
        <v>14.8</v>
      </c>
      <c r="I1275" s="329">
        <f t="shared" si="79"/>
        <v>14.583333333333334</v>
      </c>
      <c r="L1275" s="331">
        <v>40666</v>
      </c>
      <c r="M1275" s="329">
        <v>21.516666666666666</v>
      </c>
      <c r="N1275" s="329">
        <v>24.066666666666666</v>
      </c>
      <c r="O1275" s="329">
        <v>15.583333333333334</v>
      </c>
      <c r="P1275" s="329">
        <v>14.583333333333334</v>
      </c>
    </row>
    <row r="1276" spans="1:16">
      <c r="A1276" s="331">
        <v>40666</v>
      </c>
      <c r="B1276" s="329">
        <v>21.6</v>
      </c>
      <c r="C1276" s="329">
        <f t="shared" si="80"/>
        <v>21.516666666666666</v>
      </c>
      <c r="D1276" s="329">
        <v>24.1</v>
      </c>
      <c r="E1276" s="329">
        <f t="shared" si="77"/>
        <v>24.066666666666666</v>
      </c>
      <c r="F1276" s="329">
        <v>15.4</v>
      </c>
      <c r="G1276" s="329">
        <f t="shared" si="78"/>
        <v>15.583333333333334</v>
      </c>
      <c r="H1276" s="329">
        <v>14.7</v>
      </c>
      <c r="I1276" s="329">
        <f t="shared" si="79"/>
        <v>14.583333333333334</v>
      </c>
      <c r="L1276" s="331">
        <v>40666</v>
      </c>
      <c r="M1276" s="329">
        <v>21.516666666666666</v>
      </c>
      <c r="N1276" s="329">
        <v>24.066666666666666</v>
      </c>
      <c r="O1276" s="329">
        <v>15.583333333333334</v>
      </c>
      <c r="P1276" s="329">
        <v>14.583333333333334</v>
      </c>
    </row>
    <row r="1277" spans="1:16">
      <c r="A1277" s="331">
        <v>40666</v>
      </c>
      <c r="B1277" s="329">
        <v>21.5</v>
      </c>
      <c r="C1277" s="329">
        <f t="shared" si="80"/>
        <v>21.516666666666666</v>
      </c>
      <c r="D1277" s="329">
        <v>24.1</v>
      </c>
      <c r="E1277" s="329">
        <f t="shared" si="77"/>
        <v>24.066666666666666</v>
      </c>
      <c r="F1277" s="329">
        <v>15</v>
      </c>
      <c r="G1277" s="329">
        <f t="shared" si="78"/>
        <v>15.583333333333334</v>
      </c>
      <c r="H1277" s="329">
        <v>14.6</v>
      </c>
      <c r="I1277" s="329">
        <f t="shared" si="79"/>
        <v>14.583333333333334</v>
      </c>
      <c r="L1277" s="331">
        <v>40666</v>
      </c>
      <c r="M1277" s="329">
        <v>21.516666666666666</v>
      </c>
      <c r="N1277" s="329">
        <v>24.066666666666666</v>
      </c>
      <c r="O1277" s="329">
        <v>15.583333333333334</v>
      </c>
      <c r="P1277" s="329">
        <v>14.583333333333334</v>
      </c>
    </row>
    <row r="1278" spans="1:16">
      <c r="A1278" s="331">
        <v>40666</v>
      </c>
      <c r="B1278" s="329">
        <v>21.5</v>
      </c>
      <c r="C1278" s="329">
        <f t="shared" si="80"/>
        <v>21.516666666666666</v>
      </c>
      <c r="D1278" s="329">
        <v>24.1</v>
      </c>
      <c r="E1278" s="329">
        <f t="shared" si="77"/>
        <v>24.066666666666666</v>
      </c>
      <c r="F1278" s="329">
        <v>15.2</v>
      </c>
      <c r="G1278" s="329">
        <f t="shared" si="78"/>
        <v>15.583333333333334</v>
      </c>
      <c r="H1278" s="329">
        <v>14.4</v>
      </c>
      <c r="I1278" s="329">
        <f t="shared" si="79"/>
        <v>14.583333333333334</v>
      </c>
      <c r="L1278" s="331">
        <v>40666</v>
      </c>
      <c r="M1278" s="329">
        <v>21.516666666666666</v>
      </c>
      <c r="N1278" s="329">
        <v>24.066666666666666</v>
      </c>
      <c r="O1278" s="329">
        <v>15.583333333333334</v>
      </c>
      <c r="P1278" s="329">
        <v>14.583333333333334</v>
      </c>
    </row>
    <row r="1279" spans="1:16">
      <c r="A1279" s="331">
        <v>40666</v>
      </c>
      <c r="B1279" s="329">
        <v>21.5</v>
      </c>
      <c r="C1279" s="329">
        <f t="shared" si="80"/>
        <v>21.516666666666666</v>
      </c>
      <c r="D1279" s="329">
        <v>24</v>
      </c>
      <c r="E1279" s="329">
        <f t="shared" si="77"/>
        <v>24.066666666666666</v>
      </c>
      <c r="F1279" s="329">
        <v>15.9</v>
      </c>
      <c r="G1279" s="329">
        <f t="shared" si="78"/>
        <v>15.583333333333334</v>
      </c>
      <c r="H1279" s="329">
        <v>14.4</v>
      </c>
      <c r="I1279" s="329">
        <f t="shared" si="79"/>
        <v>14.583333333333334</v>
      </c>
      <c r="L1279" s="331">
        <v>40666</v>
      </c>
      <c r="M1279" s="329">
        <v>21.516666666666666</v>
      </c>
      <c r="N1279" s="329">
        <v>24.066666666666666</v>
      </c>
      <c r="O1279" s="329">
        <v>15.583333333333334</v>
      </c>
      <c r="P1279" s="329">
        <v>14.583333333333334</v>
      </c>
    </row>
    <row r="1280" spans="1:16">
      <c r="A1280" s="331">
        <v>40666</v>
      </c>
      <c r="B1280" s="329">
        <v>21.5</v>
      </c>
      <c r="C1280" s="329">
        <f t="shared" si="80"/>
        <v>21.516666666666666</v>
      </c>
      <c r="D1280" s="329">
        <v>24</v>
      </c>
      <c r="E1280" s="329">
        <f t="shared" si="77"/>
        <v>24.066666666666666</v>
      </c>
      <c r="F1280" s="329">
        <v>16.100000000000001</v>
      </c>
      <c r="G1280" s="329">
        <f t="shared" si="78"/>
        <v>15.583333333333334</v>
      </c>
      <c r="H1280" s="329">
        <v>14.6</v>
      </c>
      <c r="I1280" s="329">
        <f t="shared" si="79"/>
        <v>14.583333333333334</v>
      </c>
      <c r="L1280" s="331">
        <v>40666</v>
      </c>
      <c r="M1280" s="329">
        <v>21.516666666666666</v>
      </c>
      <c r="N1280" s="329">
        <v>24.066666666666666</v>
      </c>
      <c r="O1280" s="329">
        <v>15.583333333333334</v>
      </c>
      <c r="P1280" s="329">
        <v>14.583333333333334</v>
      </c>
    </row>
    <row r="1281" spans="1:16">
      <c r="A1281" s="331">
        <v>40667</v>
      </c>
      <c r="B1281" s="329">
        <v>21.5</v>
      </c>
      <c r="C1281" s="329">
        <f t="shared" si="80"/>
        <v>21.433333333333337</v>
      </c>
      <c r="D1281" s="329">
        <v>24</v>
      </c>
      <c r="E1281" s="329">
        <f t="shared" si="77"/>
        <v>23.950000000000003</v>
      </c>
      <c r="F1281" s="329">
        <v>15.4</v>
      </c>
      <c r="G1281" s="329">
        <f t="shared" si="78"/>
        <v>15.066666666666668</v>
      </c>
      <c r="H1281" s="329">
        <v>14.6</v>
      </c>
      <c r="I1281" s="329">
        <f t="shared" si="79"/>
        <v>14.283333333333331</v>
      </c>
      <c r="L1281" s="331">
        <v>40667</v>
      </c>
      <c r="M1281" s="329">
        <v>21.433333333333337</v>
      </c>
      <c r="N1281" s="329">
        <v>23.950000000000003</v>
      </c>
      <c r="O1281" s="329">
        <v>15.066666666666668</v>
      </c>
      <c r="P1281" s="329">
        <v>14.283333333333331</v>
      </c>
    </row>
    <row r="1282" spans="1:16">
      <c r="A1282" s="331">
        <v>40667</v>
      </c>
      <c r="B1282" s="329">
        <v>21.5</v>
      </c>
      <c r="C1282" s="329">
        <f t="shared" si="80"/>
        <v>21.433333333333337</v>
      </c>
      <c r="D1282" s="329">
        <v>24</v>
      </c>
      <c r="E1282" s="329">
        <f t="shared" si="77"/>
        <v>23.950000000000003</v>
      </c>
      <c r="F1282" s="329">
        <v>14.6</v>
      </c>
      <c r="G1282" s="329">
        <f t="shared" si="78"/>
        <v>15.066666666666668</v>
      </c>
      <c r="H1282" s="329">
        <v>14.5</v>
      </c>
      <c r="I1282" s="329">
        <f t="shared" si="79"/>
        <v>14.283333333333331</v>
      </c>
      <c r="L1282" s="331">
        <v>40667</v>
      </c>
      <c r="M1282" s="329">
        <v>21.433333333333337</v>
      </c>
      <c r="N1282" s="329">
        <v>23.950000000000003</v>
      </c>
      <c r="O1282" s="329">
        <v>15.066666666666668</v>
      </c>
      <c r="P1282" s="329">
        <v>14.283333333333331</v>
      </c>
    </row>
    <row r="1283" spans="1:16">
      <c r="A1283" s="331">
        <v>40667</v>
      </c>
      <c r="B1283" s="329">
        <v>21.4</v>
      </c>
      <c r="C1283" s="329">
        <f t="shared" si="80"/>
        <v>21.433333333333337</v>
      </c>
      <c r="D1283" s="329">
        <v>24</v>
      </c>
      <c r="E1283" s="329">
        <f t="shared" si="77"/>
        <v>23.950000000000003</v>
      </c>
      <c r="F1283" s="329">
        <v>14</v>
      </c>
      <c r="G1283" s="329">
        <f t="shared" si="78"/>
        <v>15.066666666666668</v>
      </c>
      <c r="H1283" s="329">
        <v>14.2</v>
      </c>
      <c r="I1283" s="329">
        <f t="shared" si="79"/>
        <v>14.283333333333331</v>
      </c>
      <c r="L1283" s="331">
        <v>40667</v>
      </c>
      <c r="M1283" s="329">
        <v>21.433333333333337</v>
      </c>
      <c r="N1283" s="329">
        <v>23.950000000000003</v>
      </c>
      <c r="O1283" s="329">
        <v>15.066666666666668</v>
      </c>
      <c r="P1283" s="329">
        <v>14.283333333333331</v>
      </c>
    </row>
    <row r="1284" spans="1:16">
      <c r="A1284" s="331">
        <v>40667</v>
      </c>
      <c r="B1284" s="329">
        <v>21.4</v>
      </c>
      <c r="C1284" s="329">
        <f t="shared" si="80"/>
        <v>21.433333333333337</v>
      </c>
      <c r="D1284" s="329">
        <v>24</v>
      </c>
      <c r="E1284" s="329">
        <f t="shared" si="77"/>
        <v>23.950000000000003</v>
      </c>
      <c r="F1284" s="329">
        <v>14.5</v>
      </c>
      <c r="G1284" s="329">
        <f t="shared" si="78"/>
        <v>15.066666666666668</v>
      </c>
      <c r="H1284" s="329">
        <v>14</v>
      </c>
      <c r="I1284" s="329">
        <f t="shared" si="79"/>
        <v>14.283333333333331</v>
      </c>
      <c r="L1284" s="331">
        <v>40667</v>
      </c>
      <c r="M1284" s="329">
        <v>21.433333333333337</v>
      </c>
      <c r="N1284" s="329">
        <v>23.950000000000003</v>
      </c>
      <c r="O1284" s="329">
        <v>15.066666666666668</v>
      </c>
      <c r="P1284" s="329">
        <v>14.283333333333331</v>
      </c>
    </row>
    <row r="1285" spans="1:16">
      <c r="A1285" s="331">
        <v>40667</v>
      </c>
      <c r="B1285" s="329">
        <v>21.4</v>
      </c>
      <c r="C1285" s="329">
        <f t="shared" si="80"/>
        <v>21.433333333333337</v>
      </c>
      <c r="D1285" s="329">
        <v>23.9</v>
      </c>
      <c r="E1285" s="329">
        <f t="shared" si="77"/>
        <v>23.950000000000003</v>
      </c>
      <c r="F1285" s="329">
        <v>15.7</v>
      </c>
      <c r="G1285" s="329">
        <f t="shared" si="78"/>
        <v>15.066666666666668</v>
      </c>
      <c r="H1285" s="329">
        <v>14.1</v>
      </c>
      <c r="I1285" s="329">
        <f t="shared" si="79"/>
        <v>14.283333333333331</v>
      </c>
      <c r="L1285" s="331">
        <v>40667</v>
      </c>
      <c r="M1285" s="329">
        <v>21.433333333333337</v>
      </c>
      <c r="N1285" s="329">
        <v>23.950000000000003</v>
      </c>
      <c r="O1285" s="329">
        <v>15.066666666666668</v>
      </c>
      <c r="P1285" s="329">
        <v>14.283333333333331</v>
      </c>
    </row>
    <row r="1286" spans="1:16">
      <c r="A1286" s="331">
        <v>40667</v>
      </c>
      <c r="B1286" s="329">
        <v>21.4</v>
      </c>
      <c r="C1286" s="329">
        <f t="shared" si="80"/>
        <v>21.433333333333337</v>
      </c>
      <c r="D1286" s="329">
        <v>23.8</v>
      </c>
      <c r="E1286" s="329">
        <f t="shared" si="77"/>
        <v>23.950000000000003</v>
      </c>
      <c r="F1286" s="329">
        <v>16.2</v>
      </c>
      <c r="G1286" s="329">
        <f t="shared" si="78"/>
        <v>15.066666666666668</v>
      </c>
      <c r="H1286" s="329">
        <v>14.3</v>
      </c>
      <c r="I1286" s="329">
        <f t="shared" si="79"/>
        <v>14.283333333333331</v>
      </c>
      <c r="L1286" s="331">
        <v>40667</v>
      </c>
      <c r="M1286" s="329">
        <v>21.433333333333337</v>
      </c>
      <c r="N1286" s="329">
        <v>23.950000000000003</v>
      </c>
      <c r="O1286" s="329">
        <v>15.066666666666668</v>
      </c>
      <c r="P1286" s="329">
        <v>14.283333333333331</v>
      </c>
    </row>
    <row r="1287" spans="1:16">
      <c r="A1287" s="331">
        <v>40668</v>
      </c>
      <c r="B1287" s="329">
        <v>21.4</v>
      </c>
      <c r="C1287" s="329">
        <f t="shared" si="80"/>
        <v>21.283333333333335</v>
      </c>
      <c r="D1287" s="329">
        <v>23.8</v>
      </c>
      <c r="E1287" s="329">
        <f t="shared" si="77"/>
        <v>23.75</v>
      </c>
      <c r="F1287" s="329">
        <v>15.2</v>
      </c>
      <c r="G1287" s="329">
        <f t="shared" si="78"/>
        <v>15.133333333333335</v>
      </c>
      <c r="H1287" s="329">
        <v>14.5</v>
      </c>
      <c r="I1287" s="329">
        <f t="shared" si="79"/>
        <v>14.200000000000001</v>
      </c>
      <c r="L1287" s="331">
        <v>40668</v>
      </c>
      <c r="M1287" s="329">
        <v>21.283333333333335</v>
      </c>
      <c r="N1287" s="329">
        <v>23.75</v>
      </c>
      <c r="O1287" s="329">
        <v>15.133333333333335</v>
      </c>
      <c r="P1287" s="329">
        <v>14.200000000000001</v>
      </c>
    </row>
    <row r="1288" spans="1:16">
      <c r="A1288" s="331">
        <v>40668</v>
      </c>
      <c r="B1288" s="329">
        <v>21.3</v>
      </c>
      <c r="C1288" s="329">
        <f t="shared" si="80"/>
        <v>21.283333333333335</v>
      </c>
      <c r="D1288" s="329">
        <v>23.8</v>
      </c>
      <c r="E1288" s="329">
        <f t="shared" si="77"/>
        <v>23.75</v>
      </c>
      <c r="F1288" s="329">
        <v>14.2</v>
      </c>
      <c r="G1288" s="329">
        <f t="shared" si="78"/>
        <v>15.133333333333335</v>
      </c>
      <c r="H1288" s="329">
        <v>14.4</v>
      </c>
      <c r="I1288" s="329">
        <f t="shared" si="79"/>
        <v>14.200000000000001</v>
      </c>
      <c r="L1288" s="331">
        <v>40668</v>
      </c>
      <c r="M1288" s="329">
        <v>21.283333333333335</v>
      </c>
      <c r="N1288" s="329">
        <v>23.75</v>
      </c>
      <c r="O1288" s="329">
        <v>15.133333333333335</v>
      </c>
      <c r="P1288" s="329">
        <v>14.200000000000001</v>
      </c>
    </row>
    <row r="1289" spans="1:16">
      <c r="A1289" s="331">
        <v>40668</v>
      </c>
      <c r="B1289" s="329">
        <v>21.3</v>
      </c>
      <c r="C1289" s="329">
        <f t="shared" si="80"/>
        <v>21.283333333333335</v>
      </c>
      <c r="D1289" s="329">
        <v>23.8</v>
      </c>
      <c r="E1289" s="329">
        <f t="shared" si="77"/>
        <v>23.75</v>
      </c>
      <c r="F1289" s="329">
        <v>13.3</v>
      </c>
      <c r="G1289" s="329">
        <f t="shared" si="78"/>
        <v>15.133333333333335</v>
      </c>
      <c r="H1289" s="329">
        <v>14</v>
      </c>
      <c r="I1289" s="329">
        <f t="shared" si="79"/>
        <v>14.200000000000001</v>
      </c>
      <c r="L1289" s="331">
        <v>40668</v>
      </c>
      <c r="M1289" s="329">
        <v>21.283333333333335</v>
      </c>
      <c r="N1289" s="329">
        <v>23.75</v>
      </c>
      <c r="O1289" s="329">
        <v>15.133333333333335</v>
      </c>
      <c r="P1289" s="329">
        <v>14.200000000000001</v>
      </c>
    </row>
    <row r="1290" spans="1:16">
      <c r="A1290" s="331">
        <v>40668</v>
      </c>
      <c r="B1290" s="329">
        <v>21.2</v>
      </c>
      <c r="C1290" s="329">
        <f t="shared" si="80"/>
        <v>21.283333333333335</v>
      </c>
      <c r="D1290" s="329">
        <v>23.8</v>
      </c>
      <c r="E1290" s="329">
        <f t="shared" si="77"/>
        <v>23.75</v>
      </c>
      <c r="F1290" s="329">
        <v>14.4</v>
      </c>
      <c r="G1290" s="329">
        <f t="shared" si="78"/>
        <v>15.133333333333335</v>
      </c>
      <c r="H1290" s="329">
        <v>13.8</v>
      </c>
      <c r="I1290" s="329">
        <f t="shared" si="79"/>
        <v>14.200000000000001</v>
      </c>
      <c r="L1290" s="331">
        <v>40668</v>
      </c>
      <c r="M1290" s="329">
        <v>21.283333333333335</v>
      </c>
      <c r="N1290" s="329">
        <v>23.75</v>
      </c>
      <c r="O1290" s="329">
        <v>15.133333333333335</v>
      </c>
      <c r="P1290" s="329">
        <v>14.200000000000001</v>
      </c>
    </row>
    <row r="1291" spans="1:16">
      <c r="A1291" s="331">
        <v>40668</v>
      </c>
      <c r="B1291" s="329">
        <v>21.2</v>
      </c>
      <c r="C1291" s="329">
        <f t="shared" si="80"/>
        <v>21.283333333333335</v>
      </c>
      <c r="D1291" s="329">
        <v>23.7</v>
      </c>
      <c r="E1291" s="329">
        <f t="shared" si="77"/>
        <v>23.75</v>
      </c>
      <c r="F1291" s="329">
        <v>16.600000000000001</v>
      </c>
      <c r="G1291" s="329">
        <f t="shared" si="78"/>
        <v>15.133333333333335</v>
      </c>
      <c r="H1291" s="329">
        <v>14</v>
      </c>
      <c r="I1291" s="329">
        <f t="shared" si="79"/>
        <v>14.200000000000001</v>
      </c>
      <c r="L1291" s="331">
        <v>40668</v>
      </c>
      <c r="M1291" s="329">
        <v>21.283333333333335</v>
      </c>
      <c r="N1291" s="329">
        <v>23.75</v>
      </c>
      <c r="O1291" s="329">
        <v>15.133333333333335</v>
      </c>
      <c r="P1291" s="329">
        <v>14.200000000000001</v>
      </c>
    </row>
    <row r="1292" spans="1:16">
      <c r="A1292" s="331">
        <v>40668</v>
      </c>
      <c r="B1292" s="329">
        <v>21.3</v>
      </c>
      <c r="C1292" s="329">
        <f t="shared" si="80"/>
        <v>21.283333333333335</v>
      </c>
      <c r="D1292" s="329">
        <v>23.6</v>
      </c>
      <c r="E1292" s="329">
        <f t="shared" si="77"/>
        <v>23.75</v>
      </c>
      <c r="F1292" s="329">
        <v>17.100000000000001</v>
      </c>
      <c r="G1292" s="329">
        <f t="shared" si="78"/>
        <v>15.133333333333335</v>
      </c>
      <c r="H1292" s="329">
        <v>14.5</v>
      </c>
      <c r="I1292" s="329">
        <f t="shared" si="79"/>
        <v>14.200000000000001</v>
      </c>
      <c r="L1292" s="331">
        <v>40668</v>
      </c>
      <c r="M1292" s="329">
        <v>21.283333333333335</v>
      </c>
      <c r="N1292" s="329">
        <v>23.75</v>
      </c>
      <c r="O1292" s="329">
        <v>15.133333333333335</v>
      </c>
      <c r="P1292" s="329">
        <v>14.200000000000001</v>
      </c>
    </row>
    <row r="1293" spans="1:16">
      <c r="A1293" s="331">
        <v>40669</v>
      </c>
      <c r="B1293" s="329">
        <v>21.3</v>
      </c>
      <c r="C1293" s="329">
        <f t="shared" si="80"/>
        <v>21.216666666666669</v>
      </c>
      <c r="D1293" s="329">
        <v>23.6</v>
      </c>
      <c r="E1293" s="329">
        <f t="shared" si="77"/>
        <v>23.599999999999998</v>
      </c>
      <c r="F1293" s="329">
        <v>16.3</v>
      </c>
      <c r="G1293" s="329">
        <f t="shared" si="78"/>
        <v>16.399999999999999</v>
      </c>
      <c r="H1293" s="329">
        <v>14.8</v>
      </c>
      <c r="I1293" s="329">
        <f t="shared" si="79"/>
        <v>14.833333333333334</v>
      </c>
      <c r="L1293" s="331">
        <v>40669</v>
      </c>
      <c r="M1293" s="329">
        <v>21.216666666666669</v>
      </c>
      <c r="N1293" s="329">
        <v>23.599999999999998</v>
      </c>
      <c r="O1293" s="329">
        <v>16.399999999999999</v>
      </c>
      <c r="P1293" s="329">
        <v>14.833333333333334</v>
      </c>
    </row>
    <row r="1294" spans="1:16">
      <c r="A1294" s="331">
        <v>40669</v>
      </c>
      <c r="B1294" s="329">
        <v>21.2</v>
      </c>
      <c r="C1294" s="329">
        <f t="shared" si="80"/>
        <v>21.216666666666669</v>
      </c>
      <c r="D1294" s="329">
        <v>23.7</v>
      </c>
      <c r="E1294" s="329">
        <f t="shared" si="77"/>
        <v>23.599999999999998</v>
      </c>
      <c r="F1294" s="329">
        <v>15.6</v>
      </c>
      <c r="G1294" s="329">
        <f t="shared" si="78"/>
        <v>16.399999999999999</v>
      </c>
      <c r="H1294" s="329">
        <v>14.8</v>
      </c>
      <c r="I1294" s="329">
        <f t="shared" si="79"/>
        <v>14.833333333333334</v>
      </c>
      <c r="L1294" s="331">
        <v>40669</v>
      </c>
      <c r="M1294" s="329">
        <v>21.216666666666669</v>
      </c>
      <c r="N1294" s="329">
        <v>23.599999999999998</v>
      </c>
      <c r="O1294" s="329">
        <v>16.399999999999999</v>
      </c>
      <c r="P1294" s="329">
        <v>14.833333333333334</v>
      </c>
    </row>
    <row r="1295" spans="1:16">
      <c r="A1295" s="331">
        <v>40669</v>
      </c>
      <c r="B1295" s="329">
        <v>21.2</v>
      </c>
      <c r="C1295" s="329">
        <f t="shared" si="80"/>
        <v>21.216666666666669</v>
      </c>
      <c r="D1295" s="329">
        <v>23.6</v>
      </c>
      <c r="E1295" s="329">
        <f t="shared" si="77"/>
        <v>23.599999999999998</v>
      </c>
      <c r="F1295" s="329">
        <v>15.2</v>
      </c>
      <c r="G1295" s="329">
        <f t="shared" si="78"/>
        <v>16.399999999999999</v>
      </c>
      <c r="H1295" s="329">
        <v>14.7</v>
      </c>
      <c r="I1295" s="329">
        <f t="shared" si="79"/>
        <v>14.833333333333334</v>
      </c>
      <c r="L1295" s="331">
        <v>40669</v>
      </c>
      <c r="M1295" s="329">
        <v>21.216666666666669</v>
      </c>
      <c r="N1295" s="329">
        <v>23.599999999999998</v>
      </c>
      <c r="O1295" s="329">
        <v>16.399999999999999</v>
      </c>
      <c r="P1295" s="329">
        <v>14.833333333333334</v>
      </c>
    </row>
    <row r="1296" spans="1:16">
      <c r="A1296" s="331">
        <v>40669</v>
      </c>
      <c r="B1296" s="329">
        <v>21.2</v>
      </c>
      <c r="C1296" s="329">
        <f t="shared" si="80"/>
        <v>21.216666666666669</v>
      </c>
      <c r="D1296" s="329">
        <v>23.6</v>
      </c>
      <c r="E1296" s="329">
        <f t="shared" si="77"/>
        <v>23.599999999999998</v>
      </c>
      <c r="F1296" s="329">
        <v>16</v>
      </c>
      <c r="G1296" s="329">
        <f t="shared" si="78"/>
        <v>16.399999999999999</v>
      </c>
      <c r="H1296" s="329">
        <v>14.6</v>
      </c>
      <c r="I1296" s="329">
        <f t="shared" si="79"/>
        <v>14.833333333333334</v>
      </c>
      <c r="L1296" s="331">
        <v>40669</v>
      </c>
      <c r="M1296" s="329">
        <v>21.216666666666669</v>
      </c>
      <c r="N1296" s="329">
        <v>23.599999999999998</v>
      </c>
      <c r="O1296" s="329">
        <v>16.399999999999999</v>
      </c>
      <c r="P1296" s="329">
        <v>14.833333333333334</v>
      </c>
    </row>
    <row r="1297" spans="1:16">
      <c r="A1297" s="331">
        <v>40669</v>
      </c>
      <c r="B1297" s="329">
        <v>21.2</v>
      </c>
      <c r="C1297" s="329">
        <f t="shared" si="80"/>
        <v>21.216666666666669</v>
      </c>
      <c r="D1297" s="329">
        <v>23.6</v>
      </c>
      <c r="E1297" s="329">
        <f t="shared" si="77"/>
        <v>23.599999999999998</v>
      </c>
      <c r="F1297" s="329">
        <v>17.600000000000001</v>
      </c>
      <c r="G1297" s="329">
        <f t="shared" si="78"/>
        <v>16.399999999999999</v>
      </c>
      <c r="H1297" s="329">
        <v>14.8</v>
      </c>
      <c r="I1297" s="329">
        <f t="shared" si="79"/>
        <v>14.833333333333334</v>
      </c>
      <c r="L1297" s="331">
        <v>40669</v>
      </c>
      <c r="M1297" s="329">
        <v>21.216666666666669</v>
      </c>
      <c r="N1297" s="329">
        <v>23.599999999999998</v>
      </c>
      <c r="O1297" s="329">
        <v>16.399999999999999</v>
      </c>
      <c r="P1297" s="329">
        <v>14.833333333333334</v>
      </c>
    </row>
    <row r="1298" spans="1:16">
      <c r="A1298" s="331">
        <v>40669</v>
      </c>
      <c r="B1298" s="329">
        <v>21.2</v>
      </c>
      <c r="C1298" s="329">
        <f t="shared" si="80"/>
        <v>21.216666666666669</v>
      </c>
      <c r="D1298" s="329">
        <v>23.5</v>
      </c>
      <c r="E1298" s="329">
        <f t="shared" si="77"/>
        <v>23.599999999999998</v>
      </c>
      <c r="F1298" s="329">
        <v>17.7</v>
      </c>
      <c r="G1298" s="329">
        <f t="shared" si="78"/>
        <v>16.399999999999999</v>
      </c>
      <c r="H1298" s="329">
        <v>15.3</v>
      </c>
      <c r="I1298" s="329">
        <f t="shared" si="79"/>
        <v>14.833333333333334</v>
      </c>
      <c r="L1298" s="331">
        <v>40669</v>
      </c>
      <c r="M1298" s="329">
        <v>21.216666666666669</v>
      </c>
      <c r="N1298" s="329">
        <v>23.599999999999998</v>
      </c>
      <c r="O1298" s="329">
        <v>16.399999999999999</v>
      </c>
      <c r="P1298" s="329">
        <v>14.833333333333334</v>
      </c>
    </row>
    <row r="1299" spans="1:16">
      <c r="A1299" s="331">
        <v>40670</v>
      </c>
      <c r="B1299" s="329">
        <v>21.2</v>
      </c>
      <c r="C1299" s="329">
        <f t="shared" si="80"/>
        <v>21.133333333333329</v>
      </c>
      <c r="D1299" s="329">
        <v>23.5</v>
      </c>
      <c r="E1299" s="329">
        <f t="shared" si="77"/>
        <v>23.483333333333334</v>
      </c>
      <c r="F1299" s="329">
        <v>16.7</v>
      </c>
      <c r="G1299" s="329">
        <f t="shared" si="78"/>
        <v>16.166666666666668</v>
      </c>
      <c r="H1299" s="329">
        <v>15.4</v>
      </c>
      <c r="I1299" s="329">
        <f t="shared" si="79"/>
        <v>15.200000000000001</v>
      </c>
      <c r="L1299" s="331">
        <v>40670</v>
      </c>
      <c r="M1299" s="329">
        <v>21.133333333333329</v>
      </c>
      <c r="N1299" s="329">
        <v>23.483333333333334</v>
      </c>
      <c r="O1299" s="329">
        <v>16.166666666666668</v>
      </c>
      <c r="P1299" s="329">
        <v>15.200000000000001</v>
      </c>
    </row>
    <row r="1300" spans="1:16">
      <c r="A1300" s="331">
        <v>40670</v>
      </c>
      <c r="B1300" s="329">
        <v>21.2</v>
      </c>
      <c r="C1300" s="329">
        <f t="shared" si="80"/>
        <v>21.133333333333329</v>
      </c>
      <c r="D1300" s="329">
        <v>23.5</v>
      </c>
      <c r="E1300" s="329">
        <f t="shared" si="77"/>
        <v>23.483333333333334</v>
      </c>
      <c r="F1300" s="329">
        <v>16.2</v>
      </c>
      <c r="G1300" s="329">
        <f t="shared" si="78"/>
        <v>16.166666666666668</v>
      </c>
      <c r="H1300" s="329">
        <v>15.4</v>
      </c>
      <c r="I1300" s="329">
        <f t="shared" si="79"/>
        <v>15.200000000000001</v>
      </c>
      <c r="L1300" s="331">
        <v>40670</v>
      </c>
      <c r="M1300" s="329">
        <v>21.133333333333329</v>
      </c>
      <c r="N1300" s="329">
        <v>23.483333333333334</v>
      </c>
      <c r="O1300" s="329">
        <v>16.166666666666668</v>
      </c>
      <c r="P1300" s="329">
        <v>15.200000000000001</v>
      </c>
    </row>
    <row r="1301" spans="1:16">
      <c r="A1301" s="331">
        <v>40670</v>
      </c>
      <c r="B1301" s="329">
        <v>21.1</v>
      </c>
      <c r="C1301" s="329">
        <f t="shared" si="80"/>
        <v>21.133333333333329</v>
      </c>
      <c r="D1301" s="329">
        <v>23.5</v>
      </c>
      <c r="E1301" s="329">
        <f t="shared" si="77"/>
        <v>23.483333333333334</v>
      </c>
      <c r="F1301" s="329">
        <v>15.8</v>
      </c>
      <c r="G1301" s="329">
        <f t="shared" si="78"/>
        <v>16.166666666666668</v>
      </c>
      <c r="H1301" s="329">
        <v>15.2</v>
      </c>
      <c r="I1301" s="329">
        <f t="shared" si="79"/>
        <v>15.200000000000001</v>
      </c>
      <c r="L1301" s="331">
        <v>40670</v>
      </c>
      <c r="M1301" s="329">
        <v>21.133333333333329</v>
      </c>
      <c r="N1301" s="329">
        <v>23.483333333333334</v>
      </c>
      <c r="O1301" s="329">
        <v>16.166666666666668</v>
      </c>
      <c r="P1301" s="329">
        <v>15.200000000000001</v>
      </c>
    </row>
    <row r="1302" spans="1:16">
      <c r="A1302" s="331">
        <v>40670</v>
      </c>
      <c r="B1302" s="329">
        <v>21.1</v>
      </c>
      <c r="C1302" s="329">
        <f t="shared" si="80"/>
        <v>21.133333333333329</v>
      </c>
      <c r="D1302" s="329">
        <v>23.5</v>
      </c>
      <c r="E1302" s="329">
        <f t="shared" si="77"/>
        <v>23.483333333333334</v>
      </c>
      <c r="F1302" s="329">
        <v>16.100000000000001</v>
      </c>
      <c r="G1302" s="329">
        <f t="shared" si="78"/>
        <v>16.166666666666668</v>
      </c>
      <c r="H1302" s="329">
        <v>15.1</v>
      </c>
      <c r="I1302" s="329">
        <f t="shared" si="79"/>
        <v>15.200000000000001</v>
      </c>
      <c r="L1302" s="331">
        <v>40670</v>
      </c>
      <c r="M1302" s="329">
        <v>21.133333333333329</v>
      </c>
      <c r="N1302" s="329">
        <v>23.483333333333334</v>
      </c>
      <c r="O1302" s="329">
        <v>16.166666666666668</v>
      </c>
      <c r="P1302" s="329">
        <v>15.200000000000001</v>
      </c>
    </row>
    <row r="1303" spans="1:16">
      <c r="A1303" s="331">
        <v>40670</v>
      </c>
      <c r="B1303" s="329">
        <v>21.1</v>
      </c>
      <c r="C1303" s="329">
        <f t="shared" si="80"/>
        <v>21.133333333333329</v>
      </c>
      <c r="D1303" s="329">
        <v>23.5</v>
      </c>
      <c r="E1303" s="329">
        <f t="shared" si="77"/>
        <v>23.483333333333334</v>
      </c>
      <c r="F1303" s="329">
        <v>16</v>
      </c>
      <c r="G1303" s="329">
        <f t="shared" si="78"/>
        <v>16.166666666666668</v>
      </c>
      <c r="H1303" s="329">
        <v>15.1</v>
      </c>
      <c r="I1303" s="329">
        <f t="shared" si="79"/>
        <v>15.200000000000001</v>
      </c>
      <c r="L1303" s="331">
        <v>40670</v>
      </c>
      <c r="M1303" s="329">
        <v>21.133333333333329</v>
      </c>
      <c r="N1303" s="329">
        <v>23.483333333333334</v>
      </c>
      <c r="O1303" s="329">
        <v>16.166666666666668</v>
      </c>
      <c r="P1303" s="329">
        <v>15.200000000000001</v>
      </c>
    </row>
    <row r="1304" spans="1:16">
      <c r="A1304" s="331">
        <v>40670</v>
      </c>
      <c r="B1304" s="329">
        <v>21.1</v>
      </c>
      <c r="C1304" s="329">
        <f t="shared" si="80"/>
        <v>21.133333333333329</v>
      </c>
      <c r="D1304" s="329">
        <v>23.4</v>
      </c>
      <c r="E1304" s="329">
        <f t="shared" si="77"/>
        <v>23.483333333333334</v>
      </c>
      <c r="F1304" s="329">
        <v>16.2</v>
      </c>
      <c r="G1304" s="329">
        <f t="shared" si="78"/>
        <v>16.166666666666668</v>
      </c>
      <c r="H1304" s="329">
        <v>15</v>
      </c>
      <c r="I1304" s="329">
        <f t="shared" si="79"/>
        <v>15.200000000000001</v>
      </c>
      <c r="L1304" s="331">
        <v>40670</v>
      </c>
      <c r="M1304" s="329">
        <v>21.133333333333329</v>
      </c>
      <c r="N1304" s="329">
        <v>23.483333333333334</v>
      </c>
      <c r="O1304" s="329">
        <v>16.166666666666668</v>
      </c>
      <c r="P1304" s="329">
        <v>15.200000000000001</v>
      </c>
    </row>
    <row r="1305" spans="1:16">
      <c r="A1305" s="331">
        <v>40671</v>
      </c>
      <c r="B1305" s="329">
        <v>21.1</v>
      </c>
      <c r="C1305" s="329">
        <f t="shared" si="80"/>
        <v>21.05</v>
      </c>
      <c r="D1305" s="329">
        <v>23.4</v>
      </c>
      <c r="E1305" s="329">
        <f t="shared" si="77"/>
        <v>23.366666666666664</v>
      </c>
      <c r="F1305" s="329">
        <v>16</v>
      </c>
      <c r="G1305" s="329">
        <f t="shared" si="78"/>
        <v>16.5</v>
      </c>
      <c r="H1305" s="329">
        <v>15.1</v>
      </c>
      <c r="I1305" s="329">
        <f t="shared" si="79"/>
        <v>15.049999999999999</v>
      </c>
      <c r="L1305" s="331">
        <v>40671</v>
      </c>
      <c r="M1305" s="329">
        <v>21.05</v>
      </c>
      <c r="N1305" s="329">
        <v>23.366666666666664</v>
      </c>
      <c r="O1305" s="329">
        <v>16.5</v>
      </c>
      <c r="P1305" s="329">
        <v>15.049999999999999</v>
      </c>
    </row>
    <row r="1306" spans="1:16">
      <c r="A1306" s="331">
        <v>40671</v>
      </c>
      <c r="B1306" s="329">
        <v>21.1</v>
      </c>
      <c r="C1306" s="329">
        <f t="shared" si="80"/>
        <v>21.05</v>
      </c>
      <c r="D1306" s="329">
        <v>23.4</v>
      </c>
      <c r="E1306" s="329">
        <f t="shared" si="77"/>
        <v>23.366666666666664</v>
      </c>
      <c r="F1306" s="329">
        <v>15.6</v>
      </c>
      <c r="G1306" s="329">
        <f t="shared" si="78"/>
        <v>16.5</v>
      </c>
      <c r="H1306" s="329">
        <v>15</v>
      </c>
      <c r="I1306" s="329">
        <f t="shared" si="79"/>
        <v>15.049999999999999</v>
      </c>
      <c r="L1306" s="331">
        <v>40671</v>
      </c>
      <c r="M1306" s="329">
        <v>21.05</v>
      </c>
      <c r="N1306" s="329">
        <v>23.366666666666664</v>
      </c>
      <c r="O1306" s="329">
        <v>16.5</v>
      </c>
      <c r="P1306" s="329">
        <v>15.049999999999999</v>
      </c>
    </row>
    <row r="1307" spans="1:16">
      <c r="A1307" s="331">
        <v>40671</v>
      </c>
      <c r="B1307" s="329">
        <v>21</v>
      </c>
      <c r="C1307" s="329">
        <f t="shared" si="80"/>
        <v>21.05</v>
      </c>
      <c r="D1307" s="329">
        <v>23.4</v>
      </c>
      <c r="E1307" s="329">
        <f t="shared" si="77"/>
        <v>23.366666666666664</v>
      </c>
      <c r="F1307" s="329">
        <v>15.3</v>
      </c>
      <c r="G1307" s="329">
        <f t="shared" si="78"/>
        <v>16.5</v>
      </c>
      <c r="H1307" s="329">
        <v>14.9</v>
      </c>
      <c r="I1307" s="329">
        <f t="shared" si="79"/>
        <v>15.049999999999999</v>
      </c>
      <c r="L1307" s="331">
        <v>40671</v>
      </c>
      <c r="M1307" s="329">
        <v>21.05</v>
      </c>
      <c r="N1307" s="329">
        <v>23.366666666666664</v>
      </c>
      <c r="O1307" s="329">
        <v>16.5</v>
      </c>
      <c r="P1307" s="329">
        <v>15.049999999999999</v>
      </c>
    </row>
    <row r="1308" spans="1:16">
      <c r="A1308" s="331">
        <v>40671</v>
      </c>
      <c r="B1308" s="329">
        <v>21</v>
      </c>
      <c r="C1308" s="329">
        <f t="shared" si="80"/>
        <v>21.05</v>
      </c>
      <c r="D1308" s="329">
        <v>23.4</v>
      </c>
      <c r="E1308" s="329">
        <f t="shared" si="77"/>
        <v>23.366666666666664</v>
      </c>
      <c r="F1308" s="329">
        <v>16</v>
      </c>
      <c r="G1308" s="329">
        <f t="shared" si="78"/>
        <v>16.5</v>
      </c>
      <c r="H1308" s="329">
        <v>14.8</v>
      </c>
      <c r="I1308" s="329">
        <f t="shared" si="79"/>
        <v>15.049999999999999</v>
      </c>
      <c r="L1308" s="331">
        <v>40671</v>
      </c>
      <c r="M1308" s="329">
        <v>21.05</v>
      </c>
      <c r="N1308" s="329">
        <v>23.366666666666664</v>
      </c>
      <c r="O1308" s="329">
        <v>16.5</v>
      </c>
      <c r="P1308" s="329">
        <v>15.049999999999999</v>
      </c>
    </row>
    <row r="1309" spans="1:16">
      <c r="A1309" s="331">
        <v>40671</v>
      </c>
      <c r="B1309" s="329">
        <v>21</v>
      </c>
      <c r="C1309" s="329">
        <f t="shared" si="80"/>
        <v>21.05</v>
      </c>
      <c r="D1309" s="329">
        <v>23.3</v>
      </c>
      <c r="E1309" s="329">
        <f t="shared" si="77"/>
        <v>23.366666666666664</v>
      </c>
      <c r="F1309" s="329">
        <v>17.8</v>
      </c>
      <c r="G1309" s="329">
        <f t="shared" si="78"/>
        <v>16.5</v>
      </c>
      <c r="H1309" s="329">
        <v>15</v>
      </c>
      <c r="I1309" s="329">
        <f t="shared" si="79"/>
        <v>15.049999999999999</v>
      </c>
      <c r="L1309" s="331">
        <v>40671</v>
      </c>
      <c r="M1309" s="329">
        <v>21.05</v>
      </c>
      <c r="N1309" s="329">
        <v>23.366666666666664</v>
      </c>
      <c r="O1309" s="329">
        <v>16.5</v>
      </c>
      <c r="P1309" s="329">
        <v>15.049999999999999</v>
      </c>
    </row>
    <row r="1310" spans="1:16">
      <c r="A1310" s="331">
        <v>40671</v>
      </c>
      <c r="B1310" s="329">
        <v>21.1</v>
      </c>
      <c r="C1310" s="329">
        <f t="shared" si="80"/>
        <v>21.05</v>
      </c>
      <c r="D1310" s="329">
        <v>23.3</v>
      </c>
      <c r="E1310" s="329">
        <f t="shared" si="77"/>
        <v>23.366666666666664</v>
      </c>
      <c r="F1310" s="329">
        <v>18.3</v>
      </c>
      <c r="G1310" s="329">
        <f t="shared" si="78"/>
        <v>16.5</v>
      </c>
      <c r="H1310" s="329">
        <v>15.5</v>
      </c>
      <c r="I1310" s="329">
        <f t="shared" si="79"/>
        <v>15.049999999999999</v>
      </c>
      <c r="L1310" s="331">
        <v>40671</v>
      </c>
      <c r="M1310" s="329">
        <v>21.05</v>
      </c>
      <c r="N1310" s="329">
        <v>23.366666666666664</v>
      </c>
      <c r="O1310" s="329">
        <v>16.5</v>
      </c>
      <c r="P1310" s="329">
        <v>15.049999999999999</v>
      </c>
    </row>
    <row r="1311" spans="1:16">
      <c r="A1311" s="331">
        <v>40672</v>
      </c>
      <c r="B1311" s="329">
        <v>21.1</v>
      </c>
      <c r="C1311" s="329">
        <f t="shared" si="80"/>
        <v>21.016666666666666</v>
      </c>
      <c r="D1311" s="329">
        <v>23.3</v>
      </c>
      <c r="E1311" s="329">
        <f t="shared" si="77"/>
        <v>23.233333333333334</v>
      </c>
      <c r="F1311" s="329">
        <v>17.399999999999999</v>
      </c>
      <c r="G1311" s="329">
        <f t="shared" si="78"/>
        <v>17.333333333333332</v>
      </c>
      <c r="H1311" s="329">
        <v>15.8</v>
      </c>
      <c r="I1311" s="329">
        <f t="shared" si="79"/>
        <v>15.633333333333335</v>
      </c>
      <c r="L1311" s="331">
        <v>40672</v>
      </c>
      <c r="M1311" s="329">
        <v>21.016666666666666</v>
      </c>
      <c r="N1311" s="329">
        <v>23.233333333333334</v>
      </c>
      <c r="O1311" s="329">
        <v>17.333333333333332</v>
      </c>
      <c r="P1311" s="329">
        <v>15.633333333333335</v>
      </c>
    </row>
    <row r="1312" spans="1:16">
      <c r="A1312" s="331">
        <v>40672</v>
      </c>
      <c r="B1312" s="329">
        <v>21</v>
      </c>
      <c r="C1312" s="329">
        <f t="shared" si="80"/>
        <v>21.016666666666666</v>
      </c>
      <c r="D1312" s="329">
        <v>23.3</v>
      </c>
      <c r="E1312" s="329">
        <f t="shared" si="77"/>
        <v>23.233333333333334</v>
      </c>
      <c r="F1312" s="329">
        <v>16.399999999999999</v>
      </c>
      <c r="G1312" s="329">
        <f t="shared" si="78"/>
        <v>17.333333333333332</v>
      </c>
      <c r="H1312" s="329">
        <v>15.7</v>
      </c>
      <c r="I1312" s="329">
        <f t="shared" si="79"/>
        <v>15.633333333333335</v>
      </c>
      <c r="L1312" s="331">
        <v>40672</v>
      </c>
      <c r="M1312" s="329">
        <v>21.016666666666666</v>
      </c>
      <c r="N1312" s="329">
        <v>23.233333333333334</v>
      </c>
      <c r="O1312" s="329">
        <v>17.333333333333332</v>
      </c>
      <c r="P1312" s="329">
        <v>15.633333333333335</v>
      </c>
    </row>
    <row r="1313" spans="1:16">
      <c r="A1313" s="331">
        <v>40672</v>
      </c>
      <c r="B1313" s="329">
        <v>21</v>
      </c>
      <c r="C1313" s="329">
        <f t="shared" si="80"/>
        <v>21.016666666666666</v>
      </c>
      <c r="D1313" s="329">
        <v>23.3</v>
      </c>
      <c r="E1313" s="329">
        <f t="shared" si="77"/>
        <v>23.233333333333334</v>
      </c>
      <c r="F1313" s="329">
        <v>15.4</v>
      </c>
      <c r="G1313" s="329">
        <f t="shared" si="78"/>
        <v>17.333333333333332</v>
      </c>
      <c r="H1313" s="329">
        <v>15.5</v>
      </c>
      <c r="I1313" s="329">
        <f t="shared" si="79"/>
        <v>15.633333333333335</v>
      </c>
      <c r="L1313" s="331">
        <v>40672</v>
      </c>
      <c r="M1313" s="329">
        <v>21.016666666666666</v>
      </c>
      <c r="N1313" s="329">
        <v>23.233333333333334</v>
      </c>
      <c r="O1313" s="329">
        <v>17.333333333333332</v>
      </c>
      <c r="P1313" s="329">
        <v>15.633333333333335</v>
      </c>
    </row>
    <row r="1314" spans="1:16">
      <c r="A1314" s="331">
        <v>40672</v>
      </c>
      <c r="B1314" s="329">
        <v>21</v>
      </c>
      <c r="C1314" s="329">
        <f t="shared" si="80"/>
        <v>21.016666666666666</v>
      </c>
      <c r="D1314" s="329">
        <v>23.2</v>
      </c>
      <c r="E1314" s="329">
        <f t="shared" ref="E1314:E1377" si="81">AVERAGEIFS($D$33:$D$1494,$A$33:$A$1494,A1314)</f>
        <v>23.233333333333334</v>
      </c>
      <c r="F1314" s="329">
        <v>16.5</v>
      </c>
      <c r="G1314" s="329">
        <f t="shared" ref="G1314:G1377" si="82">AVERAGEIFS($F$33:$F$1494,$A$33:$A$1494,A1314)</f>
        <v>17.333333333333332</v>
      </c>
      <c r="H1314" s="329">
        <v>15.2</v>
      </c>
      <c r="I1314" s="329">
        <f t="shared" ref="I1314:I1377" si="83">AVERAGEIFS($H$33:$H$1494,$A$33:$A$1494,A1314)</f>
        <v>15.633333333333335</v>
      </c>
      <c r="L1314" s="331">
        <v>40672</v>
      </c>
      <c r="M1314" s="329">
        <v>21.016666666666666</v>
      </c>
      <c r="N1314" s="329">
        <v>23.233333333333334</v>
      </c>
      <c r="O1314" s="329">
        <v>17.333333333333332</v>
      </c>
      <c r="P1314" s="329">
        <v>15.633333333333335</v>
      </c>
    </row>
    <row r="1315" spans="1:16">
      <c r="A1315" s="331">
        <v>40672</v>
      </c>
      <c r="B1315" s="329">
        <v>21</v>
      </c>
      <c r="C1315" s="329">
        <f t="shared" si="80"/>
        <v>21.016666666666666</v>
      </c>
      <c r="D1315" s="329">
        <v>23.2</v>
      </c>
      <c r="E1315" s="329">
        <f t="shared" si="81"/>
        <v>23.233333333333334</v>
      </c>
      <c r="F1315" s="329">
        <v>18.899999999999999</v>
      </c>
      <c r="G1315" s="329">
        <f t="shared" si="82"/>
        <v>17.333333333333332</v>
      </c>
      <c r="H1315" s="329">
        <v>15.5</v>
      </c>
      <c r="I1315" s="329">
        <f t="shared" si="83"/>
        <v>15.633333333333335</v>
      </c>
      <c r="L1315" s="331">
        <v>40672</v>
      </c>
      <c r="M1315" s="329">
        <v>21.016666666666666</v>
      </c>
      <c r="N1315" s="329">
        <v>23.233333333333334</v>
      </c>
      <c r="O1315" s="329">
        <v>17.333333333333332</v>
      </c>
      <c r="P1315" s="329">
        <v>15.633333333333335</v>
      </c>
    </row>
    <row r="1316" spans="1:16">
      <c r="A1316" s="331">
        <v>40672</v>
      </c>
      <c r="B1316" s="329">
        <v>21</v>
      </c>
      <c r="C1316" s="329">
        <f t="shared" si="80"/>
        <v>21.016666666666666</v>
      </c>
      <c r="D1316" s="329">
        <v>23.1</v>
      </c>
      <c r="E1316" s="329">
        <f t="shared" si="81"/>
        <v>23.233333333333334</v>
      </c>
      <c r="F1316" s="329">
        <v>19.399999999999999</v>
      </c>
      <c r="G1316" s="329">
        <f t="shared" si="82"/>
        <v>17.333333333333332</v>
      </c>
      <c r="H1316" s="329">
        <v>16.100000000000001</v>
      </c>
      <c r="I1316" s="329">
        <f t="shared" si="83"/>
        <v>15.633333333333335</v>
      </c>
      <c r="L1316" s="331">
        <v>40672</v>
      </c>
      <c r="M1316" s="329">
        <v>21.016666666666666</v>
      </c>
      <c r="N1316" s="329">
        <v>23.233333333333334</v>
      </c>
      <c r="O1316" s="329">
        <v>17.333333333333332</v>
      </c>
      <c r="P1316" s="329">
        <v>15.633333333333335</v>
      </c>
    </row>
    <row r="1317" spans="1:16">
      <c r="A1317" s="331">
        <v>40673</v>
      </c>
      <c r="B1317" s="329">
        <v>21</v>
      </c>
      <c r="C1317" s="329">
        <f t="shared" si="80"/>
        <v>20.95</v>
      </c>
      <c r="D1317" s="329">
        <v>23.2</v>
      </c>
      <c r="E1317" s="329">
        <f t="shared" si="81"/>
        <v>23.133333333333329</v>
      </c>
      <c r="F1317" s="329">
        <v>18.2</v>
      </c>
      <c r="G1317" s="329">
        <f t="shared" si="82"/>
        <v>17.866666666666664</v>
      </c>
      <c r="H1317" s="329">
        <v>16.399999999999999</v>
      </c>
      <c r="I1317" s="329">
        <f t="shared" si="83"/>
        <v>16.183333333333334</v>
      </c>
      <c r="L1317" s="331">
        <v>40673</v>
      </c>
      <c r="M1317" s="329">
        <v>20.95</v>
      </c>
      <c r="N1317" s="329">
        <v>23.133333333333329</v>
      </c>
      <c r="O1317" s="329">
        <v>17.866666666666664</v>
      </c>
      <c r="P1317" s="329">
        <v>16.183333333333334</v>
      </c>
    </row>
    <row r="1318" spans="1:16">
      <c r="A1318" s="331">
        <v>40673</v>
      </c>
      <c r="B1318" s="329">
        <v>21</v>
      </c>
      <c r="C1318" s="329">
        <f t="shared" si="80"/>
        <v>20.95</v>
      </c>
      <c r="D1318" s="329">
        <v>23.2</v>
      </c>
      <c r="E1318" s="329">
        <f t="shared" si="81"/>
        <v>23.133333333333329</v>
      </c>
      <c r="F1318" s="329">
        <v>17.100000000000001</v>
      </c>
      <c r="G1318" s="329">
        <f t="shared" si="82"/>
        <v>17.866666666666664</v>
      </c>
      <c r="H1318" s="329">
        <v>16.3</v>
      </c>
      <c r="I1318" s="329">
        <f t="shared" si="83"/>
        <v>16.183333333333334</v>
      </c>
      <c r="L1318" s="331">
        <v>40673</v>
      </c>
      <c r="M1318" s="329">
        <v>20.95</v>
      </c>
      <c r="N1318" s="329">
        <v>23.133333333333329</v>
      </c>
      <c r="O1318" s="329">
        <v>17.866666666666664</v>
      </c>
      <c r="P1318" s="329">
        <v>16.183333333333334</v>
      </c>
    </row>
    <row r="1319" spans="1:16">
      <c r="A1319" s="331">
        <v>40673</v>
      </c>
      <c r="B1319" s="329">
        <v>20.9</v>
      </c>
      <c r="C1319" s="329">
        <f t="shared" si="80"/>
        <v>20.95</v>
      </c>
      <c r="D1319" s="329">
        <v>23.2</v>
      </c>
      <c r="E1319" s="329">
        <f t="shared" si="81"/>
        <v>23.133333333333329</v>
      </c>
      <c r="F1319" s="329">
        <v>16.5</v>
      </c>
      <c r="G1319" s="329">
        <f t="shared" si="82"/>
        <v>17.866666666666664</v>
      </c>
      <c r="H1319" s="329">
        <v>16.100000000000001</v>
      </c>
      <c r="I1319" s="329">
        <f t="shared" si="83"/>
        <v>16.183333333333334</v>
      </c>
      <c r="L1319" s="331">
        <v>40673</v>
      </c>
      <c r="M1319" s="329">
        <v>20.95</v>
      </c>
      <c r="N1319" s="329">
        <v>23.133333333333329</v>
      </c>
      <c r="O1319" s="329">
        <v>17.866666666666664</v>
      </c>
      <c r="P1319" s="329">
        <v>16.183333333333334</v>
      </c>
    </row>
    <row r="1320" spans="1:16">
      <c r="A1320" s="331">
        <v>40673</v>
      </c>
      <c r="B1320" s="329">
        <v>20.9</v>
      </c>
      <c r="C1320" s="329">
        <f t="shared" ref="C1320:C1383" si="84">AVERAGEIFS($B$33:$B$1494,$A$33:$A$1494,A1320)</f>
        <v>20.95</v>
      </c>
      <c r="D1320" s="329">
        <v>23.1</v>
      </c>
      <c r="E1320" s="329">
        <f t="shared" si="81"/>
        <v>23.133333333333329</v>
      </c>
      <c r="F1320" s="329">
        <v>16.899999999999999</v>
      </c>
      <c r="G1320" s="329">
        <f t="shared" si="82"/>
        <v>17.866666666666664</v>
      </c>
      <c r="H1320" s="329">
        <v>15.9</v>
      </c>
      <c r="I1320" s="329">
        <f t="shared" si="83"/>
        <v>16.183333333333334</v>
      </c>
      <c r="L1320" s="331">
        <v>40673</v>
      </c>
      <c r="M1320" s="329">
        <v>20.95</v>
      </c>
      <c r="N1320" s="329">
        <v>23.133333333333329</v>
      </c>
      <c r="O1320" s="329">
        <v>17.866666666666664</v>
      </c>
      <c r="P1320" s="329">
        <v>16.183333333333334</v>
      </c>
    </row>
    <row r="1321" spans="1:16">
      <c r="A1321" s="331">
        <v>40673</v>
      </c>
      <c r="B1321" s="329">
        <v>20.9</v>
      </c>
      <c r="C1321" s="329">
        <f t="shared" si="84"/>
        <v>20.95</v>
      </c>
      <c r="D1321" s="329">
        <v>23.1</v>
      </c>
      <c r="E1321" s="329">
        <f t="shared" si="81"/>
        <v>23.133333333333329</v>
      </c>
      <c r="F1321" s="329">
        <v>19</v>
      </c>
      <c r="G1321" s="329">
        <f t="shared" si="82"/>
        <v>17.866666666666664</v>
      </c>
      <c r="H1321" s="329">
        <v>16</v>
      </c>
      <c r="I1321" s="329">
        <f t="shared" si="83"/>
        <v>16.183333333333334</v>
      </c>
      <c r="L1321" s="331">
        <v>40673</v>
      </c>
      <c r="M1321" s="329">
        <v>20.95</v>
      </c>
      <c r="N1321" s="329">
        <v>23.133333333333329</v>
      </c>
      <c r="O1321" s="329">
        <v>17.866666666666664</v>
      </c>
      <c r="P1321" s="329">
        <v>16.183333333333334</v>
      </c>
    </row>
    <row r="1322" spans="1:16">
      <c r="A1322" s="331">
        <v>40673</v>
      </c>
      <c r="B1322" s="329">
        <v>21</v>
      </c>
      <c r="C1322" s="329">
        <f t="shared" si="84"/>
        <v>20.95</v>
      </c>
      <c r="D1322" s="329">
        <v>23</v>
      </c>
      <c r="E1322" s="329">
        <f t="shared" si="81"/>
        <v>23.133333333333329</v>
      </c>
      <c r="F1322" s="329">
        <v>19.5</v>
      </c>
      <c r="G1322" s="329">
        <f t="shared" si="82"/>
        <v>17.866666666666664</v>
      </c>
      <c r="H1322" s="329">
        <v>16.399999999999999</v>
      </c>
      <c r="I1322" s="329">
        <f t="shared" si="83"/>
        <v>16.183333333333334</v>
      </c>
      <c r="L1322" s="331">
        <v>40673</v>
      </c>
      <c r="M1322" s="329">
        <v>20.95</v>
      </c>
      <c r="N1322" s="329">
        <v>23.133333333333329</v>
      </c>
      <c r="O1322" s="329">
        <v>17.866666666666664</v>
      </c>
      <c r="P1322" s="329">
        <v>16.183333333333334</v>
      </c>
    </row>
    <row r="1323" spans="1:16">
      <c r="A1323" s="331">
        <v>40674</v>
      </c>
      <c r="B1323" s="329">
        <v>20.9</v>
      </c>
      <c r="C1323" s="329">
        <f t="shared" si="84"/>
        <v>20.866666666666664</v>
      </c>
      <c r="D1323" s="329">
        <v>23</v>
      </c>
      <c r="E1323" s="329">
        <f t="shared" si="81"/>
        <v>22.983333333333334</v>
      </c>
      <c r="F1323" s="329">
        <v>18.399999999999999</v>
      </c>
      <c r="G1323" s="329">
        <f t="shared" si="82"/>
        <v>18.033333333333335</v>
      </c>
      <c r="H1323" s="329">
        <v>16.7</v>
      </c>
      <c r="I1323" s="329">
        <f t="shared" si="83"/>
        <v>16.416666666666668</v>
      </c>
      <c r="L1323" s="331">
        <v>40674</v>
      </c>
      <c r="M1323" s="329">
        <v>20.866666666666664</v>
      </c>
      <c r="N1323" s="329">
        <v>22.983333333333334</v>
      </c>
      <c r="O1323" s="329">
        <v>18.033333333333335</v>
      </c>
      <c r="P1323" s="329">
        <v>16.416666666666668</v>
      </c>
    </row>
    <row r="1324" spans="1:16">
      <c r="A1324" s="331">
        <v>40674</v>
      </c>
      <c r="B1324" s="329">
        <v>20.9</v>
      </c>
      <c r="C1324" s="329">
        <f t="shared" si="84"/>
        <v>20.866666666666664</v>
      </c>
      <c r="D1324" s="329">
        <v>23</v>
      </c>
      <c r="E1324" s="329">
        <f t="shared" si="81"/>
        <v>22.983333333333334</v>
      </c>
      <c r="F1324" s="329">
        <v>17.100000000000001</v>
      </c>
      <c r="G1324" s="329">
        <f t="shared" si="82"/>
        <v>18.033333333333335</v>
      </c>
      <c r="H1324" s="329">
        <v>16.600000000000001</v>
      </c>
      <c r="I1324" s="329">
        <f t="shared" si="83"/>
        <v>16.416666666666668</v>
      </c>
      <c r="L1324" s="331">
        <v>40674</v>
      </c>
      <c r="M1324" s="329">
        <v>20.866666666666664</v>
      </c>
      <c r="N1324" s="329">
        <v>22.983333333333334</v>
      </c>
      <c r="O1324" s="329">
        <v>18.033333333333335</v>
      </c>
      <c r="P1324" s="329">
        <v>16.416666666666668</v>
      </c>
    </row>
    <row r="1325" spans="1:16">
      <c r="A1325" s="331">
        <v>40674</v>
      </c>
      <c r="B1325" s="329">
        <v>20.9</v>
      </c>
      <c r="C1325" s="329">
        <f t="shared" si="84"/>
        <v>20.866666666666664</v>
      </c>
      <c r="D1325" s="329">
        <v>23</v>
      </c>
      <c r="E1325" s="329">
        <f t="shared" si="81"/>
        <v>22.983333333333334</v>
      </c>
      <c r="F1325" s="329">
        <v>15.9</v>
      </c>
      <c r="G1325" s="329">
        <f t="shared" si="82"/>
        <v>18.033333333333335</v>
      </c>
      <c r="H1325" s="329">
        <v>16.3</v>
      </c>
      <c r="I1325" s="329">
        <f t="shared" si="83"/>
        <v>16.416666666666668</v>
      </c>
      <c r="L1325" s="331">
        <v>40674</v>
      </c>
      <c r="M1325" s="329">
        <v>20.866666666666664</v>
      </c>
      <c r="N1325" s="329">
        <v>22.983333333333334</v>
      </c>
      <c r="O1325" s="329">
        <v>18.033333333333335</v>
      </c>
      <c r="P1325" s="329">
        <v>16.416666666666668</v>
      </c>
    </row>
    <row r="1326" spans="1:16">
      <c r="A1326" s="331">
        <v>40674</v>
      </c>
      <c r="B1326" s="329">
        <v>20.8</v>
      </c>
      <c r="C1326" s="329">
        <f t="shared" si="84"/>
        <v>20.866666666666664</v>
      </c>
      <c r="D1326" s="329">
        <v>23</v>
      </c>
      <c r="E1326" s="329">
        <f t="shared" si="81"/>
        <v>22.983333333333334</v>
      </c>
      <c r="F1326" s="329">
        <v>17.100000000000001</v>
      </c>
      <c r="G1326" s="329">
        <f t="shared" si="82"/>
        <v>18.033333333333335</v>
      </c>
      <c r="H1326" s="329">
        <v>16</v>
      </c>
      <c r="I1326" s="329">
        <f t="shared" si="83"/>
        <v>16.416666666666668</v>
      </c>
      <c r="L1326" s="331">
        <v>40674</v>
      </c>
      <c r="M1326" s="329">
        <v>20.866666666666664</v>
      </c>
      <c r="N1326" s="329">
        <v>22.983333333333334</v>
      </c>
      <c r="O1326" s="329">
        <v>18.033333333333335</v>
      </c>
      <c r="P1326" s="329">
        <v>16.416666666666668</v>
      </c>
    </row>
    <row r="1327" spans="1:16">
      <c r="A1327" s="331">
        <v>40674</v>
      </c>
      <c r="B1327" s="329">
        <v>20.8</v>
      </c>
      <c r="C1327" s="329">
        <f t="shared" si="84"/>
        <v>20.866666666666664</v>
      </c>
      <c r="D1327" s="329">
        <v>23</v>
      </c>
      <c r="E1327" s="329">
        <f t="shared" si="81"/>
        <v>22.983333333333334</v>
      </c>
      <c r="F1327" s="329">
        <v>19.5</v>
      </c>
      <c r="G1327" s="329">
        <f t="shared" si="82"/>
        <v>18.033333333333335</v>
      </c>
      <c r="H1327" s="329">
        <v>16.2</v>
      </c>
      <c r="I1327" s="329">
        <f t="shared" si="83"/>
        <v>16.416666666666668</v>
      </c>
      <c r="L1327" s="331">
        <v>40674</v>
      </c>
      <c r="M1327" s="329">
        <v>20.866666666666664</v>
      </c>
      <c r="N1327" s="329">
        <v>22.983333333333334</v>
      </c>
      <c r="O1327" s="329">
        <v>18.033333333333335</v>
      </c>
      <c r="P1327" s="329">
        <v>16.416666666666668</v>
      </c>
    </row>
    <row r="1328" spans="1:16">
      <c r="A1328" s="331">
        <v>40674</v>
      </c>
      <c r="B1328" s="329">
        <v>20.9</v>
      </c>
      <c r="C1328" s="329">
        <f t="shared" si="84"/>
        <v>20.866666666666664</v>
      </c>
      <c r="D1328" s="329">
        <v>22.9</v>
      </c>
      <c r="E1328" s="329">
        <f t="shared" si="81"/>
        <v>22.983333333333334</v>
      </c>
      <c r="F1328" s="329">
        <v>20.2</v>
      </c>
      <c r="G1328" s="329">
        <f t="shared" si="82"/>
        <v>18.033333333333335</v>
      </c>
      <c r="H1328" s="329">
        <v>16.7</v>
      </c>
      <c r="I1328" s="329">
        <f t="shared" si="83"/>
        <v>16.416666666666668</v>
      </c>
      <c r="L1328" s="331">
        <v>40674</v>
      </c>
      <c r="M1328" s="329">
        <v>20.866666666666664</v>
      </c>
      <c r="N1328" s="329">
        <v>22.983333333333334</v>
      </c>
      <c r="O1328" s="329">
        <v>18.033333333333335</v>
      </c>
      <c r="P1328" s="329">
        <v>16.416666666666668</v>
      </c>
    </row>
    <row r="1329" spans="1:16">
      <c r="A1329" s="331">
        <v>40675</v>
      </c>
      <c r="B1329" s="329">
        <v>20.9</v>
      </c>
      <c r="C1329" s="329">
        <f t="shared" si="84"/>
        <v>20.816666666666666</v>
      </c>
      <c r="D1329" s="329">
        <v>23</v>
      </c>
      <c r="E1329" s="329">
        <f t="shared" si="81"/>
        <v>22.916666666666668</v>
      </c>
      <c r="F1329" s="329">
        <v>19</v>
      </c>
      <c r="G1329" s="329">
        <f t="shared" si="82"/>
        <v>18.316666666666666</v>
      </c>
      <c r="H1329" s="329">
        <v>17.100000000000001</v>
      </c>
      <c r="I1329" s="329">
        <f t="shared" si="83"/>
        <v>16.850000000000001</v>
      </c>
      <c r="L1329" s="331">
        <v>40675</v>
      </c>
      <c r="M1329" s="329">
        <v>20.816666666666666</v>
      </c>
      <c r="N1329" s="329">
        <v>22.916666666666668</v>
      </c>
      <c r="O1329" s="329">
        <v>18.316666666666666</v>
      </c>
      <c r="P1329" s="329">
        <v>16.850000000000001</v>
      </c>
    </row>
    <row r="1330" spans="1:16">
      <c r="A1330" s="331">
        <v>40675</v>
      </c>
      <c r="B1330" s="329">
        <v>20.8</v>
      </c>
      <c r="C1330" s="329">
        <f t="shared" si="84"/>
        <v>20.816666666666666</v>
      </c>
      <c r="D1330" s="329">
        <v>22.9</v>
      </c>
      <c r="E1330" s="329">
        <f t="shared" si="81"/>
        <v>22.916666666666668</v>
      </c>
      <c r="F1330" s="329">
        <v>18.3</v>
      </c>
      <c r="G1330" s="329">
        <f t="shared" si="82"/>
        <v>18.316666666666666</v>
      </c>
      <c r="H1330" s="329">
        <v>17</v>
      </c>
      <c r="I1330" s="329">
        <f t="shared" si="83"/>
        <v>16.850000000000001</v>
      </c>
      <c r="L1330" s="331">
        <v>40675</v>
      </c>
      <c r="M1330" s="329">
        <v>20.816666666666666</v>
      </c>
      <c r="N1330" s="329">
        <v>22.916666666666668</v>
      </c>
      <c r="O1330" s="329">
        <v>18.316666666666666</v>
      </c>
      <c r="P1330" s="329">
        <v>16.850000000000001</v>
      </c>
    </row>
    <row r="1331" spans="1:16">
      <c r="A1331" s="331">
        <v>40675</v>
      </c>
      <c r="B1331" s="329">
        <v>20.8</v>
      </c>
      <c r="C1331" s="329">
        <f t="shared" si="84"/>
        <v>20.816666666666666</v>
      </c>
      <c r="D1331" s="329">
        <v>22.9</v>
      </c>
      <c r="E1331" s="329">
        <f t="shared" si="81"/>
        <v>22.916666666666668</v>
      </c>
      <c r="F1331" s="329">
        <v>17.7</v>
      </c>
      <c r="G1331" s="329">
        <f t="shared" si="82"/>
        <v>18.316666666666666</v>
      </c>
      <c r="H1331" s="329">
        <v>16.899999999999999</v>
      </c>
      <c r="I1331" s="329">
        <f t="shared" si="83"/>
        <v>16.850000000000001</v>
      </c>
      <c r="L1331" s="331">
        <v>40675</v>
      </c>
      <c r="M1331" s="329">
        <v>20.816666666666666</v>
      </c>
      <c r="N1331" s="329">
        <v>22.916666666666668</v>
      </c>
      <c r="O1331" s="329">
        <v>18.316666666666666</v>
      </c>
      <c r="P1331" s="329">
        <v>16.850000000000001</v>
      </c>
    </row>
    <row r="1332" spans="1:16">
      <c r="A1332" s="331">
        <v>40675</v>
      </c>
      <c r="B1332" s="329">
        <v>20.8</v>
      </c>
      <c r="C1332" s="329">
        <f t="shared" si="84"/>
        <v>20.816666666666666</v>
      </c>
      <c r="D1332" s="329">
        <v>22.9</v>
      </c>
      <c r="E1332" s="329">
        <f t="shared" si="81"/>
        <v>22.916666666666668</v>
      </c>
      <c r="F1332" s="329">
        <v>18</v>
      </c>
      <c r="G1332" s="329">
        <f t="shared" si="82"/>
        <v>18.316666666666666</v>
      </c>
      <c r="H1332" s="329">
        <v>16.7</v>
      </c>
      <c r="I1332" s="329">
        <f t="shared" si="83"/>
        <v>16.850000000000001</v>
      </c>
      <c r="L1332" s="331">
        <v>40675</v>
      </c>
      <c r="M1332" s="329">
        <v>20.816666666666666</v>
      </c>
      <c r="N1332" s="329">
        <v>22.916666666666668</v>
      </c>
      <c r="O1332" s="329">
        <v>18.316666666666666</v>
      </c>
      <c r="P1332" s="329">
        <v>16.850000000000001</v>
      </c>
    </row>
    <row r="1333" spans="1:16">
      <c r="A1333" s="331">
        <v>40675</v>
      </c>
      <c r="B1333" s="329">
        <v>20.8</v>
      </c>
      <c r="C1333" s="329">
        <f t="shared" si="84"/>
        <v>20.816666666666666</v>
      </c>
      <c r="D1333" s="329">
        <v>22.9</v>
      </c>
      <c r="E1333" s="329">
        <f t="shared" si="81"/>
        <v>22.916666666666668</v>
      </c>
      <c r="F1333" s="329">
        <v>18.399999999999999</v>
      </c>
      <c r="G1333" s="329">
        <f t="shared" si="82"/>
        <v>18.316666666666666</v>
      </c>
      <c r="H1333" s="329">
        <v>16.7</v>
      </c>
      <c r="I1333" s="329">
        <f t="shared" si="83"/>
        <v>16.850000000000001</v>
      </c>
      <c r="L1333" s="331">
        <v>40675</v>
      </c>
      <c r="M1333" s="329">
        <v>20.816666666666666</v>
      </c>
      <c r="N1333" s="329">
        <v>22.916666666666668</v>
      </c>
      <c r="O1333" s="329">
        <v>18.316666666666666</v>
      </c>
      <c r="P1333" s="329">
        <v>16.850000000000001</v>
      </c>
    </row>
    <row r="1334" spans="1:16">
      <c r="A1334" s="331">
        <v>40675</v>
      </c>
      <c r="B1334" s="329">
        <v>20.8</v>
      </c>
      <c r="C1334" s="329">
        <f t="shared" si="84"/>
        <v>20.816666666666666</v>
      </c>
      <c r="D1334" s="329">
        <v>22.9</v>
      </c>
      <c r="E1334" s="329">
        <f t="shared" si="81"/>
        <v>22.916666666666668</v>
      </c>
      <c r="F1334" s="329">
        <v>18.5</v>
      </c>
      <c r="G1334" s="329">
        <f t="shared" si="82"/>
        <v>18.316666666666666</v>
      </c>
      <c r="H1334" s="329">
        <v>16.7</v>
      </c>
      <c r="I1334" s="329">
        <f t="shared" si="83"/>
        <v>16.850000000000001</v>
      </c>
      <c r="L1334" s="331">
        <v>40675</v>
      </c>
      <c r="M1334" s="329">
        <v>20.816666666666666</v>
      </c>
      <c r="N1334" s="329">
        <v>22.916666666666668</v>
      </c>
      <c r="O1334" s="329">
        <v>18.316666666666666</v>
      </c>
      <c r="P1334" s="329">
        <v>16.850000000000001</v>
      </c>
    </row>
    <row r="1335" spans="1:16">
      <c r="A1335" s="331">
        <v>40676</v>
      </c>
      <c r="B1335" s="329">
        <v>20.8</v>
      </c>
      <c r="C1335" s="329">
        <f t="shared" si="84"/>
        <v>20.8</v>
      </c>
      <c r="D1335" s="329">
        <v>22.9</v>
      </c>
      <c r="E1335" s="329">
        <f t="shared" si="81"/>
        <v>22.849999999999998</v>
      </c>
      <c r="F1335" s="329">
        <v>18.100000000000001</v>
      </c>
      <c r="G1335" s="329">
        <f t="shared" si="82"/>
        <v>18.666666666666668</v>
      </c>
      <c r="H1335" s="329">
        <v>16.8</v>
      </c>
      <c r="I1335" s="329">
        <f t="shared" si="83"/>
        <v>16.783333333333331</v>
      </c>
      <c r="L1335" s="331">
        <v>40676</v>
      </c>
      <c r="M1335" s="329">
        <v>20.8</v>
      </c>
      <c r="N1335" s="329">
        <v>22.849999999999998</v>
      </c>
      <c r="O1335" s="329">
        <v>18.666666666666668</v>
      </c>
      <c r="P1335" s="329">
        <v>16.783333333333331</v>
      </c>
    </row>
    <row r="1336" spans="1:16">
      <c r="A1336" s="331">
        <v>40676</v>
      </c>
      <c r="B1336" s="329">
        <v>20.8</v>
      </c>
      <c r="C1336" s="329">
        <f t="shared" si="84"/>
        <v>20.8</v>
      </c>
      <c r="D1336" s="329">
        <v>22.9</v>
      </c>
      <c r="E1336" s="329">
        <f t="shared" si="81"/>
        <v>22.849999999999998</v>
      </c>
      <c r="F1336" s="329">
        <v>17.600000000000001</v>
      </c>
      <c r="G1336" s="329">
        <f t="shared" si="82"/>
        <v>18.666666666666668</v>
      </c>
      <c r="H1336" s="329">
        <v>16.7</v>
      </c>
      <c r="I1336" s="329">
        <f t="shared" si="83"/>
        <v>16.783333333333331</v>
      </c>
      <c r="L1336" s="331">
        <v>40676</v>
      </c>
      <c r="M1336" s="329">
        <v>20.8</v>
      </c>
      <c r="N1336" s="329">
        <v>22.849999999999998</v>
      </c>
      <c r="O1336" s="329">
        <v>18.666666666666668</v>
      </c>
      <c r="P1336" s="329">
        <v>16.783333333333331</v>
      </c>
    </row>
    <row r="1337" spans="1:16">
      <c r="A1337" s="331">
        <v>40676</v>
      </c>
      <c r="B1337" s="329">
        <v>20.8</v>
      </c>
      <c r="C1337" s="329">
        <f t="shared" si="84"/>
        <v>20.8</v>
      </c>
      <c r="D1337" s="329">
        <v>22.9</v>
      </c>
      <c r="E1337" s="329">
        <f t="shared" si="81"/>
        <v>22.849999999999998</v>
      </c>
      <c r="F1337" s="329">
        <v>17.3</v>
      </c>
      <c r="G1337" s="329">
        <f t="shared" si="82"/>
        <v>18.666666666666668</v>
      </c>
      <c r="H1337" s="329">
        <v>16.600000000000001</v>
      </c>
      <c r="I1337" s="329">
        <f t="shared" si="83"/>
        <v>16.783333333333331</v>
      </c>
      <c r="L1337" s="331">
        <v>40676</v>
      </c>
      <c r="M1337" s="329">
        <v>20.8</v>
      </c>
      <c r="N1337" s="329">
        <v>22.849999999999998</v>
      </c>
      <c r="O1337" s="329">
        <v>18.666666666666668</v>
      </c>
      <c r="P1337" s="329">
        <v>16.783333333333331</v>
      </c>
    </row>
    <row r="1338" spans="1:16">
      <c r="A1338" s="331">
        <v>40676</v>
      </c>
      <c r="B1338" s="329">
        <v>20.8</v>
      </c>
      <c r="C1338" s="329">
        <f t="shared" si="84"/>
        <v>20.8</v>
      </c>
      <c r="D1338" s="329">
        <v>22.8</v>
      </c>
      <c r="E1338" s="329">
        <f t="shared" si="81"/>
        <v>22.849999999999998</v>
      </c>
      <c r="F1338" s="329">
        <v>18.2</v>
      </c>
      <c r="G1338" s="329">
        <f t="shared" si="82"/>
        <v>18.666666666666668</v>
      </c>
      <c r="H1338" s="329">
        <v>16.5</v>
      </c>
      <c r="I1338" s="329">
        <f t="shared" si="83"/>
        <v>16.783333333333331</v>
      </c>
      <c r="L1338" s="331">
        <v>40676</v>
      </c>
      <c r="M1338" s="329">
        <v>20.8</v>
      </c>
      <c r="N1338" s="329">
        <v>22.849999999999998</v>
      </c>
      <c r="O1338" s="329">
        <v>18.666666666666668</v>
      </c>
      <c r="P1338" s="329">
        <v>16.783333333333331</v>
      </c>
    </row>
    <row r="1339" spans="1:16">
      <c r="A1339" s="331">
        <v>40676</v>
      </c>
      <c r="B1339" s="329">
        <v>20.8</v>
      </c>
      <c r="C1339" s="329">
        <f t="shared" si="84"/>
        <v>20.8</v>
      </c>
      <c r="D1339" s="329">
        <v>22.8</v>
      </c>
      <c r="E1339" s="329">
        <f t="shared" si="81"/>
        <v>22.849999999999998</v>
      </c>
      <c r="F1339" s="329">
        <v>20.2</v>
      </c>
      <c r="G1339" s="329">
        <f t="shared" si="82"/>
        <v>18.666666666666668</v>
      </c>
      <c r="H1339" s="329">
        <v>16.8</v>
      </c>
      <c r="I1339" s="329">
        <f t="shared" si="83"/>
        <v>16.783333333333331</v>
      </c>
      <c r="L1339" s="331">
        <v>40676</v>
      </c>
      <c r="M1339" s="329">
        <v>20.8</v>
      </c>
      <c r="N1339" s="329">
        <v>22.849999999999998</v>
      </c>
      <c r="O1339" s="329">
        <v>18.666666666666668</v>
      </c>
      <c r="P1339" s="329">
        <v>16.783333333333331</v>
      </c>
    </row>
    <row r="1340" spans="1:16">
      <c r="A1340" s="331">
        <v>40676</v>
      </c>
      <c r="B1340" s="329">
        <v>20.8</v>
      </c>
      <c r="C1340" s="329">
        <f t="shared" si="84"/>
        <v>20.8</v>
      </c>
      <c r="D1340" s="329">
        <v>22.8</v>
      </c>
      <c r="E1340" s="329">
        <f t="shared" si="81"/>
        <v>22.849999999999998</v>
      </c>
      <c r="F1340" s="329">
        <v>20.6</v>
      </c>
      <c r="G1340" s="329">
        <f t="shared" si="82"/>
        <v>18.666666666666668</v>
      </c>
      <c r="H1340" s="329">
        <v>17.3</v>
      </c>
      <c r="I1340" s="329">
        <f t="shared" si="83"/>
        <v>16.783333333333331</v>
      </c>
      <c r="L1340" s="331">
        <v>40676</v>
      </c>
      <c r="M1340" s="329">
        <v>20.8</v>
      </c>
      <c r="N1340" s="329">
        <v>22.849999999999998</v>
      </c>
      <c r="O1340" s="329">
        <v>18.666666666666668</v>
      </c>
      <c r="P1340" s="329">
        <v>16.783333333333331</v>
      </c>
    </row>
    <row r="1341" spans="1:16">
      <c r="A1341" s="331">
        <v>40677</v>
      </c>
      <c r="B1341" s="329">
        <v>20.8</v>
      </c>
      <c r="C1341" s="329">
        <f t="shared" si="84"/>
        <v>20.766666666666666</v>
      </c>
      <c r="D1341" s="329">
        <v>22.8</v>
      </c>
      <c r="E1341" s="329">
        <f t="shared" si="81"/>
        <v>22.8</v>
      </c>
      <c r="F1341" s="329">
        <v>19.600000000000001</v>
      </c>
      <c r="G1341" s="329">
        <f t="shared" si="82"/>
        <v>17.916666666666664</v>
      </c>
      <c r="H1341" s="329">
        <v>17.600000000000001</v>
      </c>
      <c r="I1341" s="329">
        <f t="shared" si="83"/>
        <v>17.150000000000002</v>
      </c>
      <c r="L1341" s="331">
        <v>40677</v>
      </c>
      <c r="M1341" s="329">
        <v>20.766666666666666</v>
      </c>
      <c r="N1341" s="329">
        <v>22.8</v>
      </c>
      <c r="O1341" s="329">
        <v>17.916666666666664</v>
      </c>
      <c r="P1341" s="329">
        <v>17.150000000000002</v>
      </c>
    </row>
    <row r="1342" spans="1:16">
      <c r="A1342" s="331">
        <v>40677</v>
      </c>
      <c r="B1342" s="329">
        <v>20.8</v>
      </c>
      <c r="C1342" s="329">
        <f t="shared" si="84"/>
        <v>20.766666666666666</v>
      </c>
      <c r="D1342" s="329">
        <v>22.8</v>
      </c>
      <c r="E1342" s="329">
        <f t="shared" si="81"/>
        <v>22.8</v>
      </c>
      <c r="F1342" s="329">
        <v>18.600000000000001</v>
      </c>
      <c r="G1342" s="329">
        <f t="shared" si="82"/>
        <v>17.916666666666664</v>
      </c>
      <c r="H1342" s="329">
        <v>17.600000000000001</v>
      </c>
      <c r="I1342" s="329">
        <f t="shared" si="83"/>
        <v>17.150000000000002</v>
      </c>
      <c r="L1342" s="331">
        <v>40677</v>
      </c>
      <c r="M1342" s="329">
        <v>20.766666666666666</v>
      </c>
      <c r="N1342" s="329">
        <v>22.8</v>
      </c>
      <c r="O1342" s="329">
        <v>17.916666666666664</v>
      </c>
      <c r="P1342" s="329">
        <v>17.150000000000002</v>
      </c>
    </row>
    <row r="1343" spans="1:16">
      <c r="A1343" s="331">
        <v>40677</v>
      </c>
      <c r="B1343" s="329">
        <v>20.7</v>
      </c>
      <c r="C1343" s="329">
        <f t="shared" si="84"/>
        <v>20.766666666666666</v>
      </c>
      <c r="D1343" s="329">
        <v>22.8</v>
      </c>
      <c r="E1343" s="329">
        <f t="shared" si="81"/>
        <v>22.8</v>
      </c>
      <c r="F1343" s="329">
        <v>17.899999999999999</v>
      </c>
      <c r="G1343" s="329">
        <f t="shared" si="82"/>
        <v>17.916666666666664</v>
      </c>
      <c r="H1343" s="329">
        <v>17.3</v>
      </c>
      <c r="I1343" s="329">
        <f t="shared" si="83"/>
        <v>17.150000000000002</v>
      </c>
      <c r="L1343" s="331">
        <v>40677</v>
      </c>
      <c r="M1343" s="329">
        <v>20.766666666666666</v>
      </c>
      <c r="N1343" s="329">
        <v>22.8</v>
      </c>
      <c r="O1343" s="329">
        <v>17.916666666666664</v>
      </c>
      <c r="P1343" s="329">
        <v>17.150000000000002</v>
      </c>
    </row>
    <row r="1344" spans="1:16">
      <c r="A1344" s="331">
        <v>40677</v>
      </c>
      <c r="B1344" s="329">
        <v>20.8</v>
      </c>
      <c r="C1344" s="329">
        <f t="shared" si="84"/>
        <v>20.766666666666666</v>
      </c>
      <c r="D1344" s="329">
        <v>22.8</v>
      </c>
      <c r="E1344" s="329">
        <f t="shared" si="81"/>
        <v>22.8</v>
      </c>
      <c r="F1344" s="329">
        <v>17.5</v>
      </c>
      <c r="G1344" s="329">
        <f t="shared" si="82"/>
        <v>17.916666666666664</v>
      </c>
      <c r="H1344" s="329">
        <v>17</v>
      </c>
      <c r="I1344" s="329">
        <f t="shared" si="83"/>
        <v>17.150000000000002</v>
      </c>
      <c r="L1344" s="331">
        <v>40677</v>
      </c>
      <c r="M1344" s="329">
        <v>20.766666666666666</v>
      </c>
      <c r="N1344" s="329">
        <v>22.8</v>
      </c>
      <c r="O1344" s="329">
        <v>17.916666666666664</v>
      </c>
      <c r="P1344" s="329">
        <v>17.150000000000002</v>
      </c>
    </row>
    <row r="1345" spans="1:16">
      <c r="A1345" s="331">
        <v>40677</v>
      </c>
      <c r="B1345" s="329">
        <v>20.8</v>
      </c>
      <c r="C1345" s="329">
        <f t="shared" si="84"/>
        <v>20.766666666666666</v>
      </c>
      <c r="D1345" s="329">
        <v>22.8</v>
      </c>
      <c r="E1345" s="329">
        <f t="shared" si="81"/>
        <v>22.8</v>
      </c>
      <c r="F1345" s="329">
        <v>17.100000000000001</v>
      </c>
      <c r="G1345" s="329">
        <f t="shared" si="82"/>
        <v>17.916666666666664</v>
      </c>
      <c r="H1345" s="329">
        <v>16.8</v>
      </c>
      <c r="I1345" s="329">
        <f t="shared" si="83"/>
        <v>17.150000000000002</v>
      </c>
      <c r="L1345" s="331">
        <v>40677</v>
      </c>
      <c r="M1345" s="329">
        <v>20.766666666666666</v>
      </c>
      <c r="N1345" s="329">
        <v>22.8</v>
      </c>
      <c r="O1345" s="329">
        <v>17.916666666666664</v>
      </c>
      <c r="P1345" s="329">
        <v>17.150000000000002</v>
      </c>
    </row>
    <row r="1346" spans="1:16">
      <c r="A1346" s="331">
        <v>40677</v>
      </c>
      <c r="B1346" s="329">
        <v>20.7</v>
      </c>
      <c r="C1346" s="329">
        <f t="shared" si="84"/>
        <v>20.766666666666666</v>
      </c>
      <c r="D1346" s="329">
        <v>22.8</v>
      </c>
      <c r="E1346" s="329">
        <f t="shared" si="81"/>
        <v>22.8</v>
      </c>
      <c r="F1346" s="329">
        <v>16.8</v>
      </c>
      <c r="G1346" s="329">
        <f t="shared" si="82"/>
        <v>17.916666666666664</v>
      </c>
      <c r="H1346" s="329">
        <v>16.600000000000001</v>
      </c>
      <c r="I1346" s="329">
        <f t="shared" si="83"/>
        <v>17.150000000000002</v>
      </c>
      <c r="L1346" s="331">
        <v>40677</v>
      </c>
      <c r="M1346" s="329">
        <v>20.766666666666666</v>
      </c>
      <c r="N1346" s="329">
        <v>22.8</v>
      </c>
      <c r="O1346" s="329">
        <v>17.916666666666664</v>
      </c>
      <c r="P1346" s="329">
        <v>17.150000000000002</v>
      </c>
    </row>
    <row r="1347" spans="1:16">
      <c r="A1347" s="331">
        <v>40678</v>
      </c>
      <c r="B1347" s="329">
        <v>20.8</v>
      </c>
      <c r="C1347" s="329">
        <f t="shared" si="84"/>
        <v>20.700000000000003</v>
      </c>
      <c r="D1347" s="329">
        <v>22.8</v>
      </c>
      <c r="E1347" s="329">
        <f t="shared" si="81"/>
        <v>22.75</v>
      </c>
      <c r="F1347" s="329">
        <v>16.2</v>
      </c>
      <c r="G1347" s="329">
        <f t="shared" si="82"/>
        <v>15.616666666666667</v>
      </c>
      <c r="H1347" s="329">
        <v>16.3</v>
      </c>
      <c r="I1347" s="329">
        <f t="shared" si="83"/>
        <v>15.65</v>
      </c>
      <c r="L1347" s="331">
        <v>40678</v>
      </c>
      <c r="M1347" s="329">
        <v>20.700000000000003</v>
      </c>
      <c r="N1347" s="329">
        <v>22.75</v>
      </c>
      <c r="O1347" s="329">
        <v>15.616666666666667</v>
      </c>
      <c r="P1347" s="329">
        <v>15.65</v>
      </c>
    </row>
    <row r="1348" spans="1:16">
      <c r="A1348" s="331">
        <v>40678</v>
      </c>
      <c r="B1348" s="329">
        <v>20.7</v>
      </c>
      <c r="C1348" s="329">
        <f t="shared" si="84"/>
        <v>20.700000000000003</v>
      </c>
      <c r="D1348" s="329">
        <v>22.8</v>
      </c>
      <c r="E1348" s="329">
        <f t="shared" si="81"/>
        <v>22.75</v>
      </c>
      <c r="F1348" s="329">
        <v>15.3</v>
      </c>
      <c r="G1348" s="329">
        <f t="shared" si="82"/>
        <v>15.616666666666667</v>
      </c>
      <c r="H1348" s="329">
        <v>16</v>
      </c>
      <c r="I1348" s="329">
        <f t="shared" si="83"/>
        <v>15.65</v>
      </c>
      <c r="L1348" s="331">
        <v>40678</v>
      </c>
      <c r="M1348" s="329">
        <v>20.700000000000003</v>
      </c>
      <c r="N1348" s="329">
        <v>22.75</v>
      </c>
      <c r="O1348" s="329">
        <v>15.616666666666667</v>
      </c>
      <c r="P1348" s="329">
        <v>15.65</v>
      </c>
    </row>
    <row r="1349" spans="1:16">
      <c r="A1349" s="331">
        <v>40678</v>
      </c>
      <c r="B1349" s="329">
        <v>20.7</v>
      </c>
      <c r="C1349" s="329">
        <f t="shared" si="84"/>
        <v>20.700000000000003</v>
      </c>
      <c r="D1349" s="329">
        <v>22.8</v>
      </c>
      <c r="E1349" s="329">
        <f t="shared" si="81"/>
        <v>22.75</v>
      </c>
      <c r="F1349" s="329">
        <v>14.6</v>
      </c>
      <c r="G1349" s="329">
        <f t="shared" si="82"/>
        <v>15.616666666666667</v>
      </c>
      <c r="H1349" s="329">
        <v>15.6</v>
      </c>
      <c r="I1349" s="329">
        <f t="shared" si="83"/>
        <v>15.65</v>
      </c>
      <c r="L1349" s="331">
        <v>40678</v>
      </c>
      <c r="M1349" s="329">
        <v>20.700000000000003</v>
      </c>
      <c r="N1349" s="329">
        <v>22.75</v>
      </c>
      <c r="O1349" s="329">
        <v>15.616666666666667</v>
      </c>
      <c r="P1349" s="329">
        <v>15.65</v>
      </c>
    </row>
    <row r="1350" spans="1:16">
      <c r="A1350" s="331">
        <v>40678</v>
      </c>
      <c r="B1350" s="329">
        <v>20.6</v>
      </c>
      <c r="C1350" s="329">
        <f t="shared" si="84"/>
        <v>20.700000000000003</v>
      </c>
      <c r="D1350" s="329">
        <v>22.7</v>
      </c>
      <c r="E1350" s="329">
        <f t="shared" si="81"/>
        <v>22.75</v>
      </c>
      <c r="F1350" s="329">
        <v>15.2</v>
      </c>
      <c r="G1350" s="329">
        <f t="shared" si="82"/>
        <v>15.616666666666667</v>
      </c>
      <c r="H1350" s="329">
        <v>15.3</v>
      </c>
      <c r="I1350" s="329">
        <f t="shared" si="83"/>
        <v>15.65</v>
      </c>
      <c r="L1350" s="331">
        <v>40678</v>
      </c>
      <c r="M1350" s="329">
        <v>20.700000000000003</v>
      </c>
      <c r="N1350" s="329">
        <v>22.75</v>
      </c>
      <c r="O1350" s="329">
        <v>15.616666666666667</v>
      </c>
      <c r="P1350" s="329">
        <v>15.65</v>
      </c>
    </row>
    <row r="1351" spans="1:16">
      <c r="A1351" s="331">
        <v>40678</v>
      </c>
      <c r="B1351" s="329">
        <v>20.7</v>
      </c>
      <c r="C1351" s="329">
        <f t="shared" si="84"/>
        <v>20.700000000000003</v>
      </c>
      <c r="D1351" s="329">
        <v>22.7</v>
      </c>
      <c r="E1351" s="329">
        <f t="shared" si="81"/>
        <v>22.75</v>
      </c>
      <c r="F1351" s="329">
        <v>16.2</v>
      </c>
      <c r="G1351" s="329">
        <f t="shared" si="82"/>
        <v>15.616666666666667</v>
      </c>
      <c r="H1351" s="329">
        <v>15.3</v>
      </c>
      <c r="I1351" s="329">
        <f t="shared" si="83"/>
        <v>15.65</v>
      </c>
      <c r="L1351" s="331">
        <v>40678</v>
      </c>
      <c r="M1351" s="329">
        <v>20.700000000000003</v>
      </c>
      <c r="N1351" s="329">
        <v>22.75</v>
      </c>
      <c r="O1351" s="329">
        <v>15.616666666666667</v>
      </c>
      <c r="P1351" s="329">
        <v>15.65</v>
      </c>
    </row>
    <row r="1352" spans="1:16">
      <c r="A1352" s="331">
        <v>40678</v>
      </c>
      <c r="B1352" s="329">
        <v>20.7</v>
      </c>
      <c r="C1352" s="329">
        <f t="shared" si="84"/>
        <v>20.700000000000003</v>
      </c>
      <c r="D1352" s="329">
        <v>22.7</v>
      </c>
      <c r="E1352" s="329">
        <f t="shared" si="81"/>
        <v>22.75</v>
      </c>
      <c r="F1352" s="329">
        <v>16.2</v>
      </c>
      <c r="G1352" s="329">
        <f t="shared" si="82"/>
        <v>15.616666666666667</v>
      </c>
      <c r="H1352" s="329">
        <v>15.4</v>
      </c>
      <c r="I1352" s="329">
        <f t="shared" si="83"/>
        <v>15.65</v>
      </c>
      <c r="L1352" s="331">
        <v>40678</v>
      </c>
      <c r="M1352" s="329">
        <v>20.700000000000003</v>
      </c>
      <c r="N1352" s="329">
        <v>22.75</v>
      </c>
      <c r="O1352" s="329">
        <v>15.616666666666667</v>
      </c>
      <c r="P1352" s="329">
        <v>15.65</v>
      </c>
    </row>
    <row r="1353" spans="1:16">
      <c r="A1353" s="331">
        <v>40679</v>
      </c>
      <c r="B1353" s="329">
        <v>20.7</v>
      </c>
      <c r="C1353" s="329">
        <f t="shared" si="84"/>
        <v>20.633333333333333</v>
      </c>
      <c r="D1353" s="329">
        <v>22.7</v>
      </c>
      <c r="E1353" s="329">
        <f t="shared" si="81"/>
        <v>22.683333333333334</v>
      </c>
      <c r="F1353" s="329">
        <v>15</v>
      </c>
      <c r="G1353" s="329">
        <f t="shared" si="82"/>
        <v>14.866666666666665</v>
      </c>
      <c r="H1353" s="329">
        <v>15.4</v>
      </c>
      <c r="I1353" s="329">
        <f t="shared" si="83"/>
        <v>14.816666666666668</v>
      </c>
      <c r="L1353" s="331">
        <v>40679</v>
      </c>
      <c r="M1353" s="329">
        <v>20.633333333333333</v>
      </c>
      <c r="N1353" s="329">
        <v>22.683333333333334</v>
      </c>
      <c r="O1353" s="329">
        <v>14.866666666666665</v>
      </c>
      <c r="P1353" s="329">
        <v>14.816666666666668</v>
      </c>
    </row>
    <row r="1354" spans="1:16">
      <c r="A1354" s="331">
        <v>40679</v>
      </c>
      <c r="B1354" s="329">
        <v>20.6</v>
      </c>
      <c r="C1354" s="329">
        <f t="shared" si="84"/>
        <v>20.633333333333333</v>
      </c>
      <c r="D1354" s="329">
        <v>22.7</v>
      </c>
      <c r="E1354" s="329">
        <f t="shared" si="81"/>
        <v>22.683333333333334</v>
      </c>
      <c r="F1354" s="329">
        <v>13.8</v>
      </c>
      <c r="G1354" s="329">
        <f t="shared" si="82"/>
        <v>14.866666666666665</v>
      </c>
      <c r="H1354" s="329">
        <v>15.1</v>
      </c>
      <c r="I1354" s="329">
        <f t="shared" si="83"/>
        <v>14.816666666666668</v>
      </c>
      <c r="L1354" s="331">
        <v>40679</v>
      </c>
      <c r="M1354" s="329">
        <v>20.633333333333333</v>
      </c>
      <c r="N1354" s="329">
        <v>22.683333333333334</v>
      </c>
      <c r="O1354" s="329">
        <v>14.866666666666665</v>
      </c>
      <c r="P1354" s="329">
        <v>14.816666666666668</v>
      </c>
    </row>
    <row r="1355" spans="1:16">
      <c r="A1355" s="331">
        <v>40679</v>
      </c>
      <c r="B1355" s="329">
        <v>20.6</v>
      </c>
      <c r="C1355" s="329">
        <f t="shared" si="84"/>
        <v>20.633333333333333</v>
      </c>
      <c r="D1355" s="329">
        <v>22.7</v>
      </c>
      <c r="E1355" s="329">
        <f t="shared" si="81"/>
        <v>22.683333333333334</v>
      </c>
      <c r="F1355" s="329">
        <v>13</v>
      </c>
      <c r="G1355" s="329">
        <f t="shared" si="82"/>
        <v>14.866666666666665</v>
      </c>
      <c r="H1355" s="329">
        <v>14.6</v>
      </c>
      <c r="I1355" s="329">
        <f t="shared" si="83"/>
        <v>14.816666666666668</v>
      </c>
      <c r="L1355" s="331">
        <v>40679</v>
      </c>
      <c r="M1355" s="329">
        <v>20.633333333333333</v>
      </c>
      <c r="N1355" s="329">
        <v>22.683333333333334</v>
      </c>
      <c r="O1355" s="329">
        <v>14.866666666666665</v>
      </c>
      <c r="P1355" s="329">
        <v>14.816666666666668</v>
      </c>
    </row>
    <row r="1356" spans="1:16">
      <c r="A1356" s="331">
        <v>40679</v>
      </c>
      <c r="B1356" s="329">
        <v>20.6</v>
      </c>
      <c r="C1356" s="329">
        <f t="shared" si="84"/>
        <v>20.633333333333333</v>
      </c>
      <c r="D1356" s="329">
        <v>22.7</v>
      </c>
      <c r="E1356" s="329">
        <f t="shared" si="81"/>
        <v>22.683333333333334</v>
      </c>
      <c r="F1356" s="329">
        <v>14.2</v>
      </c>
      <c r="G1356" s="329">
        <f t="shared" si="82"/>
        <v>14.866666666666665</v>
      </c>
      <c r="H1356" s="329">
        <v>14.3</v>
      </c>
      <c r="I1356" s="329">
        <f t="shared" si="83"/>
        <v>14.816666666666668</v>
      </c>
      <c r="L1356" s="331">
        <v>40679</v>
      </c>
      <c r="M1356" s="329">
        <v>20.633333333333333</v>
      </c>
      <c r="N1356" s="329">
        <v>22.683333333333334</v>
      </c>
      <c r="O1356" s="329">
        <v>14.866666666666665</v>
      </c>
      <c r="P1356" s="329">
        <v>14.816666666666668</v>
      </c>
    </row>
    <row r="1357" spans="1:16">
      <c r="A1357" s="331">
        <v>40679</v>
      </c>
      <c r="B1357" s="329">
        <v>20.6</v>
      </c>
      <c r="C1357" s="329">
        <f t="shared" si="84"/>
        <v>20.633333333333333</v>
      </c>
      <c r="D1357" s="329">
        <v>22.6</v>
      </c>
      <c r="E1357" s="329">
        <f t="shared" si="81"/>
        <v>22.683333333333334</v>
      </c>
      <c r="F1357" s="329">
        <v>16.3</v>
      </c>
      <c r="G1357" s="329">
        <f t="shared" si="82"/>
        <v>14.866666666666665</v>
      </c>
      <c r="H1357" s="329">
        <v>14.5</v>
      </c>
      <c r="I1357" s="329">
        <f t="shared" si="83"/>
        <v>14.816666666666668</v>
      </c>
      <c r="L1357" s="331">
        <v>40679</v>
      </c>
      <c r="M1357" s="329">
        <v>20.633333333333333</v>
      </c>
      <c r="N1357" s="329">
        <v>22.683333333333334</v>
      </c>
      <c r="O1357" s="329">
        <v>14.866666666666665</v>
      </c>
      <c r="P1357" s="329">
        <v>14.816666666666668</v>
      </c>
    </row>
    <row r="1358" spans="1:16">
      <c r="A1358" s="331">
        <v>40679</v>
      </c>
      <c r="B1358" s="329">
        <v>20.7</v>
      </c>
      <c r="C1358" s="329">
        <f t="shared" si="84"/>
        <v>20.633333333333333</v>
      </c>
      <c r="D1358" s="329">
        <v>22.7</v>
      </c>
      <c r="E1358" s="329">
        <f t="shared" si="81"/>
        <v>22.683333333333334</v>
      </c>
      <c r="F1358" s="329">
        <v>16.899999999999999</v>
      </c>
      <c r="G1358" s="329">
        <f t="shared" si="82"/>
        <v>14.866666666666665</v>
      </c>
      <c r="H1358" s="329">
        <v>15</v>
      </c>
      <c r="I1358" s="329">
        <f t="shared" si="83"/>
        <v>14.816666666666668</v>
      </c>
      <c r="L1358" s="331">
        <v>40679</v>
      </c>
      <c r="M1358" s="329">
        <v>20.633333333333333</v>
      </c>
      <c r="N1358" s="329">
        <v>22.683333333333334</v>
      </c>
      <c r="O1358" s="329">
        <v>14.866666666666665</v>
      </c>
      <c r="P1358" s="329">
        <v>14.816666666666668</v>
      </c>
    </row>
    <row r="1359" spans="1:16">
      <c r="A1359" s="331">
        <v>40680</v>
      </c>
      <c r="B1359" s="329">
        <v>20.7</v>
      </c>
      <c r="C1359" s="329">
        <f t="shared" si="84"/>
        <v>20.65</v>
      </c>
      <c r="D1359" s="329">
        <v>22.7</v>
      </c>
      <c r="E1359" s="329">
        <f t="shared" si="81"/>
        <v>22.7</v>
      </c>
      <c r="F1359" s="329">
        <v>15.9</v>
      </c>
      <c r="G1359" s="329">
        <f t="shared" si="82"/>
        <v>15.916666666666666</v>
      </c>
      <c r="H1359" s="329">
        <v>15.3</v>
      </c>
      <c r="I1359" s="329">
        <f t="shared" si="83"/>
        <v>15</v>
      </c>
      <c r="L1359" s="331">
        <v>40680</v>
      </c>
      <c r="M1359" s="329">
        <v>20.65</v>
      </c>
      <c r="N1359" s="329">
        <v>22.7</v>
      </c>
      <c r="O1359" s="329">
        <v>15.916666666666666</v>
      </c>
      <c r="P1359" s="329">
        <v>15</v>
      </c>
    </row>
    <row r="1360" spans="1:16">
      <c r="A1360" s="331">
        <v>40680</v>
      </c>
      <c r="B1360" s="329">
        <v>20.7</v>
      </c>
      <c r="C1360" s="329">
        <f t="shared" si="84"/>
        <v>20.65</v>
      </c>
      <c r="D1360" s="329">
        <v>22.7</v>
      </c>
      <c r="E1360" s="329">
        <f t="shared" si="81"/>
        <v>22.7</v>
      </c>
      <c r="F1360" s="329">
        <v>14.6</v>
      </c>
      <c r="G1360" s="329">
        <f t="shared" si="82"/>
        <v>15.916666666666666</v>
      </c>
      <c r="H1360" s="329">
        <v>15.1</v>
      </c>
      <c r="I1360" s="329">
        <f t="shared" si="83"/>
        <v>15</v>
      </c>
      <c r="L1360" s="331">
        <v>40680</v>
      </c>
      <c r="M1360" s="329">
        <v>20.65</v>
      </c>
      <c r="N1360" s="329">
        <v>22.7</v>
      </c>
      <c r="O1360" s="329">
        <v>15.916666666666666</v>
      </c>
      <c r="P1360" s="329">
        <v>15</v>
      </c>
    </row>
    <row r="1361" spans="1:16">
      <c r="A1361" s="331">
        <v>40680</v>
      </c>
      <c r="B1361" s="329">
        <v>20.6</v>
      </c>
      <c r="C1361" s="329">
        <f t="shared" si="84"/>
        <v>20.65</v>
      </c>
      <c r="D1361" s="329">
        <v>22.7</v>
      </c>
      <c r="E1361" s="329">
        <f t="shared" si="81"/>
        <v>22.7</v>
      </c>
      <c r="F1361" s="329">
        <v>13.7</v>
      </c>
      <c r="G1361" s="329">
        <f t="shared" si="82"/>
        <v>15.916666666666666</v>
      </c>
      <c r="H1361" s="329">
        <v>14.8</v>
      </c>
      <c r="I1361" s="329">
        <f t="shared" si="83"/>
        <v>15</v>
      </c>
      <c r="L1361" s="331">
        <v>40680</v>
      </c>
      <c r="M1361" s="329">
        <v>20.65</v>
      </c>
      <c r="N1361" s="329">
        <v>22.7</v>
      </c>
      <c r="O1361" s="329">
        <v>15.916666666666666</v>
      </c>
      <c r="P1361" s="329">
        <v>15</v>
      </c>
    </row>
    <row r="1362" spans="1:16">
      <c r="A1362" s="331">
        <v>40680</v>
      </c>
      <c r="B1362" s="329">
        <v>20.6</v>
      </c>
      <c r="C1362" s="329">
        <f t="shared" si="84"/>
        <v>20.65</v>
      </c>
      <c r="D1362" s="329">
        <v>22.7</v>
      </c>
      <c r="E1362" s="329">
        <f t="shared" si="81"/>
        <v>22.7</v>
      </c>
      <c r="F1362" s="329">
        <v>15.2</v>
      </c>
      <c r="G1362" s="329">
        <f t="shared" si="82"/>
        <v>15.916666666666666</v>
      </c>
      <c r="H1362" s="329">
        <v>14.5</v>
      </c>
      <c r="I1362" s="329">
        <f t="shared" si="83"/>
        <v>15</v>
      </c>
      <c r="L1362" s="331">
        <v>40680</v>
      </c>
      <c r="M1362" s="329">
        <v>20.65</v>
      </c>
      <c r="N1362" s="329">
        <v>22.7</v>
      </c>
      <c r="O1362" s="329">
        <v>15.916666666666666</v>
      </c>
      <c r="P1362" s="329">
        <v>15</v>
      </c>
    </row>
    <row r="1363" spans="1:16">
      <c r="A1363" s="331">
        <v>40680</v>
      </c>
      <c r="B1363" s="329">
        <v>20.6</v>
      </c>
      <c r="C1363" s="329">
        <f t="shared" si="84"/>
        <v>20.65</v>
      </c>
      <c r="D1363" s="329">
        <v>22.7</v>
      </c>
      <c r="E1363" s="329">
        <f t="shared" si="81"/>
        <v>22.7</v>
      </c>
      <c r="F1363" s="329">
        <v>17.7</v>
      </c>
      <c r="G1363" s="329">
        <f t="shared" si="82"/>
        <v>15.916666666666666</v>
      </c>
      <c r="H1363" s="329">
        <v>14.8</v>
      </c>
      <c r="I1363" s="329">
        <f t="shared" si="83"/>
        <v>15</v>
      </c>
      <c r="L1363" s="331">
        <v>40680</v>
      </c>
      <c r="M1363" s="329">
        <v>20.65</v>
      </c>
      <c r="N1363" s="329">
        <v>22.7</v>
      </c>
      <c r="O1363" s="329">
        <v>15.916666666666666</v>
      </c>
      <c r="P1363" s="329">
        <v>15</v>
      </c>
    </row>
    <row r="1364" spans="1:16">
      <c r="A1364" s="331">
        <v>40680</v>
      </c>
      <c r="B1364" s="329">
        <v>20.7</v>
      </c>
      <c r="C1364" s="329">
        <f t="shared" si="84"/>
        <v>20.65</v>
      </c>
      <c r="D1364" s="329">
        <v>22.7</v>
      </c>
      <c r="E1364" s="329">
        <f t="shared" si="81"/>
        <v>22.7</v>
      </c>
      <c r="F1364" s="329">
        <v>18.399999999999999</v>
      </c>
      <c r="G1364" s="329">
        <f t="shared" si="82"/>
        <v>15.916666666666666</v>
      </c>
      <c r="H1364" s="329">
        <v>15.5</v>
      </c>
      <c r="I1364" s="329">
        <f t="shared" si="83"/>
        <v>15</v>
      </c>
      <c r="L1364" s="331">
        <v>40680</v>
      </c>
      <c r="M1364" s="329">
        <v>20.65</v>
      </c>
      <c r="N1364" s="329">
        <v>22.7</v>
      </c>
      <c r="O1364" s="329">
        <v>15.916666666666666</v>
      </c>
      <c r="P1364" s="329">
        <v>15</v>
      </c>
    </row>
    <row r="1365" spans="1:16">
      <c r="A1365" s="331">
        <v>40681</v>
      </c>
      <c r="B1365" s="329">
        <v>20.7</v>
      </c>
      <c r="C1365" s="329">
        <f t="shared" si="84"/>
        <v>20.683333333333334</v>
      </c>
      <c r="D1365" s="329">
        <v>22.7</v>
      </c>
      <c r="E1365" s="329">
        <f t="shared" si="81"/>
        <v>22.75</v>
      </c>
      <c r="F1365" s="329">
        <v>17.100000000000001</v>
      </c>
      <c r="G1365" s="329">
        <f t="shared" si="82"/>
        <v>17.216666666666665</v>
      </c>
      <c r="H1365" s="329">
        <v>15.9</v>
      </c>
      <c r="I1365" s="329">
        <f t="shared" si="83"/>
        <v>15.733333333333333</v>
      </c>
      <c r="L1365" s="331">
        <v>40681</v>
      </c>
      <c r="M1365" s="329">
        <v>20.683333333333334</v>
      </c>
      <c r="N1365" s="329">
        <v>22.75</v>
      </c>
      <c r="O1365" s="329">
        <v>17.216666666666665</v>
      </c>
      <c r="P1365" s="329">
        <v>15.733333333333333</v>
      </c>
    </row>
    <row r="1366" spans="1:16">
      <c r="A1366" s="331">
        <v>40681</v>
      </c>
      <c r="B1366" s="329">
        <v>20.7</v>
      </c>
      <c r="C1366" s="329">
        <f t="shared" si="84"/>
        <v>20.683333333333334</v>
      </c>
      <c r="D1366" s="329">
        <v>22.7</v>
      </c>
      <c r="E1366" s="329">
        <f t="shared" si="81"/>
        <v>22.75</v>
      </c>
      <c r="F1366" s="329">
        <v>15.9</v>
      </c>
      <c r="G1366" s="329">
        <f t="shared" si="82"/>
        <v>17.216666666666665</v>
      </c>
      <c r="H1366" s="329">
        <v>15.8</v>
      </c>
      <c r="I1366" s="329">
        <f t="shared" si="83"/>
        <v>15.733333333333333</v>
      </c>
      <c r="L1366" s="331">
        <v>40681</v>
      </c>
      <c r="M1366" s="329">
        <v>20.683333333333334</v>
      </c>
      <c r="N1366" s="329">
        <v>22.75</v>
      </c>
      <c r="O1366" s="329">
        <v>17.216666666666665</v>
      </c>
      <c r="P1366" s="329">
        <v>15.733333333333333</v>
      </c>
    </row>
    <row r="1367" spans="1:16">
      <c r="A1367" s="331">
        <v>40681</v>
      </c>
      <c r="B1367" s="329">
        <v>20.6</v>
      </c>
      <c r="C1367" s="329">
        <f t="shared" si="84"/>
        <v>20.683333333333334</v>
      </c>
      <c r="D1367" s="329">
        <v>22.7</v>
      </c>
      <c r="E1367" s="329">
        <f t="shared" si="81"/>
        <v>22.75</v>
      </c>
      <c r="F1367" s="329">
        <v>15.1</v>
      </c>
      <c r="G1367" s="329">
        <f t="shared" si="82"/>
        <v>17.216666666666665</v>
      </c>
      <c r="H1367" s="329">
        <v>15.5</v>
      </c>
      <c r="I1367" s="329">
        <f t="shared" si="83"/>
        <v>15.733333333333333</v>
      </c>
      <c r="L1367" s="331">
        <v>40681</v>
      </c>
      <c r="M1367" s="329">
        <v>20.683333333333334</v>
      </c>
      <c r="N1367" s="329">
        <v>22.75</v>
      </c>
      <c r="O1367" s="329">
        <v>17.216666666666665</v>
      </c>
      <c r="P1367" s="329">
        <v>15.733333333333333</v>
      </c>
    </row>
    <row r="1368" spans="1:16">
      <c r="A1368" s="331">
        <v>40681</v>
      </c>
      <c r="B1368" s="329">
        <v>20.6</v>
      </c>
      <c r="C1368" s="329">
        <f t="shared" si="84"/>
        <v>20.683333333333334</v>
      </c>
      <c r="D1368" s="329">
        <v>22.8</v>
      </c>
      <c r="E1368" s="329">
        <f t="shared" si="81"/>
        <v>22.75</v>
      </c>
      <c r="F1368" s="329">
        <v>16.5</v>
      </c>
      <c r="G1368" s="329">
        <f t="shared" si="82"/>
        <v>17.216666666666665</v>
      </c>
      <c r="H1368" s="329">
        <v>15.3</v>
      </c>
      <c r="I1368" s="329">
        <f t="shared" si="83"/>
        <v>15.733333333333333</v>
      </c>
      <c r="L1368" s="331">
        <v>40681</v>
      </c>
      <c r="M1368" s="329">
        <v>20.683333333333334</v>
      </c>
      <c r="N1368" s="329">
        <v>22.75</v>
      </c>
      <c r="O1368" s="329">
        <v>17.216666666666665</v>
      </c>
      <c r="P1368" s="329">
        <v>15.733333333333333</v>
      </c>
    </row>
    <row r="1369" spans="1:16">
      <c r="A1369" s="331">
        <v>40681</v>
      </c>
      <c r="B1369" s="329">
        <v>20.7</v>
      </c>
      <c r="C1369" s="329">
        <f t="shared" si="84"/>
        <v>20.683333333333334</v>
      </c>
      <c r="D1369" s="329">
        <v>22.8</v>
      </c>
      <c r="E1369" s="329">
        <f t="shared" si="81"/>
        <v>22.75</v>
      </c>
      <c r="F1369" s="329">
        <v>19.100000000000001</v>
      </c>
      <c r="G1369" s="329">
        <f t="shared" si="82"/>
        <v>17.216666666666665</v>
      </c>
      <c r="H1369" s="329">
        <v>15.6</v>
      </c>
      <c r="I1369" s="329">
        <f t="shared" si="83"/>
        <v>15.733333333333333</v>
      </c>
      <c r="L1369" s="331">
        <v>40681</v>
      </c>
      <c r="M1369" s="329">
        <v>20.683333333333334</v>
      </c>
      <c r="N1369" s="329">
        <v>22.75</v>
      </c>
      <c r="O1369" s="329">
        <v>17.216666666666665</v>
      </c>
      <c r="P1369" s="329">
        <v>15.733333333333333</v>
      </c>
    </row>
    <row r="1370" spans="1:16">
      <c r="A1370" s="331">
        <v>40681</v>
      </c>
      <c r="B1370" s="329">
        <v>20.8</v>
      </c>
      <c r="C1370" s="329">
        <f t="shared" si="84"/>
        <v>20.683333333333334</v>
      </c>
      <c r="D1370" s="329">
        <v>22.8</v>
      </c>
      <c r="E1370" s="329">
        <f t="shared" si="81"/>
        <v>22.75</v>
      </c>
      <c r="F1370" s="329">
        <v>19.600000000000001</v>
      </c>
      <c r="G1370" s="329">
        <f t="shared" si="82"/>
        <v>17.216666666666665</v>
      </c>
      <c r="H1370" s="329">
        <v>16.3</v>
      </c>
      <c r="I1370" s="329">
        <f t="shared" si="83"/>
        <v>15.733333333333333</v>
      </c>
      <c r="L1370" s="331">
        <v>40681</v>
      </c>
      <c r="M1370" s="329">
        <v>20.683333333333334</v>
      </c>
      <c r="N1370" s="329">
        <v>22.75</v>
      </c>
      <c r="O1370" s="329">
        <v>17.216666666666665</v>
      </c>
      <c r="P1370" s="329">
        <v>15.733333333333333</v>
      </c>
    </row>
    <row r="1371" spans="1:16">
      <c r="A1371" s="331">
        <v>40682</v>
      </c>
      <c r="B1371" s="329">
        <v>20.8</v>
      </c>
      <c r="C1371" s="329">
        <f t="shared" si="84"/>
        <v>20.75</v>
      </c>
      <c r="D1371" s="329">
        <v>22.8</v>
      </c>
      <c r="E1371" s="329">
        <f t="shared" si="81"/>
        <v>22.8</v>
      </c>
      <c r="F1371" s="329">
        <v>18.3</v>
      </c>
      <c r="G1371" s="329">
        <f t="shared" si="82"/>
        <v>18.216666666666669</v>
      </c>
      <c r="H1371" s="329">
        <v>16.600000000000001</v>
      </c>
      <c r="I1371" s="329">
        <f t="shared" si="83"/>
        <v>16.483333333333334</v>
      </c>
      <c r="L1371" s="331">
        <v>40682</v>
      </c>
      <c r="M1371" s="329">
        <v>20.75</v>
      </c>
      <c r="N1371" s="329">
        <v>22.8</v>
      </c>
      <c r="O1371" s="329">
        <v>18.216666666666669</v>
      </c>
      <c r="P1371" s="329">
        <v>16.483333333333334</v>
      </c>
    </row>
    <row r="1372" spans="1:16">
      <c r="A1372" s="331">
        <v>40682</v>
      </c>
      <c r="B1372" s="329">
        <v>20.8</v>
      </c>
      <c r="C1372" s="329">
        <f t="shared" si="84"/>
        <v>20.75</v>
      </c>
      <c r="D1372" s="329">
        <v>22.8</v>
      </c>
      <c r="E1372" s="329">
        <f t="shared" si="81"/>
        <v>22.8</v>
      </c>
      <c r="F1372" s="329">
        <v>17.2</v>
      </c>
      <c r="G1372" s="329">
        <f t="shared" si="82"/>
        <v>18.216666666666669</v>
      </c>
      <c r="H1372" s="329">
        <v>16.600000000000001</v>
      </c>
      <c r="I1372" s="329">
        <f t="shared" si="83"/>
        <v>16.483333333333334</v>
      </c>
      <c r="L1372" s="331">
        <v>40682</v>
      </c>
      <c r="M1372" s="329">
        <v>20.75</v>
      </c>
      <c r="N1372" s="329">
        <v>22.8</v>
      </c>
      <c r="O1372" s="329">
        <v>18.216666666666669</v>
      </c>
      <c r="P1372" s="329">
        <v>16.483333333333334</v>
      </c>
    </row>
    <row r="1373" spans="1:16">
      <c r="A1373" s="331">
        <v>40682</v>
      </c>
      <c r="B1373" s="329">
        <v>20.7</v>
      </c>
      <c r="C1373" s="329">
        <f t="shared" si="84"/>
        <v>20.75</v>
      </c>
      <c r="D1373" s="329">
        <v>22.8</v>
      </c>
      <c r="E1373" s="329">
        <f t="shared" si="81"/>
        <v>22.8</v>
      </c>
      <c r="F1373" s="329">
        <v>16.399999999999999</v>
      </c>
      <c r="G1373" s="329">
        <f t="shared" si="82"/>
        <v>18.216666666666669</v>
      </c>
      <c r="H1373" s="329">
        <v>16.3</v>
      </c>
      <c r="I1373" s="329">
        <f t="shared" si="83"/>
        <v>16.483333333333334</v>
      </c>
      <c r="L1373" s="331">
        <v>40682</v>
      </c>
      <c r="M1373" s="329">
        <v>20.75</v>
      </c>
      <c r="N1373" s="329">
        <v>22.8</v>
      </c>
      <c r="O1373" s="329">
        <v>18.216666666666669</v>
      </c>
      <c r="P1373" s="329">
        <v>16.483333333333334</v>
      </c>
    </row>
    <row r="1374" spans="1:16">
      <c r="A1374" s="331">
        <v>40682</v>
      </c>
      <c r="B1374" s="329">
        <v>20.7</v>
      </c>
      <c r="C1374" s="329">
        <f t="shared" si="84"/>
        <v>20.75</v>
      </c>
      <c r="D1374" s="329">
        <v>22.8</v>
      </c>
      <c r="E1374" s="329">
        <f t="shared" si="81"/>
        <v>22.8</v>
      </c>
      <c r="F1374" s="329">
        <v>17.5</v>
      </c>
      <c r="G1374" s="329">
        <f t="shared" si="82"/>
        <v>18.216666666666669</v>
      </c>
      <c r="H1374" s="329">
        <v>16.100000000000001</v>
      </c>
      <c r="I1374" s="329">
        <f t="shared" si="83"/>
        <v>16.483333333333334</v>
      </c>
      <c r="L1374" s="331">
        <v>40682</v>
      </c>
      <c r="M1374" s="329">
        <v>20.75</v>
      </c>
      <c r="N1374" s="329">
        <v>22.8</v>
      </c>
      <c r="O1374" s="329">
        <v>18.216666666666669</v>
      </c>
      <c r="P1374" s="329">
        <v>16.483333333333334</v>
      </c>
    </row>
    <row r="1375" spans="1:16">
      <c r="A1375" s="331">
        <v>40682</v>
      </c>
      <c r="B1375" s="329">
        <v>20.7</v>
      </c>
      <c r="C1375" s="329">
        <f t="shared" si="84"/>
        <v>20.75</v>
      </c>
      <c r="D1375" s="329">
        <v>22.8</v>
      </c>
      <c r="E1375" s="329">
        <f t="shared" si="81"/>
        <v>22.8</v>
      </c>
      <c r="F1375" s="329">
        <v>19.8</v>
      </c>
      <c r="G1375" s="329">
        <f t="shared" si="82"/>
        <v>18.216666666666669</v>
      </c>
      <c r="H1375" s="329">
        <v>16.399999999999999</v>
      </c>
      <c r="I1375" s="329">
        <f t="shared" si="83"/>
        <v>16.483333333333334</v>
      </c>
      <c r="L1375" s="331">
        <v>40682</v>
      </c>
      <c r="M1375" s="329">
        <v>20.75</v>
      </c>
      <c r="N1375" s="329">
        <v>22.8</v>
      </c>
      <c r="O1375" s="329">
        <v>18.216666666666669</v>
      </c>
      <c r="P1375" s="329">
        <v>16.483333333333334</v>
      </c>
    </row>
    <row r="1376" spans="1:16">
      <c r="A1376" s="331">
        <v>40682</v>
      </c>
      <c r="B1376" s="329">
        <v>20.8</v>
      </c>
      <c r="C1376" s="329">
        <f t="shared" si="84"/>
        <v>20.75</v>
      </c>
      <c r="D1376" s="329">
        <v>22.8</v>
      </c>
      <c r="E1376" s="329">
        <f t="shared" si="81"/>
        <v>22.8</v>
      </c>
      <c r="F1376" s="329">
        <v>20.100000000000001</v>
      </c>
      <c r="G1376" s="329">
        <f t="shared" si="82"/>
        <v>18.216666666666669</v>
      </c>
      <c r="H1376" s="329">
        <v>16.899999999999999</v>
      </c>
      <c r="I1376" s="329">
        <f t="shared" si="83"/>
        <v>16.483333333333334</v>
      </c>
      <c r="L1376" s="331">
        <v>40682</v>
      </c>
      <c r="M1376" s="329">
        <v>20.75</v>
      </c>
      <c r="N1376" s="329">
        <v>22.8</v>
      </c>
      <c r="O1376" s="329">
        <v>18.216666666666669</v>
      </c>
      <c r="P1376" s="329">
        <v>16.483333333333334</v>
      </c>
    </row>
    <row r="1377" spans="1:16">
      <c r="A1377" s="331">
        <v>40683</v>
      </c>
      <c r="B1377" s="329">
        <v>20.8</v>
      </c>
      <c r="C1377" s="329">
        <f t="shared" si="84"/>
        <v>20.75</v>
      </c>
      <c r="D1377" s="329">
        <v>22.9</v>
      </c>
      <c r="E1377" s="329">
        <f t="shared" si="81"/>
        <v>22.900000000000002</v>
      </c>
      <c r="F1377" s="329">
        <v>18.600000000000001</v>
      </c>
      <c r="G1377" s="329">
        <f t="shared" si="82"/>
        <v>18.266666666666666</v>
      </c>
      <c r="H1377" s="329">
        <v>17.2</v>
      </c>
      <c r="I1377" s="329">
        <f t="shared" si="83"/>
        <v>16.833333333333332</v>
      </c>
      <c r="L1377" s="331">
        <v>40683</v>
      </c>
      <c r="M1377" s="329">
        <v>20.75</v>
      </c>
      <c r="N1377" s="329">
        <v>22.900000000000002</v>
      </c>
      <c r="O1377" s="329">
        <v>18.266666666666666</v>
      </c>
      <c r="P1377" s="329">
        <v>16.833333333333332</v>
      </c>
    </row>
    <row r="1378" spans="1:16">
      <c r="A1378" s="331">
        <v>40683</v>
      </c>
      <c r="B1378" s="329">
        <v>20.8</v>
      </c>
      <c r="C1378" s="329">
        <f t="shared" si="84"/>
        <v>20.75</v>
      </c>
      <c r="D1378" s="329">
        <v>22.9</v>
      </c>
      <c r="E1378" s="329">
        <f t="shared" ref="E1378:E1441" si="85">AVERAGEIFS($D$33:$D$1494,$A$33:$A$1494,A1378)</f>
        <v>22.900000000000002</v>
      </c>
      <c r="F1378" s="329">
        <v>17.3</v>
      </c>
      <c r="G1378" s="329">
        <f t="shared" ref="G1378:G1441" si="86">AVERAGEIFS($F$33:$F$1494,$A$33:$A$1494,A1378)</f>
        <v>18.266666666666666</v>
      </c>
      <c r="H1378" s="329">
        <v>17</v>
      </c>
      <c r="I1378" s="329">
        <f t="shared" ref="I1378:I1441" si="87">AVERAGEIFS($H$33:$H$1494,$A$33:$A$1494,A1378)</f>
        <v>16.833333333333332</v>
      </c>
      <c r="L1378" s="331">
        <v>40683</v>
      </c>
      <c r="M1378" s="329">
        <v>20.75</v>
      </c>
      <c r="N1378" s="329">
        <v>22.900000000000002</v>
      </c>
      <c r="O1378" s="329">
        <v>18.266666666666666</v>
      </c>
      <c r="P1378" s="329">
        <v>16.833333333333332</v>
      </c>
    </row>
    <row r="1379" spans="1:16">
      <c r="A1379" s="331">
        <v>40683</v>
      </c>
      <c r="B1379" s="329">
        <v>20.7</v>
      </c>
      <c r="C1379" s="329">
        <f t="shared" si="84"/>
        <v>20.75</v>
      </c>
      <c r="D1379" s="329">
        <v>22.9</v>
      </c>
      <c r="E1379" s="329">
        <f t="shared" si="85"/>
        <v>22.900000000000002</v>
      </c>
      <c r="F1379" s="329">
        <v>16.2</v>
      </c>
      <c r="G1379" s="329">
        <f t="shared" si="86"/>
        <v>18.266666666666666</v>
      </c>
      <c r="H1379" s="329">
        <v>16.7</v>
      </c>
      <c r="I1379" s="329">
        <f t="shared" si="87"/>
        <v>16.833333333333332</v>
      </c>
      <c r="L1379" s="331">
        <v>40683</v>
      </c>
      <c r="M1379" s="329">
        <v>20.75</v>
      </c>
      <c r="N1379" s="329">
        <v>22.900000000000002</v>
      </c>
      <c r="O1379" s="329">
        <v>18.266666666666666</v>
      </c>
      <c r="P1379" s="329">
        <v>16.833333333333332</v>
      </c>
    </row>
    <row r="1380" spans="1:16">
      <c r="A1380" s="331">
        <v>40683</v>
      </c>
      <c r="B1380" s="329">
        <v>20.7</v>
      </c>
      <c r="C1380" s="329">
        <f t="shared" si="84"/>
        <v>20.75</v>
      </c>
      <c r="D1380" s="329">
        <v>22.9</v>
      </c>
      <c r="E1380" s="329">
        <f t="shared" si="85"/>
        <v>22.900000000000002</v>
      </c>
      <c r="F1380" s="329">
        <v>17.3</v>
      </c>
      <c r="G1380" s="329">
        <f t="shared" si="86"/>
        <v>18.266666666666666</v>
      </c>
      <c r="H1380" s="329">
        <v>16.399999999999999</v>
      </c>
      <c r="I1380" s="329">
        <f t="shared" si="87"/>
        <v>16.833333333333332</v>
      </c>
      <c r="L1380" s="331">
        <v>40683</v>
      </c>
      <c r="M1380" s="329">
        <v>20.75</v>
      </c>
      <c r="N1380" s="329">
        <v>22.900000000000002</v>
      </c>
      <c r="O1380" s="329">
        <v>18.266666666666666</v>
      </c>
      <c r="P1380" s="329">
        <v>16.833333333333332</v>
      </c>
    </row>
    <row r="1381" spans="1:16">
      <c r="A1381" s="331">
        <v>40683</v>
      </c>
      <c r="B1381" s="329">
        <v>20.7</v>
      </c>
      <c r="C1381" s="329">
        <f t="shared" si="84"/>
        <v>20.75</v>
      </c>
      <c r="D1381" s="329">
        <v>22.9</v>
      </c>
      <c r="E1381" s="329">
        <f t="shared" si="85"/>
        <v>22.900000000000002</v>
      </c>
      <c r="F1381" s="329">
        <v>19.8</v>
      </c>
      <c r="G1381" s="329">
        <f t="shared" si="86"/>
        <v>18.266666666666666</v>
      </c>
      <c r="H1381" s="329">
        <v>16.600000000000001</v>
      </c>
      <c r="I1381" s="329">
        <f t="shared" si="87"/>
        <v>16.833333333333332</v>
      </c>
      <c r="L1381" s="331">
        <v>40683</v>
      </c>
      <c r="M1381" s="329">
        <v>20.75</v>
      </c>
      <c r="N1381" s="329">
        <v>22.900000000000002</v>
      </c>
      <c r="O1381" s="329">
        <v>18.266666666666666</v>
      </c>
      <c r="P1381" s="329">
        <v>16.833333333333332</v>
      </c>
    </row>
    <row r="1382" spans="1:16">
      <c r="A1382" s="331">
        <v>40683</v>
      </c>
      <c r="B1382" s="329">
        <v>20.8</v>
      </c>
      <c r="C1382" s="329">
        <f t="shared" si="84"/>
        <v>20.75</v>
      </c>
      <c r="D1382" s="329">
        <v>22.9</v>
      </c>
      <c r="E1382" s="329">
        <f t="shared" si="85"/>
        <v>22.900000000000002</v>
      </c>
      <c r="F1382" s="329">
        <v>20.399999999999999</v>
      </c>
      <c r="G1382" s="329">
        <f t="shared" si="86"/>
        <v>18.266666666666666</v>
      </c>
      <c r="H1382" s="329">
        <v>17.100000000000001</v>
      </c>
      <c r="I1382" s="329">
        <f t="shared" si="87"/>
        <v>16.833333333333332</v>
      </c>
      <c r="L1382" s="331">
        <v>40683</v>
      </c>
      <c r="M1382" s="329">
        <v>20.75</v>
      </c>
      <c r="N1382" s="329">
        <v>22.900000000000002</v>
      </c>
      <c r="O1382" s="329">
        <v>18.266666666666666</v>
      </c>
      <c r="P1382" s="329">
        <v>16.833333333333332</v>
      </c>
    </row>
    <row r="1383" spans="1:16">
      <c r="A1383" s="331">
        <v>40684</v>
      </c>
      <c r="B1383" s="329">
        <v>20.8</v>
      </c>
      <c r="C1383" s="329">
        <f t="shared" si="84"/>
        <v>20.766666666666666</v>
      </c>
      <c r="D1383" s="329">
        <v>22.9</v>
      </c>
      <c r="E1383" s="329">
        <f t="shared" si="85"/>
        <v>22.900000000000002</v>
      </c>
      <c r="F1383" s="329">
        <v>19.3</v>
      </c>
      <c r="G1383" s="329">
        <f t="shared" si="86"/>
        <v>19.316666666666666</v>
      </c>
      <c r="H1383" s="329">
        <v>17.5</v>
      </c>
      <c r="I1383" s="329">
        <f t="shared" si="87"/>
        <v>17.349999999999998</v>
      </c>
      <c r="L1383" s="331">
        <v>40684</v>
      </c>
      <c r="M1383" s="329">
        <v>20.766666666666666</v>
      </c>
      <c r="N1383" s="329">
        <v>22.900000000000002</v>
      </c>
      <c r="O1383" s="329">
        <v>19.316666666666666</v>
      </c>
      <c r="P1383" s="329">
        <v>17.349999999999998</v>
      </c>
    </row>
    <row r="1384" spans="1:16">
      <c r="A1384" s="331">
        <v>40684</v>
      </c>
      <c r="B1384" s="329">
        <v>20.8</v>
      </c>
      <c r="C1384" s="329">
        <f t="shared" ref="C1384:C1447" si="88">AVERAGEIFS($B$33:$B$1494,$A$33:$A$1494,A1384)</f>
        <v>20.766666666666666</v>
      </c>
      <c r="D1384" s="329">
        <v>22.9</v>
      </c>
      <c r="E1384" s="329">
        <f t="shared" si="85"/>
        <v>22.900000000000002</v>
      </c>
      <c r="F1384" s="329">
        <v>18.5</v>
      </c>
      <c r="G1384" s="329">
        <f t="shared" si="86"/>
        <v>19.316666666666666</v>
      </c>
      <c r="H1384" s="329">
        <v>17.399999999999999</v>
      </c>
      <c r="I1384" s="329">
        <f t="shared" si="87"/>
        <v>17.349999999999998</v>
      </c>
      <c r="L1384" s="331">
        <v>40684</v>
      </c>
      <c r="M1384" s="329">
        <v>20.766666666666666</v>
      </c>
      <c r="N1384" s="329">
        <v>22.900000000000002</v>
      </c>
      <c r="O1384" s="329">
        <v>19.316666666666666</v>
      </c>
      <c r="P1384" s="329">
        <v>17.349999999999998</v>
      </c>
    </row>
    <row r="1385" spans="1:16">
      <c r="A1385" s="331">
        <v>40684</v>
      </c>
      <c r="B1385" s="329">
        <v>20.7</v>
      </c>
      <c r="C1385" s="329">
        <f t="shared" si="88"/>
        <v>20.766666666666666</v>
      </c>
      <c r="D1385" s="329">
        <v>22.9</v>
      </c>
      <c r="E1385" s="329">
        <f t="shared" si="85"/>
        <v>22.900000000000002</v>
      </c>
      <c r="F1385" s="329">
        <v>17.7</v>
      </c>
      <c r="G1385" s="329">
        <f t="shared" si="86"/>
        <v>19.316666666666666</v>
      </c>
      <c r="H1385" s="329">
        <v>17.2</v>
      </c>
      <c r="I1385" s="329">
        <f t="shared" si="87"/>
        <v>17.349999999999998</v>
      </c>
      <c r="L1385" s="331">
        <v>40684</v>
      </c>
      <c r="M1385" s="329">
        <v>20.766666666666666</v>
      </c>
      <c r="N1385" s="329">
        <v>22.900000000000002</v>
      </c>
      <c r="O1385" s="329">
        <v>19.316666666666666</v>
      </c>
      <c r="P1385" s="329">
        <v>17.349999999999998</v>
      </c>
    </row>
    <row r="1386" spans="1:16">
      <c r="A1386" s="331">
        <v>40684</v>
      </c>
      <c r="B1386" s="329">
        <v>20.7</v>
      </c>
      <c r="C1386" s="329">
        <f t="shared" si="88"/>
        <v>20.766666666666666</v>
      </c>
      <c r="D1386" s="329">
        <v>22.9</v>
      </c>
      <c r="E1386" s="329">
        <f t="shared" si="85"/>
        <v>22.900000000000002</v>
      </c>
      <c r="F1386" s="329">
        <v>18.5</v>
      </c>
      <c r="G1386" s="329">
        <f t="shared" si="86"/>
        <v>19.316666666666666</v>
      </c>
      <c r="H1386" s="329">
        <v>17</v>
      </c>
      <c r="I1386" s="329">
        <f t="shared" si="87"/>
        <v>17.349999999999998</v>
      </c>
      <c r="L1386" s="331">
        <v>40684</v>
      </c>
      <c r="M1386" s="329">
        <v>20.766666666666666</v>
      </c>
      <c r="N1386" s="329">
        <v>22.900000000000002</v>
      </c>
      <c r="O1386" s="329">
        <v>19.316666666666666</v>
      </c>
      <c r="P1386" s="329">
        <v>17.349999999999998</v>
      </c>
    </row>
    <row r="1387" spans="1:16">
      <c r="A1387" s="331">
        <v>40684</v>
      </c>
      <c r="B1387" s="329">
        <v>20.8</v>
      </c>
      <c r="C1387" s="329">
        <f t="shared" si="88"/>
        <v>20.766666666666666</v>
      </c>
      <c r="D1387" s="329">
        <v>22.9</v>
      </c>
      <c r="E1387" s="329">
        <f t="shared" si="85"/>
        <v>22.900000000000002</v>
      </c>
      <c r="F1387" s="329">
        <v>20.7</v>
      </c>
      <c r="G1387" s="329">
        <f t="shared" si="86"/>
        <v>19.316666666666666</v>
      </c>
      <c r="H1387" s="329">
        <v>17.2</v>
      </c>
      <c r="I1387" s="329">
        <f t="shared" si="87"/>
        <v>17.349999999999998</v>
      </c>
      <c r="L1387" s="331">
        <v>40684</v>
      </c>
      <c r="M1387" s="329">
        <v>20.766666666666666</v>
      </c>
      <c r="N1387" s="329">
        <v>22.900000000000002</v>
      </c>
      <c r="O1387" s="329">
        <v>19.316666666666666</v>
      </c>
      <c r="P1387" s="329">
        <v>17.349999999999998</v>
      </c>
    </row>
    <row r="1388" spans="1:16">
      <c r="A1388" s="331">
        <v>40684</v>
      </c>
      <c r="B1388" s="329">
        <v>20.8</v>
      </c>
      <c r="C1388" s="329">
        <f t="shared" si="88"/>
        <v>20.766666666666666</v>
      </c>
      <c r="D1388" s="329">
        <v>22.9</v>
      </c>
      <c r="E1388" s="329">
        <f t="shared" si="85"/>
        <v>22.900000000000002</v>
      </c>
      <c r="F1388" s="329">
        <v>21.2</v>
      </c>
      <c r="G1388" s="329">
        <f t="shared" si="86"/>
        <v>19.316666666666666</v>
      </c>
      <c r="H1388" s="329">
        <v>17.8</v>
      </c>
      <c r="I1388" s="329">
        <f t="shared" si="87"/>
        <v>17.349999999999998</v>
      </c>
      <c r="L1388" s="331">
        <v>40684</v>
      </c>
      <c r="M1388" s="329">
        <v>20.766666666666666</v>
      </c>
      <c r="N1388" s="329">
        <v>22.900000000000002</v>
      </c>
      <c r="O1388" s="329">
        <v>19.316666666666666</v>
      </c>
      <c r="P1388" s="329">
        <v>17.349999999999998</v>
      </c>
    </row>
    <row r="1389" spans="1:16">
      <c r="A1389" s="331">
        <v>40685</v>
      </c>
      <c r="B1389" s="329">
        <v>20.8</v>
      </c>
      <c r="C1389" s="329">
        <f t="shared" si="88"/>
        <v>20.766666666666669</v>
      </c>
      <c r="D1389" s="329">
        <v>23</v>
      </c>
      <c r="E1389" s="329">
        <f t="shared" si="85"/>
        <v>22.950000000000003</v>
      </c>
      <c r="F1389" s="329">
        <v>19.899999999999999</v>
      </c>
      <c r="G1389" s="329">
        <f t="shared" si="86"/>
        <v>18.95</v>
      </c>
      <c r="H1389" s="329">
        <v>18.100000000000001</v>
      </c>
      <c r="I1389" s="329">
        <f t="shared" si="87"/>
        <v>17.733333333333334</v>
      </c>
      <c r="L1389" s="331">
        <v>40685</v>
      </c>
      <c r="M1389" s="329">
        <v>20.766666666666669</v>
      </c>
      <c r="N1389" s="329">
        <v>22.950000000000003</v>
      </c>
      <c r="O1389" s="329">
        <v>18.95</v>
      </c>
      <c r="P1389" s="329">
        <v>17.733333333333334</v>
      </c>
    </row>
    <row r="1390" spans="1:16">
      <c r="A1390" s="331">
        <v>40685</v>
      </c>
      <c r="B1390" s="329">
        <v>20.8</v>
      </c>
      <c r="C1390" s="329">
        <f t="shared" si="88"/>
        <v>20.766666666666669</v>
      </c>
      <c r="D1390" s="329">
        <v>23</v>
      </c>
      <c r="E1390" s="329">
        <f t="shared" si="85"/>
        <v>22.950000000000003</v>
      </c>
      <c r="F1390" s="329">
        <v>19.100000000000001</v>
      </c>
      <c r="G1390" s="329">
        <f t="shared" si="86"/>
        <v>18.95</v>
      </c>
      <c r="H1390" s="329">
        <v>18.100000000000001</v>
      </c>
      <c r="I1390" s="329">
        <f t="shared" si="87"/>
        <v>17.733333333333334</v>
      </c>
      <c r="L1390" s="331">
        <v>40685</v>
      </c>
      <c r="M1390" s="329">
        <v>20.766666666666669</v>
      </c>
      <c r="N1390" s="329">
        <v>22.950000000000003</v>
      </c>
      <c r="O1390" s="329">
        <v>18.95</v>
      </c>
      <c r="P1390" s="329">
        <v>17.733333333333334</v>
      </c>
    </row>
    <row r="1391" spans="1:16">
      <c r="A1391" s="331">
        <v>40685</v>
      </c>
      <c r="B1391" s="329">
        <v>20.8</v>
      </c>
      <c r="C1391" s="329">
        <f t="shared" si="88"/>
        <v>20.766666666666669</v>
      </c>
      <c r="D1391" s="329">
        <v>23</v>
      </c>
      <c r="E1391" s="329">
        <f t="shared" si="85"/>
        <v>22.950000000000003</v>
      </c>
      <c r="F1391" s="329">
        <v>18.3</v>
      </c>
      <c r="G1391" s="329">
        <f t="shared" si="86"/>
        <v>18.95</v>
      </c>
      <c r="H1391" s="329">
        <v>17.8</v>
      </c>
      <c r="I1391" s="329">
        <f t="shared" si="87"/>
        <v>17.733333333333334</v>
      </c>
      <c r="L1391" s="331">
        <v>40685</v>
      </c>
      <c r="M1391" s="329">
        <v>20.766666666666669</v>
      </c>
      <c r="N1391" s="329">
        <v>22.950000000000003</v>
      </c>
      <c r="O1391" s="329">
        <v>18.95</v>
      </c>
      <c r="P1391" s="329">
        <v>17.733333333333334</v>
      </c>
    </row>
    <row r="1392" spans="1:16">
      <c r="A1392" s="331">
        <v>40685</v>
      </c>
      <c r="B1392" s="329">
        <v>20.7</v>
      </c>
      <c r="C1392" s="329">
        <f t="shared" si="88"/>
        <v>20.766666666666669</v>
      </c>
      <c r="D1392" s="329">
        <v>22.9</v>
      </c>
      <c r="E1392" s="329">
        <f t="shared" si="85"/>
        <v>22.950000000000003</v>
      </c>
      <c r="F1392" s="329">
        <v>18.2</v>
      </c>
      <c r="G1392" s="329">
        <f t="shared" si="86"/>
        <v>18.95</v>
      </c>
      <c r="H1392" s="329">
        <v>17.5</v>
      </c>
      <c r="I1392" s="329">
        <f t="shared" si="87"/>
        <v>17.733333333333334</v>
      </c>
      <c r="L1392" s="331">
        <v>40685</v>
      </c>
      <c r="M1392" s="329">
        <v>20.766666666666669</v>
      </c>
      <c r="N1392" s="329">
        <v>22.950000000000003</v>
      </c>
      <c r="O1392" s="329">
        <v>18.95</v>
      </c>
      <c r="P1392" s="329">
        <v>17.733333333333334</v>
      </c>
    </row>
    <row r="1393" spans="1:16">
      <c r="A1393" s="331">
        <v>40685</v>
      </c>
      <c r="B1393" s="329">
        <v>20.7</v>
      </c>
      <c r="C1393" s="329">
        <f t="shared" si="88"/>
        <v>20.766666666666669</v>
      </c>
      <c r="D1393" s="329">
        <v>22.9</v>
      </c>
      <c r="E1393" s="329">
        <f t="shared" si="85"/>
        <v>22.950000000000003</v>
      </c>
      <c r="F1393" s="329">
        <v>19.100000000000001</v>
      </c>
      <c r="G1393" s="329">
        <f t="shared" si="86"/>
        <v>18.95</v>
      </c>
      <c r="H1393" s="329">
        <v>17.399999999999999</v>
      </c>
      <c r="I1393" s="329">
        <f t="shared" si="87"/>
        <v>17.733333333333334</v>
      </c>
      <c r="L1393" s="331">
        <v>40685</v>
      </c>
      <c r="M1393" s="329">
        <v>20.766666666666669</v>
      </c>
      <c r="N1393" s="329">
        <v>22.950000000000003</v>
      </c>
      <c r="O1393" s="329">
        <v>18.95</v>
      </c>
      <c r="P1393" s="329">
        <v>17.733333333333334</v>
      </c>
    </row>
    <row r="1394" spans="1:16">
      <c r="A1394" s="331">
        <v>40685</v>
      </c>
      <c r="B1394" s="329">
        <v>20.8</v>
      </c>
      <c r="C1394" s="329">
        <f t="shared" si="88"/>
        <v>20.766666666666669</v>
      </c>
      <c r="D1394" s="329">
        <v>22.9</v>
      </c>
      <c r="E1394" s="329">
        <f t="shared" si="85"/>
        <v>22.950000000000003</v>
      </c>
      <c r="F1394" s="329">
        <v>19.100000000000001</v>
      </c>
      <c r="G1394" s="329">
        <f t="shared" si="86"/>
        <v>18.95</v>
      </c>
      <c r="H1394" s="329">
        <v>17.5</v>
      </c>
      <c r="I1394" s="329">
        <f t="shared" si="87"/>
        <v>17.733333333333334</v>
      </c>
      <c r="L1394" s="331">
        <v>40685</v>
      </c>
      <c r="M1394" s="329">
        <v>20.766666666666669</v>
      </c>
      <c r="N1394" s="329">
        <v>22.950000000000003</v>
      </c>
      <c r="O1394" s="329">
        <v>18.95</v>
      </c>
      <c r="P1394" s="329">
        <v>17.733333333333334</v>
      </c>
    </row>
    <row r="1395" spans="1:16">
      <c r="A1395" s="331">
        <v>40686</v>
      </c>
      <c r="B1395" s="329">
        <v>20.7</v>
      </c>
      <c r="C1395" s="329">
        <f t="shared" si="88"/>
        <v>20.7</v>
      </c>
      <c r="D1395" s="329">
        <v>22.9</v>
      </c>
      <c r="E1395" s="329">
        <f t="shared" si="85"/>
        <v>22.900000000000002</v>
      </c>
      <c r="F1395" s="329">
        <v>18.3</v>
      </c>
      <c r="G1395" s="329">
        <f t="shared" si="86"/>
        <v>18.383333333333336</v>
      </c>
      <c r="H1395" s="329">
        <v>17.5</v>
      </c>
      <c r="I1395" s="329">
        <f t="shared" si="87"/>
        <v>17.133333333333329</v>
      </c>
      <c r="L1395" s="331">
        <v>40686</v>
      </c>
      <c r="M1395" s="329">
        <v>20.7</v>
      </c>
      <c r="N1395" s="329">
        <v>22.900000000000002</v>
      </c>
      <c r="O1395" s="329">
        <v>18.383333333333336</v>
      </c>
      <c r="P1395" s="329">
        <v>17.133333333333329</v>
      </c>
    </row>
    <row r="1396" spans="1:16">
      <c r="A1396" s="331">
        <v>40686</v>
      </c>
      <c r="B1396" s="329">
        <v>20.7</v>
      </c>
      <c r="C1396" s="329">
        <f t="shared" si="88"/>
        <v>20.7</v>
      </c>
      <c r="D1396" s="329">
        <v>22.9</v>
      </c>
      <c r="E1396" s="329">
        <f t="shared" si="85"/>
        <v>22.900000000000002</v>
      </c>
      <c r="F1396" s="329">
        <v>17.100000000000001</v>
      </c>
      <c r="G1396" s="329">
        <f t="shared" si="86"/>
        <v>18.383333333333336</v>
      </c>
      <c r="H1396" s="329">
        <v>17.3</v>
      </c>
      <c r="I1396" s="329">
        <f t="shared" si="87"/>
        <v>17.133333333333329</v>
      </c>
      <c r="L1396" s="331">
        <v>40686</v>
      </c>
      <c r="M1396" s="329">
        <v>20.7</v>
      </c>
      <c r="N1396" s="329">
        <v>22.900000000000002</v>
      </c>
      <c r="O1396" s="329">
        <v>18.383333333333336</v>
      </c>
      <c r="P1396" s="329">
        <v>17.133333333333329</v>
      </c>
    </row>
    <row r="1397" spans="1:16">
      <c r="A1397" s="331">
        <v>40686</v>
      </c>
      <c r="B1397" s="329">
        <v>20.7</v>
      </c>
      <c r="C1397" s="329">
        <f t="shared" si="88"/>
        <v>20.7</v>
      </c>
      <c r="D1397" s="329">
        <v>22.9</v>
      </c>
      <c r="E1397" s="329">
        <f t="shared" si="85"/>
        <v>22.900000000000002</v>
      </c>
      <c r="F1397" s="329">
        <v>16.2</v>
      </c>
      <c r="G1397" s="329">
        <f t="shared" si="86"/>
        <v>18.383333333333336</v>
      </c>
      <c r="H1397" s="329">
        <v>16.899999999999999</v>
      </c>
      <c r="I1397" s="329">
        <f t="shared" si="87"/>
        <v>17.133333333333329</v>
      </c>
      <c r="L1397" s="331">
        <v>40686</v>
      </c>
      <c r="M1397" s="329">
        <v>20.7</v>
      </c>
      <c r="N1397" s="329">
        <v>22.900000000000002</v>
      </c>
      <c r="O1397" s="329">
        <v>18.383333333333336</v>
      </c>
      <c r="P1397" s="329">
        <v>17.133333333333329</v>
      </c>
    </row>
    <row r="1398" spans="1:16">
      <c r="A1398" s="331">
        <v>40686</v>
      </c>
      <c r="B1398" s="329">
        <v>20.6</v>
      </c>
      <c r="C1398" s="329">
        <f t="shared" si="88"/>
        <v>20.7</v>
      </c>
      <c r="D1398" s="329">
        <v>22.9</v>
      </c>
      <c r="E1398" s="329">
        <f t="shared" si="85"/>
        <v>22.900000000000002</v>
      </c>
      <c r="F1398" s="329">
        <v>17.5</v>
      </c>
      <c r="G1398" s="329">
        <f t="shared" si="86"/>
        <v>18.383333333333336</v>
      </c>
      <c r="H1398" s="329">
        <v>16.600000000000001</v>
      </c>
      <c r="I1398" s="329">
        <f t="shared" si="87"/>
        <v>17.133333333333329</v>
      </c>
      <c r="L1398" s="331">
        <v>40686</v>
      </c>
      <c r="M1398" s="329">
        <v>20.7</v>
      </c>
      <c r="N1398" s="329">
        <v>22.900000000000002</v>
      </c>
      <c r="O1398" s="329">
        <v>18.383333333333336</v>
      </c>
      <c r="P1398" s="329">
        <v>17.133333333333329</v>
      </c>
    </row>
    <row r="1399" spans="1:16">
      <c r="A1399" s="331">
        <v>40686</v>
      </c>
      <c r="B1399" s="329">
        <v>20.7</v>
      </c>
      <c r="C1399" s="329">
        <f t="shared" si="88"/>
        <v>20.7</v>
      </c>
      <c r="D1399" s="329">
        <v>22.9</v>
      </c>
      <c r="E1399" s="329">
        <f t="shared" si="85"/>
        <v>22.900000000000002</v>
      </c>
      <c r="F1399" s="329">
        <v>20.100000000000001</v>
      </c>
      <c r="G1399" s="329">
        <f t="shared" si="86"/>
        <v>18.383333333333336</v>
      </c>
      <c r="H1399" s="329">
        <v>16.899999999999999</v>
      </c>
      <c r="I1399" s="329">
        <f t="shared" si="87"/>
        <v>17.133333333333329</v>
      </c>
      <c r="L1399" s="331">
        <v>40686</v>
      </c>
      <c r="M1399" s="329">
        <v>20.7</v>
      </c>
      <c r="N1399" s="329">
        <v>22.900000000000002</v>
      </c>
      <c r="O1399" s="329">
        <v>18.383333333333336</v>
      </c>
      <c r="P1399" s="329">
        <v>17.133333333333329</v>
      </c>
    </row>
    <row r="1400" spans="1:16">
      <c r="A1400" s="331">
        <v>40686</v>
      </c>
      <c r="B1400" s="329">
        <v>20.8</v>
      </c>
      <c r="C1400" s="329">
        <f t="shared" si="88"/>
        <v>20.7</v>
      </c>
      <c r="D1400" s="329">
        <v>22.9</v>
      </c>
      <c r="E1400" s="329">
        <f t="shared" si="85"/>
        <v>22.900000000000002</v>
      </c>
      <c r="F1400" s="329">
        <v>21.1</v>
      </c>
      <c r="G1400" s="329">
        <f t="shared" si="86"/>
        <v>18.383333333333336</v>
      </c>
      <c r="H1400" s="329">
        <v>17.600000000000001</v>
      </c>
      <c r="I1400" s="329">
        <f t="shared" si="87"/>
        <v>17.133333333333329</v>
      </c>
      <c r="L1400" s="331">
        <v>40686</v>
      </c>
      <c r="M1400" s="329">
        <v>20.7</v>
      </c>
      <c r="N1400" s="329">
        <v>22.900000000000002</v>
      </c>
      <c r="O1400" s="329">
        <v>18.383333333333336</v>
      </c>
      <c r="P1400" s="329">
        <v>17.133333333333329</v>
      </c>
    </row>
    <row r="1401" spans="1:16">
      <c r="A1401" s="331">
        <v>40687</v>
      </c>
      <c r="B1401" s="329">
        <v>20.8</v>
      </c>
      <c r="C1401" s="329">
        <f t="shared" si="88"/>
        <v>20.75</v>
      </c>
      <c r="D1401" s="329">
        <v>22.9</v>
      </c>
      <c r="E1401" s="329">
        <f t="shared" si="85"/>
        <v>22.900000000000002</v>
      </c>
      <c r="F1401" s="329">
        <v>19.5</v>
      </c>
      <c r="G1401" s="329">
        <f t="shared" si="86"/>
        <v>19.316666666666666</v>
      </c>
      <c r="H1401" s="329">
        <v>18</v>
      </c>
      <c r="I1401" s="329">
        <f t="shared" si="87"/>
        <v>17.666666666666668</v>
      </c>
      <c r="L1401" s="331">
        <v>40687</v>
      </c>
      <c r="M1401" s="329">
        <v>20.75</v>
      </c>
      <c r="N1401" s="329">
        <v>22.900000000000002</v>
      </c>
      <c r="O1401" s="329">
        <v>19.316666666666666</v>
      </c>
      <c r="P1401" s="329">
        <v>17.666666666666668</v>
      </c>
    </row>
    <row r="1402" spans="1:16">
      <c r="A1402" s="331">
        <v>40687</v>
      </c>
      <c r="B1402" s="329">
        <v>20.8</v>
      </c>
      <c r="C1402" s="329">
        <f t="shared" si="88"/>
        <v>20.75</v>
      </c>
      <c r="D1402" s="329">
        <v>22.9</v>
      </c>
      <c r="E1402" s="329">
        <f t="shared" si="85"/>
        <v>22.900000000000002</v>
      </c>
      <c r="F1402" s="329">
        <v>18.100000000000001</v>
      </c>
      <c r="G1402" s="329">
        <f t="shared" si="86"/>
        <v>19.316666666666666</v>
      </c>
      <c r="H1402" s="329">
        <v>17.8</v>
      </c>
      <c r="I1402" s="329">
        <f t="shared" si="87"/>
        <v>17.666666666666668</v>
      </c>
      <c r="L1402" s="331">
        <v>40687</v>
      </c>
      <c r="M1402" s="329">
        <v>20.75</v>
      </c>
      <c r="N1402" s="329">
        <v>22.900000000000002</v>
      </c>
      <c r="O1402" s="329">
        <v>19.316666666666666</v>
      </c>
      <c r="P1402" s="329">
        <v>17.666666666666668</v>
      </c>
    </row>
    <row r="1403" spans="1:16">
      <c r="A1403" s="331">
        <v>40687</v>
      </c>
      <c r="B1403" s="329">
        <v>20.7</v>
      </c>
      <c r="C1403" s="329">
        <f t="shared" si="88"/>
        <v>20.75</v>
      </c>
      <c r="D1403" s="329">
        <v>22.9</v>
      </c>
      <c r="E1403" s="329">
        <f t="shared" si="85"/>
        <v>22.900000000000002</v>
      </c>
      <c r="F1403" s="329">
        <v>17.600000000000001</v>
      </c>
      <c r="G1403" s="329">
        <f t="shared" si="86"/>
        <v>19.316666666666666</v>
      </c>
      <c r="H1403" s="329">
        <v>17.5</v>
      </c>
      <c r="I1403" s="329">
        <f t="shared" si="87"/>
        <v>17.666666666666668</v>
      </c>
      <c r="L1403" s="331">
        <v>40687</v>
      </c>
      <c r="M1403" s="329">
        <v>20.75</v>
      </c>
      <c r="N1403" s="329">
        <v>22.900000000000002</v>
      </c>
      <c r="O1403" s="329">
        <v>19.316666666666666</v>
      </c>
      <c r="P1403" s="329">
        <v>17.666666666666668</v>
      </c>
    </row>
    <row r="1404" spans="1:16">
      <c r="A1404" s="331">
        <v>40687</v>
      </c>
      <c r="B1404" s="329">
        <v>20.7</v>
      </c>
      <c r="C1404" s="329">
        <f t="shared" si="88"/>
        <v>20.75</v>
      </c>
      <c r="D1404" s="329">
        <v>22.9</v>
      </c>
      <c r="E1404" s="329">
        <f t="shared" si="85"/>
        <v>22.900000000000002</v>
      </c>
      <c r="F1404" s="329">
        <v>18.399999999999999</v>
      </c>
      <c r="G1404" s="329">
        <f t="shared" si="86"/>
        <v>19.316666666666666</v>
      </c>
      <c r="H1404" s="329">
        <v>17.2</v>
      </c>
      <c r="I1404" s="329">
        <f t="shared" si="87"/>
        <v>17.666666666666668</v>
      </c>
      <c r="L1404" s="331">
        <v>40687</v>
      </c>
      <c r="M1404" s="329">
        <v>20.75</v>
      </c>
      <c r="N1404" s="329">
        <v>22.900000000000002</v>
      </c>
      <c r="O1404" s="329">
        <v>19.316666666666666</v>
      </c>
      <c r="P1404" s="329">
        <v>17.666666666666668</v>
      </c>
    </row>
    <row r="1405" spans="1:16">
      <c r="A1405" s="331">
        <v>40687</v>
      </c>
      <c r="B1405" s="329">
        <v>20.7</v>
      </c>
      <c r="C1405" s="329">
        <f t="shared" si="88"/>
        <v>20.75</v>
      </c>
      <c r="D1405" s="329">
        <v>22.9</v>
      </c>
      <c r="E1405" s="329">
        <f t="shared" si="85"/>
        <v>22.900000000000002</v>
      </c>
      <c r="F1405" s="329">
        <v>20.8</v>
      </c>
      <c r="G1405" s="329">
        <f t="shared" si="86"/>
        <v>19.316666666666666</v>
      </c>
      <c r="H1405" s="329">
        <v>17.5</v>
      </c>
      <c r="I1405" s="329">
        <f t="shared" si="87"/>
        <v>17.666666666666668</v>
      </c>
      <c r="L1405" s="331">
        <v>40687</v>
      </c>
      <c r="M1405" s="329">
        <v>20.75</v>
      </c>
      <c r="N1405" s="329">
        <v>22.900000000000002</v>
      </c>
      <c r="O1405" s="329">
        <v>19.316666666666666</v>
      </c>
      <c r="P1405" s="329">
        <v>17.666666666666668</v>
      </c>
    </row>
    <row r="1406" spans="1:16">
      <c r="A1406" s="331">
        <v>40687</v>
      </c>
      <c r="B1406" s="329">
        <v>20.8</v>
      </c>
      <c r="C1406" s="329">
        <f t="shared" si="88"/>
        <v>20.75</v>
      </c>
      <c r="D1406" s="329">
        <v>22.9</v>
      </c>
      <c r="E1406" s="329">
        <f t="shared" si="85"/>
        <v>22.900000000000002</v>
      </c>
      <c r="F1406" s="329">
        <v>21.5</v>
      </c>
      <c r="G1406" s="329">
        <f t="shared" si="86"/>
        <v>19.316666666666666</v>
      </c>
      <c r="H1406" s="329">
        <v>18</v>
      </c>
      <c r="I1406" s="329">
        <f t="shared" si="87"/>
        <v>17.666666666666668</v>
      </c>
      <c r="L1406" s="331">
        <v>40687</v>
      </c>
      <c r="M1406" s="329">
        <v>20.75</v>
      </c>
      <c r="N1406" s="329">
        <v>22.900000000000002</v>
      </c>
      <c r="O1406" s="329">
        <v>19.316666666666666</v>
      </c>
      <c r="P1406" s="329">
        <v>17.666666666666668</v>
      </c>
    </row>
    <row r="1407" spans="1:16">
      <c r="A1407" s="331">
        <v>40688</v>
      </c>
      <c r="B1407" s="329">
        <v>20.8</v>
      </c>
      <c r="C1407" s="329">
        <f t="shared" si="88"/>
        <v>20.783333333333331</v>
      </c>
      <c r="D1407" s="329">
        <v>23</v>
      </c>
      <c r="E1407" s="329">
        <f t="shared" si="85"/>
        <v>23</v>
      </c>
      <c r="F1407" s="329">
        <v>20.100000000000001</v>
      </c>
      <c r="G1407" s="329">
        <f t="shared" si="86"/>
        <v>20.233333333333331</v>
      </c>
      <c r="H1407" s="329">
        <v>18.399999999999999</v>
      </c>
      <c r="I1407" s="329">
        <f t="shared" si="87"/>
        <v>18.216666666666665</v>
      </c>
      <c r="L1407" s="331">
        <v>40688</v>
      </c>
      <c r="M1407" s="329">
        <v>20.783333333333331</v>
      </c>
      <c r="N1407" s="329">
        <v>23</v>
      </c>
      <c r="O1407" s="329">
        <v>20.233333333333331</v>
      </c>
      <c r="P1407" s="329">
        <v>18.216666666666665</v>
      </c>
    </row>
    <row r="1408" spans="1:16">
      <c r="A1408" s="331">
        <v>40688</v>
      </c>
      <c r="B1408" s="329">
        <v>20.8</v>
      </c>
      <c r="C1408" s="329">
        <f t="shared" si="88"/>
        <v>20.783333333333331</v>
      </c>
      <c r="D1408" s="329">
        <v>23</v>
      </c>
      <c r="E1408" s="329">
        <f t="shared" si="85"/>
        <v>23</v>
      </c>
      <c r="F1408" s="329">
        <v>19.100000000000001</v>
      </c>
      <c r="G1408" s="329">
        <f t="shared" si="86"/>
        <v>20.233333333333331</v>
      </c>
      <c r="H1408" s="329">
        <v>18.3</v>
      </c>
      <c r="I1408" s="329">
        <f t="shared" si="87"/>
        <v>18.216666666666665</v>
      </c>
      <c r="L1408" s="331">
        <v>40688</v>
      </c>
      <c r="M1408" s="329">
        <v>20.783333333333331</v>
      </c>
      <c r="N1408" s="329">
        <v>23</v>
      </c>
      <c r="O1408" s="329">
        <v>20.233333333333331</v>
      </c>
      <c r="P1408" s="329">
        <v>18.216666666666665</v>
      </c>
    </row>
    <row r="1409" spans="1:16">
      <c r="A1409" s="331">
        <v>40688</v>
      </c>
      <c r="B1409" s="329">
        <v>20.7</v>
      </c>
      <c r="C1409" s="329">
        <f t="shared" si="88"/>
        <v>20.783333333333331</v>
      </c>
      <c r="D1409" s="329">
        <v>23</v>
      </c>
      <c r="E1409" s="329">
        <f t="shared" si="85"/>
        <v>23</v>
      </c>
      <c r="F1409" s="329">
        <v>18.3</v>
      </c>
      <c r="G1409" s="329">
        <f t="shared" si="86"/>
        <v>20.233333333333331</v>
      </c>
      <c r="H1409" s="329">
        <v>18</v>
      </c>
      <c r="I1409" s="329">
        <f t="shared" si="87"/>
        <v>18.216666666666665</v>
      </c>
      <c r="L1409" s="331">
        <v>40688</v>
      </c>
      <c r="M1409" s="329">
        <v>20.783333333333331</v>
      </c>
      <c r="N1409" s="329">
        <v>23</v>
      </c>
      <c r="O1409" s="329">
        <v>20.233333333333331</v>
      </c>
      <c r="P1409" s="329">
        <v>18.216666666666665</v>
      </c>
    </row>
    <row r="1410" spans="1:16">
      <c r="A1410" s="331">
        <v>40688</v>
      </c>
      <c r="B1410" s="329">
        <v>20.7</v>
      </c>
      <c r="C1410" s="329">
        <f t="shared" si="88"/>
        <v>20.783333333333331</v>
      </c>
      <c r="D1410" s="329">
        <v>23</v>
      </c>
      <c r="E1410" s="329">
        <f t="shared" si="85"/>
        <v>23</v>
      </c>
      <c r="F1410" s="329">
        <v>19.3</v>
      </c>
      <c r="G1410" s="329">
        <f t="shared" si="86"/>
        <v>20.233333333333331</v>
      </c>
      <c r="H1410" s="329">
        <v>17.8</v>
      </c>
      <c r="I1410" s="329">
        <f t="shared" si="87"/>
        <v>18.216666666666665</v>
      </c>
      <c r="L1410" s="331">
        <v>40688</v>
      </c>
      <c r="M1410" s="329">
        <v>20.783333333333331</v>
      </c>
      <c r="N1410" s="329">
        <v>23</v>
      </c>
      <c r="O1410" s="329">
        <v>20.233333333333331</v>
      </c>
      <c r="P1410" s="329">
        <v>18.216666666666665</v>
      </c>
    </row>
    <row r="1411" spans="1:16">
      <c r="A1411" s="331">
        <v>40688</v>
      </c>
      <c r="B1411" s="329">
        <v>20.8</v>
      </c>
      <c r="C1411" s="329">
        <f t="shared" si="88"/>
        <v>20.783333333333331</v>
      </c>
      <c r="D1411" s="329">
        <v>23</v>
      </c>
      <c r="E1411" s="329">
        <f t="shared" si="85"/>
        <v>23</v>
      </c>
      <c r="F1411" s="329">
        <v>21.9</v>
      </c>
      <c r="G1411" s="329">
        <f t="shared" si="86"/>
        <v>20.233333333333331</v>
      </c>
      <c r="H1411" s="329">
        <v>18.100000000000001</v>
      </c>
      <c r="I1411" s="329">
        <f t="shared" si="87"/>
        <v>18.216666666666665</v>
      </c>
      <c r="L1411" s="331">
        <v>40688</v>
      </c>
      <c r="M1411" s="329">
        <v>20.783333333333331</v>
      </c>
      <c r="N1411" s="329">
        <v>23</v>
      </c>
      <c r="O1411" s="329">
        <v>20.233333333333331</v>
      </c>
      <c r="P1411" s="329">
        <v>18.216666666666665</v>
      </c>
    </row>
    <row r="1412" spans="1:16">
      <c r="A1412" s="331">
        <v>40688</v>
      </c>
      <c r="B1412" s="329">
        <v>20.9</v>
      </c>
      <c r="C1412" s="329">
        <f t="shared" si="88"/>
        <v>20.783333333333331</v>
      </c>
      <c r="D1412" s="329">
        <v>23</v>
      </c>
      <c r="E1412" s="329">
        <f t="shared" si="85"/>
        <v>23</v>
      </c>
      <c r="F1412" s="329">
        <v>22.7</v>
      </c>
      <c r="G1412" s="329">
        <f t="shared" si="86"/>
        <v>20.233333333333331</v>
      </c>
      <c r="H1412" s="329">
        <v>18.7</v>
      </c>
      <c r="I1412" s="329">
        <f t="shared" si="87"/>
        <v>18.216666666666665</v>
      </c>
      <c r="L1412" s="331">
        <v>40688</v>
      </c>
      <c r="M1412" s="329">
        <v>20.783333333333331</v>
      </c>
      <c r="N1412" s="329">
        <v>23</v>
      </c>
      <c r="O1412" s="329">
        <v>20.233333333333331</v>
      </c>
      <c r="P1412" s="329">
        <v>18.216666666666665</v>
      </c>
    </row>
    <row r="1413" spans="1:16">
      <c r="A1413" s="331">
        <v>40689</v>
      </c>
      <c r="B1413" s="329">
        <v>20.9</v>
      </c>
      <c r="C1413" s="329">
        <f t="shared" si="88"/>
        <v>20.816666666666666</v>
      </c>
      <c r="D1413" s="329">
        <v>23</v>
      </c>
      <c r="E1413" s="329">
        <f t="shared" si="85"/>
        <v>23</v>
      </c>
      <c r="F1413" s="329">
        <v>21</v>
      </c>
      <c r="G1413" s="329">
        <f t="shared" si="86"/>
        <v>19.866666666666664</v>
      </c>
      <c r="H1413" s="329">
        <v>19.100000000000001</v>
      </c>
      <c r="I1413" s="329">
        <f t="shared" si="87"/>
        <v>18.683333333333334</v>
      </c>
      <c r="L1413" s="331">
        <v>40689</v>
      </c>
      <c r="M1413" s="329">
        <v>20.816666666666666</v>
      </c>
      <c r="N1413" s="329">
        <v>23</v>
      </c>
      <c r="O1413" s="329">
        <v>19.866666666666664</v>
      </c>
      <c r="P1413" s="329">
        <v>18.683333333333334</v>
      </c>
    </row>
    <row r="1414" spans="1:16">
      <c r="A1414" s="331">
        <v>40689</v>
      </c>
      <c r="B1414" s="329">
        <v>20.8</v>
      </c>
      <c r="C1414" s="329">
        <f t="shared" si="88"/>
        <v>20.816666666666666</v>
      </c>
      <c r="D1414" s="329">
        <v>23</v>
      </c>
      <c r="E1414" s="329">
        <f t="shared" si="85"/>
        <v>23</v>
      </c>
      <c r="F1414" s="329">
        <v>19.7</v>
      </c>
      <c r="G1414" s="329">
        <f t="shared" si="86"/>
        <v>19.866666666666664</v>
      </c>
      <c r="H1414" s="329">
        <v>19</v>
      </c>
      <c r="I1414" s="329">
        <f t="shared" si="87"/>
        <v>18.683333333333334</v>
      </c>
      <c r="L1414" s="331">
        <v>40689</v>
      </c>
      <c r="M1414" s="329">
        <v>20.816666666666666</v>
      </c>
      <c r="N1414" s="329">
        <v>23</v>
      </c>
      <c r="O1414" s="329">
        <v>19.866666666666664</v>
      </c>
      <c r="P1414" s="329">
        <v>18.683333333333334</v>
      </c>
    </row>
    <row r="1415" spans="1:16">
      <c r="A1415" s="331">
        <v>40689</v>
      </c>
      <c r="B1415" s="329">
        <v>20.8</v>
      </c>
      <c r="C1415" s="329">
        <f t="shared" si="88"/>
        <v>20.816666666666666</v>
      </c>
      <c r="D1415" s="329">
        <v>23</v>
      </c>
      <c r="E1415" s="329">
        <f t="shared" si="85"/>
        <v>23</v>
      </c>
      <c r="F1415" s="329">
        <v>19.3</v>
      </c>
      <c r="G1415" s="329">
        <f t="shared" si="86"/>
        <v>19.866666666666664</v>
      </c>
      <c r="H1415" s="329">
        <v>18.7</v>
      </c>
      <c r="I1415" s="329">
        <f t="shared" si="87"/>
        <v>18.683333333333334</v>
      </c>
      <c r="L1415" s="331">
        <v>40689</v>
      </c>
      <c r="M1415" s="329">
        <v>20.816666666666666</v>
      </c>
      <c r="N1415" s="329">
        <v>23</v>
      </c>
      <c r="O1415" s="329">
        <v>19.866666666666664</v>
      </c>
      <c r="P1415" s="329">
        <v>18.683333333333334</v>
      </c>
    </row>
    <row r="1416" spans="1:16">
      <c r="A1416" s="331">
        <v>40689</v>
      </c>
      <c r="B1416" s="329">
        <v>20.8</v>
      </c>
      <c r="C1416" s="329">
        <f t="shared" si="88"/>
        <v>20.816666666666666</v>
      </c>
      <c r="D1416" s="329">
        <v>23</v>
      </c>
      <c r="E1416" s="329">
        <f t="shared" si="85"/>
        <v>23</v>
      </c>
      <c r="F1416" s="329">
        <v>19.600000000000001</v>
      </c>
      <c r="G1416" s="329">
        <f t="shared" si="86"/>
        <v>19.866666666666664</v>
      </c>
      <c r="H1416" s="329">
        <v>18.5</v>
      </c>
      <c r="I1416" s="329">
        <f t="shared" si="87"/>
        <v>18.683333333333334</v>
      </c>
      <c r="L1416" s="331">
        <v>40689</v>
      </c>
      <c r="M1416" s="329">
        <v>20.816666666666666</v>
      </c>
      <c r="N1416" s="329">
        <v>23</v>
      </c>
      <c r="O1416" s="329">
        <v>19.866666666666664</v>
      </c>
      <c r="P1416" s="329">
        <v>18.683333333333334</v>
      </c>
    </row>
    <row r="1417" spans="1:16">
      <c r="A1417" s="331">
        <v>40689</v>
      </c>
      <c r="B1417" s="329">
        <v>20.8</v>
      </c>
      <c r="C1417" s="329">
        <f t="shared" si="88"/>
        <v>20.816666666666666</v>
      </c>
      <c r="D1417" s="329">
        <v>23</v>
      </c>
      <c r="E1417" s="329">
        <f t="shared" si="85"/>
        <v>23</v>
      </c>
      <c r="F1417" s="329">
        <v>19.8</v>
      </c>
      <c r="G1417" s="329">
        <f t="shared" si="86"/>
        <v>19.866666666666664</v>
      </c>
      <c r="H1417" s="329">
        <v>18.399999999999999</v>
      </c>
      <c r="I1417" s="329">
        <f t="shared" si="87"/>
        <v>18.683333333333334</v>
      </c>
      <c r="L1417" s="331">
        <v>40689</v>
      </c>
      <c r="M1417" s="329">
        <v>20.816666666666666</v>
      </c>
      <c r="N1417" s="329">
        <v>23</v>
      </c>
      <c r="O1417" s="329">
        <v>19.866666666666664</v>
      </c>
      <c r="P1417" s="329">
        <v>18.683333333333334</v>
      </c>
    </row>
    <row r="1418" spans="1:16">
      <c r="A1418" s="331">
        <v>40689</v>
      </c>
      <c r="B1418" s="329">
        <v>20.8</v>
      </c>
      <c r="C1418" s="329">
        <f t="shared" si="88"/>
        <v>20.816666666666666</v>
      </c>
      <c r="D1418" s="329">
        <v>23</v>
      </c>
      <c r="E1418" s="329">
        <f t="shared" si="85"/>
        <v>23</v>
      </c>
      <c r="F1418" s="329">
        <v>19.8</v>
      </c>
      <c r="G1418" s="329">
        <f t="shared" si="86"/>
        <v>19.866666666666664</v>
      </c>
      <c r="H1418" s="329">
        <v>18.399999999999999</v>
      </c>
      <c r="I1418" s="329">
        <f t="shared" si="87"/>
        <v>18.683333333333334</v>
      </c>
      <c r="L1418" s="331">
        <v>40689</v>
      </c>
      <c r="M1418" s="329">
        <v>20.816666666666666</v>
      </c>
      <c r="N1418" s="329">
        <v>23</v>
      </c>
      <c r="O1418" s="329">
        <v>19.866666666666664</v>
      </c>
      <c r="P1418" s="329">
        <v>18.683333333333334</v>
      </c>
    </row>
    <row r="1419" spans="1:16">
      <c r="A1419" s="331">
        <v>40690</v>
      </c>
      <c r="B1419" s="329">
        <v>20.8</v>
      </c>
      <c r="C1419" s="329">
        <f t="shared" si="88"/>
        <v>20.716666666666669</v>
      </c>
      <c r="D1419" s="329">
        <v>23</v>
      </c>
      <c r="E1419" s="329">
        <f t="shared" si="85"/>
        <v>22.933333333333337</v>
      </c>
      <c r="F1419" s="329">
        <v>19.2</v>
      </c>
      <c r="G1419" s="329">
        <f t="shared" si="86"/>
        <v>18.55</v>
      </c>
      <c r="H1419" s="329">
        <v>18.399999999999999</v>
      </c>
      <c r="I1419" s="329">
        <f t="shared" si="87"/>
        <v>17.883333333333333</v>
      </c>
      <c r="L1419" s="331">
        <v>40690</v>
      </c>
      <c r="M1419" s="329">
        <v>20.716666666666669</v>
      </c>
      <c r="N1419" s="329">
        <v>22.933333333333337</v>
      </c>
      <c r="O1419" s="329">
        <v>18.55</v>
      </c>
      <c r="P1419" s="329">
        <v>17.883333333333333</v>
      </c>
    </row>
    <row r="1420" spans="1:16">
      <c r="A1420" s="331">
        <v>40690</v>
      </c>
      <c r="B1420" s="329">
        <v>20.7</v>
      </c>
      <c r="C1420" s="329">
        <f t="shared" si="88"/>
        <v>20.716666666666669</v>
      </c>
      <c r="D1420" s="329">
        <v>23</v>
      </c>
      <c r="E1420" s="329">
        <f t="shared" si="85"/>
        <v>22.933333333333337</v>
      </c>
      <c r="F1420" s="329">
        <v>18.5</v>
      </c>
      <c r="G1420" s="329">
        <f t="shared" si="86"/>
        <v>18.55</v>
      </c>
      <c r="H1420" s="329">
        <v>18.2</v>
      </c>
      <c r="I1420" s="329">
        <f t="shared" si="87"/>
        <v>17.883333333333333</v>
      </c>
      <c r="L1420" s="331">
        <v>40690</v>
      </c>
      <c r="M1420" s="329">
        <v>20.716666666666669</v>
      </c>
      <c r="N1420" s="329">
        <v>22.933333333333337</v>
      </c>
      <c r="O1420" s="329">
        <v>18.55</v>
      </c>
      <c r="P1420" s="329">
        <v>17.883333333333333</v>
      </c>
    </row>
    <row r="1421" spans="1:16">
      <c r="A1421" s="331">
        <v>40690</v>
      </c>
      <c r="B1421" s="329">
        <v>20.7</v>
      </c>
      <c r="C1421" s="329">
        <f t="shared" si="88"/>
        <v>20.716666666666669</v>
      </c>
      <c r="D1421" s="329">
        <v>22.9</v>
      </c>
      <c r="E1421" s="329">
        <f t="shared" si="85"/>
        <v>22.933333333333337</v>
      </c>
      <c r="F1421" s="329">
        <v>17.7</v>
      </c>
      <c r="G1421" s="329">
        <f t="shared" si="86"/>
        <v>18.55</v>
      </c>
      <c r="H1421" s="329">
        <v>17.899999999999999</v>
      </c>
      <c r="I1421" s="329">
        <f t="shared" si="87"/>
        <v>17.883333333333333</v>
      </c>
      <c r="L1421" s="331">
        <v>40690</v>
      </c>
      <c r="M1421" s="329">
        <v>20.716666666666669</v>
      </c>
      <c r="N1421" s="329">
        <v>22.933333333333337</v>
      </c>
      <c r="O1421" s="329">
        <v>18.55</v>
      </c>
      <c r="P1421" s="329">
        <v>17.883333333333333</v>
      </c>
    </row>
    <row r="1422" spans="1:16">
      <c r="A1422" s="331">
        <v>40690</v>
      </c>
      <c r="B1422" s="329">
        <v>20.7</v>
      </c>
      <c r="C1422" s="329">
        <f t="shared" si="88"/>
        <v>20.716666666666669</v>
      </c>
      <c r="D1422" s="329">
        <v>22.9</v>
      </c>
      <c r="E1422" s="329">
        <f t="shared" si="85"/>
        <v>22.933333333333337</v>
      </c>
      <c r="F1422" s="329">
        <v>17.899999999999999</v>
      </c>
      <c r="G1422" s="329">
        <f t="shared" si="86"/>
        <v>18.55</v>
      </c>
      <c r="H1422" s="329">
        <v>17.600000000000001</v>
      </c>
      <c r="I1422" s="329">
        <f t="shared" si="87"/>
        <v>17.883333333333333</v>
      </c>
      <c r="L1422" s="331">
        <v>40690</v>
      </c>
      <c r="M1422" s="329">
        <v>20.716666666666669</v>
      </c>
      <c r="N1422" s="329">
        <v>22.933333333333337</v>
      </c>
      <c r="O1422" s="329">
        <v>18.55</v>
      </c>
      <c r="P1422" s="329">
        <v>17.883333333333333</v>
      </c>
    </row>
    <row r="1423" spans="1:16">
      <c r="A1423" s="331">
        <v>40690</v>
      </c>
      <c r="B1423" s="329">
        <v>20.7</v>
      </c>
      <c r="C1423" s="329">
        <f t="shared" si="88"/>
        <v>20.716666666666669</v>
      </c>
      <c r="D1423" s="329">
        <v>22.9</v>
      </c>
      <c r="E1423" s="329">
        <f t="shared" si="85"/>
        <v>22.933333333333337</v>
      </c>
      <c r="F1423" s="329">
        <v>18.899999999999999</v>
      </c>
      <c r="G1423" s="329">
        <f t="shared" si="86"/>
        <v>18.55</v>
      </c>
      <c r="H1423" s="329">
        <v>17.5</v>
      </c>
      <c r="I1423" s="329">
        <f t="shared" si="87"/>
        <v>17.883333333333333</v>
      </c>
      <c r="L1423" s="331">
        <v>40690</v>
      </c>
      <c r="M1423" s="329">
        <v>20.716666666666669</v>
      </c>
      <c r="N1423" s="329">
        <v>22.933333333333337</v>
      </c>
      <c r="O1423" s="329">
        <v>18.55</v>
      </c>
      <c r="P1423" s="329">
        <v>17.883333333333333</v>
      </c>
    </row>
    <row r="1424" spans="1:16">
      <c r="A1424" s="331">
        <v>40690</v>
      </c>
      <c r="B1424" s="329">
        <v>20.7</v>
      </c>
      <c r="C1424" s="329">
        <f t="shared" si="88"/>
        <v>20.716666666666669</v>
      </c>
      <c r="D1424" s="329">
        <v>22.9</v>
      </c>
      <c r="E1424" s="329">
        <f t="shared" si="85"/>
        <v>22.933333333333337</v>
      </c>
      <c r="F1424" s="329">
        <v>19.100000000000001</v>
      </c>
      <c r="G1424" s="329">
        <f t="shared" si="86"/>
        <v>18.55</v>
      </c>
      <c r="H1424" s="329">
        <v>17.7</v>
      </c>
      <c r="I1424" s="329">
        <f t="shared" si="87"/>
        <v>17.883333333333333</v>
      </c>
      <c r="L1424" s="331">
        <v>40690</v>
      </c>
      <c r="M1424" s="329">
        <v>20.716666666666669</v>
      </c>
      <c r="N1424" s="329">
        <v>22.933333333333337</v>
      </c>
      <c r="O1424" s="329">
        <v>18.55</v>
      </c>
      <c r="P1424" s="329">
        <v>17.883333333333333</v>
      </c>
    </row>
    <row r="1425" spans="1:16">
      <c r="A1425" s="331">
        <v>40691</v>
      </c>
      <c r="B1425" s="329">
        <v>20.7</v>
      </c>
      <c r="C1425" s="329">
        <f t="shared" si="88"/>
        <v>20.666666666666668</v>
      </c>
      <c r="D1425" s="329">
        <v>22.9</v>
      </c>
      <c r="E1425" s="329">
        <f t="shared" si="85"/>
        <v>22.900000000000002</v>
      </c>
      <c r="F1425" s="329">
        <v>18</v>
      </c>
      <c r="G1425" s="329">
        <f t="shared" si="86"/>
        <v>18.166666666666668</v>
      </c>
      <c r="H1425" s="329">
        <v>17.8</v>
      </c>
      <c r="I1425" s="329">
        <f t="shared" si="87"/>
        <v>17.399999999999999</v>
      </c>
      <c r="L1425" s="331">
        <v>40691</v>
      </c>
      <c r="M1425" s="329">
        <v>20.666666666666668</v>
      </c>
      <c r="N1425" s="329">
        <v>22.900000000000002</v>
      </c>
      <c r="O1425" s="329">
        <v>18.166666666666668</v>
      </c>
      <c r="P1425" s="329">
        <v>17.399999999999999</v>
      </c>
    </row>
    <row r="1426" spans="1:16">
      <c r="A1426" s="331">
        <v>40691</v>
      </c>
      <c r="B1426" s="329">
        <v>20.7</v>
      </c>
      <c r="C1426" s="329">
        <f t="shared" si="88"/>
        <v>20.666666666666668</v>
      </c>
      <c r="D1426" s="329">
        <v>22.9</v>
      </c>
      <c r="E1426" s="329">
        <f t="shared" si="85"/>
        <v>22.900000000000002</v>
      </c>
      <c r="F1426" s="329">
        <v>17.2</v>
      </c>
      <c r="G1426" s="329">
        <f t="shared" si="86"/>
        <v>18.166666666666668</v>
      </c>
      <c r="H1426" s="329">
        <v>17.600000000000001</v>
      </c>
      <c r="I1426" s="329">
        <f t="shared" si="87"/>
        <v>17.399999999999999</v>
      </c>
      <c r="L1426" s="331">
        <v>40691</v>
      </c>
      <c r="M1426" s="329">
        <v>20.666666666666668</v>
      </c>
      <c r="N1426" s="329">
        <v>22.900000000000002</v>
      </c>
      <c r="O1426" s="329">
        <v>18.166666666666668</v>
      </c>
      <c r="P1426" s="329">
        <v>17.399999999999999</v>
      </c>
    </row>
    <row r="1427" spans="1:16">
      <c r="A1427" s="331">
        <v>40691</v>
      </c>
      <c r="B1427" s="329">
        <v>20.6</v>
      </c>
      <c r="C1427" s="329">
        <f t="shared" si="88"/>
        <v>20.666666666666668</v>
      </c>
      <c r="D1427" s="329">
        <v>22.9</v>
      </c>
      <c r="E1427" s="329">
        <f t="shared" si="85"/>
        <v>22.900000000000002</v>
      </c>
      <c r="F1427" s="329">
        <v>16.3</v>
      </c>
      <c r="G1427" s="329">
        <f t="shared" si="86"/>
        <v>18.166666666666668</v>
      </c>
      <c r="H1427" s="329">
        <v>17.3</v>
      </c>
      <c r="I1427" s="329">
        <f t="shared" si="87"/>
        <v>17.399999999999999</v>
      </c>
      <c r="L1427" s="331">
        <v>40691</v>
      </c>
      <c r="M1427" s="329">
        <v>20.666666666666668</v>
      </c>
      <c r="N1427" s="329">
        <v>22.900000000000002</v>
      </c>
      <c r="O1427" s="329">
        <v>18.166666666666668</v>
      </c>
      <c r="P1427" s="329">
        <v>17.399999999999999</v>
      </c>
    </row>
    <row r="1428" spans="1:16">
      <c r="A1428" s="331">
        <v>40691</v>
      </c>
      <c r="B1428" s="329">
        <v>20.6</v>
      </c>
      <c r="C1428" s="329">
        <f t="shared" si="88"/>
        <v>20.666666666666668</v>
      </c>
      <c r="D1428" s="329">
        <v>22.9</v>
      </c>
      <c r="E1428" s="329">
        <f t="shared" si="85"/>
        <v>22.900000000000002</v>
      </c>
      <c r="F1428" s="329">
        <v>17.399999999999999</v>
      </c>
      <c r="G1428" s="329">
        <f t="shared" si="86"/>
        <v>18.166666666666668</v>
      </c>
      <c r="H1428" s="329">
        <v>16.899999999999999</v>
      </c>
      <c r="I1428" s="329">
        <f t="shared" si="87"/>
        <v>17.399999999999999</v>
      </c>
      <c r="L1428" s="331">
        <v>40691</v>
      </c>
      <c r="M1428" s="329">
        <v>20.666666666666668</v>
      </c>
      <c r="N1428" s="329">
        <v>22.900000000000002</v>
      </c>
      <c r="O1428" s="329">
        <v>18.166666666666668</v>
      </c>
      <c r="P1428" s="329">
        <v>17.399999999999999</v>
      </c>
    </row>
    <row r="1429" spans="1:16">
      <c r="A1429" s="331">
        <v>40691</v>
      </c>
      <c r="B1429" s="329">
        <v>20.7</v>
      </c>
      <c r="C1429" s="329">
        <f t="shared" si="88"/>
        <v>20.666666666666668</v>
      </c>
      <c r="D1429" s="329">
        <v>22.9</v>
      </c>
      <c r="E1429" s="329">
        <f t="shared" si="85"/>
        <v>22.900000000000002</v>
      </c>
      <c r="F1429" s="329">
        <v>19.7</v>
      </c>
      <c r="G1429" s="329">
        <f t="shared" si="86"/>
        <v>18.166666666666668</v>
      </c>
      <c r="H1429" s="329">
        <v>17.100000000000001</v>
      </c>
      <c r="I1429" s="329">
        <f t="shared" si="87"/>
        <v>17.399999999999999</v>
      </c>
      <c r="L1429" s="331">
        <v>40691</v>
      </c>
      <c r="M1429" s="329">
        <v>20.666666666666668</v>
      </c>
      <c r="N1429" s="329">
        <v>22.900000000000002</v>
      </c>
      <c r="O1429" s="329">
        <v>18.166666666666668</v>
      </c>
      <c r="P1429" s="329">
        <v>17.399999999999999</v>
      </c>
    </row>
    <row r="1430" spans="1:16">
      <c r="A1430" s="331">
        <v>40691</v>
      </c>
      <c r="B1430" s="329">
        <v>20.7</v>
      </c>
      <c r="C1430" s="329">
        <f t="shared" si="88"/>
        <v>20.666666666666668</v>
      </c>
      <c r="D1430" s="329">
        <v>22.9</v>
      </c>
      <c r="E1430" s="329">
        <f t="shared" si="85"/>
        <v>22.900000000000002</v>
      </c>
      <c r="F1430" s="329">
        <v>20.399999999999999</v>
      </c>
      <c r="G1430" s="329">
        <f t="shared" si="86"/>
        <v>18.166666666666668</v>
      </c>
      <c r="H1430" s="329">
        <v>17.7</v>
      </c>
      <c r="I1430" s="329">
        <f t="shared" si="87"/>
        <v>17.399999999999999</v>
      </c>
      <c r="L1430" s="331">
        <v>40691</v>
      </c>
      <c r="M1430" s="329">
        <v>20.666666666666668</v>
      </c>
      <c r="N1430" s="329">
        <v>22.900000000000002</v>
      </c>
      <c r="O1430" s="329">
        <v>18.166666666666668</v>
      </c>
      <c r="P1430" s="329">
        <v>17.399999999999999</v>
      </c>
    </row>
    <row r="1431" spans="1:16">
      <c r="A1431" s="331">
        <v>40692</v>
      </c>
      <c r="B1431" s="329">
        <v>20.8</v>
      </c>
      <c r="C1431" s="329">
        <f t="shared" si="88"/>
        <v>20.7</v>
      </c>
      <c r="D1431" s="329">
        <v>22.9</v>
      </c>
      <c r="E1431" s="329">
        <f t="shared" si="85"/>
        <v>22.900000000000002</v>
      </c>
      <c r="F1431" s="329">
        <v>18.899999999999999</v>
      </c>
      <c r="G1431" s="329">
        <f t="shared" si="86"/>
        <v>18.916666666666668</v>
      </c>
      <c r="H1431" s="329">
        <v>18.100000000000001</v>
      </c>
      <c r="I1431" s="329">
        <f t="shared" si="87"/>
        <v>17.75</v>
      </c>
      <c r="L1431" s="331">
        <v>40692</v>
      </c>
      <c r="M1431" s="329">
        <v>20.7</v>
      </c>
      <c r="N1431" s="329">
        <v>22.900000000000002</v>
      </c>
      <c r="O1431" s="329">
        <v>18.916666666666668</v>
      </c>
      <c r="P1431" s="329">
        <v>17.75</v>
      </c>
    </row>
    <row r="1432" spans="1:16">
      <c r="A1432" s="331">
        <v>40692</v>
      </c>
      <c r="B1432" s="329">
        <v>20.7</v>
      </c>
      <c r="C1432" s="329">
        <f t="shared" si="88"/>
        <v>20.7</v>
      </c>
      <c r="D1432" s="329">
        <v>22.9</v>
      </c>
      <c r="E1432" s="329">
        <f t="shared" si="85"/>
        <v>22.900000000000002</v>
      </c>
      <c r="F1432" s="329">
        <v>17.3</v>
      </c>
      <c r="G1432" s="329">
        <f t="shared" si="86"/>
        <v>18.916666666666668</v>
      </c>
      <c r="H1432" s="329">
        <v>18</v>
      </c>
      <c r="I1432" s="329">
        <f t="shared" si="87"/>
        <v>17.75</v>
      </c>
      <c r="L1432" s="331">
        <v>40692</v>
      </c>
      <c r="M1432" s="329">
        <v>20.7</v>
      </c>
      <c r="N1432" s="329">
        <v>22.900000000000002</v>
      </c>
      <c r="O1432" s="329">
        <v>18.916666666666668</v>
      </c>
      <c r="P1432" s="329">
        <v>17.75</v>
      </c>
    </row>
    <row r="1433" spans="1:16">
      <c r="A1433" s="331">
        <v>40692</v>
      </c>
      <c r="B1433" s="329">
        <v>20.6</v>
      </c>
      <c r="C1433" s="329">
        <f t="shared" si="88"/>
        <v>20.7</v>
      </c>
      <c r="D1433" s="329">
        <v>22.9</v>
      </c>
      <c r="E1433" s="329">
        <f t="shared" si="85"/>
        <v>22.900000000000002</v>
      </c>
      <c r="F1433" s="329">
        <v>16.5</v>
      </c>
      <c r="G1433" s="329">
        <f t="shared" si="86"/>
        <v>18.916666666666668</v>
      </c>
      <c r="H1433" s="329">
        <v>17.5</v>
      </c>
      <c r="I1433" s="329">
        <f t="shared" si="87"/>
        <v>17.75</v>
      </c>
      <c r="L1433" s="331">
        <v>40692</v>
      </c>
      <c r="M1433" s="329">
        <v>20.7</v>
      </c>
      <c r="N1433" s="329">
        <v>22.900000000000002</v>
      </c>
      <c r="O1433" s="329">
        <v>18.916666666666668</v>
      </c>
      <c r="P1433" s="329">
        <v>17.75</v>
      </c>
    </row>
    <row r="1434" spans="1:16">
      <c r="A1434" s="331">
        <v>40692</v>
      </c>
      <c r="B1434" s="329">
        <v>20.6</v>
      </c>
      <c r="C1434" s="329">
        <f t="shared" si="88"/>
        <v>20.7</v>
      </c>
      <c r="D1434" s="329">
        <v>22.9</v>
      </c>
      <c r="E1434" s="329">
        <f t="shared" si="85"/>
        <v>22.900000000000002</v>
      </c>
      <c r="F1434" s="329">
        <v>18</v>
      </c>
      <c r="G1434" s="329">
        <f t="shared" si="86"/>
        <v>18.916666666666668</v>
      </c>
      <c r="H1434" s="329">
        <v>17.2</v>
      </c>
      <c r="I1434" s="329">
        <f t="shared" si="87"/>
        <v>17.75</v>
      </c>
      <c r="L1434" s="331">
        <v>40692</v>
      </c>
      <c r="M1434" s="329">
        <v>20.7</v>
      </c>
      <c r="N1434" s="329">
        <v>22.900000000000002</v>
      </c>
      <c r="O1434" s="329">
        <v>18.916666666666668</v>
      </c>
      <c r="P1434" s="329">
        <v>17.75</v>
      </c>
    </row>
    <row r="1435" spans="1:16">
      <c r="A1435" s="331">
        <v>40692</v>
      </c>
      <c r="B1435" s="329">
        <v>20.7</v>
      </c>
      <c r="C1435" s="329">
        <f t="shared" si="88"/>
        <v>20.7</v>
      </c>
      <c r="D1435" s="329">
        <v>22.9</v>
      </c>
      <c r="E1435" s="329">
        <f t="shared" si="85"/>
        <v>22.900000000000002</v>
      </c>
      <c r="F1435" s="329">
        <v>20.9</v>
      </c>
      <c r="G1435" s="329">
        <f t="shared" si="86"/>
        <v>18.916666666666668</v>
      </c>
      <c r="H1435" s="329">
        <v>17.5</v>
      </c>
      <c r="I1435" s="329">
        <f t="shared" si="87"/>
        <v>17.75</v>
      </c>
      <c r="L1435" s="331">
        <v>40692</v>
      </c>
      <c r="M1435" s="329">
        <v>20.7</v>
      </c>
      <c r="N1435" s="329">
        <v>22.900000000000002</v>
      </c>
      <c r="O1435" s="329">
        <v>18.916666666666668</v>
      </c>
      <c r="P1435" s="329">
        <v>17.75</v>
      </c>
    </row>
    <row r="1436" spans="1:16">
      <c r="A1436" s="331">
        <v>40692</v>
      </c>
      <c r="B1436" s="329">
        <v>20.8</v>
      </c>
      <c r="C1436" s="329">
        <f t="shared" si="88"/>
        <v>20.7</v>
      </c>
      <c r="D1436" s="329">
        <v>22.9</v>
      </c>
      <c r="E1436" s="329">
        <f t="shared" si="85"/>
        <v>22.900000000000002</v>
      </c>
      <c r="F1436" s="329">
        <v>21.9</v>
      </c>
      <c r="G1436" s="329">
        <f t="shared" si="86"/>
        <v>18.916666666666668</v>
      </c>
      <c r="H1436" s="329">
        <v>18.2</v>
      </c>
      <c r="I1436" s="329">
        <f t="shared" si="87"/>
        <v>17.75</v>
      </c>
      <c r="L1436" s="331">
        <v>40692</v>
      </c>
      <c r="M1436" s="329">
        <v>20.7</v>
      </c>
      <c r="N1436" s="329">
        <v>22.900000000000002</v>
      </c>
      <c r="O1436" s="329">
        <v>18.916666666666668</v>
      </c>
      <c r="P1436" s="329">
        <v>17.75</v>
      </c>
    </row>
    <row r="1437" spans="1:16">
      <c r="A1437" s="331">
        <v>40693</v>
      </c>
      <c r="B1437" s="329">
        <v>20.9</v>
      </c>
      <c r="C1437" s="329">
        <f t="shared" si="88"/>
        <v>20.783333333333335</v>
      </c>
      <c r="D1437" s="329">
        <v>23</v>
      </c>
      <c r="E1437" s="329">
        <f t="shared" si="85"/>
        <v>23</v>
      </c>
      <c r="F1437" s="329">
        <v>20.8</v>
      </c>
      <c r="G1437" s="329">
        <f t="shared" si="86"/>
        <v>19.966666666666665</v>
      </c>
      <c r="H1437" s="329">
        <v>18.8</v>
      </c>
      <c r="I1437" s="329">
        <f t="shared" si="87"/>
        <v>18.633333333333333</v>
      </c>
      <c r="L1437" s="331">
        <v>40693</v>
      </c>
      <c r="M1437" s="329">
        <v>20.783333333333335</v>
      </c>
      <c r="N1437" s="329">
        <v>23</v>
      </c>
      <c r="O1437" s="329">
        <v>19.966666666666665</v>
      </c>
      <c r="P1437" s="329">
        <v>18.633333333333333</v>
      </c>
    </row>
    <row r="1438" spans="1:16">
      <c r="A1438" s="331">
        <v>40693</v>
      </c>
      <c r="B1438" s="329">
        <v>20.8</v>
      </c>
      <c r="C1438" s="329">
        <f t="shared" si="88"/>
        <v>20.783333333333335</v>
      </c>
      <c r="D1438" s="329">
        <v>23</v>
      </c>
      <c r="E1438" s="329">
        <f t="shared" si="85"/>
        <v>23</v>
      </c>
      <c r="F1438" s="329">
        <v>19.399999999999999</v>
      </c>
      <c r="G1438" s="329">
        <f t="shared" si="86"/>
        <v>19.966666666666665</v>
      </c>
      <c r="H1438" s="329">
        <v>18.8</v>
      </c>
      <c r="I1438" s="329">
        <f t="shared" si="87"/>
        <v>18.633333333333333</v>
      </c>
      <c r="L1438" s="331">
        <v>40693</v>
      </c>
      <c r="M1438" s="329">
        <v>20.783333333333335</v>
      </c>
      <c r="N1438" s="329">
        <v>23</v>
      </c>
      <c r="O1438" s="329">
        <v>19.966666666666665</v>
      </c>
      <c r="P1438" s="329">
        <v>18.633333333333333</v>
      </c>
    </row>
    <row r="1439" spans="1:16">
      <c r="A1439" s="331">
        <v>40693</v>
      </c>
      <c r="B1439" s="329">
        <v>20.7</v>
      </c>
      <c r="C1439" s="329">
        <f t="shared" si="88"/>
        <v>20.783333333333335</v>
      </c>
      <c r="D1439" s="329">
        <v>23</v>
      </c>
      <c r="E1439" s="329">
        <f t="shared" si="85"/>
        <v>23</v>
      </c>
      <c r="F1439" s="329">
        <v>18.8</v>
      </c>
      <c r="G1439" s="329">
        <f t="shared" si="86"/>
        <v>19.966666666666665</v>
      </c>
      <c r="H1439" s="329">
        <v>18.600000000000001</v>
      </c>
      <c r="I1439" s="329">
        <f t="shared" si="87"/>
        <v>18.633333333333333</v>
      </c>
      <c r="L1439" s="331">
        <v>40693</v>
      </c>
      <c r="M1439" s="329">
        <v>20.783333333333335</v>
      </c>
      <c r="N1439" s="329">
        <v>23</v>
      </c>
      <c r="O1439" s="329">
        <v>19.966666666666665</v>
      </c>
      <c r="P1439" s="329">
        <v>18.633333333333333</v>
      </c>
    </row>
    <row r="1440" spans="1:16">
      <c r="A1440" s="331">
        <v>40693</v>
      </c>
      <c r="B1440" s="329">
        <v>20.7</v>
      </c>
      <c r="C1440" s="329">
        <f t="shared" si="88"/>
        <v>20.783333333333335</v>
      </c>
      <c r="D1440" s="329">
        <v>23</v>
      </c>
      <c r="E1440" s="329">
        <f t="shared" si="85"/>
        <v>23</v>
      </c>
      <c r="F1440" s="329">
        <v>19.600000000000001</v>
      </c>
      <c r="G1440" s="329">
        <f t="shared" si="86"/>
        <v>19.966666666666665</v>
      </c>
      <c r="H1440" s="329">
        <v>18.399999999999999</v>
      </c>
      <c r="I1440" s="329">
        <f t="shared" si="87"/>
        <v>18.633333333333333</v>
      </c>
      <c r="L1440" s="331">
        <v>40693</v>
      </c>
      <c r="M1440" s="329">
        <v>20.783333333333335</v>
      </c>
      <c r="N1440" s="329">
        <v>23</v>
      </c>
      <c r="O1440" s="329">
        <v>19.966666666666665</v>
      </c>
      <c r="P1440" s="329">
        <v>18.633333333333333</v>
      </c>
    </row>
    <row r="1441" spans="1:16">
      <c r="A1441" s="331">
        <v>40693</v>
      </c>
      <c r="B1441" s="329">
        <v>20.8</v>
      </c>
      <c r="C1441" s="329">
        <f t="shared" si="88"/>
        <v>20.783333333333335</v>
      </c>
      <c r="D1441" s="329">
        <v>23</v>
      </c>
      <c r="E1441" s="329">
        <f t="shared" si="85"/>
        <v>23</v>
      </c>
      <c r="F1441" s="329">
        <v>20.5</v>
      </c>
      <c r="G1441" s="329">
        <f t="shared" si="86"/>
        <v>19.966666666666665</v>
      </c>
      <c r="H1441" s="329">
        <v>18.5</v>
      </c>
      <c r="I1441" s="329">
        <f t="shared" si="87"/>
        <v>18.633333333333333</v>
      </c>
      <c r="L1441" s="331">
        <v>40693</v>
      </c>
      <c r="M1441" s="329">
        <v>20.783333333333335</v>
      </c>
      <c r="N1441" s="329">
        <v>23</v>
      </c>
      <c r="O1441" s="329">
        <v>19.966666666666665</v>
      </c>
      <c r="P1441" s="329">
        <v>18.633333333333333</v>
      </c>
    </row>
    <row r="1442" spans="1:16">
      <c r="A1442" s="331">
        <v>40693</v>
      </c>
      <c r="B1442" s="329">
        <v>20.8</v>
      </c>
      <c r="C1442" s="329">
        <f t="shared" si="88"/>
        <v>20.783333333333335</v>
      </c>
      <c r="D1442" s="329">
        <v>23</v>
      </c>
      <c r="E1442" s="329">
        <f t="shared" ref="E1442:E1494" si="89">AVERAGEIFS($D$33:$D$1494,$A$33:$A$1494,A1442)</f>
        <v>23</v>
      </c>
      <c r="F1442" s="329">
        <v>20.7</v>
      </c>
      <c r="G1442" s="329">
        <f t="shared" ref="G1442:G1494" si="90">AVERAGEIFS($F$33:$F$1494,$A$33:$A$1494,A1442)</f>
        <v>19.966666666666665</v>
      </c>
      <c r="H1442" s="329">
        <v>18.7</v>
      </c>
      <c r="I1442" s="329">
        <f t="shared" ref="I1442:I1494" si="91">AVERAGEIFS($H$33:$H$1494,$A$33:$A$1494,A1442)</f>
        <v>18.633333333333333</v>
      </c>
      <c r="L1442" s="331">
        <v>40693</v>
      </c>
      <c r="M1442" s="329">
        <v>20.783333333333335</v>
      </c>
      <c r="N1442" s="329">
        <v>23</v>
      </c>
      <c r="O1442" s="329">
        <v>19.966666666666665</v>
      </c>
      <c r="P1442" s="329">
        <v>18.633333333333333</v>
      </c>
    </row>
    <row r="1443" spans="1:16">
      <c r="A1443" s="331">
        <v>40694</v>
      </c>
      <c r="B1443" s="329">
        <v>26.5</v>
      </c>
      <c r="C1443" s="329">
        <f t="shared" si="88"/>
        <v>26.216666666666669</v>
      </c>
      <c r="D1443" s="329">
        <v>23</v>
      </c>
      <c r="E1443" s="329">
        <f t="shared" si="89"/>
        <v>23</v>
      </c>
      <c r="F1443" s="329">
        <v>19.5</v>
      </c>
      <c r="G1443" s="329">
        <f t="shared" si="90"/>
        <v>18.166666666666668</v>
      </c>
      <c r="H1443" s="329">
        <v>18.7</v>
      </c>
      <c r="I1443" s="329">
        <f t="shared" si="91"/>
        <v>18.083333333333332</v>
      </c>
      <c r="L1443" s="331">
        <v>40694</v>
      </c>
      <c r="M1443" s="329">
        <v>26.216666666666669</v>
      </c>
      <c r="N1443" s="329">
        <v>23</v>
      </c>
      <c r="O1443" s="329">
        <v>18.166666666666668</v>
      </c>
      <c r="P1443" s="329">
        <v>18.083333333333332</v>
      </c>
    </row>
    <row r="1444" spans="1:16">
      <c r="A1444" s="331">
        <v>40694</v>
      </c>
      <c r="B1444" s="329">
        <v>26.8</v>
      </c>
      <c r="C1444" s="329">
        <f t="shared" si="88"/>
        <v>26.216666666666669</v>
      </c>
      <c r="D1444" s="329">
        <v>23</v>
      </c>
      <c r="E1444" s="329">
        <f t="shared" si="89"/>
        <v>23</v>
      </c>
      <c r="F1444" s="329">
        <v>18.7</v>
      </c>
      <c r="G1444" s="329">
        <f t="shared" si="90"/>
        <v>18.166666666666668</v>
      </c>
      <c r="H1444" s="329">
        <v>18.600000000000001</v>
      </c>
      <c r="I1444" s="329">
        <f t="shared" si="91"/>
        <v>18.083333333333332</v>
      </c>
      <c r="L1444" s="331">
        <v>40694</v>
      </c>
      <c r="M1444" s="329">
        <v>26.216666666666669</v>
      </c>
      <c r="N1444" s="329">
        <v>23</v>
      </c>
      <c r="O1444" s="329">
        <v>18.166666666666668</v>
      </c>
      <c r="P1444" s="329">
        <v>18.083333333333332</v>
      </c>
    </row>
    <row r="1445" spans="1:16">
      <c r="A1445" s="331">
        <v>40694</v>
      </c>
      <c r="B1445" s="329">
        <v>26.5</v>
      </c>
      <c r="C1445" s="329">
        <f t="shared" si="88"/>
        <v>26.216666666666669</v>
      </c>
      <c r="D1445" s="329">
        <v>23</v>
      </c>
      <c r="E1445" s="329">
        <f t="shared" si="89"/>
        <v>23</v>
      </c>
      <c r="F1445" s="329">
        <v>17.899999999999999</v>
      </c>
      <c r="G1445" s="329">
        <f t="shared" si="90"/>
        <v>18.166666666666668</v>
      </c>
      <c r="H1445" s="329">
        <v>18.2</v>
      </c>
      <c r="I1445" s="329">
        <f t="shared" si="91"/>
        <v>18.083333333333332</v>
      </c>
      <c r="L1445" s="331">
        <v>40694</v>
      </c>
      <c r="M1445" s="329">
        <v>26.216666666666669</v>
      </c>
      <c r="N1445" s="329">
        <v>23</v>
      </c>
      <c r="O1445" s="329">
        <v>18.166666666666668</v>
      </c>
      <c r="P1445" s="329">
        <v>18.083333333333332</v>
      </c>
    </row>
    <row r="1446" spans="1:16">
      <c r="A1446" s="331">
        <v>40694</v>
      </c>
      <c r="B1446" s="329">
        <v>26.1</v>
      </c>
      <c r="C1446" s="329">
        <f t="shared" si="88"/>
        <v>26.216666666666669</v>
      </c>
      <c r="D1446" s="329">
        <v>23</v>
      </c>
      <c r="E1446" s="329">
        <f t="shared" si="89"/>
        <v>23</v>
      </c>
      <c r="F1446" s="329">
        <v>17.7</v>
      </c>
      <c r="G1446" s="329">
        <f t="shared" si="90"/>
        <v>18.166666666666668</v>
      </c>
      <c r="H1446" s="329">
        <v>17.899999999999999</v>
      </c>
      <c r="I1446" s="329">
        <f t="shared" si="91"/>
        <v>18.083333333333332</v>
      </c>
      <c r="L1446" s="331">
        <v>40694</v>
      </c>
      <c r="M1446" s="329">
        <v>26.216666666666669</v>
      </c>
      <c r="N1446" s="329">
        <v>23</v>
      </c>
      <c r="O1446" s="329">
        <v>18.166666666666668</v>
      </c>
      <c r="P1446" s="329">
        <v>18.083333333333332</v>
      </c>
    </row>
    <row r="1447" spans="1:16">
      <c r="A1447" s="331">
        <v>40694</v>
      </c>
      <c r="B1447" s="329">
        <v>25.8</v>
      </c>
      <c r="C1447" s="329">
        <f t="shared" si="88"/>
        <v>26.216666666666669</v>
      </c>
      <c r="D1447" s="329">
        <v>23</v>
      </c>
      <c r="E1447" s="329">
        <f t="shared" si="89"/>
        <v>23</v>
      </c>
      <c r="F1447" s="329">
        <v>17.600000000000001</v>
      </c>
      <c r="G1447" s="329">
        <f t="shared" si="90"/>
        <v>18.166666666666668</v>
      </c>
      <c r="H1447" s="329">
        <v>17.600000000000001</v>
      </c>
      <c r="I1447" s="329">
        <f t="shared" si="91"/>
        <v>18.083333333333332</v>
      </c>
      <c r="L1447" s="331">
        <v>40694</v>
      </c>
      <c r="M1447" s="329">
        <v>26.216666666666669</v>
      </c>
      <c r="N1447" s="329">
        <v>23</v>
      </c>
      <c r="O1447" s="329">
        <v>18.166666666666668</v>
      </c>
      <c r="P1447" s="329">
        <v>18.083333333333332</v>
      </c>
    </row>
    <row r="1448" spans="1:16">
      <c r="A1448" s="331">
        <v>40694</v>
      </c>
      <c r="B1448" s="329">
        <v>25.6</v>
      </c>
      <c r="C1448" s="329">
        <f t="shared" ref="C1448:C1494" si="92">AVERAGEIFS($B$33:$B$1494,$A$33:$A$1494,A1448)</f>
        <v>26.216666666666669</v>
      </c>
      <c r="D1448" s="329">
        <v>23</v>
      </c>
      <c r="E1448" s="329">
        <f t="shared" si="89"/>
        <v>23</v>
      </c>
      <c r="F1448" s="329">
        <v>17.600000000000001</v>
      </c>
      <c r="G1448" s="329">
        <f t="shared" si="90"/>
        <v>18.166666666666668</v>
      </c>
      <c r="H1448" s="329">
        <v>17.5</v>
      </c>
      <c r="I1448" s="329">
        <f t="shared" si="91"/>
        <v>18.083333333333332</v>
      </c>
      <c r="L1448" s="331">
        <v>40694</v>
      </c>
      <c r="M1448" s="329">
        <v>26.216666666666669</v>
      </c>
      <c r="N1448" s="329">
        <v>23</v>
      </c>
      <c r="O1448" s="329">
        <v>18.166666666666668</v>
      </c>
      <c r="P1448" s="329">
        <v>18.083333333333332</v>
      </c>
    </row>
    <row r="1449" spans="1:16">
      <c r="A1449" s="331">
        <v>40695</v>
      </c>
      <c r="B1449" s="329">
        <v>25.4</v>
      </c>
      <c r="C1449" s="329">
        <f t="shared" si="92"/>
        <v>24.783333333333335</v>
      </c>
      <c r="D1449" s="329">
        <v>23</v>
      </c>
      <c r="E1449" s="329">
        <f t="shared" si="89"/>
        <v>22.933333333333337</v>
      </c>
      <c r="F1449" s="329">
        <v>16.600000000000001</v>
      </c>
      <c r="G1449" s="329">
        <f t="shared" si="90"/>
        <v>15.600000000000001</v>
      </c>
      <c r="H1449" s="329">
        <v>17.3</v>
      </c>
      <c r="I1449" s="329">
        <f t="shared" si="91"/>
        <v>16.533333333333331</v>
      </c>
      <c r="L1449" s="331">
        <v>40695</v>
      </c>
      <c r="M1449" s="329">
        <v>24.783333333333335</v>
      </c>
      <c r="N1449" s="329">
        <v>22.933333333333337</v>
      </c>
      <c r="O1449" s="329">
        <v>15.600000000000001</v>
      </c>
      <c r="P1449" s="329">
        <v>16.533333333333331</v>
      </c>
    </row>
    <row r="1450" spans="1:16">
      <c r="A1450" s="331">
        <v>40695</v>
      </c>
      <c r="B1450" s="329">
        <v>25.1</v>
      </c>
      <c r="C1450" s="329">
        <f t="shared" si="92"/>
        <v>24.783333333333335</v>
      </c>
      <c r="D1450" s="329">
        <v>23</v>
      </c>
      <c r="E1450" s="329">
        <f t="shared" si="89"/>
        <v>22.933333333333337</v>
      </c>
      <c r="F1450" s="329">
        <v>15.6</v>
      </c>
      <c r="G1450" s="329">
        <f t="shared" si="90"/>
        <v>15.600000000000001</v>
      </c>
      <c r="H1450" s="329">
        <v>17</v>
      </c>
      <c r="I1450" s="329">
        <f t="shared" si="91"/>
        <v>16.533333333333331</v>
      </c>
      <c r="L1450" s="331">
        <v>40695</v>
      </c>
      <c r="M1450" s="329">
        <v>24.783333333333335</v>
      </c>
      <c r="N1450" s="329">
        <v>22.933333333333337</v>
      </c>
      <c r="O1450" s="329">
        <v>15.600000000000001</v>
      </c>
      <c r="P1450" s="329">
        <v>16.533333333333331</v>
      </c>
    </row>
    <row r="1451" spans="1:16">
      <c r="A1451" s="331">
        <v>40695</v>
      </c>
      <c r="B1451" s="329">
        <v>24.8</v>
      </c>
      <c r="C1451" s="329">
        <f t="shared" si="92"/>
        <v>24.783333333333335</v>
      </c>
      <c r="D1451" s="329">
        <v>22.9</v>
      </c>
      <c r="E1451" s="329">
        <f t="shared" si="89"/>
        <v>22.933333333333337</v>
      </c>
      <c r="F1451" s="329">
        <v>14.7</v>
      </c>
      <c r="G1451" s="329">
        <f t="shared" si="90"/>
        <v>15.600000000000001</v>
      </c>
      <c r="H1451" s="329">
        <v>16.5</v>
      </c>
      <c r="I1451" s="329">
        <f t="shared" si="91"/>
        <v>16.533333333333331</v>
      </c>
      <c r="L1451" s="331">
        <v>40695</v>
      </c>
      <c r="M1451" s="329">
        <v>24.783333333333335</v>
      </c>
      <c r="N1451" s="329">
        <v>22.933333333333337</v>
      </c>
      <c r="O1451" s="329">
        <v>15.600000000000001</v>
      </c>
      <c r="P1451" s="329">
        <v>16.533333333333331</v>
      </c>
    </row>
    <row r="1452" spans="1:16">
      <c r="A1452" s="331">
        <v>40695</v>
      </c>
      <c r="B1452" s="329">
        <v>24.6</v>
      </c>
      <c r="C1452" s="329">
        <f t="shared" si="92"/>
        <v>24.783333333333335</v>
      </c>
      <c r="D1452" s="329">
        <v>22.9</v>
      </c>
      <c r="E1452" s="329">
        <f t="shared" si="89"/>
        <v>22.933333333333337</v>
      </c>
      <c r="F1452" s="329">
        <v>15.3</v>
      </c>
      <c r="G1452" s="329">
        <f t="shared" si="90"/>
        <v>15.600000000000001</v>
      </c>
      <c r="H1452" s="329">
        <v>16.2</v>
      </c>
      <c r="I1452" s="329">
        <f t="shared" si="91"/>
        <v>16.533333333333331</v>
      </c>
      <c r="L1452" s="331">
        <v>40695</v>
      </c>
      <c r="M1452" s="329">
        <v>24.783333333333335</v>
      </c>
      <c r="N1452" s="329">
        <v>22.933333333333337</v>
      </c>
      <c r="O1452" s="329">
        <v>15.600000000000001</v>
      </c>
      <c r="P1452" s="329">
        <v>16.533333333333331</v>
      </c>
    </row>
    <row r="1453" spans="1:16">
      <c r="A1453" s="331">
        <v>40695</v>
      </c>
      <c r="B1453" s="329">
        <v>24.5</v>
      </c>
      <c r="C1453" s="329">
        <f t="shared" si="92"/>
        <v>24.783333333333335</v>
      </c>
      <c r="D1453" s="329">
        <v>22.9</v>
      </c>
      <c r="E1453" s="329">
        <f t="shared" si="89"/>
        <v>22.933333333333337</v>
      </c>
      <c r="F1453" s="329">
        <v>16</v>
      </c>
      <c r="G1453" s="329">
        <f t="shared" si="90"/>
        <v>15.600000000000001</v>
      </c>
      <c r="H1453" s="329">
        <v>16.100000000000001</v>
      </c>
      <c r="I1453" s="329">
        <f t="shared" si="91"/>
        <v>16.533333333333331</v>
      </c>
      <c r="L1453" s="331">
        <v>40695</v>
      </c>
      <c r="M1453" s="329">
        <v>24.783333333333335</v>
      </c>
      <c r="N1453" s="329">
        <v>22.933333333333337</v>
      </c>
      <c r="O1453" s="329">
        <v>15.600000000000001</v>
      </c>
      <c r="P1453" s="329">
        <v>16.533333333333331</v>
      </c>
    </row>
    <row r="1454" spans="1:16">
      <c r="A1454" s="331">
        <v>40695</v>
      </c>
      <c r="B1454" s="329">
        <v>24.3</v>
      </c>
      <c r="C1454" s="329">
        <f t="shared" si="92"/>
        <v>24.783333333333335</v>
      </c>
      <c r="D1454" s="329">
        <v>22.9</v>
      </c>
      <c r="E1454" s="329">
        <f t="shared" si="89"/>
        <v>22.933333333333337</v>
      </c>
      <c r="F1454" s="329">
        <v>15.4</v>
      </c>
      <c r="G1454" s="329">
        <f t="shared" si="90"/>
        <v>15.600000000000001</v>
      </c>
      <c r="H1454" s="329">
        <v>16.100000000000001</v>
      </c>
      <c r="I1454" s="329">
        <f t="shared" si="91"/>
        <v>16.533333333333331</v>
      </c>
      <c r="L1454" s="331">
        <v>40695</v>
      </c>
      <c r="M1454" s="329">
        <v>24.783333333333335</v>
      </c>
      <c r="N1454" s="329">
        <v>22.933333333333337</v>
      </c>
      <c r="O1454" s="329">
        <v>15.600000000000001</v>
      </c>
      <c r="P1454" s="329">
        <v>16.533333333333331</v>
      </c>
    </row>
    <row r="1455" spans="1:16">
      <c r="A1455" s="331">
        <v>40696</v>
      </c>
      <c r="B1455" s="329">
        <v>24.2</v>
      </c>
      <c r="C1455" s="329">
        <f t="shared" si="92"/>
        <v>23.849999999999998</v>
      </c>
      <c r="D1455" s="329">
        <v>22.9</v>
      </c>
      <c r="E1455" s="329">
        <f t="shared" si="89"/>
        <v>22.833333333333332</v>
      </c>
      <c r="F1455" s="329">
        <v>14.9</v>
      </c>
      <c r="G1455" s="329">
        <f t="shared" si="90"/>
        <v>14.850000000000001</v>
      </c>
      <c r="H1455" s="329">
        <v>15.9</v>
      </c>
      <c r="I1455" s="329">
        <f t="shared" si="91"/>
        <v>15.399999999999999</v>
      </c>
      <c r="L1455" s="331">
        <v>40696</v>
      </c>
      <c r="M1455" s="329">
        <v>23.849999999999998</v>
      </c>
      <c r="N1455" s="329">
        <v>22.833333333333332</v>
      </c>
      <c r="O1455" s="329">
        <v>14.850000000000001</v>
      </c>
      <c r="P1455" s="329">
        <v>15.399999999999999</v>
      </c>
    </row>
    <row r="1456" spans="1:16">
      <c r="A1456" s="331">
        <v>40696</v>
      </c>
      <c r="B1456" s="329">
        <v>24</v>
      </c>
      <c r="C1456" s="329">
        <f t="shared" si="92"/>
        <v>23.849999999999998</v>
      </c>
      <c r="D1456" s="329">
        <v>22.9</v>
      </c>
      <c r="E1456" s="329">
        <f t="shared" si="89"/>
        <v>22.833333333333332</v>
      </c>
      <c r="F1456" s="329">
        <v>14.3</v>
      </c>
      <c r="G1456" s="329">
        <f t="shared" si="90"/>
        <v>14.850000000000001</v>
      </c>
      <c r="H1456" s="329">
        <v>15.6</v>
      </c>
      <c r="I1456" s="329">
        <f t="shared" si="91"/>
        <v>15.399999999999999</v>
      </c>
      <c r="L1456" s="331">
        <v>40696</v>
      </c>
      <c r="M1456" s="329">
        <v>23.849999999999998</v>
      </c>
      <c r="N1456" s="329">
        <v>22.833333333333332</v>
      </c>
      <c r="O1456" s="329">
        <v>14.850000000000001</v>
      </c>
      <c r="P1456" s="329">
        <v>15.399999999999999</v>
      </c>
    </row>
    <row r="1457" spans="1:16">
      <c r="A1457" s="331">
        <v>40696</v>
      </c>
      <c r="B1457" s="329">
        <v>23.9</v>
      </c>
      <c r="C1457" s="329">
        <f t="shared" si="92"/>
        <v>23.849999999999998</v>
      </c>
      <c r="D1457" s="329">
        <v>22.8</v>
      </c>
      <c r="E1457" s="329">
        <f t="shared" si="89"/>
        <v>22.833333333333332</v>
      </c>
      <c r="F1457" s="329">
        <v>14</v>
      </c>
      <c r="G1457" s="329">
        <f t="shared" si="90"/>
        <v>14.850000000000001</v>
      </c>
      <c r="H1457" s="329">
        <v>15.4</v>
      </c>
      <c r="I1457" s="329">
        <f t="shared" si="91"/>
        <v>15.399999999999999</v>
      </c>
      <c r="L1457" s="331">
        <v>40696</v>
      </c>
      <c r="M1457" s="329">
        <v>23.849999999999998</v>
      </c>
      <c r="N1457" s="329">
        <v>22.833333333333332</v>
      </c>
      <c r="O1457" s="329">
        <v>14.850000000000001</v>
      </c>
      <c r="P1457" s="329">
        <v>15.399999999999999</v>
      </c>
    </row>
    <row r="1458" spans="1:16">
      <c r="A1458" s="331">
        <v>40696</v>
      </c>
      <c r="B1458" s="329">
        <v>23.7</v>
      </c>
      <c r="C1458" s="329">
        <f t="shared" si="92"/>
        <v>23.849999999999998</v>
      </c>
      <c r="D1458" s="329">
        <v>22.8</v>
      </c>
      <c r="E1458" s="329">
        <f t="shared" si="89"/>
        <v>22.833333333333332</v>
      </c>
      <c r="F1458" s="329">
        <v>14.4</v>
      </c>
      <c r="G1458" s="329">
        <f t="shared" si="90"/>
        <v>14.850000000000001</v>
      </c>
      <c r="H1458" s="329">
        <v>15.1</v>
      </c>
      <c r="I1458" s="329">
        <f t="shared" si="91"/>
        <v>15.399999999999999</v>
      </c>
      <c r="L1458" s="331">
        <v>40696</v>
      </c>
      <c r="M1458" s="329">
        <v>23.849999999999998</v>
      </c>
      <c r="N1458" s="329">
        <v>22.833333333333332</v>
      </c>
      <c r="O1458" s="329">
        <v>14.850000000000001</v>
      </c>
      <c r="P1458" s="329">
        <v>15.399999999999999</v>
      </c>
    </row>
    <row r="1459" spans="1:16">
      <c r="A1459" s="331">
        <v>40696</v>
      </c>
      <c r="B1459" s="329">
        <v>23.7</v>
      </c>
      <c r="C1459" s="329">
        <f t="shared" si="92"/>
        <v>23.849999999999998</v>
      </c>
      <c r="D1459" s="329">
        <v>22.8</v>
      </c>
      <c r="E1459" s="329">
        <f t="shared" si="89"/>
        <v>22.833333333333332</v>
      </c>
      <c r="F1459" s="329">
        <v>15.6</v>
      </c>
      <c r="G1459" s="329">
        <f t="shared" si="90"/>
        <v>14.850000000000001</v>
      </c>
      <c r="H1459" s="329">
        <v>15.1</v>
      </c>
      <c r="I1459" s="329">
        <f t="shared" si="91"/>
        <v>15.399999999999999</v>
      </c>
      <c r="L1459" s="331">
        <v>40696</v>
      </c>
      <c r="M1459" s="329">
        <v>23.849999999999998</v>
      </c>
      <c r="N1459" s="329">
        <v>22.833333333333332</v>
      </c>
      <c r="O1459" s="329">
        <v>14.850000000000001</v>
      </c>
      <c r="P1459" s="329">
        <v>15.399999999999999</v>
      </c>
    </row>
    <row r="1460" spans="1:16">
      <c r="A1460" s="331">
        <v>40696</v>
      </c>
      <c r="B1460" s="329">
        <v>23.6</v>
      </c>
      <c r="C1460" s="329">
        <f t="shared" si="92"/>
        <v>23.849999999999998</v>
      </c>
      <c r="D1460" s="329">
        <v>22.8</v>
      </c>
      <c r="E1460" s="329">
        <f t="shared" si="89"/>
        <v>22.833333333333332</v>
      </c>
      <c r="F1460" s="329">
        <v>15.9</v>
      </c>
      <c r="G1460" s="329">
        <f t="shared" si="90"/>
        <v>14.850000000000001</v>
      </c>
      <c r="H1460" s="329">
        <v>15.3</v>
      </c>
      <c r="I1460" s="329">
        <f t="shared" si="91"/>
        <v>15.399999999999999</v>
      </c>
      <c r="L1460" s="331">
        <v>40696</v>
      </c>
      <c r="M1460" s="329">
        <v>23.849999999999998</v>
      </c>
      <c r="N1460" s="329">
        <v>22.833333333333332</v>
      </c>
      <c r="O1460" s="329">
        <v>14.850000000000001</v>
      </c>
      <c r="P1460" s="329">
        <v>15.399999999999999</v>
      </c>
    </row>
    <row r="1461" spans="1:16">
      <c r="A1461" s="331">
        <v>40697</v>
      </c>
      <c r="B1461" s="329">
        <v>23.6</v>
      </c>
      <c r="C1461" s="329">
        <f t="shared" si="92"/>
        <v>23.55</v>
      </c>
      <c r="D1461" s="329">
        <v>22.8</v>
      </c>
      <c r="E1461" s="329">
        <f t="shared" si="89"/>
        <v>22.816666666666666</v>
      </c>
      <c r="F1461" s="329">
        <v>15.6</v>
      </c>
      <c r="G1461" s="329">
        <f t="shared" si="90"/>
        <v>16.166666666666668</v>
      </c>
      <c r="H1461" s="329">
        <v>15.4</v>
      </c>
      <c r="I1461" s="329">
        <f t="shared" si="91"/>
        <v>15.466666666666667</v>
      </c>
      <c r="L1461" s="331">
        <v>40697</v>
      </c>
      <c r="M1461" s="329">
        <v>23.55</v>
      </c>
      <c r="N1461" s="329">
        <v>22.816666666666666</v>
      </c>
      <c r="O1461" s="329">
        <v>16.166666666666668</v>
      </c>
      <c r="P1461" s="329">
        <v>15.466666666666667</v>
      </c>
    </row>
    <row r="1462" spans="1:16">
      <c r="A1462" s="331">
        <v>40697</v>
      </c>
      <c r="B1462" s="329">
        <v>23.6</v>
      </c>
      <c r="C1462" s="329">
        <f t="shared" si="92"/>
        <v>23.55</v>
      </c>
      <c r="D1462" s="329">
        <v>22.8</v>
      </c>
      <c r="E1462" s="329">
        <f t="shared" si="89"/>
        <v>22.816666666666666</v>
      </c>
      <c r="F1462" s="329">
        <v>15.1</v>
      </c>
      <c r="G1462" s="329">
        <f t="shared" si="90"/>
        <v>16.166666666666668</v>
      </c>
      <c r="H1462" s="329">
        <v>15.4</v>
      </c>
      <c r="I1462" s="329">
        <f t="shared" si="91"/>
        <v>15.466666666666667</v>
      </c>
      <c r="L1462" s="331">
        <v>40697</v>
      </c>
      <c r="M1462" s="329">
        <v>23.55</v>
      </c>
      <c r="N1462" s="329">
        <v>22.816666666666666</v>
      </c>
      <c r="O1462" s="329">
        <v>16.166666666666668</v>
      </c>
      <c r="P1462" s="329">
        <v>15.466666666666667</v>
      </c>
    </row>
    <row r="1463" spans="1:16">
      <c r="A1463" s="331">
        <v>40697</v>
      </c>
      <c r="B1463" s="329">
        <v>23.5</v>
      </c>
      <c r="C1463" s="329">
        <f t="shared" si="92"/>
        <v>23.55</v>
      </c>
      <c r="D1463" s="329">
        <v>22.8</v>
      </c>
      <c r="E1463" s="329">
        <f t="shared" si="89"/>
        <v>22.816666666666666</v>
      </c>
      <c r="F1463" s="329">
        <v>14.5</v>
      </c>
      <c r="G1463" s="329">
        <f t="shared" si="90"/>
        <v>16.166666666666668</v>
      </c>
      <c r="H1463" s="329">
        <v>15.3</v>
      </c>
      <c r="I1463" s="329">
        <f t="shared" si="91"/>
        <v>15.466666666666667</v>
      </c>
      <c r="L1463" s="331">
        <v>40697</v>
      </c>
      <c r="M1463" s="329">
        <v>23.55</v>
      </c>
      <c r="N1463" s="329">
        <v>22.816666666666666</v>
      </c>
      <c r="O1463" s="329">
        <v>16.166666666666668</v>
      </c>
      <c r="P1463" s="329">
        <v>15.466666666666667</v>
      </c>
    </row>
    <row r="1464" spans="1:16">
      <c r="A1464" s="331">
        <v>40697</v>
      </c>
      <c r="B1464" s="329">
        <v>23.5</v>
      </c>
      <c r="C1464" s="329">
        <f t="shared" si="92"/>
        <v>23.55</v>
      </c>
      <c r="D1464" s="329">
        <v>22.8</v>
      </c>
      <c r="E1464" s="329">
        <f t="shared" si="89"/>
        <v>22.816666666666666</v>
      </c>
      <c r="F1464" s="329">
        <v>15.7</v>
      </c>
      <c r="G1464" s="329">
        <f t="shared" si="90"/>
        <v>16.166666666666668</v>
      </c>
      <c r="H1464" s="329">
        <v>15.2</v>
      </c>
      <c r="I1464" s="329">
        <f t="shared" si="91"/>
        <v>15.466666666666667</v>
      </c>
      <c r="L1464" s="331">
        <v>40697</v>
      </c>
      <c r="M1464" s="329">
        <v>23.55</v>
      </c>
      <c r="N1464" s="329">
        <v>22.816666666666666</v>
      </c>
      <c r="O1464" s="329">
        <v>16.166666666666668</v>
      </c>
      <c r="P1464" s="329">
        <v>15.466666666666667</v>
      </c>
    </row>
    <row r="1465" spans="1:16">
      <c r="A1465" s="331">
        <v>40697</v>
      </c>
      <c r="B1465" s="329">
        <v>23.5</v>
      </c>
      <c r="C1465" s="329">
        <f t="shared" si="92"/>
        <v>23.55</v>
      </c>
      <c r="D1465" s="329">
        <v>22.8</v>
      </c>
      <c r="E1465" s="329">
        <f t="shared" si="89"/>
        <v>22.816666666666666</v>
      </c>
      <c r="F1465" s="329">
        <v>17.899999999999999</v>
      </c>
      <c r="G1465" s="329">
        <f t="shared" si="90"/>
        <v>16.166666666666668</v>
      </c>
      <c r="H1465" s="329">
        <v>15.5</v>
      </c>
      <c r="I1465" s="329">
        <f t="shared" si="91"/>
        <v>15.466666666666667</v>
      </c>
      <c r="L1465" s="331">
        <v>40697</v>
      </c>
      <c r="M1465" s="329">
        <v>23.55</v>
      </c>
      <c r="N1465" s="329">
        <v>22.816666666666666</v>
      </c>
      <c r="O1465" s="329">
        <v>16.166666666666668</v>
      </c>
      <c r="P1465" s="329">
        <v>15.466666666666667</v>
      </c>
    </row>
    <row r="1466" spans="1:16">
      <c r="A1466" s="331">
        <v>40697</v>
      </c>
      <c r="B1466" s="329">
        <v>23.6</v>
      </c>
      <c r="C1466" s="329">
        <f t="shared" si="92"/>
        <v>23.55</v>
      </c>
      <c r="D1466" s="329">
        <v>22.9</v>
      </c>
      <c r="E1466" s="329">
        <f t="shared" si="89"/>
        <v>22.816666666666666</v>
      </c>
      <c r="F1466" s="329">
        <v>18.2</v>
      </c>
      <c r="G1466" s="329">
        <f t="shared" si="90"/>
        <v>16.166666666666668</v>
      </c>
      <c r="H1466" s="329">
        <v>16</v>
      </c>
      <c r="I1466" s="329">
        <f t="shared" si="91"/>
        <v>15.466666666666667</v>
      </c>
      <c r="L1466" s="331">
        <v>40697</v>
      </c>
      <c r="M1466" s="329">
        <v>23.55</v>
      </c>
      <c r="N1466" s="329">
        <v>22.816666666666666</v>
      </c>
      <c r="O1466" s="329">
        <v>16.166666666666668</v>
      </c>
      <c r="P1466" s="329">
        <v>15.466666666666667</v>
      </c>
    </row>
    <row r="1467" spans="1:16">
      <c r="A1467" s="331">
        <v>40698</v>
      </c>
      <c r="B1467" s="329">
        <v>23.6</v>
      </c>
      <c r="C1467" s="329">
        <f t="shared" si="92"/>
        <v>23.533333333333331</v>
      </c>
      <c r="D1467" s="329">
        <v>22.9</v>
      </c>
      <c r="E1467" s="329">
        <f t="shared" si="89"/>
        <v>22.900000000000002</v>
      </c>
      <c r="F1467" s="329">
        <v>17.5</v>
      </c>
      <c r="G1467" s="329">
        <f t="shared" si="90"/>
        <v>16.966666666666665</v>
      </c>
      <c r="H1467" s="329">
        <v>16.3</v>
      </c>
      <c r="I1467" s="329">
        <f t="shared" si="91"/>
        <v>16.233333333333331</v>
      </c>
      <c r="L1467" s="331">
        <v>40698</v>
      </c>
      <c r="M1467" s="329">
        <v>23.533333333333331</v>
      </c>
      <c r="N1467" s="329">
        <v>22.900000000000002</v>
      </c>
      <c r="O1467" s="329">
        <v>16.966666666666665</v>
      </c>
      <c r="P1467" s="329">
        <v>16.233333333333331</v>
      </c>
    </row>
    <row r="1468" spans="1:16">
      <c r="A1468" s="331">
        <v>40698</v>
      </c>
      <c r="B1468" s="329">
        <v>23.6</v>
      </c>
      <c r="C1468" s="329">
        <f t="shared" si="92"/>
        <v>23.533333333333331</v>
      </c>
      <c r="D1468" s="329">
        <v>22.9</v>
      </c>
      <c r="E1468" s="329">
        <f t="shared" si="89"/>
        <v>22.900000000000002</v>
      </c>
      <c r="F1468" s="329">
        <v>16.7</v>
      </c>
      <c r="G1468" s="329">
        <f t="shared" si="90"/>
        <v>16.966666666666665</v>
      </c>
      <c r="H1468" s="329">
        <v>16.399999999999999</v>
      </c>
      <c r="I1468" s="329">
        <f t="shared" si="91"/>
        <v>16.233333333333331</v>
      </c>
      <c r="L1468" s="331">
        <v>40698</v>
      </c>
      <c r="M1468" s="329">
        <v>23.533333333333331</v>
      </c>
      <c r="N1468" s="329">
        <v>22.900000000000002</v>
      </c>
      <c r="O1468" s="329">
        <v>16.966666666666665</v>
      </c>
      <c r="P1468" s="329">
        <v>16.233333333333331</v>
      </c>
    </row>
    <row r="1469" spans="1:16">
      <c r="A1469" s="331">
        <v>40698</v>
      </c>
      <c r="B1469" s="329">
        <v>23.5</v>
      </c>
      <c r="C1469" s="329">
        <f t="shared" si="92"/>
        <v>23.533333333333331</v>
      </c>
      <c r="D1469" s="329">
        <v>22.9</v>
      </c>
      <c r="E1469" s="329">
        <f t="shared" si="89"/>
        <v>22.900000000000002</v>
      </c>
      <c r="F1469" s="329">
        <v>16</v>
      </c>
      <c r="G1469" s="329">
        <f t="shared" si="90"/>
        <v>16.966666666666665</v>
      </c>
      <c r="H1469" s="329">
        <v>16.2</v>
      </c>
      <c r="I1469" s="329">
        <f t="shared" si="91"/>
        <v>16.233333333333331</v>
      </c>
      <c r="L1469" s="331">
        <v>40698</v>
      </c>
      <c r="M1469" s="329">
        <v>23.533333333333331</v>
      </c>
      <c r="N1469" s="329">
        <v>22.900000000000002</v>
      </c>
      <c r="O1469" s="329">
        <v>16.966666666666665</v>
      </c>
      <c r="P1469" s="329">
        <v>16.233333333333331</v>
      </c>
    </row>
    <row r="1470" spans="1:16">
      <c r="A1470" s="331">
        <v>40698</v>
      </c>
      <c r="B1470" s="329">
        <v>23.5</v>
      </c>
      <c r="C1470" s="329">
        <f t="shared" si="92"/>
        <v>23.533333333333331</v>
      </c>
      <c r="D1470" s="329">
        <v>22.9</v>
      </c>
      <c r="E1470" s="329">
        <f t="shared" si="89"/>
        <v>22.900000000000002</v>
      </c>
      <c r="F1470" s="329">
        <v>16.399999999999999</v>
      </c>
      <c r="G1470" s="329">
        <f t="shared" si="90"/>
        <v>16.966666666666665</v>
      </c>
      <c r="H1470" s="329">
        <v>16.100000000000001</v>
      </c>
      <c r="I1470" s="329">
        <f t="shared" si="91"/>
        <v>16.233333333333331</v>
      </c>
      <c r="L1470" s="331">
        <v>40698</v>
      </c>
      <c r="M1470" s="329">
        <v>23.533333333333331</v>
      </c>
      <c r="N1470" s="329">
        <v>22.900000000000002</v>
      </c>
      <c r="O1470" s="329">
        <v>16.966666666666665</v>
      </c>
      <c r="P1470" s="329">
        <v>16.233333333333331</v>
      </c>
    </row>
    <row r="1471" spans="1:16">
      <c r="A1471" s="331">
        <v>40698</v>
      </c>
      <c r="B1471" s="329">
        <v>23.5</v>
      </c>
      <c r="C1471" s="329">
        <f t="shared" si="92"/>
        <v>23.533333333333331</v>
      </c>
      <c r="D1471" s="329">
        <v>22.9</v>
      </c>
      <c r="E1471" s="329">
        <f t="shared" si="89"/>
        <v>22.900000000000002</v>
      </c>
      <c r="F1471" s="329">
        <v>17.2</v>
      </c>
      <c r="G1471" s="329">
        <f t="shared" si="90"/>
        <v>16.966666666666665</v>
      </c>
      <c r="H1471" s="329">
        <v>16.100000000000001</v>
      </c>
      <c r="I1471" s="329">
        <f t="shared" si="91"/>
        <v>16.233333333333331</v>
      </c>
      <c r="L1471" s="331">
        <v>40698</v>
      </c>
      <c r="M1471" s="329">
        <v>23.533333333333331</v>
      </c>
      <c r="N1471" s="329">
        <v>22.900000000000002</v>
      </c>
      <c r="O1471" s="329">
        <v>16.966666666666665</v>
      </c>
      <c r="P1471" s="329">
        <v>16.233333333333331</v>
      </c>
    </row>
    <row r="1472" spans="1:16">
      <c r="A1472" s="331">
        <v>40698</v>
      </c>
      <c r="B1472" s="329">
        <v>23.5</v>
      </c>
      <c r="C1472" s="329">
        <f t="shared" si="92"/>
        <v>23.533333333333331</v>
      </c>
      <c r="D1472" s="329">
        <v>22.9</v>
      </c>
      <c r="E1472" s="329">
        <f t="shared" si="89"/>
        <v>22.900000000000002</v>
      </c>
      <c r="F1472" s="329">
        <v>18</v>
      </c>
      <c r="G1472" s="329">
        <f t="shared" si="90"/>
        <v>16.966666666666665</v>
      </c>
      <c r="H1472" s="329">
        <v>16.3</v>
      </c>
      <c r="I1472" s="329">
        <f t="shared" si="91"/>
        <v>16.233333333333331</v>
      </c>
      <c r="L1472" s="331">
        <v>40698</v>
      </c>
      <c r="M1472" s="329">
        <v>23.533333333333331</v>
      </c>
      <c r="N1472" s="329">
        <v>22.900000000000002</v>
      </c>
      <c r="O1472" s="329">
        <v>16.966666666666665</v>
      </c>
      <c r="P1472" s="329">
        <v>16.233333333333331</v>
      </c>
    </row>
    <row r="1473" spans="1:16">
      <c r="A1473" s="331">
        <v>40699</v>
      </c>
      <c r="B1473" s="329">
        <v>23.6</v>
      </c>
      <c r="C1473" s="329">
        <f t="shared" si="92"/>
        <v>23.533333333333331</v>
      </c>
      <c r="D1473" s="329">
        <v>22.9</v>
      </c>
      <c r="E1473" s="329">
        <f t="shared" si="89"/>
        <v>22.933333333333334</v>
      </c>
      <c r="F1473" s="329">
        <v>17.3</v>
      </c>
      <c r="G1473" s="329">
        <f t="shared" si="90"/>
        <v>17.416666666666668</v>
      </c>
      <c r="H1473" s="329">
        <v>16.5</v>
      </c>
      <c r="I1473" s="329">
        <f t="shared" si="91"/>
        <v>16.416666666666668</v>
      </c>
      <c r="L1473" s="331">
        <v>40699</v>
      </c>
      <c r="M1473" s="329">
        <v>23.533333333333331</v>
      </c>
      <c r="N1473" s="329">
        <v>22.933333333333334</v>
      </c>
      <c r="O1473" s="329">
        <v>17.416666666666668</v>
      </c>
      <c r="P1473" s="329">
        <v>16.416666666666668</v>
      </c>
    </row>
    <row r="1474" spans="1:16">
      <c r="A1474" s="331">
        <v>40699</v>
      </c>
      <c r="B1474" s="329">
        <v>23.5</v>
      </c>
      <c r="C1474" s="329">
        <f t="shared" si="92"/>
        <v>23.533333333333331</v>
      </c>
      <c r="D1474" s="329">
        <v>22.9</v>
      </c>
      <c r="E1474" s="329">
        <f t="shared" si="89"/>
        <v>22.933333333333334</v>
      </c>
      <c r="F1474" s="329">
        <v>16.600000000000001</v>
      </c>
      <c r="G1474" s="329">
        <f t="shared" si="90"/>
        <v>17.416666666666668</v>
      </c>
      <c r="H1474" s="329">
        <v>16.5</v>
      </c>
      <c r="I1474" s="329">
        <f t="shared" si="91"/>
        <v>16.416666666666668</v>
      </c>
      <c r="L1474" s="331">
        <v>40699</v>
      </c>
      <c r="M1474" s="329">
        <v>23.533333333333331</v>
      </c>
      <c r="N1474" s="329">
        <v>22.933333333333334</v>
      </c>
      <c r="O1474" s="329">
        <v>17.416666666666668</v>
      </c>
      <c r="P1474" s="329">
        <v>16.416666666666668</v>
      </c>
    </row>
    <row r="1475" spans="1:16">
      <c r="A1475" s="331">
        <v>40699</v>
      </c>
      <c r="B1475" s="329">
        <v>23.5</v>
      </c>
      <c r="C1475" s="329">
        <f t="shared" si="92"/>
        <v>23.533333333333331</v>
      </c>
      <c r="D1475" s="329">
        <v>23</v>
      </c>
      <c r="E1475" s="329">
        <f t="shared" si="89"/>
        <v>22.933333333333334</v>
      </c>
      <c r="F1475" s="329">
        <v>16.100000000000001</v>
      </c>
      <c r="G1475" s="329">
        <f t="shared" si="90"/>
        <v>17.416666666666668</v>
      </c>
      <c r="H1475" s="329">
        <v>16.3</v>
      </c>
      <c r="I1475" s="329">
        <f t="shared" si="91"/>
        <v>16.416666666666668</v>
      </c>
      <c r="L1475" s="331">
        <v>40699</v>
      </c>
      <c r="M1475" s="329">
        <v>23.533333333333331</v>
      </c>
      <c r="N1475" s="329">
        <v>22.933333333333334</v>
      </c>
      <c r="O1475" s="329">
        <v>17.416666666666668</v>
      </c>
      <c r="P1475" s="329">
        <v>16.416666666666668</v>
      </c>
    </row>
    <row r="1476" spans="1:16">
      <c r="A1476" s="331">
        <v>40699</v>
      </c>
      <c r="B1476" s="329">
        <v>23.5</v>
      </c>
      <c r="C1476" s="329">
        <f t="shared" si="92"/>
        <v>23.533333333333331</v>
      </c>
      <c r="D1476" s="329">
        <v>22.9</v>
      </c>
      <c r="E1476" s="329">
        <f t="shared" si="89"/>
        <v>22.933333333333334</v>
      </c>
      <c r="F1476" s="329">
        <v>16.8</v>
      </c>
      <c r="G1476" s="329">
        <f t="shared" si="90"/>
        <v>17.416666666666668</v>
      </c>
      <c r="H1476" s="329">
        <v>16.2</v>
      </c>
      <c r="I1476" s="329">
        <f t="shared" si="91"/>
        <v>16.416666666666668</v>
      </c>
      <c r="L1476" s="331">
        <v>40699</v>
      </c>
      <c r="M1476" s="329">
        <v>23.533333333333331</v>
      </c>
      <c r="N1476" s="329">
        <v>22.933333333333334</v>
      </c>
      <c r="O1476" s="329">
        <v>17.416666666666668</v>
      </c>
      <c r="P1476" s="329">
        <v>16.416666666666668</v>
      </c>
    </row>
    <row r="1477" spans="1:16">
      <c r="A1477" s="331">
        <v>40699</v>
      </c>
      <c r="B1477" s="329">
        <v>23.5</v>
      </c>
      <c r="C1477" s="329">
        <f t="shared" si="92"/>
        <v>23.533333333333331</v>
      </c>
      <c r="D1477" s="329">
        <v>22.9</v>
      </c>
      <c r="E1477" s="329">
        <f t="shared" si="89"/>
        <v>22.933333333333334</v>
      </c>
      <c r="F1477" s="329">
        <v>18.600000000000001</v>
      </c>
      <c r="G1477" s="329">
        <f t="shared" si="90"/>
        <v>17.416666666666668</v>
      </c>
      <c r="H1477" s="329">
        <v>16.3</v>
      </c>
      <c r="I1477" s="329">
        <f t="shared" si="91"/>
        <v>16.416666666666668</v>
      </c>
      <c r="L1477" s="331">
        <v>40699</v>
      </c>
      <c r="M1477" s="329">
        <v>23.533333333333331</v>
      </c>
      <c r="N1477" s="329">
        <v>22.933333333333334</v>
      </c>
      <c r="O1477" s="329">
        <v>17.416666666666668</v>
      </c>
      <c r="P1477" s="329">
        <v>16.416666666666668</v>
      </c>
    </row>
    <row r="1478" spans="1:16">
      <c r="A1478" s="331">
        <v>40699</v>
      </c>
      <c r="B1478" s="329">
        <v>23.6</v>
      </c>
      <c r="C1478" s="329">
        <f t="shared" si="92"/>
        <v>23.533333333333331</v>
      </c>
      <c r="D1478" s="329">
        <v>23</v>
      </c>
      <c r="E1478" s="329">
        <f t="shared" si="89"/>
        <v>22.933333333333334</v>
      </c>
      <c r="F1478" s="329">
        <v>19.100000000000001</v>
      </c>
      <c r="G1478" s="329">
        <f t="shared" si="90"/>
        <v>17.416666666666668</v>
      </c>
      <c r="H1478" s="329">
        <v>16.7</v>
      </c>
      <c r="I1478" s="329">
        <f t="shared" si="91"/>
        <v>16.416666666666668</v>
      </c>
      <c r="L1478" s="331">
        <v>40699</v>
      </c>
      <c r="M1478" s="329">
        <v>23.533333333333331</v>
      </c>
      <c r="N1478" s="329">
        <v>22.933333333333334</v>
      </c>
      <c r="O1478" s="329">
        <v>17.416666666666668</v>
      </c>
      <c r="P1478" s="329">
        <v>16.416666666666668</v>
      </c>
    </row>
    <row r="1479" spans="1:16">
      <c r="A1479" s="331">
        <v>40700</v>
      </c>
      <c r="B1479" s="329">
        <v>23.6</v>
      </c>
      <c r="C1479" s="329">
        <f t="shared" si="92"/>
        <v>23.583333333333332</v>
      </c>
      <c r="D1479" s="329">
        <v>23</v>
      </c>
      <c r="E1479" s="329">
        <f t="shared" si="89"/>
        <v>23</v>
      </c>
      <c r="F1479" s="329">
        <v>18.399999999999999</v>
      </c>
      <c r="G1479" s="329">
        <f t="shared" si="90"/>
        <v>18.133333333333333</v>
      </c>
      <c r="H1479" s="329">
        <v>17</v>
      </c>
      <c r="I1479" s="329">
        <f t="shared" si="91"/>
        <v>16.916666666666668</v>
      </c>
      <c r="L1479" s="331">
        <v>40700</v>
      </c>
      <c r="M1479" s="329">
        <v>23.583333333333332</v>
      </c>
      <c r="N1479" s="329">
        <v>23</v>
      </c>
      <c r="O1479" s="329">
        <v>18.133333333333333</v>
      </c>
      <c r="P1479" s="329">
        <v>16.916666666666668</v>
      </c>
    </row>
    <row r="1480" spans="1:16">
      <c r="A1480" s="331">
        <v>40700</v>
      </c>
      <c r="B1480" s="329">
        <v>23.6</v>
      </c>
      <c r="C1480" s="329">
        <f t="shared" si="92"/>
        <v>23.583333333333332</v>
      </c>
      <c r="D1480" s="329">
        <v>23</v>
      </c>
      <c r="E1480" s="329">
        <f t="shared" si="89"/>
        <v>23</v>
      </c>
      <c r="F1480" s="329">
        <v>17.5</v>
      </c>
      <c r="G1480" s="329">
        <f t="shared" si="90"/>
        <v>18.133333333333333</v>
      </c>
      <c r="H1480" s="329">
        <v>17</v>
      </c>
      <c r="I1480" s="329">
        <f t="shared" si="91"/>
        <v>16.916666666666668</v>
      </c>
      <c r="L1480" s="331">
        <v>40700</v>
      </c>
      <c r="M1480" s="329">
        <v>23.583333333333332</v>
      </c>
      <c r="N1480" s="329">
        <v>23</v>
      </c>
      <c r="O1480" s="329">
        <v>18.133333333333333</v>
      </c>
      <c r="P1480" s="329">
        <v>16.916666666666668</v>
      </c>
    </row>
    <row r="1481" spans="1:16">
      <c r="A1481" s="331">
        <v>40700</v>
      </c>
      <c r="B1481" s="329">
        <v>23.6</v>
      </c>
      <c r="C1481" s="329">
        <f t="shared" si="92"/>
        <v>23.583333333333332</v>
      </c>
      <c r="D1481" s="329">
        <v>23</v>
      </c>
      <c r="E1481" s="329">
        <f t="shared" si="89"/>
        <v>23</v>
      </c>
      <c r="F1481" s="329">
        <v>17</v>
      </c>
      <c r="G1481" s="329">
        <f t="shared" si="90"/>
        <v>18.133333333333333</v>
      </c>
      <c r="H1481" s="329">
        <v>16.899999999999999</v>
      </c>
      <c r="I1481" s="329">
        <f t="shared" si="91"/>
        <v>16.916666666666668</v>
      </c>
      <c r="L1481" s="331">
        <v>40700</v>
      </c>
      <c r="M1481" s="329">
        <v>23.583333333333332</v>
      </c>
      <c r="N1481" s="329">
        <v>23</v>
      </c>
      <c r="O1481" s="329">
        <v>18.133333333333333</v>
      </c>
      <c r="P1481" s="329">
        <v>16.916666666666668</v>
      </c>
    </row>
    <row r="1482" spans="1:16">
      <c r="A1482" s="331">
        <v>40700</v>
      </c>
      <c r="B1482" s="329">
        <v>23.5</v>
      </c>
      <c r="C1482" s="329">
        <f t="shared" si="92"/>
        <v>23.583333333333332</v>
      </c>
      <c r="D1482" s="329">
        <v>23</v>
      </c>
      <c r="E1482" s="329">
        <f t="shared" si="89"/>
        <v>23</v>
      </c>
      <c r="F1482" s="329">
        <v>17.399999999999999</v>
      </c>
      <c r="G1482" s="329">
        <f t="shared" si="90"/>
        <v>18.133333333333333</v>
      </c>
      <c r="H1482" s="329">
        <v>16.7</v>
      </c>
      <c r="I1482" s="329">
        <f t="shared" si="91"/>
        <v>16.916666666666668</v>
      </c>
      <c r="L1482" s="331">
        <v>40700</v>
      </c>
      <c r="M1482" s="329">
        <v>23.583333333333332</v>
      </c>
      <c r="N1482" s="329">
        <v>23</v>
      </c>
      <c r="O1482" s="329">
        <v>18.133333333333333</v>
      </c>
      <c r="P1482" s="329">
        <v>16.916666666666668</v>
      </c>
    </row>
    <row r="1483" spans="1:16">
      <c r="A1483" s="331">
        <v>40700</v>
      </c>
      <c r="B1483" s="329">
        <v>23.6</v>
      </c>
      <c r="C1483" s="329">
        <f t="shared" si="92"/>
        <v>23.583333333333332</v>
      </c>
      <c r="D1483" s="329">
        <v>23</v>
      </c>
      <c r="E1483" s="329">
        <f t="shared" si="89"/>
        <v>23</v>
      </c>
      <c r="F1483" s="329">
        <v>19</v>
      </c>
      <c r="G1483" s="329">
        <f t="shared" si="90"/>
        <v>18.133333333333333</v>
      </c>
      <c r="H1483" s="329">
        <v>16.8</v>
      </c>
      <c r="I1483" s="329">
        <f t="shared" si="91"/>
        <v>16.916666666666668</v>
      </c>
      <c r="L1483" s="331">
        <v>40700</v>
      </c>
      <c r="M1483" s="329">
        <v>23.583333333333332</v>
      </c>
      <c r="N1483" s="329">
        <v>23</v>
      </c>
      <c r="O1483" s="329">
        <v>18.133333333333333</v>
      </c>
      <c r="P1483" s="329">
        <v>16.916666666666668</v>
      </c>
    </row>
    <row r="1484" spans="1:16">
      <c r="A1484" s="331">
        <v>40700</v>
      </c>
      <c r="B1484" s="329">
        <v>23.6</v>
      </c>
      <c r="C1484" s="329">
        <f t="shared" si="92"/>
        <v>23.583333333333332</v>
      </c>
      <c r="D1484" s="329">
        <v>23</v>
      </c>
      <c r="E1484" s="329">
        <f t="shared" si="89"/>
        <v>23</v>
      </c>
      <c r="F1484" s="329">
        <v>19.5</v>
      </c>
      <c r="G1484" s="329">
        <f t="shared" si="90"/>
        <v>18.133333333333333</v>
      </c>
      <c r="H1484" s="329">
        <v>17.100000000000001</v>
      </c>
      <c r="I1484" s="329">
        <f t="shared" si="91"/>
        <v>16.916666666666668</v>
      </c>
      <c r="L1484" s="331">
        <v>40700</v>
      </c>
      <c r="M1484" s="329">
        <v>23.583333333333332</v>
      </c>
      <c r="N1484" s="329">
        <v>23</v>
      </c>
      <c r="O1484" s="329">
        <v>18.133333333333333</v>
      </c>
      <c r="P1484" s="329">
        <v>16.916666666666668</v>
      </c>
    </row>
    <row r="1485" spans="1:16">
      <c r="A1485" s="331">
        <v>40701</v>
      </c>
      <c r="B1485" s="329">
        <v>23.7</v>
      </c>
      <c r="C1485" s="329">
        <f t="shared" si="92"/>
        <v>23.616666666666664</v>
      </c>
      <c r="D1485" s="329">
        <v>23.1</v>
      </c>
      <c r="E1485" s="329">
        <f t="shared" si="89"/>
        <v>23.083333333333332</v>
      </c>
      <c r="F1485" s="329">
        <v>18.7</v>
      </c>
      <c r="G1485" s="329">
        <f t="shared" si="90"/>
        <v>17.7</v>
      </c>
      <c r="H1485" s="329">
        <v>17.399999999999999</v>
      </c>
      <c r="I1485" s="329">
        <f t="shared" si="91"/>
        <v>17.216666666666669</v>
      </c>
      <c r="L1485" s="331">
        <v>40701</v>
      </c>
      <c r="M1485" s="329">
        <v>23.616666666666664</v>
      </c>
      <c r="N1485" s="329">
        <v>23.083333333333332</v>
      </c>
      <c r="O1485" s="329">
        <v>17.7</v>
      </c>
      <c r="P1485" s="329">
        <v>17.216666666666669</v>
      </c>
    </row>
    <row r="1486" spans="1:16">
      <c r="A1486" s="331">
        <v>40701</v>
      </c>
      <c r="B1486" s="329">
        <v>23.6</v>
      </c>
      <c r="C1486" s="329">
        <f t="shared" si="92"/>
        <v>23.616666666666664</v>
      </c>
      <c r="D1486" s="329">
        <v>23.1</v>
      </c>
      <c r="E1486" s="329">
        <f t="shared" si="89"/>
        <v>23.083333333333332</v>
      </c>
      <c r="F1486" s="329">
        <v>18.100000000000001</v>
      </c>
      <c r="G1486" s="329">
        <f t="shared" si="90"/>
        <v>17.7</v>
      </c>
      <c r="H1486" s="329">
        <v>17.399999999999999</v>
      </c>
      <c r="I1486" s="329">
        <f t="shared" si="91"/>
        <v>17.216666666666669</v>
      </c>
      <c r="L1486" s="331">
        <v>40701</v>
      </c>
      <c r="M1486" s="329">
        <v>23.616666666666664</v>
      </c>
      <c r="N1486" s="329">
        <v>23.083333333333332</v>
      </c>
      <c r="O1486" s="329">
        <v>17.7</v>
      </c>
      <c r="P1486" s="329">
        <v>17.216666666666669</v>
      </c>
    </row>
    <row r="1487" spans="1:16">
      <c r="A1487" s="331">
        <v>40701</v>
      </c>
      <c r="B1487" s="329">
        <v>23.6</v>
      </c>
      <c r="C1487" s="329">
        <f t="shared" si="92"/>
        <v>23.616666666666664</v>
      </c>
      <c r="D1487" s="329">
        <v>23.1</v>
      </c>
      <c r="E1487" s="329">
        <f t="shared" si="89"/>
        <v>23.083333333333332</v>
      </c>
      <c r="F1487" s="329">
        <v>17.7</v>
      </c>
      <c r="G1487" s="329">
        <f t="shared" si="90"/>
        <v>17.7</v>
      </c>
      <c r="H1487" s="329">
        <v>17.3</v>
      </c>
      <c r="I1487" s="329">
        <f t="shared" si="91"/>
        <v>17.216666666666669</v>
      </c>
      <c r="L1487" s="331">
        <v>40701</v>
      </c>
      <c r="M1487" s="329">
        <v>23.616666666666664</v>
      </c>
      <c r="N1487" s="329">
        <v>23.083333333333332</v>
      </c>
      <c r="O1487" s="329">
        <v>17.7</v>
      </c>
      <c r="P1487" s="329">
        <v>17.216666666666669</v>
      </c>
    </row>
    <row r="1488" spans="1:16">
      <c r="A1488" s="331">
        <v>40701</v>
      </c>
      <c r="B1488" s="329">
        <v>23.6</v>
      </c>
      <c r="C1488" s="329">
        <f t="shared" si="92"/>
        <v>23.616666666666664</v>
      </c>
      <c r="D1488" s="329">
        <v>23.1</v>
      </c>
      <c r="E1488" s="329">
        <f t="shared" si="89"/>
        <v>23.083333333333332</v>
      </c>
      <c r="F1488" s="329">
        <v>17.8</v>
      </c>
      <c r="G1488" s="329">
        <f t="shared" si="90"/>
        <v>17.7</v>
      </c>
      <c r="H1488" s="329">
        <v>17.2</v>
      </c>
      <c r="I1488" s="329">
        <f t="shared" si="91"/>
        <v>17.216666666666669</v>
      </c>
      <c r="L1488" s="331">
        <v>40701</v>
      </c>
      <c r="M1488" s="329">
        <v>23.616666666666664</v>
      </c>
      <c r="N1488" s="329">
        <v>23.083333333333332</v>
      </c>
      <c r="O1488" s="329">
        <v>17.7</v>
      </c>
      <c r="P1488" s="329">
        <v>17.216666666666669</v>
      </c>
    </row>
    <row r="1489" spans="1:16">
      <c r="A1489" s="331">
        <v>40701</v>
      </c>
      <c r="B1489" s="329">
        <v>23.6</v>
      </c>
      <c r="C1489" s="329">
        <f t="shared" si="92"/>
        <v>23.616666666666664</v>
      </c>
      <c r="D1489" s="329">
        <v>23.1</v>
      </c>
      <c r="E1489" s="329">
        <f t="shared" si="89"/>
        <v>23.083333333333332</v>
      </c>
      <c r="F1489" s="329">
        <v>17.2</v>
      </c>
      <c r="G1489" s="329">
        <f t="shared" si="90"/>
        <v>17.7</v>
      </c>
      <c r="H1489" s="329">
        <v>17.100000000000001</v>
      </c>
      <c r="I1489" s="329">
        <f t="shared" si="91"/>
        <v>17.216666666666669</v>
      </c>
      <c r="L1489" s="331">
        <v>40701</v>
      </c>
      <c r="M1489" s="329">
        <v>23.616666666666664</v>
      </c>
      <c r="N1489" s="329">
        <v>23.083333333333332</v>
      </c>
      <c r="O1489" s="329">
        <v>17.7</v>
      </c>
      <c r="P1489" s="329">
        <v>17.216666666666669</v>
      </c>
    </row>
    <row r="1490" spans="1:16">
      <c r="A1490" s="331">
        <v>40701</v>
      </c>
      <c r="B1490" s="329">
        <v>23.6</v>
      </c>
      <c r="C1490" s="329">
        <f t="shared" si="92"/>
        <v>23.616666666666664</v>
      </c>
      <c r="D1490" s="329">
        <v>23</v>
      </c>
      <c r="E1490" s="329">
        <f t="shared" si="89"/>
        <v>23.083333333333332</v>
      </c>
      <c r="F1490" s="329">
        <v>16.7</v>
      </c>
      <c r="G1490" s="329">
        <f t="shared" si="90"/>
        <v>17.7</v>
      </c>
      <c r="H1490" s="329">
        <v>16.899999999999999</v>
      </c>
      <c r="I1490" s="329">
        <f t="shared" si="91"/>
        <v>17.216666666666669</v>
      </c>
      <c r="L1490" s="331">
        <v>40701</v>
      </c>
      <c r="M1490" s="329">
        <v>23.616666666666664</v>
      </c>
      <c r="N1490" s="329">
        <v>23.083333333333332</v>
      </c>
      <c r="O1490" s="329">
        <v>17.7</v>
      </c>
      <c r="P1490" s="329">
        <v>17.216666666666669</v>
      </c>
    </row>
    <row r="1491" spans="1:16">
      <c r="A1491" s="331">
        <v>40702</v>
      </c>
      <c r="B1491" s="329">
        <v>23.6</v>
      </c>
      <c r="C1491" s="329">
        <f t="shared" si="92"/>
        <v>23.524999999999999</v>
      </c>
      <c r="D1491" s="329">
        <v>23</v>
      </c>
      <c r="E1491" s="329">
        <f t="shared" si="89"/>
        <v>23</v>
      </c>
      <c r="F1491" s="329">
        <v>16.2</v>
      </c>
      <c r="G1491" s="329">
        <f t="shared" si="90"/>
        <v>15.925000000000001</v>
      </c>
      <c r="H1491" s="329">
        <v>16.7</v>
      </c>
      <c r="I1491" s="329">
        <f t="shared" si="91"/>
        <v>16.399999999999999</v>
      </c>
      <c r="L1491" s="331">
        <v>40702</v>
      </c>
      <c r="M1491" s="329">
        <v>23.524999999999999</v>
      </c>
      <c r="N1491" s="329">
        <v>23</v>
      </c>
      <c r="O1491" s="329">
        <v>15.925000000000001</v>
      </c>
      <c r="P1491" s="329">
        <v>16.399999999999999</v>
      </c>
    </row>
    <row r="1492" spans="1:16">
      <c r="A1492" s="331">
        <v>40702</v>
      </c>
      <c r="B1492" s="329">
        <v>23.5</v>
      </c>
      <c r="C1492" s="329">
        <f t="shared" si="92"/>
        <v>23.524999999999999</v>
      </c>
      <c r="D1492" s="329">
        <v>23</v>
      </c>
      <c r="E1492" s="329">
        <f t="shared" si="89"/>
        <v>23</v>
      </c>
      <c r="F1492" s="329">
        <v>15.9</v>
      </c>
      <c r="G1492" s="329">
        <f t="shared" si="90"/>
        <v>15.925000000000001</v>
      </c>
      <c r="H1492" s="329">
        <v>16.5</v>
      </c>
      <c r="I1492" s="329">
        <f t="shared" si="91"/>
        <v>16.399999999999999</v>
      </c>
      <c r="L1492" s="331">
        <v>40702</v>
      </c>
      <c r="M1492" s="329">
        <v>23.524999999999999</v>
      </c>
      <c r="N1492" s="329">
        <v>23</v>
      </c>
      <c r="O1492" s="329">
        <v>15.925000000000001</v>
      </c>
      <c r="P1492" s="329">
        <v>16.399999999999999</v>
      </c>
    </row>
    <row r="1493" spans="1:16">
      <c r="A1493" s="331">
        <v>40702</v>
      </c>
      <c r="B1493" s="329">
        <v>23.5</v>
      </c>
      <c r="C1493" s="329">
        <f t="shared" si="92"/>
        <v>23.524999999999999</v>
      </c>
      <c r="D1493" s="329">
        <v>23</v>
      </c>
      <c r="E1493" s="329">
        <f t="shared" si="89"/>
        <v>23</v>
      </c>
      <c r="F1493" s="329">
        <v>15.6</v>
      </c>
      <c r="G1493" s="329">
        <f t="shared" si="90"/>
        <v>15.925000000000001</v>
      </c>
      <c r="H1493" s="329">
        <v>16.3</v>
      </c>
      <c r="I1493" s="329">
        <f t="shared" si="91"/>
        <v>16.399999999999999</v>
      </c>
      <c r="L1493" s="331">
        <v>40702</v>
      </c>
      <c r="M1493" s="329">
        <v>23.524999999999999</v>
      </c>
      <c r="N1493" s="329">
        <v>23</v>
      </c>
      <c r="O1493" s="329">
        <v>15.925000000000001</v>
      </c>
      <c r="P1493" s="329">
        <v>16.399999999999999</v>
      </c>
    </row>
    <row r="1494" spans="1:16">
      <c r="A1494" s="331">
        <v>40702</v>
      </c>
      <c r="B1494" s="329">
        <v>23.5</v>
      </c>
      <c r="C1494" s="329">
        <f t="shared" si="92"/>
        <v>23.524999999999999</v>
      </c>
      <c r="D1494" s="329">
        <v>23</v>
      </c>
      <c r="E1494" s="329">
        <f t="shared" si="89"/>
        <v>23</v>
      </c>
      <c r="F1494" s="329">
        <v>16</v>
      </c>
      <c r="G1494" s="329">
        <f t="shared" si="90"/>
        <v>15.925000000000001</v>
      </c>
      <c r="H1494" s="329">
        <v>16.100000000000001</v>
      </c>
      <c r="I1494" s="329">
        <f t="shared" si="91"/>
        <v>16.399999999999999</v>
      </c>
      <c r="L1494" s="331">
        <v>40702</v>
      </c>
      <c r="M1494" s="329">
        <v>23.524999999999999</v>
      </c>
      <c r="N1494" s="329">
        <v>23</v>
      </c>
      <c r="O1494" s="329">
        <v>15.925000000000001</v>
      </c>
      <c r="P1494" s="329">
        <v>16.399999999999999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zoomScale="90" zoomScaleNormal="90" workbookViewId="0">
      <selection activeCell="W11" sqref="W11"/>
    </sheetView>
  </sheetViews>
  <sheetFormatPr baseColWidth="10" defaultRowHeight="12.75"/>
  <cols>
    <col min="1" max="1" width="11.7109375" style="198" customWidth="1"/>
    <col min="2" max="2" width="5.28515625" style="198" bestFit="1" customWidth="1"/>
    <col min="3" max="3" width="18.85546875" style="198" bestFit="1" customWidth="1"/>
    <col min="4" max="4" width="3" style="198" bestFit="1" customWidth="1"/>
    <col min="5" max="5" width="8.85546875" style="198" bestFit="1" customWidth="1"/>
    <col min="6" max="6" width="11.140625" style="198" bestFit="1" customWidth="1"/>
    <col min="7" max="7" width="6.28515625" style="198" bestFit="1" customWidth="1"/>
    <col min="8" max="8" width="4.140625" style="198" bestFit="1" customWidth="1"/>
    <col min="9" max="9" width="8.28515625" style="198" bestFit="1" customWidth="1"/>
    <col min="10" max="10" width="12" style="198" bestFit="1" customWidth="1"/>
    <col min="11" max="11" width="4.140625" style="198" bestFit="1" customWidth="1"/>
    <col min="12" max="12" width="12" style="198" bestFit="1" customWidth="1"/>
    <col min="13" max="13" width="14.28515625" style="198" bestFit="1" customWidth="1"/>
    <col min="14" max="14" width="11.140625" style="198" bestFit="1" customWidth="1"/>
    <col min="15" max="15" width="9.5703125" style="198" bestFit="1" customWidth="1"/>
    <col min="16" max="16" width="14.42578125" style="198" bestFit="1" customWidth="1"/>
    <col min="17" max="17" width="11.28515625" style="198" bestFit="1" customWidth="1"/>
    <col min="18" max="18" width="10.42578125" style="198" bestFit="1" customWidth="1"/>
    <col min="19" max="19" width="13" style="197" bestFit="1" customWidth="1"/>
    <col min="20" max="20" width="11.42578125" style="197"/>
    <col min="21" max="21" width="12.42578125" style="198" customWidth="1"/>
    <col min="22" max="22" width="11.85546875" style="198" customWidth="1"/>
    <col min="23" max="23" width="11.42578125" style="197"/>
    <col min="24" max="24" width="15.85546875" style="197" bestFit="1" customWidth="1"/>
    <col min="25" max="16384" width="11.42578125" style="197"/>
  </cols>
  <sheetData>
    <row r="1" spans="1:25" ht="15.75">
      <c r="C1" s="204"/>
      <c r="D1" s="204"/>
      <c r="E1" s="204"/>
      <c r="F1" s="204"/>
      <c r="G1" s="204"/>
      <c r="H1" s="368" t="s">
        <v>7697</v>
      </c>
      <c r="I1" s="366"/>
      <c r="J1" s="367"/>
      <c r="K1" s="365" t="s">
        <v>7696</v>
      </c>
      <c r="L1" s="366"/>
      <c r="M1" s="366"/>
      <c r="N1" s="366"/>
      <c r="O1" s="366"/>
      <c r="P1" s="366"/>
      <c r="Q1" s="366"/>
      <c r="R1" s="367"/>
      <c r="S1" s="369" t="s">
        <v>7717</v>
      </c>
      <c r="T1" s="370"/>
      <c r="U1" s="371" t="s">
        <v>7695</v>
      </c>
      <c r="V1" s="371"/>
      <c r="W1" s="372"/>
      <c r="X1" s="212"/>
    </row>
    <row r="2" spans="1:25">
      <c r="A2" s="203" t="s">
        <v>7694</v>
      </c>
      <c r="B2" s="203" t="s">
        <v>213</v>
      </c>
      <c r="C2" s="203" t="s">
        <v>22</v>
      </c>
      <c r="D2" s="203" t="s">
        <v>21</v>
      </c>
      <c r="E2" s="203" t="s">
        <v>7693</v>
      </c>
      <c r="F2" s="203" t="s">
        <v>7692</v>
      </c>
      <c r="G2" s="203" t="s">
        <v>7691</v>
      </c>
      <c r="H2" s="203" t="s">
        <v>7689</v>
      </c>
      <c r="I2" s="203" t="s">
        <v>7690</v>
      </c>
      <c r="J2" s="207" t="s">
        <v>7713</v>
      </c>
      <c r="K2" s="209" t="s">
        <v>7689</v>
      </c>
      <c r="L2" s="203" t="s">
        <v>7710</v>
      </c>
      <c r="M2" s="206" t="s">
        <v>7688</v>
      </c>
      <c r="N2" s="206" t="s">
        <v>7687</v>
      </c>
      <c r="O2" s="203" t="s">
        <v>7712</v>
      </c>
      <c r="P2" s="206" t="s">
        <v>7686</v>
      </c>
      <c r="Q2" s="206" t="s">
        <v>7685</v>
      </c>
      <c r="R2" s="210" t="s">
        <v>7711</v>
      </c>
      <c r="S2" s="208" t="s">
        <v>7715</v>
      </c>
      <c r="T2" s="206" t="s">
        <v>7716</v>
      </c>
      <c r="U2" s="202" t="s">
        <v>7684</v>
      </c>
      <c r="V2" s="202" t="s">
        <v>7683</v>
      </c>
      <c r="W2" s="211" t="s">
        <v>7718</v>
      </c>
      <c r="X2" s="213" t="s">
        <v>7719</v>
      </c>
      <c r="Y2" s="214" t="s">
        <v>7720</v>
      </c>
    </row>
    <row r="3" spans="1:25" ht="15">
      <c r="A3" s="333" t="s">
        <v>7682</v>
      </c>
      <c r="B3" s="333"/>
      <c r="C3" s="349" t="s">
        <v>8005</v>
      </c>
      <c r="D3" s="333"/>
      <c r="E3" s="333" t="s">
        <v>7995</v>
      </c>
      <c r="F3" s="333" t="s">
        <v>7819</v>
      </c>
      <c r="G3" s="333"/>
      <c r="H3" s="333"/>
      <c r="I3" s="333">
        <v>1830.4</v>
      </c>
      <c r="J3" s="352">
        <f>I3*L3</f>
        <v>246.51647915287887</v>
      </c>
      <c r="K3" s="333">
        <v>7</v>
      </c>
      <c r="L3" s="352">
        <f>R3/O3</f>
        <v>0.13467902051621441</v>
      </c>
      <c r="M3" s="333">
        <v>286.8</v>
      </c>
      <c r="N3" s="333">
        <v>15.4</v>
      </c>
      <c r="O3" s="333">
        <f>M3+N3</f>
        <v>302.2</v>
      </c>
      <c r="P3" s="333">
        <v>37.299999999999997</v>
      </c>
      <c r="Q3" s="333">
        <v>3.4</v>
      </c>
      <c r="R3" s="333">
        <f t="shared" ref="R3:R10" si="0">P3+Q3</f>
        <v>40.699999999999996</v>
      </c>
      <c r="S3" s="352">
        <f>(R3+J3)/100</f>
        <v>2.8721647915287889</v>
      </c>
      <c r="T3" s="352">
        <f>MIN(4.63,4.48*S3^(-0.25))</f>
        <v>3.4413248889557795</v>
      </c>
      <c r="U3" s="333">
        <v>4.0159540292673084</v>
      </c>
      <c r="V3" s="333">
        <v>3.6408675761364595</v>
      </c>
      <c r="W3" s="333"/>
      <c r="X3" s="333">
        <v>3.1458538002043825</v>
      </c>
      <c r="Y3" s="333">
        <f>X3/T3</f>
        <v>0.91414030982670358</v>
      </c>
    </row>
    <row r="4" spans="1:25" ht="15">
      <c r="A4" s="333" t="s">
        <v>7682</v>
      </c>
      <c r="B4" s="333"/>
      <c r="C4" s="349" t="s">
        <v>8006</v>
      </c>
      <c r="D4" s="333"/>
      <c r="E4" s="333" t="s">
        <v>7996</v>
      </c>
      <c r="F4" s="333" t="s">
        <v>7819</v>
      </c>
      <c r="G4" s="333"/>
      <c r="H4" s="333"/>
      <c r="I4" s="333">
        <v>1393.3634295713039</v>
      </c>
      <c r="J4" s="352">
        <f t="shared" ref="J4:J34" si="1">I4*L4</f>
        <v>206.4242117883413</v>
      </c>
      <c r="K4" s="333">
        <v>7</v>
      </c>
      <c r="L4" s="352">
        <f t="shared" ref="L4:L34" si="2">R4/O4</f>
        <v>0.14814814814814814</v>
      </c>
      <c r="M4" s="333">
        <v>317.5</v>
      </c>
      <c r="N4" s="333">
        <v>17.3</v>
      </c>
      <c r="O4" s="333">
        <f t="shared" ref="O4:O34" si="3">M4+N4</f>
        <v>334.8</v>
      </c>
      <c r="P4" s="333">
        <v>45.7</v>
      </c>
      <c r="Q4" s="333">
        <v>3.9</v>
      </c>
      <c r="R4" s="333">
        <f t="shared" si="0"/>
        <v>49.6</v>
      </c>
      <c r="S4" s="352">
        <f t="shared" ref="S4:S34" si="4">(R4+J4)/100</f>
        <v>2.5602421178834129</v>
      </c>
      <c r="T4" s="352">
        <f t="shared" ref="T4:T34" si="5">MIN(4.63,4.48*S4^(-0.25))</f>
        <v>3.5416672420286708</v>
      </c>
      <c r="U4" s="333">
        <v>3.0301778664007974</v>
      </c>
      <c r="V4" s="333">
        <v>3.9852879700748081</v>
      </c>
      <c r="W4" s="333"/>
      <c r="X4" s="333">
        <v>3.0938943614916745</v>
      </c>
      <c r="Y4" s="333">
        <f t="shared" ref="Y4:Y34" si="6">X4/T4</f>
        <v>0.87357003074051887</v>
      </c>
    </row>
    <row r="5" spans="1:25" ht="15">
      <c r="A5" s="333" t="s">
        <v>7682</v>
      </c>
      <c r="B5" s="333"/>
      <c r="C5" s="349" t="s">
        <v>8007</v>
      </c>
      <c r="D5" s="333"/>
      <c r="E5" s="333" t="s">
        <v>7995</v>
      </c>
      <c r="F5" s="333" t="s">
        <v>7819</v>
      </c>
      <c r="G5" s="333"/>
      <c r="H5" s="333"/>
      <c r="I5" s="333">
        <v>1407.9204188481674</v>
      </c>
      <c r="J5" s="352">
        <f t="shared" si="1"/>
        <v>202.73679459968622</v>
      </c>
      <c r="K5" s="333">
        <v>8</v>
      </c>
      <c r="L5" s="352">
        <f t="shared" si="2"/>
        <v>0.14399733954107083</v>
      </c>
      <c r="M5" s="333">
        <v>284</v>
      </c>
      <c r="N5" s="333">
        <v>16.7</v>
      </c>
      <c r="O5" s="333">
        <f t="shared" si="3"/>
        <v>300.7</v>
      </c>
      <c r="P5" s="333">
        <v>39.299999999999997</v>
      </c>
      <c r="Q5" s="333">
        <v>4</v>
      </c>
      <c r="R5" s="333">
        <f t="shared" si="0"/>
        <v>43.3</v>
      </c>
      <c r="S5" s="352">
        <f t="shared" si="4"/>
        <v>2.4603679459968624</v>
      </c>
      <c r="T5" s="352">
        <f t="shared" si="5"/>
        <v>3.5770746118982824</v>
      </c>
      <c r="U5" s="333">
        <v>3.6870237352555679</v>
      </c>
      <c r="V5" s="333">
        <v>3.6040741216694085</v>
      </c>
      <c r="W5" s="333"/>
      <c r="X5" s="333">
        <v>3.0757698876780797</v>
      </c>
      <c r="Y5" s="333">
        <f t="shared" si="6"/>
        <v>0.85985622929062411</v>
      </c>
    </row>
    <row r="6" spans="1:25" ht="15">
      <c r="A6" s="333" t="s">
        <v>7682</v>
      </c>
      <c r="B6" s="333"/>
      <c r="C6" s="349" t="s">
        <v>8008</v>
      </c>
      <c r="D6" s="333"/>
      <c r="E6" s="333" t="s">
        <v>7996</v>
      </c>
      <c r="F6" s="333" t="s">
        <v>7819</v>
      </c>
      <c r="G6" s="333"/>
      <c r="H6" s="333"/>
      <c r="I6" s="333">
        <v>1241.4882032667877</v>
      </c>
      <c r="J6" s="352">
        <f t="shared" si="1"/>
        <v>179.81360671015841</v>
      </c>
      <c r="K6" s="333">
        <v>6</v>
      </c>
      <c r="L6" s="352">
        <f t="shared" si="2"/>
        <v>0.14483714483714483</v>
      </c>
      <c r="M6" s="333">
        <v>415.3</v>
      </c>
      <c r="N6" s="333">
        <v>17.600000000000001</v>
      </c>
      <c r="O6" s="333">
        <f t="shared" si="3"/>
        <v>432.90000000000003</v>
      </c>
      <c r="P6" s="333">
        <v>58.7</v>
      </c>
      <c r="Q6" s="333">
        <v>4</v>
      </c>
      <c r="R6" s="333">
        <f t="shared" si="0"/>
        <v>62.7</v>
      </c>
      <c r="S6" s="352">
        <f t="shared" si="4"/>
        <v>2.425136067101584</v>
      </c>
      <c r="T6" s="352">
        <f t="shared" si="5"/>
        <v>3.5899961791170272</v>
      </c>
      <c r="U6" s="333">
        <v>3.2004372010591053</v>
      </c>
      <c r="V6" s="333">
        <v>3.9218115359689123</v>
      </c>
      <c r="W6" s="333"/>
      <c r="X6" s="333">
        <v>4.7562959653070589</v>
      </c>
      <c r="Y6" s="333">
        <f t="shared" si="6"/>
        <v>1.3248749380220475</v>
      </c>
    </row>
    <row r="7" spans="1:25" ht="15">
      <c r="A7" s="333" t="s">
        <v>7682</v>
      </c>
      <c r="B7" s="333"/>
      <c r="C7" s="349" t="s">
        <v>8009</v>
      </c>
      <c r="D7" s="333"/>
      <c r="E7" s="333" t="s">
        <v>7995</v>
      </c>
      <c r="F7" s="333" t="s">
        <v>7817</v>
      </c>
      <c r="G7" s="333"/>
      <c r="H7" s="333"/>
      <c r="I7" s="333">
        <v>2223.4163701067614</v>
      </c>
      <c r="J7" s="352">
        <f t="shared" si="1"/>
        <v>298.08327450985178</v>
      </c>
      <c r="K7" s="333">
        <v>7</v>
      </c>
      <c r="L7" s="352">
        <f t="shared" si="2"/>
        <v>0.13406543125142986</v>
      </c>
      <c r="M7" s="333">
        <v>410.5</v>
      </c>
      <c r="N7" s="333">
        <v>26.6</v>
      </c>
      <c r="O7" s="333">
        <f t="shared" si="3"/>
        <v>437.1</v>
      </c>
      <c r="P7" s="333">
        <v>52.5</v>
      </c>
      <c r="Q7" s="333">
        <v>6.1</v>
      </c>
      <c r="R7" s="333">
        <f t="shared" si="0"/>
        <v>58.6</v>
      </c>
      <c r="S7" s="352">
        <f t="shared" si="4"/>
        <v>3.5668327450985178</v>
      </c>
      <c r="T7" s="352">
        <f t="shared" si="5"/>
        <v>3.2599228924832726</v>
      </c>
      <c r="U7" s="333">
        <v>4.4041568957075299</v>
      </c>
      <c r="V7" s="333">
        <v>4.1578917185436639</v>
      </c>
      <c r="W7" s="333"/>
      <c r="X7" s="333">
        <v>3.9050620793128656</v>
      </c>
      <c r="Y7" s="333">
        <f t="shared" si="6"/>
        <v>1.1979001369379485</v>
      </c>
    </row>
    <row r="8" spans="1:25" s="218" customFormat="1" ht="15.75" thickBot="1">
      <c r="A8" s="333" t="s">
        <v>7682</v>
      </c>
      <c r="B8" s="333"/>
      <c r="C8" s="349" t="s">
        <v>8010</v>
      </c>
      <c r="D8" s="333"/>
      <c r="E8" s="333" t="s">
        <v>7996</v>
      </c>
      <c r="F8" s="333" t="s">
        <v>7817</v>
      </c>
      <c r="G8" s="333"/>
      <c r="H8" s="333"/>
      <c r="I8" s="333">
        <v>1074.9152039555008</v>
      </c>
      <c r="J8" s="352">
        <f t="shared" si="1"/>
        <v>172.70012515789915</v>
      </c>
      <c r="K8" s="333">
        <v>6</v>
      </c>
      <c r="L8" s="352">
        <f t="shared" si="2"/>
        <v>0.16066395239586598</v>
      </c>
      <c r="M8" s="333">
        <v>301.39999999999998</v>
      </c>
      <c r="N8" s="333">
        <v>17.899999999999999</v>
      </c>
      <c r="O8" s="333">
        <f t="shared" si="3"/>
        <v>319.29999999999995</v>
      </c>
      <c r="P8" s="333">
        <v>46.9</v>
      </c>
      <c r="Q8" s="333">
        <v>4.4000000000000004</v>
      </c>
      <c r="R8" s="333">
        <f t="shared" si="0"/>
        <v>51.3</v>
      </c>
      <c r="S8" s="352">
        <f t="shared" si="4"/>
        <v>2.2400012515789918</v>
      </c>
      <c r="T8" s="352">
        <f t="shared" si="5"/>
        <v>3.6619798371667143</v>
      </c>
      <c r="U8" s="333">
        <v>2.9651259659483644</v>
      </c>
      <c r="V8" s="333">
        <v>3.5587869647635944</v>
      </c>
      <c r="W8" s="333"/>
      <c r="X8" s="333">
        <v>3.4536380356678991</v>
      </c>
      <c r="Y8" s="333">
        <f t="shared" si="6"/>
        <v>0.94310678628421674</v>
      </c>
    </row>
    <row r="9" spans="1:25" ht="15.75" thickTop="1">
      <c r="A9" s="333" t="s">
        <v>7682</v>
      </c>
      <c r="B9" s="333"/>
      <c r="C9" s="349" t="s">
        <v>8011</v>
      </c>
      <c r="D9" s="333"/>
      <c r="E9" s="333" t="s">
        <v>7995</v>
      </c>
      <c r="F9" s="333" t="s">
        <v>7817</v>
      </c>
      <c r="G9" s="333"/>
      <c r="H9" s="333"/>
      <c r="I9" s="333">
        <v>1897.7778594395961</v>
      </c>
      <c r="J9" s="352">
        <f t="shared" si="1"/>
        <v>274.7713753657888</v>
      </c>
      <c r="K9" s="333">
        <v>6</v>
      </c>
      <c r="L9" s="352">
        <f t="shared" si="2"/>
        <v>0.14478584729981378</v>
      </c>
      <c r="M9" s="333">
        <v>201.1</v>
      </c>
      <c r="N9" s="333">
        <v>13.7</v>
      </c>
      <c r="O9" s="333">
        <f t="shared" si="3"/>
        <v>214.79999999999998</v>
      </c>
      <c r="P9" s="333">
        <v>27.9</v>
      </c>
      <c r="Q9" s="333">
        <v>3.2</v>
      </c>
      <c r="R9" s="333">
        <f t="shared" si="0"/>
        <v>31.099999999999998</v>
      </c>
      <c r="S9" s="352">
        <f t="shared" si="4"/>
        <v>3.0587137536578881</v>
      </c>
      <c r="T9" s="352">
        <f t="shared" si="5"/>
        <v>3.3876092107210747</v>
      </c>
      <c r="U9" s="333">
        <v>3.3559161478846402</v>
      </c>
      <c r="V9" s="333">
        <v>3.5798505709624941</v>
      </c>
      <c r="W9" s="333"/>
      <c r="X9" s="333">
        <v>2.2904089935928256</v>
      </c>
      <c r="Y9" s="333">
        <f t="shared" si="6"/>
        <v>0.67611369881276751</v>
      </c>
    </row>
    <row r="10" spans="1:25" ht="15">
      <c r="A10" s="333" t="s">
        <v>7682</v>
      </c>
      <c r="B10" s="333"/>
      <c r="C10" s="349" t="s">
        <v>8012</v>
      </c>
      <c r="D10" s="333"/>
      <c r="E10" s="333" t="s">
        <v>7996</v>
      </c>
      <c r="F10" s="333" t="s">
        <v>7817</v>
      </c>
      <c r="G10" s="333"/>
      <c r="H10" s="333"/>
      <c r="I10" s="333">
        <v>1492.4343776947401</v>
      </c>
      <c r="J10" s="352">
        <f t="shared" si="1"/>
        <v>215.94709645100744</v>
      </c>
      <c r="K10" s="333">
        <v>6</v>
      </c>
      <c r="L10" s="352">
        <f t="shared" si="2"/>
        <v>0.1446945337620579</v>
      </c>
      <c r="M10" s="333">
        <v>326.89999999999998</v>
      </c>
      <c r="N10" s="333">
        <v>15.2</v>
      </c>
      <c r="O10" s="333">
        <f t="shared" si="3"/>
        <v>342.09999999999997</v>
      </c>
      <c r="P10" s="333">
        <v>45.6</v>
      </c>
      <c r="Q10" s="333">
        <v>3.9</v>
      </c>
      <c r="R10" s="333">
        <f t="shared" si="0"/>
        <v>49.5</v>
      </c>
      <c r="S10" s="352">
        <f t="shared" si="4"/>
        <v>2.6544709645100744</v>
      </c>
      <c r="T10" s="352">
        <f t="shared" si="5"/>
        <v>3.5098092902341094</v>
      </c>
      <c r="U10" s="333">
        <v>3.4436414891070144</v>
      </c>
      <c r="V10" s="333">
        <v>3.5257763202266106</v>
      </c>
      <c r="W10" s="333"/>
      <c r="X10" s="333">
        <v>3.5385325365962768</v>
      </c>
      <c r="Y10" s="333">
        <f t="shared" si="6"/>
        <v>1.0081837057193075</v>
      </c>
    </row>
    <row r="11" spans="1:25" ht="15">
      <c r="A11" s="334" t="s">
        <v>7681</v>
      </c>
      <c r="B11" s="334"/>
      <c r="C11" s="350" t="s">
        <v>8013</v>
      </c>
      <c r="D11" s="334"/>
      <c r="E11" s="334" t="s">
        <v>7995</v>
      </c>
      <c r="F11" s="334" t="s">
        <v>7819</v>
      </c>
      <c r="G11" s="334"/>
      <c r="H11" s="334"/>
      <c r="I11" s="334">
        <v>1287.8888888888889</v>
      </c>
      <c r="J11" s="353">
        <f t="shared" si="1"/>
        <v>219.57766128584899</v>
      </c>
      <c r="K11" s="334">
        <v>7</v>
      </c>
      <c r="L11" s="353">
        <f t="shared" si="2"/>
        <v>0.17049425861208187</v>
      </c>
      <c r="M11" s="334">
        <v>353.1</v>
      </c>
      <c r="N11" s="334">
        <v>47.5</v>
      </c>
      <c r="O11" s="334">
        <f t="shared" si="3"/>
        <v>400.6</v>
      </c>
      <c r="P11" s="334">
        <v>58.7</v>
      </c>
      <c r="Q11" s="334">
        <v>9.6</v>
      </c>
      <c r="R11" s="334">
        <f>P11+Q11</f>
        <v>68.3</v>
      </c>
      <c r="S11" s="353">
        <f t="shared" si="4"/>
        <v>2.87877661285849</v>
      </c>
      <c r="T11" s="353">
        <f t="shared" si="5"/>
        <v>3.4393472217263281</v>
      </c>
      <c r="U11" s="334">
        <v>2.7681062516591477</v>
      </c>
      <c r="V11" s="334">
        <v>2.6481612257281615</v>
      </c>
      <c r="W11" s="334"/>
      <c r="X11" s="334">
        <v>3.077217924894978</v>
      </c>
      <c r="Y11" s="334">
        <f t="shared" si="6"/>
        <v>0.89470987559971193</v>
      </c>
    </row>
    <row r="12" spans="1:25" ht="15">
      <c r="A12" s="334" t="s">
        <v>7681</v>
      </c>
      <c r="B12" s="334"/>
      <c r="C12" s="350" t="s">
        <v>8014</v>
      </c>
      <c r="D12" s="334"/>
      <c r="E12" s="334" t="s">
        <v>7996</v>
      </c>
      <c r="F12" s="334" t="s">
        <v>7819</v>
      </c>
      <c r="G12" s="334"/>
      <c r="H12" s="334"/>
      <c r="I12" s="334">
        <v>1097.3279352226721</v>
      </c>
      <c r="J12" s="353">
        <f t="shared" si="1"/>
        <v>197.04493526275709</v>
      </c>
      <c r="K12" s="334">
        <v>6</v>
      </c>
      <c r="L12" s="353">
        <f t="shared" si="2"/>
        <v>0.17956795679567961</v>
      </c>
      <c r="M12" s="334">
        <v>382</v>
      </c>
      <c r="N12" s="334">
        <v>62.4</v>
      </c>
      <c r="O12" s="334">
        <f t="shared" si="3"/>
        <v>444.4</v>
      </c>
      <c r="P12" s="334">
        <v>66.900000000000006</v>
      </c>
      <c r="Q12" s="334">
        <v>12.9</v>
      </c>
      <c r="R12" s="334">
        <f t="shared" ref="R12:R34" si="7">P12+Q12</f>
        <v>79.800000000000011</v>
      </c>
      <c r="S12" s="353">
        <f t="shared" si="4"/>
        <v>2.7684493526275706</v>
      </c>
      <c r="T12" s="353">
        <f t="shared" si="5"/>
        <v>3.4731126379045136</v>
      </c>
      <c r="U12" s="334">
        <v>2.63173242909988</v>
      </c>
      <c r="V12" s="334">
        <v>2.6791493177178416</v>
      </c>
      <c r="W12" s="334"/>
      <c r="X12" s="334">
        <v>4.5648064792394267</v>
      </c>
      <c r="Y12" s="334">
        <f t="shared" si="6"/>
        <v>1.3143272203211875</v>
      </c>
    </row>
    <row r="13" spans="1:25" ht="15">
      <c r="A13" s="334" t="s">
        <v>7681</v>
      </c>
      <c r="B13" s="334"/>
      <c r="C13" s="350" t="s">
        <v>8015</v>
      </c>
      <c r="D13" s="334"/>
      <c r="E13" s="334" t="s">
        <v>7995</v>
      </c>
      <c r="F13" s="334" t="s">
        <v>7819</v>
      </c>
      <c r="G13" s="334"/>
      <c r="H13" s="334"/>
      <c r="I13" s="334">
        <v>1126.4739884393064</v>
      </c>
      <c r="J13" s="353">
        <f t="shared" si="1"/>
        <v>208.04771911443422</v>
      </c>
      <c r="K13" s="334">
        <v>6</v>
      </c>
      <c r="L13" s="353">
        <f t="shared" si="2"/>
        <v>0.18468932372124958</v>
      </c>
      <c r="M13" s="334">
        <v>248.7</v>
      </c>
      <c r="N13" s="334">
        <v>42.6</v>
      </c>
      <c r="O13" s="334">
        <f t="shared" si="3"/>
        <v>291.3</v>
      </c>
      <c r="P13" s="334">
        <v>45.2</v>
      </c>
      <c r="Q13" s="334">
        <v>8.6</v>
      </c>
      <c r="R13" s="334">
        <f t="shared" si="7"/>
        <v>53.800000000000004</v>
      </c>
      <c r="S13" s="353">
        <f t="shared" si="4"/>
        <v>2.6184771911443421</v>
      </c>
      <c r="T13" s="353">
        <f t="shared" si="5"/>
        <v>3.5218091315876223</v>
      </c>
      <c r="U13" s="334">
        <v>2.3315331866691613</v>
      </c>
      <c r="V13" s="334">
        <v>2.5262583784488983</v>
      </c>
      <c r="W13" s="334"/>
      <c r="X13" s="334">
        <v>2.7508215880511426</v>
      </c>
      <c r="Y13" s="334">
        <f t="shared" si="6"/>
        <v>0.78108196250007433</v>
      </c>
    </row>
    <row r="14" spans="1:25" s="218" customFormat="1" ht="15.75" thickBot="1">
      <c r="A14" s="334" t="s">
        <v>7681</v>
      </c>
      <c r="B14" s="334"/>
      <c r="C14" s="350" t="s">
        <v>8016</v>
      </c>
      <c r="D14" s="334"/>
      <c r="E14" s="334" t="s">
        <v>7996</v>
      </c>
      <c r="F14" s="334" t="s">
        <v>7819</v>
      </c>
      <c r="G14" s="334"/>
      <c r="H14" s="334"/>
      <c r="I14" s="334">
        <v>1048.1578947368421</v>
      </c>
      <c r="J14" s="353">
        <f t="shared" si="1"/>
        <v>194.74382692743336</v>
      </c>
      <c r="K14" s="334">
        <v>7</v>
      </c>
      <c r="L14" s="353">
        <f t="shared" si="2"/>
        <v>0.18579626972740315</v>
      </c>
      <c r="M14" s="334">
        <v>242.8</v>
      </c>
      <c r="N14" s="334">
        <v>36</v>
      </c>
      <c r="O14" s="334">
        <f t="shared" si="3"/>
        <v>278.8</v>
      </c>
      <c r="P14" s="334">
        <v>44</v>
      </c>
      <c r="Q14" s="334">
        <v>7.8</v>
      </c>
      <c r="R14" s="334">
        <f t="shared" si="7"/>
        <v>51.8</v>
      </c>
      <c r="S14" s="353">
        <f t="shared" si="4"/>
        <v>2.4654382692743337</v>
      </c>
      <c r="T14" s="353">
        <f t="shared" si="5"/>
        <v>3.5752340741446114</v>
      </c>
      <c r="U14" s="334">
        <v>2.6076869293148608</v>
      </c>
      <c r="V14" s="334">
        <v>2.6269936817871713</v>
      </c>
      <c r="W14" s="334"/>
      <c r="X14" s="334">
        <v>2.7424895868026833</v>
      </c>
      <c r="Y14" s="334">
        <f t="shared" si="6"/>
        <v>0.76707972958633053</v>
      </c>
    </row>
    <row r="15" spans="1:25" ht="15.75" thickTop="1">
      <c r="A15" s="334" t="s">
        <v>7681</v>
      </c>
      <c r="B15" s="334"/>
      <c r="C15" s="350" t="s">
        <v>8017</v>
      </c>
      <c r="D15" s="334"/>
      <c r="E15" s="334" t="s">
        <v>7995</v>
      </c>
      <c r="F15" s="334" t="s">
        <v>7817</v>
      </c>
      <c r="G15" s="334"/>
      <c r="H15" s="334"/>
      <c r="I15" s="334">
        <v>1729</v>
      </c>
      <c r="J15" s="353">
        <f t="shared" si="1"/>
        <v>278.30130508795156</v>
      </c>
      <c r="K15" s="334">
        <v>5</v>
      </c>
      <c r="L15" s="353">
        <f t="shared" si="2"/>
        <v>0.16096084736145261</v>
      </c>
      <c r="M15" s="334">
        <v>469.8</v>
      </c>
      <c r="N15" s="334">
        <v>58.9</v>
      </c>
      <c r="O15" s="334">
        <f t="shared" si="3"/>
        <v>528.70000000000005</v>
      </c>
      <c r="P15" s="334">
        <v>73.5</v>
      </c>
      <c r="Q15" s="334">
        <v>11.6</v>
      </c>
      <c r="R15" s="334">
        <f t="shared" si="7"/>
        <v>85.1</v>
      </c>
      <c r="S15" s="353">
        <f t="shared" si="4"/>
        <v>3.6340130508795152</v>
      </c>
      <c r="T15" s="353">
        <f t="shared" si="5"/>
        <v>3.2447511373425799</v>
      </c>
      <c r="U15" s="334">
        <v>2.5034076175040481</v>
      </c>
      <c r="V15" s="334">
        <v>2.9059304646372079</v>
      </c>
      <c r="W15" s="334"/>
      <c r="X15" s="334">
        <v>2.9954385169812268</v>
      </c>
      <c r="Y15" s="334">
        <f t="shared" si="6"/>
        <v>0.92316433223734451</v>
      </c>
    </row>
    <row r="16" spans="1:25" ht="15">
      <c r="A16" s="334" t="s">
        <v>7681</v>
      </c>
      <c r="B16" s="334"/>
      <c r="C16" s="350" t="s">
        <v>8018</v>
      </c>
      <c r="D16" s="334"/>
      <c r="E16" s="334" t="s">
        <v>7996</v>
      </c>
      <c r="F16" s="334" t="s">
        <v>7817</v>
      </c>
      <c r="G16" s="334"/>
      <c r="H16" s="334"/>
      <c r="I16" s="334">
        <v>1410.9690721649486</v>
      </c>
      <c r="J16" s="353">
        <f t="shared" si="1"/>
        <v>236.41838809391308</v>
      </c>
      <c r="K16" s="334">
        <v>6</v>
      </c>
      <c r="L16" s="353">
        <f t="shared" si="2"/>
        <v>0.16755745590593266</v>
      </c>
      <c r="M16" s="334">
        <v>328.2</v>
      </c>
      <c r="N16" s="334">
        <v>46</v>
      </c>
      <c r="O16" s="334">
        <f t="shared" si="3"/>
        <v>374.2</v>
      </c>
      <c r="P16" s="334">
        <v>53.3</v>
      </c>
      <c r="Q16" s="334">
        <v>9.4</v>
      </c>
      <c r="R16" s="334">
        <f t="shared" si="7"/>
        <v>62.699999999999996</v>
      </c>
      <c r="S16" s="353">
        <f t="shared" si="4"/>
        <v>2.9911838809391309</v>
      </c>
      <c r="T16" s="353">
        <f t="shared" si="5"/>
        <v>3.4065693612552965</v>
      </c>
      <c r="U16" s="334">
        <v>2.4347075427105169</v>
      </c>
      <c r="V16" s="334">
        <v>2.5263967071191131</v>
      </c>
      <c r="W16" s="334"/>
      <c r="X16" s="334">
        <v>2.6517144285252661</v>
      </c>
      <c r="Y16" s="334">
        <f t="shared" si="6"/>
        <v>0.77841198793267141</v>
      </c>
    </row>
    <row r="17" spans="1:25" ht="15">
      <c r="A17" s="334" t="s">
        <v>7681</v>
      </c>
      <c r="B17" s="334"/>
      <c r="C17" s="350" t="s">
        <v>8019</v>
      </c>
      <c r="D17" s="334"/>
      <c r="E17" s="334" t="s">
        <v>7995</v>
      </c>
      <c r="F17" s="334" t="s">
        <v>7817</v>
      </c>
      <c r="G17" s="334"/>
      <c r="H17" s="334"/>
      <c r="I17" s="334">
        <v>1180.6092715231789</v>
      </c>
      <c r="J17" s="353">
        <f t="shared" si="1"/>
        <v>211.63027317592659</v>
      </c>
      <c r="K17" s="334">
        <v>6</v>
      </c>
      <c r="L17" s="353">
        <f t="shared" si="2"/>
        <v>0.17925513400626522</v>
      </c>
      <c r="M17" s="334">
        <v>245.2</v>
      </c>
      <c r="N17" s="334">
        <v>42.1</v>
      </c>
      <c r="O17" s="334">
        <f t="shared" si="3"/>
        <v>287.3</v>
      </c>
      <c r="P17" s="334">
        <v>42.5</v>
      </c>
      <c r="Q17" s="334">
        <v>9</v>
      </c>
      <c r="R17" s="334">
        <f t="shared" si="7"/>
        <v>51.5</v>
      </c>
      <c r="S17" s="353">
        <f t="shared" si="4"/>
        <v>2.6313027317592663</v>
      </c>
      <c r="T17" s="353">
        <f t="shared" si="5"/>
        <v>3.5175097495215595</v>
      </c>
      <c r="U17" s="334">
        <v>2.3885323902045896</v>
      </c>
      <c r="V17" s="334">
        <v>2.3949309140213648</v>
      </c>
      <c r="W17" s="334"/>
      <c r="X17" s="334">
        <v>2.5723704014924649</v>
      </c>
      <c r="Y17" s="334">
        <f t="shared" si="6"/>
        <v>0.7313044126863758</v>
      </c>
    </row>
    <row r="18" spans="1:25" ht="15">
      <c r="A18" s="334" t="s">
        <v>7681</v>
      </c>
      <c r="B18" s="334"/>
      <c r="C18" s="350" t="s">
        <v>8020</v>
      </c>
      <c r="D18" s="334"/>
      <c r="E18" s="334" t="s">
        <v>7996</v>
      </c>
      <c r="F18" s="334" t="s">
        <v>7817</v>
      </c>
      <c r="G18" s="334"/>
      <c r="H18" s="334"/>
      <c r="I18" s="334">
        <v>2377.8217821782177</v>
      </c>
      <c r="J18" s="353">
        <f t="shared" si="1"/>
        <v>376.73048239502657</v>
      </c>
      <c r="K18" s="334">
        <v>7</v>
      </c>
      <c r="L18" s="353">
        <f t="shared" si="2"/>
        <v>0.15843512126040007</v>
      </c>
      <c r="M18" s="334">
        <v>493.6</v>
      </c>
      <c r="N18" s="334">
        <v>71.3</v>
      </c>
      <c r="O18" s="334">
        <f t="shared" si="3"/>
        <v>564.9</v>
      </c>
      <c r="P18" s="334">
        <v>75.099999999999994</v>
      </c>
      <c r="Q18" s="334">
        <v>14.4</v>
      </c>
      <c r="R18" s="334">
        <f t="shared" si="7"/>
        <v>89.5</v>
      </c>
      <c r="S18" s="353">
        <f t="shared" si="4"/>
        <v>4.662304823950266</v>
      </c>
      <c r="T18" s="353">
        <f t="shared" si="5"/>
        <v>3.0487923628560631</v>
      </c>
      <c r="U18" s="334">
        <v>3.0943988071433526</v>
      </c>
      <c r="V18" s="334">
        <v>3.0279832214765086</v>
      </c>
      <c r="W18" s="334"/>
      <c r="X18" s="334">
        <v>3.2980928807480527</v>
      </c>
      <c r="Y18" s="334">
        <f t="shared" si="6"/>
        <v>1.0817702513720706</v>
      </c>
    </row>
    <row r="19" spans="1:25" ht="15">
      <c r="A19" s="335" t="s">
        <v>7680</v>
      </c>
      <c r="B19" s="335"/>
      <c r="C19" s="349" t="s">
        <v>8021</v>
      </c>
      <c r="D19" s="335"/>
      <c r="E19" s="335" t="s">
        <v>7995</v>
      </c>
      <c r="F19" s="335" t="s">
        <v>7819</v>
      </c>
      <c r="G19" s="335"/>
      <c r="H19" s="335"/>
      <c r="I19" s="335">
        <v>2960</v>
      </c>
      <c r="J19" s="352">
        <f t="shared" si="1"/>
        <v>431.86885245901647</v>
      </c>
      <c r="K19" s="335">
        <v>7</v>
      </c>
      <c r="L19" s="352">
        <f t="shared" si="2"/>
        <v>0.14590163934426231</v>
      </c>
      <c r="M19" s="335">
        <v>285</v>
      </c>
      <c r="N19" s="335">
        <v>386</v>
      </c>
      <c r="O19" s="335">
        <f t="shared" si="3"/>
        <v>671</v>
      </c>
      <c r="P19" s="335">
        <v>42.2</v>
      </c>
      <c r="Q19" s="335">
        <v>55.7</v>
      </c>
      <c r="R19" s="335">
        <f t="shared" si="7"/>
        <v>97.9</v>
      </c>
      <c r="S19" s="352">
        <f t="shared" si="4"/>
        <v>5.2976885245901641</v>
      </c>
      <c r="T19" s="352">
        <f t="shared" si="5"/>
        <v>2.9529521445639588</v>
      </c>
      <c r="U19" s="335">
        <v>2.7972561006975578</v>
      </c>
      <c r="V19" s="335">
        <v>1.7363631929462489</v>
      </c>
      <c r="W19" s="333"/>
      <c r="X19" s="335">
        <v>2.1427422121631299</v>
      </c>
      <c r="Y19" s="335">
        <f>X19/T19</f>
        <v>0.7256271376113117</v>
      </c>
    </row>
    <row r="20" spans="1:25" ht="15">
      <c r="A20" s="335" t="s">
        <v>7680</v>
      </c>
      <c r="B20" s="335"/>
      <c r="C20" s="349" t="s">
        <v>8022</v>
      </c>
      <c r="D20" s="335"/>
      <c r="E20" s="335" t="s">
        <v>7997</v>
      </c>
      <c r="F20" s="335" t="s">
        <v>7819</v>
      </c>
      <c r="G20" s="335"/>
      <c r="H20" s="335"/>
      <c r="I20" s="335">
        <v>4770</v>
      </c>
      <c r="J20" s="352">
        <f t="shared" si="1"/>
        <v>573.41153081510924</v>
      </c>
      <c r="K20" s="335">
        <v>7</v>
      </c>
      <c r="L20" s="352">
        <f t="shared" si="2"/>
        <v>0.12021206096752815</v>
      </c>
      <c r="M20" s="335">
        <v>700</v>
      </c>
      <c r="N20" s="335">
        <v>809</v>
      </c>
      <c r="O20" s="335">
        <f t="shared" si="3"/>
        <v>1509</v>
      </c>
      <c r="P20" s="335">
        <v>84.8</v>
      </c>
      <c r="Q20" s="335">
        <v>96.6</v>
      </c>
      <c r="R20" s="335">
        <f t="shared" si="7"/>
        <v>181.39999999999998</v>
      </c>
      <c r="S20" s="352">
        <f t="shared" si="4"/>
        <v>7.5481153081510923</v>
      </c>
      <c r="T20" s="352">
        <f t="shared" si="5"/>
        <v>2.7028278328241937</v>
      </c>
      <c r="U20" s="335">
        <v>3.8193258853288463</v>
      </c>
      <c r="V20" s="335">
        <v>2.0254397711100496</v>
      </c>
      <c r="W20" s="333"/>
      <c r="X20" s="335">
        <v>3.6381539237542002</v>
      </c>
      <c r="Y20" s="335">
        <f t="shared" si="6"/>
        <v>1.3460546319565909</v>
      </c>
    </row>
    <row r="21" spans="1:25" ht="15">
      <c r="A21" s="335" t="s">
        <v>7680</v>
      </c>
      <c r="B21" s="335"/>
      <c r="C21" s="349" t="s">
        <v>8023</v>
      </c>
      <c r="D21" s="335"/>
      <c r="E21" s="335" t="s">
        <v>7996</v>
      </c>
      <c r="F21" s="335" t="s">
        <v>7819</v>
      </c>
      <c r="G21" s="335"/>
      <c r="H21" s="335"/>
      <c r="I21" s="335">
        <v>2766</v>
      </c>
      <c r="J21" s="352">
        <f t="shared" si="1"/>
        <v>389.55797373358348</v>
      </c>
      <c r="K21" s="335">
        <v>8</v>
      </c>
      <c r="L21" s="352">
        <f t="shared" si="2"/>
        <v>0.14083802376485302</v>
      </c>
      <c r="M21" s="335">
        <v>329.4</v>
      </c>
      <c r="N21" s="335">
        <v>470.1</v>
      </c>
      <c r="O21" s="335">
        <f t="shared" si="3"/>
        <v>799.5</v>
      </c>
      <c r="P21" s="335">
        <v>47.6</v>
      </c>
      <c r="Q21" s="335">
        <v>65</v>
      </c>
      <c r="R21" s="335">
        <f t="shared" si="7"/>
        <v>112.6</v>
      </c>
      <c r="S21" s="352">
        <f t="shared" si="4"/>
        <v>5.0215797373358351</v>
      </c>
      <c r="T21" s="352">
        <f t="shared" si="5"/>
        <v>2.9927326602051427</v>
      </c>
      <c r="U21" s="335">
        <v>2.9423610429753699</v>
      </c>
      <c r="V21" s="335">
        <v>2.1109187431091514</v>
      </c>
      <c r="W21" s="333"/>
      <c r="X21" s="335">
        <v>2.6917271604697599</v>
      </c>
      <c r="Y21" s="335">
        <f t="shared" si="6"/>
        <v>0.89942118661720027</v>
      </c>
    </row>
    <row r="22" spans="1:25" s="219" customFormat="1" ht="15.75" thickBot="1">
      <c r="A22" s="335" t="s">
        <v>7680</v>
      </c>
      <c r="B22" s="335"/>
      <c r="C22" s="349" t="s">
        <v>8024</v>
      </c>
      <c r="D22" s="335"/>
      <c r="E22" s="335" t="s">
        <v>7998</v>
      </c>
      <c r="F22" s="335" t="s">
        <v>7819</v>
      </c>
      <c r="G22" s="335"/>
      <c r="H22" s="335"/>
      <c r="I22" s="335">
        <v>4172</v>
      </c>
      <c r="J22" s="352">
        <f t="shared" si="1"/>
        <v>530.71732595887943</v>
      </c>
      <c r="K22" s="335">
        <v>7</v>
      </c>
      <c r="L22" s="352">
        <f t="shared" si="2"/>
        <v>0.12720933028736323</v>
      </c>
      <c r="M22" s="335">
        <v>347.7</v>
      </c>
      <c r="N22" s="335">
        <v>484</v>
      </c>
      <c r="O22" s="335">
        <f t="shared" si="3"/>
        <v>831.7</v>
      </c>
      <c r="P22" s="335">
        <v>47.2</v>
      </c>
      <c r="Q22" s="335">
        <v>58.6</v>
      </c>
      <c r="R22" s="335">
        <f t="shared" si="7"/>
        <v>105.80000000000001</v>
      </c>
      <c r="S22" s="352">
        <f t="shared" si="4"/>
        <v>6.3651732595887935</v>
      </c>
      <c r="T22" s="352">
        <f t="shared" si="5"/>
        <v>2.8204957950630347</v>
      </c>
      <c r="U22" s="335">
        <v>3.4052564685314692</v>
      </c>
      <c r="V22" s="335">
        <v>1.8828263419483098</v>
      </c>
      <c r="W22" s="333"/>
      <c r="X22" s="335">
        <v>2.2509282852248473</v>
      </c>
      <c r="Y22" s="335">
        <f t="shared" si="6"/>
        <v>0.79806120936781677</v>
      </c>
    </row>
    <row r="23" spans="1:25" s="332" customFormat="1" ht="15.75" thickTop="1">
      <c r="A23" s="335" t="s">
        <v>7680</v>
      </c>
      <c r="B23" s="335"/>
      <c r="C23" s="349" t="s">
        <v>8025</v>
      </c>
      <c r="D23" s="335"/>
      <c r="E23" s="335" t="s">
        <v>7995</v>
      </c>
      <c r="F23" s="335" t="s">
        <v>7819</v>
      </c>
      <c r="G23" s="335"/>
      <c r="H23" s="335"/>
      <c r="I23" s="335">
        <v>2462</v>
      </c>
      <c r="J23" s="352">
        <f t="shared" si="1"/>
        <v>377.33024462564867</v>
      </c>
      <c r="K23" s="335">
        <v>7</v>
      </c>
      <c r="L23" s="352">
        <f t="shared" si="2"/>
        <v>0.1532616753150482</v>
      </c>
      <c r="M23" s="335">
        <v>221.1</v>
      </c>
      <c r="N23" s="335">
        <v>318.5</v>
      </c>
      <c r="O23" s="335">
        <f t="shared" si="3"/>
        <v>539.6</v>
      </c>
      <c r="P23" s="335">
        <v>34.5</v>
      </c>
      <c r="Q23" s="335">
        <v>48.2</v>
      </c>
      <c r="R23" s="335">
        <f t="shared" si="7"/>
        <v>82.7</v>
      </c>
      <c r="S23" s="352">
        <f t="shared" si="4"/>
        <v>4.600302446256487</v>
      </c>
      <c r="T23" s="352">
        <f t="shared" si="5"/>
        <v>3.0590136695640915</v>
      </c>
      <c r="U23" s="335">
        <v>2.9117358616271622</v>
      </c>
      <c r="V23" s="335">
        <v>1.9126071273777998</v>
      </c>
      <c r="W23" s="333"/>
      <c r="X23" s="335">
        <v>2.1536260491526051</v>
      </c>
      <c r="Y23" s="335">
        <f t="shared" si="6"/>
        <v>0.70402629140898743</v>
      </c>
    </row>
    <row r="24" spans="1:25" s="332" customFormat="1" ht="15">
      <c r="A24" s="335" t="s">
        <v>7680</v>
      </c>
      <c r="B24" s="335"/>
      <c r="C24" s="349" t="s">
        <v>8026</v>
      </c>
      <c r="D24" s="335"/>
      <c r="E24" s="335" t="s">
        <v>7997</v>
      </c>
      <c r="F24" s="335" t="s">
        <v>7819</v>
      </c>
      <c r="G24" s="335"/>
      <c r="H24" s="335"/>
      <c r="I24" s="335">
        <v>4150</v>
      </c>
      <c r="J24" s="352">
        <f t="shared" si="1"/>
        <v>496.51915340213401</v>
      </c>
      <c r="K24" s="335">
        <v>7</v>
      </c>
      <c r="L24" s="352">
        <f t="shared" si="2"/>
        <v>0.11964316949449012</v>
      </c>
      <c r="M24" s="335">
        <v>529.4</v>
      </c>
      <c r="N24" s="335">
        <v>614</v>
      </c>
      <c r="O24" s="335">
        <f t="shared" si="3"/>
        <v>1143.4000000000001</v>
      </c>
      <c r="P24" s="335">
        <v>64.400000000000006</v>
      </c>
      <c r="Q24" s="335">
        <v>72.400000000000006</v>
      </c>
      <c r="R24" s="335">
        <f t="shared" si="7"/>
        <v>136.80000000000001</v>
      </c>
      <c r="S24" s="352">
        <f t="shared" si="4"/>
        <v>6.3331915340213403</v>
      </c>
      <c r="T24" s="352">
        <f t="shared" si="5"/>
        <v>2.824049848488428</v>
      </c>
      <c r="U24" s="335">
        <v>3.3763158130723068</v>
      </c>
      <c r="V24" s="335">
        <v>2.4188031088082931</v>
      </c>
      <c r="W24" s="333"/>
      <c r="X24" s="335">
        <v>3.3648417661527317</v>
      </c>
      <c r="Y24" s="335">
        <f t="shared" si="6"/>
        <v>1.1914951741923969</v>
      </c>
    </row>
    <row r="25" spans="1:25" s="332" customFormat="1" ht="15">
      <c r="A25" s="335" t="s">
        <v>7680</v>
      </c>
      <c r="B25" s="335"/>
      <c r="C25" s="349" t="s">
        <v>8027</v>
      </c>
      <c r="D25" s="335"/>
      <c r="E25" s="335" t="s">
        <v>7996</v>
      </c>
      <c r="F25" s="335" t="s">
        <v>7819</v>
      </c>
      <c r="G25" s="335"/>
      <c r="H25" s="335"/>
      <c r="I25" s="335">
        <v>3838</v>
      </c>
      <c r="J25" s="352">
        <f t="shared" si="1"/>
        <v>503.23983402489631</v>
      </c>
      <c r="K25" s="335">
        <v>8</v>
      </c>
      <c r="L25" s="352">
        <f t="shared" si="2"/>
        <v>0.13112033195020747</v>
      </c>
      <c r="M25" s="335">
        <v>506</v>
      </c>
      <c r="N25" s="335">
        <v>699</v>
      </c>
      <c r="O25" s="335">
        <f t="shared" si="3"/>
        <v>1205</v>
      </c>
      <c r="P25" s="335">
        <v>67.5</v>
      </c>
      <c r="Q25" s="335">
        <v>90.5</v>
      </c>
      <c r="R25" s="335">
        <f t="shared" si="7"/>
        <v>158</v>
      </c>
      <c r="S25" s="352">
        <f t="shared" si="4"/>
        <v>6.6123983402489621</v>
      </c>
      <c r="T25" s="352">
        <f t="shared" si="5"/>
        <v>2.79375464111948</v>
      </c>
      <c r="U25" s="335">
        <v>3.4049004158004186</v>
      </c>
      <c r="V25" s="335">
        <v>1.9954761386138593</v>
      </c>
      <c r="W25" s="333"/>
      <c r="X25" s="335">
        <v>3.1034228996224522</v>
      </c>
      <c r="Y25" s="335">
        <f t="shared" si="6"/>
        <v>1.1108430403819878</v>
      </c>
    </row>
    <row r="26" spans="1:25" s="332" customFormat="1" ht="15">
      <c r="A26" s="335" t="s">
        <v>7680</v>
      </c>
      <c r="B26" s="335"/>
      <c r="C26" s="349" t="s">
        <v>8028</v>
      </c>
      <c r="D26" s="335"/>
      <c r="E26" s="335" t="s">
        <v>7998</v>
      </c>
      <c r="F26" s="335" t="s">
        <v>7819</v>
      </c>
      <c r="G26" s="335"/>
      <c r="H26" s="335"/>
      <c r="I26" s="335">
        <v>5722</v>
      </c>
      <c r="J26" s="352">
        <f t="shared" si="1"/>
        <v>639.53311019229511</v>
      </c>
      <c r="K26" s="335">
        <v>6</v>
      </c>
      <c r="L26" s="352">
        <f t="shared" si="2"/>
        <v>0.11176740828247031</v>
      </c>
      <c r="M26" s="335">
        <v>699.1</v>
      </c>
      <c r="N26" s="335">
        <v>824.6</v>
      </c>
      <c r="O26" s="335">
        <f t="shared" si="3"/>
        <v>1523.7</v>
      </c>
      <c r="P26" s="335">
        <v>80.5</v>
      </c>
      <c r="Q26" s="335">
        <v>89.8</v>
      </c>
      <c r="R26" s="335">
        <f t="shared" si="7"/>
        <v>170.3</v>
      </c>
      <c r="S26" s="352">
        <f t="shared" si="4"/>
        <v>8.0983311019229518</v>
      </c>
      <c r="T26" s="352">
        <f t="shared" si="5"/>
        <v>2.6557007225812947</v>
      </c>
      <c r="U26" s="335">
        <v>3.8908968972388318</v>
      </c>
      <c r="V26" s="335">
        <v>2.5705911528150152</v>
      </c>
      <c r="W26" s="333"/>
      <c r="X26" s="335">
        <v>3.3590642251051461</v>
      </c>
      <c r="Y26" s="335">
        <f t="shared" si="6"/>
        <v>1.2648504391112996</v>
      </c>
    </row>
    <row r="27" spans="1:25" s="332" customFormat="1" ht="15">
      <c r="A27" s="335" t="s">
        <v>7680</v>
      </c>
      <c r="B27" s="335"/>
      <c r="C27" s="349" t="s">
        <v>8029</v>
      </c>
      <c r="D27" s="335"/>
      <c r="E27" s="335" t="s">
        <v>7995</v>
      </c>
      <c r="F27" s="335" t="s">
        <v>7817</v>
      </c>
      <c r="G27" s="335"/>
      <c r="H27" s="335"/>
      <c r="I27" s="335">
        <v>5724</v>
      </c>
      <c r="J27" s="352">
        <f t="shared" si="1"/>
        <v>719.99366085578447</v>
      </c>
      <c r="K27" s="335">
        <v>7</v>
      </c>
      <c r="L27" s="352">
        <f t="shared" si="2"/>
        <v>0.12578505605446968</v>
      </c>
      <c r="M27" s="335">
        <v>582.79999999999995</v>
      </c>
      <c r="N27" s="335">
        <v>1120.9000000000001</v>
      </c>
      <c r="O27" s="335">
        <f t="shared" si="3"/>
        <v>1703.7</v>
      </c>
      <c r="P27" s="335">
        <v>68.7</v>
      </c>
      <c r="Q27" s="335">
        <v>145.6</v>
      </c>
      <c r="R27" s="335">
        <f t="shared" si="7"/>
        <v>214.3</v>
      </c>
      <c r="S27" s="352">
        <f t="shared" si="4"/>
        <v>9.3429366085578458</v>
      </c>
      <c r="T27" s="352">
        <f t="shared" si="5"/>
        <v>2.5624604051803019</v>
      </c>
      <c r="U27" s="335">
        <v>3.3808041066190437</v>
      </c>
      <c r="V27" s="335">
        <v>1.8273288318306635</v>
      </c>
      <c r="W27" s="333"/>
      <c r="X27" s="335">
        <v>2.66682918292963</v>
      </c>
      <c r="Y27" s="335">
        <f t="shared" si="6"/>
        <v>1.0407299084654478</v>
      </c>
    </row>
    <row r="28" spans="1:25" s="332" customFormat="1" ht="15">
      <c r="A28" s="335" t="s">
        <v>7680</v>
      </c>
      <c r="B28" s="335"/>
      <c r="C28" s="349" t="s">
        <v>8030</v>
      </c>
      <c r="D28" s="335"/>
      <c r="E28" s="335" t="s">
        <v>7997</v>
      </c>
      <c r="F28" s="335" t="s">
        <v>7817</v>
      </c>
      <c r="G28" s="335"/>
      <c r="H28" s="335"/>
      <c r="I28" s="335">
        <v>5134</v>
      </c>
      <c r="J28" s="352">
        <f t="shared" si="1"/>
        <v>608.33951909885195</v>
      </c>
      <c r="K28" s="335">
        <v>7</v>
      </c>
      <c r="L28" s="352">
        <f t="shared" si="2"/>
        <v>0.11849230991407322</v>
      </c>
      <c r="M28" s="335">
        <v>576</v>
      </c>
      <c r="N28" s="335">
        <v>808.9</v>
      </c>
      <c r="O28" s="335">
        <f t="shared" si="3"/>
        <v>1384.9</v>
      </c>
      <c r="P28" s="335">
        <v>64.900000000000006</v>
      </c>
      <c r="Q28" s="335">
        <v>99.2</v>
      </c>
      <c r="R28" s="335">
        <f t="shared" si="7"/>
        <v>164.10000000000002</v>
      </c>
      <c r="S28" s="352">
        <f t="shared" si="4"/>
        <v>7.7243951909885196</v>
      </c>
      <c r="T28" s="352">
        <f t="shared" si="5"/>
        <v>2.6872736445001522</v>
      </c>
      <c r="U28" s="335">
        <v>3.7093955301304118</v>
      </c>
      <c r="V28" s="335">
        <v>2.1595443930224216</v>
      </c>
      <c r="W28" s="333"/>
      <c r="X28" s="335">
        <v>2.9449980383193228</v>
      </c>
      <c r="Y28" s="335">
        <f t="shared" si="6"/>
        <v>1.0959055265349089</v>
      </c>
    </row>
    <row r="29" spans="1:25" s="332" customFormat="1" ht="15">
      <c r="A29" s="335" t="s">
        <v>7680</v>
      </c>
      <c r="B29" s="335"/>
      <c r="C29" s="349" t="s">
        <v>8031</v>
      </c>
      <c r="D29" s="335"/>
      <c r="E29" s="335" t="s">
        <v>7996</v>
      </c>
      <c r="F29" s="335" t="s">
        <v>7817</v>
      </c>
      <c r="G29" s="335"/>
      <c r="H29" s="335"/>
      <c r="I29" s="335">
        <v>4106</v>
      </c>
      <c r="J29" s="352">
        <f t="shared" si="1"/>
        <v>589.17663136317037</v>
      </c>
      <c r="K29" s="335">
        <v>7</v>
      </c>
      <c r="L29" s="352">
        <f t="shared" si="2"/>
        <v>0.14349162965493678</v>
      </c>
      <c r="M29" s="335">
        <v>305.60000000000002</v>
      </c>
      <c r="N29" s="335">
        <v>572.5</v>
      </c>
      <c r="O29" s="335">
        <f t="shared" si="3"/>
        <v>878.1</v>
      </c>
      <c r="P29" s="335">
        <v>42.2</v>
      </c>
      <c r="Q29" s="335">
        <v>83.8</v>
      </c>
      <c r="R29" s="335">
        <f t="shared" si="7"/>
        <v>126</v>
      </c>
      <c r="S29" s="352">
        <f t="shared" si="4"/>
        <v>7.151766313631704</v>
      </c>
      <c r="T29" s="352">
        <f t="shared" si="5"/>
        <v>2.7395213234286948</v>
      </c>
      <c r="U29" s="335">
        <v>2.8240577615265909</v>
      </c>
      <c r="V29" s="335">
        <v>1.8945703476678475</v>
      </c>
      <c r="W29" s="333"/>
      <c r="X29" s="335">
        <v>2.0541955567026484</v>
      </c>
      <c r="Y29" s="335">
        <f t="shared" si="6"/>
        <v>0.74983740375916652</v>
      </c>
    </row>
    <row r="30" spans="1:25" s="332" customFormat="1" ht="15">
      <c r="A30" s="335" t="s">
        <v>7680</v>
      </c>
      <c r="B30" s="335"/>
      <c r="C30" s="349" t="s">
        <v>8032</v>
      </c>
      <c r="D30" s="335"/>
      <c r="E30" s="335" t="s">
        <v>7998</v>
      </c>
      <c r="F30" s="335" t="s">
        <v>7817</v>
      </c>
      <c r="G30" s="335"/>
      <c r="H30" s="335"/>
      <c r="I30" s="335">
        <v>5576</v>
      </c>
      <c r="J30" s="352">
        <f t="shared" si="1"/>
        <v>692.9093043274122</v>
      </c>
      <c r="K30" s="335">
        <v>7</v>
      </c>
      <c r="L30" s="352">
        <f t="shared" si="2"/>
        <v>0.12426637452069803</v>
      </c>
      <c r="M30" s="335">
        <v>479</v>
      </c>
      <c r="N30" s="335">
        <v>798.9</v>
      </c>
      <c r="O30" s="335">
        <f t="shared" si="3"/>
        <v>1277.9000000000001</v>
      </c>
      <c r="P30" s="335">
        <v>57.4</v>
      </c>
      <c r="Q30" s="335">
        <v>101.4</v>
      </c>
      <c r="R30" s="335">
        <f t="shared" si="7"/>
        <v>158.80000000000001</v>
      </c>
      <c r="S30" s="352">
        <f t="shared" si="4"/>
        <v>8.5170930432741212</v>
      </c>
      <c r="T30" s="352">
        <f t="shared" si="5"/>
        <v>2.6224376180470306</v>
      </c>
      <c r="U30" s="335">
        <v>3.9261903402763423</v>
      </c>
      <c r="V30" s="335">
        <v>1.8383415334816948</v>
      </c>
      <c r="W30" s="333"/>
      <c r="X30" s="335">
        <v>2.6935875626738381</v>
      </c>
      <c r="Y30" s="335">
        <f t="shared" si="6"/>
        <v>1.0271312248334028</v>
      </c>
    </row>
    <row r="31" spans="1:25" s="332" customFormat="1" ht="15">
      <c r="A31" s="335" t="s">
        <v>7680</v>
      </c>
      <c r="B31" s="335"/>
      <c r="C31" s="349" t="s">
        <v>8033</v>
      </c>
      <c r="D31" s="335"/>
      <c r="E31" s="335" t="s">
        <v>7995</v>
      </c>
      <c r="F31" s="335" t="s">
        <v>7817</v>
      </c>
      <c r="G31" s="335"/>
      <c r="H31" s="335"/>
      <c r="I31" s="335">
        <v>4472</v>
      </c>
      <c r="J31" s="352">
        <f t="shared" si="1"/>
        <v>673.03856884949948</v>
      </c>
      <c r="K31" s="335">
        <v>6</v>
      </c>
      <c r="L31" s="352">
        <f t="shared" si="2"/>
        <v>0.15050057442967341</v>
      </c>
      <c r="M31" s="335">
        <v>204.3</v>
      </c>
      <c r="N31" s="335">
        <v>405</v>
      </c>
      <c r="O31" s="335">
        <f t="shared" si="3"/>
        <v>609.29999999999995</v>
      </c>
      <c r="P31" s="335">
        <v>30.1</v>
      </c>
      <c r="Q31" s="335">
        <v>61.6</v>
      </c>
      <c r="R31" s="335">
        <f t="shared" si="7"/>
        <v>91.7</v>
      </c>
      <c r="S31" s="352">
        <f t="shared" si="4"/>
        <v>7.6473856884949951</v>
      </c>
      <c r="T31" s="352">
        <f t="shared" si="5"/>
        <v>2.6940134864596805</v>
      </c>
      <c r="U31" s="335">
        <v>3.1736064920693465</v>
      </c>
      <c r="V31" s="335">
        <v>1.6340516624040895</v>
      </c>
      <c r="W31" s="333"/>
      <c r="X31" s="335">
        <v>1.4537052175790901</v>
      </c>
      <c r="Y31" s="335">
        <f t="shared" si="6"/>
        <v>0.53960576845124364</v>
      </c>
    </row>
    <row r="32" spans="1:25" s="332" customFormat="1" ht="15">
      <c r="A32" s="335" t="s">
        <v>7680</v>
      </c>
      <c r="B32" s="335"/>
      <c r="C32" s="349" t="s">
        <v>8034</v>
      </c>
      <c r="D32" s="335"/>
      <c r="E32" s="335" t="s">
        <v>7997</v>
      </c>
      <c r="F32" s="335" t="s">
        <v>7817</v>
      </c>
      <c r="G32" s="335"/>
      <c r="H32" s="335"/>
      <c r="I32" s="335">
        <v>6692</v>
      </c>
      <c r="J32" s="352">
        <f t="shared" si="1"/>
        <v>803.16465970327999</v>
      </c>
      <c r="K32" s="335">
        <v>7</v>
      </c>
      <c r="L32" s="352">
        <f t="shared" si="2"/>
        <v>0.12001862816845188</v>
      </c>
      <c r="M32" s="335">
        <v>596.9</v>
      </c>
      <c r="N32" s="335">
        <v>906.2</v>
      </c>
      <c r="O32" s="335">
        <f t="shared" si="3"/>
        <v>1503.1</v>
      </c>
      <c r="P32" s="335">
        <v>68.2</v>
      </c>
      <c r="Q32" s="335">
        <v>112.2</v>
      </c>
      <c r="R32" s="335">
        <f t="shared" si="7"/>
        <v>180.4</v>
      </c>
      <c r="S32" s="352">
        <f t="shared" si="4"/>
        <v>9.8356465970327989</v>
      </c>
      <c r="T32" s="352">
        <f t="shared" si="5"/>
        <v>2.5297481387557017</v>
      </c>
      <c r="U32" s="335">
        <v>3.7374319484240597</v>
      </c>
      <c r="V32" s="335">
        <v>2.1078045908607921</v>
      </c>
      <c r="W32" s="333"/>
      <c r="X32" s="335">
        <v>2.6407408686913643</v>
      </c>
      <c r="Y32" s="335">
        <f t="shared" si="6"/>
        <v>1.0438750119963547</v>
      </c>
    </row>
    <row r="33" spans="1:25" s="332" customFormat="1" ht="15">
      <c r="A33" s="335" t="s">
        <v>7680</v>
      </c>
      <c r="B33" s="335"/>
      <c r="C33" s="349" t="s">
        <v>8035</v>
      </c>
      <c r="D33" s="335"/>
      <c r="E33" s="335" t="s">
        <v>7996</v>
      </c>
      <c r="F33" s="335" t="s">
        <v>7817</v>
      </c>
      <c r="G33" s="335"/>
      <c r="H33" s="335"/>
      <c r="I33" s="335">
        <v>4192</v>
      </c>
      <c r="J33" s="352">
        <f t="shared" si="1"/>
        <v>565.19952587909927</v>
      </c>
      <c r="K33" s="335">
        <v>7</v>
      </c>
      <c r="L33" s="352">
        <f t="shared" si="2"/>
        <v>0.13482813117344924</v>
      </c>
      <c r="M33" s="335">
        <v>374.9</v>
      </c>
      <c r="N33" s="335">
        <v>637.5</v>
      </c>
      <c r="O33" s="335">
        <f t="shared" si="3"/>
        <v>1012.4</v>
      </c>
      <c r="P33" s="335">
        <v>48</v>
      </c>
      <c r="Q33" s="335">
        <v>88.5</v>
      </c>
      <c r="R33" s="335">
        <f t="shared" si="7"/>
        <v>136.5</v>
      </c>
      <c r="S33" s="352">
        <f t="shared" si="4"/>
        <v>7.0169952587909927</v>
      </c>
      <c r="T33" s="352">
        <f t="shared" si="5"/>
        <v>2.7525816999909352</v>
      </c>
      <c r="U33" s="335">
        <v>2.7735697050474308</v>
      </c>
      <c r="V33" s="335">
        <v>1.6947191808399862</v>
      </c>
      <c r="W33" s="333"/>
      <c r="X33" s="335">
        <v>2.1326217617762224</v>
      </c>
      <c r="Y33" s="335">
        <f t="shared" si="6"/>
        <v>0.7747714670134026</v>
      </c>
    </row>
    <row r="34" spans="1:25" s="332" customFormat="1" ht="15">
      <c r="A34" s="335" t="s">
        <v>7680</v>
      </c>
      <c r="B34" s="335"/>
      <c r="C34" s="349" t="s">
        <v>8036</v>
      </c>
      <c r="D34" s="335"/>
      <c r="E34" s="335" t="s">
        <v>7998</v>
      </c>
      <c r="F34" s="335" t="s">
        <v>7817</v>
      </c>
      <c r="G34" s="335"/>
      <c r="H34" s="335"/>
      <c r="I34" s="335">
        <v>5522</v>
      </c>
      <c r="J34" s="352">
        <f t="shared" si="1"/>
        <v>686.47224394057866</v>
      </c>
      <c r="K34" s="335">
        <v>7</v>
      </c>
      <c r="L34" s="352">
        <f t="shared" si="2"/>
        <v>0.12431587177482409</v>
      </c>
      <c r="M34" s="335">
        <v>506.9</v>
      </c>
      <c r="N34" s="335">
        <v>772.1</v>
      </c>
      <c r="O34" s="335">
        <f t="shared" si="3"/>
        <v>1279</v>
      </c>
      <c r="P34" s="335">
        <v>59.8</v>
      </c>
      <c r="Q34" s="335">
        <v>99.2</v>
      </c>
      <c r="R34" s="335">
        <f t="shared" si="7"/>
        <v>159</v>
      </c>
      <c r="S34" s="352">
        <f t="shared" si="4"/>
        <v>8.4547224394057867</v>
      </c>
      <c r="T34" s="352">
        <f t="shared" si="5"/>
        <v>2.6272607355068867</v>
      </c>
      <c r="U34" s="335">
        <v>3.8286484918957098</v>
      </c>
      <c r="V34" s="335">
        <v>1.8016961150541682</v>
      </c>
      <c r="W34" s="333"/>
      <c r="X34" s="335">
        <v>2.548738409125014</v>
      </c>
      <c r="Y34" s="335">
        <f t="shared" si="6"/>
        <v>0.97011247291878588</v>
      </c>
    </row>
    <row r="35" spans="1:25" s="332" customFormat="1" ht="15">
      <c r="A35" s="334" t="s">
        <v>7994</v>
      </c>
      <c r="B35" s="334"/>
      <c r="C35" s="350" t="s">
        <v>8037</v>
      </c>
      <c r="D35" s="334"/>
      <c r="E35" s="334" t="s">
        <v>7995</v>
      </c>
      <c r="F35" s="334" t="s">
        <v>7819</v>
      </c>
      <c r="G35" s="334"/>
      <c r="H35" s="334"/>
      <c r="I35" s="334">
        <v>1760</v>
      </c>
      <c r="J35" s="353" t="s">
        <v>7709</v>
      </c>
      <c r="K35" s="334">
        <v>8</v>
      </c>
      <c r="L35" s="334" t="s">
        <v>7709</v>
      </c>
      <c r="M35" s="334" t="s">
        <v>7709</v>
      </c>
      <c r="N35" s="334">
        <v>497</v>
      </c>
      <c r="O35" s="334" t="s">
        <v>7709</v>
      </c>
      <c r="P35" s="334" t="s">
        <v>7709</v>
      </c>
      <c r="Q35" s="334">
        <v>171.3</v>
      </c>
      <c r="R35" s="334" t="s">
        <v>7709</v>
      </c>
      <c r="S35" s="353" t="s">
        <v>7709</v>
      </c>
      <c r="T35" s="353" t="s">
        <v>7709</v>
      </c>
      <c r="U35" s="334" t="s">
        <v>7709</v>
      </c>
      <c r="V35" s="334" t="s">
        <v>7709</v>
      </c>
      <c r="W35" s="334"/>
      <c r="X35" s="334" t="s">
        <v>7709</v>
      </c>
      <c r="Y35" s="334" t="s">
        <v>7709</v>
      </c>
    </row>
    <row r="36" spans="1:25" s="332" customFormat="1" ht="15">
      <c r="A36" s="334" t="s">
        <v>7994</v>
      </c>
      <c r="B36" s="334"/>
      <c r="C36" s="350" t="s">
        <v>8038</v>
      </c>
      <c r="D36" s="334"/>
      <c r="E36" s="334" t="s">
        <v>7997</v>
      </c>
      <c r="F36" s="334" t="s">
        <v>7819</v>
      </c>
      <c r="G36" s="334"/>
      <c r="H36" s="334"/>
      <c r="I36" s="334">
        <v>2304</v>
      </c>
      <c r="J36" s="353" t="s">
        <v>7709</v>
      </c>
      <c r="K36" s="334">
        <v>8</v>
      </c>
      <c r="L36" s="334" t="s">
        <v>7709</v>
      </c>
      <c r="M36" s="334" t="s">
        <v>7709</v>
      </c>
      <c r="N36" s="334">
        <v>525.6</v>
      </c>
      <c r="O36" s="334" t="s">
        <v>7709</v>
      </c>
      <c r="P36" s="334" t="s">
        <v>7709</v>
      </c>
      <c r="Q36" s="334">
        <v>194.9</v>
      </c>
      <c r="R36" s="334" t="s">
        <v>7709</v>
      </c>
      <c r="S36" s="353" t="s">
        <v>7709</v>
      </c>
      <c r="T36" s="353" t="s">
        <v>7709</v>
      </c>
      <c r="U36" s="334" t="s">
        <v>7709</v>
      </c>
      <c r="V36" s="334" t="s">
        <v>7709</v>
      </c>
      <c r="W36" s="334"/>
      <c r="X36" s="334" t="s">
        <v>7709</v>
      </c>
      <c r="Y36" s="334" t="s">
        <v>7709</v>
      </c>
    </row>
    <row r="37" spans="1:25" s="332" customFormat="1" ht="15">
      <c r="A37" s="334" t="s">
        <v>7994</v>
      </c>
      <c r="B37" s="334"/>
      <c r="C37" s="350" t="s">
        <v>8039</v>
      </c>
      <c r="D37" s="334"/>
      <c r="E37" s="334" t="s">
        <v>7996</v>
      </c>
      <c r="F37" s="334" t="s">
        <v>7819</v>
      </c>
      <c r="G37" s="334"/>
      <c r="H37" s="334"/>
      <c r="I37" s="334">
        <v>2780</v>
      </c>
      <c r="J37" s="353" t="s">
        <v>7709</v>
      </c>
      <c r="K37" s="334">
        <v>8</v>
      </c>
      <c r="L37" s="334" t="s">
        <v>7709</v>
      </c>
      <c r="M37" s="334" t="s">
        <v>7709</v>
      </c>
      <c r="N37" s="334">
        <v>627.70000000000005</v>
      </c>
      <c r="O37" s="334" t="s">
        <v>7709</v>
      </c>
      <c r="P37" s="334" t="s">
        <v>7709</v>
      </c>
      <c r="Q37" s="334">
        <v>222.4</v>
      </c>
      <c r="R37" s="334" t="s">
        <v>7709</v>
      </c>
      <c r="S37" s="353" t="s">
        <v>7709</v>
      </c>
      <c r="T37" s="353" t="s">
        <v>7709</v>
      </c>
      <c r="U37" s="334" t="s">
        <v>7709</v>
      </c>
      <c r="V37" s="334" t="s">
        <v>7709</v>
      </c>
      <c r="W37" s="334"/>
      <c r="X37" s="334" t="s">
        <v>7709</v>
      </c>
      <c r="Y37" s="334" t="s">
        <v>7709</v>
      </c>
    </row>
    <row r="38" spans="1:25" s="332" customFormat="1" ht="15">
      <c r="A38" s="334" t="s">
        <v>7994</v>
      </c>
      <c r="B38" s="334"/>
      <c r="C38" s="350" t="s">
        <v>8040</v>
      </c>
      <c r="D38" s="334"/>
      <c r="E38" s="334" t="s">
        <v>7998</v>
      </c>
      <c r="F38" s="334" t="s">
        <v>7819</v>
      </c>
      <c r="G38" s="334"/>
      <c r="H38" s="334"/>
      <c r="I38" s="334">
        <v>1860</v>
      </c>
      <c r="J38" s="353" t="s">
        <v>7709</v>
      </c>
      <c r="K38" s="334">
        <v>6</v>
      </c>
      <c r="L38" s="334" t="s">
        <v>7709</v>
      </c>
      <c r="M38" s="334" t="s">
        <v>7709</v>
      </c>
      <c r="N38" s="334">
        <v>366.3</v>
      </c>
      <c r="O38" s="334" t="s">
        <v>7709</v>
      </c>
      <c r="P38" s="334" t="s">
        <v>7709</v>
      </c>
      <c r="Q38" s="334">
        <v>144.30000000000001</v>
      </c>
      <c r="R38" s="334" t="s">
        <v>7709</v>
      </c>
      <c r="S38" s="353" t="s">
        <v>7709</v>
      </c>
      <c r="T38" s="353" t="s">
        <v>7709</v>
      </c>
      <c r="U38" s="334" t="s">
        <v>7709</v>
      </c>
      <c r="V38" s="334" t="s">
        <v>7709</v>
      </c>
      <c r="W38" s="334"/>
      <c r="X38" s="334" t="s">
        <v>7709</v>
      </c>
      <c r="Y38" s="334" t="s">
        <v>7709</v>
      </c>
    </row>
    <row r="39" spans="1:25" s="332" customFormat="1" ht="15">
      <c r="A39" s="334" t="s">
        <v>7994</v>
      </c>
      <c r="B39" s="334"/>
      <c r="C39" s="350" t="s">
        <v>8041</v>
      </c>
      <c r="D39" s="334"/>
      <c r="E39" s="334" t="s">
        <v>7995</v>
      </c>
      <c r="F39" s="334" t="s">
        <v>7817</v>
      </c>
      <c r="G39" s="334"/>
      <c r="H39" s="334"/>
      <c r="I39" s="334">
        <v>2680</v>
      </c>
      <c r="J39" s="353" t="s">
        <v>7709</v>
      </c>
      <c r="K39" s="334">
        <v>8</v>
      </c>
      <c r="L39" s="334" t="s">
        <v>7709</v>
      </c>
      <c r="M39" s="334" t="s">
        <v>7709</v>
      </c>
      <c r="N39" s="334">
        <v>706.1</v>
      </c>
      <c r="O39" s="334" t="s">
        <v>7709</v>
      </c>
      <c r="P39" s="334" t="s">
        <v>7709</v>
      </c>
      <c r="Q39" s="334">
        <v>255.9</v>
      </c>
      <c r="R39" s="334" t="s">
        <v>7709</v>
      </c>
      <c r="S39" s="353" t="s">
        <v>7709</v>
      </c>
      <c r="T39" s="353" t="s">
        <v>7709</v>
      </c>
      <c r="U39" s="334" t="s">
        <v>7709</v>
      </c>
      <c r="V39" s="334" t="s">
        <v>7709</v>
      </c>
      <c r="W39" s="334"/>
      <c r="X39" s="334" t="s">
        <v>7709</v>
      </c>
      <c r="Y39" s="334" t="s">
        <v>7709</v>
      </c>
    </row>
    <row r="40" spans="1:25" ht="15">
      <c r="A40" s="334" t="s">
        <v>7994</v>
      </c>
      <c r="B40" s="334"/>
      <c r="C40" s="350" t="s">
        <v>8042</v>
      </c>
      <c r="D40" s="334"/>
      <c r="E40" s="334" t="s">
        <v>7997</v>
      </c>
      <c r="F40" s="334" t="s">
        <v>7817</v>
      </c>
      <c r="G40" s="334"/>
      <c r="H40" s="334"/>
      <c r="I40" s="334">
        <v>2640</v>
      </c>
      <c r="J40" s="353" t="s">
        <v>7709</v>
      </c>
      <c r="K40" s="334">
        <v>8</v>
      </c>
      <c r="L40" s="334" t="s">
        <v>7709</v>
      </c>
      <c r="M40" s="334" t="s">
        <v>7709</v>
      </c>
      <c r="N40" s="334">
        <v>573.9</v>
      </c>
      <c r="O40" s="334" t="s">
        <v>7709</v>
      </c>
      <c r="P40" s="334" t="s">
        <v>7709</v>
      </c>
      <c r="Q40" s="334">
        <v>225.5</v>
      </c>
      <c r="R40" s="334" t="s">
        <v>7709</v>
      </c>
      <c r="S40" s="353" t="s">
        <v>7709</v>
      </c>
      <c r="T40" s="353" t="s">
        <v>7709</v>
      </c>
      <c r="U40" s="334" t="s">
        <v>7709</v>
      </c>
      <c r="V40" s="334" t="s">
        <v>7709</v>
      </c>
      <c r="W40" s="334"/>
      <c r="X40" s="334" t="s">
        <v>7709</v>
      </c>
      <c r="Y40" s="334" t="s">
        <v>7709</v>
      </c>
    </row>
    <row r="41" spans="1:25" ht="15">
      <c r="A41" s="334" t="s">
        <v>7994</v>
      </c>
      <c r="B41" s="334"/>
      <c r="C41" s="350" t="s">
        <v>8043</v>
      </c>
      <c r="D41" s="334"/>
      <c r="E41" s="334" t="s">
        <v>7996</v>
      </c>
      <c r="F41" s="334" t="s">
        <v>7817</v>
      </c>
      <c r="G41" s="334"/>
      <c r="H41" s="334"/>
      <c r="I41" s="334">
        <v>2586</v>
      </c>
      <c r="J41" s="353" t="s">
        <v>7709</v>
      </c>
      <c r="K41" s="334">
        <v>7</v>
      </c>
      <c r="L41" s="334" t="s">
        <v>7709</v>
      </c>
      <c r="M41" s="334" t="s">
        <v>7709</v>
      </c>
      <c r="N41" s="334">
        <v>645.6</v>
      </c>
      <c r="O41" s="334" t="s">
        <v>7709</v>
      </c>
      <c r="P41" s="334" t="s">
        <v>7709</v>
      </c>
      <c r="Q41" s="334">
        <v>237</v>
      </c>
      <c r="R41" s="334" t="s">
        <v>7709</v>
      </c>
      <c r="S41" s="353" t="s">
        <v>7709</v>
      </c>
      <c r="T41" s="353" t="s">
        <v>7709</v>
      </c>
      <c r="U41" s="334" t="s">
        <v>7709</v>
      </c>
      <c r="V41" s="334" t="s">
        <v>7709</v>
      </c>
      <c r="W41" s="334"/>
      <c r="X41" s="334" t="s">
        <v>7709</v>
      </c>
      <c r="Y41" s="334" t="s">
        <v>7709</v>
      </c>
    </row>
    <row r="42" spans="1:25" ht="15.75" thickBot="1">
      <c r="A42" s="348" t="s">
        <v>7994</v>
      </c>
      <c r="B42" s="348"/>
      <c r="C42" s="351" t="s">
        <v>8044</v>
      </c>
      <c r="D42" s="348"/>
      <c r="E42" s="348" t="s">
        <v>7998</v>
      </c>
      <c r="F42" s="348" t="s">
        <v>7817</v>
      </c>
      <c r="G42" s="348"/>
      <c r="H42" s="348"/>
      <c r="I42" s="348">
        <v>2580</v>
      </c>
      <c r="J42" s="354" t="s">
        <v>7709</v>
      </c>
      <c r="K42" s="348">
        <v>8</v>
      </c>
      <c r="L42" s="348" t="s">
        <v>7709</v>
      </c>
      <c r="M42" s="348" t="s">
        <v>7709</v>
      </c>
      <c r="N42" s="348">
        <v>708.6</v>
      </c>
      <c r="O42" s="348" t="s">
        <v>7709</v>
      </c>
      <c r="P42" s="348" t="s">
        <v>7709</v>
      </c>
      <c r="Q42" s="348">
        <v>255.2</v>
      </c>
      <c r="R42" s="348" t="s">
        <v>7709</v>
      </c>
      <c r="S42" s="354" t="s">
        <v>7709</v>
      </c>
      <c r="T42" s="354" t="s">
        <v>7709</v>
      </c>
      <c r="U42" s="348" t="s">
        <v>7709</v>
      </c>
      <c r="V42" s="348" t="s">
        <v>7709</v>
      </c>
      <c r="W42" s="348"/>
      <c r="X42" s="348" t="s">
        <v>7709</v>
      </c>
      <c r="Y42" s="348" t="s">
        <v>7709</v>
      </c>
    </row>
    <row r="43" spans="1:25">
      <c r="P43" s="201"/>
      <c r="Q43" s="201"/>
    </row>
    <row r="44" spans="1:25">
      <c r="P44" s="201"/>
      <c r="Q44" s="201"/>
    </row>
    <row r="45" spans="1:25">
      <c r="P45" s="201"/>
      <c r="Q45" s="201"/>
    </row>
    <row r="46" spans="1:25">
      <c r="A46" s="200" t="s">
        <v>7679</v>
      </c>
      <c r="P46" s="201"/>
      <c r="Q46" s="201"/>
    </row>
    <row r="47" spans="1:25">
      <c r="A47" s="199" t="s">
        <v>7678</v>
      </c>
      <c r="P47" s="201"/>
      <c r="Q47" s="201"/>
    </row>
    <row r="48" spans="1:25">
      <c r="A48" s="199" t="s">
        <v>7677</v>
      </c>
    </row>
    <row r="49" spans="1:17">
      <c r="A49" s="199" t="s">
        <v>7676</v>
      </c>
    </row>
    <row r="50" spans="1:17">
      <c r="A50" s="200" t="s">
        <v>7727</v>
      </c>
      <c r="P50" s="201"/>
      <c r="Q50" s="201"/>
    </row>
    <row r="51" spans="1:17">
      <c r="A51" s="200" t="s">
        <v>7675</v>
      </c>
      <c r="P51" s="201"/>
      <c r="Q51" s="201"/>
    </row>
    <row r="52" spans="1:17">
      <c r="A52" s="200" t="s">
        <v>7674</v>
      </c>
    </row>
    <row r="53" spans="1:17">
      <c r="A53" s="199" t="s">
        <v>7673</v>
      </c>
    </row>
    <row r="54" spans="1:17">
      <c r="A54" s="199" t="s">
        <v>7672</v>
      </c>
    </row>
    <row r="55" spans="1:17">
      <c r="A55" s="199" t="s">
        <v>7671</v>
      </c>
    </row>
    <row r="56" spans="1:17">
      <c r="A56" s="199" t="s">
        <v>7670</v>
      </c>
    </row>
    <row r="58" spans="1:17">
      <c r="A58" s="198" t="s">
        <v>7714</v>
      </c>
    </row>
  </sheetData>
  <sheetProtection selectLockedCells="1" selectUnlockedCells="1"/>
  <mergeCells count="4">
    <mergeCell ref="K1:R1"/>
    <mergeCell ref="H1:J1"/>
    <mergeCell ref="S1:T1"/>
    <mergeCell ref="U1:W1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"/>
  <sheetViews>
    <sheetView zoomScale="60" zoomScaleNormal="60" workbookViewId="0">
      <selection activeCell="M8" sqref="M8"/>
    </sheetView>
  </sheetViews>
  <sheetFormatPr baseColWidth="10" defaultRowHeight="12"/>
  <cols>
    <col min="1" max="1" width="4.7109375" customWidth="1"/>
    <col min="2" max="2" width="5.28515625" customWidth="1"/>
    <col min="3" max="3" width="5.5703125" customWidth="1"/>
    <col min="4" max="4" width="7.85546875" customWidth="1"/>
    <col min="5" max="5" width="3.28515625" customWidth="1"/>
    <col min="6" max="7" width="4.42578125" bestFit="1" customWidth="1"/>
    <col min="8" max="8" width="5.28515625" customWidth="1"/>
    <col min="9" max="12" width="4.42578125" bestFit="1" customWidth="1"/>
    <col min="13" max="13" width="3.28515625" customWidth="1"/>
    <col min="14" max="14" width="4.85546875" bestFit="1" customWidth="1"/>
    <col min="15" max="15" width="4.42578125" bestFit="1" customWidth="1"/>
    <col min="16" max="16" width="4.85546875" bestFit="1" customWidth="1"/>
    <col min="17" max="17" width="4.28515625" customWidth="1"/>
    <col min="18" max="19" width="4.85546875" bestFit="1" customWidth="1"/>
    <col min="20" max="20" width="5.7109375" customWidth="1"/>
    <col min="21" max="23" width="4.85546875" bestFit="1" customWidth="1"/>
    <col min="24" max="24" width="5.42578125" bestFit="1" customWidth="1"/>
    <col min="25" max="25" width="4.85546875" bestFit="1" customWidth="1"/>
    <col min="26" max="26" width="4.7109375" customWidth="1"/>
    <col min="27" max="27" width="5.28515625" customWidth="1"/>
    <col min="28" max="29" width="5.42578125" bestFit="1" customWidth="1"/>
    <col min="30" max="30" width="5" customWidth="1"/>
    <col min="31" max="33" width="5.42578125" bestFit="1" customWidth="1"/>
    <col min="34" max="34" width="5.5703125" customWidth="1"/>
    <col min="35" max="35" width="4.85546875" bestFit="1" customWidth="1"/>
    <col min="36" max="44" width="5.42578125" bestFit="1" customWidth="1"/>
    <col min="45" max="45" width="4.85546875" bestFit="1" customWidth="1"/>
    <col min="46" max="54" width="5.42578125" bestFit="1" customWidth="1"/>
    <col min="55" max="55" width="4.85546875" bestFit="1" customWidth="1"/>
    <col min="56" max="59" width="5.42578125" bestFit="1" customWidth="1"/>
    <col min="60" max="60" width="7.7109375" bestFit="1" customWidth="1"/>
    <col min="61" max="61" width="5.42578125" bestFit="1" customWidth="1"/>
  </cols>
  <sheetData>
    <row r="1" spans="1:63" ht="24" thickBot="1">
      <c r="A1" s="378" t="s">
        <v>7773</v>
      </c>
      <c r="B1" s="240"/>
      <c r="C1" s="241"/>
      <c r="D1" s="242"/>
      <c r="E1" s="243">
        <v>1</v>
      </c>
      <c r="F1" s="243">
        <v>2</v>
      </c>
      <c r="G1" s="243">
        <v>3</v>
      </c>
      <c r="H1" s="243">
        <v>4</v>
      </c>
      <c r="I1" s="243">
        <v>5</v>
      </c>
      <c r="J1" s="243">
        <v>6</v>
      </c>
      <c r="K1" s="243">
        <v>7</v>
      </c>
      <c r="L1" s="243">
        <v>8</v>
      </c>
      <c r="M1" s="243">
        <v>9</v>
      </c>
      <c r="N1" s="243">
        <v>10</v>
      </c>
      <c r="O1" s="243">
        <v>11</v>
      </c>
      <c r="P1" s="243">
        <v>12</v>
      </c>
      <c r="Q1" s="243">
        <v>13</v>
      </c>
      <c r="R1" s="243">
        <v>14</v>
      </c>
      <c r="S1" s="243">
        <v>15</v>
      </c>
      <c r="T1" s="243">
        <v>16</v>
      </c>
      <c r="U1" s="243">
        <v>17</v>
      </c>
      <c r="V1" s="243">
        <v>18</v>
      </c>
      <c r="W1" s="243">
        <v>19</v>
      </c>
      <c r="X1" s="243">
        <v>20</v>
      </c>
      <c r="Y1" s="243">
        <v>21</v>
      </c>
      <c r="Z1" s="243">
        <v>22</v>
      </c>
      <c r="AA1" s="243">
        <v>23</v>
      </c>
      <c r="AB1" s="243">
        <v>24</v>
      </c>
      <c r="AC1" s="243">
        <v>25</v>
      </c>
      <c r="AD1" s="243">
        <v>26</v>
      </c>
      <c r="AE1" s="243">
        <v>27</v>
      </c>
      <c r="AF1" s="243">
        <v>28</v>
      </c>
      <c r="AG1" s="243">
        <v>29</v>
      </c>
      <c r="AH1" s="243">
        <v>30</v>
      </c>
      <c r="AI1" s="243">
        <v>31</v>
      </c>
      <c r="AJ1" s="243">
        <v>32</v>
      </c>
      <c r="AK1" s="243">
        <v>33</v>
      </c>
      <c r="AL1" s="243">
        <v>34</v>
      </c>
      <c r="AM1" s="243">
        <v>35</v>
      </c>
      <c r="AN1" s="243">
        <v>36</v>
      </c>
      <c r="AO1" s="243">
        <v>37</v>
      </c>
      <c r="AP1" s="243">
        <v>38</v>
      </c>
      <c r="AQ1" s="243">
        <v>39</v>
      </c>
      <c r="AR1" s="243">
        <v>40</v>
      </c>
      <c r="AS1" s="243">
        <v>41</v>
      </c>
      <c r="AT1" s="243">
        <v>42</v>
      </c>
      <c r="AU1" s="243">
        <v>43</v>
      </c>
      <c r="AV1" s="243">
        <v>44</v>
      </c>
      <c r="AW1" s="243">
        <v>45</v>
      </c>
      <c r="AX1" s="243">
        <v>46</v>
      </c>
      <c r="AY1" s="243">
        <v>47</v>
      </c>
      <c r="AZ1" s="243">
        <v>48</v>
      </c>
      <c r="BA1" s="243">
        <v>49</v>
      </c>
      <c r="BB1" s="243">
        <v>50</v>
      </c>
      <c r="BC1" s="243">
        <v>51</v>
      </c>
      <c r="BD1" s="243">
        <v>52</v>
      </c>
      <c r="BE1" s="243">
        <v>53</v>
      </c>
      <c r="BF1" s="243">
        <v>54</v>
      </c>
      <c r="BG1" s="243">
        <v>55</v>
      </c>
      <c r="BH1" s="243">
        <v>56</v>
      </c>
      <c r="BI1" s="240"/>
      <c r="BJ1" s="244"/>
      <c r="BK1" s="244"/>
    </row>
    <row r="2" spans="1:63" ht="27" thickTop="1">
      <c r="A2" s="379"/>
      <c r="B2" s="380" t="s">
        <v>7774</v>
      </c>
      <c r="C2" s="381" t="s">
        <v>259</v>
      </c>
      <c r="D2" s="245">
        <v>20</v>
      </c>
      <c r="E2" s="246" t="s">
        <v>7775</v>
      </c>
      <c r="F2" s="247">
        <v>32</v>
      </c>
      <c r="G2" s="248">
        <v>27</v>
      </c>
      <c r="H2" s="248">
        <v>52</v>
      </c>
      <c r="I2" s="248">
        <v>36</v>
      </c>
      <c r="J2" s="248">
        <v>34</v>
      </c>
      <c r="K2" s="248">
        <v>45</v>
      </c>
      <c r="L2" s="248">
        <v>25</v>
      </c>
      <c r="M2" s="249">
        <v>6</v>
      </c>
      <c r="N2" s="248">
        <v>35</v>
      </c>
      <c r="O2" s="250">
        <v>1</v>
      </c>
      <c r="P2" s="248">
        <v>28</v>
      </c>
      <c r="Q2" s="248">
        <v>30</v>
      </c>
      <c r="R2" s="248">
        <v>12</v>
      </c>
      <c r="S2" s="248">
        <v>46</v>
      </c>
      <c r="T2" s="248">
        <v>23</v>
      </c>
      <c r="U2" s="248">
        <v>37</v>
      </c>
      <c r="V2" s="248">
        <v>29</v>
      </c>
      <c r="W2" s="248">
        <v>39</v>
      </c>
      <c r="X2" s="248">
        <v>7</v>
      </c>
      <c r="Y2" s="248">
        <v>49</v>
      </c>
      <c r="Z2" s="248">
        <v>51</v>
      </c>
      <c r="AA2" s="248">
        <v>43</v>
      </c>
      <c r="AB2" s="251">
        <v>5</v>
      </c>
      <c r="AC2" s="248">
        <v>40</v>
      </c>
      <c r="AD2" s="248">
        <v>21</v>
      </c>
      <c r="AE2" s="248">
        <v>38</v>
      </c>
      <c r="AF2" s="252">
        <v>47</v>
      </c>
      <c r="AG2" s="253">
        <v>32</v>
      </c>
      <c r="AH2" s="248">
        <v>27</v>
      </c>
      <c r="AI2" s="248">
        <v>52</v>
      </c>
      <c r="AJ2" s="248">
        <v>36</v>
      </c>
      <c r="AK2" s="248">
        <v>34</v>
      </c>
      <c r="AL2" s="248">
        <v>45</v>
      </c>
      <c r="AM2" s="248">
        <v>25</v>
      </c>
      <c r="AN2" s="249">
        <v>6</v>
      </c>
      <c r="AO2" s="248">
        <v>35</v>
      </c>
      <c r="AP2" s="250">
        <v>1</v>
      </c>
      <c r="AQ2" s="248">
        <v>28</v>
      </c>
      <c r="AR2" s="248">
        <v>30</v>
      </c>
      <c r="AS2" s="248">
        <v>12</v>
      </c>
      <c r="AT2" s="248">
        <v>46</v>
      </c>
      <c r="AU2" s="248">
        <v>23</v>
      </c>
      <c r="AV2" s="248">
        <v>37</v>
      </c>
      <c r="AW2" s="248">
        <v>29</v>
      </c>
      <c r="AX2" s="248">
        <v>39</v>
      </c>
      <c r="AY2" s="248">
        <v>7</v>
      </c>
      <c r="AZ2" s="248">
        <v>49</v>
      </c>
      <c r="BA2" s="248">
        <v>51</v>
      </c>
      <c r="BB2" s="248">
        <v>43</v>
      </c>
      <c r="BC2" s="251">
        <v>5</v>
      </c>
      <c r="BD2" s="248">
        <v>40</v>
      </c>
      <c r="BE2" s="248">
        <v>21</v>
      </c>
      <c r="BF2" s="248">
        <v>38</v>
      </c>
      <c r="BG2" s="254">
        <v>47</v>
      </c>
      <c r="BH2" s="255" t="s">
        <v>7775</v>
      </c>
      <c r="BI2" s="243">
        <v>20</v>
      </c>
      <c r="BJ2" s="244"/>
      <c r="BK2" s="244"/>
    </row>
    <row r="3" spans="1:63" ht="27" thickBot="1">
      <c r="A3" s="379"/>
      <c r="B3" s="380"/>
      <c r="C3" s="382"/>
      <c r="D3" s="256">
        <v>19</v>
      </c>
      <c r="E3" s="246" t="s">
        <v>7775</v>
      </c>
      <c r="F3" s="257">
        <v>24</v>
      </c>
      <c r="G3" s="258">
        <v>31</v>
      </c>
      <c r="H3" s="258">
        <v>13</v>
      </c>
      <c r="I3" s="259">
        <v>2</v>
      </c>
      <c r="J3" s="258">
        <v>8</v>
      </c>
      <c r="K3" s="258">
        <v>22</v>
      </c>
      <c r="L3" s="258">
        <v>42</v>
      </c>
      <c r="M3" s="258">
        <v>9</v>
      </c>
      <c r="N3" s="258">
        <v>11</v>
      </c>
      <c r="O3" s="258">
        <v>18</v>
      </c>
      <c r="P3" s="258">
        <v>50</v>
      </c>
      <c r="Q3" s="258">
        <v>41</v>
      </c>
      <c r="R3" s="260">
        <v>4</v>
      </c>
      <c r="S3" s="258">
        <v>53</v>
      </c>
      <c r="T3" s="258">
        <v>17</v>
      </c>
      <c r="U3" s="258">
        <v>14</v>
      </c>
      <c r="V3" s="258">
        <v>44</v>
      </c>
      <c r="W3" s="258">
        <v>48</v>
      </c>
      <c r="X3" s="261">
        <v>3</v>
      </c>
      <c r="Y3" s="258">
        <v>20</v>
      </c>
      <c r="Z3" s="258">
        <v>16</v>
      </c>
      <c r="AA3" s="258">
        <v>26</v>
      </c>
      <c r="AB3" s="258">
        <v>33</v>
      </c>
      <c r="AC3" s="258">
        <v>15</v>
      </c>
      <c r="AD3" s="258">
        <v>10</v>
      </c>
      <c r="AE3" s="258">
        <v>19</v>
      </c>
      <c r="AF3" s="262">
        <v>54</v>
      </c>
      <c r="AG3" s="263">
        <v>24</v>
      </c>
      <c r="AH3" s="258">
        <v>31</v>
      </c>
      <c r="AI3" s="258">
        <v>13</v>
      </c>
      <c r="AJ3" s="259">
        <v>2</v>
      </c>
      <c r="AK3" s="258">
        <v>8</v>
      </c>
      <c r="AL3" s="258">
        <v>22</v>
      </c>
      <c r="AM3" s="258">
        <v>42</v>
      </c>
      <c r="AN3" s="258">
        <v>9</v>
      </c>
      <c r="AO3" s="258">
        <v>11</v>
      </c>
      <c r="AP3" s="258">
        <v>18</v>
      </c>
      <c r="AQ3" s="258">
        <v>50</v>
      </c>
      <c r="AR3" s="258">
        <v>41</v>
      </c>
      <c r="AS3" s="264">
        <v>4</v>
      </c>
      <c r="AT3" s="258">
        <v>53</v>
      </c>
      <c r="AU3" s="258">
        <v>17</v>
      </c>
      <c r="AV3" s="258">
        <v>14</v>
      </c>
      <c r="AW3" s="258">
        <v>44</v>
      </c>
      <c r="AX3" s="258">
        <v>48</v>
      </c>
      <c r="AY3" s="261">
        <v>3</v>
      </c>
      <c r="AZ3" s="258">
        <v>20</v>
      </c>
      <c r="BA3" s="258">
        <v>16</v>
      </c>
      <c r="BB3" s="258">
        <v>26</v>
      </c>
      <c r="BC3" s="258">
        <v>33</v>
      </c>
      <c r="BD3" s="258">
        <v>15</v>
      </c>
      <c r="BE3" s="258">
        <v>10</v>
      </c>
      <c r="BF3" s="258">
        <v>19</v>
      </c>
      <c r="BG3" s="265">
        <v>54</v>
      </c>
      <c r="BH3" s="255" t="s">
        <v>7775</v>
      </c>
      <c r="BI3" s="243">
        <v>19</v>
      </c>
      <c r="BJ3" s="244"/>
      <c r="BK3" s="244"/>
    </row>
    <row r="4" spans="1:63" ht="27" thickBot="1">
      <c r="A4" s="379"/>
      <c r="B4" s="380"/>
      <c r="C4" s="383" t="s">
        <v>257</v>
      </c>
      <c r="D4" s="243">
        <v>18</v>
      </c>
      <c r="E4" s="246" t="s">
        <v>7775</v>
      </c>
      <c r="F4" s="266">
        <v>31</v>
      </c>
      <c r="G4" s="267">
        <v>44</v>
      </c>
      <c r="H4" s="268">
        <v>3</v>
      </c>
      <c r="I4" s="269">
        <v>51</v>
      </c>
      <c r="J4" s="270">
        <v>4</v>
      </c>
      <c r="K4" s="271">
        <v>15</v>
      </c>
      <c r="L4" s="272">
        <v>37</v>
      </c>
      <c r="M4" s="272">
        <v>28</v>
      </c>
      <c r="N4" s="272">
        <v>36</v>
      </c>
      <c r="O4" s="272">
        <v>29</v>
      </c>
      <c r="P4" s="272">
        <v>35</v>
      </c>
      <c r="Q4" s="267">
        <v>25</v>
      </c>
      <c r="R4" s="273">
        <v>30</v>
      </c>
      <c r="S4" s="271">
        <v>14</v>
      </c>
      <c r="T4" s="272">
        <v>42</v>
      </c>
      <c r="U4" s="272">
        <v>46</v>
      </c>
      <c r="V4" s="272">
        <v>19</v>
      </c>
      <c r="W4" s="272">
        <v>13</v>
      </c>
      <c r="X4" s="272">
        <v>52</v>
      </c>
      <c r="Y4" s="272">
        <v>7</v>
      </c>
      <c r="Z4" s="272">
        <v>38</v>
      </c>
      <c r="AA4" s="272">
        <v>32</v>
      </c>
      <c r="AB4" s="274">
        <v>5</v>
      </c>
      <c r="AC4" s="272">
        <v>27</v>
      </c>
      <c r="AD4" s="272">
        <v>17</v>
      </c>
      <c r="AE4" s="272">
        <v>53</v>
      </c>
      <c r="AF4" s="275">
        <v>2</v>
      </c>
      <c r="AG4" s="276">
        <v>31</v>
      </c>
      <c r="AH4" s="277">
        <v>44</v>
      </c>
      <c r="AI4" s="268">
        <v>3</v>
      </c>
      <c r="AJ4" s="278">
        <v>51</v>
      </c>
      <c r="AK4" s="270">
        <v>4</v>
      </c>
      <c r="AL4" s="279">
        <v>15</v>
      </c>
      <c r="AM4" s="280">
        <v>37</v>
      </c>
      <c r="AN4" s="280">
        <v>28</v>
      </c>
      <c r="AO4" s="280">
        <v>36</v>
      </c>
      <c r="AP4" s="280">
        <v>29</v>
      </c>
      <c r="AQ4" s="280">
        <v>35</v>
      </c>
      <c r="AR4" s="280">
        <v>25</v>
      </c>
      <c r="AS4" s="280">
        <v>30</v>
      </c>
      <c r="AT4" s="280">
        <v>14</v>
      </c>
      <c r="AU4" s="280">
        <v>42</v>
      </c>
      <c r="AV4" s="280">
        <v>46</v>
      </c>
      <c r="AW4" s="280">
        <v>19</v>
      </c>
      <c r="AX4" s="280">
        <v>13</v>
      </c>
      <c r="AY4" s="280">
        <v>52</v>
      </c>
      <c r="AZ4" s="280">
        <v>7</v>
      </c>
      <c r="BA4" s="280">
        <v>38</v>
      </c>
      <c r="BB4" s="280">
        <v>32</v>
      </c>
      <c r="BC4" s="281">
        <v>5</v>
      </c>
      <c r="BD4" s="280">
        <v>27</v>
      </c>
      <c r="BE4" s="280">
        <v>17</v>
      </c>
      <c r="BF4" s="280">
        <v>53</v>
      </c>
      <c r="BG4" s="282">
        <v>2</v>
      </c>
      <c r="BH4" s="255" t="s">
        <v>7775</v>
      </c>
      <c r="BI4" s="243">
        <v>18</v>
      </c>
      <c r="BJ4" s="244"/>
      <c r="BK4" s="244"/>
    </row>
    <row r="5" spans="1:63" ht="27" thickBot="1">
      <c r="A5" s="379"/>
      <c r="B5" s="380"/>
      <c r="C5" s="384"/>
      <c r="D5" s="256">
        <v>17</v>
      </c>
      <c r="E5" s="246" t="s">
        <v>7775</v>
      </c>
      <c r="F5" s="283">
        <v>49</v>
      </c>
      <c r="G5" s="284">
        <v>9</v>
      </c>
      <c r="H5" s="285">
        <v>22</v>
      </c>
      <c r="I5" s="284">
        <v>34</v>
      </c>
      <c r="J5" s="285">
        <v>18</v>
      </c>
      <c r="K5" s="284">
        <v>23</v>
      </c>
      <c r="L5" s="284">
        <v>21</v>
      </c>
      <c r="M5" s="284">
        <v>45</v>
      </c>
      <c r="N5" s="284">
        <v>16</v>
      </c>
      <c r="O5" s="284">
        <v>20</v>
      </c>
      <c r="P5" s="284">
        <v>26</v>
      </c>
      <c r="Q5" s="284">
        <v>39</v>
      </c>
      <c r="R5" s="286">
        <v>1</v>
      </c>
      <c r="S5" s="284">
        <v>11</v>
      </c>
      <c r="T5" s="284">
        <v>48</v>
      </c>
      <c r="U5" s="284">
        <v>50</v>
      </c>
      <c r="V5" s="284">
        <v>10</v>
      </c>
      <c r="W5" s="284">
        <v>40</v>
      </c>
      <c r="X5" s="284">
        <v>41</v>
      </c>
      <c r="Y5" s="287">
        <v>6</v>
      </c>
      <c r="Z5" s="284">
        <v>54</v>
      </c>
      <c r="AA5" s="284">
        <v>47</v>
      </c>
      <c r="AB5" s="284">
        <v>8</v>
      </c>
      <c r="AC5" s="284">
        <v>33</v>
      </c>
      <c r="AD5" s="284">
        <v>43</v>
      </c>
      <c r="AE5" s="284">
        <v>24</v>
      </c>
      <c r="AF5" s="288">
        <v>12</v>
      </c>
      <c r="AG5" s="283">
        <v>49</v>
      </c>
      <c r="AH5" s="284">
        <v>9</v>
      </c>
      <c r="AI5" s="285">
        <v>22</v>
      </c>
      <c r="AJ5" s="284">
        <v>34</v>
      </c>
      <c r="AK5" s="285">
        <v>18</v>
      </c>
      <c r="AL5" s="284">
        <v>23</v>
      </c>
      <c r="AM5" s="284">
        <v>21</v>
      </c>
      <c r="AN5" s="284">
        <v>45</v>
      </c>
      <c r="AO5" s="284">
        <v>16</v>
      </c>
      <c r="AP5" s="284">
        <v>20</v>
      </c>
      <c r="AQ5" s="284">
        <v>26</v>
      </c>
      <c r="AR5" s="284">
        <v>39</v>
      </c>
      <c r="AS5" s="289">
        <v>1</v>
      </c>
      <c r="AT5" s="284">
        <v>11</v>
      </c>
      <c r="AU5" s="284">
        <v>48</v>
      </c>
      <c r="AV5" s="284">
        <v>50</v>
      </c>
      <c r="AW5" s="284">
        <v>10</v>
      </c>
      <c r="AX5" s="284">
        <v>40</v>
      </c>
      <c r="AY5" s="284">
        <v>41</v>
      </c>
      <c r="AZ5" s="287">
        <v>6</v>
      </c>
      <c r="BA5" s="284">
        <v>54</v>
      </c>
      <c r="BB5" s="284">
        <v>47</v>
      </c>
      <c r="BC5" s="284">
        <v>8</v>
      </c>
      <c r="BD5" s="284">
        <v>33</v>
      </c>
      <c r="BE5" s="284">
        <v>43</v>
      </c>
      <c r="BF5" s="284">
        <v>24</v>
      </c>
      <c r="BG5" s="288">
        <v>12</v>
      </c>
      <c r="BH5" s="255" t="s">
        <v>7775</v>
      </c>
      <c r="BI5" s="243">
        <v>17</v>
      </c>
      <c r="BJ5" s="244"/>
      <c r="BK5" s="244"/>
    </row>
    <row r="6" spans="1:63" ht="26.25">
      <c r="A6" s="379"/>
      <c r="B6" s="385" t="s">
        <v>7776</v>
      </c>
      <c r="C6" s="381" t="s">
        <v>259</v>
      </c>
      <c r="D6" s="243">
        <v>16</v>
      </c>
      <c r="E6" s="246" t="s">
        <v>7775</v>
      </c>
      <c r="F6" s="290">
        <v>5</v>
      </c>
      <c r="G6" s="291">
        <v>33</v>
      </c>
      <c r="H6" s="291">
        <v>21</v>
      </c>
      <c r="I6" s="291">
        <v>18</v>
      </c>
      <c r="J6" s="291">
        <v>27</v>
      </c>
      <c r="K6" s="291">
        <v>50</v>
      </c>
      <c r="L6" s="292">
        <v>3</v>
      </c>
      <c r="M6" s="291">
        <v>41</v>
      </c>
      <c r="N6" s="291">
        <v>45</v>
      </c>
      <c r="O6" s="291">
        <v>48</v>
      </c>
      <c r="P6" s="291">
        <v>30</v>
      </c>
      <c r="Q6" s="291">
        <v>39</v>
      </c>
      <c r="R6" s="291">
        <v>14</v>
      </c>
      <c r="S6" s="291">
        <v>24</v>
      </c>
      <c r="T6" s="291">
        <v>53</v>
      </c>
      <c r="U6" s="291">
        <v>11</v>
      </c>
      <c r="V6" s="291">
        <v>52</v>
      </c>
      <c r="W6" s="291">
        <v>29</v>
      </c>
      <c r="X6" s="291">
        <v>9</v>
      </c>
      <c r="Y6" s="291">
        <v>47</v>
      </c>
      <c r="Z6" s="291">
        <v>36</v>
      </c>
      <c r="AA6" s="291">
        <v>12</v>
      </c>
      <c r="AB6" s="291">
        <v>32</v>
      </c>
      <c r="AC6" s="291">
        <v>38</v>
      </c>
      <c r="AD6" s="291">
        <v>20</v>
      </c>
      <c r="AE6" s="293">
        <v>6</v>
      </c>
      <c r="AF6" s="294">
        <v>16</v>
      </c>
      <c r="AG6" s="290">
        <v>5</v>
      </c>
      <c r="AH6" s="291">
        <v>33</v>
      </c>
      <c r="AI6" s="291">
        <v>21</v>
      </c>
      <c r="AJ6" s="291">
        <v>18</v>
      </c>
      <c r="AK6" s="291">
        <v>27</v>
      </c>
      <c r="AL6" s="291">
        <v>50</v>
      </c>
      <c r="AM6" s="292">
        <v>3</v>
      </c>
      <c r="AN6" s="291">
        <v>41</v>
      </c>
      <c r="AO6" s="291">
        <v>45</v>
      </c>
      <c r="AP6" s="291">
        <v>48</v>
      </c>
      <c r="AQ6" s="291">
        <v>30</v>
      </c>
      <c r="AR6" s="291">
        <v>39</v>
      </c>
      <c r="AS6" s="291">
        <v>14</v>
      </c>
      <c r="AT6" s="291">
        <v>24</v>
      </c>
      <c r="AU6" s="291">
        <v>53</v>
      </c>
      <c r="AV6" s="291">
        <v>11</v>
      </c>
      <c r="AW6" s="291">
        <v>52</v>
      </c>
      <c r="AX6" s="291">
        <v>29</v>
      </c>
      <c r="AY6" s="291">
        <v>9</v>
      </c>
      <c r="AZ6" s="291">
        <v>47</v>
      </c>
      <c r="BA6" s="291">
        <v>36</v>
      </c>
      <c r="BB6" s="291">
        <v>12</v>
      </c>
      <c r="BC6" s="291">
        <v>32</v>
      </c>
      <c r="BD6" s="291">
        <v>38</v>
      </c>
      <c r="BE6" s="291">
        <v>20</v>
      </c>
      <c r="BF6" s="293">
        <v>6</v>
      </c>
      <c r="BG6" s="294">
        <v>16</v>
      </c>
      <c r="BH6" s="255" t="s">
        <v>7775</v>
      </c>
      <c r="BI6" s="243">
        <v>16</v>
      </c>
      <c r="BJ6" s="244"/>
      <c r="BK6" s="244"/>
    </row>
    <row r="7" spans="1:63" ht="27" thickBot="1">
      <c r="A7" s="379"/>
      <c r="B7" s="385"/>
      <c r="C7" s="382"/>
      <c r="D7" s="256">
        <v>15</v>
      </c>
      <c r="E7" s="295" t="s">
        <v>7775</v>
      </c>
      <c r="F7" s="296">
        <v>43</v>
      </c>
      <c r="G7" s="297">
        <v>34</v>
      </c>
      <c r="H7" s="297">
        <v>25</v>
      </c>
      <c r="I7" s="298">
        <v>1</v>
      </c>
      <c r="J7" s="297">
        <v>7</v>
      </c>
      <c r="K7" s="297">
        <v>23</v>
      </c>
      <c r="L7" s="297">
        <v>37</v>
      </c>
      <c r="M7" s="297">
        <v>28</v>
      </c>
      <c r="N7" s="297">
        <v>19</v>
      </c>
      <c r="O7" s="297">
        <v>54</v>
      </c>
      <c r="P7" s="297">
        <v>46</v>
      </c>
      <c r="Q7" s="297">
        <v>10</v>
      </c>
      <c r="R7" s="297">
        <v>44</v>
      </c>
      <c r="S7" s="297">
        <v>31</v>
      </c>
      <c r="T7" s="297">
        <v>22</v>
      </c>
      <c r="U7" s="297">
        <v>40</v>
      </c>
      <c r="V7" s="297">
        <v>13</v>
      </c>
      <c r="W7" s="297">
        <v>49</v>
      </c>
      <c r="X7" s="259">
        <v>2</v>
      </c>
      <c r="Y7" s="297">
        <v>35</v>
      </c>
      <c r="Z7" s="297">
        <v>8</v>
      </c>
      <c r="AA7" s="297">
        <v>26</v>
      </c>
      <c r="AB7" s="297">
        <v>17</v>
      </c>
      <c r="AC7" s="299">
        <v>4</v>
      </c>
      <c r="AD7" s="297">
        <v>42</v>
      </c>
      <c r="AE7" s="297">
        <v>15</v>
      </c>
      <c r="AF7" s="300">
        <v>51</v>
      </c>
      <c r="AG7" s="296">
        <v>43</v>
      </c>
      <c r="AH7" s="297">
        <v>34</v>
      </c>
      <c r="AI7" s="297">
        <v>25</v>
      </c>
      <c r="AJ7" s="298">
        <v>1</v>
      </c>
      <c r="AK7" s="297">
        <v>7</v>
      </c>
      <c r="AL7" s="297">
        <v>23</v>
      </c>
      <c r="AM7" s="297">
        <v>37</v>
      </c>
      <c r="AN7" s="297">
        <v>28</v>
      </c>
      <c r="AO7" s="297">
        <v>19</v>
      </c>
      <c r="AP7" s="297">
        <v>54</v>
      </c>
      <c r="AQ7" s="297">
        <v>46</v>
      </c>
      <c r="AR7" s="297">
        <v>10</v>
      </c>
      <c r="AS7" s="297">
        <v>44</v>
      </c>
      <c r="AT7" s="297">
        <v>31</v>
      </c>
      <c r="AU7" s="297">
        <v>22</v>
      </c>
      <c r="AV7" s="297">
        <v>40</v>
      </c>
      <c r="AW7" s="297">
        <v>13</v>
      </c>
      <c r="AX7" s="297">
        <v>49</v>
      </c>
      <c r="AY7" s="259">
        <v>2</v>
      </c>
      <c r="AZ7" s="297">
        <v>35</v>
      </c>
      <c r="BA7" s="297">
        <v>8</v>
      </c>
      <c r="BB7" s="297">
        <v>26</v>
      </c>
      <c r="BC7" s="297">
        <v>17</v>
      </c>
      <c r="BD7" s="299">
        <v>4</v>
      </c>
      <c r="BE7" s="297">
        <v>42</v>
      </c>
      <c r="BF7" s="297">
        <v>15</v>
      </c>
      <c r="BG7" s="300">
        <v>51</v>
      </c>
      <c r="BH7" s="255" t="s">
        <v>7775</v>
      </c>
      <c r="BI7" s="243">
        <v>15</v>
      </c>
      <c r="BJ7" s="244"/>
      <c r="BK7" s="244"/>
    </row>
    <row r="8" spans="1:63" ht="27" thickBot="1">
      <c r="A8" s="379"/>
      <c r="B8" s="385"/>
      <c r="C8" s="383" t="s">
        <v>257</v>
      </c>
      <c r="D8" s="243">
        <v>14</v>
      </c>
      <c r="E8" s="301" t="s">
        <v>7775</v>
      </c>
      <c r="F8" s="302">
        <v>52</v>
      </c>
      <c r="G8" s="303">
        <v>9</v>
      </c>
      <c r="H8" s="303">
        <v>16</v>
      </c>
      <c r="I8" s="303">
        <v>31</v>
      </c>
      <c r="J8" s="303">
        <v>22</v>
      </c>
      <c r="K8" s="304">
        <v>40</v>
      </c>
      <c r="L8" s="305">
        <v>4</v>
      </c>
      <c r="M8" s="306">
        <v>49</v>
      </c>
      <c r="N8" s="303">
        <v>13</v>
      </c>
      <c r="O8" s="303">
        <v>53</v>
      </c>
      <c r="P8" s="303">
        <v>35</v>
      </c>
      <c r="Q8" s="303">
        <v>8</v>
      </c>
      <c r="R8" s="303">
        <v>26</v>
      </c>
      <c r="S8" s="303">
        <v>17</v>
      </c>
      <c r="T8" s="303">
        <v>44</v>
      </c>
      <c r="U8" s="303">
        <v>37</v>
      </c>
      <c r="V8" s="303">
        <v>10</v>
      </c>
      <c r="W8" s="303">
        <v>46</v>
      </c>
      <c r="X8" s="307">
        <v>1</v>
      </c>
      <c r="Y8" s="303">
        <v>28</v>
      </c>
      <c r="Z8" s="303">
        <v>19</v>
      </c>
      <c r="AA8" s="303">
        <v>18</v>
      </c>
      <c r="AB8" s="303">
        <v>33</v>
      </c>
      <c r="AC8" s="303">
        <v>27</v>
      </c>
      <c r="AD8" s="303">
        <v>7</v>
      </c>
      <c r="AE8" s="303">
        <v>45</v>
      </c>
      <c r="AF8" s="308">
        <v>54</v>
      </c>
      <c r="AG8" s="302">
        <v>52</v>
      </c>
      <c r="AH8" s="303">
        <v>9</v>
      </c>
      <c r="AI8" s="303">
        <v>16</v>
      </c>
      <c r="AJ8" s="303">
        <v>31</v>
      </c>
      <c r="AK8" s="303">
        <v>22</v>
      </c>
      <c r="AL8" s="304">
        <v>40</v>
      </c>
      <c r="AM8" s="305">
        <v>4</v>
      </c>
      <c r="AN8" s="306">
        <v>49</v>
      </c>
      <c r="AO8" s="303">
        <v>13</v>
      </c>
      <c r="AP8" s="303">
        <v>53</v>
      </c>
      <c r="AQ8" s="303">
        <v>35</v>
      </c>
      <c r="AR8" s="303">
        <v>8</v>
      </c>
      <c r="AS8" s="303">
        <v>26</v>
      </c>
      <c r="AT8" s="303">
        <v>17</v>
      </c>
      <c r="AU8" s="303">
        <v>44</v>
      </c>
      <c r="AV8" s="303">
        <v>37</v>
      </c>
      <c r="AW8" s="309">
        <v>10</v>
      </c>
      <c r="AX8" s="303">
        <v>46</v>
      </c>
      <c r="AY8" s="307">
        <v>1</v>
      </c>
      <c r="AZ8" s="303">
        <v>28</v>
      </c>
      <c r="BA8" s="303">
        <v>19</v>
      </c>
      <c r="BB8" s="303">
        <v>18</v>
      </c>
      <c r="BC8" s="303">
        <v>33</v>
      </c>
      <c r="BD8" s="303">
        <v>27</v>
      </c>
      <c r="BE8" s="303">
        <v>7</v>
      </c>
      <c r="BF8" s="303">
        <v>45</v>
      </c>
      <c r="BG8" s="308">
        <v>54</v>
      </c>
      <c r="BH8" s="255" t="s">
        <v>7775</v>
      </c>
      <c r="BI8" s="243">
        <v>14</v>
      </c>
      <c r="BJ8" s="244"/>
      <c r="BK8" s="244"/>
    </row>
    <row r="9" spans="1:63" ht="27" thickBot="1">
      <c r="A9" s="379"/>
      <c r="B9" s="385"/>
      <c r="C9" s="384"/>
      <c r="D9" s="256">
        <v>13</v>
      </c>
      <c r="E9" s="310" t="s">
        <v>7775</v>
      </c>
      <c r="F9" s="311">
        <v>11</v>
      </c>
      <c r="G9" s="312">
        <v>38</v>
      </c>
      <c r="H9" s="313">
        <v>2</v>
      </c>
      <c r="I9" s="312">
        <v>47</v>
      </c>
      <c r="J9" s="312">
        <v>29</v>
      </c>
      <c r="K9" s="312">
        <v>20</v>
      </c>
      <c r="L9" s="314">
        <v>42</v>
      </c>
      <c r="M9" s="312">
        <v>15</v>
      </c>
      <c r="N9" s="315">
        <v>6</v>
      </c>
      <c r="O9" s="312">
        <v>24</v>
      </c>
      <c r="P9" s="312">
        <v>51</v>
      </c>
      <c r="Q9" s="312">
        <v>36</v>
      </c>
      <c r="R9" s="312">
        <v>32</v>
      </c>
      <c r="S9" s="312">
        <v>12</v>
      </c>
      <c r="T9" s="312">
        <v>48</v>
      </c>
      <c r="U9" s="316">
        <v>21</v>
      </c>
      <c r="V9" s="317">
        <v>3</v>
      </c>
      <c r="W9" s="318">
        <v>39</v>
      </c>
      <c r="X9" s="312">
        <v>41</v>
      </c>
      <c r="Y9" s="312">
        <v>50</v>
      </c>
      <c r="Z9" s="312">
        <v>14</v>
      </c>
      <c r="AA9" s="319">
        <v>5</v>
      </c>
      <c r="AB9" s="312">
        <v>23</v>
      </c>
      <c r="AC9" s="312">
        <v>30</v>
      </c>
      <c r="AD9" s="312">
        <v>34</v>
      </c>
      <c r="AE9" s="312">
        <v>25</v>
      </c>
      <c r="AF9" s="320">
        <v>43</v>
      </c>
      <c r="AG9" s="311">
        <v>11</v>
      </c>
      <c r="AH9" s="312">
        <v>38</v>
      </c>
      <c r="AI9" s="313">
        <v>2</v>
      </c>
      <c r="AJ9" s="312">
        <v>47</v>
      </c>
      <c r="AK9" s="312">
        <v>29</v>
      </c>
      <c r="AL9" s="312">
        <v>20</v>
      </c>
      <c r="AM9" s="314">
        <v>42</v>
      </c>
      <c r="AN9" s="312">
        <v>15</v>
      </c>
      <c r="AO9" s="315">
        <v>6</v>
      </c>
      <c r="AP9" s="312">
        <v>24</v>
      </c>
      <c r="AQ9" s="312">
        <v>51</v>
      </c>
      <c r="AR9" s="312">
        <v>36</v>
      </c>
      <c r="AS9" s="312">
        <v>32</v>
      </c>
      <c r="AT9" s="312">
        <v>12</v>
      </c>
      <c r="AU9" s="312">
        <v>48</v>
      </c>
      <c r="AV9" s="316">
        <v>21</v>
      </c>
      <c r="AW9" s="317">
        <v>3</v>
      </c>
      <c r="AX9" s="318">
        <v>39</v>
      </c>
      <c r="AY9" s="312">
        <v>41</v>
      </c>
      <c r="AZ9" s="312">
        <v>50</v>
      </c>
      <c r="BA9" s="312">
        <v>14</v>
      </c>
      <c r="BB9" s="319">
        <v>5</v>
      </c>
      <c r="BC9" s="312">
        <v>23</v>
      </c>
      <c r="BD9" s="312">
        <v>30</v>
      </c>
      <c r="BE9" s="312">
        <v>34</v>
      </c>
      <c r="BF9" s="312">
        <v>25</v>
      </c>
      <c r="BG9" s="320">
        <v>43</v>
      </c>
      <c r="BH9" s="255" t="s">
        <v>7775</v>
      </c>
      <c r="BI9" s="243">
        <v>13</v>
      </c>
      <c r="BJ9" s="244"/>
      <c r="BK9" s="244"/>
    </row>
    <row r="10" spans="1:63" ht="23.25">
      <c r="A10" s="321"/>
      <c r="B10" s="240"/>
      <c r="C10" s="240"/>
      <c r="D10" s="240"/>
      <c r="E10" s="243">
        <v>1</v>
      </c>
      <c r="F10" s="243">
        <v>2</v>
      </c>
      <c r="G10" s="243">
        <v>3</v>
      </c>
      <c r="H10" s="243">
        <v>4</v>
      </c>
      <c r="I10" s="243">
        <v>5</v>
      </c>
      <c r="J10" s="243">
        <v>6</v>
      </c>
      <c r="K10" s="243">
        <v>7</v>
      </c>
      <c r="L10" s="243">
        <v>8</v>
      </c>
      <c r="M10" s="243">
        <v>9</v>
      </c>
      <c r="N10" s="243">
        <v>10</v>
      </c>
      <c r="O10" s="243">
        <v>11</v>
      </c>
      <c r="P10" s="243">
        <v>12</v>
      </c>
      <c r="Q10" s="243">
        <v>13</v>
      </c>
      <c r="R10" s="243">
        <v>14</v>
      </c>
      <c r="S10" s="243">
        <v>15</v>
      </c>
      <c r="T10" s="243">
        <v>16</v>
      </c>
      <c r="U10" s="243">
        <v>17</v>
      </c>
      <c r="V10" s="243">
        <v>18</v>
      </c>
      <c r="W10" s="243">
        <v>19</v>
      </c>
      <c r="X10" s="243">
        <v>20</v>
      </c>
      <c r="Y10" s="243">
        <v>21</v>
      </c>
      <c r="Z10" s="243">
        <v>22</v>
      </c>
      <c r="AA10" s="243">
        <v>23</v>
      </c>
      <c r="AB10" s="243">
        <v>24</v>
      </c>
      <c r="AC10" s="243">
        <v>25</v>
      </c>
      <c r="AD10" s="243">
        <v>26</v>
      </c>
      <c r="AE10" s="243">
        <v>27</v>
      </c>
      <c r="AF10" s="243">
        <v>28</v>
      </c>
      <c r="AG10" s="243">
        <v>29</v>
      </c>
      <c r="AH10" s="243">
        <v>30</v>
      </c>
      <c r="AI10" s="243">
        <v>31</v>
      </c>
      <c r="AJ10" s="243">
        <v>32</v>
      </c>
      <c r="AK10" s="243">
        <v>33</v>
      </c>
      <c r="AL10" s="243">
        <v>34</v>
      </c>
      <c r="AM10" s="243">
        <v>35</v>
      </c>
      <c r="AN10" s="243">
        <v>36</v>
      </c>
      <c r="AO10" s="243">
        <v>37</v>
      </c>
      <c r="AP10" s="243">
        <v>38</v>
      </c>
      <c r="AQ10" s="243">
        <v>39</v>
      </c>
      <c r="AR10" s="243">
        <v>40</v>
      </c>
      <c r="AS10" s="243">
        <v>41</v>
      </c>
      <c r="AT10" s="243">
        <v>42</v>
      </c>
      <c r="AU10" s="243">
        <v>43</v>
      </c>
      <c r="AV10" s="243">
        <v>44</v>
      </c>
      <c r="AW10" s="243">
        <v>45</v>
      </c>
      <c r="AX10" s="243">
        <v>46</v>
      </c>
      <c r="AY10" s="243">
        <v>47</v>
      </c>
      <c r="AZ10" s="243">
        <v>48</v>
      </c>
      <c r="BA10" s="243">
        <v>49</v>
      </c>
      <c r="BB10" s="243">
        <v>50</v>
      </c>
      <c r="BC10" s="243">
        <v>51</v>
      </c>
      <c r="BD10" s="243">
        <v>52</v>
      </c>
      <c r="BE10" s="243">
        <v>53</v>
      </c>
      <c r="BF10" s="243">
        <v>54</v>
      </c>
      <c r="BG10" s="243">
        <v>55</v>
      </c>
      <c r="BH10" s="243">
        <v>56</v>
      </c>
      <c r="BI10" s="240"/>
      <c r="BJ10" s="244"/>
      <c r="BK10" s="244"/>
    </row>
    <row r="11" spans="1:63" ht="15.75">
      <c r="A11" s="321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</row>
    <row r="12" spans="1:63" ht="15.75">
      <c r="A12" s="321"/>
      <c r="B12" s="244"/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</row>
    <row r="13" spans="1:63" ht="15.75">
      <c r="A13" s="321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</row>
    <row r="14" spans="1:63" ht="15.75">
      <c r="A14" s="321"/>
      <c r="B14" s="373">
        <v>1</v>
      </c>
      <c r="C14" s="374"/>
      <c r="D14" s="375"/>
      <c r="E14" s="376" t="s">
        <v>7777</v>
      </c>
      <c r="F14" s="377"/>
      <c r="G14" s="377"/>
      <c r="H14" s="377"/>
      <c r="I14" s="377"/>
      <c r="J14" s="377"/>
      <c r="K14" s="377"/>
      <c r="L14" s="322"/>
      <c r="M14" s="244"/>
      <c r="N14" s="244"/>
      <c r="O14" s="244"/>
      <c r="P14" s="244"/>
      <c r="Q14" s="323" t="s">
        <v>7778</v>
      </c>
      <c r="R14" s="324"/>
      <c r="S14" s="244"/>
      <c r="T14" s="244" t="s">
        <v>7779</v>
      </c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</row>
    <row r="15" spans="1:63" ht="15.75">
      <c r="A15" s="321"/>
      <c r="B15" s="400">
        <v>3</v>
      </c>
      <c r="C15" s="401"/>
      <c r="D15" s="402"/>
      <c r="E15" s="376" t="s">
        <v>7780</v>
      </c>
      <c r="F15" s="377"/>
      <c r="G15" s="377"/>
      <c r="H15" s="377"/>
      <c r="I15" s="377"/>
      <c r="J15" s="377"/>
      <c r="K15" s="377"/>
      <c r="L15" s="322"/>
      <c r="M15" s="244"/>
      <c r="N15" s="244"/>
      <c r="O15" s="244"/>
      <c r="P15" s="244"/>
      <c r="Q15" s="244"/>
      <c r="R15" s="32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</row>
    <row r="16" spans="1:63" ht="20.25">
      <c r="A16" s="321"/>
      <c r="B16" s="403">
        <v>5</v>
      </c>
      <c r="C16" s="404"/>
      <c r="D16" s="405"/>
      <c r="E16" s="376" t="s">
        <v>7781</v>
      </c>
      <c r="F16" s="377"/>
      <c r="G16" s="377"/>
      <c r="H16" s="377"/>
      <c r="I16" s="377"/>
      <c r="J16" s="377"/>
      <c r="K16" s="377"/>
      <c r="L16" s="322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386">
        <v>1</v>
      </c>
      <c r="AA16" s="325" t="s">
        <v>7782</v>
      </c>
      <c r="AB16" s="388">
        <v>2</v>
      </c>
      <c r="AC16" s="244"/>
      <c r="AD16" s="390" t="s">
        <v>7783</v>
      </c>
      <c r="AE16" s="390"/>
      <c r="AF16" s="390"/>
      <c r="AG16" s="390"/>
      <c r="AH16" s="326" t="s">
        <v>7784</v>
      </c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26"/>
      <c r="AU16" s="326"/>
      <c r="AV16" s="326"/>
      <c r="AW16" s="326"/>
      <c r="AX16" s="326"/>
      <c r="AY16" s="326"/>
      <c r="AZ16" s="326"/>
      <c r="BA16" s="326"/>
      <c r="BB16" s="326"/>
      <c r="BC16" s="326"/>
      <c r="BD16" s="326"/>
      <c r="BE16" s="326"/>
      <c r="BF16" s="244"/>
      <c r="BG16" s="326"/>
      <c r="BH16" s="326"/>
      <c r="BI16" s="326"/>
      <c r="BJ16" s="326"/>
      <c r="BK16" s="326"/>
    </row>
    <row r="17" spans="1:63" ht="15.75">
      <c r="A17" s="321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 t="s">
        <v>7785</v>
      </c>
      <c r="R17" s="244"/>
      <c r="S17" s="244"/>
      <c r="T17" s="244" t="s">
        <v>7786</v>
      </c>
      <c r="U17" s="244"/>
      <c r="V17" s="244"/>
      <c r="W17" s="244"/>
      <c r="X17" s="244"/>
      <c r="Y17" s="244"/>
      <c r="Z17" s="387"/>
      <c r="AA17" s="244"/>
      <c r="AB17" s="389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</row>
    <row r="18" spans="1:63" ht="15.75">
      <c r="A18" s="321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26"/>
      <c r="AU18" s="326"/>
      <c r="AV18" s="326"/>
      <c r="AW18" s="326"/>
      <c r="AX18" s="326"/>
      <c r="AY18" s="326"/>
      <c r="AZ18" s="326"/>
      <c r="BA18" s="326"/>
      <c r="BB18" s="326"/>
      <c r="BC18" s="244"/>
      <c r="BD18" s="326"/>
      <c r="BE18" s="326"/>
      <c r="BF18" s="326"/>
      <c r="BG18" s="326"/>
      <c r="BH18" s="326"/>
      <c r="BI18" s="244"/>
      <c r="BJ18" s="244"/>
      <c r="BK18" s="244"/>
    </row>
    <row r="19" spans="1:63" ht="15.75">
      <c r="A19" s="321"/>
      <c r="B19" s="391">
        <v>2</v>
      </c>
      <c r="C19" s="392"/>
      <c r="D19" s="393"/>
      <c r="E19" s="376" t="s">
        <v>7787</v>
      </c>
      <c r="F19" s="377"/>
      <c r="G19" s="377"/>
      <c r="H19" s="377"/>
      <c r="I19" s="377"/>
      <c r="J19" s="377"/>
      <c r="K19" s="377"/>
      <c r="L19" s="322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</row>
    <row r="20" spans="1:63" ht="15.75">
      <c r="A20" s="321"/>
      <c r="B20" s="394">
        <v>4</v>
      </c>
      <c r="C20" s="395"/>
      <c r="D20" s="396"/>
      <c r="E20" s="376" t="s">
        <v>7780</v>
      </c>
      <c r="F20" s="377"/>
      <c r="G20" s="377"/>
      <c r="H20" s="377"/>
      <c r="I20" s="377"/>
      <c r="J20" s="377"/>
      <c r="K20" s="377"/>
      <c r="L20" s="322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  <c r="AY20" s="244"/>
      <c r="AZ20" s="244"/>
      <c r="BA20" s="244"/>
      <c r="BB20" s="244"/>
      <c r="BC20" s="244"/>
      <c r="BD20" s="244"/>
      <c r="BE20" s="244"/>
      <c r="BF20" s="244"/>
      <c r="BG20" s="244"/>
      <c r="BH20" s="244"/>
      <c r="BI20" s="244"/>
      <c r="BJ20" s="244"/>
      <c r="BK20" s="244"/>
    </row>
    <row r="21" spans="1:63" ht="15.75">
      <c r="A21" s="321"/>
      <c r="B21" s="397">
        <v>6</v>
      </c>
      <c r="C21" s="398"/>
      <c r="D21" s="399"/>
      <c r="E21" s="376" t="s">
        <v>7781</v>
      </c>
      <c r="F21" s="377"/>
      <c r="G21" s="377"/>
      <c r="H21" s="377"/>
      <c r="I21" s="377"/>
      <c r="J21" s="377"/>
      <c r="K21" s="377"/>
      <c r="L21" s="322"/>
      <c r="M21" s="244"/>
      <c r="N21" s="244"/>
      <c r="O21" s="244"/>
      <c r="P21" s="244"/>
      <c r="Q21" s="244" t="s">
        <v>7788</v>
      </c>
      <c r="R21" s="244"/>
      <c r="S21" s="244"/>
      <c r="T21" s="244" t="s">
        <v>7789</v>
      </c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4"/>
      <c r="BK21" s="244"/>
    </row>
    <row r="22" spans="1:63" ht="15.75">
      <c r="A22" s="321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4"/>
      <c r="BK22" s="244"/>
    </row>
    <row r="23" spans="1:63" ht="15.75">
      <c r="A23" s="321"/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</row>
    <row r="24" spans="1:63" ht="15.75">
      <c r="A24" s="321"/>
      <c r="B24" s="244"/>
      <c r="C24" s="244"/>
      <c r="D24" s="244"/>
      <c r="E24" s="244"/>
      <c r="F24" s="244"/>
      <c r="G24" s="244"/>
      <c r="H24" s="244" t="s">
        <v>7790</v>
      </c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  <c r="AY24" s="244"/>
      <c r="AZ24" s="244"/>
      <c r="BA24" s="244"/>
      <c r="BB24" s="244"/>
      <c r="BC24" s="244"/>
      <c r="BD24" s="244"/>
      <c r="BE24" s="244"/>
      <c r="BF24" s="244"/>
      <c r="BG24" s="244"/>
      <c r="BH24" s="244"/>
      <c r="BI24" s="244"/>
      <c r="BJ24" s="244"/>
      <c r="BK24" s="244"/>
    </row>
    <row r="25" spans="1:63" ht="15.75">
      <c r="A25" s="321"/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</row>
  </sheetData>
  <sheetProtection selectLockedCells="1" selectUnlockedCells="1"/>
  <mergeCells count="22">
    <mergeCell ref="B20:D20"/>
    <mergeCell ref="E20:K20"/>
    <mergeCell ref="B21:D21"/>
    <mergeCell ref="E21:K21"/>
    <mergeCell ref="B15:D15"/>
    <mergeCell ref="E15:K15"/>
    <mergeCell ref="B16:D16"/>
    <mergeCell ref="E16:K16"/>
    <mergeCell ref="Z16:Z17"/>
    <mergeCell ref="AB16:AB17"/>
    <mergeCell ref="AD16:AG16"/>
    <mergeCell ref="B19:D19"/>
    <mergeCell ref="E19:K19"/>
    <mergeCell ref="B14:D14"/>
    <mergeCell ref="E14:K14"/>
    <mergeCell ref="A1:A9"/>
    <mergeCell ref="B2:B5"/>
    <mergeCell ref="C2:C3"/>
    <mergeCell ref="C4:C5"/>
    <mergeCell ref="B6:B9"/>
    <mergeCell ref="C6:C7"/>
    <mergeCell ref="C8:C9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>
      <selection activeCell="E22" sqref="E22"/>
    </sheetView>
  </sheetViews>
  <sheetFormatPr baseColWidth="10" defaultRowHeight="12"/>
  <cols>
    <col min="1" max="1" width="17.140625" style="226" bestFit="1" customWidth="1"/>
    <col min="2" max="2" width="14.85546875" style="226" customWidth="1"/>
    <col min="3" max="3" width="28.85546875" style="226" bestFit="1" customWidth="1"/>
    <col min="4" max="4" width="13.7109375" style="226" customWidth="1"/>
    <col min="5" max="5" width="35.85546875" style="226" bestFit="1" customWidth="1"/>
    <col min="6" max="16384" width="11.42578125" style="222"/>
  </cols>
  <sheetData>
    <row r="1" spans="1:5" ht="15.75">
      <c r="A1" s="221" t="s">
        <v>7698</v>
      </c>
      <c r="B1" s="221" t="s">
        <v>213</v>
      </c>
      <c r="C1" s="221" t="s">
        <v>7699</v>
      </c>
      <c r="D1" s="221" t="s">
        <v>7700</v>
      </c>
      <c r="E1" s="221" t="s">
        <v>7701</v>
      </c>
    </row>
    <row r="2" spans="1:5" ht="15.75">
      <c r="A2" s="223" t="s">
        <v>7795</v>
      </c>
      <c r="B2" s="224">
        <v>40413</v>
      </c>
      <c r="C2" s="224" t="s">
        <v>7791</v>
      </c>
      <c r="D2" s="225"/>
      <c r="E2" s="225" t="s">
        <v>7796</v>
      </c>
    </row>
    <row r="3" spans="1:5" ht="15.75">
      <c r="A3" s="223" t="s">
        <v>7795</v>
      </c>
      <c r="B3" s="224">
        <v>40418</v>
      </c>
      <c r="C3" s="224" t="s">
        <v>7792</v>
      </c>
      <c r="D3" s="225"/>
      <c r="E3" s="225" t="s">
        <v>7797</v>
      </c>
    </row>
    <row r="4" spans="1:5" ht="15.75">
      <c r="A4" s="223" t="s">
        <v>7807</v>
      </c>
      <c r="B4" s="224">
        <v>40429</v>
      </c>
      <c r="C4" s="224"/>
      <c r="D4" s="225"/>
      <c r="E4" s="225" t="s">
        <v>7808</v>
      </c>
    </row>
    <row r="5" spans="1:5" ht="15.75">
      <c r="A5" s="223" t="s">
        <v>7806</v>
      </c>
      <c r="B5" s="227">
        <v>40453</v>
      </c>
      <c r="C5" s="224" t="s">
        <v>7804</v>
      </c>
      <c r="D5" s="224"/>
      <c r="E5" s="224" t="s">
        <v>7801</v>
      </c>
    </row>
    <row r="6" spans="1:5" ht="15.75">
      <c r="A6" s="223" t="s">
        <v>7803</v>
      </c>
      <c r="B6" s="224">
        <v>40457</v>
      </c>
      <c r="C6" s="224" t="s">
        <v>7798</v>
      </c>
      <c r="D6" s="224"/>
      <c r="E6" s="224" t="s">
        <v>7799</v>
      </c>
    </row>
    <row r="7" spans="1:5" ht="15.75">
      <c r="A7" s="223" t="s">
        <v>7803</v>
      </c>
      <c r="B7" s="224">
        <v>40480</v>
      </c>
      <c r="C7" s="224" t="s">
        <v>7800</v>
      </c>
      <c r="D7" s="224"/>
      <c r="E7" s="224" t="s">
        <v>7801</v>
      </c>
    </row>
    <row r="8" spans="1:5" ht="15.75">
      <c r="A8" s="223" t="s">
        <v>7795</v>
      </c>
      <c r="B8" s="224">
        <v>40590</v>
      </c>
      <c r="C8" s="224" t="s">
        <v>7793</v>
      </c>
      <c r="D8" s="224"/>
      <c r="E8" s="224"/>
    </row>
    <row r="9" spans="1:5" ht="15.75">
      <c r="A9" s="223" t="s">
        <v>7803</v>
      </c>
      <c r="B9" s="227">
        <v>40606</v>
      </c>
      <c r="C9" s="224" t="s">
        <v>7800</v>
      </c>
      <c r="D9" s="224"/>
      <c r="E9" s="224" t="s">
        <v>7802</v>
      </c>
    </row>
    <row r="10" spans="1:5" ht="15.75">
      <c r="A10" s="223" t="s">
        <v>7806</v>
      </c>
      <c r="B10" s="224">
        <v>40606</v>
      </c>
      <c r="C10" s="224" t="s">
        <v>7804</v>
      </c>
      <c r="D10" s="224"/>
      <c r="E10" s="224" t="s">
        <v>7805</v>
      </c>
    </row>
    <row r="11" spans="1:5" ht="15.75">
      <c r="A11" s="223" t="s">
        <v>7795</v>
      </c>
      <c r="B11" s="224">
        <v>40612</v>
      </c>
      <c r="C11" s="224" t="s">
        <v>7794</v>
      </c>
      <c r="D11" s="224"/>
      <c r="E11" s="224"/>
    </row>
    <row r="12" spans="1:5" ht="15.75">
      <c r="A12" s="223" t="s">
        <v>7813</v>
      </c>
      <c r="B12" s="224">
        <v>40641</v>
      </c>
      <c r="C12" s="224" t="s">
        <v>7809</v>
      </c>
      <c r="D12" s="224"/>
      <c r="E12" s="224" t="s">
        <v>7810</v>
      </c>
    </row>
    <row r="13" spans="1:5" ht="15.75">
      <c r="A13" s="223" t="s">
        <v>7813</v>
      </c>
      <c r="B13" s="224">
        <v>40641</v>
      </c>
      <c r="C13" s="225" t="s">
        <v>7811</v>
      </c>
      <c r="D13" s="228"/>
      <c r="E13" s="224" t="s">
        <v>7812</v>
      </c>
    </row>
    <row r="14" spans="1:5">
      <c r="D14" s="222"/>
      <c r="E14" s="22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2015-02-12T07:53:39Z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